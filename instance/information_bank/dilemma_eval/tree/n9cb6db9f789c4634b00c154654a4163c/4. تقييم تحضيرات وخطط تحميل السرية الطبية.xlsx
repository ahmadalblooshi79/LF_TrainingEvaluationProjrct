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ink/ink3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03"/>
  <workbookPr filterPrivacy="1" codeName="ThisWorkbook"/>
  <xr:revisionPtr revIDLastSave="0" documentId="13_ncr:1_{544B41B2-D16D-4D56-BC6F-F0240F624D6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التقييم'!$A$1:$J$70</definedName>
    <definedName name="_xlnm.Print_Titles" localSheetId="0">'قائمة التقييم'!$7:$7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2" l="1"/>
  <c r="H9" i="2"/>
  <c r="G10" i="2"/>
  <c r="H10" i="2"/>
  <c r="G11" i="2"/>
  <c r="H11" i="2"/>
  <c r="G12" i="2"/>
  <c r="H12" i="2"/>
  <c r="G14" i="2"/>
  <c r="H14" i="2"/>
  <c r="G15" i="2"/>
  <c r="H15" i="2"/>
  <c r="G16" i="2"/>
  <c r="H16" i="2"/>
  <c r="G17" i="2"/>
  <c r="H17" i="2"/>
  <c r="G19" i="2"/>
  <c r="H19" i="2"/>
  <c r="G20" i="2"/>
  <c r="H20" i="2"/>
  <c r="G21" i="2"/>
  <c r="H21" i="2"/>
  <c r="G22" i="2"/>
  <c r="H22" i="2"/>
  <c r="G23" i="2"/>
  <c r="H23" i="2"/>
  <c r="G24" i="2"/>
  <c r="H24" i="2"/>
  <c r="G25" i="2"/>
  <c r="H25" i="2"/>
  <c r="G26" i="2"/>
  <c r="H26" i="2"/>
  <c r="G27" i="2"/>
  <c r="H27" i="2"/>
  <c r="G28" i="2"/>
  <c r="H28" i="2"/>
  <c r="G29" i="2"/>
  <c r="H29" i="2"/>
  <c r="G31" i="2"/>
  <c r="H31" i="2"/>
  <c r="G32" i="2"/>
  <c r="H32" i="2"/>
  <c r="G33" i="2"/>
  <c r="H33" i="2"/>
  <c r="G34" i="2"/>
  <c r="H34" i="2"/>
  <c r="G35" i="2"/>
  <c r="H35" i="2"/>
  <c r="G36" i="2"/>
  <c r="H36" i="2"/>
  <c r="G37" i="2"/>
  <c r="H37" i="2"/>
  <c r="G38" i="2"/>
  <c r="H38" i="2"/>
  <c r="G39" i="2"/>
  <c r="H39" i="2"/>
  <c r="G40" i="2"/>
  <c r="H40" i="2"/>
  <c r="G41" i="2"/>
  <c r="H41" i="2"/>
  <c r="G42" i="2"/>
  <c r="H42" i="2"/>
  <c r="G43" i="2"/>
  <c r="H43" i="2"/>
  <c r="G45" i="2"/>
  <c r="H45" i="2"/>
  <c r="G46" i="2"/>
  <c r="H46" i="2"/>
  <c r="G47" i="2"/>
  <c r="H47" i="2"/>
  <c r="G48" i="2"/>
  <c r="H48" i="2"/>
  <c r="G49" i="2"/>
  <c r="H49" i="2"/>
  <c r="G50" i="2"/>
  <c r="H50" i="2"/>
  <c r="G51" i="2"/>
  <c r="H51" i="2"/>
  <c r="G52" i="2"/>
  <c r="H52" i="2"/>
  <c r="G53" i="2"/>
  <c r="H53" i="2"/>
  <c r="G54" i="2"/>
  <c r="H54" i="2"/>
  <c r="G55" i="2"/>
  <c r="H55" i="2"/>
  <c r="G56" i="2"/>
  <c r="H56" i="2"/>
  <c r="G57" i="2"/>
  <c r="H57" i="2"/>
  <c r="G59" i="2"/>
  <c r="H59" i="2"/>
  <c r="G60" i="2"/>
  <c r="H60" i="2"/>
  <c r="G61" i="2"/>
  <c r="H61" i="2"/>
  <c r="G62" i="2"/>
  <c r="H62" i="2"/>
  <c r="G63" i="2"/>
  <c r="H63" i="2"/>
  <c r="G64" i="2"/>
  <c r="H64" i="2"/>
  <c r="G65" i="2"/>
  <c r="H65" i="2"/>
  <c r="F66" i="2"/>
  <c r="E66" i="2"/>
  <c r="E67" i="2"/>
  <c r="E68" i="2"/>
</calcChain>
</file>

<file path=xl/sharedStrings.xml><?xml version="1.0" encoding="utf-8"?>
<sst xmlns="http://schemas.openxmlformats.org/spreadsheetml/2006/main" count="296" uniqueCount="240">
  <si>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</si>
  <si>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</si>
  <si>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</si>
  <si>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</si>
  <si>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</si>
  <si>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</si>
  <si>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</si>
  <si>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</si>
  <si>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</si>
  <si>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</si>
  <si>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</si>
  <si>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</si>
  <si>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</si>
  <si>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</si>
  <si>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</si>
  <si>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</si>
  <si>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</si>
  <si>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</si>
  <si>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</si>
  <si>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</si>
  <si>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</si>
  <si>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</si>
  <si>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</si>
  <si>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</si>
  <si>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</si>
  <si>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</si>
  <si>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</si>
  <si>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</si>
  <si>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</si>
  <si>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</si>
  <si>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</si>
  <si>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</si>
  <si>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</si>
  <si>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</si>
  <si>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</si>
  <si>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</si>
  <si>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</si>
  <si>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</si>
  <si>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</si>
  <si>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</si>
  <si>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</si>
  <si>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</si>
  <si>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</si>
  <si>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</si>
  <si>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</si>
  <si>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</si>
  <si>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</si>
  <si>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</si>
  <si>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</si>
  <si>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</si>
  <si>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</si>
  <si>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</si>
  <si>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</si>
  <si>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</si>
  <si>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</si>
  <si>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</si>
  <si>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</si>
  <si>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</si>
  <si>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</si>
  <si>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</si>
  <si>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</si>
  <si>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</si>
  <si>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</si>
  <si>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</si>
  <si>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</si>
  <si>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</si>
  <si>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</si>
  <si>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</si>
  <si>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</si>
  <si>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</si>
  <si>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</si>
  <si>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</si>
  <si>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</si>
  <si>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</si>
  <si>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</si>
  <si>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</si>
  <si>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</si>
  <si>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</si>
  <si>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</si>
  <si>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</si>
  <si>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</si>
  <si>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</si>
  <si>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</si>
  <si>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</si>
  <si>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</si>
  <si>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</si>
  <si>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</si>
  <si>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</si>
  <si>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</si>
  <si>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</si>
  <si>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</si>
  <si>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</si>
  <si>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</si>
  <si>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</si>
  <si>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</si>
  <si>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</si>
  <si>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</si>
  <si>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</si>
  <si>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</si>
  <si>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</si>
  <si>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</si>
  <si>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</si>
  <si>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</si>
  <si>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</si>
  <si>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</si>
  <si>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</si>
  <si>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</si>
  <si>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</si>
  <si>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</si>
  <si>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</si>
  <si>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</si>
  <si>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</si>
  <si>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</si>
  <si>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</si>
  <si>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</si>
  <si>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</si>
  <si>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</si>
  <si>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</si>
  <si>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</si>
  <si>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</si>
  <si>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</si>
  <si>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</si>
  <si>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</si>
  <si>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</si>
  <si>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</si>
  <si>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</si>
  <si>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</si>
  <si>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</si>
  <si>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</si>
  <si>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</si>
  <si>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</si>
  <si>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</si>
  <si>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</si>
  <si>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</si>
  <si>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</si>
  <si>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</si>
  <si>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</si>
  <si>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</si>
  <si>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</si>
  <si>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</si>
  <si>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</si>
  <si>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</si>
  <si>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</si>
  <si>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</si>
  <si>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</si>
  <si>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</si>
  <si>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</si>
  <si>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</si>
  <si>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</si>
  <si>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</si>
  <si>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</si>
  <si>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</si>
  <si>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</si>
  <si>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</si>
  <si>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</si>
  <si>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</si>
  <si>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</si>
  <si>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</si>
  <si>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</si>
  <si>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</si>
  <si>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</si>
  <si>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</si>
  <si>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</si>
  <si>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</si>
  <si>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</si>
  <si>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</si>
  <si>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</si>
  <si>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</si>
  <si>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</si>
  <si>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</si>
  <si>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</si>
  <si>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</si>
  <si>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</si>
  <si>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</si>
  <si>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r>
      <t>ملاحظـــات:</t>
    </r>
    <r>
      <rPr>
        <sz val="12"/>
        <color rgb="FF000000"/>
        <rFont val="Arial"/>
        <family val="2"/>
      </rPr>
      <t xml:space="preserve"> 
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</si>
  <si>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t>مقدم ركن / عبدالرحمن محمد الطنيجي</t>
  </si>
  <si>
    <t xml:space="preserve">رائد / راشد ضاوي  راشد الطنيجي </t>
  </si>
  <si>
    <t>نقيب / حميد سعيد مسير الظاهري</t>
  </si>
  <si>
    <t>نقيب / يوسف محمد الفلاسي</t>
  </si>
  <si>
    <t>نقيب / سعيد راشد الظنحاني</t>
  </si>
  <si>
    <t>التجهيزات.</t>
  </si>
  <si>
    <t>سيارات الإسعاف.</t>
  </si>
  <si>
    <t>معدات متفرقة.</t>
  </si>
  <si>
    <r>
      <t>معدات الاتصالات</t>
    </r>
    <r>
      <rPr>
        <sz val="12"/>
        <color rgb="FF000000"/>
        <rFont val="Arial"/>
        <family val="2"/>
      </rPr>
      <t>.</t>
    </r>
  </si>
  <si>
    <r>
      <t>الآليـــــات</t>
    </r>
    <r>
      <rPr>
        <b/>
        <sz val="12"/>
        <color rgb="FF000000"/>
        <rFont val="Arial"/>
        <family val="2"/>
      </rPr>
      <t>.</t>
    </r>
  </si>
  <si>
    <r>
      <t>الأسلحة الفردية</t>
    </r>
    <r>
      <rPr>
        <b/>
        <sz val="12"/>
        <color rgb="FF000000"/>
        <rFont val="Arial"/>
        <family val="2"/>
      </rPr>
      <t>.</t>
    </r>
  </si>
  <si>
    <r>
      <t>1.</t>
    </r>
    <r>
      <rPr>
        <sz val="12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تجهيز الآليات.</t>
    </r>
  </si>
  <si>
    <r>
      <t>2.</t>
    </r>
    <r>
      <rPr>
        <sz val="12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تجهيز أنظمة الآليات.</t>
    </r>
  </si>
  <si>
    <r>
      <t>3.</t>
    </r>
    <r>
      <rPr>
        <sz val="12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تجهيز أجهزة الاتصال.</t>
    </r>
  </si>
  <si>
    <r>
      <t>4.</t>
    </r>
    <r>
      <rPr>
        <sz val="12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تجهيز الأسلحة.</t>
    </r>
  </si>
  <si>
    <r>
      <t>1.</t>
    </r>
    <r>
      <rPr>
        <sz val="12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أن تكون مجموعات المعدات الطبية المسموح بها موجودة.</t>
    </r>
  </si>
  <si>
    <r>
      <t>2.</t>
    </r>
    <r>
      <rPr>
        <sz val="12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المعدات الطبية كاملة وصالحة.</t>
    </r>
  </si>
  <si>
    <r>
      <t>3.</t>
    </r>
    <r>
      <rPr>
        <sz val="12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الأوكسجين متوفّر وصالح للاستخدام.</t>
    </r>
  </si>
  <si>
    <r>
      <t>4.</t>
    </r>
    <r>
      <rPr>
        <sz val="12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الأدوية المرخص بها متوفرّة وجاهزة وصالحة للاستعمال.</t>
    </r>
  </si>
  <si>
    <r>
      <t>1.</t>
    </r>
    <r>
      <rPr>
        <sz val="12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تفقد المناظير.</t>
    </r>
  </si>
  <si>
    <r>
      <t>2.</t>
    </r>
    <r>
      <rPr>
        <sz val="12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تفقد شبكة التمويه والتخفية وأنظمة الإسناد.</t>
    </r>
  </si>
  <si>
    <r>
      <t>3.</t>
    </r>
    <r>
      <rPr>
        <sz val="12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تفقد أجهزة الرؤية الليلية.</t>
    </r>
  </si>
  <si>
    <r>
      <t>4.</t>
    </r>
    <r>
      <rPr>
        <sz val="12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البطاريات موجودة وصالحة.</t>
    </r>
  </si>
  <si>
    <r>
      <t>5.</t>
    </r>
    <r>
      <rPr>
        <sz val="12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معدات التخييم متوفرة.</t>
    </r>
  </si>
  <si>
    <r>
      <t>6.</t>
    </r>
    <r>
      <rPr>
        <sz val="12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 xml:space="preserve"> أنظمة تحديد المواقع العالمية والأنظمة الرقمية الأخرى – إذا كانت متوفرة.</t>
    </r>
  </si>
  <si>
    <r>
      <t>7.</t>
    </r>
    <r>
      <rPr>
        <sz val="12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 xml:space="preserve"> قوائم التحميل متوفرة.</t>
    </r>
  </si>
  <si>
    <r>
      <t>8.</t>
    </r>
    <r>
      <rPr>
        <sz val="12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 xml:space="preserve"> خرائط الهبوط الاضطراري أو خرائط الطرق متوفرة (مع الشفافات).</t>
    </r>
  </si>
  <si>
    <r>
      <t>9.</t>
    </r>
    <r>
      <rPr>
        <sz val="12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توفر جميع المعدات في الآلية.</t>
    </r>
  </si>
  <si>
    <r>
      <t>10.</t>
    </r>
    <r>
      <rPr>
        <sz val="12"/>
        <color rgb="FF000000"/>
        <rFont val="Times New Roman"/>
        <family val="1"/>
      </rPr>
      <t xml:space="preserve">  </t>
    </r>
    <r>
      <rPr>
        <sz val="12"/>
        <color rgb="FF000000"/>
        <rFont val="Arial"/>
        <family val="2"/>
      </rPr>
      <t>توفر السجلات وتحديثها.</t>
    </r>
  </si>
  <si>
    <r>
      <t>11.</t>
    </r>
    <r>
      <rPr>
        <sz val="12"/>
        <color rgb="FF000000"/>
        <rFont val="Times New Roman"/>
        <family val="1"/>
      </rPr>
      <t xml:space="preserve">  </t>
    </r>
    <r>
      <rPr>
        <sz val="12"/>
        <color rgb="FF000000"/>
        <rFont val="Arial"/>
        <family val="2"/>
      </rPr>
      <t xml:space="preserve"> توفر رخص القيادة العسكرية لدى جميع السائقين.</t>
    </r>
  </si>
  <si>
    <r>
      <t>1.</t>
    </r>
    <r>
      <rPr>
        <sz val="12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الأجهزة اللاسلكية صالحة.</t>
    </r>
  </si>
  <si>
    <r>
      <t>2.</t>
    </r>
    <r>
      <rPr>
        <sz val="12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معدات الاتصالات الطبية متوفرة وصالحة.</t>
    </r>
  </si>
  <si>
    <r>
      <t>3.</t>
    </r>
    <r>
      <rPr>
        <sz val="12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معدات الاتصالات متوفرة وشغالة وموضوعة على الترددات الصحيحة.</t>
    </r>
  </si>
  <si>
    <r>
      <t>4.</t>
    </r>
    <r>
      <rPr>
        <sz val="12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الهوائيات مربوطة بطريقة صحيحة.</t>
    </r>
  </si>
  <si>
    <r>
      <t>5.</t>
    </r>
    <r>
      <rPr>
        <sz val="12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الموصلات نظيفة وصالحة.</t>
    </r>
  </si>
  <si>
    <r>
      <t>6.</t>
    </r>
    <r>
      <rPr>
        <sz val="12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الهواتف الميدانية موجودة وصالحة.</t>
    </r>
  </si>
  <si>
    <r>
      <t>7.</t>
    </r>
    <r>
      <rPr>
        <sz val="12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البطاريات موجودة وصالحة للاستخدام.</t>
    </r>
  </si>
  <si>
    <r>
      <t>8.</t>
    </r>
    <r>
      <rPr>
        <sz val="12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مجموعات الأجهزة اللاسلكية كاملة.</t>
    </r>
  </si>
  <si>
    <r>
      <t>9.</t>
    </r>
    <r>
      <rPr>
        <sz val="12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لوحات المفاتيح موجودة وصالحة.</t>
    </r>
  </si>
  <si>
    <r>
      <t>10.</t>
    </r>
    <r>
      <rPr>
        <sz val="12"/>
        <color rgb="FF000000"/>
        <rFont val="Times New Roman"/>
        <family val="1"/>
      </rPr>
      <t xml:space="preserve">  </t>
    </r>
    <r>
      <rPr>
        <sz val="12"/>
        <color rgb="FF000000"/>
        <rFont val="Arial"/>
        <family val="2"/>
      </rPr>
      <t>أسلاك الاتصالات موجودة وصالحة.</t>
    </r>
  </si>
  <si>
    <r>
      <t>11.</t>
    </r>
    <r>
      <rPr>
        <sz val="12"/>
        <color rgb="FF000000"/>
        <rFont val="Times New Roman"/>
        <family val="1"/>
      </rPr>
      <t xml:space="preserve">  </t>
    </r>
    <r>
      <rPr>
        <sz val="12"/>
        <color rgb="FF000000"/>
        <rFont val="Arial"/>
        <family val="2"/>
      </rPr>
      <t>تعليمات تشغيل الإشارة موجودة ومحمية.</t>
    </r>
  </si>
  <si>
    <r>
      <t>12.</t>
    </r>
    <r>
      <rPr>
        <sz val="12"/>
        <color rgb="FF000000"/>
        <rFont val="Times New Roman"/>
        <family val="1"/>
      </rPr>
      <t xml:space="preserve">  </t>
    </r>
    <r>
      <rPr>
        <sz val="12"/>
        <color rgb="FF000000"/>
        <rFont val="Arial"/>
        <family val="2"/>
      </rPr>
      <t>الجنود يعرفون النداءات والترددات وكلمات التحدي السرية.</t>
    </r>
  </si>
  <si>
    <r>
      <t>13.</t>
    </r>
    <r>
      <rPr>
        <sz val="12"/>
        <color rgb="FF000000"/>
        <rFont val="Times New Roman"/>
        <family val="1"/>
      </rPr>
      <t xml:space="preserve">  </t>
    </r>
    <r>
      <rPr>
        <sz val="12"/>
        <color rgb="FF000000"/>
        <rFont val="Arial"/>
        <family val="2"/>
      </rPr>
      <t>إنجاز اختبار الاتصالات مرة أخرى.</t>
    </r>
  </si>
  <si>
    <r>
      <t>1.</t>
    </r>
    <r>
      <rPr>
        <sz val="12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أن تكون الحمولات وفقاً لخطة التحميل، وخطة التحميل ملصقة في الآلية.</t>
    </r>
  </si>
  <si>
    <r>
      <t>2.</t>
    </r>
    <r>
      <rPr>
        <sz val="12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المواد الخطيرة محددة بشكل صحيح ومخزّنة باتجاه مؤخرة العربة للوصول والتفتيش السهل.</t>
    </r>
  </si>
  <si>
    <r>
      <t>3.</t>
    </r>
    <r>
      <rPr>
        <sz val="12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الذخيرة مصروفة ومخزنة بشكل صحيح.</t>
    </r>
  </si>
  <si>
    <r>
      <t>4.</t>
    </r>
    <r>
      <rPr>
        <sz val="12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خزانات الوقود للآليات معبأة.</t>
    </r>
  </si>
  <si>
    <r>
      <t>5.</t>
    </r>
    <r>
      <rPr>
        <sz val="12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رُزم الوقود والزيوت وزيت الأسلحة الخفيفة تكون موجودة ومتوفرة.</t>
    </r>
  </si>
  <si>
    <r>
      <t>6.</t>
    </r>
    <r>
      <rPr>
        <sz val="12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مطرات المياه معبأة.</t>
    </r>
  </si>
  <si>
    <r>
      <t>7.</t>
    </r>
    <r>
      <rPr>
        <sz val="12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الوجبات الجاهزة مصروفة ومعبأة.</t>
    </r>
  </si>
  <si>
    <r>
      <t>8.</t>
    </r>
    <r>
      <rPr>
        <sz val="12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صناديق الإسعافات الأولية موجودة وكاملة.</t>
    </r>
  </si>
  <si>
    <r>
      <t>9.</t>
    </r>
    <r>
      <rPr>
        <sz val="12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دليل العمل وأوامر التزييت موجودة للآليات والأجهزة اللاسلكية والمعدات ذات العلاقة.</t>
    </r>
  </si>
  <si>
    <r>
      <t>10.</t>
    </r>
    <r>
      <rPr>
        <sz val="12"/>
        <color rgb="FF000000"/>
        <rFont val="Times New Roman"/>
        <family val="1"/>
      </rPr>
      <t xml:space="preserve">  </t>
    </r>
    <r>
      <rPr>
        <sz val="12"/>
        <color rgb="FF000000"/>
        <rFont val="Arial"/>
        <family val="2"/>
      </rPr>
      <t>المعدات الأساسية داخل الآلية والمواد المصروفة الأساسية موجودة.</t>
    </r>
  </si>
  <si>
    <r>
      <t>11.</t>
    </r>
    <r>
      <rPr>
        <sz val="12"/>
        <color rgb="FF000000"/>
        <rFont val="Times New Roman"/>
        <family val="1"/>
      </rPr>
      <t xml:space="preserve">  </t>
    </r>
    <r>
      <rPr>
        <sz val="12"/>
        <color rgb="FF000000"/>
        <rFont val="Arial"/>
        <family val="2"/>
      </rPr>
      <t>إرسالية الآليات كاملة.</t>
    </r>
  </si>
  <si>
    <r>
      <t>12.</t>
    </r>
    <r>
      <rPr>
        <sz val="12"/>
        <color rgb="FF000000"/>
        <rFont val="Times New Roman"/>
        <family val="1"/>
      </rPr>
      <t xml:space="preserve">  </t>
    </r>
    <r>
      <rPr>
        <sz val="12"/>
        <color rgb="FF000000"/>
        <rFont val="Arial"/>
        <family val="2"/>
      </rPr>
      <t>لا يوجد نواقص في مواعيد الآليات النهائي (لا يوجد مشاكل رئيسية بالآليات).</t>
    </r>
  </si>
  <si>
    <r>
      <t>13.</t>
    </r>
    <r>
      <rPr>
        <sz val="12"/>
        <color rgb="FF000000"/>
        <rFont val="Times New Roman"/>
        <family val="1"/>
      </rPr>
      <t xml:space="preserve">  </t>
    </r>
    <r>
      <rPr>
        <sz val="12"/>
        <color rgb="FF000000"/>
        <rFont val="Arial"/>
        <family val="2"/>
      </rPr>
      <t>تم إكمال فحوصات وخدمات الصيانة الوقائية</t>
    </r>
  </si>
  <si>
    <r>
      <t>1.</t>
    </r>
    <r>
      <rPr>
        <sz val="12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 xml:space="preserve">نظيفة وصالحة. </t>
    </r>
  </si>
  <si>
    <r>
      <t>2.</t>
    </r>
    <r>
      <rPr>
        <sz val="12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أدوات وعدة التنظيف، ومسامير التثبيت، ونتّاش ظرف الطلقات موجودة.</t>
    </r>
  </si>
  <si>
    <r>
      <t>3.</t>
    </r>
    <r>
      <rPr>
        <sz val="12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بطاقات المدى موجودة.</t>
    </r>
  </si>
  <si>
    <r>
      <t>4.</t>
    </r>
    <r>
      <rPr>
        <sz val="12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الذخيرة مصروفة ومعدودة ومحميّة.</t>
    </r>
  </si>
  <si>
    <r>
      <t>5.</t>
    </r>
    <r>
      <rPr>
        <sz val="12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المخازن مصروفة.</t>
    </r>
  </si>
  <si>
    <r>
      <t>6.</t>
    </r>
    <r>
      <rPr>
        <sz val="12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وصلة الطلقات الفارغة مركّبة.</t>
    </r>
  </si>
  <si>
    <r>
      <t>7.</t>
    </r>
    <r>
      <rPr>
        <sz val="12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اختبار "أنّ السلاح يعمل".</t>
    </r>
  </si>
  <si>
    <r>
      <rPr>
        <b/>
        <sz val="14"/>
        <color rgb="FF000000"/>
        <rFont val="Arial"/>
        <family val="2"/>
      </rPr>
      <t>تقييم تحضيرات وخطط تحميل السرية الطبية</t>
    </r>
    <r>
      <rPr>
        <b/>
        <u/>
        <sz val="14"/>
        <color rgb="FF000000"/>
        <rFont val="Arial"/>
        <family val="2"/>
      </rPr>
      <t xml:space="preserve">
تمرين جاهزية مجموعة لواء الإمارات/1 (جندي الصحراء 2025/20)</t>
    </r>
  </si>
  <si>
    <t>رائد طبيب/ علي النقبي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</si>
</sst>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4" x14ac:knownFonts="1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6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  <font>
      <sz val="12"/>
      <color rgb="FF000000"/>
      <name val="Arial"/>
      <family val="2"/>
    </font>
    <font>
      <sz val="12"/>
      <color rgb="FF00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27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1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11" xfId="0" applyFont="1" applyBorder="1" applyAlignment="1">
      <alignment horizontal="center" vertical="center" wrapText="1" readingOrder="1"/>
    </xf>
    <xf numFmtId="0" fontId="2" fillId="0" borderId="11" xfId="0" applyFont="1" applyBorder="1" applyAlignment="1">
      <alignment horizontal="center" vertical="center" wrapText="1" readingOrder="2"/>
    </xf>
    <xf numFmtId="9" fontId="3" fillId="0" borderId="11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2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Border="1" applyAlignment="1" applyProtection="1">
      <alignment horizontal="center" vertical="center" wrapText="1" readingOrder="2"/>
      <protection locked="0"/>
    </xf>
    <xf numFmtId="0" fontId="8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0" fontId="10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11" xfId="0" applyFont="1" applyBorder="1" applyAlignment="1" applyProtection="1">
      <alignment horizontal="center" vertical="center" wrapText="1" readingOrder="2"/>
      <protection locked="0"/>
    </xf>
    <xf numFmtId="0" fontId="3" fillId="0" borderId="13" xfId="0" applyFont="1" applyBorder="1" applyAlignment="1" applyProtection="1">
      <alignment horizontal="center" vertical="center" wrapText="1" readingOrder="2"/>
      <protection locked="0"/>
    </xf>
    <xf numFmtId="0" fontId="2" fillId="0" borderId="4" xfId="0" applyFont="1" applyBorder="1" applyAlignment="1">
      <alignment horizontal="center" vertical="center" wrapText="1" readingOrder="2"/>
    </xf>
    <xf numFmtId="0" fontId="2" fillId="0" borderId="13" xfId="0" applyFont="1" applyBorder="1" applyAlignment="1">
      <alignment horizontal="center" vertical="center" wrapText="1" readingOrder="2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0" fontId="2" fillId="0" borderId="22" xfId="0" applyFont="1" applyBorder="1" applyAlignment="1">
      <alignment horizontal="center" vertical="center" wrapText="1" readingOrder="2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9" fontId="3" fillId="0" borderId="4" xfId="0" applyNumberFormat="1" applyFont="1" applyBorder="1" applyAlignment="1">
      <alignment horizontal="center" vertical="center" wrapText="1" readingOrder="2"/>
    </xf>
    <xf numFmtId="0" fontId="2" fillId="0" borderId="4" xfId="0" applyFont="1" applyBorder="1" applyAlignment="1">
      <alignment horizontal="center" vertical="center" wrapText="1" readingOrder="1"/>
    </xf>
    <xf numFmtId="9" fontId="3" fillId="0" borderId="13" xfId="0" applyNumberFormat="1" applyFont="1" applyBorder="1" applyAlignment="1">
      <alignment horizontal="center" vertical="center" wrapText="1" readingOrder="2"/>
    </xf>
    <xf numFmtId="0" fontId="2" fillId="0" borderId="13" xfId="0" applyFont="1" applyBorder="1" applyAlignment="1">
      <alignment horizontal="center" vertical="center" wrapText="1" readingOrder="1"/>
    </xf>
    <xf numFmtId="0" fontId="12" fillId="0" borderId="26" xfId="0" applyFont="1" applyBorder="1" applyAlignment="1">
      <alignment horizontal="right" vertical="center" wrapText="1" readingOrder="2"/>
    </xf>
    <xf numFmtId="0" fontId="12" fillId="0" borderId="3" xfId="0" applyFont="1" applyBorder="1" applyAlignment="1">
      <alignment horizontal="right" vertical="center" wrapText="1" readingOrder="2"/>
    </xf>
    <xf numFmtId="0" fontId="12" fillId="0" borderId="12" xfId="0" applyFont="1" applyBorder="1" applyAlignment="1">
      <alignment horizontal="right" vertical="center" wrapText="1" readingOrder="2"/>
    </xf>
    <xf numFmtId="0" fontId="12" fillId="0" borderId="13" xfId="0" applyFont="1" applyBorder="1" applyAlignment="1">
      <alignment horizontal="right" vertical="center" wrapText="1" readingOrder="2"/>
    </xf>
    <xf numFmtId="0" fontId="1" fillId="0" borderId="15" xfId="0" applyFont="1" applyBorder="1" applyAlignment="1">
      <alignment horizontal="right" vertical="center" wrapText="1" readingOrder="2"/>
    </xf>
    <xf numFmtId="0" fontId="1" fillId="0" borderId="11" xfId="0" applyFont="1" applyBorder="1" applyAlignment="1">
      <alignment horizontal="right" vertical="center" wrapText="1" readingOrder="2"/>
    </xf>
    <xf numFmtId="0" fontId="1" fillId="0" borderId="5" xfId="0" applyFont="1" applyBorder="1" applyAlignment="1">
      <alignment horizontal="right" vertical="center" wrapText="1" readingOrder="2"/>
    </xf>
    <xf numFmtId="0" fontId="1" fillId="0" borderId="4" xfId="0" applyFont="1" applyBorder="1" applyAlignment="1">
      <alignment horizontal="right" vertical="center" wrapText="1" readingOrder="2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0" fontId="3" fillId="0" borderId="6" xfId="0" applyFont="1" applyBorder="1" applyAlignment="1" applyProtection="1">
      <alignment horizontal="center" vertical="center" wrapText="1" readingOrder="2"/>
      <protection locked="0"/>
    </xf>
    <xf numFmtId="0" fontId="6" fillId="4" borderId="21" xfId="0" applyFont="1" applyFill="1" applyBorder="1" applyAlignment="1" applyProtection="1">
      <alignment horizontal="center" vertical="center" wrapText="1" readingOrder="2"/>
      <protection locked="0"/>
    </xf>
    <xf numFmtId="0" fontId="6" fillId="4" borderId="22" xfId="0" applyFont="1" applyFill="1" applyBorder="1" applyAlignment="1" applyProtection="1">
      <alignment horizontal="center" vertical="center" wrapText="1" readingOrder="2"/>
      <protection locked="0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0" fontId="3" fillId="0" borderId="13" xfId="0" applyFont="1" applyBorder="1" applyAlignment="1" applyProtection="1">
      <alignment horizontal="center" vertical="center" wrapText="1" readingOrder="2"/>
      <protection locked="0"/>
    </xf>
    <xf numFmtId="0" fontId="3" fillId="0" borderId="14" xfId="0" applyFont="1" applyBorder="1" applyAlignment="1" applyProtection="1">
      <alignment horizontal="center" vertical="center" wrapText="1" readingOrder="2"/>
      <protection locked="0"/>
    </xf>
    <xf numFmtId="0" fontId="3" fillId="0" borderId="11" xfId="0" applyFont="1" applyBorder="1" applyAlignment="1" applyProtection="1">
      <alignment horizontal="center" vertical="center" wrapText="1" readingOrder="2"/>
      <protection locked="0"/>
    </xf>
    <xf numFmtId="0" fontId="3" fillId="0" borderId="16" xfId="0" applyFont="1" applyBorder="1" applyAlignment="1" applyProtection="1">
      <alignment horizontal="center" vertical="center" wrapText="1" readingOrder="2"/>
      <protection locked="0"/>
    </xf>
    <xf numFmtId="0" fontId="1" fillId="0" borderId="1" xfId="0" applyFont="1" applyBorder="1" applyAlignment="1" applyProtection="1">
      <alignment vertical="top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Border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23" xfId="0" applyFont="1" applyBorder="1" applyAlignment="1">
      <alignment horizontal="center" vertical="center" wrapText="1" readingOrder="2"/>
    </xf>
    <xf numFmtId="0" fontId="2" fillId="0" borderId="24" xfId="0" applyFont="1" applyBorder="1" applyAlignment="1">
      <alignment horizontal="center" vertical="center" wrapText="1" readingOrder="2"/>
    </xf>
    <xf numFmtId="0" fontId="2" fillId="0" borderId="25" xfId="0" applyFont="1" applyBorder="1" applyAlignment="1">
      <alignment horizontal="center" vertical="center" wrapText="1" readingOrder="2"/>
    </xf>
    <xf numFmtId="49" fontId="5" fillId="0" borderId="0" xfId="0" applyNumberFormat="1" applyFont="1" applyAlignment="1" applyProtection="1">
      <alignment horizontal="center" vertical="top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0" fontId="7" fillId="4" borderId="13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  <xf numFmtId="0" fontId="7" fillId="4" borderId="18" xfId="0" applyFont="1" applyFill="1" applyBorder="1" applyAlignment="1" applyProtection="1">
      <alignment horizontal="center" vertical="center" wrapText="1" readingOrder="2"/>
      <protection locked="0"/>
    </xf>
    <xf numFmtId="0" fontId="7" fillId="4" borderId="19" xfId="0" applyFont="1" applyFill="1" applyBorder="1" applyAlignment="1" applyProtection="1">
      <alignment horizontal="center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6" fillId="4" borderId="14" xfId="0" applyFont="1" applyFill="1" applyBorder="1" applyAlignment="1" applyProtection="1">
      <alignment horizontal="center" vertical="center" wrapText="1" readingOrder="2"/>
      <protection locked="0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0" fontId="6" fillId="4" borderId="20" xfId="0" applyFont="1" applyFill="1" applyBorder="1" applyAlignment="1" applyProtection="1">
      <alignment horizontal="center" vertical="center" wrapText="1" readingOrder="2"/>
      <protection locked="0"/>
    </xf>
  </cellXfs>
  <cellStyles count="1">
    <cellStyle name="Normal" xfId="0" builtinId="0"/>
  </cellStyles>
  <dxfs count="17">
    <dxf>
      <font>
        <color rgb="FFFF0000"/>
      </font>
    </dxf>
    <dxf>
      <font>
        <color theme="1"/>
      </font>
      <fill>
        <patternFill>
          <bgColor rgb="FF00B0F0"/>
        </patternFill>
      </fill>
    </dxf>
    <dxf>
      <fill>
        <patternFill>
          <bgColor rgb="FF00CC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ustomXml" Target="../ink/ink2.xml"/><Relationship Id="rId2" Type="http://schemas.openxmlformats.org/officeDocument/2006/relationships/image" Target="../media/image1.png"/><Relationship Id="rId1" Type="http://schemas.openxmlformats.org/officeDocument/2006/relationships/customXml" Target="../ink/ink1.xml"/><Relationship Id="rId6" Type="http://schemas.openxmlformats.org/officeDocument/2006/relationships/image" Target="../media/image3.png"/><Relationship Id="rId5" Type="http://schemas.openxmlformats.org/officeDocument/2006/relationships/customXml" Target="../ink/ink3.xml"/><Relationship Id="rId4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507674</xdr:colOff>
      <xdr:row>69</xdr:row>
      <xdr:rowOff>168348</xdr:rowOff>
    </xdr:from>
    <xdr:to>
      <xdr:col>9</xdr:col>
      <xdr:colOff>520274</xdr:colOff>
      <xdr:row>69</xdr:row>
      <xdr:rowOff>561108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DD98C334-9C61-416D-56F7-46FD77416650}"/>
                </a:ext>
              </a:extLst>
            </xdr14:cNvPr>
            <xdr14:cNvContentPartPr/>
          </xdr14:nvContentPartPr>
          <xdr14:nvPr macro=""/>
          <xdr14:xfrm>
            <a:off x="10398066545" y="27496440"/>
            <a:ext cx="12600" cy="3927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DD98C334-9C61-416D-56F7-46FD77416650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0398060425" y="27490320"/>
              <a:ext cx="24840" cy="405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92234</xdr:colOff>
      <xdr:row>69</xdr:row>
      <xdr:rowOff>143508</xdr:rowOff>
    </xdr:from>
    <xdr:to>
      <xdr:col>9</xdr:col>
      <xdr:colOff>612074</xdr:colOff>
      <xdr:row>69</xdr:row>
      <xdr:rowOff>620868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DA70B7F4-D70C-86F2-4300-B9742490A45B}"/>
                </a:ext>
              </a:extLst>
            </xdr14:cNvPr>
            <xdr14:cNvContentPartPr/>
          </xdr14:nvContentPartPr>
          <xdr14:nvPr macro=""/>
          <xdr14:xfrm>
            <a:off x="10397974745" y="27471600"/>
            <a:ext cx="519840" cy="47736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DA70B7F4-D70C-86F2-4300-B9742490A45B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0397968625" y="27465480"/>
              <a:ext cx="532080" cy="489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178644</xdr:colOff>
      <xdr:row>69</xdr:row>
      <xdr:rowOff>151068</xdr:rowOff>
    </xdr:from>
    <xdr:to>
      <xdr:col>9</xdr:col>
      <xdr:colOff>805034</xdr:colOff>
      <xdr:row>69</xdr:row>
      <xdr:rowOff>607548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">
          <xdr14:nvContentPartPr>
            <xdr14:cNvPr id="4" name="Ink 3">
              <a:extLst>
                <a:ext uri="{FF2B5EF4-FFF2-40B4-BE49-F238E27FC236}">
                  <a16:creationId xmlns:a16="http://schemas.microsoft.com/office/drawing/2014/main" id="{BCF18FAF-8A15-B3E4-D791-3760BBD08A1C}"/>
                </a:ext>
              </a:extLst>
            </xdr14:cNvPr>
            <xdr14:cNvContentPartPr/>
          </xdr14:nvContentPartPr>
          <xdr14:nvPr macro=""/>
          <xdr14:xfrm>
            <a:off x="10397781785" y="27479160"/>
            <a:ext cx="1284480" cy="456480"/>
          </xdr14:xfrm>
        </xdr:contentPart>
      </mc:Choice>
      <mc:Fallback xmlns="">
        <xdr:pic>
          <xdr:nvPicPr>
            <xdr:cNvPr id="4" name="Ink 3">
              <a:extLst>
                <a:ext uri="{FF2B5EF4-FFF2-40B4-BE49-F238E27FC236}">
                  <a16:creationId xmlns:a16="http://schemas.microsoft.com/office/drawing/2014/main" id="{BCF18FAF-8A15-B3E4-D791-3760BBD08A1C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10397775665" y="27473040"/>
              <a:ext cx="1296720" cy="46872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10-06T21:20:17.35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17 1,'0'0,"0"0,0 0,0 0,0 0,0 0,0 0,0 0,0 0,0 0,0 0,0 0,0 0,0 16,0-9,0 2,0 23,0-18,0 4,0 30,0-27,0 6,0 21,0-13,0 10,0 52,0-56,0 14,-17 25,17-45,0 10,0 3,0-20,0 8,0 12,0-19,0 7,0 12,0-27,0 6,17 5,-17-18,0 4,17-2,-17-9,0 2,0-9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10-06T21:20:18.48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1 134,'0'0,"0"0,0 0,0 0,0 0,0 0,0 0,14 0,-9 0,7-16,5 16,-15 0,10-16,22 0,-25 11,30 10,9-37,-34 22,20 4,14-11,-33 12,33 10,0-21,-34 12,20 8,14-4,-34 0,20 16,14 1,-33-13,4 8,29 36,-34-34,20 36,-3 14,-21-45,12 42,26 35,-34-66,-11 53,13 61,-13-100,-6 24,3 44,0-78,-16 13,-1 33,14-57,-9 34,-21 7,23-45,5-6,-28 3,23-11,-12 22,-9-11,21-11,-14 6,-7 5,21-11,-11-10,4-11,12 12,-21-8,-8-20,24 23,6-30,-13-9,12 34,-7-20,-3-30,11 45,8-10,-4-35,0 45,0-11,0-18,0 34,15-20,2 2,-12 22,21-12,8 6,-25 11,30-6,-8 11,-21 0,28 0,-7 16,-19-11,25 6,11 21,-34-23,5 14,13 9,-23-22,13 12,12 10,-25-22,-4 12,12 11,-12-24,21 14,-26 9,0-23,17-2,0 9,-15-11,10-10,-9 5,11 0,-14-32,0 22,17 4,-17-26,0 22,14-12,-14-11,0 24,17-14,-17-9,0 23,17-14,-17-9,0 23,14 2,3-9,-12 11,-10-6,22-5,-15 11,11 10,3-5,-11 0,7 0,3 0,-11 0,8 16,5 0,-14-11,9 6,21 21,-23-22,-5-4,12 26,-10-22,2 12,6-6,-10-11,7 22,5-10,-15-13,10 8,5 4,-12-11,7-10,-12 21,0-11,0-10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10-06T21:20:20.58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2187 0,'0'0,"0"0,0 0,0 0,0 0,0 0,0 0,0 0,0 0,0 0,0 0,0 0,0 0,0 0,0 0,0 17,0-1,0-14,0 28,0 2,0-27,0 38,0 5,0-41,0 50,0 23,0-68,0 88,-17 13,15-96,4 78,-2 1,0-81,0 66,0 0,0-69,0 56,0-4,0-54,17 12,-17 10,0-27,0 6,0 5,0-13,-17-6,15 3,4 0</inkml:trace>
  <inkml:trace contextRef="#ctx0" brushRef="#br0" timeOffset="1">2550 81,'0'0,"0"0,0 0,0 0,0 0,0 0,0 0,0 0,0 0,0 0,0 0,0 0,0 16,0 0,0-8,0 0,0 40,-7-31,-3-2,10 49,-7-22,0-4,7 42,-10-29,3-5,-9 66,9-61,0-6,7 67,-10-61,3-5,7 34,0-46,0-4,-17 34,17-47,0-2,17 17,-17-23,0-2,0 9,0-7,0-2,-12-7,7 0,5 0</inkml:trace>
  <inkml:trace contextRef="#ctx0" brushRef="#br0" timeOffset="2">2360 626,'0'0,"0"0,0 0,0 0,0 0,0 0,0 0,0 0,0 0,0 0,0 0,0 0,0 0,0 0,0 0,0 0,0 0,0 0,17 16,-3-16,-7 7,3 2,6 7,-2-9,3 2,14 7,-17-9,5 2,12 7,-17-16,3 0,-1 16,-1-16,1 0,0 0,-8 7,1 2,6-9,-8-6,2-4,7 10,-16-7,0-2,0-7,0 9,0-2,0-7,0 9,0-2,0-7,0 9,0-2,0-7,0 9,15 14,-15 0,0 2,17-9,-10 7,2 2,5 7,-7-9,3 2,21 7,-25-16,4 0,7 16,-3-9,3 2,-1-9,-2 0,3 0,0-16,-4 16,4 0,14-16,-23 2,0-4,24 2,-11 2,5-4,7-30,-14 27,9-6,20-21,-29 27,10-7,1-4,-16 12,3-8,30-4,-32 18,3-4,-4-14,1 25,4-2,-4-7,-9 9,3-2,3-3,-7 8,-5 20,-7-9,-3 2,10 7,-4-3,-7 6,-4-3,1-2,-6 4,6 30,1-34,-7 4,-11 30,13-27,-11 7,-18 4,18-12,-6 8,-43 4,38-19,-16 6,-21 13,31-19,-20 6,-60 13,72-25,-19 2,-70-9,89 7,-17 2,-72-9,77 0,-26 0,-50-16,71 16,-32 0,-69-16,113 16,-25 0,-58 0,81 0,-20 0,-47 0,81 0,-15 0,-33 16,48-16,-17 0,-30 0,60 7,-11 2,-19-9,38 0,-11 0,-25 0,40 0,-4 0,-21 16,32-16,-3 0,-30 0,36 0,-6 0,-14 0,18 0,-4 0,3 0,8 0,14 0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70"/>
  <sheetViews>
    <sheetView rightToLeft="1" tabSelected="1" view="pageBreakPreview" topLeftCell="A79" zoomScale="130" zoomScaleNormal="100" zoomScaleSheetLayoutView="130" workbookViewId="0">
      <selection activeCell="F2" sqref="F2:J2"/>
    </sheetView>
  </sheetViews>
  <sheetFormatPr defaultColWidth="9" defaultRowHeight="14.4" x14ac:dyDescent="0.3"/>
  <cols>
    <col min="1" max="1" width="5.109375" style="1" customWidth="1"/>
    <col min="2" max="2" width="12.109375" style="1" customWidth="1"/>
    <col min="3" max="3" width="9" style="1"/>
    <col min="4" max="4" width="28.109375" style="1" customWidth="1"/>
    <col min="5" max="7" width="9.33203125" style="1" customWidth="1"/>
    <col min="8" max="8" width="9.33203125" style="3" customWidth="1"/>
    <col min="9" max="9" width="9.33203125" style="1" customWidth="1"/>
    <col min="10" max="10" width="15.44140625" style="1" customWidth="1"/>
    <col min="11" max="16384" width="9" style="1"/>
  </cols>
  <sheetData>
    <row r="1" spans="1:10" ht="45" customHeight="1" x14ac:dyDescent="0.3">
      <c r="B1" s="74" t="s">
        <v>238</v>
      </c>
      <c r="C1" s="74"/>
      <c r="D1" s="74"/>
      <c r="E1" s="74"/>
      <c r="F1" s="74"/>
      <c r="G1" s="74"/>
      <c r="H1" s="74"/>
      <c r="I1" s="74"/>
      <c r="J1" s="74"/>
    </row>
    <row r="2" spans="1:10" ht="30" customHeight="1" x14ac:dyDescent="0.3">
      <c r="B2" s="15" t="s">
        <v>8</v>
      </c>
      <c r="C2" s="80" t="s">
        <v>31</v>
      </c>
      <c r="D2" s="80"/>
      <c r="E2" s="15" t="s">
        <v>7</v>
      </c>
      <c r="F2" s="75">
        <v>45931</v>
      </c>
      <c r="G2" s="75"/>
      <c r="H2" s="75"/>
      <c r="I2" s="75"/>
      <c r="J2" s="75"/>
    </row>
    <row r="3" spans="1:10" ht="30" customHeight="1" x14ac:dyDescent="0.3">
      <c r="B3" s="15" t="s">
        <v>9</v>
      </c>
      <c r="C3" s="80" t="s">
        <v>60</v>
      </c>
      <c r="D3" s="80"/>
      <c r="E3" s="15" t="s">
        <v>6</v>
      </c>
      <c r="F3" s="80" t="s">
        <v>138</v>
      </c>
      <c r="G3" s="80"/>
      <c r="H3" s="80"/>
      <c r="I3" s="80"/>
      <c r="J3" s="80"/>
    </row>
    <row r="4" spans="1:10" ht="30" customHeight="1" thickBot="1" x14ac:dyDescent="0.35">
      <c r="B4" s="6"/>
      <c r="C4" s="7"/>
      <c r="D4" s="7" t="s">
        <v>239</v>
      </c>
      <c r="E4" s="6"/>
      <c r="F4" s="7"/>
      <c r="G4" s="7"/>
      <c r="H4" s="8"/>
      <c r="I4" s="7"/>
      <c r="J4" s="7"/>
    </row>
    <row r="5" spans="1:10" ht="24.9" customHeight="1" x14ac:dyDescent="0.3">
      <c r="A5" s="13"/>
      <c r="B5" s="76" t="s">
        <v>0</v>
      </c>
      <c r="C5" s="77"/>
      <c r="D5" s="77"/>
      <c r="E5" s="85" t="s">
        <v>1</v>
      </c>
      <c r="F5" s="85"/>
      <c r="G5" s="85"/>
      <c r="H5" s="85"/>
      <c r="I5" s="85" t="s">
        <v>2</v>
      </c>
      <c r="J5" s="86"/>
    </row>
    <row r="6" spans="1:10" ht="24.9" customHeight="1" thickBot="1" x14ac:dyDescent="0.35">
      <c r="A6" s="13"/>
      <c r="B6" s="78"/>
      <c r="C6" s="79"/>
      <c r="D6" s="79"/>
      <c r="E6" s="14" t="s">
        <v>3</v>
      </c>
      <c r="F6" s="14" t="s">
        <v>4</v>
      </c>
      <c r="G6" s="14" t="s">
        <v>23</v>
      </c>
      <c r="H6" s="14" t="s">
        <v>24</v>
      </c>
      <c r="I6" s="87"/>
      <c r="J6" s="88"/>
    </row>
    <row r="7" spans="1:10" ht="24.9" customHeight="1" thickBot="1" x14ac:dyDescent="0.35">
      <c r="A7" s="13"/>
      <c r="B7" s="83" t="s">
        <v>21</v>
      </c>
      <c r="C7" s="84"/>
      <c r="D7" s="84"/>
      <c r="E7" s="34" t="s">
        <v>18</v>
      </c>
      <c r="F7" s="34" t="s">
        <v>19</v>
      </c>
      <c r="G7" s="34" t="s">
        <v>22</v>
      </c>
      <c r="H7" s="34" t="s">
        <v>20</v>
      </c>
      <c r="I7" s="89" t="s">
        <v>25</v>
      </c>
      <c r="J7" s="90"/>
    </row>
    <row r="8" spans="1:10" ht="30" customHeight="1" x14ac:dyDescent="0.3">
      <c r="A8" s="13"/>
      <c r="B8" s="49" t="s">
        <v>180</v>
      </c>
      <c r="C8" s="50"/>
      <c r="D8" s="50"/>
      <c r="E8" s="32"/>
      <c r="F8" s="38"/>
      <c r="G8" s="39"/>
      <c r="H8" s="40"/>
      <c r="I8" s="51"/>
      <c r="J8" s="52"/>
    </row>
    <row r="9" spans="1:10" ht="30" customHeight="1" x14ac:dyDescent="0.3">
      <c r="A9" s="13"/>
      <c r="B9" s="43" t="s">
        <v>186</v>
      </c>
      <c r="C9" s="44"/>
      <c r="D9" s="44"/>
      <c r="E9" s="12">
        <v>5</v>
      </c>
      <c r="F9" s="29">
        <v>3.75</v>
      </c>
      <c r="G9" s="36">
        <f>IFERROR(F9/E9,"")</f>
        <v>0.75</v>
      </c>
      <c r="H9" s="37" t="str">
        <f>_xlfn.IFS(F9="أدخل العلامة","",F9="لا ينطبق","تم الإلغاء",G9&gt;=90%,"ممتاز",G9&gt;=80%,"جيد جداً",G9&gt;=70%,"جيد",G9&gt;=60%,"مقبول",G9&lt;60%,"راسب")</f>
        <v>جيد</v>
      </c>
      <c r="I9" s="57"/>
      <c r="J9" s="58"/>
    </row>
    <row r="10" spans="1:10" ht="30" customHeight="1" x14ac:dyDescent="0.3">
      <c r="A10" s="13"/>
      <c r="B10" s="43" t="s">
        <v>187</v>
      </c>
      <c r="C10" s="44"/>
      <c r="D10" s="44"/>
      <c r="E10" s="12">
        <v>5</v>
      </c>
      <c r="F10" s="29">
        <v>3.5</v>
      </c>
      <c r="G10" s="36">
        <f t="shared" ref="G10:G65" si="0">IFERROR(F10/E10,"")</f>
        <v>0.7</v>
      </c>
      <c r="H10" s="37" t="str">
        <f t="shared" ref="H10:H65" si="1">_xlfn.IFS(F10="أدخل العلامة","",F10="لا ينطبق","تم الإلغاء",G10&gt;=90%,"ممتاز",G10&gt;=80%,"جيد جداً",G10&gt;=70%,"جيد",G10&gt;=60%,"مقبول",G10&lt;60%,"راسب")</f>
        <v>جيد</v>
      </c>
      <c r="I10" s="57"/>
      <c r="J10" s="58"/>
    </row>
    <row r="11" spans="1:10" ht="30" customHeight="1" x14ac:dyDescent="0.3">
      <c r="A11" s="13"/>
      <c r="B11" s="43" t="s">
        <v>188</v>
      </c>
      <c r="C11" s="44"/>
      <c r="D11" s="44"/>
      <c r="E11" s="12">
        <v>5</v>
      </c>
      <c r="F11" s="29">
        <v>3.75</v>
      </c>
      <c r="G11" s="36">
        <f t="shared" si="0"/>
        <v>0.75</v>
      </c>
      <c r="H11" s="37" t="str">
        <f t="shared" si="1"/>
        <v>جيد</v>
      </c>
      <c r="I11" s="57"/>
      <c r="J11" s="58"/>
    </row>
    <row r="12" spans="1:10" ht="30" customHeight="1" thickBot="1" x14ac:dyDescent="0.35">
      <c r="A12" s="13"/>
      <c r="B12" s="45" t="s">
        <v>189</v>
      </c>
      <c r="C12" s="46"/>
      <c r="D12" s="46"/>
      <c r="E12" s="33">
        <v>5</v>
      </c>
      <c r="F12" s="31">
        <v>3.75</v>
      </c>
      <c r="G12" s="41">
        <f t="shared" si="0"/>
        <v>0.75</v>
      </c>
      <c r="H12" s="42" t="str">
        <f t="shared" si="1"/>
        <v>جيد</v>
      </c>
      <c r="I12" s="59"/>
      <c r="J12" s="60"/>
    </row>
    <row r="13" spans="1:10" ht="30" customHeight="1" x14ac:dyDescent="0.3">
      <c r="A13" s="13"/>
      <c r="B13" s="49" t="s">
        <v>181</v>
      </c>
      <c r="C13" s="50"/>
      <c r="D13" s="50"/>
      <c r="E13" s="32"/>
      <c r="F13" s="38"/>
      <c r="G13" s="39"/>
      <c r="H13" s="40"/>
      <c r="I13" s="51"/>
      <c r="J13" s="52"/>
    </row>
    <row r="14" spans="1:10" ht="30" customHeight="1" x14ac:dyDescent="0.3">
      <c r="A14" s="13"/>
      <c r="B14" s="43" t="s">
        <v>190</v>
      </c>
      <c r="C14" s="44"/>
      <c r="D14" s="44"/>
      <c r="E14" s="12">
        <v>5</v>
      </c>
      <c r="F14" s="29">
        <v>3.75</v>
      </c>
      <c r="G14" s="36">
        <f t="shared" si="0"/>
        <v>0.75</v>
      </c>
      <c r="H14" s="37" t="str">
        <f t="shared" si="1"/>
        <v>جيد</v>
      </c>
      <c r="I14" s="57"/>
      <c r="J14" s="58"/>
    </row>
    <row r="15" spans="1:10" ht="30" customHeight="1" x14ac:dyDescent="0.3">
      <c r="A15" s="13"/>
      <c r="B15" s="43" t="s">
        <v>191</v>
      </c>
      <c r="C15" s="44"/>
      <c r="D15" s="44"/>
      <c r="E15" s="12">
        <v>5</v>
      </c>
      <c r="F15" s="29">
        <v>3.75</v>
      </c>
      <c r="G15" s="36">
        <f t="shared" si="0"/>
        <v>0.75</v>
      </c>
      <c r="H15" s="37" t="str">
        <f t="shared" si="1"/>
        <v>جيد</v>
      </c>
      <c r="I15" s="57"/>
      <c r="J15" s="58"/>
    </row>
    <row r="16" spans="1:10" ht="30" customHeight="1" x14ac:dyDescent="0.3">
      <c r="A16" s="13"/>
      <c r="B16" s="43" t="s">
        <v>192</v>
      </c>
      <c r="C16" s="44"/>
      <c r="D16" s="44"/>
      <c r="E16" s="12">
        <v>5</v>
      </c>
      <c r="F16" s="29">
        <v>3.75</v>
      </c>
      <c r="G16" s="36">
        <f t="shared" si="0"/>
        <v>0.75</v>
      </c>
      <c r="H16" s="37" t="str">
        <f t="shared" si="1"/>
        <v>جيد</v>
      </c>
      <c r="I16" s="57"/>
      <c r="J16" s="58"/>
    </row>
    <row r="17" spans="1:10" ht="30" customHeight="1" thickBot="1" x14ac:dyDescent="0.35">
      <c r="A17" s="13"/>
      <c r="B17" s="45" t="s">
        <v>193</v>
      </c>
      <c r="C17" s="46"/>
      <c r="D17" s="46"/>
      <c r="E17" s="33">
        <v>5</v>
      </c>
      <c r="F17" s="31">
        <v>3.75</v>
      </c>
      <c r="G17" s="41">
        <f t="shared" si="0"/>
        <v>0.75</v>
      </c>
      <c r="H17" s="42" t="str">
        <f t="shared" si="1"/>
        <v>جيد</v>
      </c>
      <c r="I17" s="59"/>
      <c r="J17" s="60"/>
    </row>
    <row r="18" spans="1:10" ht="30" customHeight="1" x14ac:dyDescent="0.3">
      <c r="A18" s="13"/>
      <c r="B18" s="49" t="s">
        <v>182</v>
      </c>
      <c r="C18" s="50"/>
      <c r="D18" s="50"/>
      <c r="E18" s="32"/>
      <c r="F18" s="38"/>
      <c r="G18" s="39"/>
      <c r="H18" s="40"/>
      <c r="I18" s="51"/>
      <c r="J18" s="52"/>
    </row>
    <row r="19" spans="1:10" ht="30" customHeight="1" x14ac:dyDescent="0.3">
      <c r="A19" s="13"/>
      <c r="B19" s="43" t="s">
        <v>194</v>
      </c>
      <c r="C19" s="44"/>
      <c r="D19" s="44"/>
      <c r="E19" s="12">
        <v>5</v>
      </c>
      <c r="F19" s="29">
        <v>3.75</v>
      </c>
      <c r="G19" s="36">
        <f t="shared" si="0"/>
        <v>0.75</v>
      </c>
      <c r="H19" s="37" t="str">
        <f t="shared" si="1"/>
        <v>جيد</v>
      </c>
      <c r="I19" s="57"/>
      <c r="J19" s="58"/>
    </row>
    <row r="20" spans="1:10" ht="30" customHeight="1" x14ac:dyDescent="0.3">
      <c r="A20" s="13"/>
      <c r="B20" s="43" t="s">
        <v>195</v>
      </c>
      <c r="C20" s="44"/>
      <c r="D20" s="44"/>
      <c r="E20" s="12">
        <v>5</v>
      </c>
      <c r="F20" s="29">
        <v>3.5</v>
      </c>
      <c r="G20" s="36">
        <f t="shared" si="0"/>
        <v>0.7</v>
      </c>
      <c r="H20" s="37" t="str">
        <f t="shared" si="1"/>
        <v>جيد</v>
      </c>
      <c r="I20" s="57"/>
      <c r="J20" s="58"/>
    </row>
    <row r="21" spans="1:10" ht="30" customHeight="1" x14ac:dyDescent="0.3">
      <c r="A21" s="13"/>
      <c r="B21" s="43" t="s">
        <v>196</v>
      </c>
      <c r="C21" s="44"/>
      <c r="D21" s="44"/>
      <c r="E21" s="12">
        <v>5</v>
      </c>
      <c r="F21" s="29">
        <v>3.5</v>
      </c>
      <c r="G21" s="36">
        <f t="shared" si="0"/>
        <v>0.7</v>
      </c>
      <c r="H21" s="37" t="str">
        <f t="shared" si="1"/>
        <v>جيد</v>
      </c>
      <c r="I21" s="57"/>
      <c r="J21" s="58"/>
    </row>
    <row r="22" spans="1:10" ht="30" customHeight="1" x14ac:dyDescent="0.3">
      <c r="A22" s="13"/>
      <c r="B22" s="43" t="s">
        <v>197</v>
      </c>
      <c r="C22" s="44"/>
      <c r="D22" s="44"/>
      <c r="E22" s="12">
        <v>5</v>
      </c>
      <c r="F22" s="29">
        <v>3.75</v>
      </c>
      <c r="G22" s="36">
        <f t="shared" si="0"/>
        <v>0.75</v>
      </c>
      <c r="H22" s="37" t="str">
        <f t="shared" si="1"/>
        <v>جيد</v>
      </c>
      <c r="I22" s="57"/>
      <c r="J22" s="58"/>
    </row>
    <row r="23" spans="1:10" ht="30" customHeight="1" x14ac:dyDescent="0.3">
      <c r="A23" s="13"/>
      <c r="B23" s="43" t="s">
        <v>198</v>
      </c>
      <c r="C23" s="44"/>
      <c r="D23" s="44"/>
      <c r="E23" s="12">
        <v>5</v>
      </c>
      <c r="F23" s="29">
        <v>3.75</v>
      </c>
      <c r="G23" s="36">
        <f t="shared" si="0"/>
        <v>0.75</v>
      </c>
      <c r="H23" s="37" t="str">
        <f t="shared" si="1"/>
        <v>جيد</v>
      </c>
      <c r="I23" s="57"/>
      <c r="J23" s="58"/>
    </row>
    <row r="24" spans="1:10" ht="39.9" customHeight="1" x14ac:dyDescent="0.3">
      <c r="A24" s="13"/>
      <c r="B24" s="43" t="s">
        <v>199</v>
      </c>
      <c r="C24" s="44"/>
      <c r="D24" s="44"/>
      <c r="E24" s="12">
        <v>5</v>
      </c>
      <c r="F24" s="29">
        <v>3.5</v>
      </c>
      <c r="G24" s="36">
        <f t="shared" si="0"/>
        <v>0.7</v>
      </c>
      <c r="H24" s="37" t="str">
        <f t="shared" si="1"/>
        <v>جيد</v>
      </c>
      <c r="I24" s="57"/>
      <c r="J24" s="58"/>
    </row>
    <row r="25" spans="1:10" ht="30" customHeight="1" x14ac:dyDescent="0.3">
      <c r="A25" s="13"/>
      <c r="B25" s="43" t="s">
        <v>200</v>
      </c>
      <c r="C25" s="44"/>
      <c r="D25" s="44"/>
      <c r="E25" s="12">
        <v>5</v>
      </c>
      <c r="F25" s="29">
        <v>3.75</v>
      </c>
      <c r="G25" s="36">
        <f t="shared" si="0"/>
        <v>0.75</v>
      </c>
      <c r="H25" s="37" t="str">
        <f t="shared" si="1"/>
        <v>جيد</v>
      </c>
      <c r="I25" s="57"/>
      <c r="J25" s="58"/>
    </row>
    <row r="26" spans="1:10" ht="30" customHeight="1" x14ac:dyDescent="0.3">
      <c r="A26" s="13"/>
      <c r="B26" s="43" t="s">
        <v>201</v>
      </c>
      <c r="C26" s="44"/>
      <c r="D26" s="44"/>
      <c r="E26" s="12">
        <v>5</v>
      </c>
      <c r="F26" s="29">
        <v>3.75</v>
      </c>
      <c r="G26" s="36">
        <f t="shared" si="0"/>
        <v>0.75</v>
      </c>
      <c r="H26" s="37" t="str">
        <f t="shared" si="1"/>
        <v>جيد</v>
      </c>
      <c r="I26" s="57"/>
      <c r="J26" s="58"/>
    </row>
    <row r="27" spans="1:10" ht="30" customHeight="1" x14ac:dyDescent="0.3">
      <c r="A27" s="13"/>
      <c r="B27" s="43" t="s">
        <v>202</v>
      </c>
      <c r="C27" s="44"/>
      <c r="D27" s="44"/>
      <c r="E27" s="12">
        <v>5</v>
      </c>
      <c r="F27" s="29">
        <v>3.75</v>
      </c>
      <c r="G27" s="36">
        <f t="shared" si="0"/>
        <v>0.75</v>
      </c>
      <c r="H27" s="37" t="str">
        <f t="shared" si="1"/>
        <v>جيد</v>
      </c>
      <c r="I27" s="57"/>
      <c r="J27" s="58"/>
    </row>
    <row r="28" spans="1:10" ht="30" customHeight="1" x14ac:dyDescent="0.3">
      <c r="A28" s="13"/>
      <c r="B28" s="43" t="s">
        <v>203</v>
      </c>
      <c r="C28" s="44"/>
      <c r="D28" s="44"/>
      <c r="E28" s="12">
        <v>5</v>
      </c>
      <c r="F28" s="29">
        <v>3.75</v>
      </c>
      <c r="G28" s="36">
        <f t="shared" si="0"/>
        <v>0.75</v>
      </c>
      <c r="H28" s="37" t="str">
        <f t="shared" si="1"/>
        <v>جيد</v>
      </c>
      <c r="I28" s="57"/>
      <c r="J28" s="58"/>
    </row>
    <row r="29" spans="1:10" ht="30" customHeight="1" thickBot="1" x14ac:dyDescent="0.35">
      <c r="A29" s="13"/>
      <c r="B29" s="45" t="s">
        <v>204</v>
      </c>
      <c r="C29" s="46"/>
      <c r="D29" s="46"/>
      <c r="E29" s="33">
        <v>5</v>
      </c>
      <c r="F29" s="31">
        <v>3.75</v>
      </c>
      <c r="G29" s="41">
        <f t="shared" si="0"/>
        <v>0.75</v>
      </c>
      <c r="H29" s="42" t="str">
        <f t="shared" si="1"/>
        <v>جيد</v>
      </c>
      <c r="I29" s="59"/>
      <c r="J29" s="60"/>
    </row>
    <row r="30" spans="1:10" ht="30" customHeight="1" x14ac:dyDescent="0.3">
      <c r="A30" s="13"/>
      <c r="B30" s="49" t="s">
        <v>183</v>
      </c>
      <c r="C30" s="50"/>
      <c r="D30" s="50"/>
      <c r="E30" s="32"/>
      <c r="F30" s="38"/>
      <c r="G30" s="39"/>
      <c r="H30" s="40"/>
      <c r="I30" s="51"/>
      <c r="J30" s="52"/>
    </row>
    <row r="31" spans="1:10" ht="30" customHeight="1" x14ac:dyDescent="0.3">
      <c r="A31" s="13"/>
      <c r="B31" s="43" t="s">
        <v>205</v>
      </c>
      <c r="C31" s="44"/>
      <c r="D31" s="44"/>
      <c r="E31" s="12">
        <v>5</v>
      </c>
      <c r="F31" s="29">
        <v>3.5</v>
      </c>
      <c r="G31" s="36">
        <f t="shared" si="0"/>
        <v>0.7</v>
      </c>
      <c r="H31" s="37" t="str">
        <f t="shared" si="1"/>
        <v>جيد</v>
      </c>
      <c r="I31" s="57"/>
      <c r="J31" s="58"/>
    </row>
    <row r="32" spans="1:10" ht="30" customHeight="1" x14ac:dyDescent="0.3">
      <c r="A32" s="13"/>
      <c r="B32" s="43" t="s">
        <v>206</v>
      </c>
      <c r="C32" s="44"/>
      <c r="D32" s="44"/>
      <c r="E32" s="12">
        <v>5</v>
      </c>
      <c r="F32" s="29">
        <v>3.5</v>
      </c>
      <c r="G32" s="36">
        <f t="shared" si="0"/>
        <v>0.7</v>
      </c>
      <c r="H32" s="37" t="str">
        <f t="shared" si="1"/>
        <v>جيد</v>
      </c>
      <c r="I32" s="57"/>
      <c r="J32" s="58"/>
    </row>
    <row r="33" spans="1:10" ht="39.9" customHeight="1" x14ac:dyDescent="0.3">
      <c r="A33" s="13"/>
      <c r="B33" s="43" t="s">
        <v>207</v>
      </c>
      <c r="C33" s="44"/>
      <c r="D33" s="44"/>
      <c r="E33" s="12">
        <v>5</v>
      </c>
      <c r="F33" s="29">
        <v>3.5</v>
      </c>
      <c r="G33" s="36">
        <f t="shared" si="0"/>
        <v>0.7</v>
      </c>
      <c r="H33" s="37" t="str">
        <f t="shared" si="1"/>
        <v>جيد</v>
      </c>
      <c r="I33" s="57"/>
      <c r="J33" s="58"/>
    </row>
    <row r="34" spans="1:10" ht="30" customHeight="1" x14ac:dyDescent="0.3">
      <c r="A34" s="13"/>
      <c r="B34" s="43" t="s">
        <v>208</v>
      </c>
      <c r="C34" s="44"/>
      <c r="D34" s="44"/>
      <c r="E34" s="12">
        <v>5</v>
      </c>
      <c r="F34" s="29">
        <v>3.5</v>
      </c>
      <c r="G34" s="36">
        <f t="shared" si="0"/>
        <v>0.7</v>
      </c>
      <c r="H34" s="37" t="str">
        <f t="shared" si="1"/>
        <v>جيد</v>
      </c>
      <c r="I34" s="57"/>
      <c r="J34" s="58"/>
    </row>
    <row r="35" spans="1:10" ht="30" customHeight="1" x14ac:dyDescent="0.3">
      <c r="A35" s="13"/>
      <c r="B35" s="43" t="s">
        <v>209</v>
      </c>
      <c r="C35" s="44"/>
      <c r="D35" s="44"/>
      <c r="E35" s="12">
        <v>5</v>
      </c>
      <c r="F35" s="29">
        <v>3.75</v>
      </c>
      <c r="G35" s="36">
        <f t="shared" si="0"/>
        <v>0.75</v>
      </c>
      <c r="H35" s="37" t="str">
        <f t="shared" si="1"/>
        <v>جيد</v>
      </c>
      <c r="I35" s="57"/>
      <c r="J35" s="58"/>
    </row>
    <row r="36" spans="1:10" ht="30" customHeight="1" x14ac:dyDescent="0.3">
      <c r="A36" s="13"/>
      <c r="B36" s="43" t="s">
        <v>210</v>
      </c>
      <c r="C36" s="44"/>
      <c r="D36" s="44"/>
      <c r="E36" s="12">
        <v>5</v>
      </c>
      <c r="F36" s="29">
        <v>3.5</v>
      </c>
      <c r="G36" s="36">
        <f t="shared" si="0"/>
        <v>0.7</v>
      </c>
      <c r="H36" s="37" t="str">
        <f t="shared" si="1"/>
        <v>جيد</v>
      </c>
      <c r="I36" s="57"/>
      <c r="J36" s="58"/>
    </row>
    <row r="37" spans="1:10" ht="30" customHeight="1" x14ac:dyDescent="0.3">
      <c r="A37" s="13"/>
      <c r="B37" s="43" t="s">
        <v>211</v>
      </c>
      <c r="C37" s="44"/>
      <c r="D37" s="44"/>
      <c r="E37" s="12">
        <v>5</v>
      </c>
      <c r="F37" s="29">
        <v>3.5</v>
      </c>
      <c r="G37" s="36">
        <f t="shared" si="0"/>
        <v>0.7</v>
      </c>
      <c r="H37" s="37" t="str">
        <f t="shared" si="1"/>
        <v>جيد</v>
      </c>
      <c r="I37" s="57"/>
      <c r="J37" s="58"/>
    </row>
    <row r="38" spans="1:10" ht="30" customHeight="1" x14ac:dyDescent="0.3">
      <c r="A38" s="13"/>
      <c r="B38" s="43" t="s">
        <v>212</v>
      </c>
      <c r="C38" s="44"/>
      <c r="D38" s="44"/>
      <c r="E38" s="12">
        <v>5</v>
      </c>
      <c r="F38" s="29">
        <v>3.5</v>
      </c>
      <c r="G38" s="36">
        <f t="shared" si="0"/>
        <v>0.7</v>
      </c>
      <c r="H38" s="37" t="str">
        <f t="shared" si="1"/>
        <v>جيد</v>
      </c>
      <c r="I38" s="57"/>
      <c r="J38" s="58"/>
    </row>
    <row r="39" spans="1:10" ht="30" customHeight="1" x14ac:dyDescent="0.3">
      <c r="A39" s="13"/>
      <c r="B39" s="43" t="s">
        <v>213</v>
      </c>
      <c r="C39" s="44"/>
      <c r="D39" s="44"/>
      <c r="E39" s="12">
        <v>5</v>
      </c>
      <c r="F39" s="29">
        <v>3.5</v>
      </c>
      <c r="G39" s="36">
        <f t="shared" si="0"/>
        <v>0.7</v>
      </c>
      <c r="H39" s="37" t="str">
        <f t="shared" si="1"/>
        <v>جيد</v>
      </c>
      <c r="I39" s="57"/>
      <c r="J39" s="58"/>
    </row>
    <row r="40" spans="1:10" ht="30" customHeight="1" x14ac:dyDescent="0.3">
      <c r="A40" s="13"/>
      <c r="B40" s="43" t="s">
        <v>214</v>
      </c>
      <c r="C40" s="44"/>
      <c r="D40" s="44"/>
      <c r="E40" s="12">
        <v>5</v>
      </c>
      <c r="F40" s="29">
        <v>3.5</v>
      </c>
      <c r="G40" s="36">
        <f t="shared" si="0"/>
        <v>0.7</v>
      </c>
      <c r="H40" s="37" t="str">
        <f t="shared" si="1"/>
        <v>جيد</v>
      </c>
      <c r="I40" s="57"/>
      <c r="J40" s="58"/>
    </row>
    <row r="41" spans="1:10" ht="30" customHeight="1" x14ac:dyDescent="0.3">
      <c r="A41" s="13"/>
      <c r="B41" s="43" t="s">
        <v>215</v>
      </c>
      <c r="C41" s="44"/>
      <c r="D41" s="44"/>
      <c r="E41" s="12">
        <v>5</v>
      </c>
      <c r="F41" s="29">
        <v>3.5</v>
      </c>
      <c r="G41" s="36">
        <f t="shared" si="0"/>
        <v>0.7</v>
      </c>
      <c r="H41" s="37" t="str">
        <f t="shared" si="1"/>
        <v>جيد</v>
      </c>
      <c r="I41" s="57"/>
      <c r="J41" s="58"/>
    </row>
    <row r="42" spans="1:10" ht="30" customHeight="1" x14ac:dyDescent="0.3">
      <c r="A42" s="13"/>
      <c r="B42" s="43" t="s">
        <v>216</v>
      </c>
      <c r="C42" s="44"/>
      <c r="D42" s="44"/>
      <c r="E42" s="12">
        <v>5</v>
      </c>
      <c r="F42" s="29">
        <v>3.5</v>
      </c>
      <c r="G42" s="36">
        <f t="shared" si="0"/>
        <v>0.7</v>
      </c>
      <c r="H42" s="37" t="str">
        <f t="shared" si="1"/>
        <v>جيد</v>
      </c>
      <c r="I42" s="57"/>
      <c r="J42" s="58"/>
    </row>
    <row r="43" spans="1:10" ht="30" customHeight="1" thickBot="1" x14ac:dyDescent="0.35">
      <c r="A43" s="13"/>
      <c r="B43" s="45" t="s">
        <v>217</v>
      </c>
      <c r="C43" s="46"/>
      <c r="D43" s="46"/>
      <c r="E43" s="33">
        <v>5</v>
      </c>
      <c r="F43" s="31">
        <v>3.5</v>
      </c>
      <c r="G43" s="41">
        <f t="shared" si="0"/>
        <v>0.7</v>
      </c>
      <c r="H43" s="42" t="str">
        <f t="shared" si="1"/>
        <v>جيد</v>
      </c>
      <c r="I43" s="59"/>
      <c r="J43" s="60"/>
    </row>
    <row r="44" spans="1:10" ht="30" customHeight="1" x14ac:dyDescent="0.3">
      <c r="A44" s="13"/>
      <c r="B44" s="49" t="s">
        <v>184</v>
      </c>
      <c r="C44" s="50"/>
      <c r="D44" s="50"/>
      <c r="E44" s="32"/>
      <c r="F44" s="38"/>
      <c r="G44" s="39"/>
      <c r="H44" s="40"/>
      <c r="I44" s="51"/>
      <c r="J44" s="52"/>
    </row>
    <row r="45" spans="1:10" ht="39.9" customHeight="1" x14ac:dyDescent="0.3">
      <c r="A45" s="13"/>
      <c r="B45" s="43" t="s">
        <v>218</v>
      </c>
      <c r="C45" s="44"/>
      <c r="D45" s="44"/>
      <c r="E45" s="12">
        <v>5</v>
      </c>
      <c r="F45" s="29">
        <v>3.75</v>
      </c>
      <c r="G45" s="36">
        <f t="shared" si="0"/>
        <v>0.75</v>
      </c>
      <c r="H45" s="37" t="str">
        <f t="shared" si="1"/>
        <v>جيد</v>
      </c>
      <c r="I45" s="57"/>
      <c r="J45" s="58"/>
    </row>
    <row r="46" spans="1:10" ht="39.9" customHeight="1" x14ac:dyDescent="0.3">
      <c r="A46" s="13"/>
      <c r="B46" s="43" t="s">
        <v>219</v>
      </c>
      <c r="C46" s="44"/>
      <c r="D46" s="44"/>
      <c r="E46" s="12">
        <v>5</v>
      </c>
      <c r="F46" s="29">
        <v>3.75</v>
      </c>
      <c r="G46" s="36">
        <f t="shared" si="0"/>
        <v>0.75</v>
      </c>
      <c r="H46" s="37" t="str">
        <f t="shared" si="1"/>
        <v>جيد</v>
      </c>
      <c r="I46" s="57"/>
      <c r="J46" s="58"/>
    </row>
    <row r="47" spans="1:10" ht="30" customHeight="1" x14ac:dyDescent="0.3">
      <c r="A47" s="13"/>
      <c r="B47" s="43" t="s">
        <v>220</v>
      </c>
      <c r="C47" s="44"/>
      <c r="D47" s="44"/>
      <c r="E47" s="12">
        <v>5</v>
      </c>
      <c r="F47" s="29">
        <v>3.75</v>
      </c>
      <c r="G47" s="36">
        <f t="shared" si="0"/>
        <v>0.75</v>
      </c>
      <c r="H47" s="37" t="str">
        <f t="shared" si="1"/>
        <v>جيد</v>
      </c>
      <c r="I47" s="57"/>
      <c r="J47" s="58"/>
    </row>
    <row r="48" spans="1:10" ht="30" customHeight="1" x14ac:dyDescent="0.3">
      <c r="A48" s="13"/>
      <c r="B48" s="43" t="s">
        <v>221</v>
      </c>
      <c r="C48" s="44"/>
      <c r="D48" s="44"/>
      <c r="E48" s="12">
        <v>5</v>
      </c>
      <c r="F48" s="29">
        <v>3.75</v>
      </c>
      <c r="G48" s="36">
        <f t="shared" si="0"/>
        <v>0.75</v>
      </c>
      <c r="H48" s="37" t="str">
        <f t="shared" si="1"/>
        <v>جيد</v>
      </c>
      <c r="I48" s="57"/>
      <c r="J48" s="58"/>
    </row>
    <row r="49" spans="1:10" ht="30" customHeight="1" x14ac:dyDescent="0.3">
      <c r="A49" s="13"/>
      <c r="B49" s="43" t="s">
        <v>222</v>
      </c>
      <c r="C49" s="44"/>
      <c r="D49" s="44"/>
      <c r="E49" s="12">
        <v>5</v>
      </c>
      <c r="F49" s="29">
        <v>3.75</v>
      </c>
      <c r="G49" s="36">
        <f t="shared" si="0"/>
        <v>0.75</v>
      </c>
      <c r="H49" s="37" t="str">
        <f t="shared" si="1"/>
        <v>جيد</v>
      </c>
      <c r="I49" s="57"/>
      <c r="J49" s="58"/>
    </row>
    <row r="50" spans="1:10" ht="30" customHeight="1" x14ac:dyDescent="0.3">
      <c r="A50" s="13"/>
      <c r="B50" s="43" t="s">
        <v>223</v>
      </c>
      <c r="C50" s="44"/>
      <c r="D50" s="44"/>
      <c r="E50" s="12">
        <v>5</v>
      </c>
      <c r="F50" s="29">
        <v>3.75</v>
      </c>
      <c r="G50" s="36">
        <f t="shared" si="0"/>
        <v>0.75</v>
      </c>
      <c r="H50" s="37" t="str">
        <f t="shared" si="1"/>
        <v>جيد</v>
      </c>
      <c r="I50" s="57"/>
      <c r="J50" s="58"/>
    </row>
    <row r="51" spans="1:10" ht="30" customHeight="1" x14ac:dyDescent="0.3">
      <c r="A51" s="13"/>
      <c r="B51" s="43" t="s">
        <v>224</v>
      </c>
      <c r="C51" s="44"/>
      <c r="D51" s="44"/>
      <c r="E51" s="12">
        <v>5</v>
      </c>
      <c r="F51" s="29">
        <v>3.75</v>
      </c>
      <c r="G51" s="36">
        <f t="shared" si="0"/>
        <v>0.75</v>
      </c>
      <c r="H51" s="37" t="str">
        <f t="shared" si="1"/>
        <v>جيد</v>
      </c>
      <c r="I51" s="57"/>
      <c r="J51" s="58"/>
    </row>
    <row r="52" spans="1:10" ht="30" customHeight="1" x14ac:dyDescent="0.3">
      <c r="A52" s="13"/>
      <c r="B52" s="43" t="s">
        <v>225</v>
      </c>
      <c r="C52" s="44"/>
      <c r="D52" s="44"/>
      <c r="E52" s="12">
        <v>5</v>
      </c>
      <c r="F52" s="29">
        <v>3.75</v>
      </c>
      <c r="G52" s="36">
        <f t="shared" si="0"/>
        <v>0.75</v>
      </c>
      <c r="H52" s="37" t="str">
        <f t="shared" si="1"/>
        <v>جيد</v>
      </c>
      <c r="I52" s="57"/>
      <c r="J52" s="58"/>
    </row>
    <row r="53" spans="1:10" ht="39.9" customHeight="1" x14ac:dyDescent="0.3">
      <c r="A53" s="13"/>
      <c r="B53" s="43" t="s">
        <v>226</v>
      </c>
      <c r="C53" s="44"/>
      <c r="D53" s="44"/>
      <c r="E53" s="12">
        <v>5</v>
      </c>
      <c r="F53" s="29">
        <v>3.75</v>
      </c>
      <c r="G53" s="36">
        <f t="shared" si="0"/>
        <v>0.75</v>
      </c>
      <c r="H53" s="37" t="str">
        <f t="shared" si="1"/>
        <v>جيد</v>
      </c>
      <c r="I53" s="57"/>
      <c r="J53" s="58"/>
    </row>
    <row r="54" spans="1:10" ht="30" customHeight="1" x14ac:dyDescent="0.3">
      <c r="A54" s="13"/>
      <c r="B54" s="43" t="s">
        <v>227</v>
      </c>
      <c r="C54" s="44"/>
      <c r="D54" s="44"/>
      <c r="E54" s="12">
        <v>5</v>
      </c>
      <c r="F54" s="29">
        <v>3.75</v>
      </c>
      <c r="G54" s="36">
        <f t="shared" si="0"/>
        <v>0.75</v>
      </c>
      <c r="H54" s="37" t="str">
        <f t="shared" si="1"/>
        <v>جيد</v>
      </c>
      <c r="I54" s="57"/>
      <c r="J54" s="58"/>
    </row>
    <row r="55" spans="1:10" ht="30" customHeight="1" x14ac:dyDescent="0.3">
      <c r="A55" s="13"/>
      <c r="B55" s="43" t="s">
        <v>228</v>
      </c>
      <c r="C55" s="44"/>
      <c r="D55" s="44"/>
      <c r="E55" s="12">
        <v>5</v>
      </c>
      <c r="F55" s="29">
        <v>3.75</v>
      </c>
      <c r="G55" s="36">
        <f t="shared" si="0"/>
        <v>0.75</v>
      </c>
      <c r="H55" s="37" t="str">
        <f t="shared" si="1"/>
        <v>جيد</v>
      </c>
      <c r="I55" s="57"/>
      <c r="J55" s="58"/>
    </row>
    <row r="56" spans="1:10" ht="39.9" customHeight="1" x14ac:dyDescent="0.3">
      <c r="A56" s="13"/>
      <c r="B56" s="43" t="s">
        <v>229</v>
      </c>
      <c r="C56" s="44"/>
      <c r="D56" s="44"/>
      <c r="E56" s="12">
        <v>5</v>
      </c>
      <c r="F56" s="29">
        <v>3.75</v>
      </c>
      <c r="G56" s="36">
        <f t="shared" si="0"/>
        <v>0.75</v>
      </c>
      <c r="H56" s="37" t="str">
        <f t="shared" si="1"/>
        <v>جيد</v>
      </c>
      <c r="I56" s="57"/>
      <c r="J56" s="58"/>
    </row>
    <row r="57" spans="1:10" ht="30" customHeight="1" thickBot="1" x14ac:dyDescent="0.35">
      <c r="A57" s="13"/>
      <c r="B57" s="45" t="s">
        <v>230</v>
      </c>
      <c r="C57" s="46"/>
      <c r="D57" s="46"/>
      <c r="E57" s="33">
        <v>5</v>
      </c>
      <c r="F57" s="31">
        <v>3.75</v>
      </c>
      <c r="G57" s="41">
        <f t="shared" si="0"/>
        <v>0.75</v>
      </c>
      <c r="H57" s="42" t="str">
        <f t="shared" si="1"/>
        <v>جيد</v>
      </c>
      <c r="I57" s="59"/>
      <c r="J57" s="60"/>
    </row>
    <row r="58" spans="1:10" ht="30" customHeight="1" x14ac:dyDescent="0.3">
      <c r="A58" s="13"/>
      <c r="B58" s="47" t="s">
        <v>185</v>
      </c>
      <c r="C58" s="48"/>
      <c r="D58" s="48"/>
      <c r="E58" s="10"/>
      <c r="F58" s="30"/>
      <c r="G58" s="11"/>
      <c r="H58" s="9"/>
      <c r="I58" s="61"/>
      <c r="J58" s="62"/>
    </row>
    <row r="59" spans="1:10" ht="30" customHeight="1" x14ac:dyDescent="0.3">
      <c r="A59" s="13"/>
      <c r="B59" s="43" t="s">
        <v>231</v>
      </c>
      <c r="C59" s="44"/>
      <c r="D59" s="44"/>
      <c r="E59" s="12">
        <v>5</v>
      </c>
      <c r="F59" s="29">
        <v>3.75</v>
      </c>
      <c r="G59" s="36">
        <f t="shared" si="0"/>
        <v>0.75</v>
      </c>
      <c r="H59" s="37" t="str">
        <f t="shared" si="1"/>
        <v>جيد</v>
      </c>
      <c r="I59" s="57"/>
      <c r="J59" s="58"/>
    </row>
    <row r="60" spans="1:10" ht="39.9" customHeight="1" x14ac:dyDescent="0.3">
      <c r="A60" s="13"/>
      <c r="B60" s="43" t="s">
        <v>232</v>
      </c>
      <c r="C60" s="44"/>
      <c r="D60" s="44"/>
      <c r="E60" s="12">
        <v>5</v>
      </c>
      <c r="F60" s="29">
        <v>3.75</v>
      </c>
      <c r="G60" s="36">
        <f t="shared" si="0"/>
        <v>0.75</v>
      </c>
      <c r="H60" s="37" t="str">
        <f t="shared" si="1"/>
        <v>جيد</v>
      </c>
      <c r="I60" s="57"/>
      <c r="J60" s="58"/>
    </row>
    <row r="61" spans="1:10" ht="30" customHeight="1" x14ac:dyDescent="0.3">
      <c r="A61" s="13"/>
      <c r="B61" s="43" t="s">
        <v>233</v>
      </c>
      <c r="C61" s="44"/>
      <c r="D61" s="44"/>
      <c r="E61" s="12">
        <v>5</v>
      </c>
      <c r="F61" s="29">
        <v>3.5</v>
      </c>
      <c r="G61" s="36">
        <f t="shared" si="0"/>
        <v>0.7</v>
      </c>
      <c r="H61" s="37" t="str">
        <f t="shared" si="1"/>
        <v>جيد</v>
      </c>
      <c r="I61" s="57"/>
      <c r="J61" s="58"/>
    </row>
    <row r="62" spans="1:10" ht="30" customHeight="1" x14ac:dyDescent="0.3">
      <c r="A62" s="13"/>
      <c r="B62" s="43" t="s">
        <v>234</v>
      </c>
      <c r="C62" s="44"/>
      <c r="D62" s="44"/>
      <c r="E62" s="12">
        <v>5</v>
      </c>
      <c r="F62" s="29">
        <v>3.75</v>
      </c>
      <c r="G62" s="36">
        <f t="shared" si="0"/>
        <v>0.75</v>
      </c>
      <c r="H62" s="37" t="str">
        <f t="shared" si="1"/>
        <v>جيد</v>
      </c>
      <c r="I62" s="57"/>
      <c r="J62" s="58"/>
    </row>
    <row r="63" spans="1:10" ht="30" customHeight="1" x14ac:dyDescent="0.3">
      <c r="A63" s="13"/>
      <c r="B63" s="43" t="s">
        <v>235</v>
      </c>
      <c r="C63" s="44"/>
      <c r="D63" s="44"/>
      <c r="E63" s="12">
        <v>5</v>
      </c>
      <c r="F63" s="29">
        <v>3.75</v>
      </c>
      <c r="G63" s="36">
        <f t="shared" si="0"/>
        <v>0.75</v>
      </c>
      <c r="H63" s="37" t="str">
        <f t="shared" si="1"/>
        <v>جيد</v>
      </c>
      <c r="I63" s="57"/>
      <c r="J63" s="58"/>
    </row>
    <row r="64" spans="1:10" ht="30" customHeight="1" x14ac:dyDescent="0.3">
      <c r="A64" s="13"/>
      <c r="B64" s="43" t="s">
        <v>236</v>
      </c>
      <c r="C64" s="44"/>
      <c r="D64" s="44"/>
      <c r="E64" s="12">
        <v>5</v>
      </c>
      <c r="F64" s="29">
        <v>3.5</v>
      </c>
      <c r="G64" s="36">
        <f t="shared" si="0"/>
        <v>0.7</v>
      </c>
      <c r="H64" s="37" t="str">
        <f t="shared" si="1"/>
        <v>جيد</v>
      </c>
      <c r="I64" s="57"/>
      <c r="J64" s="58"/>
    </row>
    <row r="65" spans="1:10" ht="30" customHeight="1" thickBot="1" x14ac:dyDescent="0.35">
      <c r="A65" s="13"/>
      <c r="B65" s="45" t="s">
        <v>237</v>
      </c>
      <c r="C65" s="46"/>
      <c r="D65" s="46"/>
      <c r="E65" s="33">
        <v>5</v>
      </c>
      <c r="F65" s="31">
        <v>3.5</v>
      </c>
      <c r="G65" s="41">
        <f t="shared" si="0"/>
        <v>0.7</v>
      </c>
      <c r="H65" s="42" t="str">
        <f t="shared" si="1"/>
        <v>جيد</v>
      </c>
      <c r="I65" s="59"/>
      <c r="J65" s="60"/>
    </row>
    <row r="66" spans="1:10" ht="30" customHeight="1" thickBot="1" x14ac:dyDescent="0.35">
      <c r="A66" s="4"/>
      <c r="B66" s="53" t="s">
        <v>5</v>
      </c>
      <c r="C66" s="54"/>
      <c r="D66" s="54"/>
      <c r="E66" s="35">
        <f>SUM(E8:E65)</f>
        <v>260</v>
      </c>
      <c r="F66" s="35">
        <f>SUM(F8:F65)</f>
        <v>190.25</v>
      </c>
      <c r="G66" s="71"/>
      <c r="H66" s="72"/>
      <c r="I66" s="72"/>
      <c r="J66" s="73"/>
    </row>
    <row r="67" spans="1:10" ht="30" customHeight="1" thickBot="1" x14ac:dyDescent="0.35">
      <c r="A67" s="4"/>
      <c r="B67" s="55" t="s">
        <v>54</v>
      </c>
      <c r="C67" s="56"/>
      <c r="D67" s="56"/>
      <c r="E67" s="81">
        <f>F66/E66/100*100</f>
        <v>0.73173076923076918</v>
      </c>
      <c r="F67" s="81"/>
      <c r="G67" s="81"/>
      <c r="H67" s="81"/>
      <c r="I67" s="81"/>
      <c r="J67" s="82"/>
    </row>
    <row r="68" spans="1:10" ht="30" customHeight="1" thickBot="1" x14ac:dyDescent="0.35">
      <c r="A68" s="4"/>
      <c r="B68" s="55" t="s">
        <v>55</v>
      </c>
      <c r="C68" s="56"/>
      <c r="D68" s="56"/>
      <c r="E68" s="67" t="str">
        <f>_xlfn.IFS(E67&gt;=90%,"ممتاز",E67&gt;=80%,"جيد جداً",E67&gt;=70%,"جيد",E67&gt;=60%,"مقبول",E67&lt;60%,"راسب")</f>
        <v>جيد</v>
      </c>
      <c r="F68" s="67"/>
      <c r="G68" s="67"/>
      <c r="H68" s="67"/>
      <c r="I68" s="67"/>
      <c r="J68" s="68"/>
    </row>
    <row r="69" spans="1:10" ht="42" customHeight="1" x14ac:dyDescent="0.3">
      <c r="B69" s="63" t="s">
        <v>174</v>
      </c>
      <c r="C69" s="63"/>
      <c r="D69" s="63"/>
      <c r="E69" s="69" t="s">
        <v>52</v>
      </c>
      <c r="F69" s="69"/>
      <c r="G69" s="65" t="s">
        <v>138</v>
      </c>
      <c r="H69" s="65"/>
      <c r="I69" s="65"/>
      <c r="J69" s="65"/>
    </row>
    <row r="70" spans="1:10" ht="51" customHeight="1" x14ac:dyDescent="0.3">
      <c r="A70" s="5"/>
      <c r="B70" s="64"/>
      <c r="C70" s="64"/>
      <c r="D70" s="64"/>
      <c r="E70" s="70" t="s">
        <v>53</v>
      </c>
      <c r="F70" s="70"/>
      <c r="G70" s="66"/>
      <c r="H70" s="66"/>
      <c r="I70" s="66"/>
      <c r="J70" s="66"/>
    </row>
  </sheetData>
  <sheetProtection sheet="1" formatCells="0" formatColumns="0" formatRows="0" insertColumns="0" insertRows="0" insertHyperlinks="0" deleteColumns="0" deleteRows="0" selectLockedCells="1" sort="0" autoFilter="0" pivotTables="0"/>
  <mergeCells count="137">
    <mergeCell ref="I63:J63"/>
    <mergeCell ref="I64:J64"/>
    <mergeCell ref="I65:J65"/>
    <mergeCell ref="E69:F69"/>
    <mergeCell ref="E70:F70"/>
    <mergeCell ref="G66:J66"/>
    <mergeCell ref="I9:J9"/>
    <mergeCell ref="B1:J1"/>
    <mergeCell ref="F2:J2"/>
    <mergeCell ref="B5:D6"/>
    <mergeCell ref="C2:D2"/>
    <mergeCell ref="C3:D3"/>
    <mergeCell ref="F3:J3"/>
    <mergeCell ref="E67:J67"/>
    <mergeCell ref="B7:D7"/>
    <mergeCell ref="I38:J38"/>
    <mergeCell ref="I39:J39"/>
    <mergeCell ref="I30:J30"/>
    <mergeCell ref="I31:J31"/>
    <mergeCell ref="E5:H5"/>
    <mergeCell ref="I37:J37"/>
    <mergeCell ref="I5:J6"/>
    <mergeCell ref="I7:J7"/>
    <mergeCell ref="I10:J10"/>
    <mergeCell ref="I19:J19"/>
    <mergeCell ref="I20:J20"/>
    <mergeCell ref="I21:J21"/>
    <mergeCell ref="I22:J22"/>
    <mergeCell ref="I23:J23"/>
    <mergeCell ref="I24:J24"/>
    <mergeCell ref="I25:J25"/>
    <mergeCell ref="B69:D70"/>
    <mergeCell ref="G69:J69"/>
    <mergeCell ref="G70:J70"/>
    <mergeCell ref="E68:J68"/>
    <mergeCell ref="I40:J40"/>
    <mergeCell ref="I41:J41"/>
    <mergeCell ref="I42:J42"/>
    <mergeCell ref="I43:J43"/>
    <mergeCell ref="I44:J44"/>
    <mergeCell ref="I49:J49"/>
    <mergeCell ref="I50:J50"/>
    <mergeCell ref="I51:J51"/>
    <mergeCell ref="I52:J52"/>
    <mergeCell ref="I53:J53"/>
    <mergeCell ref="I54:J54"/>
    <mergeCell ref="I55:J55"/>
    <mergeCell ref="I56:J56"/>
    <mergeCell ref="I57:J57"/>
    <mergeCell ref="I58:J58"/>
    <mergeCell ref="I45:J45"/>
    <mergeCell ref="I46:J46"/>
    <mergeCell ref="I47:J47"/>
    <mergeCell ref="I48:J48"/>
    <mergeCell ref="I62:J62"/>
    <mergeCell ref="I32:J32"/>
    <mergeCell ref="I33:J33"/>
    <mergeCell ref="I34:J34"/>
    <mergeCell ref="I35:J35"/>
    <mergeCell ref="I36:J36"/>
    <mergeCell ref="I8:J8"/>
    <mergeCell ref="B66:D66"/>
    <mergeCell ref="B67:D67"/>
    <mergeCell ref="B68:D68"/>
    <mergeCell ref="I11:J11"/>
    <mergeCell ref="I12:J12"/>
    <mergeCell ref="I13:J13"/>
    <mergeCell ref="I14:J14"/>
    <mergeCell ref="I15:J15"/>
    <mergeCell ref="I16:J16"/>
    <mergeCell ref="I17:J17"/>
    <mergeCell ref="I18:J18"/>
    <mergeCell ref="I28:J28"/>
    <mergeCell ref="I29:J29"/>
    <mergeCell ref="I59:J59"/>
    <mergeCell ref="I60:J60"/>
    <mergeCell ref="I61:J61"/>
    <mergeCell ref="I26:J26"/>
    <mergeCell ref="I27:J2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7:D37"/>
    <mergeCell ref="B38:D38"/>
    <mergeCell ref="B39:D39"/>
    <mergeCell ref="B40:D40"/>
    <mergeCell ref="B41:D41"/>
    <mergeCell ref="B42:D42"/>
    <mergeCell ref="B43:D43"/>
    <mergeCell ref="B44:D44"/>
    <mergeCell ref="B45:D45"/>
    <mergeCell ref="B46:D46"/>
    <mergeCell ref="B47:D47"/>
    <mergeCell ref="B48:D48"/>
    <mergeCell ref="B49:D49"/>
    <mergeCell ref="B50:D50"/>
    <mergeCell ref="B51:D51"/>
    <mergeCell ref="B52:D52"/>
    <mergeCell ref="B62:D62"/>
    <mergeCell ref="B63:D63"/>
    <mergeCell ref="B64:D64"/>
    <mergeCell ref="B65:D65"/>
    <mergeCell ref="B53:D53"/>
    <mergeCell ref="B54:D54"/>
    <mergeCell ref="B55:D55"/>
    <mergeCell ref="B56:D56"/>
    <mergeCell ref="B57:D57"/>
    <mergeCell ref="B58:D58"/>
    <mergeCell ref="B59:D59"/>
    <mergeCell ref="B60:D60"/>
    <mergeCell ref="B61:D61"/>
  </mergeCells>
  <conditionalFormatting sqref="C2:D2">
    <cfRule type="containsText" dxfId="16" priority="18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15" priority="17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E68">
    <cfRule type="expression" dxfId="14" priority="57">
      <formula>$E68="راسب"</formula>
    </cfRule>
  </conditionalFormatting>
  <conditionalFormatting sqref="E68:J68">
    <cfRule type="expression" dxfId="13" priority="60">
      <formula>$E68="جيد جداً"</formula>
    </cfRule>
    <cfRule type="expression" dxfId="12" priority="59">
      <formula>$E68="جيد"</formula>
    </cfRule>
    <cfRule type="expression" dxfId="11" priority="58">
      <formula>$E68="مقبول"</formula>
    </cfRule>
    <cfRule type="expression" dxfId="10" priority="61">
      <formula>$E68="ممتاز"</formula>
    </cfRule>
  </conditionalFormatting>
  <conditionalFormatting sqref="F8:F65">
    <cfRule type="containsText" dxfId="9" priority="4" operator="containsText" text="أدخل العلامة">
      <formula>NOT(ISERROR(SEARCH("أدخل العلامة",F8)))</formula>
    </cfRule>
  </conditionalFormatting>
  <conditionalFormatting sqref="F2:J2">
    <cfRule type="containsText" dxfId="8" priority="19" operator="containsText" text="أدخل التاريخ">
      <formula>NOT(ISERROR(SEARCH("أدخل التاريخ",F2)))</formula>
    </cfRule>
  </conditionalFormatting>
  <conditionalFormatting sqref="F3:J3">
    <cfRule type="containsText" dxfId="7" priority="16" operator="containsText" text="أدخل أسم المحكم">
      <formula>NOT(ISERROR(SEARCH("أدخل أسم المحكم",F3)))</formula>
    </cfRule>
  </conditionalFormatting>
  <conditionalFormatting sqref="G69:J69">
    <cfRule type="containsText" dxfId="6" priority="15" operator="containsText" text="أدخل اسم المحكم">
      <formula>NOT(ISERROR(SEARCH("أدخل اسم المحكم",G69)))</formula>
    </cfRule>
  </conditionalFormatting>
  <conditionalFormatting sqref="H8:H65">
    <cfRule type="containsText" dxfId="5" priority="10" operator="containsText" text="راسب">
      <formula>NOT(ISERROR(SEARCH("راسب",H8)))</formula>
    </cfRule>
    <cfRule type="containsText" dxfId="4" priority="9" operator="containsText" text="مقبول">
      <formula>NOT(ISERROR(SEARCH("مقبول",H8)))</formula>
    </cfRule>
    <cfRule type="containsText" dxfId="3" priority="8" operator="containsText" text="جيد">
      <formula>NOT(ISERROR(SEARCH("جيد",H8)))</formula>
    </cfRule>
    <cfRule type="containsText" dxfId="2" priority="7" operator="containsText" text="جيد جداً">
      <formula>NOT(ISERROR(SEARCH("جيد جداً",H8)))</formula>
    </cfRule>
    <cfRule type="containsText" dxfId="1" priority="6" operator="containsText" text="ممتاز">
      <formula>NOT(ISERROR(SEARCH("ممتاز",H8)))</formula>
    </cfRule>
    <cfRule type="containsText" dxfId="0" priority="5" operator="containsText" text="أدخل العلامة">
      <formula>NOT(ISERROR(SEARCH("أدخل العلامة",H8)))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74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F27846E5-4775-4613-AD3F-6A647663FDD7}">
          <x14:formula1>
            <xm:f>'بيانات التقييم'!$A$38:$A$106</xm:f>
          </x14:formula1>
          <xm:sqref>F2:J2</xm:sqref>
        </x14:dataValidation>
        <x14:dataValidation type="list" allowBlank="1" showInputMessage="1" showErrorMessage="1" xr:uid="{29F5EBBB-8CF0-4EBC-9568-49582573F3A1}">
          <x14:formula1>
            <xm:f>'بيانات التقييم'!$A$1:$A$34</xm:f>
          </x14:formula1>
          <xm:sqref>C2:D2</xm:sqref>
        </x14:dataValidation>
        <x14:dataValidation type="list" allowBlank="1" showInputMessage="1" showErrorMessage="1" xr:uid="{5A7ADC9F-6098-4415-8DD4-849A148D02E3}">
          <x14:formula1>
            <xm:f>'بيانات التقييم'!$A$111:$A$133</xm:f>
          </x14:formula1>
          <xm:sqref>F59:F65 F45:F57 F31:F43 F19:F29 F14:F17 F9:F12</xm:sqref>
        </x14:dataValidation>
        <x14:dataValidation type="list" allowBlank="1" showInputMessage="1" showErrorMessage="1" xr:uid="{BD8CB5A2-5F32-4EAD-A63C-382D3B90B847}">
          <x14:formula1>
            <xm:f>'بيانات التقييم'!$A$198:$A$286</xm:f>
          </x14:formula1>
          <xm:sqref>G69:J69 F3:J3</xm:sqref>
        </x14:dataValidation>
        <x14:dataValidation type="list" allowBlank="1" showInputMessage="1" showErrorMessage="1" xr:uid="{132078BB-599D-4F0E-87F8-5A950BE5625D}">
          <x14:formula1>
            <xm:f>'بيانات التقييم'!$C$1:$C$31</xm:f>
          </x14:formula1>
          <xm:sqref>C3:D3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38"/>
  <sheetViews>
    <sheetView rightToLeft="1" topLeftCell="A6" workbookViewId="0">
      <selection activeCell="C33" sqref="C33"/>
    </sheetView>
  </sheetViews>
  <sheetFormatPr defaultRowHeight="20.100000000000001" customHeight="1" x14ac:dyDescent="0.3"/>
  <cols>
    <col min="1" max="1" width="42.5546875" style="1" customWidth="1"/>
    <col min="2" max="2" width="24.88671875" style="1" customWidth="1"/>
    <col min="3" max="3" width="59.88671875" style="1" customWidth="1"/>
    <col min="4" max="9" width="9" style="1"/>
  </cols>
  <sheetData>
    <row r="1" spans="1:3" ht="20.100000000000001" customHeight="1" thickBot="1" x14ac:dyDescent="0.35">
      <c r="A1" s="2" t="s">
        <v>57</v>
      </c>
      <c r="C1" s="2" t="s">
        <v>60</v>
      </c>
    </row>
    <row r="2" spans="1:3" ht="20.100000000000001" customHeight="1" thickBot="1" x14ac:dyDescent="0.35">
      <c r="A2" s="2" t="s">
        <v>35</v>
      </c>
      <c r="C2" s="22" t="s">
        <v>62</v>
      </c>
    </row>
    <row r="3" spans="1:3" ht="20.100000000000001" customHeight="1" thickBot="1" x14ac:dyDescent="0.35">
      <c r="A3" s="2" t="s">
        <v>26</v>
      </c>
      <c r="C3" s="22" t="s">
        <v>63</v>
      </c>
    </row>
    <row r="4" spans="1:3" ht="20.100000000000001" customHeight="1" thickBot="1" x14ac:dyDescent="0.35">
      <c r="A4" s="2" t="s">
        <v>36</v>
      </c>
      <c r="C4" s="22" t="s">
        <v>64</v>
      </c>
    </row>
    <row r="5" spans="1:3" ht="20.100000000000001" customHeight="1" thickBot="1" x14ac:dyDescent="0.35">
      <c r="A5" s="2" t="s">
        <v>37</v>
      </c>
      <c r="C5" s="22" t="s">
        <v>65</v>
      </c>
    </row>
    <row r="6" spans="1:3" ht="20.100000000000001" customHeight="1" thickBot="1" x14ac:dyDescent="0.35">
      <c r="A6" s="2" t="s">
        <v>38</v>
      </c>
      <c r="C6" s="22" t="s">
        <v>66</v>
      </c>
    </row>
    <row r="7" spans="1:3" ht="20.100000000000001" customHeight="1" thickBot="1" x14ac:dyDescent="0.35">
      <c r="A7" s="2" t="s">
        <v>39</v>
      </c>
      <c r="C7" s="22" t="s">
        <v>67</v>
      </c>
    </row>
    <row r="8" spans="1:3" ht="20.100000000000001" customHeight="1" thickBot="1" x14ac:dyDescent="0.35">
      <c r="A8" s="2" t="s">
        <v>40</v>
      </c>
      <c r="C8" s="22" t="s">
        <v>68</v>
      </c>
    </row>
    <row r="9" spans="1:3" ht="20.100000000000001" customHeight="1" thickBot="1" x14ac:dyDescent="0.35">
      <c r="A9" s="2" t="s">
        <v>41</v>
      </c>
      <c r="C9" s="22" t="s">
        <v>69</v>
      </c>
    </row>
    <row r="10" spans="1:3" ht="20.100000000000001" customHeight="1" thickBot="1" x14ac:dyDescent="0.35">
      <c r="A10" s="2" t="s">
        <v>42</v>
      </c>
      <c r="C10" s="22" t="s">
        <v>70</v>
      </c>
    </row>
    <row r="11" spans="1:3" ht="20.100000000000001" customHeight="1" thickBot="1" x14ac:dyDescent="0.35">
      <c r="A11" s="2" t="s">
        <v>43</v>
      </c>
      <c r="C11" s="22" t="s">
        <v>71</v>
      </c>
    </row>
    <row r="12" spans="1:3" ht="20.100000000000001" customHeight="1" thickBot="1" x14ac:dyDescent="0.35">
      <c r="A12" s="2" t="s">
        <v>44</v>
      </c>
      <c r="C12" s="22" t="s">
        <v>72</v>
      </c>
    </row>
    <row r="13" spans="1:3" ht="20.100000000000001" customHeight="1" thickBot="1" x14ac:dyDescent="0.35">
      <c r="A13" s="2" t="s">
        <v>45</v>
      </c>
      <c r="C13" s="22" t="s">
        <v>73</v>
      </c>
    </row>
    <row r="14" spans="1:3" ht="20.100000000000001" customHeight="1" thickBot="1" x14ac:dyDescent="0.35">
      <c r="A14" s="2" t="s">
        <v>46</v>
      </c>
      <c r="C14" s="22" t="s">
        <v>74</v>
      </c>
    </row>
    <row r="15" spans="1:3" ht="20.100000000000001" customHeight="1" thickBot="1" x14ac:dyDescent="0.35">
      <c r="A15" s="2" t="s">
        <v>47</v>
      </c>
      <c r="C15" s="22" t="s">
        <v>75</v>
      </c>
    </row>
    <row r="16" spans="1:3" ht="20.100000000000001" customHeight="1" thickBot="1" x14ac:dyDescent="0.35">
      <c r="A16" s="2" t="s">
        <v>10</v>
      </c>
      <c r="C16" s="22" t="s">
        <v>76</v>
      </c>
    </row>
    <row r="17" spans="1:3" ht="20.100000000000001" customHeight="1" thickBot="1" x14ac:dyDescent="0.35">
      <c r="A17" s="2" t="s">
        <v>27</v>
      </c>
      <c r="C17" s="22" t="s">
        <v>77</v>
      </c>
    </row>
    <row r="18" spans="1:3" ht="20.100000000000001" customHeight="1" thickBot="1" x14ac:dyDescent="0.35">
      <c r="A18" s="2" t="s">
        <v>48</v>
      </c>
      <c r="C18" s="22" t="s">
        <v>78</v>
      </c>
    </row>
    <row r="19" spans="1:3" ht="20.100000000000001" customHeight="1" thickBot="1" x14ac:dyDescent="0.35">
      <c r="A19" s="2" t="s">
        <v>49</v>
      </c>
      <c r="C19" s="22" t="s">
        <v>79</v>
      </c>
    </row>
    <row r="20" spans="1:3" ht="20.100000000000001" customHeight="1" thickBot="1" x14ac:dyDescent="0.35">
      <c r="A20" s="2" t="s">
        <v>50</v>
      </c>
      <c r="C20" s="22" t="s">
        <v>80</v>
      </c>
    </row>
    <row r="21" spans="1:3" ht="20.100000000000001" customHeight="1" thickBot="1" x14ac:dyDescent="0.35">
      <c r="A21" s="2" t="s">
        <v>51</v>
      </c>
      <c r="C21" s="22" t="s">
        <v>81</v>
      </c>
    </row>
    <row r="22" spans="1:3" ht="20.100000000000001" customHeight="1" thickBot="1" x14ac:dyDescent="0.35">
      <c r="A22" s="2" t="s">
        <v>11</v>
      </c>
      <c r="C22" s="22" t="s">
        <v>82</v>
      </c>
    </row>
    <row r="23" spans="1:3" ht="20.100000000000001" customHeight="1" thickBot="1" x14ac:dyDescent="0.35">
      <c r="A23" s="2" t="s">
        <v>12</v>
      </c>
      <c r="C23" s="22" t="s">
        <v>83</v>
      </c>
    </row>
    <row r="24" spans="1:3" ht="20.100000000000001" customHeight="1" thickBot="1" x14ac:dyDescent="0.35">
      <c r="A24" s="2" t="s">
        <v>15</v>
      </c>
      <c r="C24" s="22" t="s">
        <v>84</v>
      </c>
    </row>
    <row r="25" spans="1:3" ht="20.100000000000001" customHeight="1" thickBot="1" x14ac:dyDescent="0.35">
      <c r="A25" s="2" t="s">
        <v>28</v>
      </c>
      <c r="C25" s="22" t="s">
        <v>85</v>
      </c>
    </row>
    <row r="26" spans="1:3" ht="20.100000000000001" customHeight="1" thickBot="1" x14ac:dyDescent="0.35">
      <c r="A26" s="2" t="s">
        <v>29</v>
      </c>
      <c r="C26" s="22" t="s">
        <v>86</v>
      </c>
    </row>
    <row r="27" spans="1:3" ht="20.100000000000001" customHeight="1" thickBot="1" x14ac:dyDescent="0.35">
      <c r="A27" s="2" t="s">
        <v>13</v>
      </c>
      <c r="C27" s="22" t="s">
        <v>87</v>
      </c>
    </row>
    <row r="28" spans="1:3" ht="20.100000000000001" customHeight="1" thickBot="1" x14ac:dyDescent="0.35">
      <c r="A28" s="2" t="s">
        <v>30</v>
      </c>
      <c r="C28" s="22" t="s">
        <v>88</v>
      </c>
    </row>
    <row r="29" spans="1:3" ht="20.100000000000001" customHeight="1" thickBot="1" x14ac:dyDescent="0.35">
      <c r="A29" s="2" t="s">
        <v>31</v>
      </c>
      <c r="C29" s="22" t="s">
        <v>177</v>
      </c>
    </row>
    <row r="30" spans="1:3" ht="20.100000000000001" customHeight="1" thickBot="1" x14ac:dyDescent="0.35">
      <c r="A30" s="2" t="s">
        <v>32</v>
      </c>
      <c r="C30" s="22" t="s">
        <v>178</v>
      </c>
    </row>
    <row r="31" spans="1:3" ht="20.100000000000001" customHeight="1" thickBot="1" x14ac:dyDescent="0.35">
      <c r="A31" s="2" t="s">
        <v>33</v>
      </c>
      <c r="C31" s="22" t="s">
        <v>179</v>
      </c>
    </row>
    <row r="32" spans="1:3" ht="20.100000000000001" customHeight="1" thickBot="1" x14ac:dyDescent="0.35">
      <c r="A32" s="2" t="s">
        <v>16</v>
      </c>
      <c r="C32" s="22"/>
    </row>
    <row r="33" spans="1:9" ht="20.100000000000001" customHeight="1" thickBot="1" x14ac:dyDescent="0.35">
      <c r="A33" s="2" t="s">
        <v>14</v>
      </c>
      <c r="C33" s="22"/>
    </row>
    <row r="34" spans="1:9" ht="20.100000000000001" customHeight="1" thickBot="1" x14ac:dyDescent="0.35">
      <c r="A34" s="2" t="s">
        <v>34</v>
      </c>
      <c r="C34" s="22"/>
    </row>
    <row r="35" spans="1:9" ht="20.100000000000001" customHeight="1" x14ac:dyDescent="0.3">
      <c r="A35" s="21"/>
    </row>
    <row r="36" spans="1:9" s="20" customFormat="1" ht="20.100000000000001" customHeight="1" x14ac:dyDescent="0.3">
      <c r="A36" s="18"/>
      <c r="B36" s="19"/>
      <c r="C36" s="19"/>
      <c r="D36" s="19"/>
      <c r="E36" s="19"/>
      <c r="F36" s="19"/>
      <c r="G36" s="19"/>
      <c r="H36" s="19"/>
      <c r="I36" s="19"/>
    </row>
    <row r="37" spans="1:9" ht="20.100000000000001" customHeight="1" thickBot="1" x14ac:dyDescent="0.35"/>
    <row r="38" spans="1:9" ht="20.100000000000001" customHeight="1" thickBot="1" x14ac:dyDescent="0.35">
      <c r="A38" s="2" t="s">
        <v>56</v>
      </c>
    </row>
    <row r="39" spans="1:9" ht="20.100000000000001" customHeight="1" thickBot="1" x14ac:dyDescent="0.35">
      <c r="A39" s="16">
        <v>45901</v>
      </c>
    </row>
    <row r="40" spans="1:9" ht="20.100000000000001" customHeight="1" thickBot="1" x14ac:dyDescent="0.35">
      <c r="A40" s="16">
        <v>45902</v>
      </c>
    </row>
    <row r="41" spans="1:9" ht="20.100000000000001" customHeight="1" thickBot="1" x14ac:dyDescent="0.35">
      <c r="A41" s="16">
        <v>45903</v>
      </c>
    </row>
    <row r="42" spans="1:9" ht="20.100000000000001" customHeight="1" thickBot="1" x14ac:dyDescent="0.35">
      <c r="A42" s="16">
        <v>45904</v>
      </c>
    </row>
    <row r="43" spans="1:9" ht="20.100000000000001" customHeight="1" thickBot="1" x14ac:dyDescent="0.35">
      <c r="A43" s="16">
        <v>45905</v>
      </c>
    </row>
    <row r="44" spans="1:9" ht="20.100000000000001" customHeight="1" thickBot="1" x14ac:dyDescent="0.35">
      <c r="A44" s="16">
        <v>45906</v>
      </c>
    </row>
    <row r="45" spans="1:9" ht="20.100000000000001" customHeight="1" thickBot="1" x14ac:dyDescent="0.35">
      <c r="A45" s="16">
        <v>45907</v>
      </c>
    </row>
    <row r="46" spans="1:9" ht="20.100000000000001" customHeight="1" thickBot="1" x14ac:dyDescent="0.35">
      <c r="A46" s="16">
        <v>45908</v>
      </c>
    </row>
    <row r="47" spans="1:9" ht="20.100000000000001" customHeight="1" thickBot="1" x14ac:dyDescent="0.35">
      <c r="A47" s="16">
        <v>45909</v>
      </c>
    </row>
    <row r="48" spans="1:9" ht="20.100000000000001" customHeight="1" thickBot="1" x14ac:dyDescent="0.35">
      <c r="A48" s="16">
        <v>45910</v>
      </c>
    </row>
    <row r="49" spans="1:1" ht="20.100000000000001" customHeight="1" thickBot="1" x14ac:dyDescent="0.35">
      <c r="A49" s="16">
        <v>45911</v>
      </c>
    </row>
    <row r="50" spans="1:1" ht="20.100000000000001" customHeight="1" thickBot="1" x14ac:dyDescent="0.35">
      <c r="A50" s="16">
        <v>45912</v>
      </c>
    </row>
    <row r="51" spans="1:1" ht="20.100000000000001" customHeight="1" thickBot="1" x14ac:dyDescent="0.35">
      <c r="A51" s="16">
        <v>45913</v>
      </c>
    </row>
    <row r="52" spans="1:1" ht="20.100000000000001" customHeight="1" thickBot="1" x14ac:dyDescent="0.35">
      <c r="A52" s="16">
        <v>45914</v>
      </c>
    </row>
    <row r="53" spans="1:1" ht="20.100000000000001" customHeight="1" thickBot="1" x14ac:dyDescent="0.35">
      <c r="A53" s="16">
        <v>45915</v>
      </c>
    </row>
    <row r="54" spans="1:1" ht="20.100000000000001" customHeight="1" thickBot="1" x14ac:dyDescent="0.35">
      <c r="A54" s="16">
        <v>45916</v>
      </c>
    </row>
    <row r="55" spans="1:1" ht="20.100000000000001" customHeight="1" thickBot="1" x14ac:dyDescent="0.35">
      <c r="A55" s="16">
        <v>45917</v>
      </c>
    </row>
    <row r="56" spans="1:1" ht="20.100000000000001" customHeight="1" thickBot="1" x14ac:dyDescent="0.35">
      <c r="A56" s="16">
        <v>45918</v>
      </c>
    </row>
    <row r="57" spans="1:1" ht="20.100000000000001" customHeight="1" thickBot="1" x14ac:dyDescent="0.35">
      <c r="A57" s="16">
        <v>45919</v>
      </c>
    </row>
    <row r="58" spans="1:1" ht="20.100000000000001" customHeight="1" thickBot="1" x14ac:dyDescent="0.35">
      <c r="A58" s="16">
        <v>45920</v>
      </c>
    </row>
    <row r="59" spans="1:1" ht="20.100000000000001" customHeight="1" thickBot="1" x14ac:dyDescent="0.35">
      <c r="A59" s="16">
        <v>45921</v>
      </c>
    </row>
    <row r="60" spans="1:1" ht="20.100000000000001" customHeight="1" thickBot="1" x14ac:dyDescent="0.35">
      <c r="A60" s="16">
        <v>45922</v>
      </c>
    </row>
    <row r="61" spans="1:1" ht="20.100000000000001" customHeight="1" thickBot="1" x14ac:dyDescent="0.35">
      <c r="A61" s="16">
        <v>45923</v>
      </c>
    </row>
    <row r="62" spans="1:1" ht="20.100000000000001" customHeight="1" thickBot="1" x14ac:dyDescent="0.35">
      <c r="A62" s="16">
        <v>45924</v>
      </c>
    </row>
    <row r="63" spans="1:1" ht="20.100000000000001" customHeight="1" thickBot="1" x14ac:dyDescent="0.35">
      <c r="A63" s="16">
        <v>45925</v>
      </c>
    </row>
    <row r="64" spans="1:1" ht="20.100000000000001" customHeight="1" thickBot="1" x14ac:dyDescent="0.35">
      <c r="A64" s="16">
        <v>45926</v>
      </c>
    </row>
    <row r="65" spans="1:1" ht="20.100000000000001" customHeight="1" thickBot="1" x14ac:dyDescent="0.35">
      <c r="A65" s="16">
        <v>45927</v>
      </c>
    </row>
    <row r="66" spans="1:1" ht="20.100000000000001" customHeight="1" thickBot="1" x14ac:dyDescent="0.35">
      <c r="A66" s="16">
        <v>45928</v>
      </c>
    </row>
    <row r="67" spans="1:1" ht="20.100000000000001" customHeight="1" thickBot="1" x14ac:dyDescent="0.35">
      <c r="A67" s="16">
        <v>45929</v>
      </c>
    </row>
    <row r="68" spans="1:1" ht="20.100000000000001" customHeight="1" thickBot="1" x14ac:dyDescent="0.35">
      <c r="A68" s="16">
        <v>45930</v>
      </c>
    </row>
    <row r="69" spans="1:1" ht="20.100000000000001" customHeight="1" thickBot="1" x14ac:dyDescent="0.35">
      <c r="A69" s="16">
        <v>45931</v>
      </c>
    </row>
    <row r="70" spans="1:1" ht="20.100000000000001" customHeight="1" thickBot="1" x14ac:dyDescent="0.35">
      <c r="A70" s="16">
        <v>45932</v>
      </c>
    </row>
    <row r="71" spans="1:1" ht="20.100000000000001" customHeight="1" thickBot="1" x14ac:dyDescent="0.35">
      <c r="A71" s="16">
        <v>45933</v>
      </c>
    </row>
    <row r="72" spans="1:1" ht="20.100000000000001" customHeight="1" thickBot="1" x14ac:dyDescent="0.35">
      <c r="A72" s="16">
        <v>45934</v>
      </c>
    </row>
    <row r="73" spans="1:1" ht="20.100000000000001" customHeight="1" thickBot="1" x14ac:dyDescent="0.35">
      <c r="A73" s="16">
        <v>45935</v>
      </c>
    </row>
    <row r="74" spans="1:1" ht="20.100000000000001" customHeight="1" thickBot="1" x14ac:dyDescent="0.35">
      <c r="A74" s="16">
        <v>45936</v>
      </c>
    </row>
    <row r="75" spans="1:1" ht="20.100000000000001" customHeight="1" thickBot="1" x14ac:dyDescent="0.35">
      <c r="A75" s="16">
        <v>45937</v>
      </c>
    </row>
    <row r="76" spans="1:1" ht="20.100000000000001" customHeight="1" thickBot="1" x14ac:dyDescent="0.35">
      <c r="A76" s="16">
        <v>45938</v>
      </c>
    </row>
    <row r="77" spans="1:1" ht="20.100000000000001" customHeight="1" thickBot="1" x14ac:dyDescent="0.35">
      <c r="A77" s="16">
        <v>45939</v>
      </c>
    </row>
    <row r="78" spans="1:1" ht="20.100000000000001" customHeight="1" thickBot="1" x14ac:dyDescent="0.35">
      <c r="A78" s="16">
        <v>45940</v>
      </c>
    </row>
    <row r="79" spans="1:1" ht="20.100000000000001" customHeight="1" thickBot="1" x14ac:dyDescent="0.35">
      <c r="A79" s="16">
        <v>45941</v>
      </c>
    </row>
    <row r="80" spans="1:1" ht="20.100000000000001" customHeight="1" thickBot="1" x14ac:dyDescent="0.35">
      <c r="A80" s="16">
        <v>45942</v>
      </c>
    </row>
    <row r="81" spans="1:1" ht="20.100000000000001" customHeight="1" thickBot="1" x14ac:dyDescent="0.35">
      <c r="A81" s="16">
        <v>45943</v>
      </c>
    </row>
    <row r="82" spans="1:1" ht="20.100000000000001" customHeight="1" thickBot="1" x14ac:dyDescent="0.35">
      <c r="A82" s="16">
        <v>45944</v>
      </c>
    </row>
    <row r="83" spans="1:1" ht="20.100000000000001" customHeight="1" thickBot="1" x14ac:dyDescent="0.35">
      <c r="A83" s="16">
        <v>45945</v>
      </c>
    </row>
    <row r="84" spans="1:1" ht="20.100000000000001" customHeight="1" thickBot="1" x14ac:dyDescent="0.35">
      <c r="A84" s="16">
        <v>45946</v>
      </c>
    </row>
    <row r="85" spans="1:1" ht="20.100000000000001" customHeight="1" thickBot="1" x14ac:dyDescent="0.35">
      <c r="A85" s="16">
        <v>45947</v>
      </c>
    </row>
    <row r="86" spans="1:1" ht="20.100000000000001" customHeight="1" thickBot="1" x14ac:dyDescent="0.35">
      <c r="A86" s="16">
        <v>45948</v>
      </c>
    </row>
    <row r="87" spans="1:1" ht="20.100000000000001" customHeight="1" thickBot="1" x14ac:dyDescent="0.35">
      <c r="A87" s="16">
        <v>45949</v>
      </c>
    </row>
    <row r="88" spans="1:1" ht="20.100000000000001" customHeight="1" thickBot="1" x14ac:dyDescent="0.35">
      <c r="A88" s="16">
        <v>45950</v>
      </c>
    </row>
    <row r="89" spans="1:1" ht="20.100000000000001" customHeight="1" thickBot="1" x14ac:dyDescent="0.35">
      <c r="A89" s="16">
        <v>45951</v>
      </c>
    </row>
    <row r="90" spans="1:1" ht="20.100000000000001" customHeight="1" thickBot="1" x14ac:dyDescent="0.35">
      <c r="A90" s="16">
        <v>45952</v>
      </c>
    </row>
    <row r="91" spans="1:1" ht="20.100000000000001" customHeight="1" thickBot="1" x14ac:dyDescent="0.35">
      <c r="A91" s="16">
        <v>45953</v>
      </c>
    </row>
    <row r="92" spans="1:1" ht="20.100000000000001" customHeight="1" thickBot="1" x14ac:dyDescent="0.35">
      <c r="A92" s="16">
        <v>45954</v>
      </c>
    </row>
    <row r="93" spans="1:1" ht="20.100000000000001" customHeight="1" thickBot="1" x14ac:dyDescent="0.35">
      <c r="A93" s="16">
        <v>45955</v>
      </c>
    </row>
    <row r="94" spans="1:1" ht="20.100000000000001" customHeight="1" thickBot="1" x14ac:dyDescent="0.35">
      <c r="A94" s="16">
        <v>45956</v>
      </c>
    </row>
    <row r="95" spans="1:1" ht="20.100000000000001" customHeight="1" thickBot="1" x14ac:dyDescent="0.35">
      <c r="A95" s="16">
        <v>45957</v>
      </c>
    </row>
    <row r="96" spans="1:1" ht="20.100000000000001" customHeight="1" thickBot="1" x14ac:dyDescent="0.35">
      <c r="A96" s="16">
        <v>45958</v>
      </c>
    </row>
    <row r="97" spans="1:9" ht="20.100000000000001" customHeight="1" thickBot="1" x14ac:dyDescent="0.35">
      <c r="A97" s="16">
        <v>45959</v>
      </c>
    </row>
    <row r="98" spans="1:9" ht="20.100000000000001" customHeight="1" thickBot="1" x14ac:dyDescent="0.35">
      <c r="A98" s="16">
        <v>45960</v>
      </c>
    </row>
    <row r="99" spans="1:9" ht="20.100000000000001" customHeight="1" thickBot="1" x14ac:dyDescent="0.35">
      <c r="A99" s="16">
        <v>45961</v>
      </c>
    </row>
    <row r="100" spans="1:9" ht="20.100000000000001" customHeight="1" thickBot="1" x14ac:dyDescent="0.35">
      <c r="A100" s="16">
        <v>45962</v>
      </c>
    </row>
    <row r="101" spans="1:9" ht="20.100000000000001" customHeight="1" thickBot="1" x14ac:dyDescent="0.35">
      <c r="A101" s="16">
        <v>45963</v>
      </c>
    </row>
    <row r="102" spans="1:9" ht="20.100000000000001" customHeight="1" thickBot="1" x14ac:dyDescent="0.35">
      <c r="A102" s="16">
        <v>45964</v>
      </c>
    </row>
    <row r="103" spans="1:9" ht="20.100000000000001" customHeight="1" thickBot="1" x14ac:dyDescent="0.35">
      <c r="A103" s="16">
        <v>45965</v>
      </c>
    </row>
    <row r="104" spans="1:9" ht="20.100000000000001" customHeight="1" thickBot="1" x14ac:dyDescent="0.35">
      <c r="A104" s="16">
        <v>45966</v>
      </c>
    </row>
    <row r="105" spans="1:9" ht="20.100000000000001" customHeight="1" thickBot="1" x14ac:dyDescent="0.35">
      <c r="A105" s="16">
        <v>45967</v>
      </c>
    </row>
    <row r="106" spans="1:9" ht="20.100000000000001" customHeight="1" thickBot="1" x14ac:dyDescent="0.35">
      <c r="A106" s="16">
        <v>45968</v>
      </c>
    </row>
    <row r="107" spans="1:9" ht="20.100000000000001" customHeight="1" x14ac:dyDescent="0.3">
      <c r="A107" s="17"/>
    </row>
    <row r="108" spans="1:9" ht="20.100000000000001" customHeight="1" x14ac:dyDescent="0.3">
      <c r="A108" s="17"/>
    </row>
    <row r="109" spans="1:9" s="20" customFormat="1" ht="20.100000000000001" customHeight="1" x14ac:dyDescent="0.3">
      <c r="A109" s="18"/>
      <c r="B109" s="19"/>
      <c r="C109" s="19"/>
      <c r="D109" s="19"/>
      <c r="E109" s="19"/>
      <c r="F109" s="19"/>
      <c r="G109" s="19"/>
      <c r="H109" s="19"/>
      <c r="I109" s="19"/>
    </row>
    <row r="110" spans="1:9" ht="20.100000000000001" customHeight="1" thickBot="1" x14ac:dyDescent="0.35"/>
    <row r="111" spans="1:9" ht="20.100000000000001" customHeight="1" thickBot="1" x14ac:dyDescent="0.35">
      <c r="A111" s="2" t="s">
        <v>61</v>
      </c>
    </row>
    <row r="112" spans="1:9" ht="20.100000000000001" customHeight="1" thickBot="1" x14ac:dyDescent="0.35">
      <c r="A112" s="2" t="s">
        <v>17</v>
      </c>
    </row>
    <row r="113" spans="1:1" ht="20.100000000000001" customHeight="1" thickBot="1" x14ac:dyDescent="0.35">
      <c r="A113" s="2">
        <v>0</v>
      </c>
    </row>
    <row r="114" spans="1:1" ht="20.100000000000001" customHeight="1" thickBot="1" x14ac:dyDescent="0.35">
      <c r="A114" s="2">
        <v>0.25</v>
      </c>
    </row>
    <row r="115" spans="1:1" ht="20.100000000000001" customHeight="1" thickBot="1" x14ac:dyDescent="0.35">
      <c r="A115" s="2">
        <v>0.5</v>
      </c>
    </row>
    <row r="116" spans="1:1" ht="20.100000000000001" customHeight="1" thickBot="1" x14ac:dyDescent="0.35">
      <c r="A116" s="2">
        <v>0.75</v>
      </c>
    </row>
    <row r="117" spans="1:1" ht="20.100000000000001" customHeight="1" thickBot="1" x14ac:dyDescent="0.35">
      <c r="A117" s="2">
        <v>1</v>
      </c>
    </row>
    <row r="118" spans="1:1" ht="20.100000000000001" customHeight="1" thickBot="1" x14ac:dyDescent="0.35">
      <c r="A118" s="2">
        <v>1.25</v>
      </c>
    </row>
    <row r="119" spans="1:1" ht="20.100000000000001" customHeight="1" thickBot="1" x14ac:dyDescent="0.35">
      <c r="A119" s="2">
        <v>1.5</v>
      </c>
    </row>
    <row r="120" spans="1:1" ht="20.100000000000001" customHeight="1" thickBot="1" x14ac:dyDescent="0.35">
      <c r="A120" s="2">
        <v>1.75</v>
      </c>
    </row>
    <row r="121" spans="1:1" ht="20.100000000000001" customHeight="1" thickBot="1" x14ac:dyDescent="0.35">
      <c r="A121" s="2">
        <v>2</v>
      </c>
    </row>
    <row r="122" spans="1:1" ht="20.100000000000001" customHeight="1" thickBot="1" x14ac:dyDescent="0.35">
      <c r="A122" s="2">
        <v>2.25</v>
      </c>
    </row>
    <row r="123" spans="1:1" ht="20.100000000000001" customHeight="1" thickBot="1" x14ac:dyDescent="0.35">
      <c r="A123" s="2">
        <v>2.5</v>
      </c>
    </row>
    <row r="124" spans="1:1" ht="20.100000000000001" customHeight="1" thickBot="1" x14ac:dyDescent="0.35">
      <c r="A124" s="2">
        <v>2.75</v>
      </c>
    </row>
    <row r="125" spans="1:1" ht="20.100000000000001" customHeight="1" thickBot="1" x14ac:dyDescent="0.35">
      <c r="A125" s="2">
        <v>3</v>
      </c>
    </row>
    <row r="126" spans="1:1" ht="20.100000000000001" customHeight="1" thickBot="1" x14ac:dyDescent="0.35">
      <c r="A126" s="2">
        <v>3.25</v>
      </c>
    </row>
    <row r="127" spans="1:1" ht="20.100000000000001" customHeight="1" thickBot="1" x14ac:dyDescent="0.35">
      <c r="A127" s="2">
        <v>3.5</v>
      </c>
    </row>
    <row r="128" spans="1:1" ht="20.100000000000001" customHeight="1" thickBot="1" x14ac:dyDescent="0.35">
      <c r="A128" s="2">
        <v>3.75</v>
      </c>
    </row>
    <row r="129" spans="1:1" ht="20.100000000000001" customHeight="1" thickBot="1" x14ac:dyDescent="0.35">
      <c r="A129" s="2">
        <v>4</v>
      </c>
    </row>
    <row r="130" spans="1:1" ht="20.100000000000001" customHeight="1" thickBot="1" x14ac:dyDescent="0.35">
      <c r="A130" s="2">
        <v>4.25</v>
      </c>
    </row>
    <row r="131" spans="1:1" ht="20.100000000000001" customHeight="1" thickBot="1" x14ac:dyDescent="0.35">
      <c r="A131" s="2">
        <v>4.5</v>
      </c>
    </row>
    <row r="132" spans="1:1" ht="20.100000000000001" customHeight="1" thickBot="1" x14ac:dyDescent="0.35">
      <c r="A132" s="2">
        <v>4.75</v>
      </c>
    </row>
    <row r="133" spans="1:1" ht="20.100000000000001" customHeight="1" thickBot="1" x14ac:dyDescent="0.35">
      <c r="A133" s="2">
        <v>5</v>
      </c>
    </row>
    <row r="134" spans="1:1" ht="20.100000000000001" customHeight="1" thickBot="1" x14ac:dyDescent="0.35">
      <c r="A134" s="2">
        <v>5.25</v>
      </c>
    </row>
    <row r="135" spans="1:1" ht="20.100000000000001" customHeight="1" thickBot="1" x14ac:dyDescent="0.35">
      <c r="A135" s="2">
        <v>5.5</v>
      </c>
    </row>
    <row r="136" spans="1:1" ht="20.100000000000001" customHeight="1" thickBot="1" x14ac:dyDescent="0.35">
      <c r="A136" s="2">
        <v>5.75</v>
      </c>
    </row>
    <row r="137" spans="1:1" ht="20.100000000000001" customHeight="1" thickBot="1" x14ac:dyDescent="0.35">
      <c r="A137" s="2">
        <v>6</v>
      </c>
    </row>
    <row r="138" spans="1:1" ht="20.100000000000001" customHeight="1" thickBot="1" x14ac:dyDescent="0.35">
      <c r="A138" s="2">
        <v>6.25</v>
      </c>
    </row>
    <row r="139" spans="1:1" ht="20.100000000000001" customHeight="1" thickBot="1" x14ac:dyDescent="0.35">
      <c r="A139" s="2">
        <v>6.5</v>
      </c>
    </row>
    <row r="140" spans="1:1" ht="20.100000000000001" customHeight="1" thickBot="1" x14ac:dyDescent="0.35">
      <c r="A140" s="2">
        <v>6.75</v>
      </c>
    </row>
    <row r="141" spans="1:1" ht="20.100000000000001" customHeight="1" thickBot="1" x14ac:dyDescent="0.35">
      <c r="A141" s="2">
        <v>7</v>
      </c>
    </row>
    <row r="142" spans="1:1" ht="20.100000000000001" customHeight="1" thickBot="1" x14ac:dyDescent="0.35">
      <c r="A142" s="2">
        <v>7.25</v>
      </c>
    </row>
    <row r="143" spans="1:1" ht="20.100000000000001" customHeight="1" thickBot="1" x14ac:dyDescent="0.35">
      <c r="A143" s="2">
        <v>7.5</v>
      </c>
    </row>
    <row r="144" spans="1:1" ht="20.100000000000001" customHeight="1" thickBot="1" x14ac:dyDescent="0.35">
      <c r="A144" s="2">
        <v>7.75</v>
      </c>
    </row>
    <row r="145" spans="1:1" ht="20.100000000000001" customHeight="1" thickBot="1" x14ac:dyDescent="0.35">
      <c r="A145" s="2">
        <v>8</v>
      </c>
    </row>
    <row r="146" spans="1:1" ht="20.100000000000001" customHeight="1" thickBot="1" x14ac:dyDescent="0.35">
      <c r="A146" s="2">
        <v>8.25</v>
      </c>
    </row>
    <row r="147" spans="1:1" ht="20.100000000000001" customHeight="1" thickBot="1" x14ac:dyDescent="0.35">
      <c r="A147" s="2">
        <v>8.5</v>
      </c>
    </row>
    <row r="148" spans="1:1" ht="20.100000000000001" customHeight="1" thickBot="1" x14ac:dyDescent="0.35">
      <c r="A148" s="2">
        <v>8.75</v>
      </c>
    </row>
    <row r="149" spans="1:1" ht="20.100000000000001" customHeight="1" thickBot="1" x14ac:dyDescent="0.35">
      <c r="A149" s="2">
        <v>9</v>
      </c>
    </row>
    <row r="150" spans="1:1" ht="20.100000000000001" customHeight="1" thickBot="1" x14ac:dyDescent="0.35">
      <c r="A150" s="2">
        <v>9.25</v>
      </c>
    </row>
    <row r="151" spans="1:1" ht="20.100000000000001" customHeight="1" thickBot="1" x14ac:dyDescent="0.35">
      <c r="A151" s="2">
        <v>9.5</v>
      </c>
    </row>
    <row r="152" spans="1:1" ht="20.100000000000001" customHeight="1" thickBot="1" x14ac:dyDescent="0.35">
      <c r="A152" s="2">
        <v>9.75</v>
      </c>
    </row>
    <row r="153" spans="1:1" ht="20.100000000000001" customHeight="1" thickBot="1" x14ac:dyDescent="0.35">
      <c r="A153" s="2">
        <v>10</v>
      </c>
    </row>
    <row r="154" spans="1:1" ht="20.100000000000001" customHeight="1" thickBot="1" x14ac:dyDescent="0.35">
      <c r="A154" s="2">
        <v>10.25</v>
      </c>
    </row>
    <row r="155" spans="1:1" ht="20.100000000000001" customHeight="1" thickBot="1" x14ac:dyDescent="0.35">
      <c r="A155" s="2">
        <v>10.5</v>
      </c>
    </row>
    <row r="156" spans="1:1" ht="20.100000000000001" customHeight="1" thickBot="1" x14ac:dyDescent="0.35">
      <c r="A156" s="2">
        <v>10.75</v>
      </c>
    </row>
    <row r="157" spans="1:1" ht="20.100000000000001" customHeight="1" thickBot="1" x14ac:dyDescent="0.35">
      <c r="A157" s="2">
        <v>11</v>
      </c>
    </row>
    <row r="158" spans="1:1" ht="20.100000000000001" customHeight="1" thickBot="1" x14ac:dyDescent="0.35">
      <c r="A158" s="2">
        <v>11.25</v>
      </c>
    </row>
    <row r="159" spans="1:1" ht="20.100000000000001" customHeight="1" thickBot="1" x14ac:dyDescent="0.35">
      <c r="A159" s="2">
        <v>11.5</v>
      </c>
    </row>
    <row r="160" spans="1:1" ht="20.100000000000001" customHeight="1" thickBot="1" x14ac:dyDescent="0.35">
      <c r="A160" s="2">
        <v>11.75</v>
      </c>
    </row>
    <row r="161" spans="1:1" ht="20.100000000000001" customHeight="1" thickBot="1" x14ac:dyDescent="0.35">
      <c r="A161" s="2">
        <v>12</v>
      </c>
    </row>
    <row r="162" spans="1:1" ht="20.100000000000001" customHeight="1" thickBot="1" x14ac:dyDescent="0.35">
      <c r="A162" s="2">
        <v>12.25</v>
      </c>
    </row>
    <row r="163" spans="1:1" ht="20.100000000000001" customHeight="1" thickBot="1" x14ac:dyDescent="0.35">
      <c r="A163" s="2">
        <v>12.5</v>
      </c>
    </row>
    <row r="164" spans="1:1" ht="20.100000000000001" customHeight="1" thickBot="1" x14ac:dyDescent="0.35">
      <c r="A164" s="2">
        <v>12.75</v>
      </c>
    </row>
    <row r="165" spans="1:1" ht="20.100000000000001" customHeight="1" thickBot="1" x14ac:dyDescent="0.35">
      <c r="A165" s="2">
        <v>13</v>
      </c>
    </row>
    <row r="166" spans="1:1" ht="20.100000000000001" customHeight="1" thickBot="1" x14ac:dyDescent="0.35">
      <c r="A166" s="2">
        <v>13.25</v>
      </c>
    </row>
    <row r="167" spans="1:1" ht="20.100000000000001" customHeight="1" thickBot="1" x14ac:dyDescent="0.35">
      <c r="A167" s="2">
        <v>13.5</v>
      </c>
    </row>
    <row r="168" spans="1:1" ht="20.100000000000001" customHeight="1" thickBot="1" x14ac:dyDescent="0.35">
      <c r="A168" s="2">
        <v>13.75</v>
      </c>
    </row>
    <row r="169" spans="1:1" ht="20.100000000000001" customHeight="1" thickBot="1" x14ac:dyDescent="0.35">
      <c r="A169" s="2">
        <v>14</v>
      </c>
    </row>
    <row r="170" spans="1:1" ht="20.100000000000001" customHeight="1" thickBot="1" x14ac:dyDescent="0.35">
      <c r="A170" s="2">
        <v>14.25</v>
      </c>
    </row>
    <row r="171" spans="1:1" ht="20.100000000000001" customHeight="1" thickBot="1" x14ac:dyDescent="0.35">
      <c r="A171" s="2">
        <v>14.5</v>
      </c>
    </row>
    <row r="172" spans="1:1" ht="20.100000000000001" customHeight="1" thickBot="1" x14ac:dyDescent="0.35">
      <c r="A172" s="2">
        <v>14.75</v>
      </c>
    </row>
    <row r="173" spans="1:1" ht="20.100000000000001" customHeight="1" thickBot="1" x14ac:dyDescent="0.35">
      <c r="A173" s="2">
        <v>15</v>
      </c>
    </row>
    <row r="174" spans="1:1" ht="20.100000000000001" customHeight="1" thickBot="1" x14ac:dyDescent="0.35">
      <c r="A174" s="2">
        <v>15.25</v>
      </c>
    </row>
    <row r="175" spans="1:1" ht="20.100000000000001" customHeight="1" thickBot="1" x14ac:dyDescent="0.35">
      <c r="A175" s="2">
        <v>15.5</v>
      </c>
    </row>
    <row r="176" spans="1:1" ht="20.100000000000001" customHeight="1" thickBot="1" x14ac:dyDescent="0.35">
      <c r="A176" s="2">
        <v>15.75</v>
      </c>
    </row>
    <row r="177" spans="1:1" ht="20.100000000000001" customHeight="1" thickBot="1" x14ac:dyDescent="0.35">
      <c r="A177" s="2">
        <v>16</v>
      </c>
    </row>
    <row r="178" spans="1:1" ht="20.100000000000001" customHeight="1" thickBot="1" x14ac:dyDescent="0.35">
      <c r="A178" s="2">
        <v>16.25</v>
      </c>
    </row>
    <row r="179" spans="1:1" ht="20.100000000000001" customHeight="1" thickBot="1" x14ac:dyDescent="0.35">
      <c r="A179" s="2">
        <v>16.5</v>
      </c>
    </row>
    <row r="180" spans="1:1" ht="20.100000000000001" customHeight="1" thickBot="1" x14ac:dyDescent="0.35">
      <c r="A180" s="2">
        <v>16.75</v>
      </c>
    </row>
    <row r="181" spans="1:1" ht="20.100000000000001" customHeight="1" thickBot="1" x14ac:dyDescent="0.35">
      <c r="A181" s="2">
        <v>17</v>
      </c>
    </row>
    <row r="182" spans="1:1" ht="20.100000000000001" customHeight="1" thickBot="1" x14ac:dyDescent="0.35">
      <c r="A182" s="2">
        <v>17.25</v>
      </c>
    </row>
    <row r="183" spans="1:1" ht="20.100000000000001" customHeight="1" thickBot="1" x14ac:dyDescent="0.35">
      <c r="A183" s="2">
        <v>17.5</v>
      </c>
    </row>
    <row r="184" spans="1:1" ht="20.100000000000001" customHeight="1" thickBot="1" x14ac:dyDescent="0.35">
      <c r="A184" s="2">
        <v>17.75</v>
      </c>
    </row>
    <row r="185" spans="1:1" ht="20.100000000000001" customHeight="1" thickBot="1" x14ac:dyDescent="0.35">
      <c r="A185" s="2">
        <v>18</v>
      </c>
    </row>
    <row r="186" spans="1:1" ht="20.100000000000001" customHeight="1" thickBot="1" x14ac:dyDescent="0.35">
      <c r="A186" s="2">
        <v>18.25</v>
      </c>
    </row>
    <row r="187" spans="1:1" ht="20.100000000000001" customHeight="1" thickBot="1" x14ac:dyDescent="0.35">
      <c r="A187" s="2">
        <v>18.5</v>
      </c>
    </row>
    <row r="188" spans="1:1" ht="20.100000000000001" customHeight="1" thickBot="1" x14ac:dyDescent="0.35">
      <c r="A188" s="2">
        <v>18.75</v>
      </c>
    </row>
    <row r="189" spans="1:1" ht="20.100000000000001" customHeight="1" thickBot="1" x14ac:dyDescent="0.35">
      <c r="A189" s="2">
        <v>19</v>
      </c>
    </row>
    <row r="190" spans="1:1" ht="20.100000000000001" customHeight="1" thickBot="1" x14ac:dyDescent="0.35">
      <c r="A190" s="2">
        <v>19.25</v>
      </c>
    </row>
    <row r="191" spans="1:1" ht="20.100000000000001" customHeight="1" thickBot="1" x14ac:dyDescent="0.35">
      <c r="A191" s="2">
        <v>19.5</v>
      </c>
    </row>
    <row r="192" spans="1:1" ht="20.100000000000001" customHeight="1" thickBot="1" x14ac:dyDescent="0.35">
      <c r="A192" s="2">
        <v>19.75</v>
      </c>
    </row>
    <row r="193" spans="1:1" ht="20.100000000000001" customHeight="1" thickBot="1" x14ac:dyDescent="0.35">
      <c r="A193" s="2">
        <v>20</v>
      </c>
    </row>
    <row r="197" spans="1:1" ht="20.100000000000001" customHeight="1" thickBot="1" x14ac:dyDescent="0.35"/>
    <row r="198" spans="1:1" ht="20.100000000000001" customHeight="1" thickBot="1" x14ac:dyDescent="0.35">
      <c r="A198" s="2" t="s">
        <v>59</v>
      </c>
    </row>
    <row r="199" spans="1:1" ht="20.100000000000001" customHeight="1" x14ac:dyDescent="0.3">
      <c r="A199" s="23" t="s">
        <v>89</v>
      </c>
    </row>
    <row r="200" spans="1:1" ht="20.100000000000001" customHeight="1" x14ac:dyDescent="0.3">
      <c r="A200" s="23" t="s">
        <v>90</v>
      </c>
    </row>
    <row r="201" spans="1:1" ht="20.100000000000001" customHeight="1" x14ac:dyDescent="0.3">
      <c r="A201" s="23" t="s">
        <v>91</v>
      </c>
    </row>
    <row r="202" spans="1:1" ht="20.100000000000001" customHeight="1" x14ac:dyDescent="0.3">
      <c r="A202" s="23" t="s">
        <v>92</v>
      </c>
    </row>
    <row r="203" spans="1:1" ht="20.100000000000001" customHeight="1" x14ac:dyDescent="0.3">
      <c r="A203" s="23" t="s">
        <v>93</v>
      </c>
    </row>
    <row r="204" spans="1:1" ht="20.100000000000001" customHeight="1" x14ac:dyDescent="0.3">
      <c r="A204" s="23" t="s">
        <v>94</v>
      </c>
    </row>
    <row r="205" spans="1:1" ht="20.100000000000001" customHeight="1" x14ac:dyDescent="0.3">
      <c r="A205" s="23" t="s">
        <v>95</v>
      </c>
    </row>
    <row r="206" spans="1:1" ht="20.100000000000001" customHeight="1" x14ac:dyDescent="0.3">
      <c r="A206" s="23" t="s">
        <v>96</v>
      </c>
    </row>
    <row r="207" spans="1:1" ht="20.100000000000001" customHeight="1" x14ac:dyDescent="0.3">
      <c r="A207" s="23" t="s">
        <v>97</v>
      </c>
    </row>
    <row r="208" spans="1:1" ht="20.100000000000001" customHeight="1" x14ac:dyDescent="0.3">
      <c r="A208" s="24" t="s">
        <v>98</v>
      </c>
    </row>
    <row r="209" spans="1:1" ht="20.100000000000001" customHeight="1" x14ac:dyDescent="0.3">
      <c r="A209" s="24" t="s">
        <v>99</v>
      </c>
    </row>
    <row r="210" spans="1:1" ht="20.100000000000001" customHeight="1" x14ac:dyDescent="0.3">
      <c r="A210" s="23" t="s">
        <v>100</v>
      </c>
    </row>
    <row r="211" spans="1:1" ht="20.100000000000001" customHeight="1" x14ac:dyDescent="0.3">
      <c r="A211" s="23" t="s">
        <v>101</v>
      </c>
    </row>
    <row r="212" spans="1:1" ht="20.100000000000001" customHeight="1" x14ac:dyDescent="0.3">
      <c r="A212" s="23" t="s">
        <v>175</v>
      </c>
    </row>
    <row r="213" spans="1:1" ht="20.100000000000001" customHeight="1" x14ac:dyDescent="0.3">
      <c r="A213" s="23" t="s">
        <v>102</v>
      </c>
    </row>
    <row r="214" spans="1:1" ht="20.100000000000001" customHeight="1" x14ac:dyDescent="0.3">
      <c r="A214" s="23" t="s">
        <v>103</v>
      </c>
    </row>
    <row r="215" spans="1:1" ht="20.100000000000001" customHeight="1" x14ac:dyDescent="0.3">
      <c r="A215" s="23" t="s">
        <v>104</v>
      </c>
    </row>
    <row r="216" spans="1:1" ht="20.100000000000001" customHeight="1" x14ac:dyDescent="0.3">
      <c r="A216" s="23" t="s">
        <v>105</v>
      </c>
    </row>
    <row r="217" spans="1:1" ht="20.100000000000001" customHeight="1" x14ac:dyDescent="0.3">
      <c r="A217" s="23" t="s">
        <v>106</v>
      </c>
    </row>
    <row r="218" spans="1:1" ht="20.100000000000001" customHeight="1" x14ac:dyDescent="0.3">
      <c r="A218" s="23" t="s">
        <v>107</v>
      </c>
    </row>
    <row r="219" spans="1:1" ht="20.100000000000001" customHeight="1" x14ac:dyDescent="0.3">
      <c r="A219" s="23" t="s">
        <v>108</v>
      </c>
    </row>
    <row r="220" spans="1:1" ht="20.100000000000001" customHeight="1" x14ac:dyDescent="0.3">
      <c r="A220" s="23" t="s">
        <v>109</v>
      </c>
    </row>
    <row r="221" spans="1:1" ht="20.100000000000001" customHeight="1" x14ac:dyDescent="0.3">
      <c r="A221" s="23" t="s">
        <v>110</v>
      </c>
    </row>
    <row r="222" spans="1:1" ht="20.100000000000001" customHeight="1" x14ac:dyDescent="0.3">
      <c r="A222" s="23" t="s">
        <v>111</v>
      </c>
    </row>
    <row r="223" spans="1:1" ht="20.100000000000001" customHeight="1" x14ac:dyDescent="0.3">
      <c r="A223" s="23" t="s">
        <v>112</v>
      </c>
    </row>
    <row r="224" spans="1:1" ht="20.100000000000001" customHeight="1" x14ac:dyDescent="0.3">
      <c r="A224" s="23" t="s">
        <v>176</v>
      </c>
    </row>
    <row r="225" spans="1:1" ht="20.100000000000001" customHeight="1" x14ac:dyDescent="0.3">
      <c r="A225" s="23" t="s">
        <v>113</v>
      </c>
    </row>
    <row r="226" spans="1:1" ht="20.100000000000001" customHeight="1" x14ac:dyDescent="0.3">
      <c r="A226" s="23" t="s">
        <v>114</v>
      </c>
    </row>
    <row r="227" spans="1:1" ht="20.100000000000001" customHeight="1" x14ac:dyDescent="0.3">
      <c r="A227" s="23" t="s">
        <v>115</v>
      </c>
    </row>
    <row r="228" spans="1:1" ht="20.100000000000001" customHeight="1" x14ac:dyDescent="0.3">
      <c r="A228" s="23" t="s">
        <v>116</v>
      </c>
    </row>
    <row r="229" spans="1:1" ht="20.100000000000001" customHeight="1" x14ac:dyDescent="0.3">
      <c r="A229" s="23" t="s">
        <v>117</v>
      </c>
    </row>
    <row r="230" spans="1:1" ht="20.100000000000001" customHeight="1" x14ac:dyDescent="0.3">
      <c r="A230" s="23" t="s">
        <v>118</v>
      </c>
    </row>
    <row r="231" spans="1:1" ht="20.100000000000001" customHeight="1" x14ac:dyDescent="0.3">
      <c r="A231" s="23" t="s">
        <v>119</v>
      </c>
    </row>
    <row r="232" spans="1:1" ht="20.100000000000001" customHeight="1" x14ac:dyDescent="0.3">
      <c r="A232" s="23" t="s">
        <v>120</v>
      </c>
    </row>
    <row r="233" spans="1:1" ht="20.100000000000001" customHeight="1" x14ac:dyDescent="0.3">
      <c r="A233" s="23" t="s">
        <v>121</v>
      </c>
    </row>
    <row r="234" spans="1:1" ht="20.100000000000001" customHeight="1" x14ac:dyDescent="0.3">
      <c r="A234" s="23" t="s">
        <v>122</v>
      </c>
    </row>
    <row r="235" spans="1:1" ht="20.100000000000001" customHeight="1" x14ac:dyDescent="0.3">
      <c r="A235" s="23" t="s">
        <v>123</v>
      </c>
    </row>
    <row r="236" spans="1:1" ht="20.100000000000001" customHeight="1" x14ac:dyDescent="0.3">
      <c r="A236" s="25" t="s">
        <v>124</v>
      </c>
    </row>
    <row r="237" spans="1:1" ht="20.100000000000001" customHeight="1" x14ac:dyDescent="0.3">
      <c r="A237" s="23" t="s">
        <v>125</v>
      </c>
    </row>
    <row r="238" spans="1:1" ht="20.100000000000001" customHeight="1" x14ac:dyDescent="0.3">
      <c r="A238" s="23" t="s">
        <v>126</v>
      </c>
    </row>
    <row r="239" spans="1:1" ht="20.100000000000001" customHeight="1" x14ac:dyDescent="0.3">
      <c r="A239" s="23" t="s">
        <v>127</v>
      </c>
    </row>
    <row r="240" spans="1:1" ht="20.100000000000001" customHeight="1" x14ac:dyDescent="0.3">
      <c r="A240" s="23" t="s">
        <v>128</v>
      </c>
    </row>
    <row r="241" spans="1:1" ht="20.100000000000001" customHeight="1" x14ac:dyDescent="0.3">
      <c r="A241" s="23" t="s">
        <v>129</v>
      </c>
    </row>
    <row r="242" spans="1:1" ht="20.100000000000001" customHeight="1" x14ac:dyDescent="0.3">
      <c r="A242" s="23" t="s">
        <v>130</v>
      </c>
    </row>
    <row r="243" spans="1:1" ht="20.100000000000001" customHeight="1" x14ac:dyDescent="0.3">
      <c r="A243" s="23" t="s">
        <v>131</v>
      </c>
    </row>
    <row r="244" spans="1:1" ht="20.100000000000001" customHeight="1" x14ac:dyDescent="0.3">
      <c r="A244" s="23" t="s">
        <v>132</v>
      </c>
    </row>
    <row r="245" spans="1:1" ht="20.100000000000001" customHeight="1" x14ac:dyDescent="0.3">
      <c r="A245" s="23" t="s">
        <v>133</v>
      </c>
    </row>
    <row r="246" spans="1:1" ht="20.100000000000001" customHeight="1" x14ac:dyDescent="0.3">
      <c r="A246" s="23" t="s">
        <v>134</v>
      </c>
    </row>
    <row r="247" spans="1:1" ht="20.100000000000001" customHeight="1" x14ac:dyDescent="0.3">
      <c r="A247" s="23" t="s">
        <v>135</v>
      </c>
    </row>
    <row r="248" spans="1:1" ht="20.100000000000001" customHeight="1" x14ac:dyDescent="0.3">
      <c r="A248" s="23" t="s">
        <v>126</v>
      </c>
    </row>
    <row r="249" spans="1:1" ht="20.100000000000001" customHeight="1" x14ac:dyDescent="0.3">
      <c r="A249" s="23" t="s">
        <v>136</v>
      </c>
    </row>
    <row r="250" spans="1:1" ht="20.100000000000001" customHeight="1" x14ac:dyDescent="0.3">
      <c r="A250" s="23" t="s">
        <v>137</v>
      </c>
    </row>
    <row r="251" spans="1:1" ht="20.100000000000001" customHeight="1" x14ac:dyDescent="0.3">
      <c r="A251" s="25" t="s">
        <v>138</v>
      </c>
    </row>
    <row r="252" spans="1:1" ht="20.100000000000001" customHeight="1" x14ac:dyDescent="0.3">
      <c r="A252" s="26" t="s">
        <v>139</v>
      </c>
    </row>
    <row r="253" spans="1:1" ht="20.100000000000001" customHeight="1" x14ac:dyDescent="0.3">
      <c r="A253" s="23" t="s">
        <v>140</v>
      </c>
    </row>
    <row r="254" spans="1:1" ht="20.100000000000001" customHeight="1" x14ac:dyDescent="0.3">
      <c r="A254" s="23" t="s">
        <v>141</v>
      </c>
    </row>
    <row r="255" spans="1:1" ht="20.100000000000001" customHeight="1" x14ac:dyDescent="0.3">
      <c r="A255" s="27" t="s">
        <v>142</v>
      </c>
    </row>
    <row r="256" spans="1:1" ht="20.100000000000001" customHeight="1" x14ac:dyDescent="0.3">
      <c r="A256" s="27" t="s">
        <v>143</v>
      </c>
    </row>
    <row r="257" spans="1:1" ht="20.100000000000001" customHeight="1" x14ac:dyDescent="0.3">
      <c r="A257" s="28" t="s">
        <v>144</v>
      </c>
    </row>
    <row r="258" spans="1:1" ht="20.100000000000001" customHeight="1" x14ac:dyDescent="0.3">
      <c r="A258" s="23" t="s">
        <v>145</v>
      </c>
    </row>
    <row r="259" spans="1:1" ht="20.100000000000001" customHeight="1" x14ac:dyDescent="0.3">
      <c r="A259" s="28" t="s">
        <v>146</v>
      </c>
    </row>
    <row r="260" spans="1:1" ht="20.100000000000001" customHeight="1" x14ac:dyDescent="0.3">
      <c r="A260" s="23" t="s">
        <v>147</v>
      </c>
    </row>
    <row r="261" spans="1:1" ht="20.100000000000001" customHeight="1" x14ac:dyDescent="0.3">
      <c r="A261" s="28" t="s">
        <v>148</v>
      </c>
    </row>
    <row r="262" spans="1:1" ht="20.100000000000001" customHeight="1" x14ac:dyDescent="0.3">
      <c r="A262" s="23" t="s">
        <v>149</v>
      </c>
    </row>
    <row r="263" spans="1:1" ht="20.100000000000001" customHeight="1" x14ac:dyDescent="0.3">
      <c r="A263" s="23" t="s">
        <v>150</v>
      </c>
    </row>
    <row r="264" spans="1:1" ht="20.100000000000001" customHeight="1" x14ac:dyDescent="0.3">
      <c r="A264" s="28" t="s">
        <v>151</v>
      </c>
    </row>
    <row r="265" spans="1:1" ht="20.100000000000001" customHeight="1" x14ac:dyDescent="0.3">
      <c r="A265" s="28" t="s">
        <v>152</v>
      </c>
    </row>
    <row r="266" spans="1:1" ht="20.100000000000001" customHeight="1" x14ac:dyDescent="0.3">
      <c r="A266" s="28" t="s">
        <v>153</v>
      </c>
    </row>
    <row r="267" spans="1:1" ht="20.100000000000001" customHeight="1" x14ac:dyDescent="0.3">
      <c r="A267" s="23" t="s">
        <v>154</v>
      </c>
    </row>
    <row r="268" spans="1:1" ht="20.100000000000001" customHeight="1" x14ac:dyDescent="0.3">
      <c r="A268" s="23" t="s">
        <v>155</v>
      </c>
    </row>
    <row r="269" spans="1:1" ht="20.100000000000001" customHeight="1" x14ac:dyDescent="0.3">
      <c r="A269" s="23" t="s">
        <v>156</v>
      </c>
    </row>
    <row r="270" spans="1:1" ht="20.100000000000001" customHeight="1" x14ac:dyDescent="0.3">
      <c r="A270" s="23" t="s">
        <v>157</v>
      </c>
    </row>
    <row r="271" spans="1:1" ht="20.100000000000001" customHeight="1" x14ac:dyDescent="0.3">
      <c r="A271" s="28" t="s">
        <v>158</v>
      </c>
    </row>
    <row r="272" spans="1:1" ht="20.100000000000001" customHeight="1" x14ac:dyDescent="0.3">
      <c r="A272" s="28" t="s">
        <v>159</v>
      </c>
    </row>
    <row r="273" spans="1:1" ht="20.100000000000001" customHeight="1" x14ac:dyDescent="0.3">
      <c r="A273" s="23" t="s">
        <v>160</v>
      </c>
    </row>
    <row r="274" spans="1:1" ht="20.100000000000001" customHeight="1" x14ac:dyDescent="0.3">
      <c r="A274" s="28" t="s">
        <v>161</v>
      </c>
    </row>
    <row r="275" spans="1:1" ht="20.100000000000001" customHeight="1" x14ac:dyDescent="0.3">
      <c r="A275" s="28" t="s">
        <v>162</v>
      </c>
    </row>
    <row r="276" spans="1:1" ht="20.100000000000001" customHeight="1" x14ac:dyDescent="0.3">
      <c r="A276" s="23" t="s">
        <v>163</v>
      </c>
    </row>
    <row r="277" spans="1:1" ht="20.100000000000001" customHeight="1" x14ac:dyDescent="0.3">
      <c r="A277" s="23" t="s">
        <v>164</v>
      </c>
    </row>
    <row r="278" spans="1:1" ht="20.100000000000001" customHeight="1" x14ac:dyDescent="0.3">
      <c r="A278" s="28" t="s">
        <v>165</v>
      </c>
    </row>
    <row r="279" spans="1:1" ht="20.100000000000001" customHeight="1" x14ac:dyDescent="0.3">
      <c r="A279" s="23" t="s">
        <v>166</v>
      </c>
    </row>
    <row r="280" spans="1:1" ht="20.100000000000001" customHeight="1" x14ac:dyDescent="0.3">
      <c r="A280" s="23" t="s">
        <v>167</v>
      </c>
    </row>
    <row r="281" spans="1:1" ht="20.100000000000001" customHeight="1" x14ac:dyDescent="0.3">
      <c r="A281" s="23" t="s">
        <v>168</v>
      </c>
    </row>
    <row r="282" spans="1:1" ht="20.100000000000001" customHeight="1" x14ac:dyDescent="0.3">
      <c r="A282" s="23" t="s">
        <v>169</v>
      </c>
    </row>
    <row r="283" spans="1:1" ht="20.100000000000001" customHeight="1" x14ac:dyDescent="0.3">
      <c r="A283" s="28" t="s">
        <v>170</v>
      </c>
    </row>
    <row r="284" spans="1:1" ht="20.100000000000001" customHeight="1" x14ac:dyDescent="0.3">
      <c r="A284" s="28" t="s">
        <v>171</v>
      </c>
    </row>
    <row r="285" spans="1:1" ht="20.100000000000001" customHeight="1" x14ac:dyDescent="0.3">
      <c r="A285" s="28" t="s">
        <v>172</v>
      </c>
    </row>
    <row r="286" spans="1:1" ht="20.100000000000001" customHeight="1" thickBot="1" x14ac:dyDescent="0.35">
      <c r="A286" s="23" t="s">
        <v>173</v>
      </c>
    </row>
    <row r="287" spans="1:1" ht="20.100000000000001" customHeight="1" thickBot="1" x14ac:dyDescent="0.35">
      <c r="A287" s="2" t="s">
        <v>58</v>
      </c>
    </row>
    <row r="288" spans="1:1" ht="20.100000000000001" customHeight="1" thickBot="1" x14ac:dyDescent="0.35">
      <c r="A288" s="2" t="s">
        <v>58</v>
      </c>
    </row>
    <row r="289" spans="1:1" ht="20.100000000000001" customHeight="1" thickBot="1" x14ac:dyDescent="0.35">
      <c r="A289" s="2" t="s">
        <v>58</v>
      </c>
    </row>
    <row r="290" spans="1:1" ht="20.100000000000001" customHeight="1" thickBot="1" x14ac:dyDescent="0.35">
      <c r="A290" s="2" t="s">
        <v>58</v>
      </c>
    </row>
    <row r="291" spans="1:1" ht="20.100000000000001" customHeight="1" thickBot="1" x14ac:dyDescent="0.35">
      <c r="A291" s="2" t="s">
        <v>58</v>
      </c>
    </row>
    <row r="292" spans="1:1" ht="20.100000000000001" customHeight="1" thickBot="1" x14ac:dyDescent="0.35">
      <c r="A292" s="2" t="s">
        <v>58</v>
      </c>
    </row>
    <row r="293" spans="1:1" ht="20.100000000000001" customHeight="1" thickBot="1" x14ac:dyDescent="0.35">
      <c r="A293" s="2" t="s">
        <v>58</v>
      </c>
    </row>
    <row r="294" spans="1:1" ht="20.100000000000001" customHeight="1" thickBot="1" x14ac:dyDescent="0.35">
      <c r="A294" s="2" t="s">
        <v>58</v>
      </c>
    </row>
    <row r="295" spans="1:1" ht="20.100000000000001" customHeight="1" thickBot="1" x14ac:dyDescent="0.35">
      <c r="A295" s="2" t="s">
        <v>58</v>
      </c>
    </row>
    <row r="296" spans="1:1" ht="20.100000000000001" customHeight="1" thickBot="1" x14ac:dyDescent="0.35">
      <c r="A296" s="2" t="s">
        <v>58</v>
      </c>
    </row>
    <row r="297" spans="1:1" ht="20.100000000000001" customHeight="1" thickBot="1" x14ac:dyDescent="0.35">
      <c r="A297" s="2" t="s">
        <v>58</v>
      </c>
    </row>
    <row r="298" spans="1:1" ht="20.100000000000001" customHeight="1" thickBot="1" x14ac:dyDescent="0.35">
      <c r="A298" s="2" t="s">
        <v>58</v>
      </c>
    </row>
    <row r="299" spans="1:1" ht="20.100000000000001" customHeight="1" thickBot="1" x14ac:dyDescent="0.35">
      <c r="A299" s="2" t="s">
        <v>58</v>
      </c>
    </row>
    <row r="300" spans="1:1" ht="20.100000000000001" customHeight="1" thickBot="1" x14ac:dyDescent="0.35">
      <c r="A300" s="2" t="s">
        <v>58</v>
      </c>
    </row>
    <row r="301" spans="1:1" ht="20.100000000000001" customHeight="1" thickBot="1" x14ac:dyDescent="0.35">
      <c r="A301" s="2" t="s">
        <v>58</v>
      </c>
    </row>
    <row r="302" spans="1:1" ht="20.100000000000001" customHeight="1" thickBot="1" x14ac:dyDescent="0.35">
      <c r="A302" s="2" t="s">
        <v>58</v>
      </c>
    </row>
    <row r="303" spans="1:1" ht="20.100000000000001" customHeight="1" thickBot="1" x14ac:dyDescent="0.35">
      <c r="A303" s="2" t="s">
        <v>58</v>
      </c>
    </row>
    <row r="304" spans="1:1" ht="20.100000000000001" customHeight="1" thickBot="1" x14ac:dyDescent="0.35">
      <c r="A304" s="2" t="s">
        <v>58</v>
      </c>
    </row>
    <row r="305" spans="1:1" ht="20.100000000000001" customHeight="1" thickBot="1" x14ac:dyDescent="0.35">
      <c r="A305" s="2" t="s">
        <v>58</v>
      </c>
    </row>
    <row r="306" spans="1:1" ht="20.100000000000001" customHeight="1" thickBot="1" x14ac:dyDescent="0.35">
      <c r="A306" s="2" t="s">
        <v>58</v>
      </c>
    </row>
    <row r="307" spans="1:1" ht="20.100000000000001" customHeight="1" thickBot="1" x14ac:dyDescent="0.35">
      <c r="A307" s="2" t="s">
        <v>58</v>
      </c>
    </row>
    <row r="308" spans="1:1" ht="20.100000000000001" customHeight="1" thickBot="1" x14ac:dyDescent="0.35">
      <c r="A308" s="2" t="s">
        <v>58</v>
      </c>
    </row>
    <row r="309" spans="1:1" ht="20.100000000000001" customHeight="1" thickBot="1" x14ac:dyDescent="0.35">
      <c r="A309" s="2" t="s">
        <v>58</v>
      </c>
    </row>
    <row r="310" spans="1:1" ht="20.100000000000001" customHeight="1" thickBot="1" x14ac:dyDescent="0.35">
      <c r="A310" s="2" t="s">
        <v>58</v>
      </c>
    </row>
    <row r="311" spans="1:1" ht="20.100000000000001" customHeight="1" thickBot="1" x14ac:dyDescent="0.35">
      <c r="A311" s="2" t="s">
        <v>58</v>
      </c>
    </row>
    <row r="312" spans="1:1" ht="20.100000000000001" customHeight="1" thickBot="1" x14ac:dyDescent="0.35">
      <c r="A312" s="2" t="s">
        <v>58</v>
      </c>
    </row>
    <row r="313" spans="1:1" ht="20.100000000000001" customHeight="1" thickBot="1" x14ac:dyDescent="0.35">
      <c r="A313" s="2" t="s">
        <v>58</v>
      </c>
    </row>
    <row r="314" spans="1:1" ht="20.100000000000001" customHeight="1" thickBot="1" x14ac:dyDescent="0.35">
      <c r="A314" s="2" t="s">
        <v>58</v>
      </c>
    </row>
    <row r="315" spans="1:1" ht="20.100000000000001" customHeight="1" thickBot="1" x14ac:dyDescent="0.35">
      <c r="A315" s="2" t="s">
        <v>58</v>
      </c>
    </row>
    <row r="316" spans="1:1" ht="20.100000000000001" customHeight="1" thickBot="1" x14ac:dyDescent="0.35">
      <c r="A316" s="2" t="s">
        <v>58</v>
      </c>
    </row>
    <row r="317" spans="1:1" ht="20.100000000000001" customHeight="1" thickBot="1" x14ac:dyDescent="0.35">
      <c r="A317" s="2" t="s">
        <v>58</v>
      </c>
    </row>
    <row r="318" spans="1:1" ht="20.100000000000001" customHeight="1" thickBot="1" x14ac:dyDescent="0.35">
      <c r="A318" s="2" t="s">
        <v>58</v>
      </c>
    </row>
    <row r="319" spans="1:1" ht="20.100000000000001" customHeight="1" thickBot="1" x14ac:dyDescent="0.35">
      <c r="A319" s="2" t="s">
        <v>58</v>
      </c>
    </row>
    <row r="320" spans="1:1" ht="20.100000000000001" customHeight="1" thickBot="1" x14ac:dyDescent="0.35">
      <c r="A320" s="2" t="s">
        <v>58</v>
      </c>
    </row>
    <row r="321" spans="1:1" ht="20.100000000000001" customHeight="1" thickBot="1" x14ac:dyDescent="0.35">
      <c r="A321" s="2" t="s">
        <v>58</v>
      </c>
    </row>
    <row r="322" spans="1:1" ht="20.100000000000001" customHeight="1" thickBot="1" x14ac:dyDescent="0.35">
      <c r="A322" s="2" t="s">
        <v>58</v>
      </c>
    </row>
    <row r="323" spans="1:1" ht="20.100000000000001" customHeight="1" thickBot="1" x14ac:dyDescent="0.35">
      <c r="A323" s="2" t="s">
        <v>58</v>
      </c>
    </row>
    <row r="324" spans="1:1" ht="20.100000000000001" customHeight="1" thickBot="1" x14ac:dyDescent="0.35">
      <c r="A324" s="2" t="s">
        <v>58</v>
      </c>
    </row>
    <row r="325" spans="1:1" ht="20.100000000000001" customHeight="1" thickBot="1" x14ac:dyDescent="0.35">
      <c r="A325" s="2" t="s">
        <v>58</v>
      </c>
    </row>
    <row r="326" spans="1:1" ht="20.100000000000001" customHeight="1" thickBot="1" x14ac:dyDescent="0.35">
      <c r="A326" s="2" t="s">
        <v>58</v>
      </c>
    </row>
    <row r="327" spans="1:1" ht="20.100000000000001" customHeight="1" thickBot="1" x14ac:dyDescent="0.35">
      <c r="A327" s="2" t="s">
        <v>58</v>
      </c>
    </row>
    <row r="328" spans="1:1" ht="20.100000000000001" customHeight="1" thickBot="1" x14ac:dyDescent="0.35">
      <c r="A328" s="2" t="s">
        <v>58</v>
      </c>
    </row>
    <row r="329" spans="1:1" ht="20.100000000000001" customHeight="1" thickBot="1" x14ac:dyDescent="0.35">
      <c r="A329" s="2" t="s">
        <v>58</v>
      </c>
    </row>
    <row r="330" spans="1:1" ht="20.100000000000001" customHeight="1" thickBot="1" x14ac:dyDescent="0.35">
      <c r="A330" s="2" t="s">
        <v>58</v>
      </c>
    </row>
    <row r="331" spans="1:1" ht="20.100000000000001" customHeight="1" thickBot="1" x14ac:dyDescent="0.35">
      <c r="A331" s="2" t="s">
        <v>58</v>
      </c>
    </row>
    <row r="332" spans="1:1" ht="20.100000000000001" customHeight="1" thickBot="1" x14ac:dyDescent="0.35">
      <c r="A332" s="2" t="s">
        <v>58</v>
      </c>
    </row>
    <row r="333" spans="1:1" ht="20.100000000000001" customHeight="1" thickBot="1" x14ac:dyDescent="0.35">
      <c r="A333" s="2" t="s">
        <v>58</v>
      </c>
    </row>
    <row r="334" spans="1:1" ht="20.100000000000001" customHeight="1" thickBot="1" x14ac:dyDescent="0.35">
      <c r="A334" s="2" t="s">
        <v>58</v>
      </c>
    </row>
    <row r="335" spans="1:1" ht="20.100000000000001" customHeight="1" thickBot="1" x14ac:dyDescent="0.35">
      <c r="A335" s="2" t="s">
        <v>58</v>
      </c>
    </row>
    <row r="336" spans="1:1" ht="20.100000000000001" customHeight="1" thickBot="1" x14ac:dyDescent="0.35">
      <c r="A336" s="2" t="s">
        <v>58</v>
      </c>
    </row>
    <row r="337" spans="1:1" ht="20.100000000000001" customHeight="1" thickBot="1" x14ac:dyDescent="0.35">
      <c r="A337" s="2" t="s">
        <v>58</v>
      </c>
    </row>
    <row r="338" spans="1:1" ht="20.100000000000001" customHeight="1" thickBot="1" x14ac:dyDescent="0.35">
      <c r="A338" s="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'قائمة التقييم'!_Hlk189049123</vt:lpstr>
      <vt:lpstr>'قائمة التقييم'!Print_Area</vt:lpstr>
      <vt:lpstr>'قائمة التقييم'!Print_Titles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2025-10-07T15:42:43Z</dcterms:modified>
</cp:coreProperties>
</file>