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DEE9440-5C9E-432F-B3A3-E3C08343EA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التقييم'!$A$1:$J$97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/>
  <c r="G12" i="2"/>
  <c r="H12" i="2"/>
  <c r="G13" i="2"/>
  <c r="H13" i="2"/>
  <c r="G14" i="2"/>
  <c r="H14" i="2" s="1"/>
  <c r="G15" i="2"/>
  <c r="H15" i="2"/>
  <c r="G16" i="2"/>
  <c r="H16" i="2" s="1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 s="1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8" i="2"/>
  <c r="H58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7" i="2"/>
  <c r="H87" i="2"/>
  <c r="G88" i="2"/>
  <c r="H88" i="2"/>
  <c r="G89" i="2"/>
  <c r="H89" i="2"/>
  <c r="G90" i="2"/>
  <c r="H90" i="2"/>
  <c r="G91" i="2"/>
  <c r="H91" i="2"/>
  <c r="G92" i="2"/>
  <c r="H92" i="2" s="1"/>
  <c r="G8" i="2"/>
  <c r="H8" i="2" s="1"/>
  <c r="F93" i="2"/>
  <c r="E93" i="2"/>
  <c r="E94" i="2" l="1"/>
  <c r="E95" i="2" s="1"/>
</calcChain>
</file>

<file path=xl/sharedStrings.xml><?xml version="1.0" encoding="utf-8"?>
<sst xmlns="http://schemas.openxmlformats.org/spreadsheetml/2006/main" count="345" uniqueCount="266">
  <si>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</si>
  <si>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</si>
  <si>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</si>
  <si>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</si>
  <si>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</si>
  <si>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</si>
  <si>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</si>
  <si>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</si>
  <si>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</si>
  <si>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</si>
  <si>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</si>
  <si>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</si>
  <si>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</si>
  <si>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</si>
  <si>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</si>
  <si>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</si>
  <si>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</si>
  <si>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</si>
  <si>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</si>
  <si>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</si>
  <si>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</si>
  <si>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</si>
  <si>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</si>
  <si>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</si>
  <si>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</si>
  <si>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</si>
  <si>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</si>
  <si>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</si>
  <si>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</si>
  <si>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</si>
  <si>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</si>
  <si>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</si>
  <si>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</si>
  <si>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</si>
  <si>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</si>
  <si>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</si>
  <si>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</si>
  <si>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</si>
  <si>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</si>
  <si>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</si>
  <si>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</si>
  <si>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</si>
  <si>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</si>
  <si>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</si>
  <si>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</si>
  <si>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</si>
  <si>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</si>
  <si>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</si>
  <si>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</si>
  <si>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</si>
  <si>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</si>
  <si>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</si>
  <si>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</si>
  <si>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</si>
  <si>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</si>
  <si>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</si>
  <si>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</si>
  <si>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</si>
  <si>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</si>
  <si>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</si>
  <si>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</si>
  <si>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</si>
  <si>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</si>
  <si>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</si>
  <si>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</si>
  <si>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</si>
  <si>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</si>
  <si>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</si>
  <si>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</si>
  <si>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</si>
  <si>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</si>
  <si>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</si>
  <si>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</si>
  <si>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</si>
  <si>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</si>
  <si>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</si>
  <si>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</si>
  <si>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</si>
  <si>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</si>
  <si>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</si>
  <si>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</si>
  <si>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</si>
  <si>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</si>
  <si>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</si>
  <si>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</si>
  <si>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</si>
  <si>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</si>
  <si>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</si>
  <si>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</si>
  <si>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</si>
  <si>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</si>
  <si>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</si>
  <si>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</si>
  <si>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</si>
  <si>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</si>
  <si>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</si>
  <si>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</si>
  <si>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</si>
  <si>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</si>
  <si>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</si>
  <si>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</si>
  <si>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</si>
  <si>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</si>
  <si>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</si>
  <si>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</si>
  <si>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</si>
  <si>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</si>
  <si>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</si>
  <si>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</si>
  <si>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</si>
  <si>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</si>
  <si>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</si>
  <si>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</si>
  <si>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</si>
  <si>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</si>
  <si>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</si>
  <si>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</si>
  <si>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</si>
  <si>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</si>
  <si>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</si>
  <si>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</si>
  <si>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</si>
  <si>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</si>
  <si>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</si>
  <si>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</si>
  <si>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</si>
  <si>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</si>
  <si>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</si>
  <si>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</si>
  <si>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</si>
  <si>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</si>
  <si>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</si>
  <si>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</si>
  <si>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</si>
  <si>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</si>
  <si>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</si>
  <si>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</si>
  <si>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</si>
  <si>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</si>
  <si>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</si>
  <si>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</si>
  <si>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</si>
  <si>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</si>
  <si>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</si>
  <si>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</si>
  <si>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</si>
  <si>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</si>
  <si>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</si>
  <si>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</si>
  <si>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</si>
  <si>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</si>
  <si>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</si>
  <si>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</si>
  <si>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</si>
  <si>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</si>
  <si>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</si>
  <si>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</si>
  <si>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</si>
  <si>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</si>
  <si>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</si>
  <si>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</si>
  <si>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</si>
  <si>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</si>
  <si>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</si>
  <si>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</si>
  <si>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</si>
  <si>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</si>
  <si>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</si>
  <si>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</si>
  <si>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</si>
  <si>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</si>
  <si>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</si>
  <si>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</si>
  <si>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</si>
  <si>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</si>
  <si>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</si>
  <si>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</si>
  <si>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r>
      <t>1.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</si>
  <si>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قائد الوحدة</t>
    </r>
    <r>
      <rPr>
        <b/>
        <sz val="12"/>
        <color rgb="FF000000"/>
        <rFont val="Arial"/>
        <family val="2"/>
      </rPr>
      <t>.</t>
    </r>
  </si>
  <si>
    <t>أ.    استلام المهمة وتفهم المطلوب في الوقت المحدد.</t>
  </si>
  <si>
    <t>ب.   الرد بالاعتراف على البرقية حسب الوقت المحدد.</t>
  </si>
  <si>
    <t>جـ.   تحرير برقية رفع الحالة وإرسالها إلى مستوى الأعلى والأدنى.</t>
  </si>
  <si>
    <t>د.    الكشف من الخارطة.</t>
  </si>
  <si>
    <t>هـ.   إصدار أمر إنذاري والحصول على الاعتراف من المستوى الأدنى.</t>
  </si>
  <si>
    <t>و.    تسجيل برقية رفع الحالة في سجل الحوادث.</t>
  </si>
  <si>
    <t>ز.   عمل تقدير موقف للوقت من قبل القائد مع مراعاة ثلثي الوقت لعمل وإجراءات المرؤوسين وتشمل الإجراءات منذ استلام المهمة وحتى ساعة الصفر.</t>
  </si>
  <si>
    <t>ح.   عمل تقدير موقف ذهني سريع من قبل القائد.</t>
  </si>
  <si>
    <t>ط.   إنذار الوحدة بالمهمة ووسائل الإنذار المتوفرة.</t>
  </si>
  <si>
    <t>ي.   توضيح المطلوب للقادة المرؤوسين والإجابة على استفساراتهم.</t>
  </si>
  <si>
    <t>ك.   التقيد بأصول المخابرة في عملية إرسال البرقية.</t>
  </si>
  <si>
    <t>ل.   التقيد بواجبات الأركان الصغرى في كتابة الأمر الإنذاري.</t>
  </si>
  <si>
    <r>
      <t>3.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يسلم مكتوب لنائب قائد الوحدة ونسخة للمحكم ويشمل:</t>
    </r>
  </si>
  <si>
    <t>أ.    ملخص عن العمليات المقبلة.</t>
  </si>
  <si>
    <t>ب.   موقع ووقت اجتماع قسم الأمر.</t>
  </si>
  <si>
    <t>جـ.   تفاصيل عن منطقة التجمع.</t>
  </si>
  <si>
    <t>د.    تحديدات الحركة (حسب المهمة).</t>
  </si>
  <si>
    <t>هـ.   منطقة التجمع.</t>
  </si>
  <si>
    <t>و.    حدود الكشف.</t>
  </si>
  <si>
    <t>ز.   التعليمات الإدارية.</t>
  </si>
  <si>
    <r>
      <t>4.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Times New Roman"/>
        <family val="1"/>
      </rPr>
      <t>التأكد من استخدام وسائل الإنذار المتوفرة (المسموعة، المرئية، الضوئية) حسب ما جاء في تعليمات التحول.</t>
    </r>
  </si>
  <si>
    <r>
      <t>5.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وصول البرقية إلى المرؤوسين وتفهمها من قبلهم.</t>
    </r>
  </si>
  <si>
    <r>
      <t>6.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إصدار الأوامر إلى المرؤوسين (شفهية، مكتوبة، بواسطة اللاسلكي).</t>
    </r>
  </si>
  <si>
    <r>
      <t>7.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</t>
    </r>
    <r>
      <rPr>
        <b/>
        <sz val="12"/>
        <color rgb="FF000000"/>
        <rFont val="Arial"/>
        <family val="2"/>
      </rPr>
      <t>.</t>
    </r>
  </si>
  <si>
    <t>أ.    تحرك الوحدات المرؤوسة لتنفيذ التحول حسب تعليمات والخطة الزمنية لرفع الحالة.</t>
  </si>
  <si>
    <t>ب.   توفر خطة مفصلة توضح الإجراءات وتوقيتاتها المحددة.</t>
  </si>
  <si>
    <t>جـ.   التزام وتفهم مرتب الوحدة (الكتائب / السرايا / الفصائل) بتعليمات رفع الحالة وتنفيذهـا بطريقـة سليمـة وحسب الحالة المطلوبة.</t>
  </si>
  <si>
    <t>د.    مدى التقيد بالتوقيتات المحددة في الخطة الزمنية.</t>
  </si>
  <si>
    <t>هـ.   أسلوب وإجراءات تنفيذ الخطة الزمنية.</t>
  </si>
  <si>
    <t>و.    التأكد من حماس وجديـة الضبـاط والرتـب الأخرى في تنفيـذ الواجبات ومـــدى تفهمهم لإجراءات رفع الحالة.</t>
  </si>
  <si>
    <t>ز.   التأكد من إجراءات تحميل / تعبئة الذخيرة (التقيد باحتياطات الأمان ومخطط التحميل).</t>
  </si>
  <si>
    <t>ح.   استلام المهمات الكيميائية.</t>
  </si>
  <si>
    <t>ط.   تعبئة وتحميل الوقود والمياه.</t>
  </si>
  <si>
    <t>ي.   تحميل الأرزاق لـ (48) ساعة.</t>
  </si>
  <si>
    <t>ك.   تحميل المهمات الإدارية والهندسية.</t>
  </si>
  <si>
    <t>ل.   تركيب الأسلحة والأجهزة واختبارها.</t>
  </si>
  <si>
    <t>م.   وضع خطة للتحميل والتقيد بها أثناء عملية التحميل ومدى فعاليتها.</t>
  </si>
  <si>
    <r>
      <t>8.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</t>
    </r>
    <r>
      <rPr>
        <b/>
        <sz val="12"/>
        <color rgb="FF000000"/>
        <rFont val="Arial"/>
        <family val="2"/>
      </rPr>
      <t>.</t>
    </r>
  </si>
  <si>
    <t>أ.    اصطفاف القوة بالميدان في الوقت المحدد في تعليمات رفع حالات الاستعداد القتالي.</t>
  </si>
  <si>
    <t>ب.  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</si>
  <si>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  مدى إلمام الضباط والرتب الأخرى باستخدام المعدات والآليات حسب تخصصاتهم.</t>
  </si>
  <si>
    <t>د.    تعبئة وإدامة جداول الركوب والتحميل طبقاً لحالات الاستعداد القتالي ومطابقته للواقع.</t>
  </si>
  <si>
    <t xml:space="preserve">هـ.   التأكد من عدم تحميل الآليات أكثر من حمولتها المقررة </t>
  </si>
  <si>
    <t>و.    تعبئة وإدامة سجلات استلام الذخائر.</t>
  </si>
  <si>
    <r>
      <t>9.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الآليات</t>
    </r>
    <r>
      <rPr>
        <b/>
        <sz val="12"/>
        <color rgb="FF000000"/>
        <rFont val="Arial"/>
        <family val="2"/>
      </rPr>
      <t>.</t>
    </r>
  </si>
  <si>
    <t>أ.    التأكد من جاهزية الآليات من حيث (الوقود، المياه، العدة، سجل الآلية، شباك التمويه مع العصي، إلخ).</t>
  </si>
  <si>
    <t>ب.   التأكد من نسبة استكمال الأسلحة والمعدات.</t>
  </si>
  <si>
    <t>جـ.   التأكد من نسبة استكمال الآليات المقاتلة ( أ ).</t>
  </si>
  <si>
    <t>د.    توفير نقليات (ب) لحمل (ذخائر الخط الثاني).</t>
  </si>
  <si>
    <r>
      <t>10.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فـرش المتاع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حقيبة الميدان وتشمل:</t>
    </r>
  </si>
  <si>
    <t>أ.    عدد (1) بدلة مموهه.</t>
  </si>
  <si>
    <t>ب.   خـوذه.</t>
  </si>
  <si>
    <t>جـ.   فوطه.</t>
  </si>
  <si>
    <t>د.    جراب.</t>
  </si>
  <si>
    <t>هـ.   ملابس داخلية.</t>
  </si>
  <si>
    <t>و.    ملابس رياضة (شورت، حذاء، فانله).</t>
  </si>
  <si>
    <t>ز.   أدوات الطعام.</t>
  </si>
  <si>
    <t>ح.   أدوات الخياطة.</t>
  </si>
  <si>
    <t>ط.   أدوات حلاقة + معجون وفرشاة أسنان.</t>
  </si>
  <si>
    <t>ي.   كيس النوم.</t>
  </si>
  <si>
    <t>ك.   لباس مدني.</t>
  </si>
  <si>
    <t>ل.   شماغ (عسكري / مدني).</t>
  </si>
  <si>
    <t>م.   مشمع أرضي.</t>
  </si>
  <si>
    <t>ن.   ترتيب ونظافة محتويات الحقيبة.</t>
  </si>
  <si>
    <r>
      <t>11.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صندوق / آلية الوثائق</t>
    </r>
    <r>
      <rPr>
        <b/>
        <sz val="12"/>
        <color rgb="FF000000"/>
        <rFont val="Arial"/>
        <family val="2"/>
      </rPr>
      <t>.</t>
    </r>
  </si>
  <si>
    <t>أ.    توفر صندوق لحفظ الوثائق والسجلات والقرطاسية اللازمة.</t>
  </si>
  <si>
    <t>ب.   وجود فهرس بمحتويات الصندوق ومطابقته مع الموجود.</t>
  </si>
  <si>
    <t>جـ.   توفر الخرائط والخطط الضرورية.</t>
  </si>
  <si>
    <t>د.    وجود الأوامر الثابتة لقيادته.</t>
  </si>
  <si>
    <t>هـ.   وجود قوائم التوزيع الشهرية.</t>
  </si>
  <si>
    <t>و.    وجود نموذج برقيــات.</t>
  </si>
  <si>
    <t>ز.   توفر كشف بأرقام الهواتف الهامة (عسكرية، مدنية).</t>
  </si>
  <si>
    <t>ح.   وجود وإدامة سجل الوارد والصادر.</t>
  </si>
  <si>
    <t>ط.   التأكد من إعداد وتجهيز آلية الوثائق.</t>
  </si>
  <si>
    <t>ي.   توفر وصلاحية وسائل الاتصالات الإشارية بآلية الوثائق.</t>
  </si>
  <si>
    <t>ك.   توفر وصلاحية الإضاءة الرئيسة والبديلة بآلية الوثائق.</t>
  </si>
  <si>
    <r>
      <t>12.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نظام المجموعات في السرية</t>
    </r>
    <r>
      <rPr>
        <b/>
        <sz val="12"/>
        <color rgb="FF000000"/>
        <rFont val="Arial"/>
        <family val="2"/>
      </rPr>
      <t>.</t>
    </r>
  </si>
  <si>
    <t>أ.    التأكد من جماعة الكشف (قائد السرية مأمور إشارة، ممثلون عن الأسلحة والخدمات المساندة إن وجدوا، فردين حماية، ضابط الرصد).</t>
  </si>
  <si>
    <t>ب.   التأكد من جماعة الأمـر (جماعـة كشف السرية، قـادة الفصائل).</t>
  </si>
  <si>
    <t>جـ.   مدى فعالية الكشف وإصدار الأوامر.</t>
  </si>
  <si>
    <t>د.    التأكد من عمل جميع المجموعات في آنٍ واحد (التزامن في العمل) من خلال الخطة الزمنية.</t>
  </si>
  <si>
    <r>
      <t>13.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</si>
  <si>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r>
      <t>14.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مدى كفاءة القائد القيادية والذهنية.</t>
    </r>
  </si>
  <si>
    <t>نقيب / حميد سعيد مسير الظاهري</t>
  </si>
  <si>
    <t>نقيب / يوسف محمد الفلاسي</t>
  </si>
  <si>
    <t>نقيب / سعيد راشد الظنحاني</t>
  </si>
  <si>
    <t>تقييم الجاهزية القتالية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</si>
</sst>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9" fontId="3" fillId="0" borderId="26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1"/>
    </xf>
    <xf numFmtId="0" fontId="2" fillId="0" borderId="28" xfId="0" applyFont="1" applyBorder="1" applyAlignment="1">
      <alignment horizontal="center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9" fontId="3" fillId="0" borderId="30" xfId="0" applyNumberFormat="1" applyFont="1" applyBorder="1" applyAlignment="1">
      <alignment horizontal="center" vertical="center" wrapText="1" readingOrder="2"/>
    </xf>
    <xf numFmtId="0" fontId="2" fillId="0" borderId="30" xfId="0" applyFont="1" applyBorder="1" applyAlignment="1">
      <alignment horizontal="center" vertical="center" wrapText="1" readingOrder="1"/>
    </xf>
    <xf numFmtId="0" fontId="12" fillId="0" borderId="19" xfId="0" applyFont="1" applyBorder="1" applyAlignment="1">
      <alignment horizontal="right" vertical="center" wrapText="1" indent="3" readingOrder="2"/>
    </xf>
    <xf numFmtId="0" fontId="12" fillId="0" borderId="0" xfId="0" applyFont="1" applyBorder="1" applyAlignment="1">
      <alignment horizontal="right" vertical="center" wrapText="1" indent="3" readingOrder="2"/>
    </xf>
    <xf numFmtId="0" fontId="12" fillId="0" borderId="20" xfId="0" applyFont="1" applyBorder="1" applyAlignment="1">
      <alignment horizontal="right" vertical="center" wrapText="1" indent="3" readingOrder="2"/>
    </xf>
    <xf numFmtId="0" fontId="12" fillId="0" borderId="21" xfId="0" applyFont="1" applyBorder="1" applyAlignment="1">
      <alignment horizontal="right" vertical="center" wrapText="1" indent="3" readingOrder="2"/>
    </xf>
    <xf numFmtId="0" fontId="12" fillId="0" borderId="22" xfId="0" applyFont="1" applyBorder="1" applyAlignment="1">
      <alignment horizontal="right" vertical="center" wrapText="1" indent="3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2" fillId="0" borderId="24" xfId="0" applyFont="1" applyBorder="1" applyAlignment="1">
      <alignment horizontal="right" vertical="center" wrapText="1" readingOrder="2"/>
    </xf>
    <xf numFmtId="0" fontId="2" fillId="0" borderId="14" xfId="0" applyFont="1" applyBorder="1" applyAlignment="1">
      <alignment horizontal="right" vertical="center" wrapText="1" readingOrder="2"/>
    </xf>
    <xf numFmtId="0" fontId="2" fillId="0" borderId="25" xfId="0" applyFont="1" applyBorder="1" applyAlignment="1">
      <alignment horizontal="right" vertical="center" wrapText="1" readingOrder="2"/>
    </xf>
    <xf numFmtId="0" fontId="2" fillId="0" borderId="17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8" xfId="0" applyFont="1" applyBorder="1" applyAlignment="1">
      <alignment horizontal="right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7" xfId="0" applyFont="1" applyFill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633046</xdr:colOff>
      <xdr:row>96</xdr:row>
      <xdr:rowOff>93785</xdr:rowOff>
    </xdr:from>
    <xdr:to>
      <xdr:col>9</xdr:col>
      <xdr:colOff>50458</xdr:colOff>
      <xdr:row>96</xdr:row>
      <xdr:rowOff>516695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AD2FF-87FA-CBAB-3896-4D55FE4FF2E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8577711" y="39266447"/>
          <a:ext cx="1334135" cy="422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97"/>
  <sheetViews>
    <sheetView rightToLeft="1" tabSelected="1" view="pageBreakPreview" topLeftCell="A88" zoomScale="130" zoomScaleNormal="100" zoomScaleSheetLayoutView="130" workbookViewId="0">
      <selection activeCell="F92" sqref="F9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7" t="s">
        <v>265</v>
      </c>
      <c r="C1" s="67"/>
      <c r="D1" s="67"/>
      <c r="E1" s="67"/>
      <c r="F1" s="67"/>
      <c r="G1" s="67"/>
      <c r="H1" s="67"/>
      <c r="I1" s="67"/>
      <c r="J1" s="67"/>
    </row>
    <row r="2" spans="1:10" ht="30" customHeight="1" x14ac:dyDescent="0.3">
      <c r="B2" s="13" t="s">
        <v>8</v>
      </c>
      <c r="C2" s="73" t="s">
        <v>37</v>
      </c>
      <c r="D2" s="73"/>
      <c r="E2" s="13" t="s">
        <v>7</v>
      </c>
      <c r="F2" s="68">
        <v>45929</v>
      </c>
      <c r="G2" s="68"/>
      <c r="H2" s="68"/>
      <c r="I2" s="68"/>
      <c r="J2" s="68"/>
    </row>
    <row r="3" spans="1:10" ht="30" customHeight="1" x14ac:dyDescent="0.3">
      <c r="B3" s="13" t="s">
        <v>9</v>
      </c>
      <c r="C3" s="73" t="s">
        <v>78</v>
      </c>
      <c r="D3" s="73"/>
      <c r="E3" s="13" t="s">
        <v>6</v>
      </c>
      <c r="F3" s="73" t="s">
        <v>133</v>
      </c>
      <c r="G3" s="73"/>
      <c r="H3" s="73"/>
      <c r="I3" s="73"/>
      <c r="J3" s="7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9" t="s">
        <v>0</v>
      </c>
      <c r="C5" s="70"/>
      <c r="D5" s="70"/>
      <c r="E5" s="78" t="s">
        <v>1</v>
      </c>
      <c r="F5" s="78"/>
      <c r="G5" s="78"/>
      <c r="H5" s="78"/>
      <c r="I5" s="78" t="s">
        <v>2</v>
      </c>
      <c r="J5" s="79"/>
    </row>
    <row r="6" spans="1:10" ht="24.9" customHeight="1" thickBot="1" x14ac:dyDescent="0.35">
      <c r="A6" s="10"/>
      <c r="B6" s="71"/>
      <c r="C6" s="72"/>
      <c r="D6" s="72"/>
      <c r="E6" s="11" t="s">
        <v>3</v>
      </c>
      <c r="F6" s="11" t="s">
        <v>4</v>
      </c>
      <c r="G6" s="11" t="s">
        <v>23</v>
      </c>
      <c r="H6" s="11" t="s">
        <v>24</v>
      </c>
      <c r="I6" s="80"/>
      <c r="J6" s="81"/>
    </row>
    <row r="7" spans="1:10" ht="24.9" customHeight="1" thickBot="1" x14ac:dyDescent="0.35">
      <c r="A7" s="10"/>
      <c r="B7" s="76" t="s">
        <v>21</v>
      </c>
      <c r="C7" s="77"/>
      <c r="D7" s="77"/>
      <c r="E7" s="12" t="s">
        <v>18</v>
      </c>
      <c r="F7" s="12" t="s">
        <v>19</v>
      </c>
      <c r="G7" s="12" t="s">
        <v>22</v>
      </c>
      <c r="H7" s="12" t="s">
        <v>20</v>
      </c>
      <c r="I7" s="82" t="s">
        <v>25</v>
      </c>
      <c r="J7" s="83"/>
    </row>
    <row r="8" spans="1:10" ht="39.9" customHeight="1" thickBot="1" x14ac:dyDescent="0.35">
      <c r="A8" s="10"/>
      <c r="B8" s="48" t="s">
        <v>177</v>
      </c>
      <c r="C8" s="49"/>
      <c r="D8" s="50"/>
      <c r="E8" s="9">
        <v>0</v>
      </c>
      <c r="F8" s="28" t="s">
        <v>61</v>
      </c>
      <c r="G8" s="29" t="str">
        <f>IFERROR(F8/E8,"")</f>
        <v/>
      </c>
      <c r="H8" s="27" t="str">
        <f>_xlfn.IFS(F8="أدخل العلامة","",F8="لا ينطبق","تم الإلغاء",G8&gt;=90%,"ممتاز",G8&gt;=80%,"جيد جداً",G8&gt;=70%,"جيد",G8&gt;=60%,"مقبول",G8&lt;60%,"راسب")</f>
        <v/>
      </c>
      <c r="I8" s="56"/>
      <c r="J8" s="57"/>
    </row>
    <row r="9" spans="1:10" ht="30" customHeight="1" x14ac:dyDescent="0.3">
      <c r="A9" s="10"/>
      <c r="B9" s="51" t="s">
        <v>178</v>
      </c>
      <c r="C9" s="52"/>
      <c r="D9" s="53"/>
      <c r="E9" s="30"/>
      <c r="F9" s="31"/>
      <c r="G9" s="32"/>
      <c r="H9" s="33"/>
      <c r="I9" s="58"/>
      <c r="J9" s="59"/>
    </row>
    <row r="10" spans="1:10" ht="30" customHeight="1" x14ac:dyDescent="0.3">
      <c r="A10" s="10"/>
      <c r="B10" s="42" t="s">
        <v>179</v>
      </c>
      <c r="C10" s="43"/>
      <c r="D10" s="44"/>
      <c r="E10" s="34">
        <v>0</v>
      </c>
      <c r="F10" s="35" t="s">
        <v>61</v>
      </c>
      <c r="G10" s="36" t="str">
        <f t="shared" ref="G10:G73" si="0">IFERROR(F10/E10,"")</f>
        <v/>
      </c>
      <c r="H10" s="37" t="str">
        <f t="shared" ref="H10:H73" si="1">_xlfn.IFS(F10="أدخل العلامة","",F10="لا ينطبق","تم الإلغاء",G10&gt;=90%,"ممتاز",G10&gt;=80%,"جيد جداً",G10&gt;=70%,"جيد",G10&gt;=60%,"مقبول",G10&lt;60%,"راسب")</f>
        <v/>
      </c>
      <c r="I10" s="54"/>
      <c r="J10" s="55"/>
    </row>
    <row r="11" spans="1:10" ht="30" customHeight="1" x14ac:dyDescent="0.3">
      <c r="A11" s="10"/>
      <c r="B11" s="42" t="s">
        <v>180</v>
      </c>
      <c r="C11" s="43"/>
      <c r="D11" s="44"/>
      <c r="E11" s="34">
        <v>0</v>
      </c>
      <c r="F11" s="35" t="s">
        <v>61</v>
      </c>
      <c r="G11" s="36" t="str">
        <f t="shared" si="0"/>
        <v/>
      </c>
      <c r="H11" s="37" t="str">
        <f t="shared" si="1"/>
        <v/>
      </c>
      <c r="I11" s="54"/>
      <c r="J11" s="55"/>
    </row>
    <row r="12" spans="1:10" ht="30" customHeight="1" x14ac:dyDescent="0.3">
      <c r="A12" s="10"/>
      <c r="B12" s="42" t="s">
        <v>181</v>
      </c>
      <c r="C12" s="43"/>
      <c r="D12" s="44"/>
      <c r="E12" s="34">
        <v>0</v>
      </c>
      <c r="F12" s="35" t="s">
        <v>61</v>
      </c>
      <c r="G12" s="36" t="str">
        <f t="shared" si="0"/>
        <v/>
      </c>
      <c r="H12" s="37" t="str">
        <f t="shared" si="1"/>
        <v/>
      </c>
      <c r="I12" s="54"/>
      <c r="J12" s="55"/>
    </row>
    <row r="13" spans="1:10" ht="30" customHeight="1" x14ac:dyDescent="0.3">
      <c r="A13" s="10"/>
      <c r="B13" s="42" t="s">
        <v>182</v>
      </c>
      <c r="C13" s="43"/>
      <c r="D13" s="44"/>
      <c r="E13" s="34">
        <v>0</v>
      </c>
      <c r="F13" s="35" t="s">
        <v>61</v>
      </c>
      <c r="G13" s="36" t="str">
        <f t="shared" si="0"/>
        <v/>
      </c>
      <c r="H13" s="37" t="str">
        <f t="shared" si="1"/>
        <v/>
      </c>
      <c r="I13" s="54"/>
      <c r="J13" s="55"/>
    </row>
    <row r="14" spans="1:10" ht="39.9" customHeight="1" x14ac:dyDescent="0.3">
      <c r="A14" s="10"/>
      <c r="B14" s="42" t="s">
        <v>183</v>
      </c>
      <c r="C14" s="43"/>
      <c r="D14" s="44"/>
      <c r="E14" s="34">
        <v>0</v>
      </c>
      <c r="F14" s="35" t="s">
        <v>61</v>
      </c>
      <c r="G14" s="36" t="str">
        <f t="shared" si="0"/>
        <v/>
      </c>
      <c r="H14" s="37" t="str">
        <f t="shared" si="1"/>
        <v/>
      </c>
      <c r="I14" s="54"/>
      <c r="J14" s="55"/>
    </row>
    <row r="15" spans="1:10" ht="30" customHeight="1" x14ac:dyDescent="0.3">
      <c r="A15" s="10"/>
      <c r="B15" s="42" t="s">
        <v>184</v>
      </c>
      <c r="C15" s="43"/>
      <c r="D15" s="44"/>
      <c r="E15" s="34">
        <v>0</v>
      </c>
      <c r="F15" s="35" t="s">
        <v>61</v>
      </c>
      <c r="G15" s="36" t="str">
        <f t="shared" si="0"/>
        <v/>
      </c>
      <c r="H15" s="37" t="str">
        <f t="shared" si="1"/>
        <v/>
      </c>
      <c r="I15" s="54"/>
      <c r="J15" s="55"/>
    </row>
    <row r="16" spans="1:10" ht="39.9" customHeight="1" x14ac:dyDescent="0.3">
      <c r="A16" s="10"/>
      <c r="B16" s="42" t="s">
        <v>185</v>
      </c>
      <c r="C16" s="43"/>
      <c r="D16" s="44"/>
      <c r="E16" s="34">
        <v>0</v>
      </c>
      <c r="F16" s="35" t="s">
        <v>61</v>
      </c>
      <c r="G16" s="36" t="str">
        <f t="shared" si="0"/>
        <v/>
      </c>
      <c r="H16" s="37" t="str">
        <f t="shared" si="1"/>
        <v/>
      </c>
      <c r="I16" s="54"/>
      <c r="J16" s="55"/>
    </row>
    <row r="17" spans="1:10" ht="30" customHeight="1" x14ac:dyDescent="0.3">
      <c r="A17" s="10"/>
      <c r="B17" s="42" t="s">
        <v>186</v>
      </c>
      <c r="C17" s="43"/>
      <c r="D17" s="44"/>
      <c r="E17" s="34">
        <v>0</v>
      </c>
      <c r="F17" s="35" t="s">
        <v>61</v>
      </c>
      <c r="G17" s="36" t="str">
        <f t="shared" si="0"/>
        <v/>
      </c>
      <c r="H17" s="37" t="str">
        <f t="shared" si="1"/>
        <v/>
      </c>
      <c r="I17" s="54"/>
      <c r="J17" s="55"/>
    </row>
    <row r="18" spans="1:10" ht="30" customHeight="1" x14ac:dyDescent="0.3">
      <c r="A18" s="10"/>
      <c r="B18" s="42" t="s">
        <v>187</v>
      </c>
      <c r="C18" s="43"/>
      <c r="D18" s="44"/>
      <c r="E18" s="34">
        <v>0</v>
      </c>
      <c r="F18" s="35" t="s">
        <v>61</v>
      </c>
      <c r="G18" s="36" t="str">
        <f t="shared" si="0"/>
        <v/>
      </c>
      <c r="H18" s="37" t="str">
        <f t="shared" si="1"/>
        <v/>
      </c>
      <c r="I18" s="54"/>
      <c r="J18" s="55"/>
    </row>
    <row r="19" spans="1:10" ht="30" customHeight="1" x14ac:dyDescent="0.3">
      <c r="A19" s="10"/>
      <c r="B19" s="42" t="s">
        <v>188</v>
      </c>
      <c r="C19" s="43"/>
      <c r="D19" s="44"/>
      <c r="E19" s="34">
        <v>0</v>
      </c>
      <c r="F19" s="35" t="s">
        <v>61</v>
      </c>
      <c r="G19" s="36" t="str">
        <f t="shared" si="0"/>
        <v/>
      </c>
      <c r="H19" s="37" t="str">
        <f t="shared" si="1"/>
        <v/>
      </c>
      <c r="I19" s="54"/>
      <c r="J19" s="55"/>
    </row>
    <row r="20" spans="1:10" ht="30" customHeight="1" x14ac:dyDescent="0.3">
      <c r="A20" s="10"/>
      <c r="B20" s="42" t="s">
        <v>189</v>
      </c>
      <c r="C20" s="43"/>
      <c r="D20" s="44"/>
      <c r="E20" s="34">
        <v>0</v>
      </c>
      <c r="F20" s="35" t="s">
        <v>61</v>
      </c>
      <c r="G20" s="36" t="str">
        <f t="shared" si="0"/>
        <v/>
      </c>
      <c r="H20" s="37" t="str">
        <f t="shared" si="1"/>
        <v/>
      </c>
      <c r="I20" s="54"/>
      <c r="J20" s="55"/>
    </row>
    <row r="21" spans="1:10" ht="30" customHeight="1" thickBot="1" x14ac:dyDescent="0.35">
      <c r="A21" s="10"/>
      <c r="B21" s="45" t="s">
        <v>190</v>
      </c>
      <c r="C21" s="46"/>
      <c r="D21" s="47"/>
      <c r="E21" s="38">
        <v>0</v>
      </c>
      <c r="F21" s="39" t="s">
        <v>61</v>
      </c>
      <c r="G21" s="40" t="str">
        <f t="shared" si="0"/>
        <v/>
      </c>
      <c r="H21" s="41" t="str">
        <f t="shared" si="1"/>
        <v/>
      </c>
      <c r="I21" s="65"/>
      <c r="J21" s="66"/>
    </row>
    <row r="22" spans="1:10" ht="39.9" customHeight="1" x14ac:dyDescent="0.3">
      <c r="A22" s="10"/>
      <c r="B22" s="51" t="s">
        <v>191</v>
      </c>
      <c r="C22" s="52"/>
      <c r="D22" s="53"/>
      <c r="E22" s="30"/>
      <c r="F22" s="31"/>
      <c r="G22" s="32"/>
      <c r="H22" s="33"/>
      <c r="I22" s="58"/>
      <c r="J22" s="59"/>
    </row>
    <row r="23" spans="1:10" ht="30" customHeight="1" x14ac:dyDescent="0.3">
      <c r="A23" s="10"/>
      <c r="B23" s="42" t="s">
        <v>192</v>
      </c>
      <c r="C23" s="43"/>
      <c r="D23" s="44"/>
      <c r="E23" s="34">
        <v>0</v>
      </c>
      <c r="F23" s="35" t="s">
        <v>61</v>
      </c>
      <c r="G23" s="36" t="str">
        <f t="shared" si="0"/>
        <v/>
      </c>
      <c r="H23" s="37" t="str">
        <f t="shared" si="1"/>
        <v/>
      </c>
      <c r="I23" s="54"/>
      <c r="J23" s="55"/>
    </row>
    <row r="24" spans="1:10" ht="30" customHeight="1" x14ac:dyDescent="0.3">
      <c r="A24" s="10"/>
      <c r="B24" s="42" t="s">
        <v>193</v>
      </c>
      <c r="C24" s="43"/>
      <c r="D24" s="44"/>
      <c r="E24" s="34">
        <v>0</v>
      </c>
      <c r="F24" s="35" t="s">
        <v>61</v>
      </c>
      <c r="G24" s="36" t="str">
        <f t="shared" si="0"/>
        <v/>
      </c>
      <c r="H24" s="37" t="str">
        <f t="shared" si="1"/>
        <v/>
      </c>
      <c r="I24" s="54"/>
      <c r="J24" s="55"/>
    </row>
    <row r="25" spans="1:10" ht="30" customHeight="1" x14ac:dyDescent="0.3">
      <c r="A25" s="10"/>
      <c r="B25" s="42" t="s">
        <v>194</v>
      </c>
      <c r="C25" s="43"/>
      <c r="D25" s="44"/>
      <c r="E25" s="34">
        <v>0</v>
      </c>
      <c r="F25" s="35" t="s">
        <v>61</v>
      </c>
      <c r="G25" s="36" t="str">
        <f t="shared" si="0"/>
        <v/>
      </c>
      <c r="H25" s="37" t="str">
        <f t="shared" si="1"/>
        <v/>
      </c>
      <c r="I25" s="54"/>
      <c r="J25" s="55"/>
    </row>
    <row r="26" spans="1:10" ht="30" customHeight="1" x14ac:dyDescent="0.3">
      <c r="A26" s="10"/>
      <c r="B26" s="42" t="s">
        <v>195</v>
      </c>
      <c r="C26" s="43"/>
      <c r="D26" s="44"/>
      <c r="E26" s="34">
        <v>0</v>
      </c>
      <c r="F26" s="35" t="s">
        <v>61</v>
      </c>
      <c r="G26" s="36" t="str">
        <f t="shared" si="0"/>
        <v/>
      </c>
      <c r="H26" s="37" t="str">
        <f t="shared" si="1"/>
        <v/>
      </c>
      <c r="I26" s="54"/>
      <c r="J26" s="55"/>
    </row>
    <row r="27" spans="1:10" ht="30" customHeight="1" x14ac:dyDescent="0.3">
      <c r="A27" s="10"/>
      <c r="B27" s="42" t="s">
        <v>196</v>
      </c>
      <c r="C27" s="43"/>
      <c r="D27" s="44"/>
      <c r="E27" s="34">
        <v>0</v>
      </c>
      <c r="F27" s="35" t="s">
        <v>61</v>
      </c>
      <c r="G27" s="36" t="str">
        <f t="shared" si="0"/>
        <v/>
      </c>
      <c r="H27" s="37" t="str">
        <f t="shared" si="1"/>
        <v/>
      </c>
      <c r="I27" s="54"/>
      <c r="J27" s="55"/>
    </row>
    <row r="28" spans="1:10" ht="30" customHeight="1" x14ac:dyDescent="0.3">
      <c r="A28" s="10"/>
      <c r="B28" s="42" t="s">
        <v>197</v>
      </c>
      <c r="C28" s="43"/>
      <c r="D28" s="44"/>
      <c r="E28" s="34">
        <v>0</v>
      </c>
      <c r="F28" s="35" t="s">
        <v>61</v>
      </c>
      <c r="G28" s="36" t="str">
        <f t="shared" si="0"/>
        <v/>
      </c>
      <c r="H28" s="37" t="str">
        <f t="shared" si="1"/>
        <v/>
      </c>
      <c r="I28" s="54"/>
      <c r="J28" s="55"/>
    </row>
    <row r="29" spans="1:10" ht="30" customHeight="1" thickBot="1" x14ac:dyDescent="0.35">
      <c r="A29" s="10"/>
      <c r="B29" s="45" t="s">
        <v>198</v>
      </c>
      <c r="C29" s="46"/>
      <c r="D29" s="47"/>
      <c r="E29" s="38">
        <v>0</v>
      </c>
      <c r="F29" s="39" t="s">
        <v>61</v>
      </c>
      <c r="G29" s="40" t="str">
        <f t="shared" si="0"/>
        <v/>
      </c>
      <c r="H29" s="41" t="str">
        <f t="shared" si="1"/>
        <v/>
      </c>
      <c r="I29" s="65"/>
      <c r="J29" s="66"/>
    </row>
    <row r="30" spans="1:10" ht="39.9" customHeight="1" thickBot="1" x14ac:dyDescent="0.35">
      <c r="A30" s="10"/>
      <c r="B30" s="48" t="s">
        <v>199</v>
      </c>
      <c r="C30" s="49"/>
      <c r="D30" s="50"/>
      <c r="E30" s="9">
        <v>0</v>
      </c>
      <c r="F30" s="28" t="s">
        <v>61</v>
      </c>
      <c r="G30" s="29" t="str">
        <f t="shared" si="0"/>
        <v/>
      </c>
      <c r="H30" s="27" t="str">
        <f t="shared" si="1"/>
        <v/>
      </c>
      <c r="I30" s="56"/>
      <c r="J30" s="57"/>
    </row>
    <row r="31" spans="1:10" ht="39.9" customHeight="1" thickBot="1" x14ac:dyDescent="0.35">
      <c r="A31" s="10"/>
      <c r="B31" s="48" t="s">
        <v>200</v>
      </c>
      <c r="C31" s="49"/>
      <c r="D31" s="50"/>
      <c r="E31" s="9">
        <v>0</v>
      </c>
      <c r="F31" s="28" t="s">
        <v>61</v>
      </c>
      <c r="G31" s="29" t="str">
        <f t="shared" si="0"/>
        <v/>
      </c>
      <c r="H31" s="27" t="str">
        <f t="shared" si="1"/>
        <v/>
      </c>
      <c r="I31" s="56"/>
      <c r="J31" s="57"/>
    </row>
    <row r="32" spans="1:10" ht="39.9" customHeight="1" thickBot="1" x14ac:dyDescent="0.35">
      <c r="A32" s="10"/>
      <c r="B32" s="48" t="s">
        <v>201</v>
      </c>
      <c r="C32" s="49"/>
      <c r="D32" s="50"/>
      <c r="E32" s="9">
        <v>0</v>
      </c>
      <c r="F32" s="28" t="s">
        <v>61</v>
      </c>
      <c r="G32" s="29" t="str">
        <f t="shared" si="0"/>
        <v/>
      </c>
      <c r="H32" s="27" t="str">
        <f t="shared" si="1"/>
        <v/>
      </c>
      <c r="I32" s="56"/>
      <c r="J32" s="57"/>
    </row>
    <row r="33" spans="1:10" ht="30" customHeight="1" x14ac:dyDescent="0.3">
      <c r="A33" s="10"/>
      <c r="B33" s="51" t="s">
        <v>202</v>
      </c>
      <c r="C33" s="52"/>
      <c r="D33" s="53"/>
      <c r="E33" s="30"/>
      <c r="F33" s="31"/>
      <c r="G33" s="32"/>
      <c r="H33" s="33"/>
      <c r="I33" s="58"/>
      <c r="J33" s="59"/>
    </row>
    <row r="34" spans="1:10" ht="39.9" customHeight="1" x14ac:dyDescent="0.3">
      <c r="A34" s="10"/>
      <c r="B34" s="42" t="s">
        <v>203</v>
      </c>
      <c r="C34" s="43"/>
      <c r="D34" s="44"/>
      <c r="E34" s="34">
        <v>6</v>
      </c>
      <c r="F34" s="35">
        <v>3.75</v>
      </c>
      <c r="G34" s="36">
        <f t="shared" si="0"/>
        <v>0.625</v>
      </c>
      <c r="H34" s="37" t="str">
        <f t="shared" si="1"/>
        <v>مقبول</v>
      </c>
      <c r="I34" s="54"/>
      <c r="J34" s="55"/>
    </row>
    <row r="35" spans="1:10" ht="30" customHeight="1" x14ac:dyDescent="0.3">
      <c r="A35" s="10"/>
      <c r="B35" s="42" t="s">
        <v>204</v>
      </c>
      <c r="C35" s="43"/>
      <c r="D35" s="44"/>
      <c r="E35" s="34">
        <v>6</v>
      </c>
      <c r="F35" s="35">
        <v>3.75</v>
      </c>
      <c r="G35" s="36">
        <f t="shared" si="0"/>
        <v>0.625</v>
      </c>
      <c r="H35" s="37" t="str">
        <f t="shared" si="1"/>
        <v>مقبول</v>
      </c>
      <c r="I35" s="54"/>
      <c r="J35" s="55"/>
    </row>
    <row r="36" spans="1:10" ht="39.9" customHeight="1" x14ac:dyDescent="0.3">
      <c r="A36" s="10"/>
      <c r="B36" s="42" t="s">
        <v>205</v>
      </c>
      <c r="C36" s="43"/>
      <c r="D36" s="44"/>
      <c r="E36" s="34">
        <v>6</v>
      </c>
      <c r="F36" s="35">
        <v>4.75</v>
      </c>
      <c r="G36" s="36">
        <f t="shared" si="0"/>
        <v>0.79166666666666663</v>
      </c>
      <c r="H36" s="37" t="str">
        <f t="shared" si="1"/>
        <v>جيد</v>
      </c>
      <c r="I36" s="54"/>
      <c r="J36" s="55"/>
    </row>
    <row r="37" spans="1:10" ht="30" customHeight="1" x14ac:dyDescent="0.3">
      <c r="A37" s="10"/>
      <c r="B37" s="42" t="s">
        <v>206</v>
      </c>
      <c r="C37" s="43"/>
      <c r="D37" s="44"/>
      <c r="E37" s="34">
        <v>6</v>
      </c>
      <c r="F37" s="35">
        <v>4.75</v>
      </c>
      <c r="G37" s="36">
        <f t="shared" si="0"/>
        <v>0.79166666666666663</v>
      </c>
      <c r="H37" s="37" t="str">
        <f t="shared" si="1"/>
        <v>جيد</v>
      </c>
      <c r="I37" s="54"/>
      <c r="J37" s="55"/>
    </row>
    <row r="38" spans="1:10" ht="30" customHeight="1" x14ac:dyDescent="0.3">
      <c r="A38" s="10"/>
      <c r="B38" s="42" t="s">
        <v>207</v>
      </c>
      <c r="C38" s="43"/>
      <c r="D38" s="44"/>
      <c r="E38" s="34">
        <v>6</v>
      </c>
      <c r="F38" s="35">
        <v>4.5</v>
      </c>
      <c r="G38" s="36">
        <f t="shared" si="0"/>
        <v>0.75</v>
      </c>
      <c r="H38" s="37" t="str">
        <f t="shared" si="1"/>
        <v>جيد</v>
      </c>
      <c r="I38" s="54"/>
      <c r="J38" s="55"/>
    </row>
    <row r="39" spans="1:10" ht="39.9" customHeight="1" x14ac:dyDescent="0.3">
      <c r="A39" s="10"/>
      <c r="B39" s="42" t="s">
        <v>208</v>
      </c>
      <c r="C39" s="43"/>
      <c r="D39" s="44"/>
      <c r="E39" s="34">
        <v>6</v>
      </c>
      <c r="F39" s="35">
        <v>4.75</v>
      </c>
      <c r="G39" s="36">
        <f t="shared" si="0"/>
        <v>0.79166666666666663</v>
      </c>
      <c r="H39" s="37" t="str">
        <f t="shared" si="1"/>
        <v>جيد</v>
      </c>
      <c r="I39" s="54"/>
      <c r="J39" s="55"/>
    </row>
    <row r="40" spans="1:10" ht="39.9" customHeight="1" x14ac:dyDescent="0.3">
      <c r="A40" s="10"/>
      <c r="B40" s="42" t="s">
        <v>209</v>
      </c>
      <c r="C40" s="43"/>
      <c r="D40" s="44"/>
      <c r="E40" s="34">
        <v>6</v>
      </c>
      <c r="F40" s="35">
        <v>4.75</v>
      </c>
      <c r="G40" s="36">
        <f t="shared" si="0"/>
        <v>0.79166666666666663</v>
      </c>
      <c r="H40" s="37" t="str">
        <f t="shared" si="1"/>
        <v>جيد</v>
      </c>
      <c r="I40" s="54"/>
      <c r="J40" s="55"/>
    </row>
    <row r="41" spans="1:10" ht="30" customHeight="1" x14ac:dyDescent="0.3">
      <c r="A41" s="10"/>
      <c r="B41" s="42" t="s">
        <v>210</v>
      </c>
      <c r="C41" s="43"/>
      <c r="D41" s="44"/>
      <c r="E41" s="34">
        <v>6</v>
      </c>
      <c r="F41" s="35">
        <v>4.75</v>
      </c>
      <c r="G41" s="36">
        <f t="shared" si="0"/>
        <v>0.79166666666666663</v>
      </c>
      <c r="H41" s="37" t="str">
        <f t="shared" si="1"/>
        <v>جيد</v>
      </c>
      <c r="I41" s="54"/>
      <c r="J41" s="55"/>
    </row>
    <row r="42" spans="1:10" ht="30" customHeight="1" x14ac:dyDescent="0.3">
      <c r="A42" s="10"/>
      <c r="B42" s="42" t="s">
        <v>211</v>
      </c>
      <c r="C42" s="43"/>
      <c r="D42" s="44"/>
      <c r="E42" s="34">
        <v>6</v>
      </c>
      <c r="F42" s="35">
        <v>4.75</v>
      </c>
      <c r="G42" s="36">
        <f t="shared" si="0"/>
        <v>0.79166666666666663</v>
      </c>
      <c r="H42" s="37" t="str">
        <f t="shared" si="1"/>
        <v>جيد</v>
      </c>
      <c r="I42" s="54"/>
      <c r="J42" s="55"/>
    </row>
    <row r="43" spans="1:10" ht="30" customHeight="1" x14ac:dyDescent="0.3">
      <c r="A43" s="10"/>
      <c r="B43" s="42" t="s">
        <v>212</v>
      </c>
      <c r="C43" s="43"/>
      <c r="D43" s="44"/>
      <c r="E43" s="34">
        <v>6</v>
      </c>
      <c r="F43" s="35">
        <v>4.75</v>
      </c>
      <c r="G43" s="36">
        <f t="shared" si="0"/>
        <v>0.79166666666666663</v>
      </c>
      <c r="H43" s="37" t="str">
        <f t="shared" si="1"/>
        <v>جيد</v>
      </c>
      <c r="I43" s="54"/>
      <c r="J43" s="55"/>
    </row>
    <row r="44" spans="1:10" ht="30" customHeight="1" x14ac:dyDescent="0.3">
      <c r="A44" s="10"/>
      <c r="B44" s="42" t="s">
        <v>213</v>
      </c>
      <c r="C44" s="43"/>
      <c r="D44" s="44"/>
      <c r="E44" s="34">
        <v>6</v>
      </c>
      <c r="F44" s="35">
        <v>3.75</v>
      </c>
      <c r="G44" s="36">
        <f t="shared" si="0"/>
        <v>0.625</v>
      </c>
      <c r="H44" s="37" t="str">
        <f t="shared" si="1"/>
        <v>مقبول</v>
      </c>
      <c r="I44" s="54"/>
      <c r="J44" s="55"/>
    </row>
    <row r="45" spans="1:10" ht="30" customHeight="1" x14ac:dyDescent="0.3">
      <c r="A45" s="10"/>
      <c r="B45" s="42" t="s">
        <v>214</v>
      </c>
      <c r="C45" s="43"/>
      <c r="D45" s="44"/>
      <c r="E45" s="34">
        <v>6</v>
      </c>
      <c r="F45" s="35">
        <v>4.5</v>
      </c>
      <c r="G45" s="36">
        <f t="shared" si="0"/>
        <v>0.75</v>
      </c>
      <c r="H45" s="37" t="str">
        <f t="shared" si="1"/>
        <v>جيد</v>
      </c>
      <c r="I45" s="54"/>
      <c r="J45" s="55"/>
    </row>
    <row r="46" spans="1:10" ht="39.9" customHeight="1" thickBot="1" x14ac:dyDescent="0.35">
      <c r="A46" s="10"/>
      <c r="B46" s="45" t="s">
        <v>215</v>
      </c>
      <c r="C46" s="46"/>
      <c r="D46" s="47"/>
      <c r="E46" s="38">
        <v>10</v>
      </c>
      <c r="F46" s="39">
        <v>6.75</v>
      </c>
      <c r="G46" s="40">
        <f t="shared" si="0"/>
        <v>0.67500000000000004</v>
      </c>
      <c r="H46" s="41" t="str">
        <f t="shared" si="1"/>
        <v>مقبول</v>
      </c>
      <c r="I46" s="65"/>
      <c r="J46" s="66"/>
    </row>
    <row r="47" spans="1:10" ht="30" customHeight="1" x14ac:dyDescent="0.3">
      <c r="A47" s="10"/>
      <c r="B47" s="51" t="s">
        <v>216</v>
      </c>
      <c r="C47" s="52"/>
      <c r="D47" s="53"/>
      <c r="E47" s="30"/>
      <c r="F47" s="31"/>
      <c r="G47" s="32"/>
      <c r="H47" s="33"/>
      <c r="I47" s="58"/>
      <c r="J47" s="59"/>
    </row>
    <row r="48" spans="1:10" ht="39.9" customHeight="1" x14ac:dyDescent="0.3">
      <c r="A48" s="10"/>
      <c r="B48" s="42" t="s">
        <v>217</v>
      </c>
      <c r="C48" s="43"/>
      <c r="D48" s="44"/>
      <c r="E48" s="34">
        <v>10</v>
      </c>
      <c r="F48" s="35">
        <v>7.75</v>
      </c>
      <c r="G48" s="36">
        <f t="shared" si="0"/>
        <v>0.77500000000000002</v>
      </c>
      <c r="H48" s="37" t="str">
        <f t="shared" si="1"/>
        <v>جيد</v>
      </c>
      <c r="I48" s="54"/>
      <c r="J48" s="55"/>
    </row>
    <row r="49" spans="1:10" ht="39.9" customHeight="1" x14ac:dyDescent="0.3">
      <c r="A49" s="10"/>
      <c r="B49" s="42" t="s">
        <v>218</v>
      </c>
      <c r="C49" s="43"/>
      <c r="D49" s="44"/>
      <c r="E49" s="34">
        <v>10</v>
      </c>
      <c r="F49" s="35">
        <v>7.75</v>
      </c>
      <c r="G49" s="36">
        <f t="shared" si="0"/>
        <v>0.77500000000000002</v>
      </c>
      <c r="H49" s="37" t="str">
        <f t="shared" si="1"/>
        <v>جيد</v>
      </c>
      <c r="I49" s="54"/>
      <c r="J49" s="55"/>
    </row>
    <row r="50" spans="1:10" ht="39.9" customHeight="1" x14ac:dyDescent="0.3">
      <c r="A50" s="10"/>
      <c r="B50" s="42" t="s">
        <v>219</v>
      </c>
      <c r="C50" s="43"/>
      <c r="D50" s="44"/>
      <c r="E50" s="34">
        <v>8</v>
      </c>
      <c r="F50" s="35">
        <v>5.75</v>
      </c>
      <c r="G50" s="36">
        <f t="shared" si="0"/>
        <v>0.71875</v>
      </c>
      <c r="H50" s="37" t="str">
        <f t="shared" si="1"/>
        <v>جيد</v>
      </c>
      <c r="I50" s="54"/>
      <c r="J50" s="55"/>
    </row>
    <row r="51" spans="1:10" ht="39.9" customHeight="1" x14ac:dyDescent="0.3">
      <c r="A51" s="10"/>
      <c r="B51" s="42" t="s">
        <v>220</v>
      </c>
      <c r="C51" s="43"/>
      <c r="D51" s="44"/>
      <c r="E51" s="34">
        <v>8</v>
      </c>
      <c r="F51" s="35">
        <v>6</v>
      </c>
      <c r="G51" s="36">
        <f t="shared" si="0"/>
        <v>0.75</v>
      </c>
      <c r="H51" s="37" t="str">
        <f t="shared" si="1"/>
        <v>جيد</v>
      </c>
      <c r="I51" s="54"/>
      <c r="J51" s="55"/>
    </row>
    <row r="52" spans="1:10" ht="30" customHeight="1" x14ac:dyDescent="0.3">
      <c r="A52" s="10"/>
      <c r="B52" s="42" t="s">
        <v>221</v>
      </c>
      <c r="C52" s="43"/>
      <c r="D52" s="44"/>
      <c r="E52" s="34">
        <v>8</v>
      </c>
      <c r="F52" s="35">
        <v>6.25</v>
      </c>
      <c r="G52" s="36">
        <f t="shared" si="0"/>
        <v>0.78125</v>
      </c>
      <c r="H52" s="37" t="str">
        <f t="shared" si="1"/>
        <v>جيد</v>
      </c>
      <c r="I52" s="54"/>
      <c r="J52" s="55"/>
    </row>
    <row r="53" spans="1:10" ht="30" customHeight="1" thickBot="1" x14ac:dyDescent="0.35">
      <c r="A53" s="10"/>
      <c r="B53" s="45" t="s">
        <v>222</v>
      </c>
      <c r="C53" s="46"/>
      <c r="D53" s="47"/>
      <c r="E53" s="38">
        <v>8</v>
      </c>
      <c r="F53" s="39">
        <v>6.25</v>
      </c>
      <c r="G53" s="40">
        <f t="shared" si="0"/>
        <v>0.78125</v>
      </c>
      <c r="H53" s="41" t="str">
        <f t="shared" si="1"/>
        <v>جيد</v>
      </c>
      <c r="I53" s="65"/>
      <c r="J53" s="66"/>
    </row>
    <row r="54" spans="1:10" ht="30" customHeight="1" x14ac:dyDescent="0.3">
      <c r="A54" s="10"/>
      <c r="B54" s="51" t="s">
        <v>223</v>
      </c>
      <c r="C54" s="52"/>
      <c r="D54" s="53"/>
      <c r="E54" s="30"/>
      <c r="F54" s="31"/>
      <c r="G54" s="32"/>
      <c r="H54" s="33"/>
      <c r="I54" s="58"/>
      <c r="J54" s="59"/>
    </row>
    <row r="55" spans="1:10" ht="39.9" customHeight="1" x14ac:dyDescent="0.3">
      <c r="A55" s="10"/>
      <c r="B55" s="42" t="s">
        <v>224</v>
      </c>
      <c r="C55" s="43"/>
      <c r="D55" s="44"/>
      <c r="E55" s="34">
        <v>10</v>
      </c>
      <c r="F55" s="35">
        <v>7.25</v>
      </c>
      <c r="G55" s="36">
        <f t="shared" si="0"/>
        <v>0.72499999999999998</v>
      </c>
      <c r="H55" s="37" t="str">
        <f t="shared" si="1"/>
        <v>جيد</v>
      </c>
      <c r="I55" s="54"/>
      <c r="J55" s="55"/>
    </row>
    <row r="56" spans="1:10" ht="30" customHeight="1" x14ac:dyDescent="0.3">
      <c r="A56" s="10"/>
      <c r="B56" s="42" t="s">
        <v>225</v>
      </c>
      <c r="C56" s="43"/>
      <c r="D56" s="44"/>
      <c r="E56" s="34">
        <v>8</v>
      </c>
      <c r="F56" s="35">
        <v>6</v>
      </c>
      <c r="G56" s="36">
        <f t="shared" si="0"/>
        <v>0.75</v>
      </c>
      <c r="H56" s="37" t="str">
        <f t="shared" si="1"/>
        <v>جيد</v>
      </c>
      <c r="I56" s="54"/>
      <c r="J56" s="55"/>
    </row>
    <row r="57" spans="1:10" ht="30" customHeight="1" x14ac:dyDescent="0.3">
      <c r="A57" s="10"/>
      <c r="B57" s="42" t="s">
        <v>226</v>
      </c>
      <c r="C57" s="43"/>
      <c r="D57" s="44"/>
      <c r="E57" s="34">
        <v>8</v>
      </c>
      <c r="F57" s="35">
        <v>6.25</v>
      </c>
      <c r="G57" s="36">
        <f t="shared" si="0"/>
        <v>0.78125</v>
      </c>
      <c r="H57" s="37" t="str">
        <f t="shared" si="1"/>
        <v>جيد</v>
      </c>
      <c r="I57" s="54"/>
      <c r="J57" s="55"/>
    </row>
    <row r="58" spans="1:10" ht="30" customHeight="1" thickBot="1" x14ac:dyDescent="0.35">
      <c r="A58" s="10"/>
      <c r="B58" s="45" t="s">
        <v>227</v>
      </c>
      <c r="C58" s="46"/>
      <c r="D58" s="47"/>
      <c r="E58" s="38">
        <v>8</v>
      </c>
      <c r="F58" s="39">
        <v>6.25</v>
      </c>
      <c r="G58" s="40">
        <f t="shared" si="0"/>
        <v>0.78125</v>
      </c>
      <c r="H58" s="41" t="str">
        <f t="shared" si="1"/>
        <v>جيد</v>
      </c>
      <c r="I58" s="65"/>
      <c r="J58" s="66"/>
    </row>
    <row r="59" spans="1:10" ht="30" customHeight="1" x14ac:dyDescent="0.3">
      <c r="A59" s="10"/>
      <c r="B59" s="51" t="s">
        <v>228</v>
      </c>
      <c r="C59" s="52"/>
      <c r="D59" s="53"/>
      <c r="E59" s="30"/>
      <c r="F59" s="31"/>
      <c r="G59" s="32"/>
      <c r="H59" s="33"/>
      <c r="I59" s="58"/>
      <c r="J59" s="59"/>
    </row>
    <row r="60" spans="1:10" ht="30" customHeight="1" x14ac:dyDescent="0.3">
      <c r="A60" s="10"/>
      <c r="B60" s="42" t="s">
        <v>229</v>
      </c>
      <c r="C60" s="43"/>
      <c r="D60" s="44"/>
      <c r="E60" s="34">
        <v>5</v>
      </c>
      <c r="F60" s="35">
        <v>3.5</v>
      </c>
      <c r="G60" s="36">
        <f t="shared" si="0"/>
        <v>0.7</v>
      </c>
      <c r="H60" s="37" t="str">
        <f t="shared" si="1"/>
        <v>جيد</v>
      </c>
      <c r="I60" s="54"/>
      <c r="J60" s="55"/>
    </row>
    <row r="61" spans="1:10" ht="30" customHeight="1" x14ac:dyDescent="0.3">
      <c r="A61" s="10"/>
      <c r="B61" s="42" t="s">
        <v>230</v>
      </c>
      <c r="C61" s="43"/>
      <c r="D61" s="44"/>
      <c r="E61" s="34">
        <v>5</v>
      </c>
      <c r="F61" s="35">
        <v>3.75</v>
      </c>
      <c r="G61" s="36">
        <f t="shared" si="0"/>
        <v>0.75</v>
      </c>
      <c r="H61" s="37" t="str">
        <f t="shared" si="1"/>
        <v>جيد</v>
      </c>
      <c r="I61" s="54"/>
      <c r="J61" s="55"/>
    </row>
    <row r="62" spans="1:10" ht="30" customHeight="1" x14ac:dyDescent="0.3">
      <c r="A62" s="10"/>
      <c r="B62" s="42" t="s">
        <v>231</v>
      </c>
      <c r="C62" s="43"/>
      <c r="D62" s="44"/>
      <c r="E62" s="34">
        <v>5</v>
      </c>
      <c r="F62" s="35">
        <v>3.25</v>
      </c>
      <c r="G62" s="36">
        <f t="shared" si="0"/>
        <v>0.65</v>
      </c>
      <c r="H62" s="37" t="str">
        <f t="shared" si="1"/>
        <v>مقبول</v>
      </c>
      <c r="I62" s="54"/>
      <c r="J62" s="55"/>
    </row>
    <row r="63" spans="1:10" ht="30" customHeight="1" x14ac:dyDescent="0.3">
      <c r="A63" s="10"/>
      <c r="B63" s="42" t="s">
        <v>232</v>
      </c>
      <c r="C63" s="43"/>
      <c r="D63" s="44"/>
      <c r="E63" s="34">
        <v>5</v>
      </c>
      <c r="F63" s="35">
        <v>3.25</v>
      </c>
      <c r="G63" s="36">
        <f t="shared" si="0"/>
        <v>0.65</v>
      </c>
      <c r="H63" s="37" t="str">
        <f t="shared" si="1"/>
        <v>مقبول</v>
      </c>
      <c r="I63" s="54"/>
      <c r="J63" s="55"/>
    </row>
    <row r="64" spans="1:10" ht="30" customHeight="1" x14ac:dyDescent="0.3">
      <c r="A64" s="10"/>
      <c r="B64" s="42" t="s">
        <v>233</v>
      </c>
      <c r="C64" s="43"/>
      <c r="D64" s="44"/>
      <c r="E64" s="34">
        <v>5</v>
      </c>
      <c r="F64" s="35">
        <v>3.5</v>
      </c>
      <c r="G64" s="36">
        <f t="shared" si="0"/>
        <v>0.7</v>
      </c>
      <c r="H64" s="37" t="str">
        <f t="shared" si="1"/>
        <v>جيد</v>
      </c>
      <c r="I64" s="54"/>
      <c r="J64" s="55"/>
    </row>
    <row r="65" spans="1:10" ht="30" customHeight="1" x14ac:dyDescent="0.3">
      <c r="A65" s="10"/>
      <c r="B65" s="42" t="s">
        <v>234</v>
      </c>
      <c r="C65" s="43"/>
      <c r="D65" s="44"/>
      <c r="E65" s="34">
        <v>5</v>
      </c>
      <c r="F65" s="35">
        <v>3.5</v>
      </c>
      <c r="G65" s="36">
        <f t="shared" si="0"/>
        <v>0.7</v>
      </c>
      <c r="H65" s="37" t="str">
        <f t="shared" si="1"/>
        <v>جيد</v>
      </c>
      <c r="I65" s="54"/>
      <c r="J65" s="55"/>
    </row>
    <row r="66" spans="1:10" ht="30" customHeight="1" x14ac:dyDescent="0.3">
      <c r="A66" s="10"/>
      <c r="B66" s="42" t="s">
        <v>235</v>
      </c>
      <c r="C66" s="43"/>
      <c r="D66" s="44"/>
      <c r="E66" s="34">
        <v>5</v>
      </c>
      <c r="F66" s="35">
        <v>3.5</v>
      </c>
      <c r="G66" s="36">
        <f t="shared" si="0"/>
        <v>0.7</v>
      </c>
      <c r="H66" s="37" t="str">
        <f t="shared" si="1"/>
        <v>جيد</v>
      </c>
      <c r="I66" s="54"/>
      <c r="J66" s="55"/>
    </row>
    <row r="67" spans="1:10" ht="30" customHeight="1" x14ac:dyDescent="0.3">
      <c r="A67" s="10"/>
      <c r="B67" s="42" t="s">
        <v>236</v>
      </c>
      <c r="C67" s="43"/>
      <c r="D67" s="44"/>
      <c r="E67" s="34">
        <v>5</v>
      </c>
      <c r="F67" s="35">
        <v>3.25</v>
      </c>
      <c r="G67" s="36">
        <f t="shared" si="0"/>
        <v>0.65</v>
      </c>
      <c r="H67" s="37" t="str">
        <f t="shared" si="1"/>
        <v>مقبول</v>
      </c>
      <c r="I67" s="54"/>
      <c r="J67" s="55"/>
    </row>
    <row r="68" spans="1:10" ht="30" customHeight="1" x14ac:dyDescent="0.3">
      <c r="A68" s="10"/>
      <c r="B68" s="42" t="s">
        <v>237</v>
      </c>
      <c r="C68" s="43"/>
      <c r="D68" s="44"/>
      <c r="E68" s="34">
        <v>5</v>
      </c>
      <c r="F68" s="35">
        <v>3.75</v>
      </c>
      <c r="G68" s="36">
        <f t="shared" si="0"/>
        <v>0.75</v>
      </c>
      <c r="H68" s="37" t="str">
        <f t="shared" si="1"/>
        <v>جيد</v>
      </c>
      <c r="I68" s="54"/>
      <c r="J68" s="55"/>
    </row>
    <row r="69" spans="1:10" ht="30" customHeight="1" x14ac:dyDescent="0.3">
      <c r="A69" s="10"/>
      <c r="B69" s="42" t="s">
        <v>238</v>
      </c>
      <c r="C69" s="43"/>
      <c r="D69" s="44"/>
      <c r="E69" s="34">
        <v>5</v>
      </c>
      <c r="F69" s="35">
        <v>3.75</v>
      </c>
      <c r="G69" s="36">
        <f t="shared" si="0"/>
        <v>0.75</v>
      </c>
      <c r="H69" s="37" t="str">
        <f t="shared" si="1"/>
        <v>جيد</v>
      </c>
      <c r="I69" s="54"/>
      <c r="J69" s="55"/>
    </row>
    <row r="70" spans="1:10" ht="30" customHeight="1" x14ac:dyDescent="0.3">
      <c r="A70" s="10"/>
      <c r="B70" s="42" t="s">
        <v>239</v>
      </c>
      <c r="C70" s="43"/>
      <c r="D70" s="44"/>
      <c r="E70" s="34">
        <v>5</v>
      </c>
      <c r="F70" s="35">
        <v>3.75</v>
      </c>
      <c r="G70" s="36">
        <f t="shared" si="0"/>
        <v>0.75</v>
      </c>
      <c r="H70" s="37" t="str">
        <f t="shared" si="1"/>
        <v>جيد</v>
      </c>
      <c r="I70" s="54"/>
      <c r="J70" s="55"/>
    </row>
    <row r="71" spans="1:10" ht="30" customHeight="1" x14ac:dyDescent="0.3">
      <c r="A71" s="10"/>
      <c r="B71" s="42" t="s">
        <v>240</v>
      </c>
      <c r="C71" s="43"/>
      <c r="D71" s="44"/>
      <c r="E71" s="34">
        <v>5</v>
      </c>
      <c r="F71" s="35">
        <v>3.5</v>
      </c>
      <c r="G71" s="36">
        <f t="shared" si="0"/>
        <v>0.7</v>
      </c>
      <c r="H71" s="37" t="str">
        <f t="shared" si="1"/>
        <v>جيد</v>
      </c>
      <c r="I71" s="54"/>
      <c r="J71" s="55"/>
    </row>
    <row r="72" spans="1:10" ht="30" customHeight="1" x14ac:dyDescent="0.3">
      <c r="A72" s="10"/>
      <c r="B72" s="42" t="s">
        <v>241</v>
      </c>
      <c r="C72" s="43"/>
      <c r="D72" s="44"/>
      <c r="E72" s="34">
        <v>5</v>
      </c>
      <c r="F72" s="35">
        <v>3.5</v>
      </c>
      <c r="G72" s="36">
        <f t="shared" si="0"/>
        <v>0.7</v>
      </c>
      <c r="H72" s="37" t="str">
        <f t="shared" si="1"/>
        <v>جيد</v>
      </c>
      <c r="I72" s="54"/>
      <c r="J72" s="55"/>
    </row>
    <row r="73" spans="1:10" ht="30" customHeight="1" thickBot="1" x14ac:dyDescent="0.35">
      <c r="A73" s="10"/>
      <c r="B73" s="45" t="s">
        <v>242</v>
      </c>
      <c r="C73" s="46"/>
      <c r="D73" s="47"/>
      <c r="E73" s="38">
        <v>5</v>
      </c>
      <c r="F73" s="39">
        <v>3.5</v>
      </c>
      <c r="G73" s="40">
        <f t="shared" si="0"/>
        <v>0.7</v>
      </c>
      <c r="H73" s="41" t="str">
        <f t="shared" si="1"/>
        <v>جيد</v>
      </c>
      <c r="I73" s="65"/>
      <c r="J73" s="66"/>
    </row>
    <row r="74" spans="1:10" ht="30" customHeight="1" x14ac:dyDescent="0.3">
      <c r="A74" s="10"/>
      <c r="B74" s="51" t="s">
        <v>243</v>
      </c>
      <c r="C74" s="52"/>
      <c r="D74" s="53"/>
      <c r="E74" s="30"/>
      <c r="F74" s="31"/>
      <c r="G74" s="32"/>
      <c r="H74" s="33"/>
      <c r="I74" s="58"/>
      <c r="J74" s="59"/>
    </row>
    <row r="75" spans="1:10" ht="30" customHeight="1" x14ac:dyDescent="0.3">
      <c r="A75" s="10"/>
      <c r="B75" s="42" t="s">
        <v>244</v>
      </c>
      <c r="C75" s="43"/>
      <c r="D75" s="44"/>
      <c r="E75" s="34">
        <v>5</v>
      </c>
      <c r="F75" s="35">
        <v>3.5</v>
      </c>
      <c r="G75" s="36">
        <f t="shared" ref="G75:G92" si="2">IFERROR(F75/E75,"")</f>
        <v>0.7</v>
      </c>
      <c r="H75" s="37" t="str">
        <f t="shared" ref="H75:H92" si="3">_xlfn.IFS(F75="أدخل العلامة","",F75="لا ينطبق","تم الإلغاء",G75&gt;=90%,"ممتاز",G75&gt;=80%,"جيد جداً",G75&gt;=70%,"جيد",G75&gt;=60%,"مقبول",G75&lt;60%,"راسب")</f>
        <v>جيد</v>
      </c>
      <c r="I75" s="54"/>
      <c r="J75" s="55"/>
    </row>
    <row r="76" spans="1:10" ht="30" customHeight="1" x14ac:dyDescent="0.3">
      <c r="A76" s="10"/>
      <c r="B76" s="42" t="s">
        <v>245</v>
      </c>
      <c r="C76" s="43"/>
      <c r="D76" s="44"/>
      <c r="E76" s="34">
        <v>5</v>
      </c>
      <c r="F76" s="35">
        <v>3.5</v>
      </c>
      <c r="G76" s="36">
        <f t="shared" si="2"/>
        <v>0.7</v>
      </c>
      <c r="H76" s="37" t="str">
        <f t="shared" si="3"/>
        <v>جيد</v>
      </c>
      <c r="I76" s="54"/>
      <c r="J76" s="55"/>
    </row>
    <row r="77" spans="1:10" ht="30" customHeight="1" x14ac:dyDescent="0.3">
      <c r="A77" s="10"/>
      <c r="B77" s="42" t="s">
        <v>246</v>
      </c>
      <c r="C77" s="43"/>
      <c r="D77" s="44"/>
      <c r="E77" s="34">
        <v>5</v>
      </c>
      <c r="F77" s="35">
        <v>3.5</v>
      </c>
      <c r="G77" s="36">
        <f t="shared" si="2"/>
        <v>0.7</v>
      </c>
      <c r="H77" s="37" t="str">
        <f t="shared" si="3"/>
        <v>جيد</v>
      </c>
      <c r="I77" s="54"/>
      <c r="J77" s="55"/>
    </row>
    <row r="78" spans="1:10" ht="30" customHeight="1" x14ac:dyDescent="0.3">
      <c r="A78" s="10"/>
      <c r="B78" s="42" t="s">
        <v>247</v>
      </c>
      <c r="C78" s="43"/>
      <c r="D78" s="44"/>
      <c r="E78" s="34">
        <v>5</v>
      </c>
      <c r="F78" s="35">
        <v>3.5</v>
      </c>
      <c r="G78" s="36">
        <f t="shared" si="2"/>
        <v>0.7</v>
      </c>
      <c r="H78" s="37" t="str">
        <f t="shared" si="3"/>
        <v>جيد</v>
      </c>
      <c r="I78" s="54"/>
      <c r="J78" s="55"/>
    </row>
    <row r="79" spans="1:10" ht="30" customHeight="1" x14ac:dyDescent="0.3">
      <c r="A79" s="10"/>
      <c r="B79" s="42" t="s">
        <v>248</v>
      </c>
      <c r="C79" s="43"/>
      <c r="D79" s="44"/>
      <c r="E79" s="34">
        <v>5</v>
      </c>
      <c r="F79" s="35">
        <v>3.5</v>
      </c>
      <c r="G79" s="36">
        <f t="shared" si="2"/>
        <v>0.7</v>
      </c>
      <c r="H79" s="37" t="str">
        <f t="shared" si="3"/>
        <v>جيد</v>
      </c>
      <c r="I79" s="54"/>
      <c r="J79" s="55"/>
    </row>
    <row r="80" spans="1:10" ht="30" customHeight="1" x14ac:dyDescent="0.3">
      <c r="A80" s="10"/>
      <c r="B80" s="42" t="s">
        <v>249</v>
      </c>
      <c r="C80" s="43"/>
      <c r="D80" s="44"/>
      <c r="E80" s="34">
        <v>5</v>
      </c>
      <c r="F80" s="35">
        <v>3.5</v>
      </c>
      <c r="G80" s="36">
        <f t="shared" si="2"/>
        <v>0.7</v>
      </c>
      <c r="H80" s="37" t="str">
        <f t="shared" si="3"/>
        <v>جيد</v>
      </c>
      <c r="I80" s="54"/>
      <c r="J80" s="55"/>
    </row>
    <row r="81" spans="1:10" ht="30" customHeight="1" x14ac:dyDescent="0.3">
      <c r="A81" s="10"/>
      <c r="B81" s="42" t="s">
        <v>250</v>
      </c>
      <c r="C81" s="43"/>
      <c r="D81" s="44"/>
      <c r="E81" s="34">
        <v>5</v>
      </c>
      <c r="F81" s="35">
        <v>3</v>
      </c>
      <c r="G81" s="36">
        <f t="shared" si="2"/>
        <v>0.6</v>
      </c>
      <c r="H81" s="37" t="str">
        <f t="shared" si="3"/>
        <v>مقبول</v>
      </c>
      <c r="I81" s="54"/>
      <c r="J81" s="55"/>
    </row>
    <row r="82" spans="1:10" ht="30" customHeight="1" x14ac:dyDescent="0.3">
      <c r="A82" s="10"/>
      <c r="B82" s="42" t="s">
        <v>251</v>
      </c>
      <c r="C82" s="43"/>
      <c r="D82" s="44"/>
      <c r="E82" s="34">
        <v>5</v>
      </c>
      <c r="F82" s="35">
        <v>3</v>
      </c>
      <c r="G82" s="36">
        <f t="shared" si="2"/>
        <v>0.6</v>
      </c>
      <c r="H82" s="37" t="str">
        <f t="shared" si="3"/>
        <v>مقبول</v>
      </c>
      <c r="I82" s="54"/>
      <c r="J82" s="55"/>
    </row>
    <row r="83" spans="1:10" ht="30" customHeight="1" x14ac:dyDescent="0.3">
      <c r="A83" s="10"/>
      <c r="B83" s="42" t="s">
        <v>252</v>
      </c>
      <c r="C83" s="43"/>
      <c r="D83" s="44"/>
      <c r="E83" s="34">
        <v>5</v>
      </c>
      <c r="F83" s="35">
        <v>3.5</v>
      </c>
      <c r="G83" s="36">
        <f t="shared" si="2"/>
        <v>0.7</v>
      </c>
      <c r="H83" s="37" t="str">
        <f t="shared" si="3"/>
        <v>جيد</v>
      </c>
      <c r="I83" s="54"/>
      <c r="J83" s="55"/>
    </row>
    <row r="84" spans="1:10" ht="30" customHeight="1" x14ac:dyDescent="0.3">
      <c r="A84" s="10"/>
      <c r="B84" s="42" t="s">
        <v>253</v>
      </c>
      <c r="C84" s="43"/>
      <c r="D84" s="44"/>
      <c r="E84" s="34">
        <v>5</v>
      </c>
      <c r="F84" s="35">
        <v>3.5</v>
      </c>
      <c r="G84" s="36">
        <f t="shared" si="2"/>
        <v>0.7</v>
      </c>
      <c r="H84" s="37" t="str">
        <f t="shared" si="3"/>
        <v>جيد</v>
      </c>
      <c r="I84" s="54"/>
      <c r="J84" s="55"/>
    </row>
    <row r="85" spans="1:10" ht="30" customHeight="1" thickBot="1" x14ac:dyDescent="0.35">
      <c r="A85" s="10"/>
      <c r="B85" s="45" t="s">
        <v>254</v>
      </c>
      <c r="C85" s="46"/>
      <c r="D85" s="47"/>
      <c r="E85" s="38">
        <v>5</v>
      </c>
      <c r="F85" s="39">
        <v>3.25</v>
      </c>
      <c r="G85" s="40">
        <f t="shared" si="2"/>
        <v>0.65</v>
      </c>
      <c r="H85" s="41" t="str">
        <f t="shared" si="3"/>
        <v>مقبول</v>
      </c>
      <c r="I85" s="65"/>
      <c r="J85" s="66"/>
    </row>
    <row r="86" spans="1:10" ht="30" customHeight="1" x14ac:dyDescent="0.3">
      <c r="A86" s="10"/>
      <c r="B86" s="51" t="s">
        <v>255</v>
      </c>
      <c r="C86" s="52"/>
      <c r="D86" s="53"/>
      <c r="E86" s="30"/>
      <c r="F86" s="31"/>
      <c r="G86" s="32"/>
      <c r="H86" s="33"/>
      <c r="I86" s="58"/>
      <c r="J86" s="59"/>
    </row>
    <row r="87" spans="1:10" ht="39.9" customHeight="1" x14ac:dyDescent="0.3">
      <c r="A87" s="10"/>
      <c r="B87" s="42" t="s">
        <v>256</v>
      </c>
      <c r="C87" s="43"/>
      <c r="D87" s="44"/>
      <c r="E87" s="34">
        <v>5</v>
      </c>
      <c r="F87" s="35">
        <v>3.5</v>
      </c>
      <c r="G87" s="36">
        <f t="shared" si="2"/>
        <v>0.7</v>
      </c>
      <c r="H87" s="37" t="str">
        <f t="shared" si="3"/>
        <v>جيد</v>
      </c>
      <c r="I87" s="54"/>
      <c r="J87" s="55"/>
    </row>
    <row r="88" spans="1:10" ht="30" customHeight="1" x14ac:dyDescent="0.3">
      <c r="A88" s="10"/>
      <c r="B88" s="42" t="s">
        <v>257</v>
      </c>
      <c r="C88" s="43"/>
      <c r="D88" s="44"/>
      <c r="E88" s="34">
        <v>5</v>
      </c>
      <c r="F88" s="35">
        <v>3.5</v>
      </c>
      <c r="G88" s="36">
        <f t="shared" si="2"/>
        <v>0.7</v>
      </c>
      <c r="H88" s="37" t="str">
        <f t="shared" si="3"/>
        <v>جيد</v>
      </c>
      <c r="I88" s="54"/>
      <c r="J88" s="55"/>
    </row>
    <row r="89" spans="1:10" ht="30" customHeight="1" x14ac:dyDescent="0.3">
      <c r="A89" s="10"/>
      <c r="B89" s="42" t="s">
        <v>258</v>
      </c>
      <c r="C89" s="43"/>
      <c r="D89" s="44"/>
      <c r="E89" s="34">
        <v>5</v>
      </c>
      <c r="F89" s="35">
        <v>3.5</v>
      </c>
      <c r="G89" s="36">
        <f t="shared" si="2"/>
        <v>0.7</v>
      </c>
      <c r="H89" s="37" t="str">
        <f t="shared" si="3"/>
        <v>جيد</v>
      </c>
      <c r="I89" s="54"/>
      <c r="J89" s="55"/>
    </row>
    <row r="90" spans="1:10" ht="39.9" customHeight="1" thickBot="1" x14ac:dyDescent="0.35">
      <c r="A90" s="10"/>
      <c r="B90" s="45" t="s">
        <v>259</v>
      </c>
      <c r="C90" s="46"/>
      <c r="D90" s="47"/>
      <c r="E90" s="38">
        <v>6</v>
      </c>
      <c r="F90" s="39">
        <v>4.75</v>
      </c>
      <c r="G90" s="40">
        <f t="shared" si="2"/>
        <v>0.79166666666666663</v>
      </c>
      <c r="H90" s="41" t="str">
        <f t="shared" si="3"/>
        <v>جيد</v>
      </c>
      <c r="I90" s="65"/>
      <c r="J90" s="66"/>
    </row>
    <row r="91" spans="1:10" ht="39.9" customHeight="1" thickBot="1" x14ac:dyDescent="0.35">
      <c r="A91" s="10"/>
      <c r="B91" s="48" t="s">
        <v>260</v>
      </c>
      <c r="C91" s="49"/>
      <c r="D91" s="50"/>
      <c r="E91" s="9">
        <v>8</v>
      </c>
      <c r="F91" s="28">
        <v>6.25</v>
      </c>
      <c r="G91" s="29">
        <f t="shared" si="2"/>
        <v>0.78125</v>
      </c>
      <c r="H91" s="27" t="str">
        <f t="shared" si="3"/>
        <v>جيد</v>
      </c>
      <c r="I91" s="56"/>
      <c r="J91" s="57"/>
    </row>
    <row r="92" spans="1:10" ht="30" customHeight="1" thickBot="1" x14ac:dyDescent="0.35">
      <c r="A92" s="10"/>
      <c r="B92" s="48" t="s">
        <v>261</v>
      </c>
      <c r="C92" s="49"/>
      <c r="D92" s="50"/>
      <c r="E92" s="9">
        <v>8</v>
      </c>
      <c r="F92" s="28">
        <v>6.25</v>
      </c>
      <c r="G92" s="29">
        <f t="shared" si="2"/>
        <v>0.78125</v>
      </c>
      <c r="H92" s="27" t="str">
        <f t="shared" si="3"/>
        <v>جيد</v>
      </c>
      <c r="I92" s="56"/>
      <c r="J92" s="57"/>
    </row>
    <row r="93" spans="1:10" ht="30" customHeight="1" thickBot="1" x14ac:dyDescent="0.35">
      <c r="A93" s="4"/>
      <c r="B93" s="90" t="s">
        <v>5</v>
      </c>
      <c r="C93" s="82"/>
      <c r="D93" s="82"/>
      <c r="E93" s="9">
        <f>SUM(E8:E92)</f>
        <v>330</v>
      </c>
      <c r="F93" s="9">
        <f>SUM(F8:F92)</f>
        <v>240</v>
      </c>
      <c r="G93" s="62"/>
      <c r="H93" s="63"/>
      <c r="I93" s="63"/>
      <c r="J93" s="64"/>
    </row>
    <row r="94" spans="1:10" ht="30" customHeight="1" thickBot="1" x14ac:dyDescent="0.35">
      <c r="A94" s="4"/>
      <c r="B94" s="90" t="s">
        <v>54</v>
      </c>
      <c r="C94" s="82"/>
      <c r="D94" s="82"/>
      <c r="E94" s="74">
        <f>F93/E93/100*100</f>
        <v>0.72727272727272729</v>
      </c>
      <c r="F94" s="74"/>
      <c r="G94" s="74"/>
      <c r="H94" s="74"/>
      <c r="I94" s="74"/>
      <c r="J94" s="75"/>
    </row>
    <row r="95" spans="1:10" ht="30" customHeight="1" thickBot="1" x14ac:dyDescent="0.35">
      <c r="A95" s="4"/>
      <c r="B95" s="90" t="s">
        <v>55</v>
      </c>
      <c r="C95" s="82"/>
      <c r="D95" s="82"/>
      <c r="E95" s="88" t="str">
        <f>_xlfn.IFS(E94&gt;=90%,"ممتاز",E94&gt;=80%,"جيد جداً",E94&gt;=70%,"جيد",E94&gt;=60%,"مقبول",E94&lt;60%,"راسب")</f>
        <v>جيد</v>
      </c>
      <c r="F95" s="88"/>
      <c r="G95" s="88"/>
      <c r="H95" s="88"/>
      <c r="I95" s="88"/>
      <c r="J95" s="89"/>
    </row>
    <row r="96" spans="1:10" ht="42" customHeight="1" x14ac:dyDescent="0.3">
      <c r="B96" s="84" t="s">
        <v>174</v>
      </c>
      <c r="C96" s="84"/>
      <c r="D96" s="84"/>
      <c r="E96" s="60" t="s">
        <v>52</v>
      </c>
      <c r="F96" s="60"/>
      <c r="G96" s="86" t="s">
        <v>133</v>
      </c>
      <c r="H96" s="86"/>
      <c r="I96" s="86"/>
      <c r="J96" s="86"/>
    </row>
    <row r="97" spans="1:10" ht="51" customHeight="1" x14ac:dyDescent="0.3">
      <c r="A97" s="5"/>
      <c r="B97" s="85"/>
      <c r="C97" s="85"/>
      <c r="D97" s="85"/>
      <c r="E97" s="61" t="s">
        <v>53</v>
      </c>
      <c r="F97" s="61"/>
      <c r="G97" s="87"/>
      <c r="H97" s="87"/>
      <c r="I97" s="87"/>
      <c r="J97" s="87"/>
    </row>
  </sheetData>
  <sheetProtection formatCells="0" formatColumns="0" formatRows="0" insertColumns="0" insertRows="0" insertHyperlinks="0" deleteColumns="0" deleteRows="0" selectLockedCells="1" sort="0" autoFilter="0" pivotTables="0"/>
  <mergeCells count="191">
    <mergeCell ref="I8:J8"/>
    <mergeCell ref="B93:D93"/>
    <mergeCell ref="B94:D94"/>
    <mergeCell ref="B95:D9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9:J9"/>
    <mergeCell ref="I79:J79"/>
    <mergeCell ref="I19:J19"/>
    <mergeCell ref="I20:J20"/>
    <mergeCell ref="I21:J21"/>
    <mergeCell ref="I22:J22"/>
    <mergeCell ref="B96:D97"/>
    <mergeCell ref="G96:J96"/>
    <mergeCell ref="G97:J97"/>
    <mergeCell ref="E95:J95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92:J92"/>
    <mergeCell ref="B1:J1"/>
    <mergeCell ref="F2:J2"/>
    <mergeCell ref="B5:D6"/>
    <mergeCell ref="C2:D2"/>
    <mergeCell ref="C3:D3"/>
    <mergeCell ref="F3:J3"/>
    <mergeCell ref="E94:J94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E96:F96"/>
    <mergeCell ref="E97:F97"/>
    <mergeCell ref="G93:J93"/>
    <mergeCell ref="I45:J45"/>
    <mergeCell ref="I46:J4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23:J23"/>
    <mergeCell ref="I24:J24"/>
    <mergeCell ref="I25:J25"/>
    <mergeCell ref="I26:J26"/>
    <mergeCell ref="I27:J27"/>
    <mergeCell ref="I32:J32"/>
    <mergeCell ref="I33:J33"/>
    <mergeCell ref="I34:J34"/>
    <mergeCell ref="I35:J35"/>
    <mergeCell ref="I36:J3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9:D89"/>
    <mergeCell ref="B90:D90"/>
    <mergeCell ref="B91:D91"/>
    <mergeCell ref="B92:D92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5">
    <cfRule type="expression" dxfId="14" priority="57">
      <formula>$E95="راسب"</formula>
    </cfRule>
  </conditionalFormatting>
  <conditionalFormatting sqref="E95:J95">
    <cfRule type="expression" dxfId="13" priority="58">
      <formula>$E95="مقبول"</formula>
    </cfRule>
    <cfRule type="expression" dxfId="12" priority="59">
      <formula>$E95="جيد"</formula>
    </cfRule>
    <cfRule type="expression" dxfId="11" priority="60">
      <formula>$E95="جيد جداً"</formula>
    </cfRule>
    <cfRule type="expression" dxfId="10" priority="61">
      <formula>$E95="ممتاز"</formula>
    </cfRule>
  </conditionalFormatting>
  <conditionalFormatting sqref="F8:F9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6:J96">
    <cfRule type="containsText" dxfId="6" priority="15" operator="containsText" text="أدخل اسم المحكم">
      <formula>NOT(ISERROR(SEARCH("أدخل اسم المحكم",G96)))</formula>
    </cfRule>
  </conditionalFormatting>
  <conditionalFormatting sqref="H8:H9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2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F15:F17 F75:F85 F60:F73 F32 F87:F89 F23:F29 F21 F13 F10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G96:J96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D4D43B9-DD7F-460A-8835-21D9C8972F3E}">
          <x14:formula1>
            <xm:f>'بيانات التقييم'!$A$111:$A$153</xm:f>
          </x14:formula1>
          <xm:sqref>F8 F12 F14 F46 F48 F49 F55</xm:sqref>
        </x14:dataValidation>
        <x14:dataValidation type="list" allowBlank="1" showInputMessage="1" showErrorMessage="1" xr:uid="{7ECEABBE-C49A-47D7-824F-0D321C7BFC23}">
          <x14:formula1>
            <xm:f>'بيانات التقييم'!$A$111:$A$145</xm:f>
          </x14:formula1>
          <xm:sqref>F11 F19 F50 F51 F52 F53 F56 F57 F58 F91 F92</xm:sqref>
        </x14:dataValidation>
        <x14:dataValidation type="list" allowBlank="1" showInputMessage="1" showErrorMessage="1" xr:uid="{5C087469-F938-446E-BF86-01C65D256790}">
          <x14:formula1>
            <xm:f>'بيانات التقييم'!$A$111:$A$137</xm:f>
          </x14:formula1>
          <xm:sqref>F90 F45 F44 F43 F42 F41 F40 F39 F38 F37 F36 F35 F34 F31 F30 F20 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7" workbookViewId="0">
      <selection activeCell="C34" sqref="C3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262</v>
      </c>
    </row>
    <row r="30" spans="1:3" ht="20.100000000000001" customHeight="1" thickBot="1" x14ac:dyDescent="0.35">
      <c r="A30" s="2" t="s">
        <v>32</v>
      </c>
      <c r="C30" s="20" t="s">
        <v>263</v>
      </c>
    </row>
    <row r="31" spans="1:3" ht="20.100000000000001" customHeight="1" thickBot="1" x14ac:dyDescent="0.35">
      <c r="A31" s="2" t="s">
        <v>33</v>
      </c>
      <c r="C31" s="20" t="s">
        <v>264</v>
      </c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2025-10-08T20:21:52Z</dcterms:modified>
</cp:coreProperties>
</file>