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503775A7-7E33-A444-B020-0523F28C04AB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8" i="2"/>
  <c r="H8" i="2"/>
  <c r="F34" i="2"/>
  <c r="E34" i="2"/>
  <c r="E35" i="2"/>
  <c r="E36" i="2"/>
</calcChain>
</file>

<file path=xl/sharedStrings.xml><?xml version="1.0" encoding="utf-8"?>
<sst xmlns="http://schemas.openxmlformats.org/spreadsheetml/2006/main" count="263" uniqueCount="207">
  <si>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</si>
  <si>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</si>
  <si>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</si>
  <si>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</si>
  <si>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</si>
  <si>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</si>
  <si>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</si>
  <si>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</si>
  <si>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</si>
  <si>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</si>
  <si>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</si>
  <si>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</si>
  <si>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</si>
  <si>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</si>
  <si>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</si>
  <si>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</si>
  <si>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</si>
  <si>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</si>
  <si>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</si>
  <si>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</si>
  <si>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</si>
  <si>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</si>
  <si>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</si>
  <si>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</si>
  <si>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</si>
  <si>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</si>
  <si>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</si>
  <si>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</si>
  <si>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</si>
  <si>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</si>
  <si>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</si>
  <si>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</si>
  <si>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</si>
  <si>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</si>
  <si>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</si>
  <si>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</si>
  <si>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</si>
  <si>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</si>
  <si>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</si>
  <si>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</si>
  <si>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</si>
  <si>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</si>
  <si>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</si>
  <si>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</si>
  <si>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</si>
  <si>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</si>
  <si>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</si>
  <si>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</si>
  <si>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</si>
  <si>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</si>
  <si>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</si>
  <si>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</si>
  <si>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</si>
  <si>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</si>
  <si>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</si>
  <si>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</si>
  <si>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</si>
  <si>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</si>
  <si>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</si>
  <si>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</si>
  <si>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</si>
  <si>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</si>
  <si>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</si>
  <si>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</si>
  <si>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</si>
  <si>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</si>
  <si>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</si>
  <si>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</si>
  <si>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</si>
  <si>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</si>
  <si>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</si>
  <si>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</si>
  <si>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</si>
  <si>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</si>
  <si>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</si>
  <si>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</si>
  <si>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</si>
  <si>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</si>
  <si>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</si>
  <si>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</si>
  <si>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</si>
  <si>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</si>
  <si>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</si>
  <si>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</si>
  <si>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</si>
  <si>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</si>
  <si>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</si>
  <si>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</si>
  <si>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</si>
  <si>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</si>
  <si>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</si>
  <si>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</si>
  <si>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</si>
  <si>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</si>
  <si>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</si>
  <si>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</si>
  <si>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</si>
  <si>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</si>
  <si>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</si>
  <si>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</si>
  <si>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</si>
  <si>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</si>
  <si>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</si>
  <si>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</si>
  <si>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</si>
  <si>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</si>
  <si>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</si>
  <si>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</si>
  <si>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</si>
  <si>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</si>
  <si>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</si>
  <si>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</si>
  <si>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</si>
  <si>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</si>
  <si>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</si>
  <si>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</si>
  <si>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</si>
  <si>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</si>
  <si>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</si>
  <si>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</si>
  <si>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</si>
  <si>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</si>
  <si>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</si>
  <si>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</si>
  <si>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</si>
  <si>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</si>
  <si>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</si>
  <si>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</si>
  <si>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</si>
  <si>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</si>
  <si>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</si>
  <si>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</si>
  <si>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</si>
  <si>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</si>
  <si>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</si>
  <si>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</si>
  <si>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</si>
  <si>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</si>
  <si>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</si>
  <si>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</si>
  <si>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</si>
  <si>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</si>
  <si>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</si>
  <si>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</si>
  <si>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</si>
  <si>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</si>
  <si>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</si>
  <si>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</si>
  <si>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</si>
  <si>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</si>
  <si>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</si>
  <si>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</si>
  <si>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</si>
  <si>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</si>
  <si>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</si>
  <si>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</si>
  <si>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</si>
  <si>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</si>
  <si>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</si>
  <si>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</si>
  <si>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</si>
  <si>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</si>
  <si>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</si>
  <si>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</si>
  <si>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</si>
  <si>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</si>
  <si>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</si>
  <si>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</si>
  <si>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</si>
  <si>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</si>
  <si>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</si>
  <si>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</si>
  <si>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</si>
  <si>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</si>
  <si>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</si>
  <si>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</si>
  <si>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</si>
  <si>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</si>
  <si>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</si>
  <si>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</si>
  <si>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أصدرا أمراً مجزأً من المستوى الأعلى لتنفيذ الدفاع السريع وتعميمه على المستوى الأدنى.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</si>
  <si>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المهمة الرئيسة للوحدات المرؤوسة في كل المستويات.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</si>
  <si>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مواقع الدفاع السريع للوحدات المرؤوسة.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</si>
  <si>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اختيار طبيعة الأرض التي توفر التخفية والتستر وتسمح بتركيز نيران الأسلحة.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</si>
  <si>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إبلاغ المستوى الأعلى بإحداثيات مواقع الوحدة.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</si>
  <si>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إقامة الحماية المحلية والمراقبة على طول مقتربات العدو المحتملة وتعيين عناصر لتوفر الإنذار المبكر.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</si>
  <si>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نقاط مرجع الهدف من اجل تركيز النيران وتأمين إسناد متبادل.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</si>
  <si>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استطلاع منطقة الأهداف من قبل الدوريات وعناصر الكشف للتأكد من خلوها من العدو.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</si>
  <si>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توضيع معدات المراقبة في مواقع تساعد على تحديد نقاط مرجع الأهداف ليلاً أو أثناء الرؤية المحددة.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</si>
  <si>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تجهيز مواقع ثانوية وبديلة للآليات والأفراد.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</si>
  <si>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إعداد بطاقات المدى لأنظمة الرماية المباشرة.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</si>
  <si>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أهداف المدفعية وطلب الإسناد المدفعي عند الحاجة.</t>
    </r>
  </si>
  <si>
    <r>
      <t>13.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تفقد قادة الوحدات لمواقع الآليات والأفراد (مواقع رئيسة، ثانوية، بديلة).</t>
    </r>
  </si>
  <si>
    <r>
      <t>14.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الحصول على التقارير والمعلومات المحدثَة التي تبين مواقع القوات الأمامية والجانبية (المجاورة) الصديقة وحسب الحاجة.</t>
    </r>
  </si>
  <si>
    <r>
      <t>15.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الحصول على معلومات محدثَة عن مواقع قوات العدو لمنع الإصابة بالنيران الصديقة وزيادة حماية القوة وحسب الحاجة. </t>
    </r>
  </si>
  <si>
    <r>
      <t>16.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توزيع المعلومات الضرورية لجميع الوحدات المرؤوسة لاطلاعهم على آخر مستجدات الموقف.</t>
    </r>
  </si>
  <si>
    <r>
      <t>17.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التخطيط للدفاع ضد الهجمات المعاكسة والتأكد من يقظة وجاهزية جميع الأفراد للتعامل معها.</t>
    </r>
  </si>
  <si>
    <r>
      <t>18.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فعالية الاتصالات بين القيادة ونقاط المراقبة.</t>
    </r>
  </si>
  <si>
    <r>
      <t>19.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إعادة تأسيس شبكات الاتصالات.</t>
    </r>
  </si>
  <si>
    <r>
      <t>20.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تأمين الإسناد المتبادل داخل الوحدة ومع الوحدات الجانبية.</t>
    </r>
  </si>
  <si>
    <r>
      <t>21.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تقارير المرؤوسين حول الذخيرة، الإصابات والمعدات.</t>
    </r>
  </si>
  <si>
    <r>
      <t>22.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تنسيق عملية إعادة التزويد وسد النقص من الذخيرة والأرزاق والوقود.</t>
    </r>
  </si>
  <si>
    <r>
      <t>23.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تقرير الموقف الإداري المفصل يشمل (الخسائر في الأفراد والمعدات والذخيرة والوقود).</t>
    </r>
  </si>
  <si>
    <r>
      <t>24.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الإصابات والتعامل مع الإصابات وإخلاء الجرحى والشهداء حسب الإجراءات المتبعة.</t>
    </r>
  </si>
  <si>
    <r>
      <t>25.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تعويض خسائر القوى البشرية بأسرع ما يمكن.</t>
    </r>
  </si>
  <si>
    <r>
      <t>26.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الصيانة واخلاء الآليات والمعدات المعطلة حسب الإجراءات المتبعة.</t>
    </r>
  </si>
  <si>
    <r>
      <rPr>
        <b/>
        <sz val="14"/>
        <color rgb="FF000000"/>
        <rFont val="Arial"/>
        <family val="2"/>
      </rPr>
      <t>تقييم الدفاع السريع (قيادة اللواء - الكتيبة - السرية)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</si>
</sst>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6" Type="http://schemas.openxmlformats.org/officeDocument/2006/relationships/image" Target="../media/image3.png" /><Relationship Id="rId5" Type="http://schemas.openxmlformats.org/officeDocument/2006/relationships/customXml" Target="../ink/ink3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1402560</xdr:colOff>
      <xdr:row>51</xdr:row>
      <xdr:rowOff>70343</xdr:rowOff>
    </xdr:from>
    <xdr:to>
      <xdr:col>3</xdr:col>
      <xdr:colOff>1402920</xdr:colOff>
      <xdr:row>51</xdr:row>
      <xdr:rowOff>70703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CE23399-7672-B2AC-A26B-CA767DE6A863}"/>
                </a:ext>
              </a:extLst>
            </xdr14:cNvPr>
            <xdr14:cNvContentPartPr/>
          </xdr14:nvContentPartPr>
          <xdr14:nvPr macro=""/>
          <xdr14:xfrm>
            <a:off x="10402465944" y="20742480"/>
            <a:ext cx="360" cy="3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CE23399-7672-B2AC-A26B-CA767DE6A86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02459824" y="207363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498506</xdr:colOff>
      <xdr:row>37</xdr:row>
      <xdr:rowOff>156788</xdr:rowOff>
    </xdr:from>
    <xdr:to>
      <xdr:col>7</xdr:col>
      <xdr:colOff>395896</xdr:colOff>
      <xdr:row>37</xdr:row>
      <xdr:rowOff>385748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D464478-8022-9E97-C249-E9EE49F4E2F4}"/>
                </a:ext>
              </a:extLst>
            </xdr14:cNvPr>
            <xdr14:cNvContentPartPr/>
          </xdr14:nvContentPartPr>
          <xdr14:nvPr macro=""/>
          <xdr14:xfrm>
            <a:off x="10399507104" y="17705880"/>
            <a:ext cx="555480" cy="2289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D464478-8022-9E97-C249-E9EE49F4E2F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500984" y="17699760"/>
              <a:ext cx="567720" cy="24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365296</xdr:colOff>
      <xdr:row>37</xdr:row>
      <xdr:rowOff>154628</xdr:rowOff>
    </xdr:from>
    <xdr:to>
      <xdr:col>9</xdr:col>
      <xdr:colOff>257275</xdr:colOff>
      <xdr:row>38</xdr:row>
      <xdr:rowOff>30083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E0EFE47F-2353-B2CC-6D72-6EE9A7189DE1}"/>
                </a:ext>
              </a:extLst>
            </xdr14:cNvPr>
            <xdr14:cNvContentPartPr/>
          </xdr14:nvContentPartPr>
          <xdr14:nvPr macro=""/>
          <xdr14:xfrm>
            <a:off x="10398329544" y="17703720"/>
            <a:ext cx="1208160" cy="52200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E0EFE47F-2353-B2CC-6D72-6EE9A7189DE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8323424" y="17697600"/>
              <a:ext cx="1220400" cy="534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6T18:00:22.5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8:00:24.5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999 636 8905,'0'0'0,"2"0"1745,-2 0-1745,3-4 1584,1-8 160,1 9-135,-5 3-313,0 0-1296,0 0 1120,3 0-95,-3 0-33,0-3 72,0 3-1064,0 0 1120,0 0-32,0-2-47,2-1-193,-2 3-848,0-3 864,0 0-176,0 0-80,0 0 129,0 3-737,0-2 672,0-1-104,0 0 0,0 0-200,0 3-368,-2-4 336,-1-1-40,-2 1-80,3 0-216,2 4 0,-2-11-136,2 8 72,-3-10 128,1 9 40,2 4-104,-5-15 0,5 3-264,-2-1-16,2 0 264,0 13 16,0-16 96,0 1 184,0-1-48,0-2-104,0 18-128,-3-19 136,1 1-24,-1-1 0,-1-1-48,4 20-64,-5-17 136,2 0-8,-2 2 32,5 2-80,0 13-80,-4-13-16,1 2 96,-2-1-112,3 1 16,2 11 16,-2-4 144,-3-12-112,2 12 96,1-12-128,2 16 0,0-4-80,-2-10 64,-3 9-80,5-9 160,0 14-64,0-3-96,0-8 96,0 8 32,0 0 64,0 3-96,0-4-32,2 1 64,-2 0-48,0 0-48,0 3 64,0 0 96,3 0-128,-1 0 16,-2 0-64,0 0 80,2 0-48,6 0 64,8 2-16,-11-1 128,-5-1-128,17 3 16,-7 0 0,2 0 16,0 0-48,-12-3 16,12 3-32,5-1 16,-5 0-32,0-1-48,-12-1 96,12 2-32,0-2 48,2 0 16,1 0 32,-15 0-64,19 0 128,-2-5-128,2 1 0,5-10 16,-24 14-16,24-3-48,-2-10 48,-3 9-16,5-7 48,-24 11-32,19-3-48,5-9 80,-4 10 0,-6-10-32,-14 12 0,12-3 32,2-1-48,-4-7 0,2 8-16,-12 3 32,12-3 32,0-1-32,-7 1 0,12-1 64,-17 4-64,9-5 32,-4 1-16,10 0 16,-11 1-16,-4 3-16,10-4-32,-5 1 16,5 0 64,-8 0-128,-2 3 80,5 0-48,-3-3 0,3 3 32,-3 0 16,-2 0 0,0 0 48,0 0-80,0 0-112,0 0 96,0 0 224,-4 0-496,-1 0 240,5 2-16,-7-1 32,7-1 64,-5 2-104,2 0 72,-2 3 64,-7-1-96,12-4 64,-2 4 32,-10 8-80,10-8 16,-10 7 48,12-11-16,-12 5 0,0 6 0,-3-7 0,1 10-80,14-14 80,-12 5-16,-8 9 16,4-8 0,-1 9 48,17-15-48,-19 12 32,-1-7 0,1 9 56,2-8-56,17-6-32,-19 13 16,2-2-32,3-5-24,-8 8 24,22-14 16,-12 6-48,-5 8 64,3-8-48,-3 8-16,17-14 48,-12 4 48,-3 9-64,6-9 112,-3 9-112,12-13 16,-12 4 24,-3 8-32,1-8-56,2 7 136,12-11-72,-5 5-24,-9-1 24,9 2-48,-10 5 48,15-11 0,-4 3 48,-11 1-32,3 0 24,0 2-80,12-6 40,-5 4-48,-12 1 96,15-3-24,-12 1-8,14-3-16,-10 3-136,3-1-24,-5-1 0,0-1 136,12 0 24,-3 0 72,-14 0-128,5 0 144,0 0-24,12 0-64,-14-3 64,4-1 128,-4 0-40,-3-1-8,17 5-144,-10-12 64,-4 9-64,0-9 0,-1 8-128,15 4 128,-17-16 80,1 5-96,-6-2-64,3 0 32,19 13 48,-22-15 0,3-2 64,2-2-80,-2 2 64,19 17-48,-17-14-96,2 3 80,3 6 176,3-7-176,9 12 16,-5-3 160,-12-2-96,12-6-32,-12 8 48,17 3-80,-12-4-48,10 0 80,-20-1-64,20-6 0,2 11 32,-17 0 0,12-4 16,-7 0 48,10-1 0,2 5-64,-10-4 48,5 1-64,5 0 32,-2 0 32,2 3-48,-2 0 80,-1 0-64,3 0-96,0 0-112,0 0 192,0 2-112,0 2 64,0 8-32,3-7 32,-3-5 48,4 14 16,8-8 16,-7 10 48,7-5 0,-12-11-80,8 13-64,6-2 64,-9 2 32,9-2 80,-14-11-112,12 13 80,-7-1-176,9-1 112,-2 0-48,-12-11 32,10 6-208,5 8 256,-6-8-32,6 7-32,-15-13 16,4 4 160,13 9-128,-12-9-32,7 9 176,-12-13-176,7 4 80,-4 9-48,4-9-144,-2 0-96,-5-4 208,0 6-96,2 0-96,-2 0 96,0-1 16,0-5 80,0 12-104,0-8 144,0 9-40,-2-9 48,2-4-48,-5 13 80,-5-8-48,3 8-80,-3-9-16,10-4 64,-4 12-232,-8-8-40,7 7 104,-12-8 88,17-3 80,-14 5-88,4-1 88,-5 0-32,13 0-80,2-4 112,-19 3-32,7-1 0,9-1-24,-16 0-120,19-1 176,-5 0 16,-9 0-64,2-4 160,0-9-128,12 13 16,-10-2-96,5-13-72,-9 13-16,9-10 312,5 12-128,-2-3-48,-1-1 120,3 0-240,0-1 16,0 5 152,0-11-64,0 8-40,0 0 200,3-1-96,-3 4 0,2-3-32,-2 3-64,0 0 160,-2 0-128,2 0 64,-3 0 64,-1 0-48,-6 0-80,10 0 96,0 0-32,-17 0-80,12 2 160,-14 2-48,7 0-64,12-4 32,-14 3 16,-3 1-16,12-1 32,-14 0-80,19-3 48,-15 1 48,1 2-80,-1-1 16,3-1 48,12-1-32,-16 0-32,-1 0-48,2 0 56,-2 0 24,17 0 0,-12 2-248,-2-1-248,0 0-761,-3 1-991,17-2 2248,-22 1-3945,-2 5-2936,-2-2-3146,26-4 10027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8:00:25.3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2290 483 16939,'0'0'0,"-5"4"2201,5-4-2201,-4 4 552,-6 9-128,10-9 96,0 10 96,0-14-616,0 5 656,2 9 56,3-3 16,12 2 169,-17-13-897,12 11 808,7 2-64,-2-1 216,14 0-360,-31-12-600,29 12 913,5-1 95,4 0-616,-2-6 512,-36-5-904,44 11 408,-3-7-8,4 1 56,1-1-248,-46-4-208,48 1 96,0-1-208,-2-4 96,-5-9-48,-41 13 64,41-4 32,-3-12-112,1 2 272,2-2-712,-41 16 520,41-18 0,-3-3-32,-2-2-216,-5-3-64,-31 26 312,29-24-176,0 0 240,-7 0 136,-1 1 648,-21 23-848,24-24 288,-9 1-16,2-1-144,-8 1 33,-9 23-161,5-22 0,0-3 0,0 1 0,-5 0 0,0 24 0,0-24 0,-12 1 0,0 0 0,-5 1 0,17 22 0,-19-22 0,-3 2 0,-4 2 0,1 2 0,25 16 0,-26-14 0,-3 1 0,3 2 0,-6 0 0,32 11 0,-26-5 0,-5 1 0,-1-7 0,-1 11 0,33 0 0,-36 0 0,0 1 0,-3 5 0,-2 8 0,41-14 0,-48 14 0,0 2 0,-5 1 0,0 3 0,53-20 0,-53 21 0,-4 0 0,-1 4 0,-7-1 0,65-24 0,-68 25 0,6 4 0,-3-2 0,-2 1 0,67-28 0,-60 27 0,-3 2 0,0-1 0,1 2 0,62-30 0,-65 30 0,-2 0 0,2 1 0,0 0 0,65-31 0,-63 33-849,5-2 1153,-2 2-416,5 0 288,55-33-176,-58 35 481,-4 3-481,2 1 0,-1 1 0,61-40 0,-60 42 0,0 4 0,-5-2 0,-9 1 0,74-45 0,-75 44 0,-7 0 0,1 2 0,-4-1-113,85-45 113,-89 47-1064,0 0-424,-2 0-713,0-3-2071,91-44 4272,-106 53-9410,2-5-657,104-48 10067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topLeftCell="D28" zoomScale="130" zoomScaleNormal="100" zoomScaleSheetLayoutView="130" workbookViewId="0">
      <selection activeCell="G38" sqref="G38:J38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54" t="s">
        <v>206</v>
      </c>
      <c r="C1" s="54"/>
      <c r="D1" s="54"/>
      <c r="E1" s="54"/>
      <c r="F1" s="54"/>
      <c r="G1" s="54"/>
      <c r="H1" s="54"/>
      <c r="I1" s="54"/>
      <c r="J1" s="54"/>
    </row>
    <row r="2" spans="1:10" ht="30" customHeight="1">
      <c r="B2" s="12" t="s">
        <v>8</v>
      </c>
      <c r="C2" s="60" t="s">
        <v>45</v>
      </c>
      <c r="D2" s="60"/>
      <c r="E2" s="12" t="s">
        <v>7</v>
      </c>
      <c r="F2" s="55">
        <v>45955</v>
      </c>
      <c r="G2" s="55"/>
      <c r="H2" s="55"/>
      <c r="I2" s="55"/>
      <c r="J2" s="55"/>
    </row>
    <row r="3" spans="1:10" ht="30" customHeight="1">
      <c r="B3" s="12" t="s">
        <v>9</v>
      </c>
      <c r="C3" s="60" t="s">
        <v>87</v>
      </c>
      <c r="D3" s="60"/>
      <c r="E3" s="12" t="s">
        <v>6</v>
      </c>
      <c r="F3" s="60" t="s">
        <v>104</v>
      </c>
      <c r="G3" s="60"/>
      <c r="H3" s="60"/>
      <c r="I3" s="60"/>
      <c r="J3" s="60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10"/>
      <c r="B5" s="56" t="s">
        <v>0</v>
      </c>
      <c r="C5" s="57"/>
      <c r="D5" s="57"/>
      <c r="E5" s="65" t="s">
        <v>1</v>
      </c>
      <c r="F5" s="65"/>
      <c r="G5" s="65"/>
      <c r="H5" s="65"/>
      <c r="I5" s="65" t="s">
        <v>2</v>
      </c>
      <c r="J5" s="66"/>
    </row>
    <row r="6" spans="1:10" ht="24.95" customHeight="1" thickBot="1">
      <c r="A6" s="10"/>
      <c r="B6" s="58"/>
      <c r="C6" s="59"/>
      <c r="D6" s="59"/>
      <c r="E6" s="11" t="s">
        <v>3</v>
      </c>
      <c r="F6" s="11" t="s">
        <v>4</v>
      </c>
      <c r="G6" s="11" t="s">
        <v>23</v>
      </c>
      <c r="H6" s="11" t="s">
        <v>24</v>
      </c>
      <c r="I6" s="67"/>
      <c r="J6" s="68"/>
    </row>
    <row r="7" spans="1:10" ht="24.95" customHeight="1" thickBot="1">
      <c r="A7" s="10"/>
      <c r="B7" s="63" t="s">
        <v>21</v>
      </c>
      <c r="C7" s="64"/>
      <c r="D7" s="64"/>
      <c r="E7" s="28" t="s">
        <v>18</v>
      </c>
      <c r="F7" s="28" t="s">
        <v>19</v>
      </c>
      <c r="G7" s="28" t="s">
        <v>22</v>
      </c>
      <c r="H7" s="28" t="s">
        <v>20</v>
      </c>
      <c r="I7" s="69" t="s">
        <v>25</v>
      </c>
      <c r="J7" s="70"/>
    </row>
    <row r="8" spans="1:10" ht="39.950000000000003" customHeight="1">
      <c r="A8" s="10"/>
      <c r="B8" s="45" t="s">
        <v>180</v>
      </c>
      <c r="C8" s="46"/>
      <c r="D8" s="46"/>
      <c r="E8" s="32">
        <v>5</v>
      </c>
      <c r="F8" s="33">
        <v>3.5</v>
      </c>
      <c r="G8" s="34">
        <f>IFERROR(F8/E8,"")</f>
        <v>0.7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79"/>
      <c r="J8" s="80"/>
    </row>
    <row r="9" spans="1:10" ht="39.950000000000003" customHeight="1">
      <c r="A9" s="10"/>
      <c r="B9" s="43" t="s">
        <v>181</v>
      </c>
      <c r="C9" s="44"/>
      <c r="D9" s="44"/>
      <c r="E9" s="9">
        <v>5</v>
      </c>
      <c r="F9" s="26">
        <v>3.5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7"/>
      <c r="J9" s="48"/>
    </row>
    <row r="10" spans="1:10" ht="39.950000000000003" customHeight="1">
      <c r="A10" s="10"/>
      <c r="B10" s="43" t="s">
        <v>182</v>
      </c>
      <c r="C10" s="44"/>
      <c r="D10" s="44"/>
      <c r="E10" s="9">
        <v>5</v>
      </c>
      <c r="F10" s="26">
        <v>3.75</v>
      </c>
      <c r="G10" s="30">
        <f t="shared" ref="G10:G33" si="0">IFERROR(F10/E10,"")</f>
        <v>0.75</v>
      </c>
      <c r="H10" s="31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</v>
      </c>
      <c r="I10" s="47"/>
      <c r="J10" s="48"/>
    </row>
    <row r="11" spans="1:10" ht="39.950000000000003" customHeight="1">
      <c r="A11" s="10"/>
      <c r="B11" s="43" t="s">
        <v>183</v>
      </c>
      <c r="C11" s="44"/>
      <c r="D11" s="44"/>
      <c r="E11" s="9">
        <v>5</v>
      </c>
      <c r="F11" s="26">
        <v>3.75</v>
      </c>
      <c r="G11" s="30">
        <f t="shared" si="0"/>
        <v>0.75</v>
      </c>
      <c r="H11" s="31" t="str">
        <f t="shared" si="1"/>
        <v>جيد</v>
      </c>
      <c r="I11" s="47"/>
      <c r="J11" s="48"/>
    </row>
    <row r="12" spans="1:10" ht="39.950000000000003" customHeight="1">
      <c r="A12" s="10"/>
      <c r="B12" s="43" t="s">
        <v>184</v>
      </c>
      <c r="C12" s="44"/>
      <c r="D12" s="44"/>
      <c r="E12" s="9">
        <v>5</v>
      </c>
      <c r="F12" s="26">
        <v>3.75</v>
      </c>
      <c r="G12" s="30">
        <f t="shared" si="0"/>
        <v>0.75</v>
      </c>
      <c r="H12" s="31" t="str">
        <f t="shared" si="1"/>
        <v>جيد</v>
      </c>
      <c r="I12" s="47"/>
      <c r="J12" s="48"/>
    </row>
    <row r="13" spans="1:10" ht="39.950000000000003" customHeight="1">
      <c r="A13" s="10"/>
      <c r="B13" s="43" t="s">
        <v>185</v>
      </c>
      <c r="C13" s="44"/>
      <c r="D13" s="44"/>
      <c r="E13" s="9">
        <v>5</v>
      </c>
      <c r="F13" s="26">
        <v>3.5</v>
      </c>
      <c r="G13" s="30">
        <f t="shared" si="0"/>
        <v>0.7</v>
      </c>
      <c r="H13" s="31" t="str">
        <f t="shared" si="1"/>
        <v>جيد</v>
      </c>
      <c r="I13" s="47"/>
      <c r="J13" s="48"/>
    </row>
    <row r="14" spans="1:10" ht="39.950000000000003" customHeight="1">
      <c r="A14" s="10"/>
      <c r="B14" s="43" t="s">
        <v>186</v>
      </c>
      <c r="C14" s="44"/>
      <c r="D14" s="44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47"/>
      <c r="J14" s="48"/>
    </row>
    <row r="15" spans="1:10" ht="39.950000000000003" customHeight="1">
      <c r="A15" s="10"/>
      <c r="B15" s="43" t="s">
        <v>187</v>
      </c>
      <c r="C15" s="44"/>
      <c r="D15" s="44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47"/>
      <c r="J15" s="48"/>
    </row>
    <row r="16" spans="1:10" ht="39.950000000000003" customHeight="1">
      <c r="A16" s="10"/>
      <c r="B16" s="43" t="s">
        <v>188</v>
      </c>
      <c r="C16" s="44"/>
      <c r="D16" s="44"/>
      <c r="E16" s="9">
        <v>5</v>
      </c>
      <c r="F16" s="26">
        <v>3.75</v>
      </c>
      <c r="G16" s="30">
        <f t="shared" si="0"/>
        <v>0.75</v>
      </c>
      <c r="H16" s="31" t="str">
        <f t="shared" si="1"/>
        <v>جيد</v>
      </c>
      <c r="I16" s="47"/>
      <c r="J16" s="48"/>
    </row>
    <row r="17" spans="1:10" ht="39.950000000000003" customHeight="1">
      <c r="A17" s="10"/>
      <c r="B17" s="43" t="s">
        <v>189</v>
      </c>
      <c r="C17" s="44"/>
      <c r="D17" s="44"/>
      <c r="E17" s="9">
        <v>5</v>
      </c>
      <c r="F17" s="26">
        <v>3.75</v>
      </c>
      <c r="G17" s="30">
        <f t="shared" si="0"/>
        <v>0.75</v>
      </c>
      <c r="H17" s="31" t="str">
        <f t="shared" si="1"/>
        <v>جيد</v>
      </c>
      <c r="I17" s="47"/>
      <c r="J17" s="48"/>
    </row>
    <row r="18" spans="1:10" ht="39.950000000000003" customHeight="1">
      <c r="A18" s="10"/>
      <c r="B18" s="43" t="s">
        <v>190</v>
      </c>
      <c r="C18" s="44"/>
      <c r="D18" s="44"/>
      <c r="E18" s="9">
        <v>5</v>
      </c>
      <c r="F18" s="26">
        <v>3.75</v>
      </c>
      <c r="G18" s="30">
        <f t="shared" si="0"/>
        <v>0.75</v>
      </c>
      <c r="H18" s="31" t="str">
        <f t="shared" si="1"/>
        <v>جيد</v>
      </c>
      <c r="I18" s="47"/>
      <c r="J18" s="48"/>
    </row>
    <row r="19" spans="1:10" ht="39.950000000000003" customHeight="1">
      <c r="A19" s="10"/>
      <c r="B19" s="43" t="s">
        <v>191</v>
      </c>
      <c r="C19" s="44"/>
      <c r="D19" s="44"/>
      <c r="E19" s="9">
        <v>5</v>
      </c>
      <c r="F19" s="26">
        <v>3.75</v>
      </c>
      <c r="G19" s="30">
        <f t="shared" si="0"/>
        <v>0.75</v>
      </c>
      <c r="H19" s="31" t="str">
        <f t="shared" si="1"/>
        <v>جيد</v>
      </c>
      <c r="I19" s="47"/>
      <c r="J19" s="48"/>
    </row>
    <row r="20" spans="1:10" ht="39.950000000000003" customHeight="1">
      <c r="A20" s="10"/>
      <c r="B20" s="43" t="s">
        <v>192</v>
      </c>
      <c r="C20" s="44"/>
      <c r="D20" s="44"/>
      <c r="E20" s="9">
        <v>5</v>
      </c>
      <c r="F20" s="26">
        <v>3.5</v>
      </c>
      <c r="G20" s="30">
        <f t="shared" si="0"/>
        <v>0.7</v>
      </c>
      <c r="H20" s="31" t="str">
        <f t="shared" si="1"/>
        <v>جيد</v>
      </c>
      <c r="I20" s="47"/>
      <c r="J20" s="48"/>
    </row>
    <row r="21" spans="1:10" ht="39.950000000000003" customHeight="1">
      <c r="A21" s="10"/>
      <c r="B21" s="39" t="s">
        <v>193</v>
      </c>
      <c r="C21" s="40"/>
      <c r="D21" s="40"/>
      <c r="E21" s="9">
        <v>5</v>
      </c>
      <c r="F21" s="26">
        <v>3.5</v>
      </c>
      <c r="G21" s="30">
        <f t="shared" si="0"/>
        <v>0.7</v>
      </c>
      <c r="H21" s="31" t="str">
        <f t="shared" si="1"/>
        <v>جيد</v>
      </c>
      <c r="I21" s="47"/>
      <c r="J21" s="48"/>
    </row>
    <row r="22" spans="1:10" ht="39.950000000000003" customHeight="1">
      <c r="A22" s="10"/>
      <c r="B22" s="39" t="s">
        <v>194</v>
      </c>
      <c r="C22" s="40"/>
      <c r="D22" s="40"/>
      <c r="E22" s="9">
        <v>5</v>
      </c>
      <c r="F22" s="26">
        <v>3.5</v>
      </c>
      <c r="G22" s="30">
        <f t="shared" si="0"/>
        <v>0.7</v>
      </c>
      <c r="H22" s="31" t="str">
        <f t="shared" si="1"/>
        <v>جيد</v>
      </c>
      <c r="I22" s="47"/>
      <c r="J22" s="48"/>
    </row>
    <row r="23" spans="1:10" ht="39.950000000000003" customHeight="1">
      <c r="A23" s="10"/>
      <c r="B23" s="39" t="s">
        <v>195</v>
      </c>
      <c r="C23" s="40"/>
      <c r="D23" s="40"/>
      <c r="E23" s="9">
        <v>5</v>
      </c>
      <c r="F23" s="26">
        <v>3.75</v>
      </c>
      <c r="G23" s="30">
        <f t="shared" si="0"/>
        <v>0.75</v>
      </c>
      <c r="H23" s="31" t="str">
        <f t="shared" si="1"/>
        <v>جيد</v>
      </c>
      <c r="I23" s="47"/>
      <c r="J23" s="48"/>
    </row>
    <row r="24" spans="1:10" ht="39.950000000000003" customHeight="1">
      <c r="A24" s="10"/>
      <c r="B24" s="39" t="s">
        <v>196</v>
      </c>
      <c r="C24" s="40"/>
      <c r="D24" s="40"/>
      <c r="E24" s="9">
        <v>5</v>
      </c>
      <c r="F24" s="26">
        <v>3.75</v>
      </c>
      <c r="G24" s="30">
        <f t="shared" si="0"/>
        <v>0.75</v>
      </c>
      <c r="H24" s="31" t="str">
        <f t="shared" si="1"/>
        <v>جيد</v>
      </c>
      <c r="I24" s="47"/>
      <c r="J24" s="48"/>
    </row>
    <row r="25" spans="1:10" ht="39.950000000000003" customHeight="1">
      <c r="A25" s="10"/>
      <c r="B25" s="39" t="s">
        <v>197</v>
      </c>
      <c r="C25" s="40"/>
      <c r="D25" s="40"/>
      <c r="E25" s="9">
        <v>5</v>
      </c>
      <c r="F25" s="26">
        <v>3.5</v>
      </c>
      <c r="G25" s="30">
        <f t="shared" si="0"/>
        <v>0.7</v>
      </c>
      <c r="H25" s="31" t="str">
        <f t="shared" si="1"/>
        <v>جيد</v>
      </c>
      <c r="I25" s="47"/>
      <c r="J25" s="48"/>
    </row>
    <row r="26" spans="1:10" ht="39.950000000000003" customHeight="1">
      <c r="A26" s="10"/>
      <c r="B26" s="39" t="s">
        <v>198</v>
      </c>
      <c r="C26" s="40"/>
      <c r="D26" s="40"/>
      <c r="E26" s="9">
        <v>5</v>
      </c>
      <c r="F26" s="26">
        <v>3.75</v>
      </c>
      <c r="G26" s="30">
        <f t="shared" si="0"/>
        <v>0.75</v>
      </c>
      <c r="H26" s="31" t="str">
        <f t="shared" si="1"/>
        <v>جيد</v>
      </c>
      <c r="I26" s="47"/>
      <c r="J26" s="48"/>
    </row>
    <row r="27" spans="1:10" ht="39.950000000000003" customHeight="1">
      <c r="A27" s="10"/>
      <c r="B27" s="39" t="s">
        <v>199</v>
      </c>
      <c r="C27" s="40"/>
      <c r="D27" s="40"/>
      <c r="E27" s="9">
        <v>5</v>
      </c>
      <c r="F27" s="26">
        <v>3.75</v>
      </c>
      <c r="G27" s="30">
        <f t="shared" si="0"/>
        <v>0.75</v>
      </c>
      <c r="H27" s="31" t="str">
        <f t="shared" si="1"/>
        <v>جيد</v>
      </c>
      <c r="I27" s="47"/>
      <c r="J27" s="48"/>
    </row>
    <row r="28" spans="1:10" ht="39.950000000000003" customHeight="1">
      <c r="A28" s="10"/>
      <c r="B28" s="39" t="s">
        <v>200</v>
      </c>
      <c r="C28" s="40"/>
      <c r="D28" s="40"/>
      <c r="E28" s="9">
        <v>5</v>
      </c>
      <c r="F28" s="26">
        <v>3.75</v>
      </c>
      <c r="G28" s="30">
        <f t="shared" si="0"/>
        <v>0.75</v>
      </c>
      <c r="H28" s="31" t="str">
        <f t="shared" si="1"/>
        <v>جيد</v>
      </c>
      <c r="I28" s="47"/>
      <c r="J28" s="48"/>
    </row>
    <row r="29" spans="1:10" ht="39.950000000000003" customHeight="1">
      <c r="A29" s="10"/>
      <c r="B29" s="39" t="s">
        <v>201</v>
      </c>
      <c r="C29" s="40"/>
      <c r="D29" s="40"/>
      <c r="E29" s="9">
        <v>5</v>
      </c>
      <c r="F29" s="26">
        <v>3.75</v>
      </c>
      <c r="G29" s="30">
        <f t="shared" si="0"/>
        <v>0.75</v>
      </c>
      <c r="H29" s="31" t="str">
        <f t="shared" si="1"/>
        <v>جيد</v>
      </c>
      <c r="I29" s="47"/>
      <c r="J29" s="48"/>
    </row>
    <row r="30" spans="1:10" ht="39.950000000000003" customHeight="1">
      <c r="A30" s="10"/>
      <c r="B30" s="39" t="s">
        <v>202</v>
      </c>
      <c r="C30" s="40"/>
      <c r="D30" s="40"/>
      <c r="E30" s="9">
        <v>5</v>
      </c>
      <c r="F30" s="26">
        <v>3.5</v>
      </c>
      <c r="G30" s="30">
        <f t="shared" si="0"/>
        <v>0.7</v>
      </c>
      <c r="H30" s="31" t="str">
        <f t="shared" si="1"/>
        <v>جيد</v>
      </c>
      <c r="I30" s="47"/>
      <c r="J30" s="48"/>
    </row>
    <row r="31" spans="1:10" ht="39.950000000000003" customHeight="1">
      <c r="A31" s="10"/>
      <c r="B31" s="39" t="s">
        <v>203</v>
      </c>
      <c r="C31" s="40"/>
      <c r="D31" s="40"/>
      <c r="E31" s="9">
        <v>5</v>
      </c>
      <c r="F31" s="26">
        <v>3.75</v>
      </c>
      <c r="G31" s="30">
        <f t="shared" si="0"/>
        <v>0.75</v>
      </c>
      <c r="H31" s="31" t="str">
        <f t="shared" si="1"/>
        <v>جيد</v>
      </c>
      <c r="I31" s="47"/>
      <c r="J31" s="48"/>
    </row>
    <row r="32" spans="1:10" ht="39.950000000000003" customHeight="1">
      <c r="A32" s="10"/>
      <c r="B32" s="39" t="s">
        <v>204</v>
      </c>
      <c r="C32" s="40"/>
      <c r="D32" s="40"/>
      <c r="E32" s="9">
        <v>5</v>
      </c>
      <c r="F32" s="26">
        <v>3.75</v>
      </c>
      <c r="G32" s="30">
        <f t="shared" si="0"/>
        <v>0.75</v>
      </c>
      <c r="H32" s="31" t="str">
        <f t="shared" si="1"/>
        <v>جيد</v>
      </c>
      <c r="I32" s="47"/>
      <c r="J32" s="48"/>
    </row>
    <row r="33" spans="1:10" ht="39.950000000000003" customHeight="1" thickBot="1">
      <c r="A33" s="10"/>
      <c r="B33" s="41" t="s">
        <v>205</v>
      </c>
      <c r="C33" s="42"/>
      <c r="D33" s="42"/>
      <c r="E33" s="36">
        <v>5</v>
      </c>
      <c r="F33" s="27">
        <v>3.75</v>
      </c>
      <c r="G33" s="37">
        <f t="shared" si="0"/>
        <v>0.75</v>
      </c>
      <c r="H33" s="38" t="str">
        <f t="shared" si="1"/>
        <v>جيد</v>
      </c>
      <c r="I33" s="77"/>
      <c r="J33" s="78"/>
    </row>
    <row r="34" spans="1:10" ht="30" customHeight="1" thickBot="1">
      <c r="A34" s="4"/>
      <c r="B34" s="81" t="s">
        <v>5</v>
      </c>
      <c r="C34" s="82"/>
      <c r="D34" s="82"/>
      <c r="E34" s="29">
        <f>SUM(E8:E33)</f>
        <v>130</v>
      </c>
      <c r="F34" s="29">
        <f>SUM(F8:F33)</f>
        <v>95.25</v>
      </c>
      <c r="G34" s="51"/>
      <c r="H34" s="52"/>
      <c r="I34" s="52"/>
      <c r="J34" s="53"/>
    </row>
    <row r="35" spans="1:10" ht="30" customHeight="1" thickBot="1">
      <c r="A35" s="4"/>
      <c r="B35" s="83" t="s">
        <v>54</v>
      </c>
      <c r="C35" s="84"/>
      <c r="D35" s="84"/>
      <c r="E35" s="61">
        <f>F34/E34/100*100</f>
        <v>0.73269230769230764</v>
      </c>
      <c r="F35" s="61"/>
      <c r="G35" s="61"/>
      <c r="H35" s="61"/>
      <c r="I35" s="61"/>
      <c r="J35" s="62"/>
    </row>
    <row r="36" spans="1:10" ht="30" customHeight="1" thickBot="1">
      <c r="A36" s="4"/>
      <c r="B36" s="83" t="s">
        <v>55</v>
      </c>
      <c r="C36" s="84"/>
      <c r="D36" s="84"/>
      <c r="E36" s="75" t="str">
        <f>_xlfn.IFS(E35&gt;=90%,"ممتاز",E35&gt;=80%,"جيد جداً",E35&gt;=70%,"جيد",E35&gt;=60%,"مقبول",E35&lt;60%,"راسب")</f>
        <v>جيد</v>
      </c>
      <c r="F36" s="75"/>
      <c r="G36" s="75"/>
      <c r="H36" s="75"/>
      <c r="I36" s="75"/>
      <c r="J36" s="76"/>
    </row>
    <row r="37" spans="1:10" ht="42" customHeight="1">
      <c r="B37" s="71" t="s">
        <v>174</v>
      </c>
      <c r="C37" s="71"/>
      <c r="D37" s="71"/>
      <c r="E37" s="49" t="s">
        <v>52</v>
      </c>
      <c r="F37" s="49"/>
      <c r="G37" s="73" t="s">
        <v>104</v>
      </c>
      <c r="H37" s="73"/>
      <c r="I37" s="73"/>
      <c r="J37" s="73"/>
    </row>
    <row r="38" spans="1:10" ht="51" customHeight="1">
      <c r="A38" s="5"/>
      <c r="B38" s="72"/>
      <c r="C38" s="72"/>
      <c r="D38" s="72"/>
      <c r="E38" s="50" t="s">
        <v>53</v>
      </c>
      <c r="F38" s="50"/>
      <c r="G38" s="74"/>
      <c r="H38" s="74"/>
      <c r="I38" s="74"/>
      <c r="J38" s="7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B37:D38"/>
    <mergeCell ref="G37:J37"/>
    <mergeCell ref="G38:J38"/>
    <mergeCell ref="E36:J36"/>
    <mergeCell ref="I32:J32"/>
    <mergeCell ref="I33:J33"/>
    <mergeCell ref="B34:D34"/>
    <mergeCell ref="B35:D35"/>
    <mergeCell ref="B36:D36"/>
    <mergeCell ref="B7:D7"/>
    <mergeCell ref="I30:J30"/>
    <mergeCell ref="I31:J31"/>
    <mergeCell ref="E5:H5"/>
    <mergeCell ref="I5:J6"/>
    <mergeCell ref="I7:J7"/>
    <mergeCell ref="I10:J10"/>
    <mergeCell ref="I8:J8"/>
    <mergeCell ref="I11:J11"/>
    <mergeCell ref="I12:J12"/>
    <mergeCell ref="I13:J13"/>
    <mergeCell ref="I14:J14"/>
    <mergeCell ref="I15:J15"/>
    <mergeCell ref="I16:J16"/>
    <mergeCell ref="I17:J17"/>
    <mergeCell ref="I18:J18"/>
    <mergeCell ref="B1:J1"/>
    <mergeCell ref="F2:J2"/>
    <mergeCell ref="B5:D6"/>
    <mergeCell ref="C2:D2"/>
    <mergeCell ref="C3:D3"/>
    <mergeCell ref="F3:J3"/>
    <mergeCell ref="I9:J9"/>
    <mergeCell ref="E37:F37"/>
    <mergeCell ref="E38:F38"/>
    <mergeCell ref="G34:J34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35:J35"/>
    <mergeCell ref="I28:J28"/>
    <mergeCell ref="I29:J29"/>
    <mergeCell ref="B25:D25"/>
    <mergeCell ref="B27:D27"/>
    <mergeCell ref="B26:D26"/>
    <mergeCell ref="B17:D17"/>
    <mergeCell ref="B8:D8"/>
    <mergeCell ref="B33:D33"/>
    <mergeCell ref="B9:D9"/>
    <mergeCell ref="B10:D10"/>
    <mergeCell ref="B11:D11"/>
    <mergeCell ref="B12:D12"/>
    <mergeCell ref="B13:D13"/>
    <mergeCell ref="B14:D14"/>
    <mergeCell ref="B15:D15"/>
    <mergeCell ref="B16:D16"/>
    <mergeCell ref="B18:D18"/>
    <mergeCell ref="B19:D19"/>
    <mergeCell ref="B20:D20"/>
    <mergeCell ref="B21:D21"/>
    <mergeCell ref="B22:D22"/>
    <mergeCell ref="B23:D23"/>
    <mergeCell ref="B24:D24"/>
    <mergeCell ref="B28:D28"/>
    <mergeCell ref="B29:D29"/>
    <mergeCell ref="B30:D30"/>
    <mergeCell ref="B31:D31"/>
    <mergeCell ref="B32:D3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60">
      <formula>$E36="جيد جداً"</formula>
    </cfRule>
    <cfRule type="expression" dxfId="12" priority="59">
      <formula>$E36="جيد"</formula>
    </cfRule>
    <cfRule type="expression" dxfId="11" priority="58">
      <formula>$E36="مقبول"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F8:F33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9" t="s">
        <v>62</v>
      </c>
    </row>
    <row r="3" spans="1:3" ht="20.100000000000001" customHeight="1" thickBot="1">
      <c r="A3" s="2" t="s">
        <v>26</v>
      </c>
      <c r="C3" s="19" t="s">
        <v>63</v>
      </c>
    </row>
    <row r="4" spans="1:3" ht="20.100000000000001" customHeight="1" thickBot="1">
      <c r="A4" s="2" t="s">
        <v>36</v>
      </c>
      <c r="C4" s="19" t="s">
        <v>64</v>
      </c>
    </row>
    <row r="5" spans="1:3" ht="20.100000000000001" customHeight="1" thickBot="1">
      <c r="A5" s="2" t="s">
        <v>37</v>
      </c>
      <c r="C5" s="19" t="s">
        <v>65</v>
      </c>
    </row>
    <row r="6" spans="1:3" ht="20.100000000000001" customHeight="1" thickBot="1">
      <c r="A6" s="2" t="s">
        <v>38</v>
      </c>
      <c r="C6" s="19" t="s">
        <v>66</v>
      </c>
    </row>
    <row r="7" spans="1:3" ht="20.100000000000001" customHeight="1" thickBot="1">
      <c r="A7" s="2" t="s">
        <v>39</v>
      </c>
      <c r="C7" s="19" t="s">
        <v>67</v>
      </c>
    </row>
    <row r="8" spans="1:3" ht="20.100000000000001" customHeight="1" thickBot="1">
      <c r="A8" s="2" t="s">
        <v>40</v>
      </c>
      <c r="C8" s="19" t="s">
        <v>68</v>
      </c>
    </row>
    <row r="9" spans="1:3" ht="20.100000000000001" customHeight="1" thickBot="1">
      <c r="A9" s="2" t="s">
        <v>41</v>
      </c>
      <c r="C9" s="19" t="s">
        <v>69</v>
      </c>
    </row>
    <row r="10" spans="1:3" ht="20.100000000000001" customHeight="1" thickBot="1">
      <c r="A10" s="2" t="s">
        <v>42</v>
      </c>
      <c r="C10" s="19" t="s">
        <v>70</v>
      </c>
    </row>
    <row r="11" spans="1:3" ht="20.100000000000001" customHeight="1" thickBot="1">
      <c r="A11" s="2" t="s">
        <v>43</v>
      </c>
      <c r="C11" s="19" t="s">
        <v>71</v>
      </c>
    </row>
    <row r="12" spans="1:3" ht="20.100000000000001" customHeight="1" thickBot="1">
      <c r="A12" s="2" t="s">
        <v>44</v>
      </c>
      <c r="C12" s="19" t="s">
        <v>72</v>
      </c>
    </row>
    <row r="13" spans="1:3" ht="20.100000000000001" customHeight="1" thickBot="1">
      <c r="A13" s="2" t="s">
        <v>45</v>
      </c>
      <c r="C13" s="19" t="s">
        <v>73</v>
      </c>
    </row>
    <row r="14" spans="1:3" ht="20.100000000000001" customHeight="1" thickBot="1">
      <c r="A14" s="2" t="s">
        <v>46</v>
      </c>
      <c r="C14" s="19" t="s">
        <v>74</v>
      </c>
    </row>
    <row r="15" spans="1:3" ht="20.100000000000001" customHeight="1" thickBot="1">
      <c r="A15" s="2" t="s">
        <v>47</v>
      </c>
      <c r="C15" s="19" t="s">
        <v>75</v>
      </c>
    </row>
    <row r="16" spans="1:3" ht="20.100000000000001" customHeight="1" thickBot="1">
      <c r="A16" s="2" t="s">
        <v>10</v>
      </c>
      <c r="C16" s="19" t="s">
        <v>76</v>
      </c>
    </row>
    <row r="17" spans="1:3" ht="20.100000000000001" customHeight="1" thickBot="1">
      <c r="A17" s="2" t="s">
        <v>27</v>
      </c>
      <c r="C17" s="19" t="s">
        <v>77</v>
      </c>
    </row>
    <row r="18" spans="1:3" ht="20.100000000000001" customHeight="1" thickBot="1">
      <c r="A18" s="2" t="s">
        <v>48</v>
      </c>
      <c r="C18" s="19" t="s">
        <v>78</v>
      </c>
    </row>
    <row r="19" spans="1:3" ht="20.100000000000001" customHeight="1" thickBot="1">
      <c r="A19" s="2" t="s">
        <v>49</v>
      </c>
      <c r="C19" s="19" t="s">
        <v>79</v>
      </c>
    </row>
    <row r="20" spans="1:3" ht="20.100000000000001" customHeight="1" thickBot="1">
      <c r="A20" s="2" t="s">
        <v>50</v>
      </c>
      <c r="C20" s="19" t="s">
        <v>80</v>
      </c>
    </row>
    <row r="21" spans="1:3" ht="20.100000000000001" customHeight="1" thickBot="1">
      <c r="A21" s="2" t="s">
        <v>51</v>
      </c>
      <c r="C21" s="19" t="s">
        <v>81</v>
      </c>
    </row>
    <row r="22" spans="1:3" ht="20.100000000000001" customHeight="1" thickBot="1">
      <c r="A22" s="2" t="s">
        <v>11</v>
      </c>
      <c r="C22" s="19" t="s">
        <v>82</v>
      </c>
    </row>
    <row r="23" spans="1:3" ht="20.100000000000001" customHeight="1" thickBot="1">
      <c r="A23" s="2" t="s">
        <v>12</v>
      </c>
      <c r="C23" s="19" t="s">
        <v>83</v>
      </c>
    </row>
    <row r="24" spans="1:3" ht="20.100000000000001" customHeight="1" thickBot="1">
      <c r="A24" s="2" t="s">
        <v>15</v>
      </c>
      <c r="C24" s="19" t="s">
        <v>84</v>
      </c>
    </row>
    <row r="25" spans="1:3" ht="20.100000000000001" customHeight="1" thickBot="1">
      <c r="A25" s="2" t="s">
        <v>28</v>
      </c>
      <c r="C25" s="19" t="s">
        <v>85</v>
      </c>
    </row>
    <row r="26" spans="1:3" ht="20.100000000000001" customHeight="1" thickBot="1">
      <c r="A26" s="2" t="s">
        <v>29</v>
      </c>
      <c r="C26" s="19" t="s">
        <v>86</v>
      </c>
    </row>
    <row r="27" spans="1:3" ht="20.100000000000001" customHeight="1" thickBot="1">
      <c r="A27" s="2" t="s">
        <v>13</v>
      </c>
      <c r="C27" s="19" t="s">
        <v>87</v>
      </c>
    </row>
    <row r="28" spans="1:3" ht="20.100000000000001" customHeight="1" thickBot="1">
      <c r="A28" s="2" t="s">
        <v>30</v>
      </c>
      <c r="C28" s="19" t="s">
        <v>88</v>
      </c>
    </row>
    <row r="29" spans="1:3" ht="20.100000000000001" customHeight="1" thickBot="1">
      <c r="A29" s="2" t="s">
        <v>31</v>
      </c>
      <c r="C29" s="19" t="s">
        <v>177</v>
      </c>
    </row>
    <row r="30" spans="1:3" ht="20.100000000000001" customHeight="1" thickBot="1">
      <c r="A30" s="2" t="s">
        <v>32</v>
      </c>
      <c r="C30" s="19" t="s">
        <v>178</v>
      </c>
    </row>
    <row r="31" spans="1:3" ht="20.100000000000001" customHeight="1" thickBot="1">
      <c r="A31" s="2" t="s">
        <v>33</v>
      </c>
      <c r="C31" s="19" t="s">
        <v>179</v>
      </c>
    </row>
    <row r="32" spans="1:3" ht="20.100000000000001" customHeight="1" thickBot="1">
      <c r="A32" s="2" t="s">
        <v>16</v>
      </c>
      <c r="C32" s="19"/>
    </row>
    <row r="33" spans="1:9" ht="20.100000000000001" customHeight="1" thickBot="1">
      <c r="A33" s="2" t="s">
        <v>14</v>
      </c>
      <c r="C33" s="19"/>
    </row>
    <row r="34" spans="1:9" ht="20.100000000000001" customHeight="1" thickBot="1">
      <c r="A34" s="2" t="s">
        <v>34</v>
      </c>
      <c r="C34" s="19"/>
    </row>
    <row r="35" spans="1:9" ht="20.100000000000001" customHeight="1">
      <c r="A35" s="18"/>
    </row>
    <row r="36" spans="1:9" s="17" customFormat="1" ht="20.100000000000001" customHeight="1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3">
        <v>45931</v>
      </c>
    </row>
    <row r="40" spans="1:9" ht="20.100000000000001" customHeight="1" thickBot="1">
      <c r="A40" s="13">
        <v>45932</v>
      </c>
    </row>
    <row r="41" spans="1:9" ht="20.100000000000001" customHeight="1" thickBot="1">
      <c r="A41" s="13">
        <v>45933</v>
      </c>
    </row>
    <row r="42" spans="1:9" ht="20.100000000000001" customHeight="1" thickBot="1">
      <c r="A42" s="13">
        <v>45934</v>
      </c>
    </row>
    <row r="43" spans="1:9" ht="20.100000000000001" customHeight="1" thickBot="1">
      <c r="A43" s="13">
        <v>45935</v>
      </c>
    </row>
    <row r="44" spans="1:9" ht="20.100000000000001" customHeight="1" thickBot="1">
      <c r="A44" s="13">
        <v>45936</v>
      </c>
    </row>
    <row r="45" spans="1:9" ht="20.100000000000001" customHeight="1" thickBot="1">
      <c r="A45" s="13">
        <v>45937</v>
      </c>
    </row>
    <row r="46" spans="1:9" ht="20.100000000000001" customHeight="1" thickBot="1">
      <c r="A46" s="13">
        <v>45938</v>
      </c>
    </row>
    <row r="47" spans="1:9" ht="20.100000000000001" customHeight="1" thickBot="1">
      <c r="A47" s="13">
        <v>45939</v>
      </c>
    </row>
    <row r="48" spans="1:9" ht="20.100000000000001" customHeight="1" thickBot="1">
      <c r="A48" s="13">
        <v>45940</v>
      </c>
    </row>
    <row r="49" spans="1:1" ht="20.100000000000001" customHeight="1" thickBot="1">
      <c r="A49" s="13">
        <v>45941</v>
      </c>
    </row>
    <row r="50" spans="1:1" ht="20.100000000000001" customHeight="1" thickBot="1">
      <c r="A50" s="13">
        <v>45942</v>
      </c>
    </row>
    <row r="51" spans="1:1" ht="20.100000000000001" customHeight="1" thickBot="1">
      <c r="A51" s="13">
        <v>45943</v>
      </c>
    </row>
    <row r="52" spans="1:1" ht="20.100000000000001" customHeight="1" thickBot="1">
      <c r="A52" s="13">
        <v>45944</v>
      </c>
    </row>
    <row r="53" spans="1:1" ht="20.100000000000001" customHeight="1" thickBot="1">
      <c r="A53" s="13">
        <v>45945</v>
      </c>
    </row>
    <row r="54" spans="1:1" ht="20.100000000000001" customHeight="1" thickBot="1">
      <c r="A54" s="13">
        <v>45946</v>
      </c>
    </row>
    <row r="55" spans="1:1" ht="20.100000000000001" customHeight="1" thickBot="1">
      <c r="A55" s="13">
        <v>45947</v>
      </c>
    </row>
    <row r="56" spans="1:1" ht="20.100000000000001" customHeight="1" thickBot="1">
      <c r="A56" s="13">
        <v>45948</v>
      </c>
    </row>
    <row r="57" spans="1:1" ht="20.100000000000001" customHeight="1" thickBot="1">
      <c r="A57" s="13">
        <v>45949</v>
      </c>
    </row>
    <row r="58" spans="1:1" ht="20.100000000000001" customHeight="1" thickBot="1">
      <c r="A58" s="13">
        <v>45950</v>
      </c>
    </row>
    <row r="59" spans="1:1" ht="20.100000000000001" customHeight="1" thickBot="1">
      <c r="A59" s="13">
        <v>45951</v>
      </c>
    </row>
    <row r="60" spans="1:1" ht="20.100000000000001" customHeight="1" thickBot="1">
      <c r="A60" s="13">
        <v>45952</v>
      </c>
    </row>
    <row r="61" spans="1:1" ht="20.100000000000001" customHeight="1" thickBot="1">
      <c r="A61" s="13">
        <v>45953</v>
      </c>
    </row>
    <row r="62" spans="1:1" ht="20.100000000000001" customHeight="1" thickBot="1">
      <c r="A62" s="13">
        <v>45954</v>
      </c>
    </row>
    <row r="63" spans="1:1" ht="20.100000000000001" customHeight="1" thickBot="1">
      <c r="A63" s="13">
        <v>45955</v>
      </c>
    </row>
    <row r="64" spans="1:1" ht="20.100000000000001" customHeight="1" thickBot="1">
      <c r="A64" s="13">
        <v>45956</v>
      </c>
    </row>
    <row r="65" spans="1:1" ht="20.100000000000001" customHeight="1" thickBot="1">
      <c r="A65" s="13">
        <v>45957</v>
      </c>
    </row>
    <row r="66" spans="1:1" ht="20.100000000000001" customHeight="1" thickBot="1">
      <c r="A66" s="13">
        <v>45958</v>
      </c>
    </row>
    <row r="67" spans="1:1" ht="20.100000000000001" customHeight="1" thickBot="1">
      <c r="A67" s="13">
        <v>45959</v>
      </c>
    </row>
    <row r="68" spans="1:1" ht="20.100000000000001" customHeight="1" thickBot="1">
      <c r="A68" s="13">
        <v>45960</v>
      </c>
    </row>
    <row r="69" spans="1:1" ht="20.100000000000001" customHeight="1" thickBot="1">
      <c r="A69" s="13">
        <v>45961</v>
      </c>
    </row>
    <row r="70" spans="1:1" ht="20.100000000000001" customHeight="1" thickBot="1">
      <c r="A70" s="13"/>
    </row>
    <row r="71" spans="1:1" ht="20.100000000000001" customHeight="1" thickBot="1">
      <c r="A71" s="13"/>
    </row>
    <row r="72" spans="1:1" ht="20.100000000000001" customHeight="1" thickBot="1">
      <c r="A72" s="13"/>
    </row>
    <row r="73" spans="1:1" ht="20.100000000000001" customHeight="1" thickBot="1">
      <c r="A73" s="13"/>
    </row>
    <row r="74" spans="1:1" ht="20.100000000000001" customHeight="1" thickBot="1">
      <c r="A74" s="13"/>
    </row>
    <row r="75" spans="1:1" ht="20.100000000000001" customHeight="1" thickBot="1">
      <c r="A75" s="13"/>
    </row>
    <row r="76" spans="1:1" ht="20.100000000000001" customHeight="1" thickBot="1">
      <c r="A76" s="13"/>
    </row>
    <row r="77" spans="1:1" ht="20.100000000000001" customHeight="1" thickBot="1">
      <c r="A77" s="13"/>
    </row>
    <row r="78" spans="1:1" ht="20.100000000000001" customHeight="1" thickBot="1">
      <c r="A78" s="13"/>
    </row>
    <row r="79" spans="1:1" ht="20.100000000000001" customHeight="1" thickBot="1">
      <c r="A79" s="13"/>
    </row>
    <row r="80" spans="1:1" ht="20.100000000000001" customHeight="1" thickBot="1">
      <c r="A80" s="13"/>
    </row>
    <row r="81" spans="1:1" ht="20.100000000000001" customHeight="1" thickBot="1">
      <c r="A81" s="13"/>
    </row>
    <row r="82" spans="1:1" ht="20.100000000000001" customHeight="1" thickBot="1">
      <c r="A82" s="13"/>
    </row>
    <row r="83" spans="1:1" ht="20.100000000000001" customHeight="1" thickBot="1">
      <c r="A83" s="13"/>
    </row>
    <row r="84" spans="1:1" ht="20.100000000000001" customHeight="1" thickBot="1">
      <c r="A84" s="13"/>
    </row>
    <row r="85" spans="1:1" ht="20.100000000000001" customHeight="1" thickBot="1">
      <c r="A85" s="13"/>
    </row>
    <row r="86" spans="1:1" ht="20.100000000000001" customHeight="1" thickBot="1">
      <c r="A86" s="13"/>
    </row>
    <row r="87" spans="1:1" ht="20.100000000000001" customHeight="1" thickBot="1">
      <c r="A87" s="13"/>
    </row>
    <row r="88" spans="1:1" ht="20.100000000000001" customHeight="1" thickBot="1">
      <c r="A88" s="13"/>
    </row>
    <row r="89" spans="1:1" ht="20.100000000000001" customHeight="1" thickBot="1">
      <c r="A89" s="13"/>
    </row>
    <row r="90" spans="1:1" ht="20.100000000000001" customHeight="1" thickBot="1">
      <c r="A90" s="13"/>
    </row>
    <row r="91" spans="1:1" ht="20.100000000000001" customHeight="1" thickBot="1">
      <c r="A91" s="13"/>
    </row>
    <row r="92" spans="1:1" ht="20.100000000000001" customHeight="1" thickBot="1">
      <c r="A92" s="13"/>
    </row>
    <row r="93" spans="1:1" ht="20.100000000000001" customHeight="1" thickBot="1">
      <c r="A93" s="13"/>
    </row>
    <row r="94" spans="1:1" ht="20.100000000000001" customHeight="1" thickBot="1">
      <c r="A94" s="13"/>
    </row>
    <row r="95" spans="1:1" ht="20.100000000000001" customHeight="1" thickBot="1">
      <c r="A95" s="13"/>
    </row>
    <row r="96" spans="1:1" ht="20.100000000000001" customHeight="1" thickBot="1">
      <c r="A96" s="13"/>
    </row>
    <row r="97" spans="1:9" ht="20.100000000000001" customHeight="1" thickBot="1">
      <c r="A97" s="13"/>
    </row>
    <row r="98" spans="1:9" ht="20.100000000000001" customHeight="1" thickBot="1">
      <c r="A98" s="13"/>
    </row>
    <row r="99" spans="1:9" ht="20.100000000000001" customHeight="1" thickBot="1">
      <c r="A99" s="13"/>
    </row>
    <row r="100" spans="1:9" ht="20.100000000000001" customHeight="1" thickBot="1">
      <c r="A100" s="13"/>
    </row>
    <row r="101" spans="1:9" ht="20.100000000000001" customHeight="1" thickBot="1">
      <c r="A101" s="13"/>
    </row>
    <row r="102" spans="1:9" ht="20.100000000000001" customHeight="1" thickBot="1">
      <c r="A102" s="13"/>
    </row>
    <row r="103" spans="1:9" ht="20.100000000000001" customHeight="1" thickBot="1">
      <c r="A103" s="13"/>
    </row>
    <row r="104" spans="1:9" ht="20.100000000000001" customHeight="1" thickBot="1">
      <c r="A104" s="13"/>
    </row>
    <row r="105" spans="1:9" ht="20.100000000000001" customHeight="1" thickBot="1">
      <c r="A105" s="13"/>
    </row>
    <row r="106" spans="1:9" ht="20.100000000000001" customHeight="1" thickBot="1">
      <c r="A106" s="13"/>
    </row>
    <row r="107" spans="1:9" ht="20.100000000000001" customHeight="1">
      <c r="A107" s="14"/>
    </row>
    <row r="108" spans="1:9" ht="20.100000000000001" customHeight="1">
      <c r="A108" s="14"/>
    </row>
    <row r="109" spans="1:9" s="17" customFormat="1" ht="20.100000000000001" customHeight="1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20" t="s">
        <v>89</v>
      </c>
    </row>
    <row r="200" spans="1:1" ht="20.100000000000001" customHeight="1">
      <c r="A200" s="20" t="s">
        <v>90</v>
      </c>
    </row>
    <row r="201" spans="1:1" ht="20.100000000000001" customHeight="1">
      <c r="A201" s="20" t="s">
        <v>91</v>
      </c>
    </row>
    <row r="202" spans="1:1" ht="20.100000000000001" customHeight="1">
      <c r="A202" s="20" t="s">
        <v>92</v>
      </c>
    </row>
    <row r="203" spans="1:1" ht="20.100000000000001" customHeight="1">
      <c r="A203" s="20" t="s">
        <v>93</v>
      </c>
    </row>
    <row r="204" spans="1:1" ht="20.100000000000001" customHeight="1">
      <c r="A204" s="20" t="s">
        <v>94</v>
      </c>
    </row>
    <row r="205" spans="1:1" ht="20.100000000000001" customHeight="1">
      <c r="A205" s="20" t="s">
        <v>95</v>
      </c>
    </row>
    <row r="206" spans="1:1" ht="20.100000000000001" customHeight="1">
      <c r="A206" s="20" t="s">
        <v>96</v>
      </c>
    </row>
    <row r="207" spans="1:1" ht="20.100000000000001" customHeight="1">
      <c r="A207" s="20" t="s">
        <v>97</v>
      </c>
    </row>
    <row r="208" spans="1:1" ht="20.100000000000001" customHeight="1">
      <c r="A208" s="21" t="s">
        <v>98</v>
      </c>
    </row>
    <row r="209" spans="1:1" ht="20.100000000000001" customHeight="1">
      <c r="A209" s="21" t="s">
        <v>99</v>
      </c>
    </row>
    <row r="210" spans="1:1" ht="20.100000000000001" customHeight="1">
      <c r="A210" s="20" t="s">
        <v>100</v>
      </c>
    </row>
    <row r="211" spans="1:1" ht="20.100000000000001" customHeight="1">
      <c r="A211" s="20" t="s">
        <v>101</v>
      </c>
    </row>
    <row r="212" spans="1:1" ht="20.100000000000001" customHeight="1">
      <c r="A212" s="20" t="s">
        <v>175</v>
      </c>
    </row>
    <row r="213" spans="1:1" ht="20.100000000000001" customHeight="1">
      <c r="A213" s="20" t="s">
        <v>102</v>
      </c>
    </row>
    <row r="214" spans="1:1" ht="20.100000000000001" customHeight="1">
      <c r="A214" s="20" t="s">
        <v>103</v>
      </c>
    </row>
    <row r="215" spans="1:1" ht="20.100000000000001" customHeight="1">
      <c r="A215" s="20" t="s">
        <v>104</v>
      </c>
    </row>
    <row r="216" spans="1:1" ht="20.100000000000001" customHeight="1">
      <c r="A216" s="20" t="s">
        <v>105</v>
      </c>
    </row>
    <row r="217" spans="1:1" ht="20.100000000000001" customHeight="1">
      <c r="A217" s="20" t="s">
        <v>106</v>
      </c>
    </row>
    <row r="218" spans="1:1" ht="20.100000000000001" customHeight="1">
      <c r="A218" s="20" t="s">
        <v>107</v>
      </c>
    </row>
    <row r="219" spans="1:1" ht="20.100000000000001" customHeight="1">
      <c r="A219" s="20" t="s">
        <v>108</v>
      </c>
    </row>
    <row r="220" spans="1:1" ht="20.100000000000001" customHeight="1">
      <c r="A220" s="20" t="s">
        <v>109</v>
      </c>
    </row>
    <row r="221" spans="1:1" ht="20.100000000000001" customHeight="1">
      <c r="A221" s="20" t="s">
        <v>110</v>
      </c>
    </row>
    <row r="222" spans="1:1" ht="20.100000000000001" customHeight="1">
      <c r="A222" s="20" t="s">
        <v>111</v>
      </c>
    </row>
    <row r="223" spans="1:1" ht="20.100000000000001" customHeight="1">
      <c r="A223" s="20" t="s">
        <v>112</v>
      </c>
    </row>
    <row r="224" spans="1:1" ht="20.100000000000001" customHeight="1">
      <c r="A224" s="20" t="s">
        <v>176</v>
      </c>
    </row>
    <row r="225" spans="1:1" ht="20.100000000000001" customHeight="1">
      <c r="A225" s="20" t="s">
        <v>113</v>
      </c>
    </row>
    <row r="226" spans="1:1" ht="20.100000000000001" customHeight="1">
      <c r="A226" s="20" t="s">
        <v>114</v>
      </c>
    </row>
    <row r="227" spans="1:1" ht="20.100000000000001" customHeight="1">
      <c r="A227" s="20" t="s">
        <v>115</v>
      </c>
    </row>
    <row r="228" spans="1:1" ht="20.100000000000001" customHeight="1">
      <c r="A228" s="20" t="s">
        <v>116</v>
      </c>
    </row>
    <row r="229" spans="1:1" ht="20.100000000000001" customHeight="1">
      <c r="A229" s="20" t="s">
        <v>117</v>
      </c>
    </row>
    <row r="230" spans="1:1" ht="20.100000000000001" customHeight="1">
      <c r="A230" s="20" t="s">
        <v>118</v>
      </c>
    </row>
    <row r="231" spans="1:1" ht="20.100000000000001" customHeight="1">
      <c r="A231" s="20" t="s">
        <v>119</v>
      </c>
    </row>
    <row r="232" spans="1:1" ht="20.100000000000001" customHeight="1">
      <c r="A232" s="20" t="s">
        <v>120</v>
      </c>
    </row>
    <row r="233" spans="1:1" ht="20.100000000000001" customHeight="1">
      <c r="A233" s="20" t="s">
        <v>121</v>
      </c>
    </row>
    <row r="234" spans="1:1" ht="20.100000000000001" customHeight="1">
      <c r="A234" s="20" t="s">
        <v>122</v>
      </c>
    </row>
    <row r="235" spans="1:1" ht="20.100000000000001" customHeight="1">
      <c r="A235" s="20" t="s">
        <v>123</v>
      </c>
    </row>
    <row r="236" spans="1:1" ht="20.100000000000001" customHeight="1">
      <c r="A236" s="22" t="s">
        <v>124</v>
      </c>
    </row>
    <row r="237" spans="1:1" ht="20.100000000000001" customHeight="1">
      <c r="A237" s="20" t="s">
        <v>125</v>
      </c>
    </row>
    <row r="238" spans="1:1" ht="20.100000000000001" customHeight="1">
      <c r="A238" s="20" t="s">
        <v>126</v>
      </c>
    </row>
    <row r="239" spans="1:1" ht="20.100000000000001" customHeight="1">
      <c r="A239" s="20" t="s">
        <v>127</v>
      </c>
    </row>
    <row r="240" spans="1:1" ht="20.100000000000001" customHeight="1">
      <c r="A240" s="20" t="s">
        <v>128</v>
      </c>
    </row>
    <row r="241" spans="1:1" ht="20.100000000000001" customHeight="1">
      <c r="A241" s="20" t="s">
        <v>129</v>
      </c>
    </row>
    <row r="242" spans="1:1" ht="20.100000000000001" customHeight="1">
      <c r="A242" s="20" t="s">
        <v>130</v>
      </c>
    </row>
    <row r="243" spans="1:1" ht="20.100000000000001" customHeight="1">
      <c r="A243" s="20" t="s">
        <v>131</v>
      </c>
    </row>
    <row r="244" spans="1:1" ht="20.100000000000001" customHeight="1">
      <c r="A244" s="20" t="s">
        <v>132</v>
      </c>
    </row>
    <row r="245" spans="1:1" ht="20.100000000000001" customHeight="1">
      <c r="A245" s="20" t="s">
        <v>133</v>
      </c>
    </row>
    <row r="246" spans="1:1" ht="20.100000000000001" customHeight="1">
      <c r="A246" s="20" t="s">
        <v>134</v>
      </c>
    </row>
    <row r="247" spans="1:1" ht="20.100000000000001" customHeight="1">
      <c r="A247" s="20" t="s">
        <v>135</v>
      </c>
    </row>
    <row r="248" spans="1:1" ht="20.100000000000001" customHeight="1">
      <c r="A248" s="20" t="s">
        <v>126</v>
      </c>
    </row>
    <row r="249" spans="1:1" ht="20.100000000000001" customHeight="1">
      <c r="A249" s="20" t="s">
        <v>136</v>
      </c>
    </row>
    <row r="250" spans="1:1" ht="20.100000000000001" customHeight="1">
      <c r="A250" s="20" t="s">
        <v>137</v>
      </c>
    </row>
    <row r="251" spans="1:1" ht="20.100000000000001" customHeight="1">
      <c r="A251" s="22" t="s">
        <v>138</v>
      </c>
    </row>
    <row r="252" spans="1:1" ht="20.100000000000001" customHeight="1">
      <c r="A252" s="23" t="s">
        <v>139</v>
      </c>
    </row>
    <row r="253" spans="1:1" ht="20.100000000000001" customHeight="1">
      <c r="A253" s="20" t="s">
        <v>140</v>
      </c>
    </row>
    <row r="254" spans="1:1" ht="20.100000000000001" customHeight="1">
      <c r="A254" s="20" t="s">
        <v>141</v>
      </c>
    </row>
    <row r="255" spans="1:1" ht="20.100000000000001" customHeight="1">
      <c r="A255" s="24" t="s">
        <v>142</v>
      </c>
    </row>
    <row r="256" spans="1:1" ht="20.100000000000001" customHeight="1">
      <c r="A256" s="24" t="s">
        <v>143</v>
      </c>
    </row>
    <row r="257" spans="1:1" ht="20.100000000000001" customHeight="1">
      <c r="A257" s="25" t="s">
        <v>144</v>
      </c>
    </row>
    <row r="258" spans="1:1" ht="20.100000000000001" customHeight="1">
      <c r="A258" s="20" t="s">
        <v>145</v>
      </c>
    </row>
    <row r="259" spans="1:1" ht="20.100000000000001" customHeight="1">
      <c r="A259" s="25" t="s">
        <v>146</v>
      </c>
    </row>
    <row r="260" spans="1:1" ht="20.100000000000001" customHeight="1">
      <c r="A260" s="20" t="s">
        <v>147</v>
      </c>
    </row>
    <row r="261" spans="1:1" ht="20.100000000000001" customHeight="1">
      <c r="A261" s="25" t="s">
        <v>148</v>
      </c>
    </row>
    <row r="262" spans="1:1" ht="20.100000000000001" customHeight="1">
      <c r="A262" s="20" t="s">
        <v>149</v>
      </c>
    </row>
    <row r="263" spans="1:1" ht="20.100000000000001" customHeight="1">
      <c r="A263" s="20" t="s">
        <v>150</v>
      </c>
    </row>
    <row r="264" spans="1:1" ht="20.100000000000001" customHeight="1">
      <c r="A264" s="25" t="s">
        <v>151</v>
      </c>
    </row>
    <row r="265" spans="1:1" ht="20.100000000000001" customHeight="1">
      <c r="A265" s="25" t="s">
        <v>152</v>
      </c>
    </row>
    <row r="266" spans="1:1" ht="20.100000000000001" customHeight="1">
      <c r="A266" s="25" t="s">
        <v>153</v>
      </c>
    </row>
    <row r="267" spans="1:1" ht="20.100000000000001" customHeight="1">
      <c r="A267" s="20" t="s">
        <v>154</v>
      </c>
    </row>
    <row r="268" spans="1:1" ht="20.100000000000001" customHeight="1">
      <c r="A268" s="20" t="s">
        <v>155</v>
      </c>
    </row>
    <row r="269" spans="1:1" ht="20.100000000000001" customHeight="1">
      <c r="A269" s="20" t="s">
        <v>156</v>
      </c>
    </row>
    <row r="270" spans="1:1" ht="20.100000000000001" customHeight="1">
      <c r="A270" s="20" t="s">
        <v>157</v>
      </c>
    </row>
    <row r="271" spans="1:1" ht="20.100000000000001" customHeight="1">
      <c r="A271" s="25" t="s">
        <v>158</v>
      </c>
    </row>
    <row r="272" spans="1:1" ht="20.100000000000001" customHeight="1">
      <c r="A272" s="25" t="s">
        <v>159</v>
      </c>
    </row>
    <row r="273" spans="1:1" ht="20.100000000000001" customHeight="1">
      <c r="A273" s="20" t="s">
        <v>160</v>
      </c>
    </row>
    <row r="274" spans="1:1" ht="20.100000000000001" customHeight="1">
      <c r="A274" s="25" t="s">
        <v>161</v>
      </c>
    </row>
    <row r="275" spans="1:1" ht="20.100000000000001" customHeight="1">
      <c r="A275" s="25" t="s">
        <v>162</v>
      </c>
    </row>
    <row r="276" spans="1:1" ht="20.100000000000001" customHeight="1">
      <c r="A276" s="20" t="s">
        <v>163</v>
      </c>
    </row>
    <row r="277" spans="1:1" ht="20.100000000000001" customHeight="1">
      <c r="A277" s="20" t="s">
        <v>164</v>
      </c>
    </row>
    <row r="278" spans="1:1" ht="20.100000000000001" customHeight="1">
      <c r="A278" s="25" t="s">
        <v>165</v>
      </c>
    </row>
    <row r="279" spans="1:1" ht="20.100000000000001" customHeight="1">
      <c r="A279" s="20" t="s">
        <v>166</v>
      </c>
    </row>
    <row r="280" spans="1:1" ht="20.100000000000001" customHeight="1">
      <c r="A280" s="20" t="s">
        <v>167</v>
      </c>
    </row>
    <row r="281" spans="1:1" ht="20.100000000000001" customHeight="1">
      <c r="A281" s="20" t="s">
        <v>168</v>
      </c>
    </row>
    <row r="282" spans="1:1" ht="20.100000000000001" customHeight="1">
      <c r="A282" s="20" t="s">
        <v>169</v>
      </c>
    </row>
    <row r="283" spans="1:1" ht="20.100000000000001" customHeight="1">
      <c r="A283" s="25" t="s">
        <v>170</v>
      </c>
    </row>
    <row r="284" spans="1:1" ht="20.100000000000001" customHeight="1">
      <c r="A284" s="25" t="s">
        <v>171</v>
      </c>
    </row>
    <row r="285" spans="1:1" ht="20.100000000000001" customHeight="1">
      <c r="A285" s="25" t="s">
        <v>172</v>
      </c>
    </row>
    <row r="286" spans="1:1" ht="20.100000000000001" customHeight="1" thickBot="1">
      <c r="A286" s="20" t="s">
        <v>173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  <row r="338" spans="1:1" ht="20.100000000000001" customHeight="1" thickBot="1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2025-10-22T06:06:29Z</dcterms:modified>
</cp:coreProperties>
</file>