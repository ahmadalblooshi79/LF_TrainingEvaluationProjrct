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EFE87725-6C79-5A47-9C47-44E8D38E946D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8" i="2"/>
  <c r="H8" i="2"/>
  <c r="F15" i="2"/>
  <c r="E15" i="2"/>
  <c r="E16" i="2"/>
  <c r="E17" i="2"/>
</calcChain>
</file>

<file path=xl/sharedStrings.xml><?xml version="1.0" encoding="utf-8"?>
<sst xmlns="http://schemas.openxmlformats.org/spreadsheetml/2006/main" count="244" uniqueCount="188">
  <si>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</si>
  <si>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</si>
  <si>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</si>
  <si>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</si>
  <si>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</si>
  <si>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</si>
  <si>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</si>
  <si>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</si>
  <si>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</si>
  <si>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</si>
  <si>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</si>
  <si>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</si>
  <si>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</si>
  <si>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</si>
  <si>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</si>
  <si>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</si>
  <si>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</si>
  <si>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</si>
  <si>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</si>
  <si>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</si>
  <si>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</si>
  <si>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</si>
  <si>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</si>
  <si>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</si>
  <si>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</si>
  <si>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</si>
  <si>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</si>
  <si>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</si>
  <si>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</si>
  <si>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</si>
  <si>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</si>
  <si>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</si>
  <si>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</si>
  <si>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</si>
  <si>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</si>
  <si>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</si>
  <si>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</si>
  <si>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</si>
  <si>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</si>
  <si>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</si>
  <si>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</si>
  <si>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</si>
  <si>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</si>
  <si>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</si>
  <si>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</si>
  <si>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</si>
  <si>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</si>
  <si>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</si>
  <si>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</si>
  <si>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</si>
  <si>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</si>
  <si>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</si>
  <si>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</si>
  <si>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</si>
  <si>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</si>
  <si>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</si>
  <si>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</si>
  <si>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</si>
  <si>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</si>
  <si>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</si>
  <si>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</si>
  <si>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</si>
  <si>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</si>
  <si>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</si>
  <si>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</si>
  <si>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</si>
  <si>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</si>
  <si>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</si>
  <si>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</si>
  <si>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</si>
  <si>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</si>
  <si>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</si>
  <si>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</si>
  <si>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</si>
  <si>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</si>
  <si>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</si>
  <si>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</si>
  <si>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</si>
  <si>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</si>
  <si>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</si>
  <si>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</si>
  <si>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</si>
  <si>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</si>
  <si>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</si>
  <si>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</si>
  <si>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</si>
  <si>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</si>
  <si>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</si>
  <si>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</si>
  <si>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</si>
  <si>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</si>
  <si>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</si>
  <si>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</si>
  <si>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</si>
  <si>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</si>
  <si>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</si>
  <si>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</si>
  <si>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</si>
  <si>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</si>
  <si>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</si>
  <si>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</si>
  <si>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</si>
  <si>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</si>
  <si>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</si>
  <si>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</si>
  <si>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</si>
  <si>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</si>
  <si>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</si>
  <si>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</si>
  <si>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</si>
  <si>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</si>
  <si>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</si>
  <si>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</si>
  <si>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</si>
  <si>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</si>
  <si>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</si>
  <si>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</si>
  <si>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</si>
  <si>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</si>
  <si>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</si>
  <si>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</si>
  <si>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</si>
  <si>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</si>
  <si>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</si>
  <si>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</si>
  <si>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</si>
  <si>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</si>
  <si>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</si>
  <si>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</si>
  <si>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</si>
  <si>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</si>
  <si>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</si>
  <si>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</si>
  <si>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</si>
  <si>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</si>
  <si>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</si>
  <si>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</si>
  <si>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</si>
  <si>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</si>
  <si>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</si>
  <si>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</si>
  <si>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</si>
  <si>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</si>
  <si>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</si>
  <si>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</si>
  <si>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</si>
  <si>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</si>
  <si>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</si>
  <si>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</si>
  <si>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</si>
  <si>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</si>
  <si>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</si>
  <si>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</si>
  <si>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</si>
  <si>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</si>
  <si>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</si>
  <si>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</si>
  <si>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</si>
  <si>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</si>
  <si>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</si>
  <si>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</si>
  <si>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</si>
  <si>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</si>
  <si>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</si>
  <si>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</si>
  <si>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</si>
  <si>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</si>
  <si>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</si>
  <si>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</si>
  <si>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</si>
  <si>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</si>
  <si>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</si>
  <si>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</si>
  <si>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</si>
  <si>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</si>
  <si>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</si>
  <si>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</si>
  <si>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</si>
  <si>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</si>
  <si>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</si>
  <si>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إسناد كتيبة المدفعية للدفاع السريع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</si>
  <si>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1.    التأكد من دخول المدافع في العمل.</t>
  </si>
  <si>
    <t>2.    تحضير النماذج واجراء التحضيرات اللازمة لخطط الرمي.</t>
  </si>
  <si>
    <t>3.    تنسيق الاهداف والسيطرة على تنفيذ جدول توقيت الرماية في الوقت المحدد.</t>
  </si>
  <si>
    <t>4.    تأشير الاهداف الدفاعية على الخرائط.</t>
  </si>
  <si>
    <t>5.    تنسيق جميع الاهداف الدفاعية.</t>
  </si>
  <si>
    <t>6.    تحديث معلومات الرماية لهدف الحماية النهائي باستمرار (معلومات البرقية الجوية ومعلومات التسجيل).</t>
  </si>
  <si>
    <t>7.    تحضير منهج المدفع لخطة الرمي.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</si>
</sst>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221865</xdr:colOff>
      <xdr:row>17</xdr:row>
      <xdr:rowOff>312080</xdr:rowOff>
    </xdr:from>
    <xdr:to>
      <xdr:col>9</xdr:col>
      <xdr:colOff>93674</xdr:colOff>
      <xdr:row>18</xdr:row>
      <xdr:rowOff>608268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2D51FD4-17C8-08ED-5D2A-B122BBF7029D}"/>
                </a:ext>
              </a:extLst>
            </xdr14:cNvPr>
            <xdr14:cNvContentPartPr/>
          </xdr14:nvContentPartPr>
          <xdr14:nvPr macro=""/>
          <xdr14:xfrm>
            <a:off x="10398493145" y="7678080"/>
            <a:ext cx="1846080" cy="8272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2D51FD4-17C8-08ED-5D2A-B122BBF7029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484145" y="7669080"/>
              <a:ext cx="1863720" cy="844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18:08:52.1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68 2231,'0'0,"0"0,0 0,0 0,0 0,0 0,-16 0,13 0,3 0,-13 0,10 0,-10 0,-3 0,12 0,4 0,0 0,0 0,20-16,-4 16,-15 0,62-16,49-32,-103 44,110-56,58-4,-161 58,176-68,65-39,-235 104,244-110,55-25,-289 129,257-131,16 2,-276 130,278-132,-18-15,-260 145,279-128,-4-16,-271 143,207-95,33-16,-244 114,182-68,14 2,-202 71,146-30,-41-10,-114 44,84-22,-17 11,-73 15,48-14,-24-1,-28 14,8 4,-4-2,-48 16,24-16,14 0,-76 16,-51 16,114-28,-130 24,-63 21,184-44,-177 70,-39 5,212-71,-233 94,-12 9,238-97,-250 115,12 30,234-137,-210 130,-24 40,234-166,-179 138,-38 12,219-152,-135 126,-20 9,164-136,-104 97,19-25,97-82,-48 36,16-18,41-27,-34 22,41-11,0-13,16-22,-15 18,46-14,1 15,-41 0,114-32,40-16,-137 41,128-50,57-7,-181 55,168-62,77-26,-235 84,228-86,39-29,-260 109,183-74,44-36,-229 109,187-88,-6-20,-191 109,159-75,16-2,-178 83,133-86,-3 35,-138 55,68-46,-10 23,-68 27,40-6,-3-5,-42 13,18 6,-9-3,-32 16,0 0,13-14,-10-4,-51 50,54-41,-109 34,-25 39,124-69,-136 42,-37 27,165-68,-184 89,-77 27,248-110,-175 92,-24 2,207-96,-127 65,-16-1,151-69,-62 42,-10-5,84-41,-53 50,17-25,43-27,-4 6,-6 5,14-13,20-6,30 3,-41 0,51-16,22 16,-70 0,124-32,58-16,-163 41,167-50,44-23,-204 68,153-56,19-13,-177 70,147-42,-18-11,-137 55,179-94,-58 39,-122 54,68-28,-42 6,-41 27,18-6,8-5,-29 13,-24-10,18 11,-29 4,-17-2,41 0,-130 0,-39 0,149 0,-171 0,-42 16,205-14,-203 12,-83 2,280-14,-190 28,-58-14,248-14,-206 44,-42-14,247-27,-221 38,-26 5,246-41,-186 34,-44 7,230-40,-138 16,-12 8,163-27,-68-10,2-11,82 14,-52-60,33-82,29 122,25-181,27-117,-41 270,50-253,-57 303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zoomScale="130" zoomScaleNormal="100" zoomScaleSheetLayoutView="130" workbookViewId="0">
      <selection activeCell="F11" sqref="F11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2" t="s">
        <v>180</v>
      </c>
      <c r="C1" s="52"/>
      <c r="D1" s="52"/>
      <c r="E1" s="52"/>
      <c r="F1" s="52"/>
      <c r="G1" s="52"/>
      <c r="H1" s="52"/>
      <c r="I1" s="52"/>
      <c r="J1" s="52"/>
    </row>
    <row r="2" spans="1:10" ht="30" customHeight="1" x14ac:dyDescent="0.2">
      <c r="B2" s="12" t="s">
        <v>8</v>
      </c>
      <c r="C2" s="58" t="s">
        <v>48</v>
      </c>
      <c r="D2" s="58"/>
      <c r="E2" s="12" t="s">
        <v>7</v>
      </c>
      <c r="F2" s="53">
        <v>45955</v>
      </c>
      <c r="G2" s="53"/>
      <c r="H2" s="53"/>
      <c r="I2" s="53"/>
      <c r="J2" s="53"/>
    </row>
    <row r="3" spans="1:10" ht="30" customHeight="1" x14ac:dyDescent="0.2">
      <c r="B3" s="12" t="s">
        <v>9</v>
      </c>
      <c r="C3" s="58" t="s">
        <v>68</v>
      </c>
      <c r="D3" s="58"/>
      <c r="E3" s="12" t="s">
        <v>6</v>
      </c>
      <c r="F3" s="58" t="s">
        <v>114</v>
      </c>
      <c r="G3" s="58"/>
      <c r="H3" s="58"/>
      <c r="I3" s="58"/>
      <c r="J3" s="58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4" t="s">
        <v>0</v>
      </c>
      <c r="C5" s="55"/>
      <c r="D5" s="55"/>
      <c r="E5" s="44" t="s">
        <v>1</v>
      </c>
      <c r="F5" s="44"/>
      <c r="G5" s="44"/>
      <c r="H5" s="44"/>
      <c r="I5" s="44" t="s">
        <v>2</v>
      </c>
      <c r="J5" s="45"/>
    </row>
    <row r="6" spans="1:10" ht="24.95" customHeight="1" thickBot="1" x14ac:dyDescent="0.25">
      <c r="A6" s="10"/>
      <c r="B6" s="56"/>
      <c r="C6" s="57"/>
      <c r="D6" s="57"/>
      <c r="E6" s="11" t="s">
        <v>3</v>
      </c>
      <c r="F6" s="11" t="s">
        <v>4</v>
      </c>
      <c r="G6" s="11" t="s">
        <v>23</v>
      </c>
      <c r="H6" s="11" t="s">
        <v>24</v>
      </c>
      <c r="I6" s="46"/>
      <c r="J6" s="47"/>
    </row>
    <row r="7" spans="1:10" ht="24.95" customHeight="1" thickBot="1" x14ac:dyDescent="0.25">
      <c r="A7" s="10"/>
      <c r="B7" s="42" t="s">
        <v>21</v>
      </c>
      <c r="C7" s="43"/>
      <c r="D7" s="43"/>
      <c r="E7" s="26" t="s">
        <v>18</v>
      </c>
      <c r="F7" s="26" t="s">
        <v>19</v>
      </c>
      <c r="G7" s="26" t="s">
        <v>22</v>
      </c>
      <c r="H7" s="26" t="s">
        <v>20</v>
      </c>
      <c r="I7" s="48" t="s">
        <v>25</v>
      </c>
      <c r="J7" s="49"/>
    </row>
    <row r="8" spans="1:10" ht="39.950000000000003" customHeight="1" thickBot="1" x14ac:dyDescent="0.25">
      <c r="A8" s="10"/>
      <c r="B8" s="80" t="s">
        <v>181</v>
      </c>
      <c r="C8" s="81"/>
      <c r="D8" s="81"/>
      <c r="E8" s="30">
        <v>10</v>
      </c>
      <c r="F8" s="31">
        <v>8.75</v>
      </c>
      <c r="G8" s="32">
        <f>IFERROR(F8/E8,"")</f>
        <v>0.875</v>
      </c>
      <c r="H8" s="33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50"/>
      <c r="J8" s="51"/>
    </row>
    <row r="9" spans="1:10" ht="39.950000000000003" customHeight="1" thickBot="1" x14ac:dyDescent="0.25">
      <c r="A9" s="10"/>
      <c r="B9" s="59" t="s">
        <v>182</v>
      </c>
      <c r="C9" s="60"/>
      <c r="D9" s="60"/>
      <c r="E9" s="9">
        <v>10</v>
      </c>
      <c r="F9" s="34">
        <v>6.5</v>
      </c>
      <c r="G9" s="28">
        <f>IFERROR(F9/E9,"")</f>
        <v>0.65</v>
      </c>
      <c r="H9" s="29" t="str">
        <f>_xlfn.IFS(F9="أدخل العلامة","",F9="لا ينطبق","تم الإلغاء",G9&gt;=90%,"ممتاز",G9&gt;=80%,"جيد جداً",G9&gt;=70%,"جيد",G9&gt;=60%,"مقبول",G9&lt;60%,"راسب")</f>
        <v>مقبول</v>
      </c>
      <c r="I9" s="38"/>
      <c r="J9" s="39"/>
    </row>
    <row r="10" spans="1:10" ht="39.950000000000003" customHeight="1" thickBot="1" x14ac:dyDescent="0.25">
      <c r="A10" s="10"/>
      <c r="B10" s="59" t="s">
        <v>183</v>
      </c>
      <c r="C10" s="60"/>
      <c r="D10" s="60"/>
      <c r="E10" s="9">
        <v>10</v>
      </c>
      <c r="F10" s="34">
        <v>7</v>
      </c>
      <c r="G10" s="28">
        <f t="shared" ref="G10:G14" si="0">IFERROR(F10/E10,"")</f>
        <v>0.7</v>
      </c>
      <c r="H10" s="29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جيد</v>
      </c>
      <c r="I10" s="38"/>
      <c r="J10" s="39"/>
    </row>
    <row r="11" spans="1:10" ht="39.950000000000003" customHeight="1" thickBot="1" x14ac:dyDescent="0.25">
      <c r="A11" s="10"/>
      <c r="B11" s="59" t="s">
        <v>184</v>
      </c>
      <c r="C11" s="60"/>
      <c r="D11" s="60"/>
      <c r="E11" s="9">
        <v>10</v>
      </c>
      <c r="F11" s="34">
        <v>7</v>
      </c>
      <c r="G11" s="28">
        <f t="shared" si="0"/>
        <v>0.7</v>
      </c>
      <c r="H11" s="29" t="str">
        <f t="shared" si="1"/>
        <v>جيد</v>
      </c>
      <c r="I11" s="38"/>
      <c r="J11" s="39"/>
    </row>
    <row r="12" spans="1:10" ht="39.950000000000003" customHeight="1" thickBot="1" x14ac:dyDescent="0.25">
      <c r="A12" s="10"/>
      <c r="B12" s="59" t="s">
        <v>185</v>
      </c>
      <c r="C12" s="60"/>
      <c r="D12" s="60"/>
      <c r="E12" s="9">
        <v>10</v>
      </c>
      <c r="F12" s="34">
        <v>7</v>
      </c>
      <c r="G12" s="28">
        <f t="shared" si="0"/>
        <v>0.7</v>
      </c>
      <c r="H12" s="29" t="str">
        <f t="shared" si="1"/>
        <v>جيد</v>
      </c>
      <c r="I12" s="38"/>
      <c r="J12" s="39"/>
    </row>
    <row r="13" spans="1:10" ht="39.950000000000003" customHeight="1" thickBot="1" x14ac:dyDescent="0.25">
      <c r="A13" s="10"/>
      <c r="B13" s="59" t="s">
        <v>186</v>
      </c>
      <c r="C13" s="60"/>
      <c r="D13" s="60"/>
      <c r="E13" s="9">
        <v>10</v>
      </c>
      <c r="F13" s="34">
        <v>7</v>
      </c>
      <c r="G13" s="28">
        <f t="shared" si="0"/>
        <v>0.7</v>
      </c>
      <c r="H13" s="29" t="str">
        <f t="shared" si="1"/>
        <v>جيد</v>
      </c>
      <c r="I13" s="38"/>
      <c r="J13" s="39"/>
    </row>
    <row r="14" spans="1:10" ht="39.950000000000003" customHeight="1" thickBot="1" x14ac:dyDescent="0.25">
      <c r="A14" s="10"/>
      <c r="B14" s="61" t="s">
        <v>187</v>
      </c>
      <c r="C14" s="62"/>
      <c r="D14" s="62"/>
      <c r="E14" s="35">
        <v>10</v>
      </c>
      <c r="F14" s="34">
        <v>8.5</v>
      </c>
      <c r="G14" s="36">
        <f t="shared" si="0"/>
        <v>0.85</v>
      </c>
      <c r="H14" s="37" t="str">
        <f t="shared" si="1"/>
        <v>جيد جداً</v>
      </c>
      <c r="I14" s="40"/>
      <c r="J14" s="41"/>
    </row>
    <row r="15" spans="1:10" ht="30" customHeight="1" thickBot="1" x14ac:dyDescent="0.25">
      <c r="A15" s="4"/>
      <c r="B15" s="76" t="s">
        <v>5</v>
      </c>
      <c r="C15" s="77"/>
      <c r="D15" s="77"/>
      <c r="E15" s="27">
        <f>SUM(E8:E14)</f>
        <v>70</v>
      </c>
      <c r="F15" s="27">
        <f>SUM(F8:F14)</f>
        <v>51.75</v>
      </c>
      <c r="G15" s="65"/>
      <c r="H15" s="66"/>
      <c r="I15" s="66"/>
      <c r="J15" s="67"/>
    </row>
    <row r="16" spans="1:10" ht="30" customHeight="1" thickBot="1" x14ac:dyDescent="0.25">
      <c r="A16" s="4"/>
      <c r="B16" s="78" t="s">
        <v>54</v>
      </c>
      <c r="C16" s="79"/>
      <c r="D16" s="79"/>
      <c r="E16" s="68">
        <f>F15/E15/100*100</f>
        <v>0.73928571428571432</v>
      </c>
      <c r="F16" s="68"/>
      <c r="G16" s="68"/>
      <c r="H16" s="68"/>
      <c r="I16" s="68"/>
      <c r="J16" s="69"/>
    </row>
    <row r="17" spans="1:10" ht="30" customHeight="1" thickBot="1" x14ac:dyDescent="0.25">
      <c r="A17" s="4"/>
      <c r="B17" s="78" t="s">
        <v>55</v>
      </c>
      <c r="C17" s="79"/>
      <c r="D17" s="79"/>
      <c r="E17" s="74" t="str">
        <f>_xlfn.IFS(E16&gt;=90%,"ممتاز",E16&gt;=80%,"جيد جداً",E16&gt;=70%,"جيد",E16&gt;=60%,"مقبول",E16&lt;60%,"راسب")</f>
        <v>جيد</v>
      </c>
      <c r="F17" s="74"/>
      <c r="G17" s="74"/>
      <c r="H17" s="74"/>
      <c r="I17" s="74"/>
      <c r="J17" s="75"/>
    </row>
    <row r="18" spans="1:10" ht="42" customHeight="1" x14ac:dyDescent="0.2">
      <c r="B18" s="70" t="s">
        <v>174</v>
      </c>
      <c r="C18" s="70"/>
      <c r="D18" s="70"/>
      <c r="E18" s="63" t="s">
        <v>52</v>
      </c>
      <c r="F18" s="63"/>
      <c r="G18" s="72" t="s">
        <v>114</v>
      </c>
      <c r="H18" s="72"/>
      <c r="I18" s="72"/>
      <c r="J18" s="72"/>
    </row>
    <row r="19" spans="1:10" ht="51" customHeight="1" x14ac:dyDescent="0.2">
      <c r="A19" s="5"/>
      <c r="B19" s="71"/>
      <c r="C19" s="71"/>
      <c r="D19" s="71"/>
      <c r="E19" s="64" t="s">
        <v>53</v>
      </c>
      <c r="F19" s="64"/>
      <c r="G19" s="73"/>
      <c r="H19" s="73"/>
      <c r="I19" s="73"/>
      <c r="J19" s="7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5">
    <mergeCell ref="B11:D11"/>
    <mergeCell ref="B12:D12"/>
    <mergeCell ref="E18:F18"/>
    <mergeCell ref="E19:F19"/>
    <mergeCell ref="G15:J15"/>
    <mergeCell ref="E16:J16"/>
    <mergeCell ref="B18:D19"/>
    <mergeCell ref="G18:J18"/>
    <mergeCell ref="G19:J19"/>
    <mergeCell ref="E17:J17"/>
    <mergeCell ref="B15:D15"/>
    <mergeCell ref="B16:D16"/>
    <mergeCell ref="B17:D17"/>
    <mergeCell ref="B1:J1"/>
    <mergeCell ref="F2:J2"/>
    <mergeCell ref="B5:D6"/>
    <mergeCell ref="C2:D2"/>
    <mergeCell ref="C3:D3"/>
    <mergeCell ref="F3:J3"/>
    <mergeCell ref="I13:J13"/>
    <mergeCell ref="I14:J14"/>
    <mergeCell ref="B7:D7"/>
    <mergeCell ref="E5:H5"/>
    <mergeCell ref="I5:J6"/>
    <mergeCell ref="I7:J7"/>
    <mergeCell ref="I10:J10"/>
    <mergeCell ref="I8:J8"/>
    <mergeCell ref="B13:D13"/>
    <mergeCell ref="B14:D14"/>
    <mergeCell ref="I9:J9"/>
    <mergeCell ref="I11:J11"/>
    <mergeCell ref="I12:J12"/>
    <mergeCell ref="B8:D8"/>
    <mergeCell ref="B9:D9"/>
    <mergeCell ref="B10:D1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58">
      <formula>$E17="مقبول"</formula>
    </cfRule>
    <cfRule type="expression" dxfId="12" priority="59">
      <formula>$E17="جيد"</formula>
    </cfRule>
    <cfRule type="expression" dxfId="11" priority="60">
      <formula>$E17="جيد جداً"</formula>
    </cfRule>
    <cfRule type="expression" dxfId="10" priority="61">
      <formula>$E17="ممتاز"</formula>
    </cfRule>
  </conditionalFormatting>
  <conditionalFormatting sqref="F8:F14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التقييم'!$A$111:$A$153</xm:f>
          </x14:formula1>
          <xm:sqref>F8:F14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G18:J18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6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2025-10-22T08:09:11Z</dcterms:modified>
</cp:coreProperties>
</file>