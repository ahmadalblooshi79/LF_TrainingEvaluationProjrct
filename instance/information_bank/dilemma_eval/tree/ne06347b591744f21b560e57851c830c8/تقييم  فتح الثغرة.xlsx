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ink/ink1.xml" ContentType="application/inkml+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03"/>
  <workbookPr filterPrivacy="1" codeName="ThisWorkbook"/>
  <xr:revisionPtr revIDLastSave="0" documentId="13_ncr:1_{D5C80A32-265C-49D4-A1BF-4AE2DA146D73}" xr6:coauthVersionLast="47" xr6:coauthVersionMax="47" xr10:uidLastSave="{00000000-0000-0000-0000-000000000000}"/>
  <bookViews>
    <workbookView xWindow="-108" yWindow="-108" windowWidth="23256" windowHeight="12576" xr2:uid="{00000000-000D-0000-FFFF-FFFF00000000}"/>
  </bookViews>
  <sheets>
    <sheet name="قائمة التقييم" sheetId="2" r:id="rId1"/>
    <sheet name="بيانات التقييم" sheetId="4" r:id="rId2"/>
  </sheets>
  <definedNames>
    <definedName name="_Hlk189049083" localSheetId="0">'قائمة التقييم'!#REF!</definedName>
    <definedName name="_Hlk189049123" localSheetId="0">'قائمة التقييم'!$B$3</definedName>
    <definedName name="_xlnm.Print_Area" localSheetId="0">'قائمة التقييم'!$A$1:$J$59</definedName>
    <definedName name="_xlnm.Print_Titles" localSheetId="0">'قائمة التقييم'!$7:$7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G11" i="2" l="1"/>
  <c r="H11" i="2"/>
  <c r="G12" i="2"/>
  <c r="H12" i="2"/>
  <c r="G13" i="2"/>
  <c r="H13" i="2"/>
  <c r="G14" i="2"/>
  <c r="H14" i="2"/>
  <c r="G15" i="2"/>
  <c r="H15" i="2"/>
  <c r="G16" i="2"/>
  <c r="H16" i="2"/>
  <c r="G17" i="2"/>
  <c r="H17" i="2"/>
  <c r="G18" i="2"/>
  <c r="H18" i="2"/>
  <c r="G19" i="2"/>
  <c r="H19" i="2"/>
  <c r="G20" i="2"/>
  <c r="H20" i="2"/>
  <c r="G23" i="2"/>
  <c r="H23" i="2"/>
  <c r="G24" i="2"/>
  <c r="H24" i="2"/>
  <c r="G26" i="2"/>
  <c r="H26" i="2"/>
  <c r="G27" i="2"/>
  <c r="H27" i="2"/>
  <c r="G28" i="2"/>
  <c r="H28" i="2"/>
  <c r="G29" i="2"/>
  <c r="H29" i="2"/>
  <c r="G30" i="2"/>
  <c r="H30" i="2"/>
  <c r="G31" i="2"/>
  <c r="H31" i="2"/>
  <c r="G32" i="2"/>
  <c r="H32" i="2"/>
  <c r="G33" i="2"/>
  <c r="H33" i="2"/>
  <c r="G34" i="2"/>
  <c r="H34" i="2"/>
  <c r="G36" i="2"/>
  <c r="H36" i="2"/>
  <c r="G37" i="2"/>
  <c r="H37" i="2"/>
  <c r="G38" i="2"/>
  <c r="H38" i="2"/>
  <c r="G39" i="2"/>
  <c r="H39" i="2"/>
  <c r="G40" i="2"/>
  <c r="H40" i="2"/>
  <c r="G41" i="2"/>
  <c r="H41" i="2"/>
  <c r="G42" i="2"/>
  <c r="H42" i="2"/>
  <c r="G43" i="2"/>
  <c r="H43" i="2"/>
  <c r="G44" i="2"/>
  <c r="H44" i="2"/>
  <c r="G45" i="2"/>
  <c r="H45" i="2"/>
  <c r="G46" i="2"/>
  <c r="H46" i="2"/>
  <c r="G47" i="2"/>
  <c r="H47" i="2"/>
  <c r="G49" i="2"/>
  <c r="H49" i="2"/>
  <c r="G50" i="2"/>
  <c r="H50" i="2"/>
  <c r="G51" i="2"/>
  <c r="H51" i="2"/>
  <c r="G52" i="2"/>
  <c r="H52" i="2"/>
  <c r="G53" i="2"/>
  <c r="H53" i="2"/>
  <c r="G54" i="2"/>
  <c r="H54" i="2"/>
  <c r="F55" i="2"/>
  <c r="E55" i="2"/>
  <c r="E56" i="2"/>
  <c r="E57" i="2"/>
</calcChain>
</file>

<file path=xl/sharedStrings.xml><?xml version="1.0" encoding="utf-8"?>
<sst xmlns="http://schemas.openxmlformats.org/spreadsheetml/2006/main" count="281" uniqueCount="225">
  <si>
    <t>عناصــــــر التقييـــــم</t>
  </si>
  <si>
    <t>العلامـــــــات</t>
  </si>
  <si>
    <t>ملاحظــــــات</t>
  </si>
  <si>
    <t>القصوى</t>
  </si>
  <si>
    <t>المكتسبة</t>
  </si>
  <si>
    <t>إجمالي العلامـــــات</t>
  </si>
  <si>
    <t xml:space="preserve">المحكــم: </t>
  </si>
  <si>
    <t xml:space="preserve">التاريــخ: </t>
  </si>
  <si>
    <t xml:space="preserve">الوحـــــــدة: </t>
  </si>
  <si>
    <t xml:space="preserve">قائد الوحدة: </t>
  </si>
  <si>
    <t>سرية الاستطلاع</t>
  </si>
  <si>
    <t>سرية الهاون</t>
  </si>
  <si>
    <t>سرية الهندسة</t>
  </si>
  <si>
    <t>سرية الدفاع الكيميائي</t>
  </si>
  <si>
    <t>سرية الحرب الإلكترونية</t>
  </si>
  <si>
    <t>سرية الإشارة</t>
  </si>
  <si>
    <t>فصيل الشرطة العسكرية</t>
  </si>
  <si>
    <t>لا ينطبق</t>
  </si>
  <si>
    <t>(ب)</t>
  </si>
  <si>
    <t>(جـ)</t>
  </si>
  <si>
    <t>(هـ)</t>
  </si>
  <si>
    <t>( أ )</t>
  </si>
  <si>
    <t>( د )</t>
  </si>
  <si>
    <t>النسبة</t>
  </si>
  <si>
    <t>النتيجة</t>
  </si>
  <si>
    <t>( و )</t>
  </si>
  <si>
    <t>هيئة ركن مجموعة اللواء</t>
  </si>
  <si>
    <t>سرية الـ م/د</t>
  </si>
  <si>
    <t>القيادة والسيطرة</t>
  </si>
  <si>
    <t>سرية الدفاع الجوي</t>
  </si>
  <si>
    <t>كتيبة الإسناد الإداري</t>
  </si>
  <si>
    <t>السرية الطبية</t>
  </si>
  <si>
    <t>سرية الصيانة</t>
  </si>
  <si>
    <t>سرية التزويد والنقل</t>
  </si>
  <si>
    <t>ضباط الصف</t>
  </si>
  <si>
    <t>قيادة مجموعة لواء الإمارات/1</t>
  </si>
  <si>
    <t>قيادة كتيبة المشاة الآلية/12</t>
  </si>
  <si>
    <t>كتيبة المشاة الآلية/12 - السرية/1</t>
  </si>
  <si>
    <t>كتيبة المشاة الآلية/12 - السرية/2</t>
  </si>
  <si>
    <t>كتيبة المشاة الآلية/12 - السرية/3</t>
  </si>
  <si>
    <t>قيادة كتيبة المشاة الآلية/13</t>
  </si>
  <si>
    <t>كتيبة المشاة الآلية/13 - السرية/1</t>
  </si>
  <si>
    <t>كتيبة المشاة الآلية/13 - السرية/2</t>
  </si>
  <si>
    <t>كتيبة المشاة الآلية/13 - السرية/3</t>
  </si>
  <si>
    <t>قيادة كتيبة الدبابات/14</t>
  </si>
  <si>
    <t>كتيبة الدبابات/14 - السرية/1</t>
  </si>
  <si>
    <t>كتيبة الدبابات/14 - السرية/2</t>
  </si>
  <si>
    <t>كتيبة الدبابات/14 - السرية/3</t>
  </si>
  <si>
    <t>قيادة كتيبة المدفعية/72</t>
  </si>
  <si>
    <t>قيادة كتيبة المدفعية/72 - السرية/1</t>
  </si>
  <si>
    <t>قيادة كتيبة المدفعية/72 - السرية/2</t>
  </si>
  <si>
    <t>قيادة كتيبة المدفعية/72 - السرية/3</t>
  </si>
  <si>
    <t>المحكـــــــــم:</t>
  </si>
  <si>
    <t>التوقيــــــــع:</t>
  </si>
  <si>
    <t>النسبــــة العامــــــة</t>
  </si>
  <si>
    <t>التقديــــر العــــــام</t>
  </si>
  <si>
    <t>أدخل التاريخ</t>
  </si>
  <si>
    <t>أدخل الوحدة الخاضعة للتقييم</t>
  </si>
  <si>
    <t>..............................</t>
  </si>
  <si>
    <t>أدخل اسم المحكم</t>
  </si>
  <si>
    <t>أدخل اسم قائد الوحدة الخاضعة للتقييم</t>
  </si>
  <si>
    <t>أدخل العلامة</t>
  </si>
  <si>
    <t>عميد ركن / راشد حمد مفتاح النيادي</t>
  </si>
  <si>
    <t xml:space="preserve"> عقيد ركن / جمعة محمد جمعة الصريدي</t>
  </si>
  <si>
    <t xml:space="preserve"> عقيد ركن / عتيق الزفنة العفاري</t>
  </si>
  <si>
    <t>رائد / أحمد محمد الظهوري</t>
  </si>
  <si>
    <t>مقدم / عبدالله سعيد الشامسي</t>
  </si>
  <si>
    <t xml:space="preserve"> نقيب / سعيد أحمد الشحي</t>
  </si>
  <si>
    <t>عقيد ركن / محمد سعيد الكتبي</t>
  </si>
  <si>
    <t>نقيب / راشد الطيب النعيمي</t>
  </si>
  <si>
    <t>نقيب / حمدان سالمين العامري</t>
  </si>
  <si>
    <t>رائد/ عبدالله سيف الغفلي</t>
  </si>
  <si>
    <t>نقيب / حمد محمد الشامسي</t>
  </si>
  <si>
    <t>رائد/ سعيد مبارك الكتبي</t>
  </si>
  <si>
    <t>ملازم 2 / علي ابراهيم النعيمي</t>
  </si>
  <si>
    <t>رائد/ محمد عمران الكتبي</t>
  </si>
  <si>
    <t>نقيب / محمد سعيد الكعبي</t>
  </si>
  <si>
    <t>عقيد ركن / علي راشد اليماحي</t>
  </si>
  <si>
    <t>نقيب / ماجد عبدالله البلوشي</t>
  </si>
  <si>
    <t>ملازم 1 / حمد طارش الكعبي</t>
  </si>
  <si>
    <t>رائد/ سالم سلطان الكتبي</t>
  </si>
  <si>
    <t>مقدم ركن / محمد عبدالله الشحي</t>
  </si>
  <si>
    <t>رائد/ محمد عبدالرحمن الطنيجي</t>
  </si>
  <si>
    <t>رائد/ محمد راشد المزروعي</t>
  </si>
  <si>
    <t>رائد/ محمد سعيد الظنحاني</t>
  </si>
  <si>
    <t>مقدم ركن / علي حسن الحمادي</t>
  </si>
  <si>
    <t>ملازم 1 / علي ناصر المقدمي</t>
  </si>
  <si>
    <t>نقيب / حمد سعيد الشهياري</t>
  </si>
  <si>
    <t>ملازم 1 / سعود محمد الطياري</t>
  </si>
  <si>
    <t xml:space="preserve">عميد ركن / حمد علي جمعة الشحي </t>
  </si>
  <si>
    <t>عقيد ركن / خليفة بن هويدن الكتبي</t>
  </si>
  <si>
    <t>عقيد ركن / راشد محمد عبيد الظنحاني</t>
  </si>
  <si>
    <t>عقيد ركن / حميد محمد عبيد الدرعي</t>
  </si>
  <si>
    <t>عقيد ركن / سلطان راشد بالرشاد الشامسي</t>
  </si>
  <si>
    <t>عقيد ركن / احمد سليمان علي المعمري</t>
  </si>
  <si>
    <t>عقيد ركن / علي الرضه كمادي المهيري</t>
  </si>
  <si>
    <t>عقيد ركن / خليل احمد سليمان العنتلي</t>
  </si>
  <si>
    <t xml:space="preserve">عقيد ركن / سعود صالح  راشدالظاهري </t>
  </si>
  <si>
    <t>عقيد / سالم محمد سعيد العفاري</t>
  </si>
  <si>
    <t xml:space="preserve">مقدم ركن / خادم سيف المنصوري </t>
  </si>
  <si>
    <t>مقدم ركن / مصبح مفتاح علي الخاطري</t>
  </si>
  <si>
    <t>مقدم ركن / حمد راشد سليمان الزيودي</t>
  </si>
  <si>
    <t>مقدم / محمد عبدالرحمن الرميثي</t>
  </si>
  <si>
    <t xml:space="preserve">مقدم / علي سيف حامد الطنيجي </t>
  </si>
  <si>
    <t>مقدم / خليفة عبدالله سلطان السويدي</t>
  </si>
  <si>
    <t>مقدم / سالم القرين علي العامري</t>
  </si>
  <si>
    <t>مقدم / محمد عبدالرحمن جاسم الرميثي</t>
  </si>
  <si>
    <t xml:space="preserve">مقدم / سعيد محمد سالم  العامري </t>
  </si>
  <si>
    <t xml:space="preserve">مقدم / جابر محمد خاتم الشامسي </t>
  </si>
  <si>
    <t xml:space="preserve">مقدم / مصبح حارب المنصوري </t>
  </si>
  <si>
    <t>مقدم / عبدالله محمد سلطان الحبسي</t>
  </si>
  <si>
    <t>مقدم طبيب / محمد عيسى الرميثي</t>
  </si>
  <si>
    <t>رائد / احمد علي عبدالله الحوسني</t>
  </si>
  <si>
    <t xml:space="preserve">رائد / راشد ضاوي  راشدالطنيجي </t>
  </si>
  <si>
    <t xml:space="preserve">رائد / عبدالله مطر عبيد الكتبي </t>
  </si>
  <si>
    <t xml:space="preserve">رائد / خليفة مصبح الدهماني </t>
  </si>
  <si>
    <t>رائد / أحمد هلال سيف الزعابي</t>
  </si>
  <si>
    <t xml:space="preserve">رائد / سيف حمود محمد الشامسي </t>
  </si>
  <si>
    <t>رائد / عبدالناصر أحمد عبدالله  آل نصور</t>
  </si>
  <si>
    <t>رائد / حمدان محمد الكعبي</t>
  </si>
  <si>
    <t>رائد / سلطان سيف حميد بن سميط</t>
  </si>
  <si>
    <t xml:space="preserve">رائد / هلال سعيد ضبيب الدرعي </t>
  </si>
  <si>
    <t xml:space="preserve">رائد / سعيد إبراهيم المرزوقي </t>
  </si>
  <si>
    <t>رائد / أحمد عبدالكريم محمد</t>
  </si>
  <si>
    <t xml:space="preserve">رائد / جمعة محمد مسعود المزروعي </t>
  </si>
  <si>
    <t xml:space="preserve">رائد / خليفة مصبح علي الدهماني </t>
  </si>
  <si>
    <t xml:space="preserve">رائد / محمد خليفة حميد النعيمي </t>
  </si>
  <si>
    <t xml:space="preserve">نقيب / محمد سعيد الكعبي </t>
  </si>
  <si>
    <t>نقيب / ناصر حمد سليم التميمي</t>
  </si>
  <si>
    <t xml:space="preserve">نقيب / سعيد مصبح  محمد الغفلي </t>
  </si>
  <si>
    <t xml:space="preserve">نقيب / أحمد حمد حمود الدرعي </t>
  </si>
  <si>
    <t>نقيب / سالم جمعة محمد الكتبي</t>
  </si>
  <si>
    <t xml:space="preserve">نقيب / عمران راشد عبيد الكتبي </t>
  </si>
  <si>
    <t>نقيب / محمد جاسم محمد النقبي</t>
  </si>
  <si>
    <t>نقيب / بلاع سالم الدوده العامري</t>
  </si>
  <si>
    <t>نقيب / عبدالله علي سعيد الصريدي</t>
  </si>
  <si>
    <t>نقيب / عبدالله علي سليمان الزعابي</t>
  </si>
  <si>
    <t>نقيب / يوسف خليفه سعيد الكتبي</t>
  </si>
  <si>
    <t>نقيب بحري / سالم محمد جمعة الصريدي</t>
  </si>
  <si>
    <t xml:space="preserve">نقيب طبيب / حميد عبدالله خميس الكندي </t>
  </si>
  <si>
    <t xml:space="preserve">نقيب طيار / ناصر ظافر دشن الاحبابي </t>
  </si>
  <si>
    <t xml:space="preserve">ملازم 1 / مطر احمد الكلباني </t>
  </si>
  <si>
    <t>ملازم 1 / حمد هلال خليفة الكتبي</t>
  </si>
  <si>
    <t>ملازم / مايد عبدالله الزيودي</t>
  </si>
  <si>
    <t>وكيل/1 - خالد عبدالله التميمي</t>
  </si>
  <si>
    <t>وكيل/1 - سعيد راشد عبيد السدراني</t>
  </si>
  <si>
    <t xml:space="preserve">وكيل/1 - سمير إبراهيم المازمي </t>
  </si>
  <si>
    <t>وكيل/1 - فايز سعيد صالح العامري</t>
  </si>
  <si>
    <t xml:space="preserve">وكيل/1 - فهد سبت النعيمي </t>
  </si>
  <si>
    <t xml:space="preserve">وكيل/1 - مرزوق سالم مرزوق الزحمي </t>
  </si>
  <si>
    <t>وكيل/1 - سيف سعيد سالم اليماحي</t>
  </si>
  <si>
    <t xml:space="preserve">وكيل/1 - فيصل علي الاميري </t>
  </si>
  <si>
    <t>وكيل/1 - داوود درويش محمد الشحي</t>
  </si>
  <si>
    <t>وكيل/1 - محمد عبدالله سالم الزيدي</t>
  </si>
  <si>
    <t xml:space="preserve">وكيل/1 - حمد حسن علي القايدي </t>
  </si>
  <si>
    <t xml:space="preserve">وكيل/1 - خالد محمد الشحي </t>
  </si>
  <si>
    <t xml:space="preserve">وكيل/1 - عبدالله سعيد الكلباني </t>
  </si>
  <si>
    <t>وكيل/1 - علي مسلم الكتبي</t>
  </si>
  <si>
    <t xml:space="preserve">وكيل/1 - عمر أحمد مختار </t>
  </si>
  <si>
    <t xml:space="preserve">وكيل/ احمد سالمين سالم الشنيني </t>
  </si>
  <si>
    <t xml:space="preserve">وكيل/ أحمد سعيد حمد الشامسي </t>
  </si>
  <si>
    <t>وكيل/ علي عبدالله الصريدي</t>
  </si>
  <si>
    <t>وكيل/ محمد عمر سالم الخنبشي</t>
  </si>
  <si>
    <t xml:space="preserve">وكيل/ وليد مرزوق مسعود العلوي </t>
  </si>
  <si>
    <t xml:space="preserve">وكيل/ علي محمد عبدالله النقبي </t>
  </si>
  <si>
    <t>وكيل/ فهد علي سليمان الشحي</t>
  </si>
  <si>
    <t>وكيل/ محمد حميد عبيد الزعابي</t>
  </si>
  <si>
    <t xml:space="preserve">وكيل/ محمد علي الحمادي </t>
  </si>
  <si>
    <t>رقيب/1 - حامد سعيد شماريخ</t>
  </si>
  <si>
    <t xml:space="preserve">رقيب/1 - علي حميد علي الكندي </t>
  </si>
  <si>
    <t>رقيب/1 - فايز عيسى عبدالله البلوشي</t>
  </si>
  <si>
    <t xml:space="preserve">رقيب/1 - محمد جمعة محمد المنصوري </t>
  </si>
  <si>
    <t>رقيب/1 - محمد يوسف احمد ال علي</t>
  </si>
  <si>
    <t xml:space="preserve">رقيب / حسن علي سلطان ال علي </t>
  </si>
  <si>
    <t xml:space="preserve">رقيب / عوض محمد الكثيري </t>
  </si>
  <si>
    <r>
      <t>ملاحظـــات:</t>
    </r>
    <r>
      <rPr>
        <sz val="14"/>
        <color rgb="FF000000"/>
        <rFont val="Arial"/>
        <family val="2"/>
      </rPr>
      <t xml:space="preserve"> 
1. تقييم مستوى الوحدة من خلال مراقبة الآداء أو طرح الأسئلة.
2. يعتبر هذا النموذج (سري للغاية) بعد إدخال علامات التقييم.
3. نموذج التقييم قابل للتطوير والتعديل.</t>
    </r>
  </si>
  <si>
    <t>إجراءات التخطيط.</t>
  </si>
  <si>
    <t>(3)   ممرات الحركة من منطقة التجمع وحتى الأهداف.</t>
  </si>
  <si>
    <t>(4)   تأشير خط البدء وخط الانفتاح المحتمل.</t>
  </si>
  <si>
    <t>(5)   تحديد / تأشير الأماكن المحتملة أو المؤكدة لموانع العدو (حسب المعلومات الاستخبارية من المستوى الأعلى).</t>
  </si>
  <si>
    <t>(6)   تأشير الأماكن المحتملة لكمائن العدو على طول طرق الحركة.</t>
  </si>
  <si>
    <t>جـ.   الحصول على المعلومات الاستخبارية من المستوى الأعلى.</t>
  </si>
  <si>
    <t>إجراءات التحضير.</t>
  </si>
  <si>
    <t>أ.    أسلوب الحركة والتشكيلة حتى منطقة التشكيل.</t>
  </si>
  <si>
    <t>ب.  الحركة من منطقة التشكيل وحتى موقع فتح الثغرة.</t>
  </si>
  <si>
    <t>جـ.  العمل عند التماس مع العدو أثناء الحركة مثل (الكمائن، الهجمات التخريبية، القصف المدفعي، الهجوم الجوي، ... إلخ)..</t>
  </si>
  <si>
    <r>
      <t>د.   إجراءات فتح الثغرة</t>
    </r>
    <r>
      <rPr>
        <b/>
        <sz val="12"/>
        <color rgb="FF000000"/>
        <rFont val="Arial"/>
        <family val="2"/>
      </rPr>
      <t>.</t>
    </r>
  </si>
  <si>
    <t>هـ.   إجراءات السيطرة لتقديم نيران الإسناد لعناصر الهندسة.</t>
  </si>
  <si>
    <t>و.   إجراءات التنسيق مع باقي الوحدات(عناصر الهندسة، قاعدة الإسناد بالنيران، الإسناد الناري وقوات الاقتحام).</t>
  </si>
  <si>
    <t>ز.  الخطط الطارئة والتي تشمل (الهجمات المعاكسة المحتملة من قبل العدو، والهجمات من قبل أنظمة النيران غير المباشرة للعدو مثل المدفعية، الصواريخ، الطائرات العمودية الهجومية، والقدرات الجوية الأُخرى).</t>
  </si>
  <si>
    <t>إجراءات التنفيذ.</t>
  </si>
  <si>
    <t>أ.    يتحرك أحد فصائل السرية ويجتاز الثغرة بتشكيلة خط منفرد تحت إسناد بقية الفصائل ورماية الهاون ويحتل مواقع رمي على الطرف البعيد.</t>
  </si>
  <si>
    <t>ب.    تتحرك باقي فصائل السرية وتستكمل عملية الحماية على الجانب البعيد من المانع.</t>
  </si>
  <si>
    <r>
      <t>1.</t>
    </r>
    <r>
      <rPr>
        <sz val="7"/>
        <color theme="1"/>
        <rFont val="Arial"/>
        <family val="2"/>
      </rPr>
      <t xml:space="preserve"> </t>
    </r>
    <r>
      <rPr>
        <sz val="12"/>
        <color rgb="FF000000"/>
        <rFont val="Arial"/>
        <family val="2"/>
      </rPr>
      <t xml:space="preserve">   تستلم السرية أمر العمليات من المستوى الأعلى ويتم القيام بما يلي:</t>
    </r>
  </si>
  <si>
    <r>
      <t>أ‌.</t>
    </r>
    <r>
      <rPr>
        <sz val="7"/>
        <color rgb="FF000000"/>
        <rFont val="Arial"/>
        <family val="2"/>
      </rPr>
      <t xml:space="preserve">      </t>
    </r>
    <r>
      <rPr>
        <sz val="12"/>
        <color rgb="FF000000"/>
        <rFont val="Arial"/>
        <family val="2"/>
      </rPr>
      <t xml:space="preserve">   البدء بإجراءات التخطيط من خلال إجراءات المعركة الثمانية </t>
    </r>
    <r>
      <rPr>
        <sz val="12"/>
        <color theme="1"/>
        <rFont val="Arial"/>
        <family val="2"/>
      </rPr>
      <t>(استلام المهمة - إصدار الأمر الإنذاري - عمل خطة أولية - بدء الحركة – الاستطلاع - إكمال الخطة - إصدار الأمر – الإشراف والمراقبة)</t>
    </r>
    <r>
      <rPr>
        <sz val="12"/>
        <color rgb="FF000000"/>
        <rFont val="Arial"/>
        <family val="2"/>
      </rPr>
      <t>.</t>
    </r>
  </si>
  <si>
    <r>
      <t>ب‌.</t>
    </r>
    <r>
      <rPr>
        <sz val="7"/>
        <color rgb="FF000000"/>
        <rFont val="Arial"/>
        <family val="2"/>
      </rPr>
      <t xml:space="preserve">    </t>
    </r>
    <r>
      <rPr>
        <sz val="12"/>
        <color rgb="FF000000"/>
        <rFont val="Arial"/>
        <family val="2"/>
      </rPr>
      <t xml:space="preserve"> تنفيذ الاستطلاع من الخارطة وتحديد ما يلي بشكل أولي:</t>
    </r>
  </si>
  <si>
    <r>
      <t>(1)</t>
    </r>
    <r>
      <rPr>
        <sz val="7"/>
        <color rgb="FF000000"/>
        <rFont val="Arial"/>
        <family val="2"/>
      </rPr>
      <t xml:space="preserve">  </t>
    </r>
    <r>
      <rPr>
        <sz val="12"/>
        <color rgb="FF000000"/>
        <rFont val="Arial"/>
        <family val="2"/>
      </rPr>
      <t xml:space="preserve"> مناطق التجمع للفصائل والوحدات المساندة للسرايا.</t>
    </r>
  </si>
  <si>
    <r>
      <t>(2)</t>
    </r>
    <r>
      <rPr>
        <sz val="7"/>
        <color rgb="FF000000"/>
        <rFont val="Arial"/>
        <family val="2"/>
      </rPr>
      <t xml:space="preserve">  </t>
    </r>
    <r>
      <rPr>
        <sz val="12"/>
        <color rgb="FF000000"/>
        <rFont val="Arial"/>
        <family val="2"/>
      </rPr>
      <t xml:space="preserve"> طرق الحركة لمنطقة التجمع.</t>
    </r>
  </si>
  <si>
    <r>
      <t>2.</t>
    </r>
    <r>
      <rPr>
        <sz val="7"/>
        <color theme="1"/>
        <rFont val="Arial"/>
        <family val="2"/>
      </rPr>
      <t xml:space="preserve"> </t>
    </r>
    <r>
      <rPr>
        <sz val="12"/>
        <color rgb="FF000000"/>
        <rFont val="Arial"/>
        <family val="2"/>
      </rPr>
      <t xml:space="preserve">  إصدار أمر العمليات للوحدات المرؤوسة، وتقديم ايجازات تأكيدية من قبل القادة المرؤوسين للتأكد من أنهم يفهمون قصد قائد السرية ومفهوم عملياته.</t>
    </r>
  </si>
  <si>
    <r>
      <t>1.</t>
    </r>
    <r>
      <rPr>
        <sz val="7"/>
        <color rgb="FF000000"/>
        <rFont val="Arial"/>
        <family val="2"/>
      </rPr>
      <t xml:space="preserve">   </t>
    </r>
    <r>
      <rPr>
        <sz val="12"/>
        <color rgb="FF000000"/>
        <rFont val="Arial"/>
        <family val="2"/>
      </rPr>
      <t xml:space="preserve">  تنقيح الخطة بناءً على الاستخبارات المحدثة باستمرار. </t>
    </r>
  </si>
  <si>
    <r>
      <t>2.</t>
    </r>
    <r>
      <rPr>
        <sz val="7"/>
        <color rgb="FF000000"/>
        <rFont val="Arial"/>
        <family val="2"/>
      </rPr>
      <t xml:space="preserve">   </t>
    </r>
    <r>
      <rPr>
        <sz val="12"/>
        <color rgb="FF000000"/>
        <rFont val="Arial"/>
        <family val="2"/>
      </rPr>
      <t xml:space="preserve">  الإشراف على إجراءات المعركة للفصائل لضمان أن إجراءات التخطيط والتحضير تتم بطريقة صحيحة وتتفق مع قصد القائد.</t>
    </r>
  </si>
  <si>
    <r>
      <t>3.</t>
    </r>
    <r>
      <rPr>
        <sz val="7"/>
        <color theme="1"/>
        <rFont val="Arial"/>
        <family val="2"/>
      </rPr>
      <t xml:space="preserve">  </t>
    </r>
    <r>
      <rPr>
        <sz val="12"/>
        <color rgb="FF000000"/>
        <rFont val="Arial"/>
        <family val="2"/>
      </rPr>
      <t xml:space="preserve">  تنفيذ التجارب على إجراءات فتح الثغرة بمشاركة جميع العناصر المعنية بفتح الثغرة (الهندسة، وحدات المناورة، النيران) وذلك لضمان توحيد وتنسيق الإجراءات بين جميع العناصر، ويتم التركيز خلال التجارب على ما يلي:</t>
    </r>
    <r>
      <rPr>
        <sz val="14"/>
        <color theme="1"/>
        <rFont val="Arial"/>
        <family val="2"/>
      </rPr>
      <t xml:space="preserve">  </t>
    </r>
  </si>
  <si>
    <r>
      <t>4.</t>
    </r>
    <r>
      <rPr>
        <sz val="7"/>
        <color theme="1"/>
        <rFont val="Arial"/>
        <family val="2"/>
      </rPr>
      <t xml:space="preserve">  </t>
    </r>
    <r>
      <rPr>
        <sz val="12"/>
        <color rgb="FF000000"/>
        <rFont val="Arial"/>
        <family val="2"/>
      </rPr>
      <t xml:space="preserve">  إجراء التعديلات على الخطة بناءً على التجارب وحسب الحاجة.</t>
    </r>
  </si>
  <si>
    <r>
      <t>5.</t>
    </r>
    <r>
      <rPr>
        <sz val="7"/>
        <color theme="1"/>
        <rFont val="Arial"/>
        <family val="2"/>
      </rPr>
      <t xml:space="preserve">  </t>
    </r>
    <r>
      <rPr>
        <sz val="12"/>
        <color rgb="FF000000"/>
        <rFont val="Arial"/>
        <family val="2"/>
      </rPr>
      <t>توضيع القوات للحركة إلى منطقة التجمع.</t>
    </r>
  </si>
  <si>
    <r>
      <t>1.</t>
    </r>
    <r>
      <rPr>
        <sz val="7"/>
        <color rgb="FF000000"/>
        <rFont val="Arial"/>
        <family val="2"/>
      </rPr>
      <t xml:space="preserve">   </t>
    </r>
    <r>
      <rPr>
        <sz val="12"/>
        <color rgb="FF000000"/>
        <rFont val="Arial"/>
        <family val="2"/>
      </rPr>
      <t xml:space="preserve">    بالأمر أو حسب التوقيتات الموضوعة في أمر العمليات، تتحرك السرية من منطقة التجمع إلى منطقة التشكيل بأسلوب حركة وتشكيلة مناسبين.</t>
    </r>
  </si>
  <si>
    <r>
      <t>2.</t>
    </r>
    <r>
      <rPr>
        <sz val="7"/>
        <color rgb="FF000000"/>
        <rFont val="Arial"/>
        <family val="2"/>
      </rPr>
      <t xml:space="preserve">   </t>
    </r>
    <r>
      <rPr>
        <sz val="12"/>
        <color rgb="FF000000"/>
        <rFont val="Arial"/>
        <family val="2"/>
      </rPr>
      <t xml:space="preserve">   يسيطر قائد السرية على الحركة على طول الطريق ويعدل التشكيلة وأسلوب الحركة والسرعة والمسافة بين الوحدات حسب طبيعة الأرض والموقف.</t>
    </r>
  </si>
  <si>
    <r>
      <t>3.</t>
    </r>
    <r>
      <rPr>
        <sz val="7"/>
        <color rgb="FF000000"/>
        <rFont val="Arial"/>
        <family val="2"/>
      </rPr>
      <t xml:space="preserve">   </t>
    </r>
    <r>
      <rPr>
        <sz val="12"/>
        <color rgb="FF000000"/>
        <rFont val="Arial"/>
        <family val="2"/>
      </rPr>
      <t xml:space="preserve">  تطبيق إجراءات التماس مع العدو إذا حصل أثناء الحركة.</t>
    </r>
  </si>
  <si>
    <r>
      <t>4.</t>
    </r>
    <r>
      <rPr>
        <sz val="7"/>
        <color rgb="FF000000"/>
        <rFont val="Arial"/>
        <family val="2"/>
      </rPr>
      <t xml:space="preserve">   </t>
    </r>
    <r>
      <rPr>
        <sz val="12"/>
        <color rgb="FF000000"/>
        <rFont val="Arial"/>
        <family val="2"/>
      </rPr>
      <t xml:space="preserve">  على مسافة (6 – 8) كم من الحد الأمامي لمنطقة معركة العدو، تبدأ السرية بالتحول من تشكيل المسير إلى تشكيل ما قبل المعركة (خط الفتح التعبوي) (التحول من تشكيل ارتال كتائب الى ارتال سرايا).</t>
    </r>
  </si>
  <si>
    <r>
      <t>5.</t>
    </r>
    <r>
      <rPr>
        <sz val="7"/>
        <color rgb="FF000000"/>
        <rFont val="Arial"/>
        <family val="2"/>
      </rPr>
      <t xml:space="preserve">   </t>
    </r>
    <r>
      <rPr>
        <sz val="12"/>
        <color rgb="FF000000"/>
        <rFont val="Arial"/>
        <family val="2"/>
      </rPr>
      <t xml:space="preserve">   قبل الوصول إلى منطقة التشكيل تنفصل قوة الإسناد وتحتل مواقعها (قاعدة الإسناد بالنيران).</t>
    </r>
  </si>
  <si>
    <r>
      <t>6.</t>
    </r>
    <r>
      <rPr>
        <sz val="7"/>
        <color rgb="FF000000"/>
        <rFont val="Arial"/>
        <family val="2"/>
      </rPr>
      <t xml:space="preserve">   </t>
    </r>
    <r>
      <rPr>
        <sz val="12"/>
        <color rgb="FF000000"/>
        <rFont val="Arial"/>
        <family val="2"/>
      </rPr>
      <t xml:space="preserve">  عندما تبدأ قاعدة الإسناد والنيران غير المباشرة بتقديم الإسناد وإسكات قوات العدو، يتحرك قائد قوة فتح الثغرة (قائد السرية) مع عنصر الأمن والحماية، لتأسيس الحماية على الجانب القريب من المانع.</t>
    </r>
  </si>
  <si>
    <r>
      <t>7.</t>
    </r>
    <r>
      <rPr>
        <sz val="7"/>
        <color rgb="FF000000"/>
        <rFont val="Arial"/>
        <family val="2"/>
      </rPr>
      <t xml:space="preserve">   </t>
    </r>
    <r>
      <rPr>
        <sz val="12"/>
        <color rgb="FF000000"/>
        <rFont val="Arial"/>
        <family val="2"/>
      </rPr>
      <t xml:space="preserve">  عندما ينفتح عنصر الأمن والحماية في موقعه، يقوم قائد عنصر فتح الثغرة (ضابط الهندسة) بإجراء استطلاع للحصول على معلومات المانع ويؤكد/ يدقق خطته لفتح الثغرة في المانع.</t>
    </r>
  </si>
  <si>
    <r>
      <t>8.</t>
    </r>
    <r>
      <rPr>
        <sz val="7"/>
        <color rgb="FF000000"/>
        <rFont val="Arial"/>
        <family val="2"/>
      </rPr>
      <t xml:space="preserve">   </t>
    </r>
    <r>
      <rPr>
        <sz val="12"/>
        <color rgb="FF000000"/>
        <rFont val="Arial"/>
        <family val="2"/>
      </rPr>
      <t xml:space="preserve">  يقوم قائد عنصر فتح الثغرة بالإبلاغ بدقة عن مكان فتح الثغرة، والوقت المقدر لفتح الثغرة، والتأكد من تطهيره وتأشيره.</t>
    </r>
  </si>
  <si>
    <r>
      <t>9.</t>
    </r>
    <r>
      <rPr>
        <sz val="7"/>
        <color rgb="FF000000"/>
        <rFont val="Arial"/>
        <family val="2"/>
      </rPr>
      <t xml:space="preserve">   </t>
    </r>
    <r>
      <rPr>
        <sz val="12"/>
        <color rgb="FF000000"/>
        <rFont val="Arial"/>
        <family val="2"/>
      </rPr>
      <t xml:space="preserve">  تتحرك وحدات الحماية لاحتلال مواقع لها في الجانب القريب من المانع وتبدأ بمشاغلة قوات العدو في المنطقة البعيدة للمانع للتقليل من تدخل العدو في عملية فتح الثغرة وتوفير الحماية لعناصر فتح الثغرة.</t>
    </r>
  </si>
  <si>
    <r>
      <t>10.</t>
    </r>
    <r>
      <rPr>
        <sz val="7"/>
        <color rgb="FF000000"/>
        <rFont val="Arial"/>
        <family val="2"/>
      </rPr>
      <t xml:space="preserve">    </t>
    </r>
    <r>
      <rPr>
        <sz val="12"/>
        <color rgb="FF000000"/>
        <rFont val="Arial"/>
        <family val="2"/>
      </rPr>
      <t xml:space="preserve">  تتحرك قوة فتح الثغرة (تتكون من قدرات ومعدات هندسية لفتح الثغرة وجماعة هندسة ميدان لأغراض التأشير وخدمات الإسناد الفني والطبي والشرطة العسكرية) باتجاه حقل الألغام تحت إسناد عناصر الحماية.</t>
    </r>
  </si>
  <si>
    <r>
      <t>11.</t>
    </r>
    <r>
      <rPr>
        <sz val="7"/>
        <color rgb="FF000000"/>
        <rFont val="Arial"/>
        <family val="2"/>
      </rPr>
      <t xml:space="preserve">    </t>
    </r>
    <r>
      <rPr>
        <sz val="12"/>
        <color rgb="FF000000"/>
        <rFont val="Arial"/>
        <family val="2"/>
      </rPr>
      <t xml:space="preserve">  تقوم عناصر الهندسة بفتح الثغرات في حقل الألغام. </t>
    </r>
  </si>
  <si>
    <r>
      <t>12.</t>
    </r>
    <r>
      <rPr>
        <sz val="7"/>
        <color rgb="FF000000"/>
        <rFont val="Arial"/>
        <family val="2"/>
      </rPr>
      <t xml:space="preserve">    </t>
    </r>
    <r>
      <rPr>
        <sz val="12"/>
        <color rgb="FF000000"/>
        <rFont val="Arial"/>
        <family val="2"/>
      </rPr>
      <t xml:space="preserve">  تستمر فصائل السرية بتأمين الحماية القريبة لقوة فتح الثغرة أثناء تنفيذها.</t>
    </r>
  </si>
  <si>
    <r>
      <t>13.</t>
    </r>
    <r>
      <rPr>
        <sz val="7"/>
        <color rgb="FF000000"/>
        <rFont val="Arial"/>
        <family val="2"/>
      </rPr>
      <t xml:space="preserve">    </t>
    </r>
    <r>
      <rPr>
        <sz val="12"/>
        <color rgb="FF000000"/>
        <rFont val="Arial"/>
        <family val="2"/>
      </rPr>
      <t xml:space="preserve"> عند اكتمال فتح الثغرة يؤسس قائد قوة فتح الثغرة الأمن والحماية المحلية على الجانب البعيد من المانع كما يلي: </t>
    </r>
  </si>
  <si>
    <r>
      <t>14.</t>
    </r>
    <r>
      <rPr>
        <sz val="7"/>
        <color rgb="FF000000"/>
        <rFont val="Arial"/>
        <family val="2"/>
      </rPr>
      <t xml:space="preserve">    </t>
    </r>
    <r>
      <rPr>
        <sz val="12"/>
        <color rgb="FF000000"/>
        <rFont val="Arial"/>
        <family val="2"/>
      </rPr>
      <t xml:space="preserve">  يبلغ قائد السرية قيادة الكتيبة/ مجموعة القتال عن الانتهاء من عملية فتح الثغرة باستخدام اجهزة الاتصالات والوسائل الاخرى.</t>
    </r>
  </si>
  <si>
    <r>
      <t>15.</t>
    </r>
    <r>
      <rPr>
        <sz val="7"/>
        <color rgb="FF000000"/>
        <rFont val="Arial"/>
        <family val="2"/>
      </rPr>
      <t xml:space="preserve">    </t>
    </r>
    <r>
      <rPr>
        <sz val="12"/>
        <color rgb="FF000000"/>
        <rFont val="Arial"/>
        <family val="2"/>
      </rPr>
      <t xml:space="preserve">  تقوم قوة الاقتحام بالتحرك من خلال الثغرات وبإسناد من قوة فتح الثغرة وتقتحم أهداف العدو وحسب الخطة الموضوعة.</t>
    </r>
  </si>
  <si>
    <r>
      <t>16.</t>
    </r>
    <r>
      <rPr>
        <sz val="7"/>
        <color rgb="FF000000"/>
        <rFont val="Arial"/>
        <family val="2"/>
      </rPr>
      <t xml:space="preserve">    </t>
    </r>
    <r>
      <rPr>
        <sz val="12"/>
        <color rgb="FF000000"/>
        <rFont val="Arial"/>
        <family val="2"/>
      </rPr>
      <t xml:space="preserve">  بعد انتهاء مرحلة الاقتحام والتوسع على الهدف، تستعد قوة فتح الثغرة للتحرك للأمام للالتحاق بالكتيبة/ مجموعة القتال. </t>
    </r>
  </si>
  <si>
    <r>
      <t>17.</t>
    </r>
    <r>
      <rPr>
        <sz val="7"/>
        <color rgb="FF000000"/>
        <rFont val="Arial"/>
        <family val="2"/>
      </rPr>
      <t xml:space="preserve">    </t>
    </r>
    <r>
      <rPr>
        <sz val="12"/>
        <color rgb="FF000000"/>
        <rFont val="Arial"/>
        <family val="2"/>
      </rPr>
      <t xml:space="preserve"> التثبت وإعادة التنظيم والاستعداد للعمليات المستقبلية.</t>
    </r>
  </si>
  <si>
    <t>ملاحظة: يتم التخطيط لهذا الواجب بنفس الأسلوب وبنفس الإجراءات للهجوم المدبر.</t>
  </si>
  <si>
    <t>ملاحظة: يتم التحضير للهجوم في منطقة الحشد قبل الحركة إلى منطقة التجمع ويشمل التحضير الأفراد والمعدات والأسلحة والآليات ويتم تنفيذ الإجراءات التالية:</t>
  </si>
  <si>
    <r>
      <rPr>
        <b/>
        <sz val="14"/>
        <color rgb="FF000000"/>
        <rFont val="Arial"/>
        <family val="2"/>
      </rPr>
      <t>تقييم سرية فريق القتال المشاة الآلي/الدروع في تنفيذ الهجوم المدبر (فتح الثغرة)</t>
    </r>
    <r>
      <rPr>
        <b/>
        <u/>
        <sz val="14"/>
        <color rgb="FF000000"/>
        <rFont val="Arial"/>
        <family val="2"/>
      </rPr>
      <t xml:space="preserve">
تمرين جاهزية مجموعة لواء الإمارات/1 (جندي الصحراء 2025/20)</t>
    </r>
  </si>
  <si>
    <t>ملازم/1 يوسف المصعبي</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</si>
</sst>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C0000]d\ mmmm\ yyyy;@"/>
  </numFmts>
  <fonts count="19" x14ac:knownFonts="1">
    <font>
      <sz val="11"/>
      <color theme="1"/>
      <name val="Calibri"/>
      <family val="2"/>
      <scheme val="minor"/>
    </font>
    <font>
      <b/>
      <u/>
      <sz val="12"/>
      <color rgb="FF000000"/>
      <name val="Arial"/>
      <family val="2"/>
    </font>
    <font>
      <b/>
      <sz val="12"/>
      <color rgb="FF000000"/>
      <name val="Arial"/>
      <family val="2"/>
    </font>
    <font>
      <b/>
      <sz val="12"/>
      <color theme="1"/>
      <name val="Arial"/>
      <family val="2"/>
    </font>
    <font>
      <sz val="14"/>
      <color rgb="FF000000"/>
      <name val="Calibri"/>
      <family val="2"/>
      <scheme val="minor"/>
    </font>
    <font>
      <b/>
      <u/>
      <sz val="14"/>
      <color rgb="FF000000"/>
      <name val="Arial"/>
      <family val="2"/>
    </font>
    <font>
      <b/>
      <sz val="14"/>
      <color rgb="FF000000"/>
      <name val="Arial"/>
      <family val="2"/>
    </font>
    <font>
      <b/>
      <sz val="14"/>
      <color theme="1"/>
      <name val="Arial"/>
      <family val="2"/>
    </font>
    <font>
      <sz val="14"/>
      <color rgb="FF000000"/>
      <name val="Arial"/>
      <family val="2"/>
    </font>
    <font>
      <sz val="16"/>
      <color theme="1"/>
      <name val="Arial"/>
      <family val="2"/>
    </font>
    <font>
      <b/>
      <sz val="12"/>
      <color theme="1"/>
      <name val="Calibri"/>
      <family val="2"/>
      <scheme val="minor"/>
    </font>
    <font>
      <b/>
      <sz val="12"/>
      <name val="Arial"/>
      <family val="2"/>
    </font>
    <font>
      <b/>
      <sz val="12"/>
      <name val="Calibri"/>
      <family val="2"/>
      <scheme val="minor"/>
    </font>
    <font>
      <sz val="12"/>
      <color rgb="FF000000"/>
      <name val="Arial"/>
      <family val="2"/>
    </font>
    <font>
      <sz val="14"/>
      <color theme="1"/>
      <name val="Arial"/>
      <family val="2"/>
    </font>
    <font>
      <sz val="12"/>
      <color theme="1"/>
      <name val="Arial"/>
      <family val="2"/>
    </font>
    <font>
      <sz val="10"/>
      <color theme="1"/>
      <name val="Arial"/>
      <family val="2"/>
    </font>
    <font>
      <sz val="7"/>
      <color theme="1"/>
      <name val="Arial"/>
      <family val="2"/>
    </font>
    <font>
      <sz val="7"/>
      <color rgb="FF000000"/>
      <name val="Arial"/>
      <family val="2"/>
    </font>
  </fonts>
  <fills count="6">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5" tint="0.59999389629810485"/>
        <bgColor indexed="64"/>
      </patternFill>
    </fill>
    <fill>
      <patternFill patternType="solid">
        <fgColor theme="4" tint="0.59999389629810485"/>
        <bgColor indexed="64"/>
      </patternFill>
    </fill>
  </fills>
  <borders count="27">
    <border>
      <left/>
      <right/>
      <top/>
      <bottom/>
      <diagonal/>
    </border>
    <border>
      <left/>
      <right/>
      <top style="medium">
        <color indexed="64"/>
      </top>
      <bottom/>
      <diagonal/>
    </border>
    <border>
      <left style="medium">
        <color rgb="FF000000"/>
      </left>
      <right style="medium">
        <color rgb="FF000000"/>
      </right>
      <top style="medium">
        <color rgb="FF000000"/>
      </top>
      <bottom style="medium">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s>
  <cellStyleXfs count="1">
    <xf numFmtId="0" fontId="0" fillId="0" borderId="0"/>
  </cellStyleXfs>
  <cellXfs count="88">
    <xf numFmtId="0" fontId="0" fillId="0" borderId="0" xfId="0"/>
    <xf numFmtId="0" fontId="0" fillId="0" borderId="0" xfId="0" applyProtection="1">
      <protection locked="0"/>
    </xf>
    <xf numFmtId="0" fontId="4" fillId="0" borderId="2" xfId="0" applyFont="1" applyBorder="1" applyAlignment="1" applyProtection="1">
      <alignment horizontal="center" vertical="center" wrapText="1" readingOrder="2"/>
      <protection locked="0"/>
    </xf>
    <xf numFmtId="0" fontId="0" fillId="0" borderId="0" xfId="0" applyAlignment="1" applyProtection="1">
      <alignment horizontal="center"/>
      <protection locked="0"/>
    </xf>
    <xf numFmtId="0" fontId="2" fillId="2" borderId="0" xfId="0" applyFont="1" applyFill="1" applyBorder="1" applyAlignment="1" applyProtection="1">
      <alignment vertical="center" wrapText="1" readingOrder="2"/>
      <protection locked="0"/>
    </xf>
    <xf numFmtId="0" fontId="1" fillId="0" borderId="0" xfId="0" applyFont="1" applyBorder="1" applyAlignment="1" applyProtection="1">
      <alignment vertical="top" wrapText="1" readingOrder="2"/>
      <protection locked="0"/>
    </xf>
    <xf numFmtId="0" fontId="6" fillId="0" borderId="0" xfId="0" applyFont="1" applyAlignment="1" applyProtection="1">
      <alignment vertical="center" wrapText="1" readingOrder="2"/>
      <protection locked="0"/>
    </xf>
    <xf numFmtId="0" fontId="6" fillId="0" borderId="0" xfId="0" applyFont="1" applyAlignment="1" applyProtection="1">
      <alignment horizontal="right" vertical="center" wrapText="1" readingOrder="2"/>
      <protection locked="0"/>
    </xf>
    <xf numFmtId="0" fontId="6" fillId="0" borderId="0" xfId="0" applyFont="1" applyAlignment="1" applyProtection="1">
      <alignment horizontal="center" vertical="center" wrapText="1" readingOrder="2"/>
      <protection locked="0"/>
    </xf>
    <xf numFmtId="0" fontId="2" fillId="0" borderId="3" xfId="0" applyFont="1" applyBorder="1" applyAlignment="1">
      <alignment horizontal="center" vertical="center" wrapText="1" readingOrder="2"/>
    </xf>
    <xf numFmtId="0" fontId="3" fillId="2" borderId="0" xfId="0" applyFont="1" applyFill="1" applyBorder="1" applyAlignment="1" applyProtection="1">
      <alignment vertical="center" wrapText="1" readingOrder="2"/>
      <protection locked="0"/>
    </xf>
    <xf numFmtId="0" fontId="6" fillId="4" borderId="12" xfId="0" applyFont="1" applyFill="1" applyBorder="1" applyAlignment="1" applyProtection="1">
      <alignment horizontal="center" vertical="center" wrapText="1" readingOrder="2"/>
      <protection locked="0"/>
    </xf>
    <xf numFmtId="0" fontId="6" fillId="4" borderId="3" xfId="0" applyFont="1" applyFill="1" applyBorder="1" applyAlignment="1" applyProtection="1">
      <alignment vertical="center" wrapText="1" readingOrder="2"/>
      <protection locked="0"/>
    </xf>
    <xf numFmtId="164" fontId="4" fillId="0" borderId="2" xfId="0" applyNumberFormat="1" applyFont="1" applyBorder="1" applyAlignment="1" applyProtection="1">
      <alignment horizontal="center" vertical="center" wrapText="1" readingOrder="2"/>
      <protection locked="0"/>
    </xf>
    <xf numFmtId="164" fontId="4" fillId="0" borderId="0" xfId="0" applyNumberFormat="1" applyFont="1" applyBorder="1" applyAlignment="1" applyProtection="1">
      <alignment horizontal="center" vertical="center" wrapText="1" readingOrder="2"/>
      <protection locked="0"/>
    </xf>
    <xf numFmtId="164" fontId="4" fillId="3" borderId="0" xfId="0" applyNumberFormat="1" applyFont="1" applyFill="1" applyBorder="1" applyAlignment="1" applyProtection="1">
      <alignment horizontal="center" vertical="center" wrapText="1" readingOrder="2"/>
      <protection locked="0"/>
    </xf>
    <xf numFmtId="0" fontId="0" fillId="3" borderId="0" xfId="0" applyFill="1" applyProtection="1">
      <protection locked="0"/>
    </xf>
    <xf numFmtId="0" fontId="0" fillId="3" borderId="0" xfId="0" applyFill="1"/>
    <xf numFmtId="0" fontId="4" fillId="0" borderId="0" xfId="0" applyFont="1" applyBorder="1" applyAlignment="1" applyProtection="1">
      <alignment horizontal="center" vertical="center" wrapText="1" readingOrder="2"/>
      <protection locked="0"/>
    </xf>
    <xf numFmtId="0" fontId="9" fillId="0" borderId="3" xfId="0" applyFont="1" applyBorder="1" applyAlignment="1">
      <alignment horizontal="center" vertical="center"/>
    </xf>
    <xf numFmtId="0" fontId="10" fillId="0" borderId="3" xfId="0" applyFont="1" applyBorder="1" applyAlignment="1">
      <alignment horizontal="center" vertical="center"/>
    </xf>
    <xf numFmtId="0" fontId="10" fillId="0" borderId="14" xfId="0" applyFont="1" applyBorder="1" applyAlignment="1">
      <alignment horizontal="center" vertical="center"/>
    </xf>
    <xf numFmtId="0" fontId="11" fillId="0" borderId="3" xfId="0" applyFont="1" applyFill="1" applyBorder="1" applyAlignment="1">
      <alignment horizontal="center" vertical="center"/>
    </xf>
    <xf numFmtId="0" fontId="3" fillId="0" borderId="3" xfId="0" applyFont="1" applyFill="1" applyBorder="1" applyAlignment="1">
      <alignment horizontal="center" vertical="center"/>
    </xf>
    <xf numFmtId="0" fontId="12" fillId="0" borderId="3" xfId="0" applyFont="1" applyBorder="1" applyAlignment="1">
      <alignment horizontal="center" vertical="center"/>
    </xf>
    <xf numFmtId="0" fontId="3" fillId="0" borderId="3" xfId="0" applyFont="1" applyBorder="1" applyAlignment="1">
      <alignment horizontal="center" vertical="center"/>
    </xf>
    <xf numFmtId="0" fontId="3" fillId="0" borderId="3" xfId="0" applyFont="1" applyBorder="1" applyAlignment="1" applyProtection="1">
      <alignment horizontal="center" vertical="center" wrapText="1" readingOrder="2"/>
      <protection locked="0"/>
    </xf>
    <xf numFmtId="0" fontId="3" fillId="0" borderId="12" xfId="0" applyFont="1" applyBorder="1" applyAlignment="1" applyProtection="1">
      <alignment horizontal="center" vertical="center" wrapText="1" readingOrder="2"/>
      <protection locked="0"/>
    </xf>
    <xf numFmtId="0" fontId="6" fillId="4" borderId="17" xfId="0" applyFont="1" applyFill="1" applyBorder="1" applyAlignment="1" applyProtection="1">
      <alignment horizontal="center" vertical="center" wrapText="1" readingOrder="2"/>
      <protection locked="0"/>
    </xf>
    <xf numFmtId="0" fontId="2" fillId="0" borderId="20" xfId="0" applyFont="1" applyBorder="1" applyAlignment="1">
      <alignment horizontal="center" vertical="center" wrapText="1" readingOrder="2"/>
    </xf>
    <xf numFmtId="9" fontId="3" fillId="0" borderId="3" xfId="0" applyNumberFormat="1" applyFont="1" applyBorder="1" applyAlignment="1">
      <alignment horizontal="center" vertical="center" wrapText="1" readingOrder="2"/>
    </xf>
    <xf numFmtId="0" fontId="2" fillId="0" borderId="3" xfId="0" applyFont="1" applyBorder="1" applyAlignment="1">
      <alignment horizontal="center" vertical="center" wrapText="1" readingOrder="1"/>
    </xf>
    <xf numFmtId="0" fontId="16" fillId="0" borderId="3" xfId="0" applyFont="1" applyBorder="1" applyAlignment="1">
      <alignment vertical="center" wrapText="1"/>
    </xf>
    <xf numFmtId="0" fontId="2" fillId="0" borderId="12" xfId="0" applyFont="1" applyBorder="1" applyAlignment="1">
      <alignment horizontal="center" vertical="center" wrapText="1" readingOrder="2"/>
    </xf>
    <xf numFmtId="9" fontId="3" fillId="0" borderId="12" xfId="0" applyNumberFormat="1" applyFont="1" applyBorder="1" applyAlignment="1">
      <alignment horizontal="center" vertical="center" wrapText="1" readingOrder="2"/>
    </xf>
    <xf numFmtId="0" fontId="2" fillId="0" borderId="12" xfId="0" applyFont="1" applyBorder="1" applyAlignment="1">
      <alignment horizontal="center" vertical="center" wrapText="1" readingOrder="1"/>
    </xf>
    <xf numFmtId="0" fontId="2" fillId="0" borderId="12" xfId="0" applyFont="1" applyBorder="1" applyAlignment="1">
      <alignment horizontal="center" vertical="center" wrapText="1"/>
    </xf>
    <xf numFmtId="49" fontId="5" fillId="0" borderId="0" xfId="0" applyNumberFormat="1" applyFont="1" applyAlignment="1" applyProtection="1">
      <alignment horizontal="center" vertical="center" wrapText="1" readingOrder="2"/>
      <protection locked="0"/>
    </xf>
    <xf numFmtId="164" fontId="6" fillId="0" borderId="3" xfId="0" applyNumberFormat="1" applyFont="1" applyBorder="1" applyAlignment="1" applyProtection="1">
      <alignment horizontal="right" vertical="center" wrapText="1" readingOrder="2"/>
      <protection locked="0"/>
    </xf>
    <xf numFmtId="0" fontId="7" fillId="4" borderId="5" xfId="0" applyFont="1" applyFill="1" applyBorder="1" applyAlignment="1" applyProtection="1">
      <alignment horizontal="center" vertical="center" wrapText="1" readingOrder="2"/>
      <protection locked="0"/>
    </xf>
    <xf numFmtId="0" fontId="7" fillId="4" borderId="4" xfId="0" applyFont="1" applyFill="1" applyBorder="1" applyAlignment="1" applyProtection="1">
      <alignment horizontal="center" vertical="center" wrapText="1" readingOrder="2"/>
      <protection locked="0"/>
    </xf>
    <xf numFmtId="0" fontId="7" fillId="4" borderId="11" xfId="0" applyFont="1" applyFill="1" applyBorder="1" applyAlignment="1" applyProtection="1">
      <alignment horizontal="center" vertical="center" wrapText="1" readingOrder="2"/>
      <protection locked="0"/>
    </xf>
    <xf numFmtId="0" fontId="7" fillId="4" borderId="12" xfId="0" applyFont="1" applyFill="1" applyBorder="1" applyAlignment="1" applyProtection="1">
      <alignment horizontal="center" vertical="center" wrapText="1" readingOrder="2"/>
      <protection locked="0"/>
    </xf>
    <xf numFmtId="0" fontId="6" fillId="0" borderId="3" xfId="0" applyFont="1" applyBorder="1" applyAlignment="1" applyProtection="1">
      <alignment horizontal="right" vertical="center" wrapText="1" readingOrder="2"/>
      <protection locked="0"/>
    </xf>
    <xf numFmtId="10" fontId="2" fillId="0" borderId="9" xfId="0" applyNumberFormat="1" applyFont="1" applyBorder="1" applyAlignment="1">
      <alignment horizontal="center" vertical="center" wrapText="1" readingOrder="2"/>
    </xf>
    <xf numFmtId="10" fontId="2" fillId="0" borderId="10" xfId="0" applyNumberFormat="1" applyFont="1" applyBorder="1" applyAlignment="1">
      <alignment horizontal="center" vertical="center" wrapText="1" readingOrder="2"/>
    </xf>
    <xf numFmtId="0" fontId="7" fillId="4" borderId="16" xfId="0" applyFont="1" applyFill="1" applyBorder="1" applyAlignment="1" applyProtection="1">
      <alignment horizontal="center" vertical="center" wrapText="1" readingOrder="2"/>
      <protection locked="0"/>
    </xf>
    <xf numFmtId="0" fontId="7" fillId="4" borderId="17" xfId="0" applyFont="1" applyFill="1" applyBorder="1" applyAlignment="1" applyProtection="1">
      <alignment horizontal="center" vertical="center" wrapText="1" readingOrder="2"/>
      <protection locked="0"/>
    </xf>
    <xf numFmtId="0" fontId="3" fillId="0" borderId="3" xfId="0" applyFont="1" applyBorder="1" applyAlignment="1" applyProtection="1">
      <alignment horizontal="center" vertical="center" wrapText="1" readingOrder="2"/>
      <protection locked="0"/>
    </xf>
    <xf numFmtId="0" fontId="3" fillId="0" borderId="7" xfId="0" applyFont="1" applyBorder="1" applyAlignment="1" applyProtection="1">
      <alignment horizontal="center" vertical="center" wrapText="1" readingOrder="2"/>
      <protection locked="0"/>
    </xf>
    <xf numFmtId="0" fontId="6" fillId="4" borderId="4" xfId="0" applyFont="1" applyFill="1" applyBorder="1" applyAlignment="1" applyProtection="1">
      <alignment horizontal="center" vertical="center" wrapText="1" readingOrder="2"/>
      <protection locked="0"/>
    </xf>
    <xf numFmtId="0" fontId="6" fillId="4" borderId="6" xfId="0" applyFont="1" applyFill="1" applyBorder="1" applyAlignment="1" applyProtection="1">
      <alignment horizontal="center" vertical="center" wrapText="1" readingOrder="2"/>
      <protection locked="0"/>
    </xf>
    <xf numFmtId="0" fontId="6" fillId="4" borderId="12" xfId="0" applyFont="1" applyFill="1" applyBorder="1" applyAlignment="1" applyProtection="1">
      <alignment horizontal="center" vertical="center" wrapText="1" readingOrder="2"/>
      <protection locked="0"/>
    </xf>
    <xf numFmtId="0" fontId="6" fillId="4" borderId="13" xfId="0" applyFont="1" applyFill="1" applyBorder="1" applyAlignment="1" applyProtection="1">
      <alignment horizontal="center" vertical="center" wrapText="1" readingOrder="2"/>
      <protection locked="0"/>
    </xf>
    <xf numFmtId="0" fontId="6" fillId="4" borderId="17" xfId="0" applyFont="1" applyFill="1" applyBorder="1" applyAlignment="1" applyProtection="1">
      <alignment horizontal="center" vertical="center" wrapText="1" readingOrder="2"/>
      <protection locked="0"/>
    </xf>
    <xf numFmtId="0" fontId="6" fillId="4" borderId="18" xfId="0" applyFont="1" applyFill="1" applyBorder="1" applyAlignment="1" applyProtection="1">
      <alignment horizontal="center" vertical="center" wrapText="1" readingOrder="2"/>
      <protection locked="0"/>
    </xf>
    <xf numFmtId="0" fontId="3" fillId="0" borderId="12" xfId="0" applyFont="1" applyBorder="1" applyAlignment="1" applyProtection="1">
      <alignment horizontal="center" vertical="center" wrapText="1" readingOrder="2"/>
      <protection locked="0"/>
    </xf>
    <xf numFmtId="0" fontId="3" fillId="0" borderId="13" xfId="0" applyFont="1" applyBorder="1" applyAlignment="1" applyProtection="1">
      <alignment horizontal="center" vertical="center" wrapText="1" readingOrder="2"/>
      <protection locked="0"/>
    </xf>
    <xf numFmtId="0" fontId="5" fillId="0" borderId="1" xfId="0" applyFont="1" applyBorder="1" applyAlignment="1" applyProtection="1">
      <alignment vertical="top" wrapText="1" readingOrder="2"/>
      <protection locked="0"/>
    </xf>
    <xf numFmtId="0" fontId="5" fillId="0" borderId="0" xfId="0" applyFont="1" applyBorder="1" applyAlignment="1" applyProtection="1">
      <alignment vertical="top" wrapText="1" readingOrder="2"/>
      <protection locked="0"/>
    </xf>
    <xf numFmtId="0" fontId="6" fillId="0" borderId="0" xfId="0" applyFont="1" applyBorder="1" applyAlignment="1" applyProtection="1">
      <alignment horizontal="right" vertical="center" wrapText="1" readingOrder="2"/>
      <protection locked="0"/>
    </xf>
    <xf numFmtId="0" fontId="6" fillId="0" borderId="0" xfId="0" applyFont="1" applyAlignment="1" applyProtection="1">
      <alignment horizontal="center" vertical="center" wrapText="1" readingOrder="2"/>
      <protection locked="0"/>
    </xf>
    <xf numFmtId="0" fontId="2" fillId="0" borderId="9" xfId="0" applyFont="1" applyBorder="1" applyAlignment="1">
      <alignment horizontal="center" vertical="center" wrapText="1" readingOrder="1"/>
    </xf>
    <xf numFmtId="0" fontId="2" fillId="0" borderId="10" xfId="0" applyFont="1" applyBorder="1" applyAlignment="1">
      <alignment horizontal="center" vertical="center" wrapText="1" readingOrder="1"/>
    </xf>
    <xf numFmtId="0" fontId="6" fillId="0" borderId="1" xfId="0" applyFont="1" applyBorder="1" applyAlignment="1" applyProtection="1">
      <alignment horizontal="left" vertical="center" wrapText="1" readingOrder="2"/>
      <protection locked="0"/>
    </xf>
    <xf numFmtId="0" fontId="6" fillId="0" borderId="0" xfId="0" applyFont="1" applyAlignment="1" applyProtection="1">
      <alignment horizontal="left" vertical="center" wrapText="1" readingOrder="2"/>
      <protection locked="0"/>
    </xf>
    <xf numFmtId="0" fontId="2" fillId="0" borderId="21" xfId="0" applyFont="1" applyBorder="1" applyAlignment="1">
      <alignment horizontal="center" vertical="center" wrapText="1" readingOrder="2"/>
    </xf>
    <xf numFmtId="0" fontId="2" fillId="0" borderId="15" xfId="0" applyFont="1" applyBorder="1" applyAlignment="1">
      <alignment horizontal="center" vertical="center" wrapText="1" readingOrder="2"/>
    </xf>
    <xf numFmtId="0" fontId="2" fillId="0" borderId="22" xfId="0" applyFont="1" applyBorder="1" applyAlignment="1">
      <alignment horizontal="center" vertical="center" wrapText="1" readingOrder="2"/>
    </xf>
    <xf numFmtId="0" fontId="6" fillId="4" borderId="19" xfId="0" applyFont="1" applyFill="1" applyBorder="1" applyAlignment="1" applyProtection="1">
      <alignment horizontal="center" vertical="center" wrapText="1" readingOrder="2"/>
      <protection locked="0"/>
    </xf>
    <xf numFmtId="0" fontId="6" fillId="4" borderId="20" xfId="0" applyFont="1" applyFill="1" applyBorder="1" applyAlignment="1" applyProtection="1">
      <alignment horizontal="center" vertical="center" wrapText="1" readingOrder="2"/>
      <protection locked="0"/>
    </xf>
    <xf numFmtId="0" fontId="6" fillId="4" borderId="8" xfId="0" applyFont="1" applyFill="1" applyBorder="1" applyAlignment="1" applyProtection="1">
      <alignment horizontal="center" vertical="center" wrapText="1" readingOrder="2"/>
      <protection locked="0"/>
    </xf>
    <xf numFmtId="0" fontId="6" fillId="4" borderId="9" xfId="0" applyFont="1" applyFill="1" applyBorder="1" applyAlignment="1" applyProtection="1">
      <alignment horizontal="center" vertical="center" wrapText="1" readingOrder="2"/>
      <protection locked="0"/>
    </xf>
    <xf numFmtId="0" fontId="14" fillId="0" borderId="23" xfId="0" applyFont="1" applyBorder="1" applyAlignment="1">
      <alignment horizontal="right" vertical="center" wrapText="1" readingOrder="2"/>
    </xf>
    <xf numFmtId="0" fontId="14" fillId="0" borderId="3" xfId="0" applyFont="1" applyBorder="1" applyAlignment="1">
      <alignment horizontal="right" vertical="center" wrapText="1" readingOrder="2"/>
    </xf>
    <xf numFmtId="0" fontId="14" fillId="0" borderId="11" xfId="0" applyFont="1" applyBorder="1" applyAlignment="1">
      <alignment horizontal="right" vertical="center" wrapText="1" readingOrder="2"/>
    </xf>
    <xf numFmtId="0" fontId="14" fillId="0" borderId="12" xfId="0" applyFont="1" applyBorder="1" applyAlignment="1">
      <alignment horizontal="right" vertical="center" wrapText="1" readingOrder="2"/>
    </xf>
    <xf numFmtId="0" fontId="13" fillId="0" borderId="23" xfId="0" applyFont="1" applyBorder="1" applyAlignment="1">
      <alignment horizontal="right" vertical="center" wrapText="1" readingOrder="2"/>
    </xf>
    <xf numFmtId="0" fontId="13" fillId="0" borderId="3" xfId="0" applyFont="1" applyBorder="1" applyAlignment="1">
      <alignment horizontal="right" vertical="center" wrapText="1" readingOrder="2"/>
    </xf>
    <xf numFmtId="0" fontId="13" fillId="0" borderId="11" xfId="0" applyFont="1" applyBorder="1" applyAlignment="1">
      <alignment horizontal="right" vertical="center" wrapText="1" readingOrder="2"/>
    </xf>
    <xf numFmtId="0" fontId="13" fillId="0" borderId="12" xfId="0" applyFont="1" applyBorder="1" applyAlignment="1">
      <alignment horizontal="right" vertical="center" wrapText="1" readingOrder="2"/>
    </xf>
    <xf numFmtId="0" fontId="1" fillId="5" borderId="24" xfId="0" applyFont="1" applyFill="1" applyBorder="1" applyAlignment="1">
      <alignment horizontal="right" vertical="center" wrapText="1" readingOrder="2"/>
    </xf>
    <xf numFmtId="0" fontId="1" fillId="5" borderId="25" xfId="0" applyFont="1" applyFill="1" applyBorder="1" applyAlignment="1">
      <alignment horizontal="right" vertical="center" wrapText="1" readingOrder="2"/>
    </xf>
    <xf numFmtId="0" fontId="1" fillId="5" borderId="26" xfId="0" applyFont="1" applyFill="1" applyBorder="1" applyAlignment="1">
      <alignment horizontal="right" vertical="center" wrapText="1" readingOrder="2"/>
    </xf>
    <xf numFmtId="0" fontId="13" fillId="0" borderId="23" xfId="0" applyFont="1" applyBorder="1" applyAlignment="1">
      <alignment horizontal="right" vertical="center" wrapText="1" indent="4" readingOrder="2"/>
    </xf>
    <xf numFmtId="0" fontId="13" fillId="0" borderId="3" xfId="0" applyFont="1" applyBorder="1" applyAlignment="1">
      <alignment horizontal="right" vertical="center" wrapText="1" indent="4" readingOrder="2"/>
    </xf>
    <xf numFmtId="0" fontId="13" fillId="0" borderId="23" xfId="0" applyFont="1" applyBorder="1" applyAlignment="1">
      <alignment horizontal="right" vertical="center" wrapText="1" indent="2" readingOrder="2"/>
    </xf>
    <xf numFmtId="0" fontId="13" fillId="0" borderId="3" xfId="0" applyFont="1" applyBorder="1" applyAlignment="1">
      <alignment horizontal="right" vertical="center" wrapText="1" indent="2" readingOrder="2"/>
    </xf>
  </cellXfs>
  <cellStyles count="1">
    <cellStyle name="Normal" xfId="0" builtinId="0"/>
  </cellStyles>
  <dxfs count="24">
    <dxf>
      <font>
        <color theme="0"/>
      </font>
      <fill>
        <patternFill>
          <bgColor rgb="FFFF0000"/>
        </patternFill>
      </fill>
    </dxf>
    <dxf>
      <fill>
        <patternFill>
          <bgColor theme="5" tint="0.39994506668294322"/>
        </patternFill>
      </fill>
    </dxf>
    <dxf>
      <fill>
        <patternFill>
          <bgColor rgb="FFFFFF00"/>
        </patternFill>
      </fill>
    </dxf>
    <dxf>
      <fill>
        <patternFill>
          <bgColor rgb="FF00CC00"/>
        </patternFill>
      </fill>
    </dxf>
    <dxf>
      <font>
        <color theme="1"/>
      </font>
      <fill>
        <patternFill>
          <bgColor rgb="FF00B0F0"/>
        </patternFill>
      </fill>
    </dxf>
    <dxf>
      <font>
        <color rgb="FFFF0000"/>
      </font>
    </dxf>
    <dxf>
      <font>
        <color rgb="FFFF0000"/>
      </font>
    </dxf>
    <dxf>
      <font>
        <color theme="1"/>
      </font>
      <fill>
        <patternFill>
          <bgColor rgb="FF00B0F0"/>
        </patternFill>
      </fill>
    </dxf>
    <dxf>
      <fill>
        <patternFill>
          <bgColor rgb="FF00CC00"/>
        </patternFill>
      </fill>
    </dxf>
    <dxf>
      <fill>
        <patternFill>
          <bgColor rgb="FFFFFF00"/>
        </patternFill>
      </fill>
    </dxf>
    <dxf>
      <fill>
        <patternFill>
          <bgColor theme="5" tint="0.39994506668294322"/>
        </patternFill>
      </fill>
    </dxf>
    <dxf>
      <font>
        <color theme="0"/>
      </font>
      <fill>
        <patternFill>
          <bgColor rgb="FFFF0000"/>
        </patternFill>
      </fill>
    </dxf>
    <dxf>
      <font>
        <color rgb="FFFF0000"/>
      </font>
    </dxf>
    <dxf>
      <font>
        <color rgb="FFFF0000"/>
      </font>
    </dxf>
    <dxf>
      <font>
        <color rgb="FFFF0000"/>
      </font>
    </dxf>
    <dxf>
      <font>
        <color rgb="FFFF0000"/>
      </font>
    </dxf>
    <dxf>
      <font>
        <color rgb="FFFF0000"/>
      </font>
    </dxf>
    <dxf>
      <font>
        <color theme="0"/>
      </font>
      <fill>
        <patternFill>
          <bgColor theme="8"/>
        </patternFill>
      </fill>
    </dxf>
    <dxf>
      <font>
        <b/>
        <i val="0"/>
        <color theme="1"/>
      </font>
      <fill>
        <patternFill>
          <bgColor rgb="FFFF9933"/>
        </patternFill>
      </fill>
    </dxf>
    <dxf>
      <font>
        <b/>
        <i val="0"/>
        <color theme="1"/>
      </font>
      <fill>
        <patternFill>
          <bgColor rgb="FFFFFF00"/>
        </patternFill>
      </fill>
    </dxf>
    <dxf>
      <font>
        <b/>
        <i val="0"/>
        <color theme="0"/>
      </font>
      <fill>
        <patternFill>
          <bgColor rgb="FF339933"/>
        </patternFill>
      </fill>
    </dxf>
    <dxf>
      <font>
        <b/>
        <i val="0"/>
        <color theme="0"/>
      </font>
      <fill>
        <patternFill>
          <bgColor rgb="FFFF0000"/>
        </patternFill>
      </fill>
    </dxf>
    <dxf>
      <font>
        <color rgb="FFFF0000"/>
      </font>
    </dxf>
    <dxf>
      <font>
        <color rgb="FFFF0000"/>
      </font>
    </dxf>
  </dxfs>
  <tableStyles count="0" defaultTableStyle="TableStyleMedium2" defaultPivotStyle="PivotStyleLight16"/>
  <colors>
    <mruColors>
      <color rgb="FFFF9933"/>
      <color rgb="FF00CC00"/>
      <color rgb="FF339933"/>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ustomXml" Target="../ink/ink1.xml"/></Relationships>
</file>

<file path=xl/drawings/drawing1.xml><?xml version="1.0" encoding="utf-8"?>
<xdr:wsDr xmlns:xdr="http://schemas.openxmlformats.org/drawingml/2006/spreadsheetDrawing" xmlns:a="http://schemas.openxmlformats.org/drawingml/2006/main">
  <xdr:twoCellAnchor editAs="oneCell">
    <xdr:from>
      <xdr:col>6</xdr:col>
      <xdr:colOff>368385</xdr:colOff>
      <xdr:row>57</xdr:row>
      <xdr:rowOff>521415</xdr:rowOff>
    </xdr:from>
    <xdr:to>
      <xdr:col>8</xdr:col>
      <xdr:colOff>130764</xdr:colOff>
      <xdr:row>58</xdr:row>
      <xdr:rowOff>567763</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CCAF4879-C075-C84C-E2D6-84E738BC8994}"/>
                </a:ext>
              </a:extLst>
            </xdr14:cNvPr>
            <xdr14:cNvContentPartPr/>
          </xdr14:nvContentPartPr>
          <xdr14:nvPr macro=""/>
          <xdr14:xfrm>
            <a:off x="10399114145" y="30504960"/>
            <a:ext cx="1078560" cy="577440"/>
          </xdr14:xfrm>
        </xdr:contentPart>
      </mc:Choice>
      <mc:Fallback xmlns="">
        <xdr:pic>
          <xdr:nvPicPr>
            <xdr:cNvPr id="2" name="Ink 1">
              <a:extLst>
                <a:ext uri="{FF2B5EF4-FFF2-40B4-BE49-F238E27FC236}">
                  <a16:creationId xmlns:a16="http://schemas.microsoft.com/office/drawing/2014/main" id="{CCAF4879-C075-C84C-E2D6-84E738BC8994}"/>
                </a:ext>
              </a:extLst>
            </xdr:cNvPr>
            <xdr:cNvPicPr/>
          </xdr:nvPicPr>
          <xdr:blipFill>
            <a:blip xmlns:r="http://schemas.openxmlformats.org/officeDocument/2006/relationships" r:embed="rId2"/>
            <a:stretch>
              <a:fillRect/>
            </a:stretch>
          </xdr:blipFill>
          <xdr:spPr>
            <a:xfrm>
              <a:off x="10399108025" y="30498840"/>
              <a:ext cx="1090800" cy="589680"/>
            </a:xfrm>
            <a:prstGeom prst="rect">
              <a:avLst/>
            </a:prstGeom>
          </xdr:spPr>
        </xdr:pic>
      </mc:Fallback>
    </mc:AlternateContent>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7T08:26:21.309"/>
    </inkml:context>
    <inkml:brush xml:id="br0">
      <inkml:brushProperty name="width" value="0.035" units="cm"/>
      <inkml:brushProperty name="height" value="0.035" units="cm"/>
    </inkml:brush>
  </inkml:definitions>
  <inkml:trace contextRef="#ctx0" brushRef="#br0">2890 780 5409,'0'0'0,"-5"-4"4449,-6-8-3025,6 1-312,5 11-1112,-12-4 1016,12-8-151,0 8-185,0-2-120,0 6-560,0-11 472,0 7-8,0 0-64,0-1-40,0 5-360,0-4 264,0 1-16,0 2 72,0-1 24,0 2-344,0 0 449,0 0 15,-3 0-48,1 0-64,2 0-352,-4 5 200,-8 6-64,7-7-80,-10 18-72,15-22 16,-15 22-128,-3 10 120,-3 7 16,-2 5 8,23-44-16,-28 48 0,3 1 24,-5-1 24,-1-2 56,31-46-104,-30 45 216,-3-1 24,1-5-16,1 3-112,31-42-112,-31 38 208,-2-4-64,3-4 40,4-8-32,26-22-152,-23 19 200,4-5-96,6-11 40,10 1 96,3-4-240,-5 0 64,3 0-144,2-3-248,0-8-64,0 11 392,5-14-392,8-9 184,-10-8 80,13-5 48,-16 36 80,14-36-64,-2 1-40,1 4 16,2 1 168,-15 30-80,11-28-80,1 5-24,-7 5 56,6 3-152,-11 15 200,5-4-40,-5-1 16,2 2 72,-2 1-32,0 2-16,0 0-80,0 0 8,0 3-144,-2 1 56,2-4 160,-3 5-88,-3 7 0,-9 0 96,4 3-40,11-15 32,-14 19-40,-4 2 88,1-2-8,-4-2 8,21-17-48,-13 15 48,-2-3-32,0 1-8,10-9-32,5-4 24,-15 4 40,12 7-88,0-11 72,-2 0 48,5 0-72,-2 0-24,2 0-72,0-1-128,0 1 224,0-1-320,0-1-24,0 1 40,0-1 111,0 2 193,0-1-48,0 1 32,0 0 8,0 0-8,0 0 16,0 0 40,0 3-16,-5 1 24,3 0-72,2-4 24,-11 12 48,-4-8 48,3 15-39,-6-3 167,18-16-224,-16 16 80,-3-1 64,5 0 80,-1-3-88,15-12-136,-20 13 160,2-9 0,4 9-48,0-10 168,14-3-280,-14 0 264,5 3 32,-3-3 24,7 0-16,5 0-304,-11-3 264,9-8 88,0-2-192,-3-8-152,5 21-8,-3-30 120,3-10-184,0-7 104,5-8 64,-5 55-104,15-64-24,0-12 32,6-8-48,4-6 56,-25 90-16,26-93 16,-1 0-48,1 7 32,2 2-8,-28 84 8,30-74 8,-5 9-32,1 9 24,-4 11-24,-22 45 24,18-32-56,-5 9 72,-10 10-32,1 9-24,-4 4 40,5-3-24,-5 2-40,0 1 72,0 0-32,0 0 24,0 3 16,0-1-32,-5 3-88,-2 6-16,7-11 120,-16 16-144,1 8 40,-2 9 16,-6 11 48,23-44 40,-28 50-80,-2 9 8,-3 6 56,-1 6 32,34-71-16,-38 76 88,1 3 56,-4 0 24,-6 3 56,0-4 48,47-78-272,-46 77 256,0-5-48,4-6 8,5-7-96,37-59-120,-35 55 56,7-11-32,1-5-64,8-11 56,19-28-16,-14 23 8,3-6-8,6-13 16,5-4-16,-2 12 136,-3-12-80,2 0-8,3 0-15,0 0-186,0 0 153,0 0-104,0-2-128,0-2 8,3-7-40,-3 11 264,0-13-240,5-4 96,-3-6 80,9-3 24,-11 26 40,5-27-56,12 0 40,-6 3-120,3 1 56,-14 23 80,9-20-104,-4 3-16,11 2 72,-14 10 48,-2 5 0,5-6-96,-3 2-32,-2 4 32,0 0 0,0 0 96,0 0-8,0 3 96,-5-1-72,1 3-96,4-5 80,-14 14-40,1-3 0,-4 3 40,1 2 0,16-16 0,-19 17 56,0 0-56,4-2 8,-5 0 48,20-15-56,-13 11 24,1-7-48,7 8 32,-8-12 72,13 0-80,0 0 0,-3 3 16,1-3-72,2 0 16,0 0 40,0 0-88,0 0 0,0 0-216,0 0-112,0 0 1312,0-2-2184,0 2 848,0 0 216,0 0 40,0 0 184,0 0-168,0 3 143,0 1-71,0 9 0,0-13 96,-3 13-32,-3 4-40,-6 1 104,7 5 8,5-23-40,-16 23 80,7-2 40,-5 3-31,-5-4 7,19-20-96,-11 18 160,-6-2 32,6-2 8,-3-3 8,14-11-208,-11 5 208,-1-1-56,0-1 112,8-3 0,4 0-264,-17 0 216,12-6-24,-11-12 80,4-4-96,12 22-176,-6-31 128,-8-10 16,11-7-168,-3-7 0,6 55 24,-2-62 104,2-10-16,4-6-72,15-9-8,-19 87-8,18-97-24,5-3-24,5-5 48,0 3-136,-28 102 136,33-98 16,-1 6 24,3 11 24,-1 9 144,-34 72-208,26-61 0,-1 8-16,-1 8-32,-3 6 56,-21 39-8,18-33 32,-3 4 8,-14 7-80,11 4 80,-12 18-40,0-14 88,0 10 32,0 0 200,-2 1 8,2 3-328,0 0 280,-8 0-8,-5 4-119,1 10-105,12-14-48,-13 19 16,-8 5-56,-5 10-40,-1 11 7,27-45 73,-31 50-8,-6 10 16,-1 6-8,-3 9-80,41-75 80,-46 83-24,-1 5 32,-2 5-32,-2 3 185,51-96-161,-53 96 152,-3-7 24,3-2 96,2-5-88,51-82-184,-46 73 144,4-8-96,7-9-48,7-11-16,28-45 16,-21 35-72,8-9 104,8-6 8,0-5-72,5-15 32,-2 4-40,2 1-40,0-1-208,0-4 112,0 0 176,0 0-232,2 0 31,10-3-7,-8-1 168,-4 4 40,17-13-40,-6-1-40,6-2 152,1-4-120,-18 20 48,21-24 0,2-1-40,1-2 40,-6 1-104,-18 26 104,18-22-40,3 5 0,-7 2-40,-2 10 40,-12 5 40,4-12-104,1 11 40,-3-1 24,-2 1 0,0 1 40,0 0-32,0 0 72,0 0-8,-5 0 48,5 0-80,-11 3 24,-1 1-80,-3 8 56,-2-8-8,17-4 8,-26 18 0,1-4 24,-3 3-8,-2-1-48,30-16 32,-28 14 16,0 2-16,-2-2-56,0 0 16,30-14 40,-30 13-64,0 0 40,-3-9 88,5 10-40,28-14-24,-28 4 112,-2 1-40,5-1 0,4-1-32,21-3-40,-23 3 24,1-3 0,4 0-32,0-3 32,18 3-24,-15-5-24,0 1 32,0-1-32,2-7 24,13 12 0,-15-1 16,2-4-32,-3 1 56,2 0-80,14 4 40,-10-4 16,6 2-8,-10 1-32,14 1 48,0 0-24,-5 0 16,0 0-72,5 3 16,-4 0-48,4-3 88,0 4-120,0 11 64,0 0-48,0 3 88,0-18 16,3 21-40,1 4 40,10 3-24,-1-1-40,-13-27 64,20 24-24,5-1-16,8-6 40,8-3 24,-41-14-24,51 4 80,7 0 0,16-4 40,10-4 0,-84 4-120,95-23-112,12-5 208,9-9-16,9-14-16,-125 51-64,132-62 216,10-12-112,6-13-80,6-6 128,-154 93-152,155-100 104,-4-6-64,-12-4 8,-9-3-24,-130 113-24,116-109 40,-11 3 25,-13 7 23,-16 9-40,-76 90-48,58-78 56,-13 12-16,-15 15 88,-16 13-8,-14 38-120,0-25 168,-5 6 120,-20 5-72,-11 3-16,36 11-200,-50-3 136,-12 3-24,-17 14-96,-7 13-16,86-27 0,-107 38-16,-9 14-56,-19 11 184,-14 11-64,149-74-48,-160 85-32,-9 4-24,-7 8-208,-9 2 56,185-99 208,-187 98-152,9-2 0,1-6 80,20-10 32,157-80 40,-137 72-64,14-13 16,21-9 0,20-7-160,82-43 208,-67 33-569,21-11-575,21-8-1048,13-14-1193,12 0 3385,0 0-4249,16-3-2232,19-18 1736,-35 21 4745</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D0DF2-5DCE-4624-B909-68D4EC5F2664}">
  <sheetPr codeName="Sheet1">
    <pageSetUpPr fitToPage="1"/>
  </sheetPr>
  <dimension ref="A1:J59"/>
  <sheetViews>
    <sheetView rightToLeft="1" tabSelected="1" view="pageBreakPreview" zoomScale="130" zoomScaleNormal="100" zoomScaleSheetLayoutView="130" workbookViewId="0">
      <selection activeCell="C2" sqref="C2:D2"/>
    </sheetView>
  </sheetViews>
  <sheetFormatPr defaultColWidth="9" defaultRowHeight="14.4" x14ac:dyDescent="0.3"/>
  <cols>
    <col min="1" max="1" width="5.109375" style="1" customWidth="1"/>
    <col min="2" max="2" width="12.109375" style="1" customWidth="1"/>
    <col min="3" max="3" width="9" style="1"/>
    <col min="4" max="4" width="28.109375" style="1" customWidth="1"/>
    <col min="5" max="7" width="9.33203125" style="1" customWidth="1"/>
    <col min="8" max="8" width="9.33203125" style="3" customWidth="1"/>
    <col min="9" max="9" width="9.33203125" style="1" customWidth="1"/>
    <col min="10" max="10" width="15.44140625" style="1" customWidth="1"/>
    <col min="11" max="16384" width="9" style="1"/>
  </cols>
  <sheetData>
    <row r="1" spans="1:10" ht="45" customHeight="1" x14ac:dyDescent="0.3">
      <c r="B1" s="37" t="s">
        <v>223</v>
      </c>
      <c r="C1" s="37"/>
      <c r="D1" s="37"/>
      <c r="E1" s="37"/>
      <c r="F1" s="37"/>
      <c r="G1" s="37"/>
      <c r="H1" s="37"/>
      <c r="I1" s="37"/>
      <c r="J1" s="37"/>
    </row>
    <row r="2" spans="1:10" ht="30" customHeight="1" x14ac:dyDescent="0.3">
      <c r="B2" s="12" t="s">
        <v>8</v>
      </c>
      <c r="C2" s="43" t="s">
        <v>37</v>
      </c>
      <c r="D2" s="43"/>
      <c r="E2" s="12" t="s">
        <v>7</v>
      </c>
      <c r="F2" s="38">
        <v>45957</v>
      </c>
      <c r="G2" s="38"/>
      <c r="H2" s="38"/>
      <c r="I2" s="38"/>
      <c r="J2" s="38"/>
    </row>
    <row r="3" spans="1:10" ht="30" customHeight="1" x14ac:dyDescent="0.3">
      <c r="B3" s="12" t="s">
        <v>9</v>
      </c>
      <c r="C3" s="43" t="s">
        <v>60</v>
      </c>
      <c r="D3" s="43"/>
      <c r="E3" s="12" t="s">
        <v>6</v>
      </c>
      <c r="F3" s="43" t="s">
        <v>142</v>
      </c>
      <c r="G3" s="43"/>
      <c r="H3" s="43"/>
      <c r="I3" s="43"/>
      <c r="J3" s="43"/>
    </row>
    <row r="4" spans="1:10" ht="30" customHeight="1" thickBot="1" x14ac:dyDescent="0.35">
      <c r="B4" s="6"/>
      <c r="C4" s="7"/>
      <c r="D4" s="7" t="s">
        <v>224</v>
      </c>
      <c r="E4" s="6"/>
      <c r="F4" s="7"/>
      <c r="G4" s="7"/>
      <c r="H4" s="8"/>
      <c r="I4" s="7"/>
      <c r="J4" s="7"/>
    </row>
    <row r="5" spans="1:10" ht="24.9" customHeight="1" x14ac:dyDescent="0.3">
      <c r="A5" s="10"/>
      <c r="B5" s="39" t="s">
        <v>0</v>
      </c>
      <c r="C5" s="40"/>
      <c r="D5" s="40"/>
      <c r="E5" s="50" t="s">
        <v>1</v>
      </c>
      <c r="F5" s="50"/>
      <c r="G5" s="50"/>
      <c r="H5" s="50"/>
      <c r="I5" s="50" t="s">
        <v>2</v>
      </c>
      <c r="J5" s="51"/>
    </row>
    <row r="6" spans="1:10" ht="24.9" customHeight="1" thickBot="1" x14ac:dyDescent="0.35">
      <c r="A6" s="10"/>
      <c r="B6" s="41"/>
      <c r="C6" s="42"/>
      <c r="D6" s="42"/>
      <c r="E6" s="11" t="s">
        <v>3</v>
      </c>
      <c r="F6" s="11" t="s">
        <v>4</v>
      </c>
      <c r="G6" s="11" t="s">
        <v>23</v>
      </c>
      <c r="H6" s="11" t="s">
        <v>24</v>
      </c>
      <c r="I6" s="52"/>
      <c r="J6" s="53"/>
    </row>
    <row r="7" spans="1:10" ht="24.9" customHeight="1" thickBot="1" x14ac:dyDescent="0.35">
      <c r="A7" s="10"/>
      <c r="B7" s="46" t="s">
        <v>21</v>
      </c>
      <c r="C7" s="47"/>
      <c r="D7" s="47"/>
      <c r="E7" s="28" t="s">
        <v>18</v>
      </c>
      <c r="F7" s="28" t="s">
        <v>19</v>
      </c>
      <c r="G7" s="28" t="s">
        <v>22</v>
      </c>
      <c r="H7" s="28" t="s">
        <v>20</v>
      </c>
      <c r="I7" s="54" t="s">
        <v>25</v>
      </c>
      <c r="J7" s="55"/>
    </row>
    <row r="8" spans="1:10" ht="39.9" customHeight="1" x14ac:dyDescent="0.3">
      <c r="A8" s="10"/>
      <c r="B8" s="81" t="s">
        <v>176</v>
      </c>
      <c r="C8" s="82"/>
      <c r="D8" s="82"/>
      <c r="E8" s="82"/>
      <c r="F8" s="82"/>
      <c r="G8" s="82"/>
      <c r="H8" s="82"/>
      <c r="I8" s="82"/>
      <c r="J8" s="83"/>
    </row>
    <row r="9" spans="1:10" ht="39.9" customHeight="1" x14ac:dyDescent="0.3">
      <c r="A9" s="10"/>
      <c r="B9" s="77" t="s">
        <v>221</v>
      </c>
      <c r="C9" s="78"/>
      <c r="D9" s="78"/>
      <c r="E9" s="9"/>
      <c r="F9" s="26"/>
      <c r="G9" s="30"/>
      <c r="H9" s="31"/>
      <c r="I9" s="48"/>
      <c r="J9" s="49"/>
    </row>
    <row r="10" spans="1:10" ht="39.9" customHeight="1" x14ac:dyDescent="0.3">
      <c r="A10" s="10"/>
      <c r="B10" s="73" t="s">
        <v>193</v>
      </c>
      <c r="C10" s="74"/>
      <c r="D10" s="74"/>
      <c r="E10" s="32"/>
      <c r="F10" s="26"/>
      <c r="G10" s="30"/>
      <c r="H10" s="31"/>
      <c r="I10" s="48"/>
      <c r="J10" s="49"/>
    </row>
    <row r="11" spans="1:10" ht="52.5" customHeight="1" x14ac:dyDescent="0.3">
      <c r="A11" s="10"/>
      <c r="B11" s="86" t="s">
        <v>194</v>
      </c>
      <c r="C11" s="87"/>
      <c r="D11" s="87"/>
      <c r="E11" s="9">
        <v>5</v>
      </c>
      <c r="F11" s="26">
        <v>3.75</v>
      </c>
      <c r="G11" s="30">
        <f t="shared" ref="G11:G54" si="0">IFERROR(F11/E11,"")</f>
        <v>0.75</v>
      </c>
      <c r="H11" s="31" t="str">
        <f t="shared" ref="H11:H54" si="1">_xlfn.IFS(F11="أدخل العلامة","",F11="لا ينطبق","تم الإلغاء",G11&gt;=90%,"ممتاز",G11&gt;=80%,"جيد جداً",G11&gt;=70%,"جيد",G11&gt;=60%,"مقبول",G11&lt;60%,"راسب")</f>
        <v>جيد</v>
      </c>
      <c r="I11" s="48"/>
      <c r="J11" s="49"/>
    </row>
    <row r="12" spans="1:10" ht="39.9" customHeight="1" x14ac:dyDescent="0.3">
      <c r="A12" s="10"/>
      <c r="B12" s="86" t="s">
        <v>195</v>
      </c>
      <c r="C12" s="87"/>
      <c r="D12" s="87"/>
      <c r="E12" s="9">
        <v>5</v>
      </c>
      <c r="F12" s="26">
        <v>3.5</v>
      </c>
      <c r="G12" s="30">
        <f t="shared" si="0"/>
        <v>0.7</v>
      </c>
      <c r="H12" s="31" t="str">
        <f t="shared" si="1"/>
        <v>جيد</v>
      </c>
      <c r="I12" s="48"/>
      <c r="J12" s="49"/>
    </row>
    <row r="13" spans="1:10" ht="39.9" customHeight="1" x14ac:dyDescent="0.3">
      <c r="A13" s="10"/>
      <c r="B13" s="84" t="s">
        <v>196</v>
      </c>
      <c r="C13" s="85"/>
      <c r="D13" s="85"/>
      <c r="E13" s="9">
        <v>5</v>
      </c>
      <c r="F13" s="26">
        <v>3.75</v>
      </c>
      <c r="G13" s="30">
        <f t="shared" si="0"/>
        <v>0.75</v>
      </c>
      <c r="H13" s="31" t="str">
        <f t="shared" si="1"/>
        <v>جيد</v>
      </c>
      <c r="I13" s="48"/>
      <c r="J13" s="49"/>
    </row>
    <row r="14" spans="1:10" ht="39.9" customHeight="1" x14ac:dyDescent="0.3">
      <c r="A14" s="10"/>
      <c r="B14" s="84" t="s">
        <v>197</v>
      </c>
      <c r="C14" s="85"/>
      <c r="D14" s="85"/>
      <c r="E14" s="9">
        <v>5</v>
      </c>
      <c r="F14" s="26">
        <v>3.75</v>
      </c>
      <c r="G14" s="30">
        <f t="shared" si="0"/>
        <v>0.75</v>
      </c>
      <c r="H14" s="31" t="str">
        <f t="shared" si="1"/>
        <v>جيد</v>
      </c>
      <c r="I14" s="48"/>
      <c r="J14" s="49"/>
    </row>
    <row r="15" spans="1:10" ht="39.9" customHeight="1" x14ac:dyDescent="0.3">
      <c r="A15" s="10"/>
      <c r="B15" s="84" t="s">
        <v>177</v>
      </c>
      <c r="C15" s="85"/>
      <c r="D15" s="85"/>
      <c r="E15" s="9">
        <v>5</v>
      </c>
      <c r="F15" s="26">
        <v>3.75</v>
      </c>
      <c r="G15" s="30">
        <f t="shared" si="0"/>
        <v>0.75</v>
      </c>
      <c r="H15" s="31" t="str">
        <f t="shared" si="1"/>
        <v>جيد</v>
      </c>
      <c r="I15" s="48"/>
      <c r="J15" s="49"/>
    </row>
    <row r="16" spans="1:10" ht="39.9" customHeight="1" x14ac:dyDescent="0.3">
      <c r="A16" s="10"/>
      <c r="B16" s="84" t="s">
        <v>178</v>
      </c>
      <c r="C16" s="85"/>
      <c r="D16" s="85"/>
      <c r="E16" s="9">
        <v>5</v>
      </c>
      <c r="F16" s="26">
        <v>3.75</v>
      </c>
      <c r="G16" s="30">
        <f t="shared" si="0"/>
        <v>0.75</v>
      </c>
      <c r="H16" s="31" t="str">
        <f t="shared" si="1"/>
        <v>جيد</v>
      </c>
      <c r="I16" s="48"/>
      <c r="J16" s="49"/>
    </row>
    <row r="17" spans="1:10" ht="39.9" customHeight="1" x14ac:dyDescent="0.3">
      <c r="A17" s="10"/>
      <c r="B17" s="84" t="s">
        <v>179</v>
      </c>
      <c r="C17" s="85"/>
      <c r="D17" s="85"/>
      <c r="E17" s="9">
        <v>5</v>
      </c>
      <c r="F17" s="26">
        <v>3.75</v>
      </c>
      <c r="G17" s="30">
        <f t="shared" si="0"/>
        <v>0.75</v>
      </c>
      <c r="H17" s="31" t="str">
        <f t="shared" si="1"/>
        <v>جيد</v>
      </c>
      <c r="I17" s="48"/>
      <c r="J17" s="49"/>
    </row>
    <row r="18" spans="1:10" ht="39.9" customHeight="1" x14ac:dyDescent="0.3">
      <c r="A18" s="10"/>
      <c r="B18" s="84" t="s">
        <v>180</v>
      </c>
      <c r="C18" s="85"/>
      <c r="D18" s="85"/>
      <c r="E18" s="9">
        <v>5</v>
      </c>
      <c r="F18" s="26">
        <v>3.5</v>
      </c>
      <c r="G18" s="30">
        <f t="shared" si="0"/>
        <v>0.7</v>
      </c>
      <c r="H18" s="31" t="str">
        <f t="shared" si="1"/>
        <v>جيد</v>
      </c>
      <c r="I18" s="48"/>
      <c r="J18" s="49"/>
    </row>
    <row r="19" spans="1:10" ht="39.9" customHeight="1" x14ac:dyDescent="0.3">
      <c r="A19" s="10"/>
      <c r="B19" s="86" t="s">
        <v>181</v>
      </c>
      <c r="C19" s="87"/>
      <c r="D19" s="87"/>
      <c r="E19" s="9">
        <v>5</v>
      </c>
      <c r="F19" s="26">
        <v>3.75</v>
      </c>
      <c r="G19" s="30">
        <f t="shared" si="0"/>
        <v>0.75</v>
      </c>
      <c r="H19" s="31" t="str">
        <f t="shared" si="1"/>
        <v>جيد</v>
      </c>
      <c r="I19" s="48"/>
      <c r="J19" s="49"/>
    </row>
    <row r="20" spans="1:10" ht="50.1" customHeight="1" thickBot="1" x14ac:dyDescent="0.35">
      <c r="A20" s="10"/>
      <c r="B20" s="75" t="s">
        <v>198</v>
      </c>
      <c r="C20" s="76"/>
      <c r="D20" s="76"/>
      <c r="E20" s="36">
        <v>5</v>
      </c>
      <c r="F20" s="27">
        <v>3.5</v>
      </c>
      <c r="G20" s="34">
        <f t="shared" si="0"/>
        <v>0.7</v>
      </c>
      <c r="H20" s="35" t="str">
        <f t="shared" si="1"/>
        <v>جيد</v>
      </c>
      <c r="I20" s="56"/>
      <c r="J20" s="57"/>
    </row>
    <row r="21" spans="1:10" ht="39.9" customHeight="1" x14ac:dyDescent="0.3">
      <c r="A21" s="10"/>
      <c r="B21" s="81" t="s">
        <v>182</v>
      </c>
      <c r="C21" s="82"/>
      <c r="D21" s="82"/>
      <c r="E21" s="82"/>
      <c r="F21" s="82"/>
      <c r="G21" s="82"/>
      <c r="H21" s="82"/>
      <c r="I21" s="82"/>
      <c r="J21" s="83"/>
    </row>
    <row r="22" spans="1:10" ht="50.1" customHeight="1" x14ac:dyDescent="0.3">
      <c r="A22" s="10"/>
      <c r="B22" s="77" t="s">
        <v>222</v>
      </c>
      <c r="C22" s="78"/>
      <c r="D22" s="78"/>
      <c r="E22" s="9"/>
      <c r="F22" s="26"/>
      <c r="G22" s="30"/>
      <c r="H22" s="31"/>
      <c r="I22" s="48"/>
      <c r="J22" s="49"/>
    </row>
    <row r="23" spans="1:10" ht="39.9" customHeight="1" x14ac:dyDescent="0.3">
      <c r="A23" s="10"/>
      <c r="B23" s="77" t="s">
        <v>199</v>
      </c>
      <c r="C23" s="78"/>
      <c r="D23" s="78"/>
      <c r="E23" s="9">
        <v>5</v>
      </c>
      <c r="F23" s="26">
        <v>3.75</v>
      </c>
      <c r="G23" s="30">
        <f t="shared" si="0"/>
        <v>0.75</v>
      </c>
      <c r="H23" s="31" t="str">
        <f t="shared" si="1"/>
        <v>جيد</v>
      </c>
      <c r="I23" s="48"/>
      <c r="J23" s="49"/>
    </row>
    <row r="24" spans="1:10" ht="39.9" customHeight="1" x14ac:dyDescent="0.3">
      <c r="A24" s="10"/>
      <c r="B24" s="77" t="s">
        <v>200</v>
      </c>
      <c r="C24" s="78"/>
      <c r="D24" s="78"/>
      <c r="E24" s="9">
        <v>5</v>
      </c>
      <c r="F24" s="26">
        <v>3.75</v>
      </c>
      <c r="G24" s="30">
        <f t="shared" si="0"/>
        <v>0.75</v>
      </c>
      <c r="H24" s="31" t="str">
        <f t="shared" si="1"/>
        <v>جيد</v>
      </c>
      <c r="I24" s="48"/>
      <c r="J24" s="49"/>
    </row>
    <row r="25" spans="1:10" ht="70.5" customHeight="1" x14ac:dyDescent="0.3">
      <c r="A25" s="10"/>
      <c r="B25" s="73" t="s">
        <v>201</v>
      </c>
      <c r="C25" s="74"/>
      <c r="D25" s="74"/>
      <c r="E25" s="32"/>
      <c r="F25" s="26"/>
      <c r="G25" s="30"/>
      <c r="H25" s="31"/>
      <c r="I25" s="48"/>
      <c r="J25" s="49"/>
    </row>
    <row r="26" spans="1:10" ht="39.9" customHeight="1" x14ac:dyDescent="0.3">
      <c r="A26" s="10"/>
      <c r="B26" s="86" t="s">
        <v>183</v>
      </c>
      <c r="C26" s="87"/>
      <c r="D26" s="87"/>
      <c r="E26" s="9">
        <v>5</v>
      </c>
      <c r="F26" s="26">
        <v>3.5</v>
      </c>
      <c r="G26" s="30">
        <f t="shared" si="0"/>
        <v>0.7</v>
      </c>
      <c r="H26" s="31" t="str">
        <f t="shared" si="1"/>
        <v>جيد</v>
      </c>
      <c r="I26" s="48"/>
      <c r="J26" s="49"/>
    </row>
    <row r="27" spans="1:10" ht="39.9" customHeight="1" x14ac:dyDescent="0.3">
      <c r="A27" s="10"/>
      <c r="B27" s="86" t="s">
        <v>184</v>
      </c>
      <c r="C27" s="87"/>
      <c r="D27" s="87"/>
      <c r="E27" s="9">
        <v>5</v>
      </c>
      <c r="F27" s="26">
        <v>3.75</v>
      </c>
      <c r="G27" s="30">
        <f t="shared" si="0"/>
        <v>0.75</v>
      </c>
      <c r="H27" s="31" t="str">
        <f t="shared" si="1"/>
        <v>جيد</v>
      </c>
      <c r="I27" s="48"/>
      <c r="J27" s="49"/>
    </row>
    <row r="28" spans="1:10" ht="39.9" customHeight="1" x14ac:dyDescent="0.3">
      <c r="A28" s="10"/>
      <c r="B28" s="86" t="s">
        <v>185</v>
      </c>
      <c r="C28" s="87"/>
      <c r="D28" s="87"/>
      <c r="E28" s="9">
        <v>5</v>
      </c>
      <c r="F28" s="26">
        <v>3.75</v>
      </c>
      <c r="G28" s="30">
        <f t="shared" si="0"/>
        <v>0.75</v>
      </c>
      <c r="H28" s="31" t="str">
        <f t="shared" si="1"/>
        <v>جيد</v>
      </c>
      <c r="I28" s="48"/>
      <c r="J28" s="49"/>
    </row>
    <row r="29" spans="1:10" ht="39.9" customHeight="1" x14ac:dyDescent="0.3">
      <c r="A29" s="10"/>
      <c r="B29" s="86" t="s">
        <v>186</v>
      </c>
      <c r="C29" s="87"/>
      <c r="D29" s="87"/>
      <c r="E29" s="9">
        <v>5</v>
      </c>
      <c r="F29" s="26">
        <v>3.75</v>
      </c>
      <c r="G29" s="30">
        <f t="shared" si="0"/>
        <v>0.75</v>
      </c>
      <c r="H29" s="31" t="str">
        <f t="shared" si="1"/>
        <v>جيد</v>
      </c>
      <c r="I29" s="48"/>
      <c r="J29" s="49"/>
    </row>
    <row r="30" spans="1:10" ht="39.9" customHeight="1" x14ac:dyDescent="0.3">
      <c r="A30" s="10"/>
      <c r="B30" s="86" t="s">
        <v>187</v>
      </c>
      <c r="C30" s="87"/>
      <c r="D30" s="87"/>
      <c r="E30" s="9">
        <v>5</v>
      </c>
      <c r="F30" s="26">
        <v>3.75</v>
      </c>
      <c r="G30" s="30">
        <f t="shared" si="0"/>
        <v>0.75</v>
      </c>
      <c r="H30" s="31" t="str">
        <f t="shared" si="1"/>
        <v>جيد</v>
      </c>
      <c r="I30" s="48"/>
      <c r="J30" s="49"/>
    </row>
    <row r="31" spans="1:10" ht="39.9" customHeight="1" x14ac:dyDescent="0.3">
      <c r="A31" s="10"/>
      <c r="B31" s="86" t="s">
        <v>188</v>
      </c>
      <c r="C31" s="87"/>
      <c r="D31" s="87"/>
      <c r="E31" s="9">
        <v>5</v>
      </c>
      <c r="F31" s="26">
        <v>3.75</v>
      </c>
      <c r="G31" s="30">
        <f t="shared" si="0"/>
        <v>0.75</v>
      </c>
      <c r="H31" s="31" t="str">
        <f t="shared" si="1"/>
        <v>جيد</v>
      </c>
      <c r="I31" s="48"/>
      <c r="J31" s="49"/>
    </row>
    <row r="32" spans="1:10" ht="65.099999999999994" customHeight="1" x14ac:dyDescent="0.3">
      <c r="A32" s="10"/>
      <c r="B32" s="86" t="s">
        <v>189</v>
      </c>
      <c r="C32" s="87"/>
      <c r="D32" s="87"/>
      <c r="E32" s="9">
        <v>5</v>
      </c>
      <c r="F32" s="26">
        <v>3.5</v>
      </c>
      <c r="G32" s="30">
        <f t="shared" si="0"/>
        <v>0.7</v>
      </c>
      <c r="H32" s="31" t="str">
        <f t="shared" si="1"/>
        <v>جيد</v>
      </c>
      <c r="I32" s="48"/>
      <c r="J32" s="49"/>
    </row>
    <row r="33" spans="1:10" ht="39.9" customHeight="1" x14ac:dyDescent="0.3">
      <c r="A33" s="10"/>
      <c r="B33" s="73" t="s">
        <v>202</v>
      </c>
      <c r="C33" s="74"/>
      <c r="D33" s="74"/>
      <c r="E33" s="9">
        <v>5</v>
      </c>
      <c r="F33" s="26">
        <v>3.5</v>
      </c>
      <c r="G33" s="30">
        <f t="shared" si="0"/>
        <v>0.7</v>
      </c>
      <c r="H33" s="31" t="str">
        <f t="shared" si="1"/>
        <v>جيد</v>
      </c>
      <c r="I33" s="48"/>
      <c r="J33" s="49"/>
    </row>
    <row r="34" spans="1:10" ht="39.9" customHeight="1" thickBot="1" x14ac:dyDescent="0.35">
      <c r="A34" s="10"/>
      <c r="B34" s="75" t="s">
        <v>203</v>
      </c>
      <c r="C34" s="76"/>
      <c r="D34" s="76"/>
      <c r="E34" s="33">
        <v>5</v>
      </c>
      <c r="F34" s="27">
        <v>3.75</v>
      </c>
      <c r="G34" s="34">
        <f t="shared" si="0"/>
        <v>0.75</v>
      </c>
      <c r="H34" s="35" t="str">
        <f t="shared" si="1"/>
        <v>جيد</v>
      </c>
      <c r="I34" s="56"/>
      <c r="J34" s="57"/>
    </row>
    <row r="35" spans="1:10" ht="39.9" customHeight="1" x14ac:dyDescent="0.3">
      <c r="A35" s="10"/>
      <c r="B35" s="81" t="s">
        <v>190</v>
      </c>
      <c r="C35" s="82"/>
      <c r="D35" s="82"/>
      <c r="E35" s="82"/>
      <c r="F35" s="82"/>
      <c r="G35" s="82"/>
      <c r="H35" s="82"/>
      <c r="I35" s="82"/>
      <c r="J35" s="83"/>
    </row>
    <row r="36" spans="1:10" ht="39.9" customHeight="1" x14ac:dyDescent="0.3">
      <c r="A36" s="10"/>
      <c r="B36" s="77" t="s">
        <v>204</v>
      </c>
      <c r="C36" s="78"/>
      <c r="D36" s="78"/>
      <c r="E36" s="9">
        <v>5</v>
      </c>
      <c r="F36" s="26">
        <v>3.75</v>
      </c>
      <c r="G36" s="30">
        <f t="shared" si="0"/>
        <v>0.75</v>
      </c>
      <c r="H36" s="31" t="str">
        <f t="shared" si="1"/>
        <v>جيد</v>
      </c>
      <c r="I36" s="48"/>
      <c r="J36" s="49"/>
    </row>
    <row r="37" spans="1:10" ht="50.1" customHeight="1" x14ac:dyDescent="0.3">
      <c r="A37" s="10"/>
      <c r="B37" s="77" t="s">
        <v>205</v>
      </c>
      <c r="C37" s="78"/>
      <c r="D37" s="78"/>
      <c r="E37" s="9">
        <v>5</v>
      </c>
      <c r="F37" s="26">
        <v>3.75</v>
      </c>
      <c r="G37" s="30">
        <f t="shared" si="0"/>
        <v>0.75</v>
      </c>
      <c r="H37" s="31" t="str">
        <f t="shared" si="1"/>
        <v>جيد</v>
      </c>
      <c r="I37" s="48"/>
      <c r="J37" s="49"/>
    </row>
    <row r="38" spans="1:10" ht="39.9" customHeight="1" x14ac:dyDescent="0.3">
      <c r="A38" s="10"/>
      <c r="B38" s="77" t="s">
        <v>206</v>
      </c>
      <c r="C38" s="78"/>
      <c r="D38" s="78"/>
      <c r="E38" s="9">
        <v>5</v>
      </c>
      <c r="F38" s="26">
        <v>3.75</v>
      </c>
      <c r="G38" s="30">
        <f t="shared" si="0"/>
        <v>0.75</v>
      </c>
      <c r="H38" s="31" t="str">
        <f t="shared" si="1"/>
        <v>جيد</v>
      </c>
      <c r="I38" s="48"/>
      <c r="J38" s="49"/>
    </row>
    <row r="39" spans="1:10" ht="54.9" customHeight="1" x14ac:dyDescent="0.3">
      <c r="A39" s="10"/>
      <c r="B39" s="77" t="s">
        <v>207</v>
      </c>
      <c r="C39" s="78"/>
      <c r="D39" s="78"/>
      <c r="E39" s="9">
        <v>5</v>
      </c>
      <c r="F39" s="26">
        <v>3.5</v>
      </c>
      <c r="G39" s="30">
        <f t="shared" si="0"/>
        <v>0.7</v>
      </c>
      <c r="H39" s="31" t="str">
        <f t="shared" si="1"/>
        <v>جيد</v>
      </c>
      <c r="I39" s="48"/>
      <c r="J39" s="49"/>
    </row>
    <row r="40" spans="1:10" ht="39.9" customHeight="1" x14ac:dyDescent="0.3">
      <c r="A40" s="10"/>
      <c r="B40" s="77" t="s">
        <v>208</v>
      </c>
      <c r="C40" s="78"/>
      <c r="D40" s="78"/>
      <c r="E40" s="9">
        <v>5</v>
      </c>
      <c r="F40" s="26">
        <v>3.75</v>
      </c>
      <c r="G40" s="30">
        <f t="shared" si="0"/>
        <v>0.75</v>
      </c>
      <c r="H40" s="31" t="str">
        <f t="shared" si="1"/>
        <v>جيد</v>
      </c>
      <c r="I40" s="48"/>
      <c r="J40" s="49"/>
    </row>
    <row r="41" spans="1:10" ht="54.9" customHeight="1" x14ac:dyDescent="0.3">
      <c r="A41" s="10"/>
      <c r="B41" s="77" t="s">
        <v>209</v>
      </c>
      <c r="C41" s="78"/>
      <c r="D41" s="78"/>
      <c r="E41" s="9">
        <v>5</v>
      </c>
      <c r="F41" s="26">
        <v>3.5</v>
      </c>
      <c r="G41" s="30">
        <f t="shared" si="0"/>
        <v>0.7</v>
      </c>
      <c r="H41" s="31" t="str">
        <f t="shared" si="1"/>
        <v>جيد</v>
      </c>
      <c r="I41" s="48"/>
      <c r="J41" s="49"/>
    </row>
    <row r="42" spans="1:10" ht="54.9" customHeight="1" x14ac:dyDescent="0.3">
      <c r="A42" s="10"/>
      <c r="B42" s="77" t="s">
        <v>210</v>
      </c>
      <c r="C42" s="78"/>
      <c r="D42" s="78"/>
      <c r="E42" s="9">
        <v>5</v>
      </c>
      <c r="F42" s="26">
        <v>3.75</v>
      </c>
      <c r="G42" s="30">
        <f t="shared" si="0"/>
        <v>0.75</v>
      </c>
      <c r="H42" s="31" t="str">
        <f t="shared" si="1"/>
        <v>جيد</v>
      </c>
      <c r="I42" s="48"/>
      <c r="J42" s="49"/>
    </row>
    <row r="43" spans="1:10" ht="39.9" customHeight="1" x14ac:dyDescent="0.3">
      <c r="A43" s="10"/>
      <c r="B43" s="77" t="s">
        <v>211</v>
      </c>
      <c r="C43" s="78"/>
      <c r="D43" s="78"/>
      <c r="E43" s="9">
        <v>5</v>
      </c>
      <c r="F43" s="26">
        <v>3.75</v>
      </c>
      <c r="G43" s="30">
        <f t="shared" si="0"/>
        <v>0.75</v>
      </c>
      <c r="H43" s="31" t="str">
        <f t="shared" si="1"/>
        <v>جيد</v>
      </c>
      <c r="I43" s="48"/>
      <c r="J43" s="49"/>
    </row>
    <row r="44" spans="1:10" ht="54.9" customHeight="1" x14ac:dyDescent="0.3">
      <c r="A44" s="10"/>
      <c r="B44" s="77" t="s">
        <v>212</v>
      </c>
      <c r="C44" s="78"/>
      <c r="D44" s="78"/>
      <c r="E44" s="9">
        <v>5</v>
      </c>
      <c r="F44" s="26">
        <v>3.5</v>
      </c>
      <c r="G44" s="30">
        <f t="shared" si="0"/>
        <v>0.7</v>
      </c>
      <c r="H44" s="31" t="str">
        <f t="shared" si="1"/>
        <v>جيد</v>
      </c>
      <c r="I44" s="48"/>
      <c r="J44" s="49"/>
    </row>
    <row r="45" spans="1:10" ht="54.9" customHeight="1" x14ac:dyDescent="0.3">
      <c r="A45" s="10"/>
      <c r="B45" s="77" t="s">
        <v>213</v>
      </c>
      <c r="C45" s="78"/>
      <c r="D45" s="78"/>
      <c r="E45" s="9">
        <v>5</v>
      </c>
      <c r="F45" s="26">
        <v>3.75</v>
      </c>
      <c r="G45" s="30">
        <f t="shared" si="0"/>
        <v>0.75</v>
      </c>
      <c r="H45" s="31" t="str">
        <f t="shared" si="1"/>
        <v>جيد</v>
      </c>
      <c r="I45" s="48"/>
      <c r="J45" s="49"/>
    </row>
    <row r="46" spans="1:10" ht="39.9" customHeight="1" x14ac:dyDescent="0.3">
      <c r="A46" s="10"/>
      <c r="B46" s="77" t="s">
        <v>214</v>
      </c>
      <c r="C46" s="78"/>
      <c r="D46" s="78"/>
      <c r="E46" s="9">
        <v>5</v>
      </c>
      <c r="F46" s="26">
        <v>3.5</v>
      </c>
      <c r="G46" s="30">
        <f t="shared" si="0"/>
        <v>0.7</v>
      </c>
      <c r="H46" s="31" t="str">
        <f t="shared" si="1"/>
        <v>جيد</v>
      </c>
      <c r="I46" s="48"/>
      <c r="J46" s="49"/>
    </row>
    <row r="47" spans="1:10" ht="39.9" customHeight="1" x14ac:dyDescent="0.3">
      <c r="A47" s="10"/>
      <c r="B47" s="77" t="s">
        <v>215</v>
      </c>
      <c r="C47" s="78"/>
      <c r="D47" s="78"/>
      <c r="E47" s="9">
        <v>5</v>
      </c>
      <c r="F47" s="26">
        <v>3.5</v>
      </c>
      <c r="G47" s="30">
        <f t="shared" si="0"/>
        <v>0.7</v>
      </c>
      <c r="H47" s="31" t="str">
        <f t="shared" si="1"/>
        <v>جيد</v>
      </c>
      <c r="I47" s="48"/>
      <c r="J47" s="49"/>
    </row>
    <row r="48" spans="1:10" ht="39.9" customHeight="1" x14ac:dyDescent="0.3">
      <c r="A48" s="10"/>
      <c r="B48" s="77" t="s">
        <v>216</v>
      </c>
      <c r="C48" s="78"/>
      <c r="D48" s="78"/>
      <c r="E48" s="9"/>
      <c r="F48" s="26"/>
      <c r="G48" s="30"/>
      <c r="H48" s="31"/>
      <c r="I48" s="48"/>
      <c r="J48" s="49"/>
    </row>
    <row r="49" spans="1:10" ht="50.1" customHeight="1" x14ac:dyDescent="0.3">
      <c r="A49" s="10"/>
      <c r="B49" s="86" t="s">
        <v>191</v>
      </c>
      <c r="C49" s="87"/>
      <c r="D49" s="87"/>
      <c r="E49" s="9">
        <v>5</v>
      </c>
      <c r="F49" s="26">
        <v>3.75</v>
      </c>
      <c r="G49" s="30">
        <f t="shared" si="0"/>
        <v>0.75</v>
      </c>
      <c r="H49" s="31" t="str">
        <f t="shared" si="1"/>
        <v>جيد</v>
      </c>
      <c r="I49" s="48"/>
      <c r="J49" s="49"/>
    </row>
    <row r="50" spans="1:10" ht="39.9" customHeight="1" x14ac:dyDescent="0.3">
      <c r="A50" s="10"/>
      <c r="B50" s="86" t="s">
        <v>192</v>
      </c>
      <c r="C50" s="87"/>
      <c r="D50" s="87"/>
      <c r="E50" s="9">
        <v>5</v>
      </c>
      <c r="F50" s="26">
        <v>3.75</v>
      </c>
      <c r="G50" s="30">
        <f t="shared" si="0"/>
        <v>0.75</v>
      </c>
      <c r="H50" s="31" t="str">
        <f t="shared" si="1"/>
        <v>جيد</v>
      </c>
      <c r="I50" s="48"/>
      <c r="J50" s="49"/>
    </row>
    <row r="51" spans="1:10" ht="39.9" customHeight="1" x14ac:dyDescent="0.3">
      <c r="A51" s="10"/>
      <c r="B51" s="77" t="s">
        <v>217</v>
      </c>
      <c r="C51" s="78"/>
      <c r="D51" s="78"/>
      <c r="E51" s="9">
        <v>5</v>
      </c>
      <c r="F51" s="26">
        <v>3.75</v>
      </c>
      <c r="G51" s="30">
        <f t="shared" si="0"/>
        <v>0.75</v>
      </c>
      <c r="H51" s="31" t="str">
        <f t="shared" si="1"/>
        <v>جيد</v>
      </c>
      <c r="I51" s="48"/>
      <c r="J51" s="49"/>
    </row>
    <row r="52" spans="1:10" ht="39.9" customHeight="1" x14ac:dyDescent="0.3">
      <c r="A52" s="10"/>
      <c r="B52" s="77" t="s">
        <v>218</v>
      </c>
      <c r="C52" s="78"/>
      <c r="D52" s="78"/>
      <c r="E52" s="9">
        <v>5</v>
      </c>
      <c r="F52" s="26">
        <v>3.75</v>
      </c>
      <c r="G52" s="30">
        <f t="shared" si="0"/>
        <v>0.75</v>
      </c>
      <c r="H52" s="31" t="str">
        <f t="shared" si="1"/>
        <v>جيد</v>
      </c>
      <c r="I52" s="48"/>
      <c r="J52" s="49"/>
    </row>
    <row r="53" spans="1:10" ht="39.9" customHeight="1" x14ac:dyDescent="0.3">
      <c r="A53" s="10"/>
      <c r="B53" s="77" t="s">
        <v>219</v>
      </c>
      <c r="C53" s="78"/>
      <c r="D53" s="78"/>
      <c r="E53" s="9">
        <v>5</v>
      </c>
      <c r="F53" s="26">
        <v>3.75</v>
      </c>
      <c r="G53" s="30">
        <f t="shared" si="0"/>
        <v>0.75</v>
      </c>
      <c r="H53" s="31" t="str">
        <f t="shared" si="1"/>
        <v>جيد</v>
      </c>
      <c r="I53" s="48"/>
      <c r="J53" s="49"/>
    </row>
    <row r="54" spans="1:10" ht="39.9" customHeight="1" thickBot="1" x14ac:dyDescent="0.35">
      <c r="A54" s="10"/>
      <c r="B54" s="79" t="s">
        <v>220</v>
      </c>
      <c r="C54" s="80"/>
      <c r="D54" s="80"/>
      <c r="E54" s="33">
        <v>5</v>
      </c>
      <c r="F54" s="27">
        <v>3.75</v>
      </c>
      <c r="G54" s="34">
        <f t="shared" si="0"/>
        <v>0.75</v>
      </c>
      <c r="H54" s="35" t="str">
        <f t="shared" si="1"/>
        <v>جيد</v>
      </c>
      <c r="I54" s="56"/>
      <c r="J54" s="57"/>
    </row>
    <row r="55" spans="1:10" ht="30" customHeight="1" thickBot="1" x14ac:dyDescent="0.35">
      <c r="A55" s="4"/>
      <c r="B55" s="69" t="s">
        <v>5</v>
      </c>
      <c r="C55" s="70"/>
      <c r="D55" s="70"/>
      <c r="E55" s="29">
        <f>SUM(E8:E54)</f>
        <v>195</v>
      </c>
      <c r="F55" s="29">
        <f>SUM(F8:F54)</f>
        <v>143.5</v>
      </c>
      <c r="G55" s="66"/>
      <c r="H55" s="67"/>
      <c r="I55" s="67"/>
      <c r="J55" s="68"/>
    </row>
    <row r="56" spans="1:10" ht="30" customHeight="1" thickBot="1" x14ac:dyDescent="0.35">
      <c r="A56" s="4"/>
      <c r="B56" s="71" t="s">
        <v>54</v>
      </c>
      <c r="C56" s="72"/>
      <c r="D56" s="72"/>
      <c r="E56" s="44">
        <f>F55/E55/100*100</f>
        <v>0.73589743589743595</v>
      </c>
      <c r="F56" s="44"/>
      <c r="G56" s="44"/>
      <c r="H56" s="44"/>
      <c r="I56" s="44"/>
      <c r="J56" s="45"/>
    </row>
    <row r="57" spans="1:10" ht="30" customHeight="1" thickBot="1" x14ac:dyDescent="0.35">
      <c r="A57" s="4"/>
      <c r="B57" s="71" t="s">
        <v>55</v>
      </c>
      <c r="C57" s="72"/>
      <c r="D57" s="72"/>
      <c r="E57" s="62" t="str">
        <f>_xlfn.IFS(E56&gt;=90%,"ممتاز",E56&gt;=80%,"جيد جداً",E56&gt;=70%,"جيد",E56&gt;=60%,"مقبول",E56&lt;60%,"راسب")</f>
        <v>جيد</v>
      </c>
      <c r="F57" s="62"/>
      <c r="G57" s="62"/>
      <c r="H57" s="62"/>
      <c r="I57" s="62"/>
      <c r="J57" s="63"/>
    </row>
    <row r="58" spans="1:10" ht="42" customHeight="1" x14ac:dyDescent="0.3">
      <c r="B58" s="58" t="s">
        <v>175</v>
      </c>
      <c r="C58" s="58"/>
      <c r="D58" s="58"/>
      <c r="E58" s="64" t="s">
        <v>52</v>
      </c>
      <c r="F58" s="64"/>
      <c r="G58" s="60" t="s">
        <v>142</v>
      </c>
      <c r="H58" s="60"/>
      <c r="I58" s="60"/>
      <c r="J58" s="60"/>
    </row>
    <row r="59" spans="1:10" ht="51" customHeight="1" x14ac:dyDescent="0.3">
      <c r="A59" s="5"/>
      <c r="B59" s="59"/>
      <c r="C59" s="59"/>
      <c r="D59" s="59"/>
      <c r="E59" s="65" t="s">
        <v>53</v>
      </c>
      <c r="F59" s="65"/>
      <c r="G59" s="61"/>
      <c r="H59" s="61"/>
      <c r="I59" s="61"/>
      <c r="J59" s="61"/>
    </row>
  </sheetData>
  <sheetProtection sheet="1" formatCells="0" formatColumns="0" formatRows="0" insertColumns="0" insertRows="0" insertHyperlinks="0" deleteColumns="0" deleteRows="0" selectLockedCells="1" sort="0" autoFilter="0" pivotTables="0"/>
  <mergeCells count="112">
    <mergeCell ref="B8:J8"/>
    <mergeCell ref="B44:D44"/>
    <mergeCell ref="B45:D45"/>
    <mergeCell ref="B46:D46"/>
    <mergeCell ref="B47:D47"/>
    <mergeCell ref="B48:D48"/>
    <mergeCell ref="B49:D49"/>
    <mergeCell ref="B50:D50"/>
    <mergeCell ref="B51:D51"/>
    <mergeCell ref="B36:D36"/>
    <mergeCell ref="B37:D37"/>
    <mergeCell ref="B38:D38"/>
    <mergeCell ref="B39:D39"/>
    <mergeCell ref="B40:D40"/>
    <mergeCell ref="B41:D41"/>
    <mergeCell ref="B42:D42"/>
    <mergeCell ref="B43:D43"/>
    <mergeCell ref="B26:D26"/>
    <mergeCell ref="B27:D27"/>
    <mergeCell ref="B9:D9"/>
    <mergeCell ref="B10:D10"/>
    <mergeCell ref="B11:D11"/>
    <mergeCell ref="B12:D12"/>
    <mergeCell ref="B13:D13"/>
    <mergeCell ref="B15:D15"/>
    <mergeCell ref="B16:D16"/>
    <mergeCell ref="I32:J32"/>
    <mergeCell ref="I9:J9"/>
    <mergeCell ref="B28:D28"/>
    <mergeCell ref="B29:D29"/>
    <mergeCell ref="B30:D30"/>
    <mergeCell ref="B31:D31"/>
    <mergeCell ref="B32:D32"/>
    <mergeCell ref="B17:D17"/>
    <mergeCell ref="B18:D18"/>
    <mergeCell ref="B19:D19"/>
    <mergeCell ref="B20:D20"/>
    <mergeCell ref="B22:D22"/>
    <mergeCell ref="B23:D23"/>
    <mergeCell ref="B24:D24"/>
    <mergeCell ref="B25:D25"/>
    <mergeCell ref="B21:J21"/>
    <mergeCell ref="I33:J33"/>
    <mergeCell ref="I34:J34"/>
    <mergeCell ref="I36:J36"/>
    <mergeCell ref="B55:D55"/>
    <mergeCell ref="B56:D56"/>
    <mergeCell ref="B57:D57"/>
    <mergeCell ref="I11:J11"/>
    <mergeCell ref="I12:J12"/>
    <mergeCell ref="I13:J13"/>
    <mergeCell ref="I14:J14"/>
    <mergeCell ref="I15:J15"/>
    <mergeCell ref="I16:J16"/>
    <mergeCell ref="I17:J17"/>
    <mergeCell ref="I18:J18"/>
    <mergeCell ref="I28:J28"/>
    <mergeCell ref="I29:J29"/>
    <mergeCell ref="I27:J27"/>
    <mergeCell ref="B33:D33"/>
    <mergeCell ref="B34:D34"/>
    <mergeCell ref="B53:D53"/>
    <mergeCell ref="B54:D54"/>
    <mergeCell ref="B35:J35"/>
    <mergeCell ref="B52:D52"/>
    <mergeCell ref="B14:D14"/>
    <mergeCell ref="B58:D59"/>
    <mergeCell ref="G58:J58"/>
    <mergeCell ref="G59:J59"/>
    <mergeCell ref="E57:J57"/>
    <mergeCell ref="I40:J40"/>
    <mergeCell ref="I41:J41"/>
    <mergeCell ref="I42:J42"/>
    <mergeCell ref="I43:J43"/>
    <mergeCell ref="I44:J44"/>
    <mergeCell ref="I49:J49"/>
    <mergeCell ref="I50:J50"/>
    <mergeCell ref="I51:J51"/>
    <mergeCell ref="I52:J52"/>
    <mergeCell ref="I53:J53"/>
    <mergeCell ref="I54:J54"/>
    <mergeCell ref="I45:J45"/>
    <mergeCell ref="I46:J46"/>
    <mergeCell ref="I47:J47"/>
    <mergeCell ref="I48:J48"/>
    <mergeCell ref="E58:F58"/>
    <mergeCell ref="E59:F59"/>
    <mergeCell ref="G55:J55"/>
    <mergeCell ref="B1:J1"/>
    <mergeCell ref="F2:J2"/>
    <mergeCell ref="B5:D6"/>
    <mergeCell ref="C2:D2"/>
    <mergeCell ref="C3:D3"/>
    <mergeCell ref="F3:J3"/>
    <mergeCell ref="E56:J56"/>
    <mergeCell ref="B7:D7"/>
    <mergeCell ref="I38:J38"/>
    <mergeCell ref="I39:J39"/>
    <mergeCell ref="I30:J30"/>
    <mergeCell ref="I31:J31"/>
    <mergeCell ref="E5:H5"/>
    <mergeCell ref="I37:J37"/>
    <mergeCell ref="I5:J6"/>
    <mergeCell ref="I7:J7"/>
    <mergeCell ref="I10:J10"/>
    <mergeCell ref="I19:J19"/>
    <mergeCell ref="I20:J20"/>
    <mergeCell ref="I22:J22"/>
    <mergeCell ref="I23:J23"/>
    <mergeCell ref="I24:J24"/>
    <mergeCell ref="I25:J25"/>
    <mergeCell ref="I26:J26"/>
  </mergeCells>
  <conditionalFormatting sqref="C2:D2">
    <cfRule type="containsText" dxfId="23" priority="18" operator="containsText" text="أدخل الوحدة الخاضعة للتقييم">
      <formula>NOT(ISERROR(SEARCH("أدخل الوحدة الخاضعة للتقييم",C2)))</formula>
    </cfRule>
  </conditionalFormatting>
  <conditionalFormatting sqref="C3:D3">
    <cfRule type="containsText" dxfId="22" priority="17" operator="containsText" text="أدخل أسم قائد الوحدة الخاضعة للتقييم">
      <formula>NOT(ISERROR(SEARCH("أدخل أسم قائد الوحدة الخاضعة للتقييم",C3)))</formula>
    </cfRule>
  </conditionalFormatting>
  <conditionalFormatting sqref="E57">
    <cfRule type="expression" dxfId="21" priority="57">
      <formula>$E57="راسب"</formula>
    </cfRule>
  </conditionalFormatting>
  <conditionalFormatting sqref="E57:J57">
    <cfRule type="expression" dxfId="20" priority="60">
      <formula>$E57="جيد جداً"</formula>
    </cfRule>
    <cfRule type="expression" dxfId="19" priority="59">
      <formula>$E57="جيد"</formula>
    </cfRule>
    <cfRule type="expression" dxfId="18" priority="58">
      <formula>$E57="مقبول"</formula>
    </cfRule>
    <cfRule type="expression" dxfId="17" priority="61">
      <formula>$E57="ممتاز"</formula>
    </cfRule>
  </conditionalFormatting>
  <conditionalFormatting sqref="F9:F20">
    <cfRule type="containsText" dxfId="16" priority="4" operator="containsText" text="أدخل العلامة">
      <formula>NOT(ISERROR(SEARCH("أدخل العلامة",F9)))</formula>
    </cfRule>
  </conditionalFormatting>
  <conditionalFormatting sqref="F22:F34 F36:F54">
    <cfRule type="containsText" dxfId="15" priority="14" operator="containsText" text="أدخل العلامة">
      <formula>NOT(ISERROR(SEARCH("أدخل العلامة",F22)))</formula>
    </cfRule>
  </conditionalFormatting>
  <conditionalFormatting sqref="F2:J2">
    <cfRule type="containsText" dxfId="14" priority="19" operator="containsText" text="أدخل التاريخ">
      <formula>NOT(ISERROR(SEARCH("أدخل التاريخ",F2)))</formula>
    </cfRule>
  </conditionalFormatting>
  <conditionalFormatting sqref="F3:J3">
    <cfRule type="containsText" dxfId="13" priority="16" operator="containsText" text="أدخل أسم المحكم">
      <formula>NOT(ISERROR(SEARCH("أدخل أسم المحكم",F3)))</formula>
    </cfRule>
  </conditionalFormatting>
  <conditionalFormatting sqref="G58:J58">
    <cfRule type="containsText" dxfId="12" priority="15" operator="containsText" text="أدخل اسم المحكم">
      <formula>NOT(ISERROR(SEARCH("أدخل اسم المحكم",G58)))</formula>
    </cfRule>
  </conditionalFormatting>
  <conditionalFormatting sqref="H9:H20">
    <cfRule type="containsText" dxfId="11" priority="10" operator="containsText" text="راسب">
      <formula>NOT(ISERROR(SEARCH("راسب",H9)))</formula>
    </cfRule>
    <cfRule type="containsText" dxfId="10" priority="9" operator="containsText" text="مقبول">
      <formula>NOT(ISERROR(SEARCH("مقبول",H9)))</formula>
    </cfRule>
    <cfRule type="containsText" dxfId="9" priority="8" operator="containsText" text="جيد">
      <formula>NOT(ISERROR(SEARCH("جيد",H9)))</formula>
    </cfRule>
    <cfRule type="containsText" dxfId="8" priority="7" operator="containsText" text="جيد جداً">
      <formula>NOT(ISERROR(SEARCH("جيد جداً",H9)))</formula>
    </cfRule>
    <cfRule type="containsText" dxfId="7" priority="6" operator="containsText" text="ممتاز">
      <formula>NOT(ISERROR(SEARCH("ممتاز",H9)))</formula>
    </cfRule>
    <cfRule type="containsText" dxfId="6" priority="5" operator="containsText" text="أدخل العلامة">
      <formula>NOT(ISERROR(SEARCH("أدخل العلامة",H9)))</formula>
    </cfRule>
  </conditionalFormatting>
  <conditionalFormatting sqref="H22:H34 H36:H54">
    <cfRule type="containsText" dxfId="5" priority="38" operator="containsText" text="أدخل العلامة">
      <formula>NOT(ISERROR(SEARCH("أدخل العلامة",H22)))</formula>
    </cfRule>
    <cfRule type="containsText" dxfId="4" priority="39" operator="containsText" text="ممتاز">
      <formula>NOT(ISERROR(SEARCH("ممتاز",H22)))</formula>
    </cfRule>
    <cfRule type="containsText" dxfId="3" priority="40" operator="containsText" text="جيد جداً">
      <formula>NOT(ISERROR(SEARCH("جيد جداً",H22)))</formula>
    </cfRule>
    <cfRule type="containsText" dxfId="2" priority="41" operator="containsText" text="جيد">
      <formula>NOT(ISERROR(SEARCH("جيد",H22)))</formula>
    </cfRule>
    <cfRule type="containsText" dxfId="1" priority="42" operator="containsText" text="مقبول">
      <formula>NOT(ISERROR(SEARCH("مقبول",H22)))</formula>
    </cfRule>
    <cfRule type="containsText" dxfId="0" priority="43" operator="containsText" text="راسب">
      <formula>NOT(ISERROR(SEARCH("راسب",H22)))</formula>
    </cfRule>
  </conditionalFormatting>
  <printOptions horizontalCentered="1"/>
  <pageMargins left="0.70866141732283472" right="0.70866141732283472" top="0.74803149606299213" bottom="0.74803149606299213" header="0.31496062992125984" footer="0.31496062992125984"/>
  <pageSetup paperSize="9" scale="74" fitToHeight="0" orientation="portrait" r:id="rId1"/>
  <headerFooter>
    <oddHeader>&amp;C&amp;"-,Bold"&amp;12&amp;Uسري للغاية</oddHeader>
    <oddFooter>&amp;C&amp;"-,Bold"&amp;P&amp;"-,Regular"
&amp;"-,Bold"&amp;Uسري للغاية</oddFooter>
  </headerFooter>
  <drawing r:id="rId2"/>
  <extLst>
    <ext xmlns:x14="http://schemas.microsoft.com/office/spreadsheetml/2009/9/main" uri="{CCE6A557-97BC-4b89-ADB6-D9C93CAAB3DF}">
      <x14:dataValidations xmlns:xm="http://schemas.microsoft.com/office/excel/2006/main" count="5">
        <x14:dataValidation type="list" allowBlank="1" showInputMessage="1" showErrorMessage="1" xr:uid="{39AD22F4-AC0E-4009-A1CA-39040C022149}">
          <x14:formula1>
            <xm:f>'بيانات التقييم'!$A$38:$A$106</xm:f>
          </x14:formula1>
          <xm:sqref>F2:J2</xm:sqref>
        </x14:dataValidation>
        <x14:dataValidation type="list" allowBlank="1" showInputMessage="1" showErrorMessage="1" xr:uid="{A272D648-FCB4-4132-BCDE-E6BADA2BBA96}">
          <x14:formula1>
            <xm:f>'بيانات التقييم'!$A$1:$A$34</xm:f>
          </x14:formula1>
          <xm:sqref>C2:D2</xm:sqref>
        </x14:dataValidation>
        <x14:dataValidation type="list" allowBlank="1" showInputMessage="1" showErrorMessage="1" xr:uid="{B02DBD13-A8C4-4819-9425-63F70757FE96}">
          <x14:formula1>
            <xm:f>'بيانات التقييم'!$A$111:$A$133</xm:f>
          </x14:formula1>
          <xm:sqref>F49:F54 F36:F47 F26:F34 F23:F24 F11:F20</xm:sqref>
        </x14:dataValidation>
        <x14:dataValidation type="list" allowBlank="1" showInputMessage="1" showErrorMessage="1" xr:uid="{AE50457C-7424-4A4C-907B-8DC6AA09E7A3}">
          <x14:formula1>
            <xm:f>'بيانات التقييم'!$A$198:$A$285</xm:f>
          </x14:formula1>
          <xm:sqref>G58:J58 F3:J3</xm:sqref>
        </x14:dataValidation>
        <x14:dataValidation type="list" allowBlank="1" showInputMessage="1" showErrorMessage="1" xr:uid="{74512448-CAED-4995-932E-CDA01DC3A5DC}">
          <x14:formula1>
            <xm:f>'بيانات التقييم'!$C$1:$C$28</xm:f>
          </x14:formula1>
          <xm:sqref>C3:D3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0E097-B5B4-4A62-8BA3-2420E658D743}">
  <sheetPr codeName="Sheet3"/>
  <dimension ref="A1:I337"/>
  <sheetViews>
    <sheetView rightToLeft="1" topLeftCell="A262" workbookViewId="0">
      <selection activeCell="A199" sqref="A199:A285"/>
    </sheetView>
  </sheetViews>
  <sheetFormatPr defaultRowHeight="20.100000000000001" customHeight="1" x14ac:dyDescent="0.3"/>
  <cols>
    <col min="1" max="1" width="42.5546875" style="1" customWidth="1"/>
    <col min="2" max="2" width="24.88671875" style="1" customWidth="1"/>
    <col min="3" max="3" width="59.88671875" style="1" customWidth="1"/>
    <col min="4" max="9" width="9" style="1"/>
  </cols>
  <sheetData>
    <row r="1" spans="1:3" ht="20.100000000000001" customHeight="1" thickBot="1" x14ac:dyDescent="0.35">
      <c r="A1" s="2" t="s">
        <v>57</v>
      </c>
      <c r="C1" s="2" t="s">
        <v>60</v>
      </c>
    </row>
    <row r="2" spans="1:3" ht="20.100000000000001" customHeight="1" thickBot="1" x14ac:dyDescent="0.35">
      <c r="A2" s="2" t="s">
        <v>35</v>
      </c>
      <c r="C2" s="19" t="s">
        <v>62</v>
      </c>
    </row>
    <row r="3" spans="1:3" ht="20.100000000000001" customHeight="1" thickBot="1" x14ac:dyDescent="0.35">
      <c r="A3" s="2" t="s">
        <v>26</v>
      </c>
      <c r="C3" s="19" t="s">
        <v>63</v>
      </c>
    </row>
    <row r="4" spans="1:3" ht="20.100000000000001" customHeight="1" thickBot="1" x14ac:dyDescent="0.35">
      <c r="A4" s="2" t="s">
        <v>36</v>
      </c>
      <c r="C4" s="19" t="s">
        <v>64</v>
      </c>
    </row>
    <row r="5" spans="1:3" ht="20.100000000000001" customHeight="1" thickBot="1" x14ac:dyDescent="0.35">
      <c r="A5" s="2" t="s">
        <v>37</v>
      </c>
      <c r="C5" s="19" t="s">
        <v>65</v>
      </c>
    </row>
    <row r="6" spans="1:3" ht="20.100000000000001" customHeight="1" thickBot="1" x14ac:dyDescent="0.35">
      <c r="A6" s="2" t="s">
        <v>38</v>
      </c>
      <c r="C6" s="19" t="s">
        <v>66</v>
      </c>
    </row>
    <row r="7" spans="1:3" ht="20.100000000000001" customHeight="1" thickBot="1" x14ac:dyDescent="0.35">
      <c r="A7" s="2" t="s">
        <v>39</v>
      </c>
      <c r="C7" s="19" t="s">
        <v>67</v>
      </c>
    </row>
    <row r="8" spans="1:3" ht="20.100000000000001" customHeight="1" thickBot="1" x14ac:dyDescent="0.35">
      <c r="A8" s="2" t="s">
        <v>40</v>
      </c>
      <c r="C8" s="19" t="s">
        <v>68</v>
      </c>
    </row>
    <row r="9" spans="1:3" ht="20.100000000000001" customHeight="1" thickBot="1" x14ac:dyDescent="0.35">
      <c r="A9" s="2" t="s">
        <v>41</v>
      </c>
      <c r="C9" s="19" t="s">
        <v>69</v>
      </c>
    </row>
    <row r="10" spans="1:3" ht="20.100000000000001" customHeight="1" thickBot="1" x14ac:dyDescent="0.35">
      <c r="A10" s="2" t="s">
        <v>42</v>
      </c>
      <c r="C10" s="19" t="s">
        <v>70</v>
      </c>
    </row>
    <row r="11" spans="1:3" ht="20.100000000000001" customHeight="1" thickBot="1" x14ac:dyDescent="0.35">
      <c r="A11" s="2" t="s">
        <v>43</v>
      </c>
      <c r="C11" s="19" t="s">
        <v>71</v>
      </c>
    </row>
    <row r="12" spans="1:3" ht="20.100000000000001" customHeight="1" thickBot="1" x14ac:dyDescent="0.35">
      <c r="A12" s="2" t="s">
        <v>44</v>
      </c>
      <c r="C12" s="19" t="s">
        <v>72</v>
      </c>
    </row>
    <row r="13" spans="1:3" ht="20.100000000000001" customHeight="1" thickBot="1" x14ac:dyDescent="0.35">
      <c r="A13" s="2" t="s">
        <v>45</v>
      </c>
      <c r="C13" s="19" t="s">
        <v>73</v>
      </c>
    </row>
    <row r="14" spans="1:3" ht="20.100000000000001" customHeight="1" thickBot="1" x14ac:dyDescent="0.35">
      <c r="A14" s="2" t="s">
        <v>46</v>
      </c>
      <c r="C14" s="19" t="s">
        <v>74</v>
      </c>
    </row>
    <row r="15" spans="1:3" ht="20.100000000000001" customHeight="1" thickBot="1" x14ac:dyDescent="0.35">
      <c r="A15" s="2" t="s">
        <v>47</v>
      </c>
      <c r="C15" s="19" t="s">
        <v>75</v>
      </c>
    </row>
    <row r="16" spans="1:3" ht="20.100000000000001" customHeight="1" thickBot="1" x14ac:dyDescent="0.35">
      <c r="A16" s="2" t="s">
        <v>10</v>
      </c>
      <c r="C16" s="19" t="s">
        <v>76</v>
      </c>
    </row>
    <row r="17" spans="1:3" ht="20.100000000000001" customHeight="1" thickBot="1" x14ac:dyDescent="0.35">
      <c r="A17" s="2" t="s">
        <v>27</v>
      </c>
      <c r="C17" s="19" t="s">
        <v>77</v>
      </c>
    </row>
    <row r="18" spans="1:3" ht="20.100000000000001" customHeight="1" thickBot="1" x14ac:dyDescent="0.35">
      <c r="A18" s="2" t="s">
        <v>48</v>
      </c>
      <c r="C18" s="19" t="s">
        <v>78</v>
      </c>
    </row>
    <row r="19" spans="1:3" ht="20.100000000000001" customHeight="1" thickBot="1" x14ac:dyDescent="0.35">
      <c r="A19" s="2" t="s">
        <v>49</v>
      </c>
      <c r="C19" s="19" t="s">
        <v>79</v>
      </c>
    </row>
    <row r="20" spans="1:3" ht="20.100000000000001" customHeight="1" thickBot="1" x14ac:dyDescent="0.35">
      <c r="A20" s="2" t="s">
        <v>50</v>
      </c>
      <c r="C20" s="19" t="s">
        <v>80</v>
      </c>
    </row>
    <row r="21" spans="1:3" ht="20.100000000000001" customHeight="1" thickBot="1" x14ac:dyDescent="0.35">
      <c r="A21" s="2" t="s">
        <v>51</v>
      </c>
      <c r="C21" s="19" t="s">
        <v>81</v>
      </c>
    </row>
    <row r="22" spans="1:3" ht="20.100000000000001" customHeight="1" thickBot="1" x14ac:dyDescent="0.35">
      <c r="A22" s="2" t="s">
        <v>11</v>
      </c>
      <c r="C22" s="19" t="s">
        <v>82</v>
      </c>
    </row>
    <row r="23" spans="1:3" ht="20.100000000000001" customHeight="1" thickBot="1" x14ac:dyDescent="0.35">
      <c r="A23" s="2" t="s">
        <v>12</v>
      </c>
      <c r="C23" s="19" t="s">
        <v>83</v>
      </c>
    </row>
    <row r="24" spans="1:3" ht="20.100000000000001" customHeight="1" thickBot="1" x14ac:dyDescent="0.35">
      <c r="A24" s="2" t="s">
        <v>15</v>
      </c>
      <c r="C24" s="19" t="s">
        <v>84</v>
      </c>
    </row>
    <row r="25" spans="1:3" ht="20.100000000000001" customHeight="1" thickBot="1" x14ac:dyDescent="0.35">
      <c r="A25" s="2" t="s">
        <v>28</v>
      </c>
      <c r="C25" s="19" t="s">
        <v>85</v>
      </c>
    </row>
    <row r="26" spans="1:3" ht="20.100000000000001" customHeight="1" thickBot="1" x14ac:dyDescent="0.35">
      <c r="A26" s="2" t="s">
        <v>29</v>
      </c>
      <c r="C26" s="19" t="s">
        <v>86</v>
      </c>
    </row>
    <row r="27" spans="1:3" ht="20.100000000000001" customHeight="1" thickBot="1" x14ac:dyDescent="0.35">
      <c r="A27" s="2" t="s">
        <v>13</v>
      </c>
      <c r="C27" s="19" t="s">
        <v>87</v>
      </c>
    </row>
    <row r="28" spans="1:3" ht="20.100000000000001" customHeight="1" thickBot="1" x14ac:dyDescent="0.35">
      <c r="A28" s="2" t="s">
        <v>30</v>
      </c>
      <c r="C28" s="19" t="s">
        <v>88</v>
      </c>
    </row>
    <row r="29" spans="1:3" ht="20.100000000000001" customHeight="1" thickBot="1" x14ac:dyDescent="0.35">
      <c r="A29" s="2" t="s">
        <v>31</v>
      </c>
      <c r="C29" s="2"/>
    </row>
    <row r="30" spans="1:3" ht="20.100000000000001" customHeight="1" thickBot="1" x14ac:dyDescent="0.35">
      <c r="A30" s="2" t="s">
        <v>32</v>
      </c>
      <c r="C30" s="2"/>
    </row>
    <row r="31" spans="1:3" ht="20.100000000000001" customHeight="1" thickBot="1" x14ac:dyDescent="0.35">
      <c r="A31" s="2" t="s">
        <v>33</v>
      </c>
      <c r="C31" s="2"/>
    </row>
    <row r="32" spans="1:3" ht="20.100000000000001" customHeight="1" thickBot="1" x14ac:dyDescent="0.35">
      <c r="A32" s="2" t="s">
        <v>16</v>
      </c>
      <c r="C32" s="2"/>
    </row>
    <row r="33" spans="1:9" ht="20.100000000000001" customHeight="1" thickBot="1" x14ac:dyDescent="0.35">
      <c r="A33" s="2" t="s">
        <v>14</v>
      </c>
      <c r="C33" s="2"/>
    </row>
    <row r="34" spans="1:9" ht="20.100000000000001" customHeight="1" thickBot="1" x14ac:dyDescent="0.35">
      <c r="A34" s="2" t="s">
        <v>34</v>
      </c>
      <c r="C34" s="2"/>
    </row>
    <row r="35" spans="1:9" ht="20.100000000000001" customHeight="1" x14ac:dyDescent="0.3">
      <c r="A35" s="18"/>
    </row>
    <row r="36" spans="1:9" s="17" customFormat="1" ht="20.100000000000001" customHeight="1" x14ac:dyDescent="0.3">
      <c r="A36" s="15"/>
      <c r="B36" s="16"/>
      <c r="C36" s="16"/>
      <c r="D36" s="16"/>
      <c r="E36" s="16"/>
      <c r="F36" s="16"/>
      <c r="G36" s="16"/>
      <c r="H36" s="16"/>
      <c r="I36" s="16"/>
    </row>
    <row r="37" spans="1:9" ht="20.100000000000001" customHeight="1" thickBot="1" x14ac:dyDescent="0.35"/>
    <row r="38" spans="1:9" ht="20.100000000000001" customHeight="1" thickBot="1" x14ac:dyDescent="0.35">
      <c r="A38" s="2" t="s">
        <v>56</v>
      </c>
    </row>
    <row r="39" spans="1:9" ht="20.100000000000001" customHeight="1" thickBot="1" x14ac:dyDescent="0.35">
      <c r="A39" s="13">
        <v>45901</v>
      </c>
    </row>
    <row r="40" spans="1:9" ht="20.100000000000001" customHeight="1" thickBot="1" x14ac:dyDescent="0.35">
      <c r="A40" s="13">
        <v>45902</v>
      </c>
    </row>
    <row r="41" spans="1:9" ht="20.100000000000001" customHeight="1" thickBot="1" x14ac:dyDescent="0.35">
      <c r="A41" s="13">
        <v>45903</v>
      </c>
    </row>
    <row r="42" spans="1:9" ht="20.100000000000001" customHeight="1" thickBot="1" x14ac:dyDescent="0.35">
      <c r="A42" s="13">
        <v>45904</v>
      </c>
    </row>
    <row r="43" spans="1:9" ht="20.100000000000001" customHeight="1" thickBot="1" x14ac:dyDescent="0.35">
      <c r="A43" s="13">
        <v>45905</v>
      </c>
    </row>
    <row r="44" spans="1:9" ht="20.100000000000001" customHeight="1" thickBot="1" x14ac:dyDescent="0.35">
      <c r="A44" s="13">
        <v>45906</v>
      </c>
    </row>
    <row r="45" spans="1:9" ht="20.100000000000001" customHeight="1" thickBot="1" x14ac:dyDescent="0.35">
      <c r="A45" s="13">
        <v>45907</v>
      </c>
    </row>
    <row r="46" spans="1:9" ht="20.100000000000001" customHeight="1" thickBot="1" x14ac:dyDescent="0.35">
      <c r="A46" s="13">
        <v>45908</v>
      </c>
    </row>
    <row r="47" spans="1:9" ht="20.100000000000001" customHeight="1" thickBot="1" x14ac:dyDescent="0.35">
      <c r="A47" s="13">
        <v>45909</v>
      </c>
    </row>
    <row r="48" spans="1:9" ht="20.100000000000001" customHeight="1" thickBot="1" x14ac:dyDescent="0.35">
      <c r="A48" s="13">
        <v>45910</v>
      </c>
    </row>
    <row r="49" spans="1:1" ht="20.100000000000001" customHeight="1" thickBot="1" x14ac:dyDescent="0.35">
      <c r="A49" s="13">
        <v>45911</v>
      </c>
    </row>
    <row r="50" spans="1:1" ht="20.100000000000001" customHeight="1" thickBot="1" x14ac:dyDescent="0.35">
      <c r="A50" s="13">
        <v>45912</v>
      </c>
    </row>
    <row r="51" spans="1:1" ht="20.100000000000001" customHeight="1" thickBot="1" x14ac:dyDescent="0.35">
      <c r="A51" s="13">
        <v>45913</v>
      </c>
    </row>
    <row r="52" spans="1:1" ht="20.100000000000001" customHeight="1" thickBot="1" x14ac:dyDescent="0.35">
      <c r="A52" s="13">
        <v>45914</v>
      </c>
    </row>
    <row r="53" spans="1:1" ht="20.100000000000001" customHeight="1" thickBot="1" x14ac:dyDescent="0.35">
      <c r="A53" s="13">
        <v>45915</v>
      </c>
    </row>
    <row r="54" spans="1:1" ht="20.100000000000001" customHeight="1" thickBot="1" x14ac:dyDescent="0.35">
      <c r="A54" s="13">
        <v>45916</v>
      </c>
    </row>
    <row r="55" spans="1:1" ht="20.100000000000001" customHeight="1" thickBot="1" x14ac:dyDescent="0.35">
      <c r="A55" s="13">
        <v>45917</v>
      </c>
    </row>
    <row r="56" spans="1:1" ht="20.100000000000001" customHeight="1" thickBot="1" x14ac:dyDescent="0.35">
      <c r="A56" s="13">
        <v>45918</v>
      </c>
    </row>
    <row r="57" spans="1:1" ht="20.100000000000001" customHeight="1" thickBot="1" x14ac:dyDescent="0.35">
      <c r="A57" s="13">
        <v>45919</v>
      </c>
    </row>
    <row r="58" spans="1:1" ht="20.100000000000001" customHeight="1" thickBot="1" x14ac:dyDescent="0.35">
      <c r="A58" s="13">
        <v>45920</v>
      </c>
    </row>
    <row r="59" spans="1:1" ht="20.100000000000001" customHeight="1" thickBot="1" x14ac:dyDescent="0.35">
      <c r="A59" s="13">
        <v>45921</v>
      </c>
    </row>
    <row r="60" spans="1:1" ht="20.100000000000001" customHeight="1" thickBot="1" x14ac:dyDescent="0.35">
      <c r="A60" s="13">
        <v>45922</v>
      </c>
    </row>
    <row r="61" spans="1:1" ht="20.100000000000001" customHeight="1" thickBot="1" x14ac:dyDescent="0.35">
      <c r="A61" s="13">
        <v>45923</v>
      </c>
    </row>
    <row r="62" spans="1:1" ht="20.100000000000001" customHeight="1" thickBot="1" x14ac:dyDescent="0.35">
      <c r="A62" s="13">
        <v>45924</v>
      </c>
    </row>
    <row r="63" spans="1:1" ht="20.100000000000001" customHeight="1" thickBot="1" x14ac:dyDescent="0.35">
      <c r="A63" s="13">
        <v>45925</v>
      </c>
    </row>
    <row r="64" spans="1:1" ht="20.100000000000001" customHeight="1" thickBot="1" x14ac:dyDescent="0.35">
      <c r="A64" s="13">
        <v>45926</v>
      </c>
    </row>
    <row r="65" spans="1:1" ht="20.100000000000001" customHeight="1" thickBot="1" x14ac:dyDescent="0.35">
      <c r="A65" s="13">
        <v>45927</v>
      </c>
    </row>
    <row r="66" spans="1:1" ht="20.100000000000001" customHeight="1" thickBot="1" x14ac:dyDescent="0.35">
      <c r="A66" s="13">
        <v>45928</v>
      </c>
    </row>
    <row r="67" spans="1:1" ht="20.100000000000001" customHeight="1" thickBot="1" x14ac:dyDescent="0.35">
      <c r="A67" s="13">
        <v>45929</v>
      </c>
    </row>
    <row r="68" spans="1:1" ht="20.100000000000001" customHeight="1" thickBot="1" x14ac:dyDescent="0.35">
      <c r="A68" s="13">
        <v>45930</v>
      </c>
    </row>
    <row r="69" spans="1:1" ht="20.100000000000001" customHeight="1" thickBot="1" x14ac:dyDescent="0.35">
      <c r="A69" s="13">
        <v>45931</v>
      </c>
    </row>
    <row r="70" spans="1:1" ht="20.100000000000001" customHeight="1" thickBot="1" x14ac:dyDescent="0.35">
      <c r="A70" s="13">
        <v>45932</v>
      </c>
    </row>
    <row r="71" spans="1:1" ht="20.100000000000001" customHeight="1" thickBot="1" x14ac:dyDescent="0.35">
      <c r="A71" s="13">
        <v>45933</v>
      </c>
    </row>
    <row r="72" spans="1:1" ht="20.100000000000001" customHeight="1" thickBot="1" x14ac:dyDescent="0.35">
      <c r="A72" s="13">
        <v>45934</v>
      </c>
    </row>
    <row r="73" spans="1:1" ht="20.100000000000001" customHeight="1" thickBot="1" x14ac:dyDescent="0.35">
      <c r="A73" s="13">
        <v>45935</v>
      </c>
    </row>
    <row r="74" spans="1:1" ht="20.100000000000001" customHeight="1" thickBot="1" x14ac:dyDescent="0.35">
      <c r="A74" s="13">
        <v>45936</v>
      </c>
    </row>
    <row r="75" spans="1:1" ht="20.100000000000001" customHeight="1" thickBot="1" x14ac:dyDescent="0.35">
      <c r="A75" s="13">
        <v>45937</v>
      </c>
    </row>
    <row r="76" spans="1:1" ht="20.100000000000001" customHeight="1" thickBot="1" x14ac:dyDescent="0.35">
      <c r="A76" s="13">
        <v>45938</v>
      </c>
    </row>
    <row r="77" spans="1:1" ht="20.100000000000001" customHeight="1" thickBot="1" x14ac:dyDescent="0.35">
      <c r="A77" s="13">
        <v>45939</v>
      </c>
    </row>
    <row r="78" spans="1:1" ht="20.100000000000001" customHeight="1" thickBot="1" x14ac:dyDescent="0.35">
      <c r="A78" s="13">
        <v>45940</v>
      </c>
    </row>
    <row r="79" spans="1:1" ht="20.100000000000001" customHeight="1" thickBot="1" x14ac:dyDescent="0.35">
      <c r="A79" s="13">
        <v>45941</v>
      </c>
    </row>
    <row r="80" spans="1:1" ht="20.100000000000001" customHeight="1" thickBot="1" x14ac:dyDescent="0.35">
      <c r="A80" s="13">
        <v>45942</v>
      </c>
    </row>
    <row r="81" spans="1:1" ht="20.100000000000001" customHeight="1" thickBot="1" x14ac:dyDescent="0.35">
      <c r="A81" s="13">
        <v>45943</v>
      </c>
    </row>
    <row r="82" spans="1:1" ht="20.100000000000001" customHeight="1" thickBot="1" x14ac:dyDescent="0.35">
      <c r="A82" s="13">
        <v>45944</v>
      </c>
    </row>
    <row r="83" spans="1:1" ht="20.100000000000001" customHeight="1" thickBot="1" x14ac:dyDescent="0.35">
      <c r="A83" s="13">
        <v>45945</v>
      </c>
    </row>
    <row r="84" spans="1:1" ht="20.100000000000001" customHeight="1" thickBot="1" x14ac:dyDescent="0.35">
      <c r="A84" s="13">
        <v>45946</v>
      </c>
    </row>
    <row r="85" spans="1:1" ht="20.100000000000001" customHeight="1" thickBot="1" x14ac:dyDescent="0.35">
      <c r="A85" s="13">
        <v>45947</v>
      </c>
    </row>
    <row r="86" spans="1:1" ht="20.100000000000001" customHeight="1" thickBot="1" x14ac:dyDescent="0.35">
      <c r="A86" s="13">
        <v>45948</v>
      </c>
    </row>
    <row r="87" spans="1:1" ht="20.100000000000001" customHeight="1" thickBot="1" x14ac:dyDescent="0.35">
      <c r="A87" s="13">
        <v>45949</v>
      </c>
    </row>
    <row r="88" spans="1:1" ht="20.100000000000001" customHeight="1" thickBot="1" x14ac:dyDescent="0.35">
      <c r="A88" s="13">
        <v>45950</v>
      </c>
    </row>
    <row r="89" spans="1:1" ht="20.100000000000001" customHeight="1" thickBot="1" x14ac:dyDescent="0.35">
      <c r="A89" s="13">
        <v>45951</v>
      </c>
    </row>
    <row r="90" spans="1:1" ht="20.100000000000001" customHeight="1" thickBot="1" x14ac:dyDescent="0.35">
      <c r="A90" s="13">
        <v>45952</v>
      </c>
    </row>
    <row r="91" spans="1:1" ht="20.100000000000001" customHeight="1" thickBot="1" x14ac:dyDescent="0.35">
      <c r="A91" s="13">
        <v>45953</v>
      </c>
    </row>
    <row r="92" spans="1:1" ht="20.100000000000001" customHeight="1" thickBot="1" x14ac:dyDescent="0.35">
      <c r="A92" s="13">
        <v>45954</v>
      </c>
    </row>
    <row r="93" spans="1:1" ht="20.100000000000001" customHeight="1" thickBot="1" x14ac:dyDescent="0.35">
      <c r="A93" s="13">
        <v>45955</v>
      </c>
    </row>
    <row r="94" spans="1:1" ht="20.100000000000001" customHeight="1" thickBot="1" x14ac:dyDescent="0.35">
      <c r="A94" s="13">
        <v>45956</v>
      </c>
    </row>
    <row r="95" spans="1:1" ht="20.100000000000001" customHeight="1" thickBot="1" x14ac:dyDescent="0.35">
      <c r="A95" s="13">
        <v>45957</v>
      </c>
    </row>
    <row r="96" spans="1:1" ht="20.100000000000001" customHeight="1" thickBot="1" x14ac:dyDescent="0.35">
      <c r="A96" s="13">
        <v>45958</v>
      </c>
    </row>
    <row r="97" spans="1:9" ht="20.100000000000001" customHeight="1" thickBot="1" x14ac:dyDescent="0.35">
      <c r="A97" s="13">
        <v>45959</v>
      </c>
    </row>
    <row r="98" spans="1:9" ht="20.100000000000001" customHeight="1" thickBot="1" x14ac:dyDescent="0.35">
      <c r="A98" s="13">
        <v>45960</v>
      </c>
    </row>
    <row r="99" spans="1:9" ht="20.100000000000001" customHeight="1" thickBot="1" x14ac:dyDescent="0.35">
      <c r="A99" s="13">
        <v>45961</v>
      </c>
    </row>
    <row r="100" spans="1:9" ht="20.100000000000001" customHeight="1" thickBot="1" x14ac:dyDescent="0.35">
      <c r="A100" s="13">
        <v>45962</v>
      </c>
    </row>
    <row r="101" spans="1:9" ht="20.100000000000001" customHeight="1" thickBot="1" x14ac:dyDescent="0.35">
      <c r="A101" s="13">
        <v>45963</v>
      </c>
    </row>
    <row r="102" spans="1:9" ht="20.100000000000001" customHeight="1" thickBot="1" x14ac:dyDescent="0.35">
      <c r="A102" s="13">
        <v>45964</v>
      </c>
    </row>
    <row r="103" spans="1:9" ht="20.100000000000001" customHeight="1" thickBot="1" x14ac:dyDescent="0.35">
      <c r="A103" s="13">
        <v>45965</v>
      </c>
    </row>
    <row r="104" spans="1:9" ht="20.100000000000001" customHeight="1" thickBot="1" x14ac:dyDescent="0.35">
      <c r="A104" s="13">
        <v>45966</v>
      </c>
    </row>
    <row r="105" spans="1:9" ht="20.100000000000001" customHeight="1" thickBot="1" x14ac:dyDescent="0.35">
      <c r="A105" s="13">
        <v>45967</v>
      </c>
    </row>
    <row r="106" spans="1:9" ht="20.100000000000001" customHeight="1" thickBot="1" x14ac:dyDescent="0.35">
      <c r="A106" s="13">
        <v>45968</v>
      </c>
    </row>
    <row r="107" spans="1:9" ht="20.100000000000001" customHeight="1" x14ac:dyDescent="0.3">
      <c r="A107" s="14"/>
    </row>
    <row r="108" spans="1:9" ht="20.100000000000001" customHeight="1" x14ac:dyDescent="0.3">
      <c r="A108" s="14"/>
    </row>
    <row r="109" spans="1:9" s="17" customFormat="1" ht="20.100000000000001" customHeight="1" x14ac:dyDescent="0.3">
      <c r="A109" s="15"/>
      <c r="B109" s="16"/>
      <c r="C109" s="16"/>
      <c r="D109" s="16"/>
      <c r="E109" s="16"/>
      <c r="F109" s="16"/>
      <c r="G109" s="16"/>
      <c r="H109" s="16"/>
      <c r="I109" s="16"/>
    </row>
    <row r="110" spans="1:9" ht="20.100000000000001" customHeight="1" thickBot="1" x14ac:dyDescent="0.35"/>
    <row r="111" spans="1:9" ht="20.100000000000001" customHeight="1" thickBot="1" x14ac:dyDescent="0.35">
      <c r="A111" s="2" t="s">
        <v>61</v>
      </c>
    </row>
    <row r="112" spans="1:9" ht="20.100000000000001" customHeight="1" thickBot="1" x14ac:dyDescent="0.35">
      <c r="A112" s="2" t="s">
        <v>17</v>
      </c>
    </row>
    <row r="113" spans="1:1" ht="20.100000000000001" customHeight="1" thickBot="1" x14ac:dyDescent="0.35">
      <c r="A113" s="2">
        <v>0</v>
      </c>
    </row>
    <row r="114" spans="1:1" ht="20.100000000000001" customHeight="1" thickBot="1" x14ac:dyDescent="0.35">
      <c r="A114" s="2">
        <v>0.25</v>
      </c>
    </row>
    <row r="115" spans="1:1" ht="20.100000000000001" customHeight="1" thickBot="1" x14ac:dyDescent="0.35">
      <c r="A115" s="2">
        <v>0.5</v>
      </c>
    </row>
    <row r="116" spans="1:1" ht="20.100000000000001" customHeight="1" thickBot="1" x14ac:dyDescent="0.35">
      <c r="A116" s="2">
        <v>0.75</v>
      </c>
    </row>
    <row r="117" spans="1:1" ht="20.100000000000001" customHeight="1" thickBot="1" x14ac:dyDescent="0.35">
      <c r="A117" s="2">
        <v>1</v>
      </c>
    </row>
    <row r="118" spans="1:1" ht="20.100000000000001" customHeight="1" thickBot="1" x14ac:dyDescent="0.35">
      <c r="A118" s="2">
        <v>1.25</v>
      </c>
    </row>
    <row r="119" spans="1:1" ht="20.100000000000001" customHeight="1" thickBot="1" x14ac:dyDescent="0.35">
      <c r="A119" s="2">
        <v>1.5</v>
      </c>
    </row>
    <row r="120" spans="1:1" ht="20.100000000000001" customHeight="1" thickBot="1" x14ac:dyDescent="0.35">
      <c r="A120" s="2">
        <v>1.75</v>
      </c>
    </row>
    <row r="121" spans="1:1" ht="20.100000000000001" customHeight="1" thickBot="1" x14ac:dyDescent="0.35">
      <c r="A121" s="2">
        <v>2</v>
      </c>
    </row>
    <row r="122" spans="1:1" ht="20.100000000000001" customHeight="1" thickBot="1" x14ac:dyDescent="0.35">
      <c r="A122" s="2">
        <v>2.25</v>
      </c>
    </row>
    <row r="123" spans="1:1" ht="20.100000000000001" customHeight="1" thickBot="1" x14ac:dyDescent="0.35">
      <c r="A123" s="2">
        <v>2.5</v>
      </c>
    </row>
    <row r="124" spans="1:1" ht="20.100000000000001" customHeight="1" thickBot="1" x14ac:dyDescent="0.35">
      <c r="A124" s="2">
        <v>2.75</v>
      </c>
    </row>
    <row r="125" spans="1:1" ht="20.100000000000001" customHeight="1" thickBot="1" x14ac:dyDescent="0.35">
      <c r="A125" s="2">
        <v>3</v>
      </c>
    </row>
    <row r="126" spans="1:1" ht="20.100000000000001" customHeight="1" thickBot="1" x14ac:dyDescent="0.35">
      <c r="A126" s="2">
        <v>3.25</v>
      </c>
    </row>
    <row r="127" spans="1:1" ht="20.100000000000001" customHeight="1" thickBot="1" x14ac:dyDescent="0.35">
      <c r="A127" s="2">
        <v>3.5</v>
      </c>
    </row>
    <row r="128" spans="1:1" ht="20.100000000000001" customHeight="1" thickBot="1" x14ac:dyDescent="0.35">
      <c r="A128" s="2">
        <v>3.75</v>
      </c>
    </row>
    <row r="129" spans="1:1" ht="20.100000000000001" customHeight="1" thickBot="1" x14ac:dyDescent="0.35">
      <c r="A129" s="2">
        <v>4</v>
      </c>
    </row>
    <row r="130" spans="1:1" ht="20.100000000000001" customHeight="1" thickBot="1" x14ac:dyDescent="0.35">
      <c r="A130" s="2">
        <v>4.25</v>
      </c>
    </row>
    <row r="131" spans="1:1" ht="20.100000000000001" customHeight="1" thickBot="1" x14ac:dyDescent="0.35">
      <c r="A131" s="2">
        <v>4.5</v>
      </c>
    </row>
    <row r="132" spans="1:1" ht="20.100000000000001" customHeight="1" thickBot="1" x14ac:dyDescent="0.35">
      <c r="A132" s="2">
        <v>4.75</v>
      </c>
    </row>
    <row r="133" spans="1:1" ht="20.100000000000001" customHeight="1" thickBot="1" x14ac:dyDescent="0.35">
      <c r="A133" s="2">
        <v>5</v>
      </c>
    </row>
    <row r="134" spans="1:1" ht="20.100000000000001" customHeight="1" thickBot="1" x14ac:dyDescent="0.35">
      <c r="A134" s="2">
        <v>5.25</v>
      </c>
    </row>
    <row r="135" spans="1:1" ht="20.100000000000001" customHeight="1" thickBot="1" x14ac:dyDescent="0.35">
      <c r="A135" s="2">
        <v>5.5</v>
      </c>
    </row>
    <row r="136" spans="1:1" ht="20.100000000000001" customHeight="1" thickBot="1" x14ac:dyDescent="0.35">
      <c r="A136" s="2">
        <v>5.75</v>
      </c>
    </row>
    <row r="137" spans="1:1" ht="20.100000000000001" customHeight="1" thickBot="1" x14ac:dyDescent="0.35">
      <c r="A137" s="2">
        <v>6</v>
      </c>
    </row>
    <row r="138" spans="1:1" ht="20.100000000000001" customHeight="1" thickBot="1" x14ac:dyDescent="0.35">
      <c r="A138" s="2">
        <v>6.25</v>
      </c>
    </row>
    <row r="139" spans="1:1" ht="20.100000000000001" customHeight="1" thickBot="1" x14ac:dyDescent="0.35">
      <c r="A139" s="2">
        <v>6.5</v>
      </c>
    </row>
    <row r="140" spans="1:1" ht="20.100000000000001" customHeight="1" thickBot="1" x14ac:dyDescent="0.35">
      <c r="A140" s="2">
        <v>6.75</v>
      </c>
    </row>
    <row r="141" spans="1:1" ht="20.100000000000001" customHeight="1" thickBot="1" x14ac:dyDescent="0.35">
      <c r="A141" s="2">
        <v>7</v>
      </c>
    </row>
    <row r="142" spans="1:1" ht="20.100000000000001" customHeight="1" thickBot="1" x14ac:dyDescent="0.35">
      <c r="A142" s="2">
        <v>7.25</v>
      </c>
    </row>
    <row r="143" spans="1:1" ht="20.100000000000001" customHeight="1" thickBot="1" x14ac:dyDescent="0.35">
      <c r="A143" s="2">
        <v>7.5</v>
      </c>
    </row>
    <row r="144" spans="1:1" ht="20.100000000000001" customHeight="1" thickBot="1" x14ac:dyDescent="0.35">
      <c r="A144" s="2">
        <v>7.75</v>
      </c>
    </row>
    <row r="145" spans="1:1" ht="20.100000000000001" customHeight="1" thickBot="1" x14ac:dyDescent="0.35">
      <c r="A145" s="2">
        <v>8</v>
      </c>
    </row>
    <row r="146" spans="1:1" ht="20.100000000000001" customHeight="1" thickBot="1" x14ac:dyDescent="0.35">
      <c r="A146" s="2">
        <v>8.25</v>
      </c>
    </row>
    <row r="147" spans="1:1" ht="20.100000000000001" customHeight="1" thickBot="1" x14ac:dyDescent="0.35">
      <c r="A147" s="2">
        <v>8.5</v>
      </c>
    </row>
    <row r="148" spans="1:1" ht="20.100000000000001" customHeight="1" thickBot="1" x14ac:dyDescent="0.35">
      <c r="A148" s="2">
        <v>8.75</v>
      </c>
    </row>
    <row r="149" spans="1:1" ht="20.100000000000001" customHeight="1" thickBot="1" x14ac:dyDescent="0.35">
      <c r="A149" s="2">
        <v>9</v>
      </c>
    </row>
    <row r="150" spans="1:1" ht="20.100000000000001" customHeight="1" thickBot="1" x14ac:dyDescent="0.35">
      <c r="A150" s="2">
        <v>9.25</v>
      </c>
    </row>
    <row r="151" spans="1:1" ht="20.100000000000001" customHeight="1" thickBot="1" x14ac:dyDescent="0.35">
      <c r="A151" s="2">
        <v>9.5</v>
      </c>
    </row>
    <row r="152" spans="1:1" ht="20.100000000000001" customHeight="1" thickBot="1" x14ac:dyDescent="0.35">
      <c r="A152" s="2">
        <v>9.75</v>
      </c>
    </row>
    <row r="153" spans="1:1" ht="20.100000000000001" customHeight="1" thickBot="1" x14ac:dyDescent="0.35">
      <c r="A153" s="2">
        <v>10</v>
      </c>
    </row>
    <row r="154" spans="1:1" ht="20.100000000000001" customHeight="1" thickBot="1" x14ac:dyDescent="0.35">
      <c r="A154" s="2">
        <v>10.25</v>
      </c>
    </row>
    <row r="155" spans="1:1" ht="20.100000000000001" customHeight="1" thickBot="1" x14ac:dyDescent="0.35">
      <c r="A155" s="2">
        <v>10.5</v>
      </c>
    </row>
    <row r="156" spans="1:1" ht="20.100000000000001" customHeight="1" thickBot="1" x14ac:dyDescent="0.35">
      <c r="A156" s="2">
        <v>10.75</v>
      </c>
    </row>
    <row r="157" spans="1:1" ht="20.100000000000001" customHeight="1" thickBot="1" x14ac:dyDescent="0.35">
      <c r="A157" s="2">
        <v>11</v>
      </c>
    </row>
    <row r="158" spans="1:1" ht="20.100000000000001" customHeight="1" thickBot="1" x14ac:dyDescent="0.35">
      <c r="A158" s="2">
        <v>11.25</v>
      </c>
    </row>
    <row r="159" spans="1:1" ht="20.100000000000001" customHeight="1" thickBot="1" x14ac:dyDescent="0.35">
      <c r="A159" s="2">
        <v>11.5</v>
      </c>
    </row>
    <row r="160" spans="1:1" ht="20.100000000000001" customHeight="1" thickBot="1" x14ac:dyDescent="0.35">
      <c r="A160" s="2">
        <v>11.75</v>
      </c>
    </row>
    <row r="161" spans="1:1" ht="20.100000000000001" customHeight="1" thickBot="1" x14ac:dyDescent="0.35">
      <c r="A161" s="2">
        <v>12</v>
      </c>
    </row>
    <row r="162" spans="1:1" ht="20.100000000000001" customHeight="1" thickBot="1" x14ac:dyDescent="0.35">
      <c r="A162" s="2">
        <v>12.25</v>
      </c>
    </row>
    <row r="163" spans="1:1" ht="20.100000000000001" customHeight="1" thickBot="1" x14ac:dyDescent="0.35">
      <c r="A163" s="2">
        <v>12.5</v>
      </c>
    </row>
    <row r="164" spans="1:1" ht="20.100000000000001" customHeight="1" thickBot="1" x14ac:dyDescent="0.35">
      <c r="A164" s="2">
        <v>12.75</v>
      </c>
    </row>
    <row r="165" spans="1:1" ht="20.100000000000001" customHeight="1" thickBot="1" x14ac:dyDescent="0.35">
      <c r="A165" s="2">
        <v>13</v>
      </c>
    </row>
    <row r="166" spans="1:1" ht="20.100000000000001" customHeight="1" thickBot="1" x14ac:dyDescent="0.35">
      <c r="A166" s="2">
        <v>13.25</v>
      </c>
    </row>
    <row r="167" spans="1:1" ht="20.100000000000001" customHeight="1" thickBot="1" x14ac:dyDescent="0.35">
      <c r="A167" s="2">
        <v>13.5</v>
      </c>
    </row>
    <row r="168" spans="1:1" ht="20.100000000000001" customHeight="1" thickBot="1" x14ac:dyDescent="0.35">
      <c r="A168" s="2">
        <v>13.75</v>
      </c>
    </row>
    <row r="169" spans="1:1" ht="20.100000000000001" customHeight="1" thickBot="1" x14ac:dyDescent="0.35">
      <c r="A169" s="2">
        <v>14</v>
      </c>
    </row>
    <row r="170" spans="1:1" ht="20.100000000000001" customHeight="1" thickBot="1" x14ac:dyDescent="0.35">
      <c r="A170" s="2">
        <v>14.25</v>
      </c>
    </row>
    <row r="171" spans="1:1" ht="20.100000000000001" customHeight="1" thickBot="1" x14ac:dyDescent="0.35">
      <c r="A171" s="2">
        <v>14.5</v>
      </c>
    </row>
    <row r="172" spans="1:1" ht="20.100000000000001" customHeight="1" thickBot="1" x14ac:dyDescent="0.35">
      <c r="A172" s="2">
        <v>14.75</v>
      </c>
    </row>
    <row r="173" spans="1:1" ht="20.100000000000001" customHeight="1" thickBot="1" x14ac:dyDescent="0.35">
      <c r="A173" s="2">
        <v>15</v>
      </c>
    </row>
    <row r="174" spans="1:1" ht="20.100000000000001" customHeight="1" thickBot="1" x14ac:dyDescent="0.35">
      <c r="A174" s="2">
        <v>15.25</v>
      </c>
    </row>
    <row r="175" spans="1:1" ht="20.100000000000001" customHeight="1" thickBot="1" x14ac:dyDescent="0.35">
      <c r="A175" s="2">
        <v>15.5</v>
      </c>
    </row>
    <row r="176" spans="1:1" ht="20.100000000000001" customHeight="1" thickBot="1" x14ac:dyDescent="0.35">
      <c r="A176" s="2">
        <v>15.75</v>
      </c>
    </row>
    <row r="177" spans="1:1" ht="20.100000000000001" customHeight="1" thickBot="1" x14ac:dyDescent="0.35">
      <c r="A177" s="2">
        <v>16</v>
      </c>
    </row>
    <row r="178" spans="1:1" ht="20.100000000000001" customHeight="1" thickBot="1" x14ac:dyDescent="0.35">
      <c r="A178" s="2">
        <v>16.25</v>
      </c>
    </row>
    <row r="179" spans="1:1" ht="20.100000000000001" customHeight="1" thickBot="1" x14ac:dyDescent="0.35">
      <c r="A179" s="2">
        <v>16.5</v>
      </c>
    </row>
    <row r="180" spans="1:1" ht="20.100000000000001" customHeight="1" thickBot="1" x14ac:dyDescent="0.35">
      <c r="A180" s="2">
        <v>16.75</v>
      </c>
    </row>
    <row r="181" spans="1:1" ht="20.100000000000001" customHeight="1" thickBot="1" x14ac:dyDescent="0.35">
      <c r="A181" s="2">
        <v>17</v>
      </c>
    </row>
    <row r="182" spans="1:1" ht="20.100000000000001" customHeight="1" thickBot="1" x14ac:dyDescent="0.35">
      <c r="A182" s="2">
        <v>17.25</v>
      </c>
    </row>
    <row r="183" spans="1:1" ht="20.100000000000001" customHeight="1" thickBot="1" x14ac:dyDescent="0.35">
      <c r="A183" s="2">
        <v>17.5</v>
      </c>
    </row>
    <row r="184" spans="1:1" ht="20.100000000000001" customHeight="1" thickBot="1" x14ac:dyDescent="0.35">
      <c r="A184" s="2">
        <v>17.75</v>
      </c>
    </row>
    <row r="185" spans="1:1" ht="20.100000000000001" customHeight="1" thickBot="1" x14ac:dyDescent="0.35">
      <c r="A185" s="2">
        <v>18</v>
      </c>
    </row>
    <row r="186" spans="1:1" ht="20.100000000000001" customHeight="1" thickBot="1" x14ac:dyDescent="0.35">
      <c r="A186" s="2">
        <v>18.25</v>
      </c>
    </row>
    <row r="187" spans="1:1" ht="20.100000000000001" customHeight="1" thickBot="1" x14ac:dyDescent="0.35">
      <c r="A187" s="2">
        <v>18.5</v>
      </c>
    </row>
    <row r="188" spans="1:1" ht="20.100000000000001" customHeight="1" thickBot="1" x14ac:dyDescent="0.35">
      <c r="A188" s="2">
        <v>18.75</v>
      </c>
    </row>
    <row r="189" spans="1:1" ht="20.100000000000001" customHeight="1" thickBot="1" x14ac:dyDescent="0.35">
      <c r="A189" s="2">
        <v>19</v>
      </c>
    </row>
    <row r="190" spans="1:1" ht="20.100000000000001" customHeight="1" thickBot="1" x14ac:dyDescent="0.35">
      <c r="A190" s="2">
        <v>19.25</v>
      </c>
    </row>
    <row r="191" spans="1:1" ht="20.100000000000001" customHeight="1" thickBot="1" x14ac:dyDescent="0.35">
      <c r="A191" s="2">
        <v>19.5</v>
      </c>
    </row>
    <row r="192" spans="1:1" ht="20.100000000000001" customHeight="1" thickBot="1" x14ac:dyDescent="0.35">
      <c r="A192" s="2">
        <v>19.75</v>
      </c>
    </row>
    <row r="193" spans="1:1" ht="20.100000000000001" customHeight="1" thickBot="1" x14ac:dyDescent="0.35">
      <c r="A193" s="2">
        <v>20</v>
      </c>
    </row>
    <row r="197" spans="1:1" ht="20.100000000000001" customHeight="1" thickBot="1" x14ac:dyDescent="0.35"/>
    <row r="198" spans="1:1" ht="20.100000000000001" customHeight="1" thickBot="1" x14ac:dyDescent="0.35">
      <c r="A198" s="2" t="s">
        <v>59</v>
      </c>
    </row>
    <row r="199" spans="1:1" ht="20.100000000000001" customHeight="1" x14ac:dyDescent="0.3">
      <c r="A199" s="20" t="s">
        <v>89</v>
      </c>
    </row>
    <row r="200" spans="1:1" ht="20.100000000000001" customHeight="1" x14ac:dyDescent="0.3">
      <c r="A200" s="20" t="s">
        <v>90</v>
      </c>
    </row>
    <row r="201" spans="1:1" ht="20.100000000000001" customHeight="1" x14ac:dyDescent="0.3">
      <c r="A201" s="20" t="s">
        <v>91</v>
      </c>
    </row>
    <row r="202" spans="1:1" ht="20.100000000000001" customHeight="1" x14ac:dyDescent="0.3">
      <c r="A202" s="20" t="s">
        <v>92</v>
      </c>
    </row>
    <row r="203" spans="1:1" ht="20.100000000000001" customHeight="1" x14ac:dyDescent="0.3">
      <c r="A203" s="20" t="s">
        <v>93</v>
      </c>
    </row>
    <row r="204" spans="1:1" ht="20.100000000000001" customHeight="1" x14ac:dyDescent="0.3">
      <c r="A204" s="20" t="s">
        <v>94</v>
      </c>
    </row>
    <row r="205" spans="1:1" ht="20.100000000000001" customHeight="1" x14ac:dyDescent="0.3">
      <c r="A205" s="20" t="s">
        <v>95</v>
      </c>
    </row>
    <row r="206" spans="1:1" ht="20.100000000000001" customHeight="1" x14ac:dyDescent="0.3">
      <c r="A206" s="20" t="s">
        <v>96</v>
      </c>
    </row>
    <row r="207" spans="1:1" ht="20.100000000000001" customHeight="1" x14ac:dyDescent="0.3">
      <c r="A207" s="20" t="s">
        <v>97</v>
      </c>
    </row>
    <row r="208" spans="1:1" ht="20.100000000000001" customHeight="1" x14ac:dyDescent="0.3">
      <c r="A208" s="21" t="s">
        <v>98</v>
      </c>
    </row>
    <row r="209" spans="1:1" ht="20.100000000000001" customHeight="1" x14ac:dyDescent="0.3">
      <c r="A209" s="21" t="s">
        <v>99</v>
      </c>
    </row>
    <row r="210" spans="1:1" ht="20.100000000000001" customHeight="1" x14ac:dyDescent="0.3">
      <c r="A210" s="20" t="s">
        <v>100</v>
      </c>
    </row>
    <row r="211" spans="1:1" ht="20.100000000000001" customHeight="1" x14ac:dyDescent="0.3">
      <c r="A211" s="20" t="s">
        <v>101</v>
      </c>
    </row>
    <row r="212" spans="1:1" ht="20.100000000000001" customHeight="1" x14ac:dyDescent="0.3">
      <c r="A212" s="20" t="s">
        <v>102</v>
      </c>
    </row>
    <row r="213" spans="1:1" ht="20.100000000000001" customHeight="1" x14ac:dyDescent="0.3">
      <c r="A213" s="20" t="s">
        <v>103</v>
      </c>
    </row>
    <row r="214" spans="1:1" ht="20.100000000000001" customHeight="1" x14ac:dyDescent="0.3">
      <c r="A214" s="20" t="s">
        <v>104</v>
      </c>
    </row>
    <row r="215" spans="1:1" ht="20.100000000000001" customHeight="1" x14ac:dyDescent="0.3">
      <c r="A215" s="20" t="s">
        <v>105</v>
      </c>
    </row>
    <row r="216" spans="1:1" ht="20.100000000000001" customHeight="1" x14ac:dyDescent="0.3">
      <c r="A216" s="20" t="s">
        <v>106</v>
      </c>
    </row>
    <row r="217" spans="1:1" ht="20.100000000000001" customHeight="1" x14ac:dyDescent="0.3">
      <c r="A217" s="20" t="s">
        <v>107</v>
      </c>
    </row>
    <row r="218" spans="1:1" ht="20.100000000000001" customHeight="1" x14ac:dyDescent="0.3">
      <c r="A218" s="20" t="s">
        <v>108</v>
      </c>
    </row>
    <row r="219" spans="1:1" ht="20.100000000000001" customHeight="1" x14ac:dyDescent="0.3">
      <c r="A219" s="20" t="s">
        <v>109</v>
      </c>
    </row>
    <row r="220" spans="1:1" ht="20.100000000000001" customHeight="1" x14ac:dyDescent="0.3">
      <c r="A220" s="20" t="s">
        <v>110</v>
      </c>
    </row>
    <row r="221" spans="1:1" ht="20.100000000000001" customHeight="1" x14ac:dyDescent="0.3">
      <c r="A221" s="20" t="s">
        <v>111</v>
      </c>
    </row>
    <row r="222" spans="1:1" ht="20.100000000000001" customHeight="1" x14ac:dyDescent="0.3">
      <c r="A222" s="20" t="s">
        <v>112</v>
      </c>
    </row>
    <row r="223" spans="1:1" ht="20.100000000000001" customHeight="1" x14ac:dyDescent="0.3">
      <c r="A223" s="20" t="s">
        <v>113</v>
      </c>
    </row>
    <row r="224" spans="1:1" ht="20.100000000000001" customHeight="1" x14ac:dyDescent="0.3">
      <c r="A224" s="20" t="s">
        <v>114</v>
      </c>
    </row>
    <row r="225" spans="1:1" ht="20.100000000000001" customHeight="1" x14ac:dyDescent="0.3">
      <c r="A225" s="20" t="s">
        <v>115</v>
      </c>
    </row>
    <row r="226" spans="1:1" ht="20.100000000000001" customHeight="1" x14ac:dyDescent="0.3">
      <c r="A226" s="20" t="s">
        <v>116</v>
      </c>
    </row>
    <row r="227" spans="1:1" ht="20.100000000000001" customHeight="1" x14ac:dyDescent="0.3">
      <c r="A227" s="20" t="s">
        <v>117</v>
      </c>
    </row>
    <row r="228" spans="1:1" ht="20.100000000000001" customHeight="1" x14ac:dyDescent="0.3">
      <c r="A228" s="20" t="s">
        <v>118</v>
      </c>
    </row>
    <row r="229" spans="1:1" ht="20.100000000000001" customHeight="1" x14ac:dyDescent="0.3">
      <c r="A229" s="20" t="s">
        <v>119</v>
      </c>
    </row>
    <row r="230" spans="1:1" ht="20.100000000000001" customHeight="1" x14ac:dyDescent="0.3">
      <c r="A230" s="20" t="s">
        <v>120</v>
      </c>
    </row>
    <row r="231" spans="1:1" ht="20.100000000000001" customHeight="1" x14ac:dyDescent="0.3">
      <c r="A231" s="20" t="s">
        <v>121</v>
      </c>
    </row>
    <row r="232" spans="1:1" ht="20.100000000000001" customHeight="1" x14ac:dyDescent="0.3">
      <c r="A232" s="20" t="s">
        <v>122</v>
      </c>
    </row>
    <row r="233" spans="1:1" ht="20.100000000000001" customHeight="1" x14ac:dyDescent="0.3">
      <c r="A233" s="20" t="s">
        <v>123</v>
      </c>
    </row>
    <row r="234" spans="1:1" ht="20.100000000000001" customHeight="1" x14ac:dyDescent="0.3">
      <c r="A234" s="20" t="s">
        <v>124</v>
      </c>
    </row>
    <row r="235" spans="1:1" ht="20.100000000000001" customHeight="1" x14ac:dyDescent="0.3">
      <c r="A235" s="22" t="s">
        <v>125</v>
      </c>
    </row>
    <row r="236" spans="1:1" ht="20.100000000000001" customHeight="1" x14ac:dyDescent="0.3">
      <c r="A236" s="20" t="s">
        <v>126</v>
      </c>
    </row>
    <row r="237" spans="1:1" ht="20.100000000000001" customHeight="1" x14ac:dyDescent="0.3">
      <c r="A237" s="20" t="s">
        <v>127</v>
      </c>
    </row>
    <row r="238" spans="1:1" ht="20.100000000000001" customHeight="1" x14ac:dyDescent="0.3">
      <c r="A238" s="20" t="s">
        <v>128</v>
      </c>
    </row>
    <row r="239" spans="1:1" ht="20.100000000000001" customHeight="1" x14ac:dyDescent="0.3">
      <c r="A239" s="20" t="s">
        <v>129</v>
      </c>
    </row>
    <row r="240" spans="1:1" ht="20.100000000000001" customHeight="1" x14ac:dyDescent="0.3">
      <c r="A240" s="20" t="s">
        <v>130</v>
      </c>
    </row>
    <row r="241" spans="1:1" ht="20.100000000000001" customHeight="1" x14ac:dyDescent="0.3">
      <c r="A241" s="20" t="s">
        <v>131</v>
      </c>
    </row>
    <row r="242" spans="1:1" ht="20.100000000000001" customHeight="1" x14ac:dyDescent="0.3">
      <c r="A242" s="20" t="s">
        <v>132</v>
      </c>
    </row>
    <row r="243" spans="1:1" ht="20.100000000000001" customHeight="1" x14ac:dyDescent="0.3">
      <c r="A243" s="20" t="s">
        <v>133</v>
      </c>
    </row>
    <row r="244" spans="1:1" ht="20.100000000000001" customHeight="1" x14ac:dyDescent="0.3">
      <c r="A244" s="20" t="s">
        <v>134</v>
      </c>
    </row>
    <row r="245" spans="1:1" ht="20.100000000000001" customHeight="1" x14ac:dyDescent="0.3">
      <c r="A245" s="20" t="s">
        <v>135</v>
      </c>
    </row>
    <row r="246" spans="1:1" ht="20.100000000000001" customHeight="1" x14ac:dyDescent="0.3">
      <c r="A246" s="20" t="s">
        <v>136</v>
      </c>
    </row>
    <row r="247" spans="1:1" ht="20.100000000000001" customHeight="1" x14ac:dyDescent="0.3">
      <c r="A247" s="20" t="s">
        <v>127</v>
      </c>
    </row>
    <row r="248" spans="1:1" ht="20.100000000000001" customHeight="1" x14ac:dyDescent="0.3">
      <c r="A248" s="20" t="s">
        <v>137</v>
      </c>
    </row>
    <row r="249" spans="1:1" ht="20.100000000000001" customHeight="1" x14ac:dyDescent="0.3">
      <c r="A249" s="20" t="s">
        <v>138</v>
      </c>
    </row>
    <row r="250" spans="1:1" ht="20.100000000000001" customHeight="1" x14ac:dyDescent="0.3">
      <c r="A250" s="22" t="s">
        <v>139</v>
      </c>
    </row>
    <row r="251" spans="1:1" ht="20.100000000000001" customHeight="1" x14ac:dyDescent="0.3">
      <c r="A251" s="23" t="s">
        <v>140</v>
      </c>
    </row>
    <row r="252" spans="1:1" ht="20.100000000000001" customHeight="1" x14ac:dyDescent="0.3">
      <c r="A252" s="20" t="s">
        <v>141</v>
      </c>
    </row>
    <row r="253" spans="1:1" ht="20.100000000000001" customHeight="1" x14ac:dyDescent="0.3">
      <c r="A253" s="20" t="s">
        <v>142</v>
      </c>
    </row>
    <row r="254" spans="1:1" ht="20.100000000000001" customHeight="1" x14ac:dyDescent="0.3">
      <c r="A254" s="24" t="s">
        <v>143</v>
      </c>
    </row>
    <row r="255" spans="1:1" ht="20.100000000000001" customHeight="1" x14ac:dyDescent="0.3">
      <c r="A255" s="24" t="s">
        <v>144</v>
      </c>
    </row>
    <row r="256" spans="1:1" ht="20.100000000000001" customHeight="1" x14ac:dyDescent="0.3">
      <c r="A256" s="25" t="s">
        <v>145</v>
      </c>
    </row>
    <row r="257" spans="1:1" ht="20.100000000000001" customHeight="1" x14ac:dyDescent="0.3">
      <c r="A257" s="20" t="s">
        <v>146</v>
      </c>
    </row>
    <row r="258" spans="1:1" ht="20.100000000000001" customHeight="1" x14ac:dyDescent="0.3">
      <c r="A258" s="25" t="s">
        <v>147</v>
      </c>
    </row>
    <row r="259" spans="1:1" ht="20.100000000000001" customHeight="1" x14ac:dyDescent="0.3">
      <c r="A259" s="20" t="s">
        <v>148</v>
      </c>
    </row>
    <row r="260" spans="1:1" ht="20.100000000000001" customHeight="1" x14ac:dyDescent="0.3">
      <c r="A260" s="25" t="s">
        <v>149</v>
      </c>
    </row>
    <row r="261" spans="1:1" ht="20.100000000000001" customHeight="1" x14ac:dyDescent="0.3">
      <c r="A261" s="20" t="s">
        <v>150</v>
      </c>
    </row>
    <row r="262" spans="1:1" ht="20.100000000000001" customHeight="1" x14ac:dyDescent="0.3">
      <c r="A262" s="20" t="s">
        <v>151</v>
      </c>
    </row>
    <row r="263" spans="1:1" ht="20.100000000000001" customHeight="1" x14ac:dyDescent="0.3">
      <c r="A263" s="25" t="s">
        <v>152</v>
      </c>
    </row>
    <row r="264" spans="1:1" ht="20.100000000000001" customHeight="1" x14ac:dyDescent="0.3">
      <c r="A264" s="25" t="s">
        <v>153</v>
      </c>
    </row>
    <row r="265" spans="1:1" ht="20.100000000000001" customHeight="1" x14ac:dyDescent="0.3">
      <c r="A265" s="25" t="s">
        <v>154</v>
      </c>
    </row>
    <row r="266" spans="1:1" ht="20.100000000000001" customHeight="1" x14ac:dyDescent="0.3">
      <c r="A266" s="20" t="s">
        <v>155</v>
      </c>
    </row>
    <row r="267" spans="1:1" ht="20.100000000000001" customHeight="1" x14ac:dyDescent="0.3">
      <c r="A267" s="20" t="s">
        <v>156</v>
      </c>
    </row>
    <row r="268" spans="1:1" ht="20.100000000000001" customHeight="1" x14ac:dyDescent="0.3">
      <c r="A268" s="20" t="s">
        <v>157</v>
      </c>
    </row>
    <row r="269" spans="1:1" ht="20.100000000000001" customHeight="1" x14ac:dyDescent="0.3">
      <c r="A269" s="20" t="s">
        <v>158</v>
      </c>
    </row>
    <row r="270" spans="1:1" ht="20.100000000000001" customHeight="1" x14ac:dyDescent="0.3">
      <c r="A270" s="25" t="s">
        <v>159</v>
      </c>
    </row>
    <row r="271" spans="1:1" ht="20.100000000000001" customHeight="1" x14ac:dyDescent="0.3">
      <c r="A271" s="25" t="s">
        <v>160</v>
      </c>
    </row>
    <row r="272" spans="1:1" ht="20.100000000000001" customHeight="1" x14ac:dyDescent="0.3">
      <c r="A272" s="20" t="s">
        <v>161</v>
      </c>
    </row>
    <row r="273" spans="1:1" ht="20.100000000000001" customHeight="1" x14ac:dyDescent="0.3">
      <c r="A273" s="25" t="s">
        <v>162</v>
      </c>
    </row>
    <row r="274" spans="1:1" ht="20.100000000000001" customHeight="1" x14ac:dyDescent="0.3">
      <c r="A274" s="25" t="s">
        <v>163</v>
      </c>
    </row>
    <row r="275" spans="1:1" ht="20.100000000000001" customHeight="1" x14ac:dyDescent="0.3">
      <c r="A275" s="20" t="s">
        <v>164</v>
      </c>
    </row>
    <row r="276" spans="1:1" ht="20.100000000000001" customHeight="1" x14ac:dyDescent="0.3">
      <c r="A276" s="20" t="s">
        <v>165</v>
      </c>
    </row>
    <row r="277" spans="1:1" ht="20.100000000000001" customHeight="1" x14ac:dyDescent="0.3">
      <c r="A277" s="25" t="s">
        <v>166</v>
      </c>
    </row>
    <row r="278" spans="1:1" ht="20.100000000000001" customHeight="1" x14ac:dyDescent="0.3">
      <c r="A278" s="20" t="s">
        <v>167</v>
      </c>
    </row>
    <row r="279" spans="1:1" ht="20.100000000000001" customHeight="1" x14ac:dyDescent="0.3">
      <c r="A279" s="20" t="s">
        <v>168</v>
      </c>
    </row>
    <row r="280" spans="1:1" ht="20.100000000000001" customHeight="1" x14ac:dyDescent="0.3">
      <c r="A280" s="20" t="s">
        <v>169</v>
      </c>
    </row>
    <row r="281" spans="1:1" ht="20.100000000000001" customHeight="1" x14ac:dyDescent="0.3">
      <c r="A281" s="20" t="s">
        <v>170</v>
      </c>
    </row>
    <row r="282" spans="1:1" ht="20.100000000000001" customHeight="1" x14ac:dyDescent="0.3">
      <c r="A282" s="25" t="s">
        <v>171</v>
      </c>
    </row>
    <row r="283" spans="1:1" ht="20.100000000000001" customHeight="1" x14ac:dyDescent="0.3">
      <c r="A283" s="25" t="s">
        <v>172</v>
      </c>
    </row>
    <row r="284" spans="1:1" ht="20.100000000000001" customHeight="1" x14ac:dyDescent="0.3">
      <c r="A284" s="25" t="s">
        <v>173</v>
      </c>
    </row>
    <row r="285" spans="1:1" ht="20.100000000000001" customHeight="1" thickBot="1" x14ac:dyDescent="0.35">
      <c r="A285" s="20" t="s">
        <v>174</v>
      </c>
    </row>
    <row r="286" spans="1:1" ht="20.100000000000001" customHeight="1" thickBot="1" x14ac:dyDescent="0.35">
      <c r="A286" s="2" t="s">
        <v>58</v>
      </c>
    </row>
    <row r="287" spans="1:1" ht="20.100000000000001" customHeight="1" thickBot="1" x14ac:dyDescent="0.35">
      <c r="A287" s="2" t="s">
        <v>58</v>
      </c>
    </row>
    <row r="288" spans="1:1" ht="20.100000000000001" customHeight="1" thickBot="1" x14ac:dyDescent="0.35">
      <c r="A288" s="2" t="s">
        <v>58</v>
      </c>
    </row>
    <row r="289" spans="1:1" ht="20.100000000000001" customHeight="1" thickBot="1" x14ac:dyDescent="0.35">
      <c r="A289" s="2" t="s">
        <v>58</v>
      </c>
    </row>
    <row r="290" spans="1:1" ht="20.100000000000001" customHeight="1" thickBot="1" x14ac:dyDescent="0.35">
      <c r="A290" s="2" t="s">
        <v>58</v>
      </c>
    </row>
    <row r="291" spans="1:1" ht="20.100000000000001" customHeight="1" thickBot="1" x14ac:dyDescent="0.35">
      <c r="A291" s="2" t="s">
        <v>58</v>
      </c>
    </row>
    <row r="292" spans="1:1" ht="20.100000000000001" customHeight="1" thickBot="1" x14ac:dyDescent="0.35">
      <c r="A292" s="2" t="s">
        <v>58</v>
      </c>
    </row>
    <row r="293" spans="1:1" ht="20.100000000000001" customHeight="1" thickBot="1" x14ac:dyDescent="0.35">
      <c r="A293" s="2" t="s">
        <v>58</v>
      </c>
    </row>
    <row r="294" spans="1:1" ht="20.100000000000001" customHeight="1" thickBot="1" x14ac:dyDescent="0.35">
      <c r="A294" s="2" t="s">
        <v>58</v>
      </c>
    </row>
    <row r="295" spans="1:1" ht="20.100000000000001" customHeight="1" thickBot="1" x14ac:dyDescent="0.35">
      <c r="A295" s="2" t="s">
        <v>58</v>
      </c>
    </row>
    <row r="296" spans="1:1" ht="20.100000000000001" customHeight="1" thickBot="1" x14ac:dyDescent="0.35">
      <c r="A296" s="2" t="s">
        <v>58</v>
      </c>
    </row>
    <row r="297" spans="1:1" ht="20.100000000000001" customHeight="1" thickBot="1" x14ac:dyDescent="0.35">
      <c r="A297" s="2" t="s">
        <v>58</v>
      </c>
    </row>
    <row r="298" spans="1:1" ht="20.100000000000001" customHeight="1" thickBot="1" x14ac:dyDescent="0.35">
      <c r="A298" s="2" t="s">
        <v>58</v>
      </c>
    </row>
    <row r="299" spans="1:1" ht="20.100000000000001" customHeight="1" thickBot="1" x14ac:dyDescent="0.35">
      <c r="A299" s="2" t="s">
        <v>58</v>
      </c>
    </row>
    <row r="300" spans="1:1" ht="20.100000000000001" customHeight="1" thickBot="1" x14ac:dyDescent="0.35">
      <c r="A300" s="2" t="s">
        <v>58</v>
      </c>
    </row>
    <row r="301" spans="1:1" ht="20.100000000000001" customHeight="1" thickBot="1" x14ac:dyDescent="0.35">
      <c r="A301" s="2" t="s">
        <v>58</v>
      </c>
    </row>
    <row r="302" spans="1:1" ht="20.100000000000001" customHeight="1" thickBot="1" x14ac:dyDescent="0.35">
      <c r="A302" s="2" t="s">
        <v>58</v>
      </c>
    </row>
    <row r="303" spans="1:1" ht="20.100000000000001" customHeight="1" thickBot="1" x14ac:dyDescent="0.35">
      <c r="A303" s="2" t="s">
        <v>58</v>
      </c>
    </row>
    <row r="304" spans="1:1" ht="20.100000000000001" customHeight="1" thickBot="1" x14ac:dyDescent="0.35">
      <c r="A304" s="2" t="s">
        <v>58</v>
      </c>
    </row>
    <row r="305" spans="1:1" ht="20.100000000000001" customHeight="1" thickBot="1" x14ac:dyDescent="0.35">
      <c r="A305" s="2" t="s">
        <v>58</v>
      </c>
    </row>
    <row r="306" spans="1:1" ht="20.100000000000001" customHeight="1" thickBot="1" x14ac:dyDescent="0.35">
      <c r="A306" s="2" t="s">
        <v>58</v>
      </c>
    </row>
    <row r="307" spans="1:1" ht="20.100000000000001" customHeight="1" thickBot="1" x14ac:dyDescent="0.35">
      <c r="A307" s="2" t="s">
        <v>58</v>
      </c>
    </row>
    <row r="308" spans="1:1" ht="20.100000000000001" customHeight="1" thickBot="1" x14ac:dyDescent="0.35">
      <c r="A308" s="2" t="s">
        <v>58</v>
      </c>
    </row>
    <row r="309" spans="1:1" ht="20.100000000000001" customHeight="1" thickBot="1" x14ac:dyDescent="0.35">
      <c r="A309" s="2" t="s">
        <v>58</v>
      </c>
    </row>
    <row r="310" spans="1:1" ht="20.100000000000001" customHeight="1" thickBot="1" x14ac:dyDescent="0.35">
      <c r="A310" s="2" t="s">
        <v>58</v>
      </c>
    </row>
    <row r="311" spans="1:1" ht="20.100000000000001" customHeight="1" thickBot="1" x14ac:dyDescent="0.35">
      <c r="A311" s="2" t="s">
        <v>58</v>
      </c>
    </row>
    <row r="312" spans="1:1" ht="20.100000000000001" customHeight="1" thickBot="1" x14ac:dyDescent="0.35">
      <c r="A312" s="2" t="s">
        <v>58</v>
      </c>
    </row>
    <row r="313" spans="1:1" ht="20.100000000000001" customHeight="1" thickBot="1" x14ac:dyDescent="0.35">
      <c r="A313" s="2" t="s">
        <v>58</v>
      </c>
    </row>
    <row r="314" spans="1:1" ht="20.100000000000001" customHeight="1" thickBot="1" x14ac:dyDescent="0.35">
      <c r="A314" s="2" t="s">
        <v>58</v>
      </c>
    </row>
    <row r="315" spans="1:1" ht="20.100000000000001" customHeight="1" thickBot="1" x14ac:dyDescent="0.35">
      <c r="A315" s="2" t="s">
        <v>58</v>
      </c>
    </row>
    <row r="316" spans="1:1" ht="20.100000000000001" customHeight="1" thickBot="1" x14ac:dyDescent="0.35">
      <c r="A316" s="2" t="s">
        <v>58</v>
      </c>
    </row>
    <row r="317" spans="1:1" ht="20.100000000000001" customHeight="1" thickBot="1" x14ac:dyDescent="0.35">
      <c r="A317" s="2" t="s">
        <v>58</v>
      </c>
    </row>
    <row r="318" spans="1:1" ht="20.100000000000001" customHeight="1" thickBot="1" x14ac:dyDescent="0.35">
      <c r="A318" s="2" t="s">
        <v>58</v>
      </c>
    </row>
    <row r="319" spans="1:1" ht="20.100000000000001" customHeight="1" thickBot="1" x14ac:dyDescent="0.35">
      <c r="A319" s="2" t="s">
        <v>58</v>
      </c>
    </row>
    <row r="320" spans="1:1" ht="20.100000000000001" customHeight="1" thickBot="1" x14ac:dyDescent="0.35">
      <c r="A320" s="2" t="s">
        <v>58</v>
      </c>
    </row>
    <row r="321" spans="1:1" ht="20.100000000000001" customHeight="1" thickBot="1" x14ac:dyDescent="0.35">
      <c r="A321" s="2" t="s">
        <v>58</v>
      </c>
    </row>
    <row r="322" spans="1:1" ht="20.100000000000001" customHeight="1" thickBot="1" x14ac:dyDescent="0.35">
      <c r="A322" s="2" t="s">
        <v>58</v>
      </c>
    </row>
    <row r="323" spans="1:1" ht="20.100000000000001" customHeight="1" thickBot="1" x14ac:dyDescent="0.35">
      <c r="A323" s="2" t="s">
        <v>58</v>
      </c>
    </row>
    <row r="324" spans="1:1" ht="20.100000000000001" customHeight="1" thickBot="1" x14ac:dyDescent="0.35">
      <c r="A324" s="2" t="s">
        <v>58</v>
      </c>
    </row>
    <row r="325" spans="1:1" ht="20.100000000000001" customHeight="1" thickBot="1" x14ac:dyDescent="0.35">
      <c r="A325" s="2" t="s">
        <v>58</v>
      </c>
    </row>
    <row r="326" spans="1:1" ht="20.100000000000001" customHeight="1" thickBot="1" x14ac:dyDescent="0.35">
      <c r="A326" s="2" t="s">
        <v>58</v>
      </c>
    </row>
    <row r="327" spans="1:1" ht="20.100000000000001" customHeight="1" thickBot="1" x14ac:dyDescent="0.35">
      <c r="A327" s="2" t="s">
        <v>58</v>
      </c>
    </row>
    <row r="328" spans="1:1" ht="20.100000000000001" customHeight="1" thickBot="1" x14ac:dyDescent="0.35">
      <c r="A328" s="2" t="s">
        <v>58</v>
      </c>
    </row>
    <row r="329" spans="1:1" ht="20.100000000000001" customHeight="1" thickBot="1" x14ac:dyDescent="0.35">
      <c r="A329" s="2" t="s">
        <v>58</v>
      </c>
    </row>
    <row r="330" spans="1:1" ht="20.100000000000001" customHeight="1" thickBot="1" x14ac:dyDescent="0.35">
      <c r="A330" s="2" t="s">
        <v>58</v>
      </c>
    </row>
    <row r="331" spans="1:1" ht="20.100000000000001" customHeight="1" thickBot="1" x14ac:dyDescent="0.35">
      <c r="A331" s="2" t="s">
        <v>58</v>
      </c>
    </row>
    <row r="332" spans="1:1" ht="20.100000000000001" customHeight="1" thickBot="1" x14ac:dyDescent="0.35">
      <c r="A332" s="2" t="s">
        <v>58</v>
      </c>
    </row>
    <row r="333" spans="1:1" ht="20.100000000000001" customHeight="1" thickBot="1" x14ac:dyDescent="0.35">
      <c r="A333" s="2" t="s">
        <v>58</v>
      </c>
    </row>
    <row r="334" spans="1:1" ht="20.100000000000001" customHeight="1" thickBot="1" x14ac:dyDescent="0.35">
      <c r="A334" s="2" t="s">
        <v>58</v>
      </c>
    </row>
    <row r="335" spans="1:1" ht="20.100000000000001" customHeight="1" thickBot="1" x14ac:dyDescent="0.35">
      <c r="A335" s="2" t="s">
        <v>58</v>
      </c>
    </row>
    <row r="336" spans="1:1" ht="20.100000000000001" customHeight="1" thickBot="1" x14ac:dyDescent="0.35">
      <c r="A336" s="2" t="s">
        <v>58</v>
      </c>
    </row>
    <row r="337" spans="1:1" ht="20.100000000000001" customHeight="1" thickBot="1" x14ac:dyDescent="0.35">
      <c r="A337" s="2" t="s">
        <v>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قائمة التقييم</vt:lpstr>
      <vt:lpstr>بيانات التقييم</vt:lpstr>
      <vt:lpstr>'قائمة التقييم'!_Hlk189049123</vt:lpstr>
      <vt:lpstr>'قائمة التقييم'!Print_Area</vt:lpstr>
      <vt:lpstr>'قائمة التقييم'!Print_Titles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2025-10-27T22:20:25Z</dcterms:modified>
</cp:coreProperties>
</file>