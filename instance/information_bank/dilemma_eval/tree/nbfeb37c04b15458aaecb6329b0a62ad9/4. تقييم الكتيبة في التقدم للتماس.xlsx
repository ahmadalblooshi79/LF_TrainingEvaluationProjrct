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BF62F68D-77C4-4C88-8B47-76CF7669C32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التقييم'!$A$1:$J$60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/>
  <c r="G11" i="2"/>
  <c r="H11" i="2"/>
  <c r="G12" i="2"/>
  <c r="H12" i="2"/>
  <c r="G14" i="2"/>
  <c r="H14" i="2"/>
  <c r="G15" i="2"/>
  <c r="H15" i="2"/>
  <c r="G16" i="2"/>
  <c r="H16" i="2"/>
  <c r="G17" i="2"/>
  <c r="H17" i="2"/>
  <c r="G18" i="2"/>
  <c r="H18" i="2"/>
  <c r="G19" i="2"/>
  <c r="H19" i="2"/>
  <c r="G21" i="2"/>
  <c r="H21" i="2"/>
  <c r="G22" i="2"/>
  <c r="H22" i="2"/>
  <c r="G23" i="2"/>
  <c r="H23" i="2"/>
  <c r="G24" i="2"/>
  <c r="H24" i="2"/>
  <c r="G25" i="2"/>
  <c r="H25" i="2"/>
  <c r="G28" i="2"/>
  <c r="H28" i="2"/>
  <c r="G29" i="2"/>
  <c r="H29" i="2"/>
  <c r="G30" i="2"/>
  <c r="H30" i="2"/>
  <c r="G31" i="2"/>
  <c r="H31" i="2"/>
  <c r="G33" i="2"/>
  <c r="H33" i="2"/>
  <c r="G34" i="2"/>
  <c r="H34" i="2"/>
  <c r="G35" i="2"/>
  <c r="H35" i="2"/>
  <c r="G36" i="2"/>
  <c r="H36" i="2"/>
  <c r="G37" i="2"/>
  <c r="H37" i="2"/>
  <c r="G38" i="2"/>
  <c r="H38" i="2"/>
  <c r="G41" i="2"/>
  <c r="H41" i="2"/>
  <c r="G42" i="2"/>
  <c r="H42" i="2"/>
  <c r="G43" i="2"/>
  <c r="H43" i="2"/>
  <c r="G44" i="2"/>
  <c r="H44" i="2"/>
  <c r="G45" i="2"/>
  <c r="H45" i="2"/>
  <c r="G46" i="2"/>
  <c r="H46" i="2"/>
  <c r="G48" i="2"/>
  <c r="H48" i="2"/>
  <c r="G49" i="2"/>
  <c r="H49" i="2"/>
  <c r="G50" i="2"/>
  <c r="H50" i="2"/>
  <c r="G51" i="2"/>
  <c r="H51" i="2"/>
  <c r="G52" i="2"/>
  <c r="H52" i="2"/>
  <c r="G53" i="2"/>
  <c r="H53" i="2"/>
  <c r="G54" i="2"/>
  <c r="H54" i="2"/>
  <c r="G55" i="2"/>
  <c r="H55" i="2"/>
  <c r="F56" i="2"/>
  <c r="E56" i="2"/>
  <c r="E57" i="2"/>
  <c r="E58" i="2"/>
</calcChain>
</file>

<file path=xl/sharedStrings.xml><?xml version="1.0" encoding="utf-8"?>
<sst xmlns="http://schemas.openxmlformats.org/spreadsheetml/2006/main" count="281" uniqueCount="225">
  <si>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</si>
  <si>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</si>
  <si>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</si>
  <si>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</si>
  <si>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</si>
  <si>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</si>
  <si>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</si>
  <si>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</si>
  <si>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</si>
  <si>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</si>
  <si>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</si>
  <si>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</si>
  <si>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</si>
  <si>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</si>
  <si>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</si>
  <si>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</si>
  <si>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</si>
  <si>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</si>
  <si>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</si>
  <si>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</si>
  <si>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</si>
  <si>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</si>
  <si>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</si>
  <si>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</si>
  <si>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</si>
  <si>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</si>
  <si>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</si>
  <si>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</si>
  <si>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</si>
  <si>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</si>
  <si>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</si>
  <si>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</si>
  <si>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</si>
  <si>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</si>
  <si>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</si>
  <si>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</si>
  <si>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</si>
  <si>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</si>
  <si>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</si>
  <si>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</si>
  <si>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</si>
  <si>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</si>
  <si>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</si>
  <si>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</si>
  <si>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</si>
  <si>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</si>
  <si>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</si>
  <si>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</si>
  <si>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</si>
  <si>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</si>
  <si>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</si>
  <si>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</si>
  <si>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</si>
  <si>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</si>
  <si>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</si>
  <si>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</si>
  <si>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</si>
  <si>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</si>
  <si>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</si>
  <si>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</si>
  <si>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</si>
  <si>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</si>
  <si>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</si>
  <si>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</si>
  <si>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</si>
  <si>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</si>
  <si>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</si>
  <si>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</si>
  <si>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</si>
  <si>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</si>
  <si>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</si>
  <si>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</si>
  <si>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</si>
  <si>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</si>
  <si>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</si>
  <si>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</si>
  <si>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</si>
  <si>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</si>
  <si>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</si>
  <si>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</si>
  <si>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</si>
  <si>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</si>
  <si>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</si>
  <si>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</si>
  <si>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</si>
  <si>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</si>
  <si>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</si>
  <si>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</si>
  <si>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</si>
  <si>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</si>
  <si>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</si>
  <si>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</si>
  <si>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</si>
  <si>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</si>
  <si>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</si>
  <si>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</si>
  <si>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</si>
  <si>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</si>
  <si>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</si>
  <si>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</si>
  <si>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</si>
  <si>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</si>
  <si>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</si>
  <si>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</si>
  <si>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</si>
  <si>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</si>
  <si>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</si>
  <si>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</si>
  <si>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</si>
  <si>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</si>
  <si>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</si>
  <si>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</si>
  <si>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</si>
  <si>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</si>
  <si>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</si>
  <si>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</si>
  <si>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</si>
  <si>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</si>
  <si>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</si>
  <si>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</si>
  <si>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</si>
  <si>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</si>
  <si>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</si>
  <si>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</si>
  <si>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</si>
  <si>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</si>
  <si>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</si>
  <si>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</si>
  <si>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</si>
  <si>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</si>
  <si>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</si>
  <si>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</si>
  <si>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</si>
  <si>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</si>
  <si>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</si>
  <si>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</si>
  <si>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</si>
  <si>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</si>
  <si>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</si>
  <si>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</si>
  <si>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</si>
  <si>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</si>
  <si>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</si>
  <si>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</si>
  <si>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</si>
  <si>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</si>
  <si>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</si>
  <si>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</si>
  <si>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</si>
  <si>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</si>
  <si>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</si>
  <si>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</si>
  <si>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</si>
  <si>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</si>
  <si>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</si>
  <si>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</si>
  <si>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</si>
  <si>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</si>
  <si>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</si>
  <si>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</si>
  <si>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</si>
  <si>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</si>
  <si>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</si>
  <si>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</si>
  <si>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</si>
  <si>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</si>
  <si>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</si>
  <si>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</si>
  <si>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</si>
  <si>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</si>
  <si>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</si>
  <si>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</si>
  <si>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</si>
  <si>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</si>
  <si>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</si>
  <si>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4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</si>
  <si>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إجراءات التخطيط.</t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</si>
  <si>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 xml:space="preserve">تستلم قيادة الكتيبة/ مجموعة القتال الأوامر من المستوى الأعلى وتقوم بما يلي: </t>
    </r>
  </si>
  <si>
    <t>أ. البدء بالتخطيط من خلال إجراءات المعركة الثمانية.</t>
  </si>
  <si>
    <t>ب. تنفيذ الاستطلاع من الخارطة.</t>
  </si>
  <si>
    <t xml:space="preserve">جـ. تنفيذ التحضير الاستخباري لميدان المعركة. </t>
  </si>
  <si>
    <t>د. إعداد وتطوير خطة المناورة لتشمل ما يلي:</t>
  </si>
  <si>
    <t>(1) التجميع للواجب بما يتلاءم مع المهمة.</t>
  </si>
  <si>
    <t>(2) استخدام قوة الاستطلاع وتركيزها على إيجاد مواقع العدو.</t>
  </si>
  <si>
    <t>(3) استخدام تشكيلات الحركة التي تُمكِّن الكتيبة/ مجموعة القتال من الانفتاح بسرعة والهجوم من أي اتجاه، وأن تكون الوحدات ضمن مسافات إسناد بعضها البعض لتسهيل رد الفعل.</t>
  </si>
  <si>
    <t xml:space="preserve">(4) الحصول على التماس مع العدو بأصغر قوة ممكنة والمحافظة على حماية القوة. </t>
  </si>
  <si>
    <t>(5) المحافظة على إمكانية حشد النيران بسرعة من أي اتجاه.</t>
  </si>
  <si>
    <t>هـ. وضع إجراءات السيطرة المناسبة.</t>
  </si>
  <si>
    <t>و. تنسيق ومزامنة الوظائف القتالية التالية بناءً على متغيرات المهمة كما يلي:</t>
  </si>
  <si>
    <t>(1) إسناد النيران غير المباشرة.</t>
  </si>
  <si>
    <t>(2)  الإسناد الهندسي مع خطة المناورة.</t>
  </si>
  <si>
    <t>(3) إسناد الدفاع الجوي عند توفيره للكتيبة/ مجموعة القتال.</t>
  </si>
  <si>
    <t>(4) الإسناد الإداري قبل وأثناء العملية.</t>
  </si>
  <si>
    <t>ز. إصدار أمر العمليات للوحدات المرؤوسة.</t>
  </si>
  <si>
    <t>إجراءات التحضير.</t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</si>
  <si>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تقوم قيادة الكتيبة/ مجموعة القتال بالإشراف على الوحدات المرؤوسة أثناء تحضيرها للتقدم للتماس. تقوم قيادة الكتيبة/ مجموعة القتال الإجراءات التالية:</t>
    </r>
  </si>
  <si>
    <t>أ. تنقيح الخطة بناءً على التحديث المستمر للمعلومات الاستخبارية.</t>
  </si>
  <si>
    <t>ب. تنفيذ الاستطلاع الواسع.</t>
  </si>
  <si>
    <t>جـ. التنسيق مع الوحدات المجاورة.</t>
  </si>
  <si>
    <t>د. الإشراف على عملية التخطيط والتحضير للوحدات المرؤوسة لضمان أن التخطيط والتحضير يتماشى مع قصد القائد.</t>
  </si>
  <si>
    <r>
      <t>2.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إجراء التجارب على تنفيذ المهمة لتشمل ما يلي:</t>
    </r>
  </si>
  <si>
    <t>أ. أسلوب الحركة والتشكيلات.</t>
  </si>
  <si>
    <t>ب. الإجراءات عند التماس.</t>
  </si>
  <si>
    <t>جـ. الإجراءات عند الإبلاغ وتجاوز قوة العدو (بناءً على معايير التجاوز).</t>
  </si>
  <si>
    <t>د. إجراءات التعامل مع الموانع.</t>
  </si>
  <si>
    <t>هـ. إجراءات التحول للهجوم عند التماس مع العدو.</t>
  </si>
  <si>
    <r>
      <t>3.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توضيع القوات لبدء الحركة حسب دورها في الخطة.</t>
    </r>
  </si>
  <si>
    <t>إجراءات التنفيذ.</t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</si>
  <si>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الحركة من منطقة التجمع حسب الأولوية والخطة الموضوعة كما يلي:</t>
    </r>
  </si>
  <si>
    <t>أ. بدء حركة عناصر حرس المقدمة وحسب التوقيتات في أمر العمليات.</t>
  </si>
  <si>
    <t>ب. حركة الجسم الرئيسي وحرس الأجنحة وحرس المؤخرة حسب خطة المناورة (التشكيلة وأسلوب الحركة والطرق).</t>
  </si>
  <si>
    <t>جـ. تموضع وحدة الإسناد الهندسي حسب الخطة.</t>
  </si>
  <si>
    <t>د. حركة وحدات الإسناد الناري حسب الخطة.</t>
  </si>
  <si>
    <t>هـ. حركة وتموضع قيادة الكتيبة/ مجموعة القتال.</t>
  </si>
  <si>
    <t>و. حركة الإسناد الإداري حسب الخطة.</t>
  </si>
  <si>
    <r>
      <t>2.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تطبيق إجراءات العمل عند التماس مع العدو كما يلي:</t>
    </r>
  </si>
  <si>
    <t>أ. الرد على العدو.</t>
  </si>
  <si>
    <t>ب. إبلاغ المستوى الأعلى بحصول التماس.</t>
  </si>
  <si>
    <t>جـ. تطوير الموقف.</t>
  </si>
  <si>
    <t>د. اتخاذ القرار للتعامل مع قوات العدو حسب الخيارات المتوفرة (الهجوم، التجاوز، الدفاع السريع).</t>
  </si>
  <si>
    <t>هـ. تنفيذ المناورة المناسبة لتنفيذ العمل الممكن.</t>
  </si>
  <si>
    <t>و. تقديم الإسناد الهندسي حسب الموقف.</t>
  </si>
  <si>
    <t>ز. تقديم الإسناد الناري حسب الموقف.</t>
  </si>
  <si>
    <t>ح. التقيد بقواعد الاشتباك.</t>
  </si>
  <si>
    <r>
      <rPr>
        <b/>
        <sz val="14"/>
        <color rgb="FF000000"/>
        <rFont val="Arial"/>
        <family val="2"/>
      </rPr>
      <t>تقييم الكتيبة/ مجموعة القتال في تنفيذ التقدم للتماس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</si>
</sst>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0"/>
      <color theme="1"/>
      <name val="Calibri Light"/>
      <family val="2"/>
    </font>
    <font>
      <sz val="12"/>
      <color rgb="FF000000"/>
      <name val="Arial"/>
      <family val="2"/>
    </font>
    <font>
      <sz val="7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13" fillId="0" borderId="3" xfId="0" applyFont="1" applyBorder="1" applyAlignment="1">
      <alignment vertical="center" wrapText="1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" fillId="5" borderId="24" xfId="0" applyFont="1" applyFill="1" applyBorder="1" applyAlignment="1">
      <alignment horizontal="right" vertical="center" wrapText="1" readingOrder="2"/>
    </xf>
    <xf numFmtId="0" fontId="1" fillId="5" borderId="25" xfId="0" applyFont="1" applyFill="1" applyBorder="1" applyAlignment="1">
      <alignment horizontal="right" vertical="center" wrapText="1" readingOrder="2"/>
    </xf>
    <xf numFmtId="0" fontId="1" fillId="5" borderId="26" xfId="0" applyFont="1" applyFill="1" applyBorder="1" applyAlignment="1">
      <alignment horizontal="right" vertical="center" wrapText="1" readingOrder="2"/>
    </xf>
    <xf numFmtId="0" fontId="14" fillId="0" borderId="23" xfId="0" applyFont="1" applyBorder="1" applyAlignment="1">
      <alignment horizontal="right" vertical="center" wrapText="1" indent="2" readingOrder="2"/>
    </xf>
    <xf numFmtId="0" fontId="14" fillId="0" borderId="3" xfId="0" applyFont="1" applyBorder="1" applyAlignment="1">
      <alignment horizontal="right" vertical="center" wrapText="1" indent="2" readingOrder="2"/>
    </xf>
    <xf numFmtId="0" fontId="14" fillId="0" borderId="23" xfId="0" applyFont="1" applyBorder="1" applyAlignment="1">
      <alignment horizontal="right" vertical="center" wrapText="1" readingOrder="2"/>
    </xf>
    <xf numFmtId="0" fontId="14" fillId="0" borderId="3" xfId="0" applyFont="1" applyBorder="1" applyAlignment="1">
      <alignment horizontal="right" vertical="center" wrapText="1" readingOrder="2"/>
    </xf>
    <xf numFmtId="0" fontId="14" fillId="0" borderId="11" xfId="0" applyFont="1" applyBorder="1" applyAlignment="1">
      <alignment horizontal="right" vertical="center" wrapText="1" readingOrder="2"/>
    </xf>
    <xf numFmtId="0" fontId="14" fillId="0" borderId="12" xfId="0" applyFont="1" applyBorder="1" applyAlignment="1">
      <alignment horizontal="right" vertical="center" wrapText="1" readingOrder="2"/>
    </xf>
    <xf numFmtId="0" fontId="14" fillId="0" borderId="23" xfId="0" applyFont="1" applyBorder="1" applyAlignment="1">
      <alignment horizontal="right" vertical="center" wrapText="1" indent="4" readingOrder="2"/>
    </xf>
    <xf numFmtId="0" fontId="14" fillId="0" borderId="3" xfId="0" applyFont="1" applyBorder="1" applyAlignment="1">
      <alignment horizontal="right" vertical="center" wrapText="1" indent="4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4" fillId="0" borderId="11" xfId="0" applyFont="1" applyBorder="1" applyAlignment="1">
      <alignment horizontal="right" vertical="center" wrapText="1" indent="2" readingOrder="2"/>
    </xf>
    <xf numFmtId="0" fontId="14" fillId="0" borderId="12" xfId="0" applyFont="1" applyBorder="1" applyAlignment="1">
      <alignment horizontal="right" vertical="center" wrapText="1" indent="2" readingOrder="2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27433</xdr:colOff>
      <xdr:row>59</xdr:row>
      <xdr:rowOff>215495</xdr:rowOff>
    </xdr:from>
    <xdr:to>
      <xdr:col>7</xdr:col>
      <xdr:colOff>47593</xdr:colOff>
      <xdr:row>59</xdr:row>
      <xdr:rowOff>216935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958DC824-2B57-E280-0675-20065CA3AABF}"/>
                </a:ext>
              </a:extLst>
            </xdr14:cNvPr>
            <xdr14:cNvContentPartPr/>
          </xdr14:nvContentPartPr>
          <xdr14:nvPr macro=""/>
          <xdr14:xfrm>
            <a:off x="10399855407" y="29183040"/>
            <a:ext cx="20160" cy="14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958DC824-2B57-E280-0675-20065CA3AAB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849287" y="29176920"/>
              <a:ext cx="32400" cy="1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14473</xdr:colOff>
      <xdr:row>59</xdr:row>
      <xdr:rowOff>102095</xdr:rowOff>
    </xdr:from>
    <xdr:to>
      <xdr:col>8</xdr:col>
      <xdr:colOff>4486</xdr:colOff>
      <xdr:row>59</xdr:row>
      <xdr:rowOff>555335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DAC79A6C-927F-126D-CCCE-7D31B37B41CA}"/>
                </a:ext>
              </a:extLst>
            </xdr14:cNvPr>
            <xdr14:cNvContentPartPr/>
          </xdr14:nvContentPartPr>
          <xdr14:nvPr macro=""/>
          <xdr14:xfrm>
            <a:off x="10399259607" y="29069640"/>
            <a:ext cx="628920" cy="4532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DAC79A6C-927F-126D-CCCE-7D31B37B41CA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9253487" y="29063520"/>
              <a:ext cx="641160" cy="46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199513</xdr:colOff>
      <xdr:row>59</xdr:row>
      <xdr:rowOff>374255</xdr:rowOff>
    </xdr:from>
    <xdr:to>
      <xdr:col>7</xdr:col>
      <xdr:colOff>233713</xdr:colOff>
      <xdr:row>59</xdr:row>
      <xdr:rowOff>391895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6140EA28-7802-62A0-CBB2-14CC7F074510}"/>
                </a:ext>
              </a:extLst>
            </xdr14:cNvPr>
            <xdr14:cNvContentPartPr/>
          </xdr14:nvContentPartPr>
          <xdr14:nvPr macro=""/>
          <xdr14:xfrm>
            <a:off x="10399669287" y="29341800"/>
            <a:ext cx="34200" cy="1764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6140EA28-7802-62A0-CBB2-14CC7F07451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399663167" y="29335680"/>
              <a:ext cx="46440" cy="298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7:17:29.1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56 1 5873,'0'0'0,"0"0"0,-17 0-352,-2 0-80,0 2-57,19-2-583,0 0 1072,0-1-2736,0 1 2736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7:17:30.7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1701 256 4705,'0'0'0,"-2"-1"208,-3-1-64,0 1-128,5 1-16,-4 0-40,1-2 32,1 1-32,2-1-8,0 2 48,0-1-96,0 1 16,0-1 16,0-1-1,0 2 65,0-1-32,0-1-8,0 2-8,0-1 56,0 1-8,0-2-8,0 0-8,0-1 32,0 0-24,0 3 8,0-4-8,0-1 16,0 1-24,0-2 24,0 6-8,2-4 8,3 0 0,-3 0 0,-2-1-40,0 5 32,5-4 0,2 1 0,3 0 0,-7 1 8,-3 2-8,4-2-8,1 1 16,7-1 8,-12 2 16,0 0-32,3 0 40,4 3-16,-7 0 8,2 1 113,-2-4-145,0 5 168,0-1 40,-5 7-16,-7-8-64,12-3-128,-4 11 120,-13-8 8,2 9-16,1-8 24,14-4-136,-15 11 160,3-8-72,-4 1 32,1 1-64,15-5-56,-12 2 56,7 1 0,-7-3 16,7 0-24,5 0-48,-4 0 24,1 0-24,1 0-56,2 0-96,0 0 152,-3-1-224,3-3-88,0-1-72,0 0 136,0 5 248,12-13-192,-9 7 56,9-8 64,-10 3 40,-2 11 32,3-12 24,11 7 16,-9-11 48,7 12 8,-12 4-96,2-13 80,10 10 104,-9-1 32,2-1-32,-5 5-184,2-2 160,-2 0-40,2 2-40,-2 0 0,0 0-80,0 0 136,0 3 64,0 11 16,-4-1 64,4-13-280,-20 19 256,6 2-88,-8 2 0,-2 2-40,24-25-128,-31 27 152,2-3 8,-5-1-8,-2-2-24,36-21-128,-33 20 128,-6-1 16,1-2 0,-6-1 72,44-16-216,-40 14 248,-9-3-23,4-7 7,1 9-56,44-13-176,-45 3 152,-1 1-8,0-1-32,8-3-48,38 0-64,-46 0 32,12-3-16,3-11 16,10 0 0,21 14-32,-13-19-104,9-2-96,1-5-184,3-3-41,0 29 425,17-36-432,0-4 32,7-1 96,5 1 96,-29 40 208,29-37-72,0 3 56,-1 3 40,-1 2 0,-27 29-24,24-22 24,0 2-8,-2 7 8,-8 9 0,-14 4-24,15-5-8,-11 4 40,1 1 24,-2 14 72,-3-14-128,-3 13 232,-11 8 48,-8 6 40,-7 6 1,29-33-321,-33 38 288,-6 2 72,-4 3 40,-5-2 48,48-41-448,-48 37 416,-3-3-48,-2-5-64,0-4-64,53-25-240,-53 24 208,0-2-48,3-5-16,-1-3-64,51-14-80,-53 4 104,3 9-64,4-13-24,8 0-72,38 0 56,-34-1-176,10-4-120,0-9-256,7 1-152,17 13 704,-2-15-784,-6-5-32,8-4 23,5-5 73,-5 29 720,20-31-656,1-5 136,3-1 152,5 2 136,-29 35 232,29-33-112,-3 3 112,1 6 40,-1 7 88,-26 17-128,20-11 192,-6 8 48,-4 2 80,-6-1 32,-4 2-352,3 0 392,-1 3 72,1 10 56,-3-2 121,0-11-641,0 14 752,-3 5 32,-18 4-72,-1 1-120,22-24-592,-24 28 456,-3-1-120,-1 0-64,-1 0-56,29-27-216,-29 24 144,5-1-32,2-2-72,1 1-8,21-22-32,-15 18-16,13 1-56,-1-1-88,3-1-184,0-17 344,17 17-536,7 0-72,12-2-32,5-3 32,-41-12 608,48 3-576,5 1-120,-5-4-65,3 0 89,-51 0 672,38 0-520,-6 0 224,-13 5 296,-14 9 160,-5-14-160,2 13 376,-2 2 288,-5 5 313,-14 6 215,19-26-1192,-29 33 1224,-9 6 120,-11 7-95,-6 4-33,55-50-1216,-60 52 1240,-5 4-200,5-2-135,5 1-193,55-55-712,-53 53 528,12-5-224,14-7-128,13-8-128,14-33-48,0 23-24,12-6 0,12-6 40,22-11-32,-46 0 16,62-1 0,22-19-88,17-14-168,17-12-272,-118 46 528,128-58-1008,4-3-369,5-3-1015,-2 0-1425,-135 64 3817,130-60-3217,-8 9-2824,-122 51 6041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7:17:31.2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46 49 20868,'0'0'0,"-16"-16"992,16 16-992,-8-4 416,-9-10 8,17 12-88,-2 1-280,2 1-56,-2-2-432,2 1-568,4 1-920,16 0-2601,-20 0 4521,33-4-4897,3-1-2713,-36 5 7610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60"/>
  <sheetViews>
    <sheetView rightToLeft="1" tabSelected="1" view="pageBreakPreview" zoomScale="130" zoomScaleNormal="100" zoomScaleSheetLayoutView="130" workbookViewId="0">
      <selection activeCell="C2" sqref="C2:D2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8" t="s">
        <v>224</v>
      </c>
      <c r="C1" s="68"/>
      <c r="D1" s="68"/>
      <c r="E1" s="68"/>
      <c r="F1" s="68"/>
      <c r="G1" s="68"/>
      <c r="H1" s="68"/>
      <c r="I1" s="68"/>
      <c r="J1" s="68"/>
    </row>
    <row r="2" spans="1:10" ht="30" customHeight="1" x14ac:dyDescent="0.3">
      <c r="B2" s="12" t="s">
        <v>8</v>
      </c>
      <c r="C2" s="74" t="s">
        <v>45</v>
      </c>
      <c r="D2" s="74"/>
      <c r="E2" s="12" t="s">
        <v>7</v>
      </c>
      <c r="F2" s="69">
        <v>45953</v>
      </c>
      <c r="G2" s="69"/>
      <c r="H2" s="69"/>
      <c r="I2" s="69"/>
      <c r="J2" s="69"/>
    </row>
    <row r="3" spans="1:10" ht="30" customHeight="1" x14ac:dyDescent="0.3">
      <c r="B3" s="12" t="s">
        <v>9</v>
      </c>
      <c r="C3" s="74" t="s">
        <v>85</v>
      </c>
      <c r="D3" s="74"/>
      <c r="E3" s="12" t="s">
        <v>6</v>
      </c>
      <c r="F3" s="74" t="s">
        <v>100</v>
      </c>
      <c r="G3" s="74"/>
      <c r="H3" s="74"/>
      <c r="I3" s="74"/>
      <c r="J3" s="74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70" t="s">
        <v>0</v>
      </c>
      <c r="C5" s="71"/>
      <c r="D5" s="71"/>
      <c r="E5" s="79" t="s">
        <v>1</v>
      </c>
      <c r="F5" s="79"/>
      <c r="G5" s="79"/>
      <c r="H5" s="79"/>
      <c r="I5" s="79" t="s">
        <v>2</v>
      </c>
      <c r="J5" s="80"/>
    </row>
    <row r="6" spans="1:10" ht="24.9" customHeight="1" thickBot="1" x14ac:dyDescent="0.35">
      <c r="A6" s="10"/>
      <c r="B6" s="72"/>
      <c r="C6" s="73"/>
      <c r="D6" s="73"/>
      <c r="E6" s="11" t="s">
        <v>3</v>
      </c>
      <c r="F6" s="11" t="s">
        <v>4</v>
      </c>
      <c r="G6" s="11" t="s">
        <v>23</v>
      </c>
      <c r="H6" s="11" t="s">
        <v>24</v>
      </c>
      <c r="I6" s="81"/>
      <c r="J6" s="82"/>
    </row>
    <row r="7" spans="1:10" ht="24.9" customHeight="1" thickBot="1" x14ac:dyDescent="0.35">
      <c r="A7" s="10"/>
      <c r="B7" s="77" t="s">
        <v>21</v>
      </c>
      <c r="C7" s="78"/>
      <c r="D7" s="78"/>
      <c r="E7" s="28" t="s">
        <v>18</v>
      </c>
      <c r="F7" s="28" t="s">
        <v>19</v>
      </c>
      <c r="G7" s="28" t="s">
        <v>22</v>
      </c>
      <c r="H7" s="28" t="s">
        <v>20</v>
      </c>
      <c r="I7" s="83" t="s">
        <v>25</v>
      </c>
      <c r="J7" s="84"/>
    </row>
    <row r="8" spans="1:10" ht="39.9" customHeight="1" x14ac:dyDescent="0.3">
      <c r="A8" s="10"/>
      <c r="B8" s="36" t="s">
        <v>176</v>
      </c>
      <c r="C8" s="37"/>
      <c r="D8" s="37"/>
      <c r="E8" s="37"/>
      <c r="F8" s="37"/>
      <c r="G8" s="37"/>
      <c r="H8" s="37"/>
      <c r="I8" s="37"/>
      <c r="J8" s="38"/>
    </row>
    <row r="9" spans="1:10" ht="39.9" customHeight="1" x14ac:dyDescent="0.3">
      <c r="A9" s="10"/>
      <c r="B9" s="41" t="s">
        <v>177</v>
      </c>
      <c r="C9" s="42"/>
      <c r="D9" s="42"/>
      <c r="E9" s="30"/>
      <c r="F9" s="26"/>
      <c r="G9" s="31"/>
      <c r="H9" s="32"/>
      <c r="I9" s="47"/>
      <c r="J9" s="48"/>
    </row>
    <row r="10" spans="1:10" ht="39.9" customHeight="1" x14ac:dyDescent="0.3">
      <c r="A10" s="10"/>
      <c r="B10" s="39" t="s">
        <v>178</v>
      </c>
      <c r="C10" s="40"/>
      <c r="D10" s="40"/>
      <c r="E10" s="9">
        <v>5</v>
      </c>
      <c r="F10" s="26">
        <v>4</v>
      </c>
      <c r="G10" s="31">
        <f t="shared" ref="G10:G55" si="0">IFERROR(F10/E10,"")</f>
        <v>0.8</v>
      </c>
      <c r="H10" s="32" t="str">
        <f t="shared" ref="H10:H55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47"/>
      <c r="J10" s="48"/>
    </row>
    <row r="11" spans="1:10" ht="39.9" customHeight="1" x14ac:dyDescent="0.3">
      <c r="A11" s="10"/>
      <c r="B11" s="39" t="s">
        <v>179</v>
      </c>
      <c r="C11" s="40"/>
      <c r="D11" s="40"/>
      <c r="E11" s="9">
        <v>5</v>
      </c>
      <c r="F11" s="26">
        <v>4</v>
      </c>
      <c r="G11" s="31">
        <f t="shared" si="0"/>
        <v>0.8</v>
      </c>
      <c r="H11" s="32" t="str">
        <f t="shared" si="1"/>
        <v>جيد جداً</v>
      </c>
      <c r="I11" s="47"/>
      <c r="J11" s="48"/>
    </row>
    <row r="12" spans="1:10" ht="39.9" customHeight="1" x14ac:dyDescent="0.3">
      <c r="A12" s="10"/>
      <c r="B12" s="39" t="s">
        <v>180</v>
      </c>
      <c r="C12" s="40"/>
      <c r="D12" s="40"/>
      <c r="E12" s="9">
        <v>5</v>
      </c>
      <c r="F12" s="26">
        <v>3.75</v>
      </c>
      <c r="G12" s="31">
        <f t="shared" si="0"/>
        <v>0.75</v>
      </c>
      <c r="H12" s="32" t="str">
        <f t="shared" si="1"/>
        <v>جيد</v>
      </c>
      <c r="I12" s="47"/>
      <c r="J12" s="48"/>
    </row>
    <row r="13" spans="1:10" ht="39.9" customHeight="1" x14ac:dyDescent="0.3">
      <c r="A13" s="10"/>
      <c r="B13" s="39" t="s">
        <v>181</v>
      </c>
      <c r="C13" s="40"/>
      <c r="D13" s="40"/>
      <c r="E13" s="30"/>
      <c r="F13" s="26"/>
      <c r="G13" s="31"/>
      <c r="H13" s="32"/>
      <c r="I13" s="47"/>
      <c r="J13" s="48"/>
    </row>
    <row r="14" spans="1:10" ht="39.9" customHeight="1" x14ac:dyDescent="0.3">
      <c r="A14" s="10"/>
      <c r="B14" s="45" t="s">
        <v>182</v>
      </c>
      <c r="C14" s="46"/>
      <c r="D14" s="46"/>
      <c r="E14" s="9">
        <v>5</v>
      </c>
      <c r="F14" s="26">
        <v>4</v>
      </c>
      <c r="G14" s="31">
        <f t="shared" si="0"/>
        <v>0.8</v>
      </c>
      <c r="H14" s="32" t="str">
        <f t="shared" si="1"/>
        <v>جيد جداً</v>
      </c>
      <c r="I14" s="47"/>
      <c r="J14" s="48"/>
    </row>
    <row r="15" spans="1:10" ht="39.9" customHeight="1" x14ac:dyDescent="0.3">
      <c r="A15" s="10"/>
      <c r="B15" s="45" t="s">
        <v>183</v>
      </c>
      <c r="C15" s="46"/>
      <c r="D15" s="46"/>
      <c r="E15" s="9">
        <v>5</v>
      </c>
      <c r="F15" s="26">
        <v>3.75</v>
      </c>
      <c r="G15" s="31">
        <f t="shared" si="0"/>
        <v>0.75</v>
      </c>
      <c r="H15" s="32" t="str">
        <f t="shared" si="1"/>
        <v>جيد</v>
      </c>
      <c r="I15" s="47"/>
      <c r="J15" s="48"/>
    </row>
    <row r="16" spans="1:10" ht="50.1" customHeight="1" x14ac:dyDescent="0.3">
      <c r="A16" s="10"/>
      <c r="B16" s="45" t="s">
        <v>184</v>
      </c>
      <c r="C16" s="46"/>
      <c r="D16" s="46"/>
      <c r="E16" s="9">
        <v>5</v>
      </c>
      <c r="F16" s="26">
        <v>4</v>
      </c>
      <c r="G16" s="31">
        <f t="shared" si="0"/>
        <v>0.8</v>
      </c>
      <c r="H16" s="32" t="str">
        <f t="shared" si="1"/>
        <v>جيد جداً</v>
      </c>
      <c r="I16" s="47"/>
      <c r="J16" s="48"/>
    </row>
    <row r="17" spans="1:10" ht="39.9" customHeight="1" x14ac:dyDescent="0.3">
      <c r="A17" s="10"/>
      <c r="B17" s="45" t="s">
        <v>185</v>
      </c>
      <c r="C17" s="46"/>
      <c r="D17" s="46"/>
      <c r="E17" s="9">
        <v>5</v>
      </c>
      <c r="F17" s="26">
        <v>4</v>
      </c>
      <c r="G17" s="31">
        <f t="shared" si="0"/>
        <v>0.8</v>
      </c>
      <c r="H17" s="32" t="str">
        <f t="shared" si="1"/>
        <v>جيد جداً</v>
      </c>
      <c r="I17" s="47"/>
      <c r="J17" s="48"/>
    </row>
    <row r="18" spans="1:10" ht="39.9" customHeight="1" x14ac:dyDescent="0.3">
      <c r="A18" s="10"/>
      <c r="B18" s="45" t="s">
        <v>186</v>
      </c>
      <c r="C18" s="46"/>
      <c r="D18" s="46"/>
      <c r="E18" s="9">
        <v>5</v>
      </c>
      <c r="F18" s="26">
        <v>4</v>
      </c>
      <c r="G18" s="31">
        <f t="shared" si="0"/>
        <v>0.8</v>
      </c>
      <c r="H18" s="32" t="str">
        <f t="shared" si="1"/>
        <v>جيد جداً</v>
      </c>
      <c r="I18" s="47"/>
      <c r="J18" s="48"/>
    </row>
    <row r="19" spans="1:10" ht="39.9" customHeight="1" x14ac:dyDescent="0.3">
      <c r="A19" s="10"/>
      <c r="B19" s="39" t="s">
        <v>187</v>
      </c>
      <c r="C19" s="40"/>
      <c r="D19" s="40"/>
      <c r="E19" s="9">
        <v>5</v>
      </c>
      <c r="F19" s="26">
        <v>4</v>
      </c>
      <c r="G19" s="31">
        <f t="shared" si="0"/>
        <v>0.8</v>
      </c>
      <c r="H19" s="32" t="str">
        <f t="shared" si="1"/>
        <v>جيد جداً</v>
      </c>
      <c r="I19" s="47"/>
      <c r="J19" s="48"/>
    </row>
    <row r="20" spans="1:10" ht="39.9" customHeight="1" x14ac:dyDescent="0.3">
      <c r="A20" s="10"/>
      <c r="B20" s="39" t="s">
        <v>188</v>
      </c>
      <c r="C20" s="40"/>
      <c r="D20" s="40"/>
      <c r="E20" s="30"/>
      <c r="F20" s="26"/>
      <c r="G20" s="31"/>
      <c r="H20" s="32"/>
      <c r="I20" s="47"/>
      <c r="J20" s="48"/>
    </row>
    <row r="21" spans="1:10" ht="39.9" customHeight="1" x14ac:dyDescent="0.3">
      <c r="A21" s="10"/>
      <c r="B21" s="45" t="s">
        <v>189</v>
      </c>
      <c r="C21" s="46"/>
      <c r="D21" s="46"/>
      <c r="E21" s="9">
        <v>5</v>
      </c>
      <c r="F21" s="26">
        <v>3.75</v>
      </c>
      <c r="G21" s="31">
        <f t="shared" si="0"/>
        <v>0.75</v>
      </c>
      <c r="H21" s="32" t="str">
        <f t="shared" si="1"/>
        <v>جيد</v>
      </c>
      <c r="I21" s="47"/>
      <c r="J21" s="48"/>
    </row>
    <row r="22" spans="1:10" ht="39.9" customHeight="1" x14ac:dyDescent="0.3">
      <c r="A22" s="10"/>
      <c r="B22" s="45" t="s">
        <v>190</v>
      </c>
      <c r="C22" s="46"/>
      <c r="D22" s="46"/>
      <c r="E22" s="9">
        <v>5</v>
      </c>
      <c r="F22" s="26">
        <v>3.75</v>
      </c>
      <c r="G22" s="31">
        <f t="shared" si="0"/>
        <v>0.75</v>
      </c>
      <c r="H22" s="32" t="str">
        <f t="shared" si="1"/>
        <v>جيد</v>
      </c>
      <c r="I22" s="47"/>
      <c r="J22" s="48"/>
    </row>
    <row r="23" spans="1:10" ht="39.9" customHeight="1" x14ac:dyDescent="0.3">
      <c r="A23" s="10"/>
      <c r="B23" s="45" t="s">
        <v>191</v>
      </c>
      <c r="C23" s="46"/>
      <c r="D23" s="46"/>
      <c r="E23" s="9">
        <v>5</v>
      </c>
      <c r="F23" s="26">
        <v>3.75</v>
      </c>
      <c r="G23" s="31">
        <f t="shared" si="0"/>
        <v>0.75</v>
      </c>
      <c r="H23" s="32" t="str">
        <f t="shared" si="1"/>
        <v>جيد</v>
      </c>
      <c r="I23" s="47"/>
      <c r="J23" s="48"/>
    </row>
    <row r="24" spans="1:10" ht="39.9" customHeight="1" x14ac:dyDescent="0.3">
      <c r="A24" s="10"/>
      <c r="B24" s="45" t="s">
        <v>192</v>
      </c>
      <c r="C24" s="46"/>
      <c r="D24" s="46"/>
      <c r="E24" s="9">
        <v>5</v>
      </c>
      <c r="F24" s="26">
        <v>3.75</v>
      </c>
      <c r="G24" s="31">
        <f t="shared" si="0"/>
        <v>0.75</v>
      </c>
      <c r="H24" s="32" t="str">
        <f t="shared" si="1"/>
        <v>جيد</v>
      </c>
      <c r="I24" s="47"/>
      <c r="J24" s="48"/>
    </row>
    <row r="25" spans="1:10" ht="39.9" customHeight="1" thickBot="1" x14ac:dyDescent="0.35">
      <c r="A25" s="10"/>
      <c r="B25" s="49" t="s">
        <v>193</v>
      </c>
      <c r="C25" s="50"/>
      <c r="D25" s="50"/>
      <c r="E25" s="33">
        <v>5</v>
      </c>
      <c r="F25" s="27">
        <v>3.75</v>
      </c>
      <c r="G25" s="34">
        <f t="shared" si="0"/>
        <v>0.75</v>
      </c>
      <c r="H25" s="35" t="str">
        <f t="shared" si="1"/>
        <v>جيد</v>
      </c>
      <c r="I25" s="61"/>
      <c r="J25" s="62"/>
    </row>
    <row r="26" spans="1:10" ht="39.9" customHeight="1" x14ac:dyDescent="0.3">
      <c r="A26" s="10"/>
      <c r="B26" s="36" t="s">
        <v>194</v>
      </c>
      <c r="C26" s="37"/>
      <c r="D26" s="37"/>
      <c r="E26" s="37"/>
      <c r="F26" s="37"/>
      <c r="G26" s="37"/>
      <c r="H26" s="37"/>
      <c r="I26" s="37"/>
      <c r="J26" s="38"/>
    </row>
    <row r="27" spans="1:10" ht="50.1" customHeight="1" x14ac:dyDescent="0.3">
      <c r="A27" s="10"/>
      <c r="B27" s="41" t="s">
        <v>195</v>
      </c>
      <c r="C27" s="42"/>
      <c r="D27" s="42"/>
      <c r="E27" s="9"/>
      <c r="F27" s="26"/>
      <c r="G27" s="31"/>
      <c r="H27" s="32"/>
      <c r="I27" s="47"/>
      <c r="J27" s="48"/>
    </row>
    <row r="28" spans="1:10" ht="39.9" customHeight="1" x14ac:dyDescent="0.3">
      <c r="A28" s="10"/>
      <c r="B28" s="39" t="s">
        <v>196</v>
      </c>
      <c r="C28" s="40"/>
      <c r="D28" s="40"/>
      <c r="E28" s="9">
        <v>5</v>
      </c>
      <c r="F28" s="26">
        <v>3.75</v>
      </c>
      <c r="G28" s="31">
        <f t="shared" si="0"/>
        <v>0.75</v>
      </c>
      <c r="H28" s="32" t="str">
        <f t="shared" si="1"/>
        <v>جيد</v>
      </c>
      <c r="I28" s="47"/>
      <c r="J28" s="48"/>
    </row>
    <row r="29" spans="1:10" ht="39.9" customHeight="1" x14ac:dyDescent="0.3">
      <c r="A29" s="10"/>
      <c r="B29" s="39" t="s">
        <v>197</v>
      </c>
      <c r="C29" s="40"/>
      <c r="D29" s="40"/>
      <c r="E29" s="9">
        <v>5</v>
      </c>
      <c r="F29" s="26">
        <v>3.75</v>
      </c>
      <c r="G29" s="31">
        <f t="shared" si="0"/>
        <v>0.75</v>
      </c>
      <c r="H29" s="32" t="str">
        <f t="shared" si="1"/>
        <v>جيد</v>
      </c>
      <c r="I29" s="47"/>
      <c r="J29" s="48"/>
    </row>
    <row r="30" spans="1:10" ht="39.9" customHeight="1" x14ac:dyDescent="0.3">
      <c r="A30" s="10"/>
      <c r="B30" s="39" t="s">
        <v>198</v>
      </c>
      <c r="C30" s="40"/>
      <c r="D30" s="40"/>
      <c r="E30" s="9">
        <v>5</v>
      </c>
      <c r="F30" s="26">
        <v>3.75</v>
      </c>
      <c r="G30" s="31">
        <f t="shared" si="0"/>
        <v>0.75</v>
      </c>
      <c r="H30" s="32" t="str">
        <f t="shared" si="1"/>
        <v>جيد</v>
      </c>
      <c r="I30" s="47"/>
      <c r="J30" s="48"/>
    </row>
    <row r="31" spans="1:10" ht="39.9" customHeight="1" x14ac:dyDescent="0.3">
      <c r="A31" s="10"/>
      <c r="B31" s="39" t="s">
        <v>199</v>
      </c>
      <c r="C31" s="40"/>
      <c r="D31" s="40"/>
      <c r="E31" s="9">
        <v>5</v>
      </c>
      <c r="F31" s="26">
        <v>3.75</v>
      </c>
      <c r="G31" s="31">
        <f t="shared" si="0"/>
        <v>0.75</v>
      </c>
      <c r="H31" s="32" t="str">
        <f t="shared" si="1"/>
        <v>جيد</v>
      </c>
      <c r="I31" s="47"/>
      <c r="J31" s="48"/>
    </row>
    <row r="32" spans="1:10" ht="39.9" customHeight="1" x14ac:dyDescent="0.3">
      <c r="A32" s="10"/>
      <c r="B32" s="41" t="s">
        <v>200</v>
      </c>
      <c r="C32" s="42"/>
      <c r="D32" s="42"/>
      <c r="E32" s="30"/>
      <c r="F32" s="26"/>
      <c r="G32" s="31"/>
      <c r="H32" s="32"/>
      <c r="I32" s="47"/>
      <c r="J32" s="48"/>
    </row>
    <row r="33" spans="1:10" ht="39.9" customHeight="1" x14ac:dyDescent="0.3">
      <c r="A33" s="10"/>
      <c r="B33" s="39" t="s">
        <v>201</v>
      </c>
      <c r="C33" s="40"/>
      <c r="D33" s="40"/>
      <c r="E33" s="9">
        <v>5</v>
      </c>
      <c r="F33" s="26">
        <v>4</v>
      </c>
      <c r="G33" s="31">
        <f t="shared" si="0"/>
        <v>0.8</v>
      </c>
      <c r="H33" s="32" t="str">
        <f t="shared" si="1"/>
        <v>جيد جداً</v>
      </c>
      <c r="I33" s="47"/>
      <c r="J33" s="48"/>
    </row>
    <row r="34" spans="1:10" ht="39.9" customHeight="1" x14ac:dyDescent="0.3">
      <c r="A34" s="10"/>
      <c r="B34" s="39" t="s">
        <v>202</v>
      </c>
      <c r="C34" s="40"/>
      <c r="D34" s="40"/>
      <c r="E34" s="9">
        <v>5</v>
      </c>
      <c r="F34" s="26">
        <v>4</v>
      </c>
      <c r="G34" s="31">
        <f t="shared" si="0"/>
        <v>0.8</v>
      </c>
      <c r="H34" s="32" t="str">
        <f t="shared" si="1"/>
        <v>جيد جداً</v>
      </c>
      <c r="I34" s="47"/>
      <c r="J34" s="48"/>
    </row>
    <row r="35" spans="1:10" ht="39.9" customHeight="1" x14ac:dyDescent="0.3">
      <c r="A35" s="10"/>
      <c r="B35" s="39" t="s">
        <v>203</v>
      </c>
      <c r="C35" s="40"/>
      <c r="D35" s="40"/>
      <c r="E35" s="9">
        <v>5</v>
      </c>
      <c r="F35" s="26">
        <v>4</v>
      </c>
      <c r="G35" s="31">
        <f t="shared" si="0"/>
        <v>0.8</v>
      </c>
      <c r="H35" s="32" t="str">
        <f t="shared" si="1"/>
        <v>جيد جداً</v>
      </c>
      <c r="I35" s="47"/>
      <c r="J35" s="48"/>
    </row>
    <row r="36" spans="1:10" ht="39.9" customHeight="1" x14ac:dyDescent="0.3">
      <c r="A36" s="10"/>
      <c r="B36" s="39" t="s">
        <v>204</v>
      </c>
      <c r="C36" s="40"/>
      <c r="D36" s="40"/>
      <c r="E36" s="9">
        <v>5</v>
      </c>
      <c r="F36" s="26">
        <v>4</v>
      </c>
      <c r="G36" s="31">
        <f t="shared" si="0"/>
        <v>0.8</v>
      </c>
      <c r="H36" s="32" t="str">
        <f t="shared" si="1"/>
        <v>جيد جداً</v>
      </c>
      <c r="I36" s="47"/>
      <c r="J36" s="48"/>
    </row>
    <row r="37" spans="1:10" ht="39.9" customHeight="1" x14ac:dyDescent="0.3">
      <c r="A37" s="10"/>
      <c r="B37" s="39" t="s">
        <v>205</v>
      </c>
      <c r="C37" s="40"/>
      <c r="D37" s="40"/>
      <c r="E37" s="9">
        <v>5</v>
      </c>
      <c r="F37" s="26">
        <v>4</v>
      </c>
      <c r="G37" s="31">
        <f t="shared" si="0"/>
        <v>0.8</v>
      </c>
      <c r="H37" s="32" t="str">
        <f t="shared" si="1"/>
        <v>جيد جداً</v>
      </c>
      <c r="I37" s="47"/>
      <c r="J37" s="48"/>
    </row>
    <row r="38" spans="1:10" ht="39.9" customHeight="1" thickBot="1" x14ac:dyDescent="0.35">
      <c r="A38" s="10"/>
      <c r="B38" s="43" t="s">
        <v>206</v>
      </c>
      <c r="C38" s="44"/>
      <c r="D38" s="44"/>
      <c r="E38" s="33">
        <v>5</v>
      </c>
      <c r="F38" s="27">
        <v>4</v>
      </c>
      <c r="G38" s="34">
        <f t="shared" si="0"/>
        <v>0.8</v>
      </c>
      <c r="H38" s="35" t="str">
        <f t="shared" si="1"/>
        <v>جيد جداً</v>
      </c>
      <c r="I38" s="61"/>
      <c r="J38" s="62"/>
    </row>
    <row r="39" spans="1:10" ht="39.9" customHeight="1" x14ac:dyDescent="0.3">
      <c r="A39" s="10"/>
      <c r="B39" s="36" t="s">
        <v>207</v>
      </c>
      <c r="C39" s="37"/>
      <c r="D39" s="37"/>
      <c r="E39" s="37"/>
      <c r="F39" s="37"/>
      <c r="G39" s="37"/>
      <c r="H39" s="37"/>
      <c r="I39" s="37"/>
      <c r="J39" s="38"/>
    </row>
    <row r="40" spans="1:10" ht="39.9" customHeight="1" x14ac:dyDescent="0.3">
      <c r="A40" s="10"/>
      <c r="B40" s="41" t="s">
        <v>208</v>
      </c>
      <c r="C40" s="42"/>
      <c r="D40" s="42"/>
      <c r="E40" s="9"/>
      <c r="F40" s="26"/>
      <c r="G40" s="31"/>
      <c r="H40" s="32"/>
      <c r="I40" s="47"/>
      <c r="J40" s="48"/>
    </row>
    <row r="41" spans="1:10" ht="39.9" customHeight="1" x14ac:dyDescent="0.3">
      <c r="A41" s="10"/>
      <c r="B41" s="39" t="s">
        <v>209</v>
      </c>
      <c r="C41" s="40"/>
      <c r="D41" s="40"/>
      <c r="E41" s="9">
        <v>5</v>
      </c>
      <c r="F41" s="26">
        <v>4.25</v>
      </c>
      <c r="G41" s="31">
        <f t="shared" si="0"/>
        <v>0.85</v>
      </c>
      <c r="H41" s="32" t="str">
        <f t="shared" si="1"/>
        <v>جيد جداً</v>
      </c>
      <c r="I41" s="47"/>
      <c r="J41" s="48"/>
    </row>
    <row r="42" spans="1:10" ht="39.9" customHeight="1" x14ac:dyDescent="0.3">
      <c r="A42" s="10"/>
      <c r="B42" s="39" t="s">
        <v>210</v>
      </c>
      <c r="C42" s="40"/>
      <c r="D42" s="40"/>
      <c r="E42" s="9">
        <v>5</v>
      </c>
      <c r="F42" s="26">
        <v>4</v>
      </c>
      <c r="G42" s="31">
        <f t="shared" si="0"/>
        <v>0.8</v>
      </c>
      <c r="H42" s="32" t="str">
        <f t="shared" si="1"/>
        <v>جيد جداً</v>
      </c>
      <c r="I42" s="47"/>
      <c r="J42" s="48"/>
    </row>
    <row r="43" spans="1:10" ht="39.9" customHeight="1" x14ac:dyDescent="0.3">
      <c r="A43" s="10"/>
      <c r="B43" s="39" t="s">
        <v>211</v>
      </c>
      <c r="C43" s="40"/>
      <c r="D43" s="40"/>
      <c r="E43" s="9">
        <v>5</v>
      </c>
      <c r="F43" s="26">
        <v>3.75</v>
      </c>
      <c r="G43" s="31">
        <f t="shared" si="0"/>
        <v>0.75</v>
      </c>
      <c r="H43" s="32" t="str">
        <f t="shared" si="1"/>
        <v>جيد</v>
      </c>
      <c r="I43" s="47"/>
      <c r="J43" s="48"/>
    </row>
    <row r="44" spans="1:10" ht="39.9" customHeight="1" x14ac:dyDescent="0.3">
      <c r="A44" s="10"/>
      <c r="B44" s="39" t="s">
        <v>212</v>
      </c>
      <c r="C44" s="40"/>
      <c r="D44" s="40"/>
      <c r="E44" s="9">
        <v>5</v>
      </c>
      <c r="F44" s="26">
        <v>3.75</v>
      </c>
      <c r="G44" s="31">
        <f t="shared" si="0"/>
        <v>0.75</v>
      </c>
      <c r="H44" s="32" t="str">
        <f t="shared" si="1"/>
        <v>جيد</v>
      </c>
      <c r="I44" s="47"/>
      <c r="J44" s="48"/>
    </row>
    <row r="45" spans="1:10" ht="39.9" customHeight="1" x14ac:dyDescent="0.3">
      <c r="A45" s="10"/>
      <c r="B45" s="39" t="s">
        <v>213</v>
      </c>
      <c r="C45" s="40"/>
      <c r="D45" s="40"/>
      <c r="E45" s="9">
        <v>5</v>
      </c>
      <c r="F45" s="26">
        <v>4</v>
      </c>
      <c r="G45" s="31">
        <f t="shared" si="0"/>
        <v>0.8</v>
      </c>
      <c r="H45" s="32" t="str">
        <f t="shared" si="1"/>
        <v>جيد جداً</v>
      </c>
      <c r="I45" s="47"/>
      <c r="J45" s="48"/>
    </row>
    <row r="46" spans="1:10" ht="39.9" customHeight="1" x14ac:dyDescent="0.3">
      <c r="A46" s="10"/>
      <c r="B46" s="39" t="s">
        <v>214</v>
      </c>
      <c r="C46" s="40"/>
      <c r="D46" s="40"/>
      <c r="E46" s="9">
        <v>5</v>
      </c>
      <c r="F46" s="26">
        <v>3.75</v>
      </c>
      <c r="G46" s="31">
        <f t="shared" si="0"/>
        <v>0.75</v>
      </c>
      <c r="H46" s="32" t="str">
        <f t="shared" si="1"/>
        <v>جيد</v>
      </c>
      <c r="I46" s="47"/>
      <c r="J46" s="48"/>
    </row>
    <row r="47" spans="1:10" ht="39.9" customHeight="1" x14ac:dyDescent="0.3">
      <c r="A47" s="10"/>
      <c r="B47" s="41" t="s">
        <v>215</v>
      </c>
      <c r="C47" s="42"/>
      <c r="D47" s="42"/>
      <c r="E47" s="30"/>
      <c r="F47" s="26"/>
      <c r="G47" s="31"/>
      <c r="H47" s="32"/>
      <c r="I47" s="47"/>
      <c r="J47" s="48"/>
    </row>
    <row r="48" spans="1:10" ht="39.9" customHeight="1" x14ac:dyDescent="0.3">
      <c r="A48" s="10"/>
      <c r="B48" s="39" t="s">
        <v>216</v>
      </c>
      <c r="C48" s="40"/>
      <c r="D48" s="40"/>
      <c r="E48" s="9">
        <v>5</v>
      </c>
      <c r="F48" s="26">
        <v>4</v>
      </c>
      <c r="G48" s="31">
        <f t="shared" si="0"/>
        <v>0.8</v>
      </c>
      <c r="H48" s="32" t="str">
        <f t="shared" si="1"/>
        <v>جيد جداً</v>
      </c>
      <c r="I48" s="47"/>
      <c r="J48" s="48"/>
    </row>
    <row r="49" spans="1:10" ht="39.9" customHeight="1" x14ac:dyDescent="0.3">
      <c r="A49" s="10"/>
      <c r="B49" s="39" t="s">
        <v>217</v>
      </c>
      <c r="C49" s="40"/>
      <c r="D49" s="40"/>
      <c r="E49" s="9">
        <v>5</v>
      </c>
      <c r="F49" s="26">
        <v>4</v>
      </c>
      <c r="G49" s="31">
        <f t="shared" si="0"/>
        <v>0.8</v>
      </c>
      <c r="H49" s="32" t="str">
        <f t="shared" si="1"/>
        <v>جيد جداً</v>
      </c>
      <c r="I49" s="47"/>
      <c r="J49" s="48"/>
    </row>
    <row r="50" spans="1:10" ht="39.9" customHeight="1" x14ac:dyDescent="0.3">
      <c r="A50" s="10"/>
      <c r="B50" s="39" t="s">
        <v>218</v>
      </c>
      <c r="C50" s="40"/>
      <c r="D50" s="40"/>
      <c r="E50" s="9">
        <v>5</v>
      </c>
      <c r="F50" s="26">
        <v>4</v>
      </c>
      <c r="G50" s="31">
        <f t="shared" si="0"/>
        <v>0.8</v>
      </c>
      <c r="H50" s="32" t="str">
        <f t="shared" si="1"/>
        <v>جيد جداً</v>
      </c>
      <c r="I50" s="47"/>
      <c r="J50" s="48"/>
    </row>
    <row r="51" spans="1:10" ht="39.9" customHeight="1" x14ac:dyDescent="0.3">
      <c r="A51" s="10"/>
      <c r="B51" s="39" t="s">
        <v>219</v>
      </c>
      <c r="C51" s="40"/>
      <c r="D51" s="40"/>
      <c r="E51" s="9">
        <v>5</v>
      </c>
      <c r="F51" s="26">
        <v>4.25</v>
      </c>
      <c r="G51" s="31">
        <f t="shared" si="0"/>
        <v>0.85</v>
      </c>
      <c r="H51" s="32" t="str">
        <f t="shared" si="1"/>
        <v>جيد جداً</v>
      </c>
      <c r="I51" s="47"/>
      <c r="J51" s="48"/>
    </row>
    <row r="52" spans="1:10" ht="39.9" customHeight="1" x14ac:dyDescent="0.3">
      <c r="A52" s="10"/>
      <c r="B52" s="39" t="s">
        <v>220</v>
      </c>
      <c r="C52" s="40"/>
      <c r="D52" s="40"/>
      <c r="E52" s="9">
        <v>5</v>
      </c>
      <c r="F52" s="26">
        <v>4</v>
      </c>
      <c r="G52" s="31">
        <f t="shared" si="0"/>
        <v>0.8</v>
      </c>
      <c r="H52" s="32" t="str">
        <f t="shared" si="1"/>
        <v>جيد جداً</v>
      </c>
      <c r="I52" s="47"/>
      <c r="J52" s="48"/>
    </row>
    <row r="53" spans="1:10" ht="39.9" customHeight="1" x14ac:dyDescent="0.3">
      <c r="A53" s="10"/>
      <c r="B53" s="39" t="s">
        <v>221</v>
      </c>
      <c r="C53" s="40"/>
      <c r="D53" s="40"/>
      <c r="E53" s="9">
        <v>5</v>
      </c>
      <c r="F53" s="26">
        <v>3.75</v>
      </c>
      <c r="G53" s="31">
        <f t="shared" si="0"/>
        <v>0.75</v>
      </c>
      <c r="H53" s="32" t="str">
        <f t="shared" si="1"/>
        <v>جيد</v>
      </c>
      <c r="I53" s="47"/>
      <c r="J53" s="48"/>
    </row>
    <row r="54" spans="1:10" ht="39.9" customHeight="1" x14ac:dyDescent="0.3">
      <c r="A54" s="10"/>
      <c r="B54" s="39" t="s">
        <v>222</v>
      </c>
      <c r="C54" s="40"/>
      <c r="D54" s="40"/>
      <c r="E54" s="9">
        <v>5</v>
      </c>
      <c r="F54" s="26">
        <v>3.75</v>
      </c>
      <c r="G54" s="31">
        <f t="shared" si="0"/>
        <v>0.75</v>
      </c>
      <c r="H54" s="32" t="str">
        <f t="shared" si="1"/>
        <v>جيد</v>
      </c>
      <c r="I54" s="47"/>
      <c r="J54" s="48"/>
    </row>
    <row r="55" spans="1:10" ht="39.9" customHeight="1" thickBot="1" x14ac:dyDescent="0.35">
      <c r="A55" s="10"/>
      <c r="B55" s="49" t="s">
        <v>223</v>
      </c>
      <c r="C55" s="50"/>
      <c r="D55" s="50"/>
      <c r="E55" s="33">
        <v>5</v>
      </c>
      <c r="F55" s="27">
        <v>3.75</v>
      </c>
      <c r="G55" s="34">
        <f t="shared" si="0"/>
        <v>0.75</v>
      </c>
      <c r="H55" s="35" t="str">
        <f t="shared" si="1"/>
        <v>جيد</v>
      </c>
      <c r="I55" s="61"/>
      <c r="J55" s="62"/>
    </row>
    <row r="56" spans="1:10" ht="30" customHeight="1" thickBot="1" x14ac:dyDescent="0.35">
      <c r="A56" s="4"/>
      <c r="B56" s="51" t="s">
        <v>5</v>
      </c>
      <c r="C56" s="52"/>
      <c r="D56" s="52"/>
      <c r="E56" s="29">
        <f>SUM(E8:E55)</f>
        <v>190</v>
      </c>
      <c r="F56" s="29">
        <f>SUM(F8:F55)</f>
        <v>148.25</v>
      </c>
      <c r="G56" s="65"/>
      <c r="H56" s="66"/>
      <c r="I56" s="66"/>
      <c r="J56" s="67"/>
    </row>
    <row r="57" spans="1:10" ht="30" customHeight="1" thickBot="1" x14ac:dyDescent="0.35">
      <c r="A57" s="4"/>
      <c r="B57" s="53" t="s">
        <v>54</v>
      </c>
      <c r="C57" s="54"/>
      <c r="D57" s="54"/>
      <c r="E57" s="75">
        <f>F56/E56/100*100</f>
        <v>0.78026315789473688</v>
      </c>
      <c r="F57" s="75"/>
      <c r="G57" s="75"/>
      <c r="H57" s="75"/>
      <c r="I57" s="75"/>
      <c r="J57" s="76"/>
    </row>
    <row r="58" spans="1:10" ht="30" customHeight="1" thickBot="1" x14ac:dyDescent="0.35">
      <c r="A58" s="4"/>
      <c r="B58" s="53" t="s">
        <v>55</v>
      </c>
      <c r="C58" s="54"/>
      <c r="D58" s="54"/>
      <c r="E58" s="59" t="str">
        <f>_xlfn.IFS(E57&gt;=90%,"ممتاز",E57&gt;=80%,"جيد جداً",E57&gt;=70%,"جيد",E57&gt;=60%,"مقبول",E57&lt;60%,"راسب")</f>
        <v>جيد</v>
      </c>
      <c r="F58" s="59"/>
      <c r="G58" s="59"/>
      <c r="H58" s="59"/>
      <c r="I58" s="59"/>
      <c r="J58" s="60"/>
    </row>
    <row r="59" spans="1:10" ht="42" customHeight="1" x14ac:dyDescent="0.3">
      <c r="B59" s="55" t="s">
        <v>175</v>
      </c>
      <c r="C59" s="55"/>
      <c r="D59" s="55"/>
      <c r="E59" s="63" t="s">
        <v>52</v>
      </c>
      <c r="F59" s="63"/>
      <c r="G59" s="57" t="s">
        <v>100</v>
      </c>
      <c r="H59" s="57"/>
      <c r="I59" s="57"/>
      <c r="J59" s="57"/>
    </row>
    <row r="60" spans="1:10" ht="51" customHeight="1" x14ac:dyDescent="0.3">
      <c r="A60" s="5"/>
      <c r="B60" s="56"/>
      <c r="C60" s="56"/>
      <c r="D60" s="56"/>
      <c r="E60" s="64" t="s">
        <v>53</v>
      </c>
      <c r="F60" s="64"/>
      <c r="G60" s="58"/>
      <c r="H60" s="58"/>
      <c r="I60" s="58"/>
      <c r="J60" s="58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14">
    <mergeCell ref="B1:J1"/>
    <mergeCell ref="F2:J2"/>
    <mergeCell ref="B5:D6"/>
    <mergeCell ref="C2:D2"/>
    <mergeCell ref="C3:D3"/>
    <mergeCell ref="F3:J3"/>
    <mergeCell ref="E57:J57"/>
    <mergeCell ref="B7:D7"/>
    <mergeCell ref="I38:J38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I27:J27"/>
    <mergeCell ref="B59:D60"/>
    <mergeCell ref="G59:J59"/>
    <mergeCell ref="G60:J60"/>
    <mergeCell ref="E58:J58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45:J45"/>
    <mergeCell ref="I46:J46"/>
    <mergeCell ref="I47:J47"/>
    <mergeCell ref="I48:J48"/>
    <mergeCell ref="E59:F59"/>
    <mergeCell ref="E60:F60"/>
    <mergeCell ref="G56:J56"/>
    <mergeCell ref="B52:D52"/>
    <mergeCell ref="I33:J33"/>
    <mergeCell ref="I34:J34"/>
    <mergeCell ref="I35:J35"/>
    <mergeCell ref="I36:J36"/>
    <mergeCell ref="B56:D56"/>
    <mergeCell ref="B57:D57"/>
    <mergeCell ref="B58:D58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B33:D33"/>
    <mergeCell ref="B34:D34"/>
    <mergeCell ref="B53:D53"/>
    <mergeCell ref="B54:D54"/>
    <mergeCell ref="B55:D55"/>
    <mergeCell ref="B39:J39"/>
    <mergeCell ref="B26:J26"/>
    <mergeCell ref="B15:D15"/>
    <mergeCell ref="B16:D16"/>
    <mergeCell ref="I32:J32"/>
    <mergeCell ref="I9:J9"/>
    <mergeCell ref="B28:D28"/>
    <mergeCell ref="B29:D29"/>
    <mergeCell ref="B30:D30"/>
    <mergeCell ref="B31:D31"/>
    <mergeCell ref="B32:D32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8:J8"/>
    <mergeCell ref="B44:D44"/>
    <mergeCell ref="B45:D45"/>
    <mergeCell ref="B46:D46"/>
    <mergeCell ref="B47:D47"/>
    <mergeCell ref="B48:D48"/>
    <mergeCell ref="B49:D49"/>
    <mergeCell ref="B50:D50"/>
    <mergeCell ref="B51:D51"/>
    <mergeCell ref="B35:D35"/>
    <mergeCell ref="B36:D36"/>
    <mergeCell ref="B37:D37"/>
    <mergeCell ref="B38:D38"/>
    <mergeCell ref="B40:D40"/>
    <mergeCell ref="B41:D41"/>
    <mergeCell ref="B42:D42"/>
    <mergeCell ref="B43:D43"/>
    <mergeCell ref="B27:D27"/>
    <mergeCell ref="B9:D9"/>
    <mergeCell ref="B10:D10"/>
    <mergeCell ref="B11:D11"/>
    <mergeCell ref="B12:D12"/>
    <mergeCell ref="B13:D13"/>
    <mergeCell ref="B14:D14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8">
    <cfRule type="expression" dxfId="21" priority="57">
      <formula>$E58="راسب"</formula>
    </cfRule>
  </conditionalFormatting>
  <conditionalFormatting sqref="E58:J58">
    <cfRule type="expression" dxfId="20" priority="60">
      <formula>$E58="جيد جداً"</formula>
    </cfRule>
    <cfRule type="expression" dxfId="19" priority="59">
      <formula>$E58="جيد"</formula>
    </cfRule>
    <cfRule type="expression" dxfId="18" priority="58">
      <formula>$E58="مقبول"</formula>
    </cfRule>
    <cfRule type="expression" dxfId="17" priority="61">
      <formula>$E58="ممتاز"</formula>
    </cfRule>
  </conditionalFormatting>
  <conditionalFormatting sqref="F9:F25">
    <cfRule type="containsText" dxfId="16" priority="4" operator="containsText" text="أدخل العلامة">
      <formula>NOT(ISERROR(SEARCH("أدخل العلامة",F9)))</formula>
    </cfRule>
  </conditionalFormatting>
  <conditionalFormatting sqref="F27:F38 F40:F55">
    <cfRule type="containsText" dxfId="15" priority="14" operator="containsText" text="أدخل العلامة">
      <formula>NOT(ISERROR(SEARCH("أدخل العلامة",F27)))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59:J59">
    <cfRule type="containsText" dxfId="12" priority="15" operator="containsText" text="أدخل اسم المحكم">
      <formula>NOT(ISERROR(SEARCH("أدخل اسم المحكم",G59)))</formula>
    </cfRule>
  </conditionalFormatting>
  <conditionalFormatting sqref="H9:H25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27:H38 H40:H55">
    <cfRule type="containsText" dxfId="5" priority="38" operator="containsText" text="أدخل العلامة">
      <formula>NOT(ISERROR(SEARCH("أدخل العلامة",H27)))</formula>
    </cfRule>
    <cfRule type="containsText" dxfId="4" priority="39" operator="containsText" text="ممتاز">
      <formula>NOT(ISERROR(SEARCH("ممتاز",H27)))</formula>
    </cfRule>
    <cfRule type="containsText" dxfId="3" priority="40" operator="containsText" text="جيد جداً">
      <formula>NOT(ISERROR(SEARCH("جيد جداً",H27)))</formula>
    </cfRule>
    <cfRule type="containsText" dxfId="2" priority="41" operator="containsText" text="جيد">
      <formula>NOT(ISERROR(SEARCH("جيد",H27)))</formula>
    </cfRule>
    <cfRule type="containsText" dxfId="1" priority="42" operator="containsText" text="مقبول">
      <formula>NOT(ISERROR(SEARCH("مقبول",H27)))</formula>
    </cfRule>
    <cfRule type="containsText" dxfId="0" priority="43" operator="containsText" text="راسب">
      <formula>NOT(ISERROR(SEARCH("راسب",H27)))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F48:F55 F41:F46 F33:F38 F28:F31 F21:F25 F14:F19 F10:F12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G59:J59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62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/>
    </row>
    <row r="31" spans="1:3" ht="20.100000000000001" customHeight="1" thickBot="1" x14ac:dyDescent="0.35">
      <c r="A31" s="2" t="s">
        <v>33</v>
      </c>
      <c r="C31" s="2"/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45901</v>
      </c>
    </row>
    <row r="40" spans="1:9" ht="20.100000000000001" customHeight="1" thickBot="1" x14ac:dyDescent="0.35">
      <c r="A40" s="13">
        <v>45902</v>
      </c>
    </row>
    <row r="41" spans="1:9" ht="20.100000000000001" customHeight="1" thickBot="1" x14ac:dyDescent="0.35">
      <c r="A41" s="13">
        <v>45903</v>
      </c>
    </row>
    <row r="42" spans="1:9" ht="20.100000000000001" customHeight="1" thickBot="1" x14ac:dyDescent="0.35">
      <c r="A42" s="13">
        <v>45904</v>
      </c>
    </row>
    <row r="43" spans="1:9" ht="20.100000000000001" customHeight="1" thickBot="1" x14ac:dyDescent="0.35">
      <c r="A43" s="13">
        <v>45905</v>
      </c>
    </row>
    <row r="44" spans="1:9" ht="20.100000000000001" customHeight="1" thickBot="1" x14ac:dyDescent="0.35">
      <c r="A44" s="13">
        <v>45906</v>
      </c>
    </row>
    <row r="45" spans="1:9" ht="20.100000000000001" customHeight="1" thickBot="1" x14ac:dyDescent="0.35">
      <c r="A45" s="13">
        <v>45907</v>
      </c>
    </row>
    <row r="46" spans="1:9" ht="20.100000000000001" customHeight="1" thickBot="1" x14ac:dyDescent="0.35">
      <c r="A46" s="13">
        <v>45908</v>
      </c>
    </row>
    <row r="47" spans="1:9" ht="20.100000000000001" customHeight="1" thickBot="1" x14ac:dyDescent="0.35">
      <c r="A47" s="13">
        <v>45909</v>
      </c>
    </row>
    <row r="48" spans="1:9" ht="20.100000000000001" customHeight="1" thickBot="1" x14ac:dyDescent="0.35">
      <c r="A48" s="13">
        <v>45910</v>
      </c>
    </row>
    <row r="49" spans="1:1" ht="20.100000000000001" customHeight="1" thickBot="1" x14ac:dyDescent="0.35">
      <c r="A49" s="13">
        <v>45911</v>
      </c>
    </row>
    <row r="50" spans="1:1" ht="20.100000000000001" customHeight="1" thickBot="1" x14ac:dyDescent="0.35">
      <c r="A50" s="13">
        <v>45912</v>
      </c>
    </row>
    <row r="51" spans="1:1" ht="20.100000000000001" customHeight="1" thickBot="1" x14ac:dyDescent="0.35">
      <c r="A51" s="13">
        <v>45913</v>
      </c>
    </row>
    <row r="52" spans="1:1" ht="20.100000000000001" customHeight="1" thickBot="1" x14ac:dyDescent="0.35">
      <c r="A52" s="13">
        <v>45914</v>
      </c>
    </row>
    <row r="53" spans="1:1" ht="20.100000000000001" customHeight="1" thickBot="1" x14ac:dyDescent="0.35">
      <c r="A53" s="13">
        <v>45915</v>
      </c>
    </row>
    <row r="54" spans="1:1" ht="20.100000000000001" customHeight="1" thickBot="1" x14ac:dyDescent="0.35">
      <c r="A54" s="13">
        <v>45916</v>
      </c>
    </row>
    <row r="55" spans="1:1" ht="20.100000000000001" customHeight="1" thickBot="1" x14ac:dyDescent="0.35">
      <c r="A55" s="13">
        <v>45917</v>
      </c>
    </row>
    <row r="56" spans="1:1" ht="20.100000000000001" customHeight="1" thickBot="1" x14ac:dyDescent="0.35">
      <c r="A56" s="13">
        <v>45918</v>
      </c>
    </row>
    <row r="57" spans="1:1" ht="20.100000000000001" customHeight="1" thickBot="1" x14ac:dyDescent="0.35">
      <c r="A57" s="13">
        <v>45919</v>
      </c>
    </row>
    <row r="58" spans="1:1" ht="20.100000000000001" customHeight="1" thickBot="1" x14ac:dyDescent="0.35">
      <c r="A58" s="13">
        <v>45920</v>
      </c>
    </row>
    <row r="59" spans="1:1" ht="20.100000000000001" customHeight="1" thickBot="1" x14ac:dyDescent="0.35">
      <c r="A59" s="13">
        <v>45921</v>
      </c>
    </row>
    <row r="60" spans="1:1" ht="20.100000000000001" customHeight="1" thickBot="1" x14ac:dyDescent="0.35">
      <c r="A60" s="13">
        <v>45922</v>
      </c>
    </row>
    <row r="61" spans="1:1" ht="20.100000000000001" customHeight="1" thickBot="1" x14ac:dyDescent="0.35">
      <c r="A61" s="13">
        <v>45923</v>
      </c>
    </row>
    <row r="62" spans="1:1" ht="20.100000000000001" customHeight="1" thickBot="1" x14ac:dyDescent="0.35">
      <c r="A62" s="13">
        <v>45924</v>
      </c>
    </row>
    <row r="63" spans="1:1" ht="20.100000000000001" customHeight="1" thickBot="1" x14ac:dyDescent="0.35">
      <c r="A63" s="13">
        <v>45925</v>
      </c>
    </row>
    <row r="64" spans="1:1" ht="20.100000000000001" customHeight="1" thickBot="1" x14ac:dyDescent="0.35">
      <c r="A64" s="13">
        <v>45926</v>
      </c>
    </row>
    <row r="65" spans="1:1" ht="20.100000000000001" customHeight="1" thickBot="1" x14ac:dyDescent="0.35">
      <c r="A65" s="13">
        <v>45927</v>
      </c>
    </row>
    <row r="66" spans="1:1" ht="20.100000000000001" customHeight="1" thickBot="1" x14ac:dyDescent="0.35">
      <c r="A66" s="13">
        <v>45928</v>
      </c>
    </row>
    <row r="67" spans="1:1" ht="20.100000000000001" customHeight="1" thickBot="1" x14ac:dyDescent="0.35">
      <c r="A67" s="13">
        <v>45929</v>
      </c>
    </row>
    <row r="68" spans="1:1" ht="20.100000000000001" customHeight="1" thickBot="1" x14ac:dyDescent="0.35">
      <c r="A68" s="13">
        <v>45930</v>
      </c>
    </row>
    <row r="69" spans="1:1" ht="20.100000000000001" customHeight="1" thickBot="1" x14ac:dyDescent="0.35">
      <c r="A69" s="13">
        <v>45931</v>
      </c>
    </row>
    <row r="70" spans="1:1" ht="20.100000000000001" customHeight="1" thickBot="1" x14ac:dyDescent="0.35">
      <c r="A70" s="13">
        <v>45932</v>
      </c>
    </row>
    <row r="71" spans="1:1" ht="20.100000000000001" customHeight="1" thickBot="1" x14ac:dyDescent="0.35">
      <c r="A71" s="13">
        <v>45933</v>
      </c>
    </row>
    <row r="72" spans="1:1" ht="20.100000000000001" customHeight="1" thickBot="1" x14ac:dyDescent="0.35">
      <c r="A72" s="13">
        <v>45934</v>
      </c>
    </row>
    <row r="73" spans="1:1" ht="20.100000000000001" customHeight="1" thickBot="1" x14ac:dyDescent="0.35">
      <c r="A73" s="13">
        <v>45935</v>
      </c>
    </row>
    <row r="74" spans="1:1" ht="20.100000000000001" customHeight="1" thickBot="1" x14ac:dyDescent="0.35">
      <c r="A74" s="13">
        <v>45936</v>
      </c>
    </row>
    <row r="75" spans="1:1" ht="20.100000000000001" customHeight="1" thickBot="1" x14ac:dyDescent="0.35">
      <c r="A75" s="13">
        <v>45937</v>
      </c>
    </row>
    <row r="76" spans="1:1" ht="20.100000000000001" customHeight="1" thickBot="1" x14ac:dyDescent="0.35">
      <c r="A76" s="13">
        <v>45938</v>
      </c>
    </row>
    <row r="77" spans="1:1" ht="20.100000000000001" customHeight="1" thickBot="1" x14ac:dyDescent="0.35">
      <c r="A77" s="13">
        <v>45939</v>
      </c>
    </row>
    <row r="78" spans="1:1" ht="20.100000000000001" customHeight="1" thickBot="1" x14ac:dyDescent="0.35">
      <c r="A78" s="13">
        <v>45940</v>
      </c>
    </row>
    <row r="79" spans="1:1" ht="20.100000000000001" customHeight="1" thickBot="1" x14ac:dyDescent="0.35">
      <c r="A79" s="13">
        <v>45941</v>
      </c>
    </row>
    <row r="80" spans="1:1" ht="20.100000000000001" customHeight="1" thickBot="1" x14ac:dyDescent="0.35">
      <c r="A80" s="13">
        <v>45942</v>
      </c>
    </row>
    <row r="81" spans="1:1" ht="20.100000000000001" customHeight="1" thickBot="1" x14ac:dyDescent="0.35">
      <c r="A81" s="13">
        <v>45943</v>
      </c>
    </row>
    <row r="82" spans="1:1" ht="20.100000000000001" customHeight="1" thickBot="1" x14ac:dyDescent="0.35">
      <c r="A82" s="13">
        <v>45944</v>
      </c>
    </row>
    <row r="83" spans="1:1" ht="20.100000000000001" customHeight="1" thickBot="1" x14ac:dyDescent="0.35">
      <c r="A83" s="13">
        <v>45945</v>
      </c>
    </row>
    <row r="84" spans="1:1" ht="20.100000000000001" customHeight="1" thickBot="1" x14ac:dyDescent="0.35">
      <c r="A84" s="13">
        <v>45946</v>
      </c>
    </row>
    <row r="85" spans="1:1" ht="20.100000000000001" customHeight="1" thickBot="1" x14ac:dyDescent="0.35">
      <c r="A85" s="13">
        <v>45947</v>
      </c>
    </row>
    <row r="86" spans="1:1" ht="20.100000000000001" customHeight="1" thickBot="1" x14ac:dyDescent="0.35">
      <c r="A86" s="13">
        <v>45948</v>
      </c>
    </row>
    <row r="87" spans="1:1" ht="20.100000000000001" customHeight="1" thickBot="1" x14ac:dyDescent="0.35">
      <c r="A87" s="13">
        <v>45949</v>
      </c>
    </row>
    <row r="88" spans="1:1" ht="20.100000000000001" customHeight="1" thickBot="1" x14ac:dyDescent="0.35">
      <c r="A88" s="13">
        <v>45950</v>
      </c>
    </row>
    <row r="89" spans="1:1" ht="20.100000000000001" customHeight="1" thickBot="1" x14ac:dyDescent="0.35">
      <c r="A89" s="13">
        <v>45951</v>
      </c>
    </row>
    <row r="90" spans="1:1" ht="20.100000000000001" customHeight="1" thickBot="1" x14ac:dyDescent="0.35">
      <c r="A90" s="13">
        <v>45952</v>
      </c>
    </row>
    <row r="91" spans="1:1" ht="20.100000000000001" customHeight="1" thickBot="1" x14ac:dyDescent="0.35">
      <c r="A91" s="13">
        <v>45953</v>
      </c>
    </row>
    <row r="92" spans="1:1" ht="20.100000000000001" customHeight="1" thickBot="1" x14ac:dyDescent="0.35">
      <c r="A92" s="13">
        <v>45954</v>
      </c>
    </row>
    <row r="93" spans="1:1" ht="20.100000000000001" customHeight="1" thickBot="1" x14ac:dyDescent="0.35">
      <c r="A93" s="13">
        <v>45955</v>
      </c>
    </row>
    <row r="94" spans="1:1" ht="20.100000000000001" customHeight="1" thickBot="1" x14ac:dyDescent="0.35">
      <c r="A94" s="13">
        <v>45956</v>
      </c>
    </row>
    <row r="95" spans="1:1" ht="20.100000000000001" customHeight="1" thickBot="1" x14ac:dyDescent="0.35">
      <c r="A95" s="13">
        <v>45957</v>
      </c>
    </row>
    <row r="96" spans="1:1" ht="20.100000000000001" customHeight="1" thickBot="1" x14ac:dyDescent="0.35">
      <c r="A96" s="13">
        <v>45958</v>
      </c>
    </row>
    <row r="97" spans="1:9" ht="20.100000000000001" customHeight="1" thickBot="1" x14ac:dyDescent="0.35">
      <c r="A97" s="13">
        <v>45959</v>
      </c>
    </row>
    <row r="98" spans="1:9" ht="20.100000000000001" customHeight="1" thickBot="1" x14ac:dyDescent="0.35">
      <c r="A98" s="13">
        <v>45960</v>
      </c>
    </row>
    <row r="99" spans="1:9" ht="20.100000000000001" customHeight="1" thickBot="1" x14ac:dyDescent="0.35">
      <c r="A99" s="13">
        <v>45961</v>
      </c>
    </row>
    <row r="100" spans="1:9" ht="20.100000000000001" customHeight="1" thickBot="1" x14ac:dyDescent="0.35">
      <c r="A100" s="13">
        <v>45962</v>
      </c>
    </row>
    <row r="101" spans="1:9" ht="20.100000000000001" customHeight="1" thickBot="1" x14ac:dyDescent="0.35">
      <c r="A101" s="13">
        <v>45963</v>
      </c>
    </row>
    <row r="102" spans="1:9" ht="20.100000000000001" customHeight="1" thickBot="1" x14ac:dyDescent="0.35">
      <c r="A102" s="13">
        <v>45964</v>
      </c>
    </row>
    <row r="103" spans="1:9" ht="20.100000000000001" customHeight="1" thickBot="1" x14ac:dyDescent="0.35">
      <c r="A103" s="13">
        <v>45965</v>
      </c>
    </row>
    <row r="104" spans="1:9" ht="20.100000000000001" customHeight="1" thickBot="1" x14ac:dyDescent="0.35">
      <c r="A104" s="13">
        <v>45966</v>
      </c>
    </row>
    <row r="105" spans="1:9" ht="20.100000000000001" customHeight="1" thickBot="1" x14ac:dyDescent="0.35">
      <c r="A105" s="13">
        <v>45967</v>
      </c>
    </row>
    <row r="106" spans="1:9" ht="20.100000000000001" customHeight="1" thickBot="1" x14ac:dyDescent="0.35">
      <c r="A106" s="13">
        <v>45968</v>
      </c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102</v>
      </c>
    </row>
    <row r="213" spans="1:1" ht="20.100000000000001" customHeight="1" x14ac:dyDescent="0.3">
      <c r="A213" s="20" t="s">
        <v>103</v>
      </c>
    </row>
    <row r="214" spans="1:1" ht="20.100000000000001" customHeight="1" x14ac:dyDescent="0.3">
      <c r="A214" s="20" t="s">
        <v>104</v>
      </c>
    </row>
    <row r="215" spans="1:1" ht="20.100000000000001" customHeight="1" x14ac:dyDescent="0.3">
      <c r="A215" s="20" t="s">
        <v>105</v>
      </c>
    </row>
    <row r="216" spans="1:1" ht="20.100000000000001" customHeight="1" x14ac:dyDescent="0.3">
      <c r="A216" s="20" t="s">
        <v>106</v>
      </c>
    </row>
    <row r="217" spans="1:1" ht="20.100000000000001" customHeight="1" x14ac:dyDescent="0.3">
      <c r="A217" s="20" t="s">
        <v>107</v>
      </c>
    </row>
    <row r="218" spans="1:1" ht="20.100000000000001" customHeight="1" x14ac:dyDescent="0.3">
      <c r="A218" s="20" t="s">
        <v>108</v>
      </c>
    </row>
    <row r="219" spans="1:1" ht="20.100000000000001" customHeight="1" x14ac:dyDescent="0.3">
      <c r="A219" s="20" t="s">
        <v>109</v>
      </c>
    </row>
    <row r="220" spans="1:1" ht="20.100000000000001" customHeight="1" x14ac:dyDescent="0.3">
      <c r="A220" s="20" t="s">
        <v>110</v>
      </c>
    </row>
    <row r="221" spans="1:1" ht="20.100000000000001" customHeight="1" x14ac:dyDescent="0.3">
      <c r="A221" s="20" t="s">
        <v>111</v>
      </c>
    </row>
    <row r="222" spans="1:1" ht="20.100000000000001" customHeight="1" x14ac:dyDescent="0.3">
      <c r="A222" s="20" t="s">
        <v>112</v>
      </c>
    </row>
    <row r="223" spans="1:1" ht="20.100000000000001" customHeight="1" x14ac:dyDescent="0.3">
      <c r="A223" s="20" t="s">
        <v>113</v>
      </c>
    </row>
    <row r="224" spans="1:1" ht="20.100000000000001" customHeight="1" x14ac:dyDescent="0.3">
      <c r="A224" s="20" t="s">
        <v>114</v>
      </c>
    </row>
    <row r="225" spans="1:1" ht="20.100000000000001" customHeight="1" x14ac:dyDescent="0.3">
      <c r="A225" s="20" t="s">
        <v>115</v>
      </c>
    </row>
    <row r="226" spans="1:1" ht="20.100000000000001" customHeight="1" x14ac:dyDescent="0.3">
      <c r="A226" s="20" t="s">
        <v>116</v>
      </c>
    </row>
    <row r="227" spans="1:1" ht="20.100000000000001" customHeight="1" x14ac:dyDescent="0.3">
      <c r="A227" s="20" t="s">
        <v>117</v>
      </c>
    </row>
    <row r="228" spans="1:1" ht="20.100000000000001" customHeight="1" x14ac:dyDescent="0.3">
      <c r="A228" s="20" t="s">
        <v>118</v>
      </c>
    </row>
    <row r="229" spans="1:1" ht="20.100000000000001" customHeight="1" x14ac:dyDescent="0.3">
      <c r="A229" s="20" t="s">
        <v>119</v>
      </c>
    </row>
    <row r="230" spans="1:1" ht="20.100000000000001" customHeight="1" x14ac:dyDescent="0.3">
      <c r="A230" s="20" t="s">
        <v>120</v>
      </c>
    </row>
    <row r="231" spans="1:1" ht="20.100000000000001" customHeight="1" x14ac:dyDescent="0.3">
      <c r="A231" s="20" t="s">
        <v>121</v>
      </c>
    </row>
    <row r="232" spans="1:1" ht="20.100000000000001" customHeight="1" x14ac:dyDescent="0.3">
      <c r="A232" s="20" t="s">
        <v>122</v>
      </c>
    </row>
    <row r="233" spans="1:1" ht="20.100000000000001" customHeight="1" x14ac:dyDescent="0.3">
      <c r="A233" s="20" t="s">
        <v>123</v>
      </c>
    </row>
    <row r="234" spans="1:1" ht="20.100000000000001" customHeight="1" x14ac:dyDescent="0.3">
      <c r="A234" s="20" t="s">
        <v>124</v>
      </c>
    </row>
    <row r="235" spans="1:1" ht="20.100000000000001" customHeight="1" x14ac:dyDescent="0.3">
      <c r="A235" s="22" t="s">
        <v>125</v>
      </c>
    </row>
    <row r="236" spans="1:1" ht="20.100000000000001" customHeight="1" x14ac:dyDescent="0.3">
      <c r="A236" s="20" t="s">
        <v>126</v>
      </c>
    </row>
    <row r="237" spans="1:1" ht="20.100000000000001" customHeight="1" x14ac:dyDescent="0.3">
      <c r="A237" s="20" t="s">
        <v>127</v>
      </c>
    </row>
    <row r="238" spans="1:1" ht="20.100000000000001" customHeight="1" x14ac:dyDescent="0.3">
      <c r="A238" s="20" t="s">
        <v>128</v>
      </c>
    </row>
    <row r="239" spans="1:1" ht="20.100000000000001" customHeight="1" x14ac:dyDescent="0.3">
      <c r="A239" s="20" t="s">
        <v>129</v>
      </c>
    </row>
    <row r="240" spans="1:1" ht="20.100000000000001" customHeight="1" x14ac:dyDescent="0.3">
      <c r="A240" s="20" t="s">
        <v>130</v>
      </c>
    </row>
    <row r="241" spans="1:1" ht="20.100000000000001" customHeight="1" x14ac:dyDescent="0.3">
      <c r="A241" s="20" t="s">
        <v>131</v>
      </c>
    </row>
    <row r="242" spans="1:1" ht="20.100000000000001" customHeight="1" x14ac:dyDescent="0.3">
      <c r="A242" s="20" t="s">
        <v>132</v>
      </c>
    </row>
    <row r="243" spans="1:1" ht="20.100000000000001" customHeight="1" x14ac:dyDescent="0.3">
      <c r="A243" s="20" t="s">
        <v>133</v>
      </c>
    </row>
    <row r="244" spans="1:1" ht="20.100000000000001" customHeight="1" x14ac:dyDescent="0.3">
      <c r="A244" s="20" t="s">
        <v>134</v>
      </c>
    </row>
    <row r="245" spans="1:1" ht="20.100000000000001" customHeight="1" x14ac:dyDescent="0.3">
      <c r="A245" s="20" t="s">
        <v>135</v>
      </c>
    </row>
    <row r="246" spans="1:1" ht="20.100000000000001" customHeight="1" x14ac:dyDescent="0.3">
      <c r="A246" s="20" t="s">
        <v>136</v>
      </c>
    </row>
    <row r="247" spans="1:1" ht="20.100000000000001" customHeight="1" x14ac:dyDescent="0.3">
      <c r="A247" s="20" t="s">
        <v>127</v>
      </c>
    </row>
    <row r="248" spans="1:1" ht="20.100000000000001" customHeight="1" x14ac:dyDescent="0.3">
      <c r="A248" s="20" t="s">
        <v>137</v>
      </c>
    </row>
    <row r="249" spans="1:1" ht="20.100000000000001" customHeight="1" x14ac:dyDescent="0.3">
      <c r="A249" s="20" t="s">
        <v>138</v>
      </c>
    </row>
    <row r="250" spans="1:1" ht="20.100000000000001" customHeight="1" x14ac:dyDescent="0.3">
      <c r="A250" s="22" t="s">
        <v>139</v>
      </c>
    </row>
    <row r="251" spans="1:1" ht="20.100000000000001" customHeight="1" x14ac:dyDescent="0.3">
      <c r="A251" s="23" t="s">
        <v>140</v>
      </c>
    </row>
    <row r="252" spans="1:1" ht="20.100000000000001" customHeight="1" x14ac:dyDescent="0.3">
      <c r="A252" s="20" t="s">
        <v>141</v>
      </c>
    </row>
    <row r="253" spans="1:1" ht="20.100000000000001" customHeight="1" x14ac:dyDescent="0.3">
      <c r="A253" s="20" t="s">
        <v>142</v>
      </c>
    </row>
    <row r="254" spans="1:1" ht="20.100000000000001" customHeight="1" x14ac:dyDescent="0.3">
      <c r="A254" s="24" t="s">
        <v>143</v>
      </c>
    </row>
    <row r="255" spans="1:1" ht="20.100000000000001" customHeight="1" x14ac:dyDescent="0.3">
      <c r="A255" s="24" t="s">
        <v>144</v>
      </c>
    </row>
    <row r="256" spans="1:1" ht="20.100000000000001" customHeight="1" x14ac:dyDescent="0.3">
      <c r="A256" s="25" t="s">
        <v>145</v>
      </c>
    </row>
    <row r="257" spans="1:1" ht="20.100000000000001" customHeight="1" x14ac:dyDescent="0.3">
      <c r="A257" s="20" t="s">
        <v>146</v>
      </c>
    </row>
    <row r="258" spans="1:1" ht="20.100000000000001" customHeight="1" x14ac:dyDescent="0.3">
      <c r="A258" s="25" t="s">
        <v>147</v>
      </c>
    </row>
    <row r="259" spans="1:1" ht="20.100000000000001" customHeight="1" x14ac:dyDescent="0.3">
      <c r="A259" s="20" t="s">
        <v>148</v>
      </c>
    </row>
    <row r="260" spans="1:1" ht="20.100000000000001" customHeight="1" x14ac:dyDescent="0.3">
      <c r="A260" s="25" t="s">
        <v>149</v>
      </c>
    </row>
    <row r="261" spans="1:1" ht="20.100000000000001" customHeight="1" x14ac:dyDescent="0.3">
      <c r="A261" s="20" t="s">
        <v>150</v>
      </c>
    </row>
    <row r="262" spans="1:1" ht="20.100000000000001" customHeight="1" x14ac:dyDescent="0.3">
      <c r="A262" s="20" t="s">
        <v>151</v>
      </c>
    </row>
    <row r="263" spans="1:1" ht="20.100000000000001" customHeight="1" x14ac:dyDescent="0.3">
      <c r="A263" s="25" t="s">
        <v>152</v>
      </c>
    </row>
    <row r="264" spans="1:1" ht="20.100000000000001" customHeight="1" x14ac:dyDescent="0.3">
      <c r="A264" s="25" t="s">
        <v>153</v>
      </c>
    </row>
    <row r="265" spans="1:1" ht="20.100000000000001" customHeight="1" x14ac:dyDescent="0.3">
      <c r="A265" s="25" t="s">
        <v>154</v>
      </c>
    </row>
    <row r="266" spans="1:1" ht="20.100000000000001" customHeight="1" x14ac:dyDescent="0.3">
      <c r="A266" s="20" t="s">
        <v>155</v>
      </c>
    </row>
    <row r="267" spans="1:1" ht="20.100000000000001" customHeight="1" x14ac:dyDescent="0.3">
      <c r="A267" s="20" t="s">
        <v>156</v>
      </c>
    </row>
    <row r="268" spans="1:1" ht="20.100000000000001" customHeight="1" x14ac:dyDescent="0.3">
      <c r="A268" s="20" t="s">
        <v>157</v>
      </c>
    </row>
    <row r="269" spans="1:1" ht="20.100000000000001" customHeight="1" x14ac:dyDescent="0.3">
      <c r="A269" s="20" t="s">
        <v>158</v>
      </c>
    </row>
    <row r="270" spans="1:1" ht="20.100000000000001" customHeight="1" x14ac:dyDescent="0.3">
      <c r="A270" s="25" t="s">
        <v>159</v>
      </c>
    </row>
    <row r="271" spans="1:1" ht="20.100000000000001" customHeight="1" x14ac:dyDescent="0.3">
      <c r="A271" s="25" t="s">
        <v>160</v>
      </c>
    </row>
    <row r="272" spans="1:1" ht="20.100000000000001" customHeight="1" x14ac:dyDescent="0.3">
      <c r="A272" s="20" t="s">
        <v>161</v>
      </c>
    </row>
    <row r="273" spans="1:1" ht="20.100000000000001" customHeight="1" x14ac:dyDescent="0.3">
      <c r="A273" s="25" t="s">
        <v>162</v>
      </c>
    </row>
    <row r="274" spans="1:1" ht="20.100000000000001" customHeight="1" x14ac:dyDescent="0.3">
      <c r="A274" s="25" t="s">
        <v>163</v>
      </c>
    </row>
    <row r="275" spans="1:1" ht="20.100000000000001" customHeight="1" x14ac:dyDescent="0.3">
      <c r="A275" s="20" t="s">
        <v>164</v>
      </c>
    </row>
    <row r="276" spans="1:1" ht="20.100000000000001" customHeight="1" x14ac:dyDescent="0.3">
      <c r="A276" s="20" t="s">
        <v>165</v>
      </c>
    </row>
    <row r="277" spans="1:1" ht="20.100000000000001" customHeight="1" x14ac:dyDescent="0.3">
      <c r="A277" s="25" t="s">
        <v>166</v>
      </c>
    </row>
    <row r="278" spans="1:1" ht="20.100000000000001" customHeight="1" x14ac:dyDescent="0.3">
      <c r="A278" s="20" t="s">
        <v>167</v>
      </c>
    </row>
    <row r="279" spans="1:1" ht="20.100000000000001" customHeight="1" x14ac:dyDescent="0.3">
      <c r="A279" s="20" t="s">
        <v>168</v>
      </c>
    </row>
    <row r="280" spans="1:1" ht="20.100000000000001" customHeight="1" x14ac:dyDescent="0.3">
      <c r="A280" s="20" t="s">
        <v>169</v>
      </c>
    </row>
    <row r="281" spans="1:1" ht="20.100000000000001" customHeight="1" x14ac:dyDescent="0.3">
      <c r="A281" s="20" t="s">
        <v>170</v>
      </c>
    </row>
    <row r="282" spans="1:1" ht="20.100000000000001" customHeight="1" x14ac:dyDescent="0.3">
      <c r="A282" s="25" t="s">
        <v>171</v>
      </c>
    </row>
    <row r="283" spans="1:1" ht="20.100000000000001" customHeight="1" x14ac:dyDescent="0.3">
      <c r="A283" s="25" t="s">
        <v>172</v>
      </c>
    </row>
    <row r="284" spans="1:1" ht="20.100000000000001" customHeight="1" x14ac:dyDescent="0.3">
      <c r="A284" s="25" t="s">
        <v>173</v>
      </c>
    </row>
    <row r="285" spans="1:1" ht="20.100000000000001" customHeight="1" thickBot="1" x14ac:dyDescent="0.35">
      <c r="A285" s="20" t="s">
        <v>174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2025-10-27T16:38:48Z</dcterms:modified>
</cp:coreProperties>
</file>