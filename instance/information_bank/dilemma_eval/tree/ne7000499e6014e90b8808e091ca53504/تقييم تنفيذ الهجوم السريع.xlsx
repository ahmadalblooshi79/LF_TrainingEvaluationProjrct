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266A460-5162-4B93-931E-C59F9B6F4F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<sst xmlns="http://schemas.openxmlformats.org/spreadsheetml/2006/main" count="278" uniqueCount="222">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</sst>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178655</xdr:colOff>
      <xdr:row>56</xdr:row>
      <xdr:rowOff>114780</xdr:rowOff>
    </xdr:from>
    <xdr:to>
      <xdr:col>9</xdr:col>
      <xdr:colOff>259994</xdr:colOff>
      <xdr:row>57</xdr:row>
      <xdr:rowOff>70875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14:cNvPr>
            <xdr14:cNvContentPartPr/>
          </xdr14:nvContentPartPr>
          <xdr14:nvPr macro=""/>
          <xdr14:xfrm>
            <a:off x="10398326825" y="27737280"/>
            <a:ext cx="1397520" cy="602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18185" y="27728280"/>
              <a:ext cx="1415160" cy="62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3:23.2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3776 635,'0'0,"0"0,0 0,0 0,0 0,0 0,0 0,0 0,0 0,0 0,0 0,0 0,0 0,0 0,0 0,0 0,0 0,0 0,-16 0,-30-17,38 15,-15-12,7 14,13 0,-103-32,-82-16,158 40,-111-33,-62-7,170 40,-137-16,-64-8,200 27,-166-23,-34 12,196 13,-158 6,-38 13,196-14,-173-4,-24 18,198-14,-159 29,-8-15,174-14,-126 28,-1 2,133-27,-61 6,7 5,68-14,-42 13,5 1,39-13,-15-6,8 3,12 0,-10 0,13-16,0 14,47-13,46-17,-79 27,128-38,61-22,-175 56,193-46,45-9,-227 53,234-60,7 23,-235 41,176-35,29 10,-211 27,156 10,-40-5,-131 0,78 0,-9 16,-78-13,32 10,-16 3,-26-13,-10 27,21 2,-13-27,-6 22,-28 39,26-57,-68 110,-51 10,103-108,-115 103,-35 39,144-139,-119 145,-40 9,155-150,-78 89,14-20,82-82,-52 67,3-1,52-69,-11 25,21-5,0-27,15-10,17 21,-28-14,38 12,99-46,-119 27,128-39,53-21,-173 56,158-79,-188 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221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1" t="s">
        <v>8</v>
      </c>
      <c r="C2" s="73" t="s">
        <v>43</v>
      </c>
      <c r="D2" s="73"/>
      <c r="E2" s="11" t="s">
        <v>7</v>
      </c>
      <c r="F2" s="68">
        <v>45954</v>
      </c>
      <c r="G2" s="68"/>
      <c r="H2" s="68"/>
      <c r="I2" s="68"/>
      <c r="J2" s="68"/>
    </row>
    <row r="3" spans="1:10" ht="30" customHeight="1" x14ac:dyDescent="0.3">
      <c r="B3" s="11" t="s">
        <v>9</v>
      </c>
      <c r="C3" s="73" t="s">
        <v>87</v>
      </c>
      <c r="D3" s="73"/>
      <c r="E3" s="11" t="s">
        <v>6</v>
      </c>
      <c r="F3" s="73" t="s">
        <v>131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0"/>
      <c r="B6" s="71"/>
      <c r="C6" s="72"/>
      <c r="D6" s="72"/>
      <c r="E6" s="19" t="s">
        <v>3</v>
      </c>
      <c r="F6" s="19" t="s">
        <v>4</v>
      </c>
      <c r="G6" s="19" t="s">
        <v>23</v>
      </c>
      <c r="H6" s="19" t="s">
        <v>24</v>
      </c>
      <c r="I6" s="63"/>
      <c r="J6" s="64"/>
    </row>
    <row r="7" spans="1:10" ht="24.9" customHeight="1" thickBot="1" x14ac:dyDescent="0.35">
      <c r="A7" s="10"/>
      <c r="B7" s="59" t="s">
        <v>21</v>
      </c>
      <c r="C7" s="60"/>
      <c r="D7" s="60"/>
      <c r="E7" s="27" t="s">
        <v>18</v>
      </c>
      <c r="F7" s="27" t="s">
        <v>19</v>
      </c>
      <c r="G7" s="27" t="s">
        <v>22</v>
      </c>
      <c r="H7" s="27" t="s">
        <v>20</v>
      </c>
      <c r="I7" s="65" t="s">
        <v>25</v>
      </c>
      <c r="J7" s="66"/>
    </row>
    <row r="8" spans="1:10" ht="39.9" customHeight="1" x14ac:dyDescent="0.3">
      <c r="A8" s="10"/>
      <c r="B8" s="80" t="s">
        <v>175</v>
      </c>
      <c r="C8" s="81"/>
      <c r="D8" s="81"/>
      <c r="E8" s="81"/>
      <c r="F8" s="81"/>
      <c r="G8" s="81"/>
      <c r="H8" s="81"/>
      <c r="I8" s="81"/>
      <c r="J8" s="82"/>
    </row>
    <row r="9" spans="1:10" ht="39.9" customHeight="1" x14ac:dyDescent="0.3">
      <c r="A9" s="10"/>
      <c r="B9" s="74" t="s">
        <v>209</v>
      </c>
      <c r="C9" s="75"/>
      <c r="D9" s="75"/>
      <c r="E9" s="34"/>
      <c r="F9" s="18"/>
      <c r="G9" s="29"/>
      <c r="H9" s="30"/>
      <c r="I9" s="42"/>
      <c r="J9" s="43"/>
    </row>
    <row r="10" spans="1:10" ht="59.25" customHeight="1" x14ac:dyDescent="0.3">
      <c r="A10" s="10"/>
      <c r="B10" s="55" t="s">
        <v>176</v>
      </c>
      <c r="C10" s="56"/>
      <c r="D10" s="56"/>
      <c r="E10" s="9">
        <v>5</v>
      </c>
      <c r="F10" s="18">
        <v>3.5</v>
      </c>
      <c r="G10" s="29">
        <f t="shared" ref="G10:G52" si="0">IFERROR(F10/E10,"")</f>
        <v>0.7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" customHeight="1" x14ac:dyDescent="0.3">
      <c r="A11" s="10"/>
      <c r="B11" s="55" t="s">
        <v>177</v>
      </c>
      <c r="C11" s="56"/>
      <c r="D11" s="56"/>
      <c r="E11" s="9">
        <v>5</v>
      </c>
      <c r="F11" s="35">
        <v>3.5</v>
      </c>
      <c r="G11" s="29">
        <f t="shared" si="0"/>
        <v>0.7</v>
      </c>
      <c r="H11" s="30" t="str">
        <f t="shared" si="1"/>
        <v>جيد</v>
      </c>
      <c r="I11" s="42"/>
      <c r="J11" s="43"/>
    </row>
    <row r="12" spans="1:10" ht="39.9" customHeight="1" x14ac:dyDescent="0.3">
      <c r="A12" s="10"/>
      <c r="B12" s="55" t="s">
        <v>178</v>
      </c>
      <c r="C12" s="56"/>
      <c r="D12" s="56"/>
      <c r="E12" s="34"/>
      <c r="F12" s="18"/>
      <c r="G12" s="29"/>
      <c r="H12" s="30"/>
      <c r="I12" s="42"/>
      <c r="J12" s="43"/>
    </row>
    <row r="13" spans="1:10" ht="39.9" customHeight="1" x14ac:dyDescent="0.3">
      <c r="A13" s="10"/>
      <c r="B13" s="76" t="s">
        <v>179</v>
      </c>
      <c r="C13" s="77"/>
      <c r="D13" s="77"/>
      <c r="E13" s="9">
        <v>5</v>
      </c>
      <c r="F13" s="18">
        <v>3.75</v>
      </c>
      <c r="G13" s="29">
        <f t="shared" si="0"/>
        <v>0.75</v>
      </c>
      <c r="H13" s="30" t="str">
        <f t="shared" si="1"/>
        <v>جيد</v>
      </c>
      <c r="I13" s="42"/>
      <c r="J13" s="43"/>
    </row>
    <row r="14" spans="1:10" ht="39.9" customHeight="1" x14ac:dyDescent="0.3">
      <c r="A14" s="10"/>
      <c r="B14" s="76" t="s">
        <v>180</v>
      </c>
      <c r="C14" s="77"/>
      <c r="D14" s="77"/>
      <c r="E14" s="9">
        <v>5</v>
      </c>
      <c r="F14" s="35">
        <v>3.75</v>
      </c>
      <c r="G14" s="29">
        <f t="shared" si="0"/>
        <v>0.75</v>
      </c>
      <c r="H14" s="30" t="str">
        <f t="shared" si="1"/>
        <v>جيد</v>
      </c>
      <c r="I14" s="42"/>
      <c r="J14" s="43"/>
    </row>
    <row r="15" spans="1:10" ht="54" customHeight="1" x14ac:dyDescent="0.3">
      <c r="A15" s="10"/>
      <c r="B15" s="76" t="s">
        <v>181</v>
      </c>
      <c r="C15" s="77"/>
      <c r="D15" s="77"/>
      <c r="E15" s="9">
        <v>5</v>
      </c>
      <c r="F15" s="35">
        <v>3.75</v>
      </c>
      <c r="G15" s="29">
        <f t="shared" si="0"/>
        <v>0.75</v>
      </c>
      <c r="H15" s="30" t="str">
        <f t="shared" si="1"/>
        <v>جيد</v>
      </c>
      <c r="I15" s="42"/>
      <c r="J15" s="43"/>
    </row>
    <row r="16" spans="1:10" ht="39.9" customHeight="1" x14ac:dyDescent="0.3">
      <c r="A16" s="10"/>
      <c r="B16" s="76" t="s">
        <v>182</v>
      </c>
      <c r="C16" s="77"/>
      <c r="D16" s="77"/>
      <c r="E16" s="9">
        <v>5</v>
      </c>
      <c r="F16" s="35">
        <v>3.75</v>
      </c>
      <c r="G16" s="29">
        <f t="shared" si="0"/>
        <v>0.75</v>
      </c>
      <c r="H16" s="30" t="str">
        <f t="shared" si="1"/>
        <v>جيد</v>
      </c>
      <c r="I16" s="42"/>
      <c r="J16" s="43"/>
    </row>
    <row r="17" spans="1:10" ht="39.9" customHeight="1" x14ac:dyDescent="0.3">
      <c r="A17" s="10"/>
      <c r="B17" s="76" t="s">
        <v>183</v>
      </c>
      <c r="C17" s="77"/>
      <c r="D17" s="77"/>
      <c r="E17" s="9">
        <v>5</v>
      </c>
      <c r="F17" s="35">
        <v>3.75</v>
      </c>
      <c r="G17" s="29">
        <f t="shared" si="0"/>
        <v>0.75</v>
      </c>
      <c r="H17" s="30" t="str">
        <f t="shared" si="1"/>
        <v>جيد</v>
      </c>
      <c r="I17" s="42"/>
      <c r="J17" s="43"/>
    </row>
    <row r="18" spans="1:10" ht="39.9" customHeight="1" x14ac:dyDescent="0.3">
      <c r="A18" s="10"/>
      <c r="B18" s="55" t="s">
        <v>184</v>
      </c>
      <c r="C18" s="56"/>
      <c r="D18" s="56"/>
      <c r="E18" s="9">
        <v>5</v>
      </c>
      <c r="F18" s="35">
        <v>3.75</v>
      </c>
      <c r="G18" s="29">
        <f t="shared" si="0"/>
        <v>0.75</v>
      </c>
      <c r="H18" s="30" t="str">
        <f t="shared" si="1"/>
        <v>جيد</v>
      </c>
      <c r="I18" s="42"/>
      <c r="J18" s="43"/>
    </row>
    <row r="19" spans="1:10" ht="39.9" customHeight="1" x14ac:dyDescent="0.3">
      <c r="A19" s="10"/>
      <c r="B19" s="55" t="s">
        <v>185</v>
      </c>
      <c r="C19" s="56"/>
      <c r="D19" s="56"/>
      <c r="E19" s="34"/>
      <c r="F19" s="18"/>
      <c r="G19" s="29"/>
      <c r="H19" s="30"/>
      <c r="I19" s="42"/>
      <c r="J19" s="43"/>
    </row>
    <row r="20" spans="1:10" ht="39.9" customHeight="1" x14ac:dyDescent="0.3">
      <c r="A20" s="10"/>
      <c r="B20" s="76" t="s">
        <v>186</v>
      </c>
      <c r="C20" s="77"/>
      <c r="D20" s="77"/>
      <c r="E20" s="9">
        <v>5</v>
      </c>
      <c r="F20" s="18">
        <v>4</v>
      </c>
      <c r="G20" s="29">
        <f t="shared" si="0"/>
        <v>0.8</v>
      </c>
      <c r="H20" s="30" t="str">
        <f t="shared" si="1"/>
        <v>جيد جداً</v>
      </c>
      <c r="I20" s="42"/>
      <c r="J20" s="43"/>
    </row>
    <row r="21" spans="1:10" ht="39.9" customHeight="1" x14ac:dyDescent="0.3">
      <c r="A21" s="10"/>
      <c r="B21" s="76" t="s">
        <v>187</v>
      </c>
      <c r="C21" s="77"/>
      <c r="D21" s="77"/>
      <c r="E21" s="9">
        <v>5</v>
      </c>
      <c r="F21" s="35">
        <v>4</v>
      </c>
      <c r="G21" s="29">
        <f t="shared" si="0"/>
        <v>0.8</v>
      </c>
      <c r="H21" s="30" t="str">
        <f t="shared" si="1"/>
        <v>جيد جداً</v>
      </c>
      <c r="I21" s="42"/>
      <c r="J21" s="43"/>
    </row>
    <row r="22" spans="1:10" ht="39.9" customHeight="1" x14ac:dyDescent="0.3">
      <c r="A22" s="10"/>
      <c r="B22" s="76" t="s">
        <v>188</v>
      </c>
      <c r="C22" s="77"/>
      <c r="D22" s="77"/>
      <c r="E22" s="9">
        <v>5</v>
      </c>
      <c r="F22" s="35">
        <v>4</v>
      </c>
      <c r="G22" s="29">
        <f t="shared" si="0"/>
        <v>0.8</v>
      </c>
      <c r="H22" s="30" t="str">
        <f t="shared" si="1"/>
        <v>جيد جداً</v>
      </c>
      <c r="I22" s="42"/>
      <c r="J22" s="43"/>
    </row>
    <row r="23" spans="1:10" ht="39.9" customHeight="1" thickBot="1" x14ac:dyDescent="0.35">
      <c r="A23" s="10"/>
      <c r="B23" s="78" t="s">
        <v>210</v>
      </c>
      <c r="C23" s="79"/>
      <c r="D23" s="79"/>
      <c r="E23" s="31">
        <v>5</v>
      </c>
      <c r="F23" s="35">
        <v>4</v>
      </c>
      <c r="G23" s="32">
        <f t="shared" si="0"/>
        <v>0.8</v>
      </c>
      <c r="H23" s="33" t="str">
        <f t="shared" si="1"/>
        <v>جيد جداً</v>
      </c>
      <c r="I23" s="44"/>
      <c r="J23" s="45"/>
    </row>
    <row r="24" spans="1:10" ht="39.9" customHeight="1" x14ac:dyDescent="0.3">
      <c r="A24" s="10"/>
      <c r="B24" s="80" t="s">
        <v>189</v>
      </c>
      <c r="C24" s="81"/>
      <c r="D24" s="81"/>
      <c r="E24" s="81"/>
      <c r="F24" s="81"/>
      <c r="G24" s="81"/>
      <c r="H24" s="81"/>
      <c r="I24" s="81"/>
      <c r="J24" s="82"/>
    </row>
    <row r="25" spans="1:10" ht="39.9" customHeight="1" x14ac:dyDescent="0.3">
      <c r="A25" s="10"/>
      <c r="B25" s="74" t="s">
        <v>211</v>
      </c>
      <c r="C25" s="75"/>
      <c r="D25" s="75"/>
      <c r="E25" s="9">
        <v>5</v>
      </c>
      <c r="F25" s="18">
        <v>4</v>
      </c>
      <c r="G25" s="29">
        <f t="shared" si="0"/>
        <v>0.8</v>
      </c>
      <c r="H25" s="30" t="str">
        <f t="shared" si="1"/>
        <v>جيد جداً</v>
      </c>
      <c r="I25" s="42"/>
      <c r="J25" s="43"/>
    </row>
    <row r="26" spans="1:10" ht="39.9" customHeight="1" x14ac:dyDescent="0.3">
      <c r="A26" s="10"/>
      <c r="B26" s="74" t="s">
        <v>212</v>
      </c>
      <c r="C26" s="75"/>
      <c r="D26" s="75"/>
      <c r="E26" s="34"/>
      <c r="F26" s="18"/>
      <c r="G26" s="29"/>
      <c r="H26" s="30"/>
      <c r="I26" s="42"/>
      <c r="J26" s="43"/>
    </row>
    <row r="27" spans="1:10" ht="39.9" customHeight="1" x14ac:dyDescent="0.3">
      <c r="A27" s="10"/>
      <c r="B27" s="55" t="s">
        <v>190</v>
      </c>
      <c r="C27" s="56"/>
      <c r="D27" s="56"/>
      <c r="E27" s="9">
        <v>5</v>
      </c>
      <c r="F27" s="18">
        <v>4</v>
      </c>
      <c r="G27" s="29">
        <f t="shared" si="0"/>
        <v>0.8</v>
      </c>
      <c r="H27" s="30" t="str">
        <f t="shared" si="1"/>
        <v>جيد جداً</v>
      </c>
      <c r="I27" s="42"/>
      <c r="J27" s="43"/>
    </row>
    <row r="28" spans="1:10" ht="39.9" customHeight="1" x14ac:dyDescent="0.3">
      <c r="A28" s="10"/>
      <c r="B28" s="55" t="s">
        <v>191</v>
      </c>
      <c r="C28" s="56"/>
      <c r="D28" s="56"/>
      <c r="E28" s="9">
        <v>5</v>
      </c>
      <c r="F28" s="35">
        <v>4</v>
      </c>
      <c r="G28" s="29">
        <f t="shared" si="0"/>
        <v>0.8</v>
      </c>
      <c r="H28" s="30" t="str">
        <f t="shared" si="1"/>
        <v>جيد جداً</v>
      </c>
      <c r="I28" s="42"/>
      <c r="J28" s="43"/>
    </row>
    <row r="29" spans="1:10" ht="39.9" customHeight="1" x14ac:dyDescent="0.3">
      <c r="A29" s="10"/>
      <c r="B29" s="55" t="s">
        <v>192</v>
      </c>
      <c r="C29" s="56"/>
      <c r="D29" s="56"/>
      <c r="E29" s="9">
        <v>5</v>
      </c>
      <c r="F29" s="35">
        <v>4</v>
      </c>
      <c r="G29" s="29">
        <f t="shared" si="0"/>
        <v>0.8</v>
      </c>
      <c r="H29" s="30" t="str">
        <f t="shared" si="1"/>
        <v>جيد جداً</v>
      </c>
      <c r="I29" s="42"/>
      <c r="J29" s="43"/>
    </row>
    <row r="30" spans="1:10" ht="39.9" customHeight="1" x14ac:dyDescent="0.3">
      <c r="A30" s="10"/>
      <c r="B30" s="74" t="s">
        <v>213</v>
      </c>
      <c r="C30" s="75"/>
      <c r="D30" s="75"/>
      <c r="E30" s="34"/>
      <c r="F30" s="18"/>
      <c r="G30" s="29"/>
      <c r="H30" s="30"/>
      <c r="I30" s="42"/>
      <c r="J30" s="43"/>
    </row>
    <row r="31" spans="1:10" ht="39.9" customHeight="1" x14ac:dyDescent="0.3">
      <c r="A31" s="10"/>
      <c r="B31" s="55" t="s">
        <v>193</v>
      </c>
      <c r="C31" s="56"/>
      <c r="D31" s="56"/>
      <c r="E31" s="9">
        <v>5</v>
      </c>
      <c r="F31" s="18">
        <v>3.5</v>
      </c>
      <c r="G31" s="29">
        <f t="shared" si="0"/>
        <v>0.7</v>
      </c>
      <c r="H31" s="30" t="str">
        <f t="shared" si="1"/>
        <v>جيد</v>
      </c>
      <c r="I31" s="42"/>
      <c r="J31" s="43"/>
    </row>
    <row r="32" spans="1:10" ht="39.9" customHeight="1" x14ac:dyDescent="0.3">
      <c r="A32" s="10"/>
      <c r="B32" s="55" t="s">
        <v>194</v>
      </c>
      <c r="C32" s="56"/>
      <c r="D32" s="56"/>
      <c r="E32" s="9">
        <v>5</v>
      </c>
      <c r="F32" s="35">
        <v>3.5</v>
      </c>
      <c r="G32" s="29">
        <f t="shared" si="0"/>
        <v>0.7</v>
      </c>
      <c r="H32" s="30" t="str">
        <f t="shared" si="1"/>
        <v>جيد</v>
      </c>
      <c r="I32" s="42"/>
      <c r="J32" s="43"/>
    </row>
    <row r="33" spans="1:10" ht="39.9" customHeight="1" x14ac:dyDescent="0.3">
      <c r="A33" s="10"/>
      <c r="B33" s="55" t="s">
        <v>195</v>
      </c>
      <c r="C33" s="56"/>
      <c r="D33" s="56"/>
      <c r="E33" s="9">
        <v>5</v>
      </c>
      <c r="F33" s="35">
        <v>3.5</v>
      </c>
      <c r="G33" s="29">
        <f t="shared" si="0"/>
        <v>0.7</v>
      </c>
      <c r="H33" s="30" t="str">
        <f t="shared" si="1"/>
        <v>جيد</v>
      </c>
      <c r="I33" s="42"/>
      <c r="J33" s="43"/>
    </row>
    <row r="34" spans="1:10" ht="39.9" customHeight="1" x14ac:dyDescent="0.3">
      <c r="A34" s="10"/>
      <c r="B34" s="55" t="s">
        <v>196</v>
      </c>
      <c r="C34" s="56"/>
      <c r="D34" s="56"/>
      <c r="E34" s="9">
        <v>5</v>
      </c>
      <c r="F34" s="35">
        <v>3.5</v>
      </c>
      <c r="G34" s="29">
        <f t="shared" si="0"/>
        <v>0.7</v>
      </c>
      <c r="H34" s="30" t="str">
        <f t="shared" si="1"/>
        <v>جيد</v>
      </c>
      <c r="I34" s="42"/>
      <c r="J34" s="43"/>
    </row>
    <row r="35" spans="1:10" ht="39.9" customHeight="1" thickBot="1" x14ac:dyDescent="0.35">
      <c r="A35" s="10"/>
      <c r="B35" s="78" t="s">
        <v>214</v>
      </c>
      <c r="C35" s="79"/>
      <c r="D35" s="79"/>
      <c r="E35" s="31">
        <v>5</v>
      </c>
      <c r="F35" s="35">
        <v>3.5</v>
      </c>
      <c r="G35" s="32">
        <f t="shared" si="0"/>
        <v>0.7</v>
      </c>
      <c r="H35" s="33" t="str">
        <f t="shared" si="1"/>
        <v>جيد</v>
      </c>
      <c r="I35" s="44"/>
      <c r="J35" s="45"/>
    </row>
    <row r="36" spans="1:10" ht="39.9" customHeight="1" x14ac:dyDescent="0.3">
      <c r="A36" s="10"/>
      <c r="B36" s="80" t="s">
        <v>197</v>
      </c>
      <c r="C36" s="81"/>
      <c r="D36" s="81"/>
      <c r="E36" s="81"/>
      <c r="F36" s="81"/>
      <c r="G36" s="81"/>
      <c r="H36" s="81"/>
      <c r="I36" s="81"/>
      <c r="J36" s="82"/>
    </row>
    <row r="37" spans="1:10" ht="39.9" customHeight="1" x14ac:dyDescent="0.3">
      <c r="A37" s="10"/>
      <c r="B37" s="74" t="s">
        <v>215</v>
      </c>
      <c r="C37" s="75"/>
      <c r="D37" s="75"/>
      <c r="E37" s="9">
        <v>5</v>
      </c>
      <c r="F37" s="18">
        <v>3.5</v>
      </c>
      <c r="G37" s="29">
        <f t="shared" si="0"/>
        <v>0.7</v>
      </c>
      <c r="H37" s="30" t="str">
        <f t="shared" si="1"/>
        <v>جيد</v>
      </c>
      <c r="I37" s="42"/>
      <c r="J37" s="43"/>
    </row>
    <row r="38" spans="1:10" ht="39.9" customHeight="1" x14ac:dyDescent="0.3">
      <c r="A38" s="10"/>
      <c r="B38" s="83" t="s">
        <v>216</v>
      </c>
      <c r="C38" s="84"/>
      <c r="D38" s="84"/>
      <c r="E38" s="9">
        <v>5</v>
      </c>
      <c r="F38" s="35">
        <v>3.5</v>
      </c>
      <c r="G38" s="29">
        <f t="shared" si="0"/>
        <v>0.7</v>
      </c>
      <c r="H38" s="30" t="str">
        <f t="shared" si="1"/>
        <v>جيد</v>
      </c>
      <c r="I38" s="42"/>
      <c r="J38" s="43"/>
    </row>
    <row r="39" spans="1:10" ht="39.9" customHeight="1" x14ac:dyDescent="0.3">
      <c r="A39" s="10"/>
      <c r="B39" s="83" t="s">
        <v>217</v>
      </c>
      <c r="C39" s="84"/>
      <c r="D39" s="84"/>
      <c r="E39" s="34"/>
      <c r="F39" s="18"/>
      <c r="G39" s="29"/>
      <c r="H39" s="30"/>
      <c r="I39" s="42"/>
      <c r="J39" s="43"/>
    </row>
    <row r="40" spans="1:10" ht="39.9" customHeight="1" x14ac:dyDescent="0.3">
      <c r="A40" s="10"/>
      <c r="B40" s="55" t="s">
        <v>198</v>
      </c>
      <c r="C40" s="56"/>
      <c r="D40" s="56"/>
      <c r="E40" s="9">
        <v>5</v>
      </c>
      <c r="F40" s="18">
        <v>3.5</v>
      </c>
      <c r="G40" s="29">
        <f t="shared" si="0"/>
        <v>0.7</v>
      </c>
      <c r="H40" s="30" t="str">
        <f t="shared" si="1"/>
        <v>جيد</v>
      </c>
      <c r="I40" s="42"/>
      <c r="J40" s="43"/>
    </row>
    <row r="41" spans="1:10" ht="39.9" customHeight="1" x14ac:dyDescent="0.3">
      <c r="A41" s="10"/>
      <c r="B41" s="55" t="s">
        <v>199</v>
      </c>
      <c r="C41" s="56"/>
      <c r="D41" s="56"/>
      <c r="E41" s="9">
        <v>5</v>
      </c>
      <c r="F41" s="35">
        <v>3.5</v>
      </c>
      <c r="G41" s="29">
        <f t="shared" si="0"/>
        <v>0.7</v>
      </c>
      <c r="H41" s="30" t="str">
        <f t="shared" si="1"/>
        <v>جيد</v>
      </c>
      <c r="I41" s="42"/>
      <c r="J41" s="43"/>
    </row>
    <row r="42" spans="1:10" ht="39.9" customHeight="1" x14ac:dyDescent="0.3">
      <c r="A42" s="10"/>
      <c r="B42" s="55" t="s">
        <v>200</v>
      </c>
      <c r="C42" s="56"/>
      <c r="D42" s="56"/>
      <c r="E42" s="9">
        <v>5</v>
      </c>
      <c r="F42" s="35">
        <v>3.5</v>
      </c>
      <c r="G42" s="29">
        <f t="shared" si="0"/>
        <v>0.7</v>
      </c>
      <c r="H42" s="30" t="str">
        <f t="shared" si="1"/>
        <v>جيد</v>
      </c>
      <c r="I42" s="42"/>
      <c r="J42" s="43"/>
    </row>
    <row r="43" spans="1:10" ht="39.9" customHeight="1" x14ac:dyDescent="0.3">
      <c r="A43" s="10"/>
      <c r="B43" s="55" t="s">
        <v>201</v>
      </c>
      <c r="C43" s="56"/>
      <c r="D43" s="56"/>
      <c r="E43" s="9">
        <v>5</v>
      </c>
      <c r="F43" s="35">
        <v>3.5</v>
      </c>
      <c r="G43" s="29">
        <f t="shared" si="0"/>
        <v>0.7</v>
      </c>
      <c r="H43" s="30" t="str">
        <f t="shared" si="1"/>
        <v>جيد</v>
      </c>
      <c r="I43" s="42"/>
      <c r="J43" s="43"/>
    </row>
    <row r="44" spans="1:10" ht="39.9" customHeight="1" x14ac:dyDescent="0.3">
      <c r="A44" s="10"/>
      <c r="B44" s="55" t="s">
        <v>202</v>
      </c>
      <c r="C44" s="56"/>
      <c r="D44" s="56"/>
      <c r="E44" s="9">
        <v>5</v>
      </c>
      <c r="F44" s="35">
        <v>3.5</v>
      </c>
      <c r="G44" s="29">
        <f t="shared" si="0"/>
        <v>0.7</v>
      </c>
      <c r="H44" s="30" t="str">
        <f t="shared" si="1"/>
        <v>جيد</v>
      </c>
      <c r="I44" s="42"/>
      <c r="J44" s="43"/>
    </row>
    <row r="45" spans="1:10" ht="39.9" customHeight="1" x14ac:dyDescent="0.3">
      <c r="A45" s="10"/>
      <c r="B45" s="74" t="s">
        <v>218</v>
      </c>
      <c r="C45" s="75"/>
      <c r="D45" s="75"/>
      <c r="E45" s="9"/>
      <c r="F45" s="18"/>
      <c r="G45" s="29"/>
      <c r="H45" s="30"/>
      <c r="I45" s="42"/>
      <c r="J45" s="43"/>
    </row>
    <row r="46" spans="1:10" ht="39.9" customHeight="1" x14ac:dyDescent="0.3">
      <c r="A46" s="10"/>
      <c r="B46" s="55" t="s">
        <v>203</v>
      </c>
      <c r="C46" s="56"/>
      <c r="D46" s="56"/>
      <c r="E46" s="9">
        <v>5</v>
      </c>
      <c r="F46" s="18">
        <v>3.75</v>
      </c>
      <c r="G46" s="29">
        <f t="shared" si="0"/>
        <v>0.75</v>
      </c>
      <c r="H46" s="30" t="str">
        <f t="shared" si="1"/>
        <v>جيد</v>
      </c>
      <c r="I46" s="42"/>
      <c r="J46" s="43"/>
    </row>
    <row r="47" spans="1:10" ht="39.9" customHeight="1" x14ac:dyDescent="0.3">
      <c r="A47" s="10"/>
      <c r="B47" s="55" t="s">
        <v>204</v>
      </c>
      <c r="C47" s="56"/>
      <c r="D47" s="56"/>
      <c r="E47" s="9">
        <v>5</v>
      </c>
      <c r="F47" s="35">
        <v>3.75</v>
      </c>
      <c r="G47" s="29">
        <f t="shared" si="0"/>
        <v>0.75</v>
      </c>
      <c r="H47" s="30" t="str">
        <f t="shared" si="1"/>
        <v>جيد</v>
      </c>
      <c r="I47" s="42"/>
      <c r="J47" s="43"/>
    </row>
    <row r="48" spans="1:10" ht="39.9" customHeight="1" x14ac:dyDescent="0.3">
      <c r="A48" s="10"/>
      <c r="B48" s="55" t="s">
        <v>205</v>
      </c>
      <c r="C48" s="56"/>
      <c r="D48" s="56"/>
      <c r="E48" s="9">
        <v>5</v>
      </c>
      <c r="F48" s="35">
        <v>3.75</v>
      </c>
      <c r="G48" s="29">
        <f t="shared" si="0"/>
        <v>0.75</v>
      </c>
      <c r="H48" s="30" t="str">
        <f t="shared" si="1"/>
        <v>جيد</v>
      </c>
      <c r="I48" s="42"/>
      <c r="J48" s="43"/>
    </row>
    <row r="49" spans="1:10" ht="39.9" customHeight="1" x14ac:dyDescent="0.3">
      <c r="A49" s="10"/>
      <c r="B49" s="55" t="s">
        <v>206</v>
      </c>
      <c r="C49" s="56"/>
      <c r="D49" s="56"/>
      <c r="E49" s="9">
        <v>5</v>
      </c>
      <c r="F49" s="35">
        <v>3.75</v>
      </c>
      <c r="G49" s="29">
        <f t="shared" si="0"/>
        <v>0.75</v>
      </c>
      <c r="H49" s="30" t="str">
        <f t="shared" si="1"/>
        <v>جيد</v>
      </c>
      <c r="I49" s="42"/>
      <c r="J49" s="43"/>
    </row>
    <row r="50" spans="1:10" ht="39.9" customHeight="1" x14ac:dyDescent="0.3">
      <c r="A50" s="10"/>
      <c r="B50" s="55" t="s">
        <v>207</v>
      </c>
      <c r="C50" s="56"/>
      <c r="D50" s="56"/>
      <c r="E50" s="9">
        <v>5</v>
      </c>
      <c r="F50" s="35">
        <v>3.75</v>
      </c>
      <c r="G50" s="29">
        <f t="shared" si="0"/>
        <v>0.75</v>
      </c>
      <c r="H50" s="30" t="str">
        <f t="shared" si="1"/>
        <v>جيد</v>
      </c>
      <c r="I50" s="42"/>
      <c r="J50" s="43"/>
    </row>
    <row r="51" spans="1:10" ht="39.9" customHeight="1" x14ac:dyDescent="0.3">
      <c r="A51" s="10"/>
      <c r="B51" s="55" t="s">
        <v>208</v>
      </c>
      <c r="C51" s="56"/>
      <c r="D51" s="56"/>
      <c r="E51" s="9">
        <v>5</v>
      </c>
      <c r="F51" s="35">
        <v>3.75</v>
      </c>
      <c r="G51" s="29">
        <f t="shared" si="0"/>
        <v>0.75</v>
      </c>
      <c r="H51" s="30" t="str">
        <f t="shared" si="1"/>
        <v>جيد</v>
      </c>
      <c r="I51" s="42"/>
      <c r="J51" s="43"/>
    </row>
    <row r="52" spans="1:10" ht="39.9" customHeight="1" thickBot="1" x14ac:dyDescent="0.35">
      <c r="A52" s="10"/>
      <c r="B52" s="85" t="s">
        <v>219</v>
      </c>
      <c r="C52" s="86"/>
      <c r="D52" s="86"/>
      <c r="E52" s="31">
        <v>5</v>
      </c>
      <c r="F52" s="35">
        <v>3.75</v>
      </c>
      <c r="G52" s="32">
        <f t="shared" si="0"/>
        <v>0.75</v>
      </c>
      <c r="H52" s="33" t="str">
        <f t="shared" si="1"/>
        <v>جيد</v>
      </c>
      <c r="I52" s="44"/>
      <c r="J52" s="45"/>
    </row>
    <row r="53" spans="1:10" ht="30" customHeight="1" thickBot="1" x14ac:dyDescent="0.35">
      <c r="A53" s="4"/>
      <c r="B53" s="46" t="s">
        <v>5</v>
      </c>
      <c r="C53" s="47"/>
      <c r="D53" s="47"/>
      <c r="E53" s="28">
        <f>SUM(E8:E52)</f>
        <v>175</v>
      </c>
      <c r="F53" s="28">
        <f>SUM(F8:F52)</f>
        <v>129.75</v>
      </c>
      <c r="G53" s="52"/>
      <c r="H53" s="53"/>
      <c r="I53" s="53"/>
      <c r="J53" s="54"/>
    </row>
    <row r="54" spans="1:10" ht="30" customHeight="1" thickBot="1" x14ac:dyDescent="0.35">
      <c r="A54" s="4"/>
      <c r="B54" s="48" t="s">
        <v>54</v>
      </c>
      <c r="C54" s="49"/>
      <c r="D54" s="49"/>
      <c r="E54" s="57">
        <f>F53/E53/100*100</f>
        <v>0.74142857142857144</v>
      </c>
      <c r="F54" s="57"/>
      <c r="G54" s="57"/>
      <c r="H54" s="57"/>
      <c r="I54" s="57"/>
      <c r="J54" s="58"/>
    </row>
    <row r="55" spans="1:10" ht="30" customHeight="1" thickBot="1" x14ac:dyDescent="0.35">
      <c r="A55" s="4"/>
      <c r="B55" s="48" t="s">
        <v>55</v>
      </c>
      <c r="C55" s="49"/>
      <c r="D55" s="49"/>
      <c r="E55" s="40" t="str">
        <f>_xlfn.IFS(E54&gt;=90%,"ممتاز",E54&gt;=80%,"جيد جداً",E54&gt;=70%,"جيد",E54&gt;=60%,"مقبول",E54&lt;60%,"راسب")</f>
        <v>جيد</v>
      </c>
      <c r="F55" s="40"/>
      <c r="G55" s="40"/>
      <c r="H55" s="40"/>
      <c r="I55" s="40"/>
      <c r="J55" s="41"/>
    </row>
    <row r="56" spans="1:10" ht="42" customHeight="1" x14ac:dyDescent="0.3">
      <c r="B56" s="36" t="s">
        <v>220</v>
      </c>
      <c r="C56" s="36"/>
      <c r="D56" s="36"/>
      <c r="E56" s="50" t="s">
        <v>52</v>
      </c>
      <c r="F56" s="50"/>
      <c r="G56" s="38" t="s">
        <v>59</v>
      </c>
      <c r="H56" s="38"/>
      <c r="I56" s="38"/>
      <c r="J56" s="38"/>
    </row>
    <row r="57" spans="1:10" ht="51" customHeight="1" x14ac:dyDescent="0.3">
      <c r="A57" s="5"/>
      <c r="B57" s="37"/>
      <c r="C57" s="37"/>
      <c r="D57" s="37"/>
      <c r="E57" s="51" t="s">
        <v>53</v>
      </c>
      <c r="F57" s="51"/>
      <c r="G57" s="39"/>
      <c r="H57" s="39"/>
      <c r="I57" s="39"/>
      <c r="J57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I22:J22"/>
    <mergeCell ref="I23:J23"/>
    <mergeCell ref="I25:J25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B1:J1"/>
    <mergeCell ref="F2:J2"/>
    <mergeCell ref="B5:D6"/>
    <mergeCell ref="C2:D2"/>
    <mergeCell ref="C3:D3"/>
    <mergeCell ref="F3:J3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I26:J26"/>
    <mergeCell ref="I27:J27"/>
    <mergeCell ref="I28:J28"/>
    <mergeCell ref="I19:J19"/>
    <mergeCell ref="I20:J20"/>
    <mergeCell ref="I21:J21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2025-10-28T04:15:41Z</dcterms:modified>
</cp:coreProperties>
</file>