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03C3FE47-1B0D-4D48-971E-44E577FCFA0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التقييم'!$A$1:$J$29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 s="1"/>
  <c r="G12" i="2"/>
  <c r="H12" i="2" s="1"/>
  <c r="G13" i="2"/>
  <c r="H13" i="2"/>
  <c r="G14" i="2"/>
  <c r="H14" i="2"/>
  <c r="G15" i="2"/>
  <c r="H15" i="2" s="1"/>
  <c r="G16" i="2"/>
  <c r="H16" i="2"/>
  <c r="G18" i="2"/>
  <c r="H18" i="2"/>
  <c r="G19" i="2"/>
  <c r="H19" i="2" s="1"/>
  <c r="G20" i="2"/>
  <c r="H20" i="2" s="1"/>
  <c r="G21" i="2"/>
  <c r="H21" i="2" s="1"/>
  <c r="G22" i="2"/>
  <c r="H22" i="2"/>
  <c r="G23" i="2"/>
  <c r="H23" i="2" s="1"/>
  <c r="G24" i="2"/>
  <c r="H24" i="2" s="1"/>
  <c r="F25" i="2"/>
  <c r="E26" i="2" s="1"/>
  <c r="E27" i="2" s="1"/>
  <c r="E25" i="2"/>
</calcChain>
</file>

<file path=xl/sharedStrings.xml><?xml version="1.0" encoding="utf-8"?>
<sst xmlns="http://schemas.openxmlformats.org/spreadsheetml/2006/main" count="250" uniqueCount="194">
  <si>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</si>
  <si>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</si>
  <si>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</si>
  <si>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</si>
  <si>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</si>
  <si>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</si>
  <si>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</si>
  <si>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</si>
  <si>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</si>
  <si>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</si>
  <si>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</si>
  <si>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</si>
  <si>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</si>
  <si>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</si>
  <si>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</si>
  <si>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</si>
  <si>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</si>
  <si>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</si>
  <si>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</si>
  <si>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</si>
  <si>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</si>
  <si>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</si>
  <si>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</si>
  <si>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</si>
  <si>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</si>
  <si>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</si>
  <si>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</si>
  <si>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</si>
  <si>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</si>
  <si>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</si>
  <si>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</si>
  <si>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</si>
  <si>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</si>
  <si>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</si>
  <si>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</si>
  <si>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</si>
  <si>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</si>
  <si>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</si>
  <si>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</si>
  <si>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</si>
  <si>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</si>
  <si>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</si>
  <si>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</si>
  <si>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</si>
  <si>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</si>
  <si>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</si>
  <si>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</si>
  <si>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</si>
  <si>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</si>
  <si>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</si>
  <si>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</si>
  <si>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</si>
  <si>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</si>
  <si>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</si>
  <si>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</si>
  <si>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</si>
  <si>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</si>
  <si>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</si>
  <si>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</si>
  <si>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</si>
  <si>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</si>
  <si>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</si>
  <si>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</si>
  <si>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</si>
  <si>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</si>
  <si>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</si>
  <si>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</si>
  <si>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</si>
  <si>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</si>
  <si>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</si>
  <si>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</si>
  <si>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</si>
  <si>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</si>
  <si>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</si>
  <si>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</si>
  <si>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</si>
  <si>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</si>
  <si>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</si>
  <si>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</si>
  <si>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</si>
  <si>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</si>
  <si>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</si>
  <si>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</si>
  <si>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</si>
  <si>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</si>
  <si>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</si>
  <si>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</si>
  <si>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</si>
  <si>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</si>
  <si>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</si>
  <si>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</si>
  <si>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</si>
  <si>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</si>
  <si>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</si>
  <si>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</si>
  <si>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</si>
  <si>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</si>
  <si>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</si>
  <si>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</si>
  <si>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</si>
  <si>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</si>
  <si>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</si>
  <si>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</si>
  <si>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</si>
  <si>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</si>
  <si>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</si>
  <si>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</si>
  <si>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</si>
  <si>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</si>
  <si>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</si>
  <si>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</si>
  <si>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</si>
  <si>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</si>
  <si>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</si>
  <si>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</si>
  <si>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</si>
  <si>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</si>
  <si>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</si>
  <si>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</si>
  <si>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</si>
  <si>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</si>
  <si>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</si>
  <si>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</si>
  <si>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</si>
  <si>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</si>
  <si>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</si>
  <si>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</si>
  <si>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</si>
  <si>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</si>
  <si>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</si>
  <si>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</si>
  <si>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</si>
  <si>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</si>
  <si>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</si>
  <si>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</si>
  <si>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</si>
  <si>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</si>
  <si>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</si>
  <si>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</si>
  <si>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</si>
  <si>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</si>
  <si>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</si>
  <si>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</si>
  <si>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</si>
  <si>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</si>
  <si>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</si>
  <si>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</si>
  <si>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</si>
  <si>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</si>
  <si>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</si>
  <si>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</si>
  <si>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</si>
  <si>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</si>
  <si>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</si>
  <si>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</si>
  <si>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</si>
  <si>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</si>
  <si>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</si>
  <si>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</si>
  <si>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</si>
  <si>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</si>
  <si>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</si>
  <si>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</si>
  <si>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</si>
  <si>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</si>
  <si>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</si>
  <si>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</si>
  <si>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</si>
  <si>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</si>
  <si>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</si>
  <si>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</si>
  <si>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</si>
  <si>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</si>
  <si>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</si>
  <si>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</si>
  <si>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t>إجراءات التنفيذ.</t>
  </si>
  <si>
    <t>أ.   الرد على العدو.</t>
  </si>
  <si>
    <t>ب.  إبلاغ المستوى الأعلى بحصول التماس.</t>
  </si>
  <si>
    <t>جـ.  تطوير الموقف.</t>
  </si>
  <si>
    <t xml:space="preserve">د.  الاستطلاع من الأرض من قبل قائد السرية. </t>
  </si>
  <si>
    <t>هـ.  إرسال تقرير مفصل للمستوى الأعلى بالموقف والتوصية بعمل ممكن للمستوى الأعلى (قوات العدو ضمن إمكانيات السرية).</t>
  </si>
  <si>
    <t>أ.   يصدر قائد السرية أوامره لقادة الفصائل باستخدام الجهاز اللاسلكي موضحاً لهم المهمة ومفهوم العمليات (المناورة والنيران).</t>
  </si>
  <si>
    <t>ب.   تخصيص أحد الفصائل ليقوم بتأسيس قاعدة إسناد بالنيران (يفضل أن يكون الفصيل الذي قام بالاشتباك الأولي مع العدو).</t>
  </si>
  <si>
    <t xml:space="preserve">جـ.   تقوم قاعدة الإسناد بالنيران بإسكات العدو. </t>
  </si>
  <si>
    <t>د.   طلب النيران غير المباشرة لإسكات أو حجب العدو وتوفير ساتر لمناورة السرية.</t>
  </si>
  <si>
    <t>هـ.   المناورة بباقي فصائل السرية بشكل جريء خارج مدى النيران المباشرة للعدو واستخدام الطرق التي تؤمن التخفية والتستر.</t>
  </si>
  <si>
    <t>و.   عند وصول عناصر المناورة إلى موقع يوفر الأفضلية، يمكن تنفيذ هجوم بالنار أو الاقتحام لتدمير قوات العدو.</t>
  </si>
  <si>
    <r>
      <t>2.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إرسال المعلومات للمستوى الأعلى وحسب الأوامر التعبوية المستديمة.</t>
    </r>
  </si>
  <si>
    <r>
      <t>3.</t>
    </r>
    <r>
      <rPr>
        <sz val="7"/>
        <color rgb="FF000000"/>
        <rFont val="Arial"/>
        <family val="2"/>
      </rPr>
      <t xml:space="preserve">   </t>
    </r>
    <r>
      <rPr>
        <sz val="12"/>
        <color rgb="FF000000"/>
        <rFont val="Arial"/>
        <family val="2"/>
      </rPr>
      <t xml:space="preserve">  تطبيق إجراءات العمل عند التماس مع العدو وكما يلي:</t>
    </r>
  </si>
  <si>
    <r>
      <t>4.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العمل الممكن للتعامل مع قوات العدو من خلال الهجوم السريع وكما يلي:</t>
    </r>
  </si>
  <si>
    <r>
      <t>5.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بعد تدمير قوات العدو يتم إرسال تقرير بالموقف لقيادة الكتيبة/ مجموعة القتال.</t>
    </r>
  </si>
  <si>
    <r>
      <t xml:space="preserve">ملاحظـــات: 
</t>
    </r>
    <r>
      <rPr>
        <sz val="14"/>
        <color rgb="FF000000"/>
        <rFont val="Arial"/>
        <family val="2"/>
      </rPr>
      <t>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</si>
  <si>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r>
      <rPr>
        <b/>
        <sz val="14"/>
        <color rgb="FF000000"/>
        <rFont val="Arial"/>
        <family val="2"/>
      </rPr>
      <t>تقييم سرية مشاة راجلة في تنفيذ الهجوم السريع</t>
    </r>
    <r>
      <rPr>
        <b/>
        <u/>
        <sz val="14"/>
        <color rgb="FF000000"/>
        <rFont val="Arial"/>
        <family val="2"/>
      </rPr>
      <t xml:space="preserve">
تمرين لعبات حرب مجموعة لواء الإمارات/1 (رياح الصحراء 2025/19)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</si>
  <si>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الحركة من الموقع الحالي حسب أولوية الحركة والخطة الموضوعة.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</si>
</sst>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8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0"/>
      <color theme="1"/>
      <name val="Arial"/>
      <family val="2"/>
    </font>
    <font>
      <sz val="14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4" fillId="0" borderId="3" xfId="0" applyFont="1" applyBorder="1" applyAlignment="1">
      <alignment vertical="center" wrapText="1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13" fillId="0" borderId="23" xfId="0" applyFont="1" applyBorder="1" applyAlignment="1">
      <alignment horizontal="right" vertical="center" wrapText="1" indent="2" readingOrder="2"/>
    </xf>
    <xf numFmtId="0" fontId="13" fillId="0" borderId="3" xfId="0" applyFont="1" applyBorder="1" applyAlignment="1">
      <alignment horizontal="right" vertical="center" wrapText="1" indent="2" readingOrder="2"/>
    </xf>
    <xf numFmtId="0" fontId="1" fillId="5" borderId="24" xfId="0" applyFont="1" applyFill="1" applyBorder="1" applyAlignment="1">
      <alignment horizontal="right" vertical="center" wrapText="1" readingOrder="2"/>
    </xf>
    <xf numFmtId="0" fontId="1" fillId="5" borderId="25" xfId="0" applyFont="1" applyFill="1" applyBorder="1" applyAlignment="1">
      <alignment horizontal="right" vertical="center" wrapText="1" readingOrder="2"/>
    </xf>
    <xf numFmtId="0" fontId="1" fillId="5" borderId="26" xfId="0" applyFont="1" applyFill="1" applyBorder="1" applyAlignment="1">
      <alignment horizontal="right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15" fillId="0" borderId="23" xfId="0" applyFont="1" applyBorder="1" applyAlignment="1">
      <alignment horizontal="right" vertical="center" wrapText="1" readingOrder="2"/>
    </xf>
    <xf numFmtId="0" fontId="15" fillId="0" borderId="3" xfId="0" applyFont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15" fillId="0" borderId="11" xfId="0" applyFont="1" applyBorder="1" applyAlignment="1">
      <alignment horizontal="right" vertical="center" wrapText="1" readingOrder="2"/>
    </xf>
    <xf numFmtId="0" fontId="15" fillId="0" borderId="12" xfId="0" applyFont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4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470815</xdr:colOff>
      <xdr:row>28</xdr:row>
      <xdr:rowOff>125485</xdr:rowOff>
    </xdr:from>
    <xdr:to>
      <xdr:col>8</xdr:col>
      <xdr:colOff>460849</xdr:colOff>
      <xdr:row>28</xdr:row>
      <xdr:rowOff>431845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16B08637-EE1F-F514-5D84-A55057D51B65}"/>
                </a:ext>
              </a:extLst>
            </xdr14:cNvPr>
            <xdr14:cNvContentPartPr/>
          </xdr14:nvContentPartPr>
          <xdr14:nvPr macro=""/>
          <xdr14:xfrm>
            <a:off x="10423241951" y="13070520"/>
            <a:ext cx="1298880" cy="30636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16B08637-EE1F-F514-5D84-A55057D51B65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423232951" y="13061880"/>
              <a:ext cx="1316520" cy="3240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466912</xdr:colOff>
      <xdr:row>28</xdr:row>
      <xdr:rowOff>212245</xdr:rowOff>
    </xdr:from>
    <xdr:to>
      <xdr:col>8</xdr:col>
      <xdr:colOff>451129</xdr:colOff>
      <xdr:row>28</xdr:row>
      <xdr:rowOff>541645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FD4ECD3F-FEEF-06F8-7D25-BC60AB895198}"/>
                </a:ext>
              </a:extLst>
            </xdr14:cNvPr>
            <xdr14:cNvContentPartPr/>
          </xdr14:nvContentPartPr>
          <xdr14:nvPr macro=""/>
          <xdr14:xfrm>
            <a:off x="10423251671" y="13157280"/>
            <a:ext cx="638640" cy="3294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FD4ECD3F-FEEF-06F8-7D25-BC60AB89519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0423243031" y="13148640"/>
              <a:ext cx="656280" cy="34704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38:45.46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2329 440 3544,'0'0'0,"0"-4"632,1-7 57,0 8-209,-1 3-480,2-11 304,-1 7-120,0 1-40,0-8 40,3 8-48,-4 3-136,2-3 168,2-8-8,-1 9-64,1-8-16,-1 6 8,0-5-72,1 5 40,-4 4-56,3-9 32,2 6-40,-1 0 16,-1-7 0,1 8 0,0-2 48,-4 4-56,3-3 8,-1-1-16,1 0 32,-1 1-48,0-1 24,0 3 24,-2 1-24,1-2-32,2 0 0,-1 1 40,0-1-32,1 1-8,-1-1-16,-2 2 48,3-1-56,-1 0 0,2 0 48,-1 0-8,1-1 24,1 1-56,-5 1 48,8-1-32,-4 0 0,6 0-40,-6-1 64,10 1 24,-14 1-16,8-1-24,3 0 16,0 0 0,2-1-8,0 1-8,3 0 8,0-1 16,-16 2 0,18-2-32,2 1 64,-1 0-16,3 0-40,0 0 16,-1-1-40,-21 2 48,22-1-8,0 0 16,0 1-32,0 0 8,1 0 8,0 2 0,-23-2 8,25 0 0,-1 3 24,0 0-24,0 1-24,-2 0 24,1-1-32,-23-3 32,22 4-16,-1-1 56,1 1-16,1 6-32,-2-8 8,0 8-24,-21-10 24,20 2-32,2 8 48,-2-8 0,0 10-16,-1-9 0,1 9-56,-20-12 56,18 4-48,1 7 48,-1-8-48,1 11 80,0-11-8,1 10-40,-20-13 16,18 4 56,0 9-16,0-9-24,-2 8-8,0-9 0,-2 9-24,-14-12 16,14 4 8,-1 9 8,-2-9 8,0 8-8,-1-9 0,-6 8-24,-4-11 8,13 4 8,-11 6 16,8-6-48,-8 7-24,2-8-16,-2 1-40,-2-4 104,1 11-72,-1-8 24,0 7 32,-2-6 16,-2 8 40,-8-9-16,12-3-24,-2 11 24,-14-7 0,4 9-8,-1-10 0,-2 9 8,-3-8-8,18-4-16,-18 11 24,-3-8 8,0 9-16,-3-8 0,0 8-8,-2-9-8,26-3 0,-26 15 16,0-6 0,-2-5 16,-1 9-16,0-9 8,0 8-8,29-12-16,-30 3 8,1 9 8,-1-8 0,0 8 0,0-8-8,1 6-8,29-10 0,-30 4 0,-1 7-16,-2-8 0,0 7-8,0-8 8,1 8-16,32-10 32,-32 2-32,0 2-8,-1-1 8,-1 1 0,0 0 8,-1-1 0,35-3 24,-34 4 0,1-1 16,-2 1 0,2-2-8,-2 2-8,0-2 0,35-2 0,-36 3-32,2-1 8,0-2-8,0 3 8,2-3 8,-3 0 8,35 0 8,-36 0 0,0 0 8,1 0 8,1 0 0,0-2 8,0 0 0,34 2-24,-33-4 48,-1 1 24,3-1 24,0-5 16,0 5 0,1-6 40,30 10-152,-28-3 160,0-9 0,0 7 24,3-8-32,-1 3-16,26 10-136,-25-9 128,2-1-16,-1 1-16,1-2 32,1-1 8,0-1 8,22 13-144,-22-14 176,-1-1 8,1-1 8,-3 2 24,0-2 9,0 1-9,25 15-216,-26-16 232,3 2-24,1-2-40,-1 1-8,0 1-24,1-1-8,22 15-128,-23-16 160,3 2-56,-1 1 0,2-2 8,0 3-24,2-1 24,17 13-112,-18-14 104,2-1 8,1 2 48,0-1 16,2 2 8,0-3 8,13 15-192,-12-14 136,1 1 32,0-3 24,7 3-16,-8-2 40,10-2 32,2 17-248,-10-15 224,10 1-72,-2 1-48,-1 0-96,3-2-8,0 2 24,0 13-24,0-12-32,3 0 24,-1 0-16,9 1-40,-6-1 48,8 2-8,-13 10 24,11-5-72,0-8 8,3 8 8,1-6-40,1 0 96,1 6 24,-17 5-24,19-10-32,1 6 0,0-1-32,3 0-24,-1-5 64,3 7-16,-25 3 40,24-3 0,2-2-16,1 1-24,0 0 40,2-1-56,2 1 8,-31 4 48,31-2-8,1 1-24,-1-1 0,-1 1 40,0 0-32,0 1-8,-30 0 32,30 0-32,4 2-16,-3 1 0,0 0 64,0 0 8,-1 0 0,-30-3-24,29 4 0,-1-1-40,-1 8 24,1-8 16,-2 0 16,0 8-32,-26-11 16,23 2-8,-3 9-64,2-7 64,-4 8 8,0-9 0,-3 9-32,-15-12 32,14 4-32,-1 8-24,-1-8 32,-2 8 24,-2-9-8,-4 10-72,-4-13 80,9 4-120,-7 10-16,0-4 8,-1-7 72,-1 11-32,0-11 64,0-3 24,-2 13-40,-8-2 8,1-1 104,-1-1-88,-2 1 32,-3 0-40,15-10 24,-14 12-48,-3 0 88,-1-2-24,0 1 32,-4 0-24,1-1-48,21-10 24,-23 10 0,-3 1 16,1-1 32,-1 0-64,-1 1-8,-1 1-48,28-12 72,-28 12-56,-1 1 80,0-3-8,-1 2-8,-3 0 16,2-2-8,31-10-16,-34 14 8,2-1 48,-3-1 8,-4 1-64,-2 0 16,-2-2-16,43-11 0,-44 13-16,-1 1 32,-2 0 8,-1 0-16,-4-2 0,2 0 24,50-12-32,-55 12 8,0 1 72,0-1-56,0 2 16,1-2 24,0 0-80,54-12 16,-57 12 64,1 0-16,2-3-16,3-5-8,2 8 0,1-10-32,48-2 8,-45 4 0,3 5 16,3-9-24,4 3-24,4-1-88,2 1-208,29-3 328,-30 0-664,5 0-488,4 0-169,-1 0-31,5 0 80,1 0 272,16 0 1000,-14-2-889,3-1 201,2-1 256,5 1 144,1-8 168,-1 7-8,4 4 128,0-13-2376,0 13 2376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13T17:38:46.368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1067 44 3360,'0'0'0,"19"-10"424,3 7 128,7-10 57,-5 9-105,-4 0-96,-20 4-408,18-3 296,-2 0-80,-3 2-32,-3 0-16,0 0-24,-7 1-24,-3 0-120,3 0 72,1 0-56,-3 0-40,0 2-8,-1 1 32,-2 0 32,2-3-32,-4 4 64,-10 7 0,-1-8-16,-1 10-8,-4-3-16,-3 2-8,23-12-16,-24 11 32,-4 1-24,-1 1-8,0 0 0,1 0-16,-1 2 24,29-15-8,-29 12 40,2 0-24,-4 0 0,3 0 8,1-2-40,1 1 32,26-11-16,-21 10 8,0-7 0,2 11-40,0-11-24,3 9-64,1-10-64,15-2 184,-14 4-232,1 6-48,3-8-8,0 0 8,6 1 56,-5 0 56,9-3 168,-3 3-136,1-3 32,-1 2 48,1-2 24,0 0 40,2 0 64,0 0-72,0 0 80,-3 0 8,3-1 32,0 0-40,-2 0 8,2-2 48,0 3-136,-2-2 48,-1 1 0,1-2-40,-1 1-56,1 1 88,-2-3-8,4 4-32,-9-4 0,6 2-8,-6 1-40,5 0-16,-9-1 72,3 2-72,10 0 64,-10 0-40,-2 0 0,0 0-48,-3 3 88,0 0-32,-2 1 40,17-4-8,-18 4-16,1-1-8,-2 0 0,1 0-32,-2 1 72,-1-1-24,21-3 8,-20 4-24,-2-2 8,2 1-24,-1-1 64,0-2 0,1 3-32,20-3 8,-20 0 0,2 2-24,2-2 16,-1 0 56,0 0-8,1 2 0,16-2-40,-16 0 8,0 0-32,2 0 0,0 0 48,1-1 8,3 0-8,10 1-24,-11-4 24,1 1-40,7-1 64,-8 1 16,9-1-16,-8 0-8,10 4-40,-3-4 8,0-1 48,-1 1 0,2-1 72,0-4 16,-1 8-56,3 1-88,-2-5 168,-1 0-24,1-4 48,2 5 0,-2-1-64,2-6-64,0 11-64,0-2 32,0-2-32,0 0 40,0-1 8,0-5-40,0 7 24,0 3-32,0-10-16,1 6-48,2-5 8,1 5 24,6-7-32,-6 8 0,-4 3 64,12-13-40,-2 3-24,1 5 0,1-6-72,1 8-32,1-7-104,-14 10 272,15-2-296,-1-10 56,2 11-64,-2-4 56,3-5 56,-1 9 0,-16 1 192,16-5-112,0 1 56,-1 0-1,0 2 17,1-1 32,-1 2-16,-15 1 24,15 0 8,1 0 40,-2 0-56,-1 2 24,1 1 1,-4 6-26,-10-9 9,12 3 33,-1 9-25,-1-3-24,-5 2-17,4 2 1,-7 3 8,-2-16 24,3 18-24,1 2-16,-3 3 8,0 2 8,-1 2 24,0 1 24,0-28-24,0 30 24,-2 1 0,2 3 0,-3 1 0,3 1-16,0 1 0,0-37-8,0 36 0,3 0 16,7-2 0,-5 0-8,13 0 0,-4-2-16,-14-32 8,21 32 0,3-2 8,5 0 1,8-2-1,2-3 8,6-2 0,-45-23-16,48 19 16,3-2 16,7-3-16,3-2 0,6-8 0,5 6 8,-72-10-24,76 3 24,2-1 0,5-2-72,2 0-121,0 0-295,3 0-40,-88 0 504,87-2-488,-1-3 96,2-7-2040,-88 12 2432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29"/>
  <sheetViews>
    <sheetView rightToLeft="1" tabSelected="1" view="pageBreakPreview" topLeftCell="A21" zoomScale="130" zoomScaleNormal="100" zoomScaleSheetLayoutView="130" workbookViewId="0">
      <selection activeCell="F13" sqref="F13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0" t="s">
        <v>192</v>
      </c>
      <c r="C1" s="50"/>
      <c r="D1" s="50"/>
      <c r="E1" s="50"/>
      <c r="F1" s="50"/>
      <c r="G1" s="50"/>
      <c r="H1" s="50"/>
      <c r="I1" s="50"/>
      <c r="J1" s="50"/>
    </row>
    <row r="2" spans="1:10" ht="30" customHeight="1" x14ac:dyDescent="0.3">
      <c r="B2" s="11" t="s">
        <v>8</v>
      </c>
      <c r="C2" s="56" t="s">
        <v>41</v>
      </c>
      <c r="D2" s="56"/>
      <c r="E2" s="11" t="s">
        <v>7</v>
      </c>
      <c r="F2" s="51">
        <v>45943</v>
      </c>
      <c r="G2" s="51"/>
      <c r="H2" s="51"/>
      <c r="I2" s="51"/>
      <c r="J2" s="51"/>
    </row>
    <row r="3" spans="1:10" ht="30" customHeight="1" x14ac:dyDescent="0.3">
      <c r="B3" s="11" t="s">
        <v>9</v>
      </c>
      <c r="C3" s="56" t="s">
        <v>82</v>
      </c>
      <c r="D3" s="56"/>
      <c r="E3" s="11" t="s">
        <v>6</v>
      </c>
      <c r="F3" s="56" t="s">
        <v>92</v>
      </c>
      <c r="G3" s="56"/>
      <c r="H3" s="56"/>
      <c r="I3" s="56"/>
      <c r="J3" s="56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2" t="s">
        <v>0</v>
      </c>
      <c r="C5" s="53"/>
      <c r="D5" s="53"/>
      <c r="E5" s="64" t="s">
        <v>1</v>
      </c>
      <c r="F5" s="64"/>
      <c r="G5" s="64"/>
      <c r="H5" s="64"/>
      <c r="I5" s="64" t="s">
        <v>2</v>
      </c>
      <c r="J5" s="65"/>
    </row>
    <row r="6" spans="1:10" ht="24.9" customHeight="1" thickBot="1" x14ac:dyDescent="0.35">
      <c r="A6" s="10"/>
      <c r="B6" s="54"/>
      <c r="C6" s="55"/>
      <c r="D6" s="55"/>
      <c r="E6" s="20" t="s">
        <v>3</v>
      </c>
      <c r="F6" s="20" t="s">
        <v>4</v>
      </c>
      <c r="G6" s="20" t="s">
        <v>23</v>
      </c>
      <c r="H6" s="20" t="s">
        <v>24</v>
      </c>
      <c r="I6" s="66"/>
      <c r="J6" s="67"/>
    </row>
    <row r="7" spans="1:10" ht="24.9" customHeight="1" thickBot="1" x14ac:dyDescent="0.35">
      <c r="A7" s="10"/>
      <c r="B7" s="62" t="s">
        <v>21</v>
      </c>
      <c r="C7" s="63"/>
      <c r="D7" s="63"/>
      <c r="E7" s="28" t="s">
        <v>18</v>
      </c>
      <c r="F7" s="28" t="s">
        <v>19</v>
      </c>
      <c r="G7" s="28" t="s">
        <v>22</v>
      </c>
      <c r="H7" s="28" t="s">
        <v>20</v>
      </c>
      <c r="I7" s="68" t="s">
        <v>25</v>
      </c>
      <c r="J7" s="69"/>
    </row>
    <row r="8" spans="1:10" ht="39.9" customHeight="1" x14ac:dyDescent="0.3">
      <c r="A8" s="10"/>
      <c r="B8" s="59" t="s">
        <v>175</v>
      </c>
      <c r="C8" s="60"/>
      <c r="D8" s="60"/>
      <c r="E8" s="60"/>
      <c r="F8" s="60"/>
      <c r="G8" s="60"/>
      <c r="H8" s="60"/>
      <c r="I8" s="60"/>
      <c r="J8" s="61"/>
    </row>
    <row r="9" spans="1:10" ht="39.9" customHeight="1" x14ac:dyDescent="0.3">
      <c r="A9" s="10"/>
      <c r="B9" s="70" t="s">
        <v>193</v>
      </c>
      <c r="C9" s="71"/>
      <c r="D9" s="71"/>
      <c r="E9" s="9">
        <v>5</v>
      </c>
      <c r="F9" s="18">
        <v>3.5</v>
      </c>
      <c r="G9" s="30">
        <f t="shared" ref="G9:G24" si="0">IFERROR(F9/E9,"")</f>
        <v>0.7</v>
      </c>
      <c r="H9" s="31" t="str">
        <f t="shared" ref="H9:H24" si="1">_xlfn.IFS(F9="أدخل العلامة","",F9="لا ينطبق","تم الإلغاء",G9&gt;=90%,"ممتاز",G9&gt;=80%,"جيد جداً",G9&gt;=70%,"جيد",G9&gt;=60%,"مقبول",G9&lt;60%,"راسب")</f>
        <v>جيد</v>
      </c>
      <c r="I9" s="42"/>
      <c r="J9" s="43"/>
    </row>
    <row r="10" spans="1:10" ht="39.9" customHeight="1" x14ac:dyDescent="0.3">
      <c r="A10" s="10"/>
      <c r="B10" s="72" t="s">
        <v>187</v>
      </c>
      <c r="C10" s="73"/>
      <c r="D10" s="73"/>
      <c r="E10" s="9">
        <v>5</v>
      </c>
      <c r="F10" s="18">
        <v>3.5</v>
      </c>
      <c r="G10" s="30">
        <f t="shared" si="0"/>
        <v>0.7</v>
      </c>
      <c r="H10" s="31" t="str">
        <f t="shared" si="1"/>
        <v>جيد</v>
      </c>
      <c r="I10" s="42"/>
      <c r="J10" s="43"/>
    </row>
    <row r="11" spans="1:10" ht="39.9" customHeight="1" x14ac:dyDescent="0.3">
      <c r="A11" s="10"/>
      <c r="B11" s="72" t="s">
        <v>188</v>
      </c>
      <c r="C11" s="73"/>
      <c r="D11" s="73"/>
      <c r="E11" s="35"/>
      <c r="F11" s="18"/>
      <c r="G11" s="30"/>
      <c r="H11" s="31"/>
      <c r="I11" s="42"/>
      <c r="J11" s="43"/>
    </row>
    <row r="12" spans="1:10" ht="39.9" customHeight="1" x14ac:dyDescent="0.3">
      <c r="A12" s="10"/>
      <c r="B12" s="57" t="s">
        <v>176</v>
      </c>
      <c r="C12" s="58"/>
      <c r="D12" s="58"/>
      <c r="E12" s="9">
        <v>5</v>
      </c>
      <c r="F12" s="18">
        <v>3.5</v>
      </c>
      <c r="G12" s="30">
        <f t="shared" si="0"/>
        <v>0.7</v>
      </c>
      <c r="H12" s="31" t="str">
        <f t="shared" si="1"/>
        <v>جيد</v>
      </c>
      <c r="I12" s="42"/>
      <c r="J12" s="43"/>
    </row>
    <row r="13" spans="1:10" ht="39.9" customHeight="1" x14ac:dyDescent="0.3">
      <c r="A13" s="10"/>
      <c r="B13" s="57" t="s">
        <v>177</v>
      </c>
      <c r="C13" s="58"/>
      <c r="D13" s="58"/>
      <c r="E13" s="9">
        <v>5</v>
      </c>
      <c r="F13" s="18">
        <v>3.5</v>
      </c>
      <c r="G13" s="30">
        <f t="shared" si="0"/>
        <v>0.7</v>
      </c>
      <c r="H13" s="31" t="str">
        <f t="shared" si="1"/>
        <v>جيد</v>
      </c>
      <c r="I13" s="42"/>
      <c r="J13" s="43"/>
    </row>
    <row r="14" spans="1:10" ht="39.9" customHeight="1" x14ac:dyDescent="0.3">
      <c r="A14" s="10"/>
      <c r="B14" s="57" t="s">
        <v>178</v>
      </c>
      <c r="C14" s="58"/>
      <c r="D14" s="58"/>
      <c r="E14" s="9">
        <v>5</v>
      </c>
      <c r="F14" s="18">
        <v>3.5</v>
      </c>
      <c r="G14" s="30">
        <f t="shared" si="0"/>
        <v>0.7</v>
      </c>
      <c r="H14" s="31" t="str">
        <f t="shared" si="1"/>
        <v>جيد</v>
      </c>
      <c r="I14" s="42"/>
      <c r="J14" s="43"/>
    </row>
    <row r="15" spans="1:10" ht="39.9" customHeight="1" x14ac:dyDescent="0.3">
      <c r="A15" s="10"/>
      <c r="B15" s="57" t="s">
        <v>179</v>
      </c>
      <c r="C15" s="58"/>
      <c r="D15" s="58"/>
      <c r="E15" s="9">
        <v>5</v>
      </c>
      <c r="F15" s="18">
        <v>3.5</v>
      </c>
      <c r="G15" s="30">
        <f t="shared" si="0"/>
        <v>0.7</v>
      </c>
      <c r="H15" s="31" t="str">
        <f t="shared" si="1"/>
        <v>جيد</v>
      </c>
      <c r="I15" s="42"/>
      <c r="J15" s="43"/>
    </row>
    <row r="16" spans="1:10" ht="39.9" customHeight="1" x14ac:dyDescent="0.3">
      <c r="A16" s="10"/>
      <c r="B16" s="57" t="s">
        <v>180</v>
      </c>
      <c r="C16" s="58"/>
      <c r="D16" s="58"/>
      <c r="E16" s="9">
        <v>5</v>
      </c>
      <c r="F16" s="18">
        <v>3.5</v>
      </c>
      <c r="G16" s="30">
        <f t="shared" si="0"/>
        <v>0.7</v>
      </c>
      <c r="H16" s="31" t="str">
        <f t="shared" si="1"/>
        <v>جيد</v>
      </c>
      <c r="I16" s="42"/>
      <c r="J16" s="43"/>
    </row>
    <row r="17" spans="1:10" ht="39.9" customHeight="1" x14ac:dyDescent="0.3">
      <c r="A17" s="10"/>
      <c r="B17" s="70" t="s">
        <v>189</v>
      </c>
      <c r="C17" s="71"/>
      <c r="D17" s="71"/>
      <c r="E17" s="9"/>
      <c r="F17" s="18"/>
      <c r="G17" s="30"/>
      <c r="H17" s="31"/>
      <c r="I17" s="42"/>
      <c r="J17" s="43"/>
    </row>
    <row r="18" spans="1:10" ht="39.9" customHeight="1" x14ac:dyDescent="0.3">
      <c r="A18" s="10"/>
      <c r="B18" s="57" t="s">
        <v>181</v>
      </c>
      <c r="C18" s="58"/>
      <c r="D18" s="58"/>
      <c r="E18" s="9">
        <v>5</v>
      </c>
      <c r="F18" s="18">
        <v>3.75</v>
      </c>
      <c r="G18" s="30">
        <f t="shared" si="0"/>
        <v>0.75</v>
      </c>
      <c r="H18" s="31" t="str">
        <f t="shared" si="1"/>
        <v>جيد</v>
      </c>
      <c r="I18" s="42"/>
      <c r="J18" s="43"/>
    </row>
    <row r="19" spans="1:10" ht="39.9" customHeight="1" x14ac:dyDescent="0.3">
      <c r="A19" s="10"/>
      <c r="B19" s="57" t="s">
        <v>182</v>
      </c>
      <c r="C19" s="58"/>
      <c r="D19" s="58"/>
      <c r="E19" s="9">
        <v>5</v>
      </c>
      <c r="F19" s="18">
        <v>3.5</v>
      </c>
      <c r="G19" s="30">
        <f t="shared" si="0"/>
        <v>0.7</v>
      </c>
      <c r="H19" s="31" t="str">
        <f t="shared" si="1"/>
        <v>جيد</v>
      </c>
      <c r="I19" s="42"/>
      <c r="J19" s="43"/>
    </row>
    <row r="20" spans="1:10" ht="39.9" customHeight="1" x14ac:dyDescent="0.3">
      <c r="A20" s="10"/>
      <c r="B20" s="57" t="s">
        <v>183</v>
      </c>
      <c r="C20" s="58"/>
      <c r="D20" s="58"/>
      <c r="E20" s="9">
        <v>5</v>
      </c>
      <c r="F20" s="18">
        <v>3.5</v>
      </c>
      <c r="G20" s="30">
        <f t="shared" si="0"/>
        <v>0.7</v>
      </c>
      <c r="H20" s="31" t="str">
        <f t="shared" si="1"/>
        <v>جيد</v>
      </c>
      <c r="I20" s="42"/>
      <c r="J20" s="43"/>
    </row>
    <row r="21" spans="1:10" ht="39.9" customHeight="1" x14ac:dyDescent="0.3">
      <c r="A21" s="10"/>
      <c r="B21" s="57" t="s">
        <v>184</v>
      </c>
      <c r="C21" s="58"/>
      <c r="D21" s="58"/>
      <c r="E21" s="9">
        <v>5</v>
      </c>
      <c r="F21" s="18">
        <v>3.5</v>
      </c>
      <c r="G21" s="30">
        <f t="shared" si="0"/>
        <v>0.7</v>
      </c>
      <c r="H21" s="31" t="str">
        <f t="shared" si="1"/>
        <v>جيد</v>
      </c>
      <c r="I21" s="42"/>
      <c r="J21" s="43"/>
    </row>
    <row r="22" spans="1:10" ht="39.9" customHeight="1" x14ac:dyDescent="0.3">
      <c r="A22" s="10"/>
      <c r="B22" s="57" t="s">
        <v>185</v>
      </c>
      <c r="C22" s="58"/>
      <c r="D22" s="58"/>
      <c r="E22" s="9">
        <v>5</v>
      </c>
      <c r="F22" s="18">
        <v>3.75</v>
      </c>
      <c r="G22" s="30">
        <f t="shared" si="0"/>
        <v>0.75</v>
      </c>
      <c r="H22" s="31" t="str">
        <f t="shared" si="1"/>
        <v>جيد</v>
      </c>
      <c r="I22" s="42"/>
      <c r="J22" s="43"/>
    </row>
    <row r="23" spans="1:10" ht="39.9" customHeight="1" x14ac:dyDescent="0.3">
      <c r="A23" s="10"/>
      <c r="B23" s="57" t="s">
        <v>186</v>
      </c>
      <c r="C23" s="58"/>
      <c r="D23" s="58"/>
      <c r="E23" s="9">
        <v>5</v>
      </c>
      <c r="F23" s="18">
        <v>3.5</v>
      </c>
      <c r="G23" s="30">
        <f t="shared" si="0"/>
        <v>0.7</v>
      </c>
      <c r="H23" s="31" t="str">
        <f t="shared" si="1"/>
        <v>جيد</v>
      </c>
      <c r="I23" s="42"/>
      <c r="J23" s="43"/>
    </row>
    <row r="24" spans="1:10" ht="39.9" customHeight="1" thickBot="1" x14ac:dyDescent="0.35">
      <c r="A24" s="10"/>
      <c r="B24" s="81" t="s">
        <v>190</v>
      </c>
      <c r="C24" s="82"/>
      <c r="D24" s="82"/>
      <c r="E24" s="32">
        <v>5</v>
      </c>
      <c r="F24" s="19">
        <v>3.5</v>
      </c>
      <c r="G24" s="33">
        <f t="shared" si="0"/>
        <v>0.7</v>
      </c>
      <c r="H24" s="34" t="str">
        <f t="shared" si="1"/>
        <v>جيد</v>
      </c>
      <c r="I24" s="44"/>
      <c r="J24" s="45"/>
    </row>
    <row r="25" spans="1:10" ht="30" customHeight="1" thickBot="1" x14ac:dyDescent="0.35">
      <c r="A25" s="4"/>
      <c r="B25" s="46" t="s">
        <v>5</v>
      </c>
      <c r="C25" s="47"/>
      <c r="D25" s="47"/>
      <c r="E25" s="29">
        <f>SUM(E8:E24)</f>
        <v>70</v>
      </c>
      <c r="F25" s="29">
        <f>SUM(F8:F24)</f>
        <v>49.5</v>
      </c>
      <c r="G25" s="76"/>
      <c r="H25" s="77"/>
      <c r="I25" s="77"/>
      <c r="J25" s="78"/>
    </row>
    <row r="26" spans="1:10" ht="30" customHeight="1" thickBot="1" x14ac:dyDescent="0.35">
      <c r="A26" s="4"/>
      <c r="B26" s="48" t="s">
        <v>54</v>
      </c>
      <c r="C26" s="49"/>
      <c r="D26" s="49"/>
      <c r="E26" s="79">
        <f>F25/E25/100*100</f>
        <v>0.70714285714285718</v>
      </c>
      <c r="F26" s="79"/>
      <c r="G26" s="79"/>
      <c r="H26" s="79"/>
      <c r="I26" s="79"/>
      <c r="J26" s="80"/>
    </row>
    <row r="27" spans="1:10" ht="30" customHeight="1" thickBot="1" x14ac:dyDescent="0.35">
      <c r="A27" s="4"/>
      <c r="B27" s="48" t="s">
        <v>55</v>
      </c>
      <c r="C27" s="49"/>
      <c r="D27" s="49"/>
      <c r="E27" s="40" t="str">
        <f>_xlfn.IFS(E26&gt;=90%,"ممتاز",E26&gt;=80%,"جيد جداً",E26&gt;=70%,"جيد",E26&gt;=60%,"مقبول",E26&lt;60%,"راسب")</f>
        <v>جيد</v>
      </c>
      <c r="F27" s="40"/>
      <c r="G27" s="40"/>
      <c r="H27" s="40"/>
      <c r="I27" s="40"/>
      <c r="J27" s="41"/>
    </row>
    <row r="28" spans="1:10" ht="42" customHeight="1" x14ac:dyDescent="0.3">
      <c r="B28" s="36" t="s">
        <v>191</v>
      </c>
      <c r="C28" s="36"/>
      <c r="D28" s="36"/>
      <c r="E28" s="74" t="s">
        <v>52</v>
      </c>
      <c r="F28" s="74"/>
      <c r="G28" s="38" t="s">
        <v>92</v>
      </c>
      <c r="H28" s="38"/>
      <c r="I28" s="38"/>
      <c r="J28" s="38"/>
    </row>
    <row r="29" spans="1:10" ht="51" customHeight="1" x14ac:dyDescent="0.3">
      <c r="A29" s="5"/>
      <c r="B29" s="37"/>
      <c r="C29" s="37"/>
      <c r="D29" s="37"/>
      <c r="E29" s="75" t="s">
        <v>53</v>
      </c>
      <c r="F29" s="75"/>
      <c r="G29" s="39"/>
      <c r="H29" s="39"/>
      <c r="I29" s="39"/>
      <c r="J29" s="39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54">
    <mergeCell ref="B21:D21"/>
    <mergeCell ref="B22:D22"/>
    <mergeCell ref="B23:D23"/>
    <mergeCell ref="B24:D24"/>
    <mergeCell ref="B16:D16"/>
    <mergeCell ref="B17:D17"/>
    <mergeCell ref="B18:D18"/>
    <mergeCell ref="B19:D19"/>
    <mergeCell ref="B20:D20"/>
    <mergeCell ref="E28:F28"/>
    <mergeCell ref="E29:F29"/>
    <mergeCell ref="G25:J25"/>
    <mergeCell ref="I17:J17"/>
    <mergeCell ref="I18:J18"/>
    <mergeCell ref="I19:J19"/>
    <mergeCell ref="I20:J20"/>
    <mergeCell ref="E26:J26"/>
    <mergeCell ref="B7:D7"/>
    <mergeCell ref="I10:J10"/>
    <mergeCell ref="I11:J11"/>
    <mergeCell ref="E5:H5"/>
    <mergeCell ref="I9:J9"/>
    <mergeCell ref="I5:J6"/>
    <mergeCell ref="I7:J7"/>
    <mergeCell ref="B9:D9"/>
    <mergeCell ref="B10:D10"/>
    <mergeCell ref="B11:D11"/>
    <mergeCell ref="B12:D12"/>
    <mergeCell ref="B13:D13"/>
    <mergeCell ref="B14:D14"/>
    <mergeCell ref="B15:D15"/>
    <mergeCell ref="B8:J8"/>
    <mergeCell ref="B1:J1"/>
    <mergeCell ref="F2:J2"/>
    <mergeCell ref="B5:D6"/>
    <mergeCell ref="C2:D2"/>
    <mergeCell ref="C3:D3"/>
    <mergeCell ref="F3:J3"/>
    <mergeCell ref="B28:D29"/>
    <mergeCell ref="G28:J28"/>
    <mergeCell ref="G29:J29"/>
    <mergeCell ref="E27:J27"/>
    <mergeCell ref="I12:J12"/>
    <mergeCell ref="I13:J13"/>
    <mergeCell ref="I14:J14"/>
    <mergeCell ref="I15:J15"/>
    <mergeCell ref="I16:J16"/>
    <mergeCell ref="I21:J21"/>
    <mergeCell ref="I22:J22"/>
    <mergeCell ref="I23:J23"/>
    <mergeCell ref="I24:J24"/>
    <mergeCell ref="B25:D25"/>
    <mergeCell ref="B26:D26"/>
    <mergeCell ref="B27:D27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27">
    <cfRule type="expression" dxfId="14" priority="57">
      <formula>$E27="راسب"</formula>
    </cfRule>
  </conditionalFormatting>
  <conditionalFormatting sqref="E27:J27">
    <cfRule type="expression" dxfId="13" priority="58">
      <formula>$E27="مقبول"</formula>
    </cfRule>
    <cfRule type="expression" dxfId="12" priority="59">
      <formula>$E27="جيد"</formula>
    </cfRule>
    <cfRule type="expression" dxfId="11" priority="60">
      <formula>$E27="جيد جداً"</formula>
    </cfRule>
    <cfRule type="expression" dxfId="10" priority="61">
      <formula>$E27="ممتاز"</formula>
    </cfRule>
  </conditionalFormatting>
  <conditionalFormatting sqref="F9:F24">
    <cfRule type="containsText" dxfId="9" priority="14" operator="containsText" text="أدخل العلامة">
      <formula>NOT(ISERROR(SEARCH("أدخل العلامة",F9)))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28:J28">
    <cfRule type="containsText" dxfId="6" priority="15" operator="containsText" text="أدخل اسم المحكم">
      <formula>NOT(ISERROR(SEARCH("أدخل اسم المحكم",G28)))</formula>
    </cfRule>
  </conditionalFormatting>
  <conditionalFormatting sqref="H9:H24">
    <cfRule type="containsText" dxfId="5" priority="38" operator="containsText" text="أدخل العلامة">
      <formula>NOT(ISERROR(SEARCH("أدخل العلامة",H9)))</formula>
    </cfRule>
    <cfRule type="containsText" dxfId="4" priority="39" operator="containsText" text="ممتاز">
      <formula>NOT(ISERROR(SEARCH("ممتاز",H9)))</formula>
    </cfRule>
    <cfRule type="containsText" dxfId="3" priority="40" operator="containsText" text="جيد جداً">
      <formula>NOT(ISERROR(SEARCH("جيد جداً",H9)))</formula>
    </cfRule>
    <cfRule type="containsText" dxfId="2" priority="41" operator="containsText" text="جيد">
      <formula>NOT(ISERROR(SEARCH("جيد",H9)))</formula>
    </cfRule>
    <cfRule type="containsText" dxfId="1" priority="42" operator="containsText" text="مقبول">
      <formula>NOT(ISERROR(SEARCH("مقبول",H9)))</formula>
    </cfRule>
    <cfRule type="containsText" dxfId="0" priority="43" operator="containsText" text="راسب">
      <formula>NOT(ISERROR(SEARCH("راسب",H9)))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F18:F24 F12:F16 F9:F10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G28:J28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21" t="s">
        <v>62</v>
      </c>
    </row>
    <row r="3" spans="1:3" ht="20.100000000000001" customHeight="1" thickBot="1" x14ac:dyDescent="0.35">
      <c r="A3" s="2" t="s">
        <v>26</v>
      </c>
      <c r="C3" s="21" t="s">
        <v>63</v>
      </c>
    </row>
    <row r="4" spans="1:3" ht="20.100000000000001" customHeight="1" thickBot="1" x14ac:dyDescent="0.35">
      <c r="A4" s="2" t="s">
        <v>36</v>
      </c>
      <c r="C4" s="21" t="s">
        <v>64</v>
      </c>
    </row>
    <row r="5" spans="1:3" ht="20.100000000000001" customHeight="1" thickBot="1" x14ac:dyDescent="0.35">
      <c r="A5" s="2" t="s">
        <v>37</v>
      </c>
      <c r="C5" s="21" t="s">
        <v>65</v>
      </c>
    </row>
    <row r="6" spans="1:3" ht="20.100000000000001" customHeight="1" thickBot="1" x14ac:dyDescent="0.35">
      <c r="A6" s="2" t="s">
        <v>38</v>
      </c>
      <c r="C6" s="21" t="s">
        <v>66</v>
      </c>
    </row>
    <row r="7" spans="1:3" ht="20.100000000000001" customHeight="1" thickBot="1" x14ac:dyDescent="0.35">
      <c r="A7" s="2" t="s">
        <v>39</v>
      </c>
      <c r="C7" s="21" t="s">
        <v>67</v>
      </c>
    </row>
    <row r="8" spans="1:3" ht="20.100000000000001" customHeight="1" thickBot="1" x14ac:dyDescent="0.35">
      <c r="A8" s="2" t="s">
        <v>40</v>
      </c>
      <c r="C8" s="21" t="s">
        <v>68</v>
      </c>
    </row>
    <row r="9" spans="1:3" ht="20.100000000000001" customHeight="1" thickBot="1" x14ac:dyDescent="0.35">
      <c r="A9" s="2" t="s">
        <v>41</v>
      </c>
      <c r="C9" s="21" t="s">
        <v>69</v>
      </c>
    </row>
    <row r="10" spans="1:3" ht="20.100000000000001" customHeight="1" thickBot="1" x14ac:dyDescent="0.35">
      <c r="A10" s="2" t="s">
        <v>42</v>
      </c>
      <c r="C10" s="21" t="s">
        <v>70</v>
      </c>
    </row>
    <row r="11" spans="1:3" ht="20.100000000000001" customHeight="1" thickBot="1" x14ac:dyDescent="0.35">
      <c r="A11" s="2" t="s">
        <v>43</v>
      </c>
      <c r="C11" s="21" t="s">
        <v>71</v>
      </c>
    </row>
    <row r="12" spans="1:3" ht="20.100000000000001" customHeight="1" thickBot="1" x14ac:dyDescent="0.35">
      <c r="A12" s="2" t="s">
        <v>44</v>
      </c>
      <c r="C12" s="21" t="s">
        <v>72</v>
      </c>
    </row>
    <row r="13" spans="1:3" ht="20.100000000000001" customHeight="1" thickBot="1" x14ac:dyDescent="0.35">
      <c r="A13" s="2" t="s">
        <v>45</v>
      </c>
      <c r="C13" s="21" t="s">
        <v>73</v>
      </c>
    </row>
    <row r="14" spans="1:3" ht="20.100000000000001" customHeight="1" thickBot="1" x14ac:dyDescent="0.35">
      <c r="A14" s="2" t="s">
        <v>46</v>
      </c>
      <c r="C14" s="21" t="s">
        <v>74</v>
      </c>
    </row>
    <row r="15" spans="1:3" ht="20.100000000000001" customHeight="1" thickBot="1" x14ac:dyDescent="0.35">
      <c r="A15" s="2" t="s">
        <v>47</v>
      </c>
      <c r="C15" s="21" t="s">
        <v>75</v>
      </c>
    </row>
    <row r="16" spans="1:3" ht="20.100000000000001" customHeight="1" thickBot="1" x14ac:dyDescent="0.35">
      <c r="A16" s="2" t="s">
        <v>10</v>
      </c>
      <c r="C16" s="21" t="s">
        <v>76</v>
      </c>
    </row>
    <row r="17" spans="1:3" ht="20.100000000000001" customHeight="1" thickBot="1" x14ac:dyDescent="0.35">
      <c r="A17" s="2" t="s">
        <v>27</v>
      </c>
      <c r="C17" s="21" t="s">
        <v>77</v>
      </c>
    </row>
    <row r="18" spans="1:3" ht="20.100000000000001" customHeight="1" thickBot="1" x14ac:dyDescent="0.35">
      <c r="A18" s="2" t="s">
        <v>48</v>
      </c>
      <c r="C18" s="21" t="s">
        <v>78</v>
      </c>
    </row>
    <row r="19" spans="1:3" ht="20.100000000000001" customHeight="1" thickBot="1" x14ac:dyDescent="0.35">
      <c r="A19" s="2" t="s">
        <v>49</v>
      </c>
      <c r="C19" s="21" t="s">
        <v>79</v>
      </c>
    </row>
    <row r="20" spans="1:3" ht="20.100000000000001" customHeight="1" thickBot="1" x14ac:dyDescent="0.35">
      <c r="A20" s="2" t="s">
        <v>50</v>
      </c>
      <c r="C20" s="21" t="s">
        <v>80</v>
      </c>
    </row>
    <row r="21" spans="1:3" ht="20.100000000000001" customHeight="1" thickBot="1" x14ac:dyDescent="0.35">
      <c r="A21" s="2" t="s">
        <v>51</v>
      </c>
      <c r="C21" s="21" t="s">
        <v>81</v>
      </c>
    </row>
    <row r="22" spans="1:3" ht="20.100000000000001" customHeight="1" thickBot="1" x14ac:dyDescent="0.35">
      <c r="A22" s="2" t="s">
        <v>11</v>
      </c>
      <c r="C22" s="21" t="s">
        <v>82</v>
      </c>
    </row>
    <row r="23" spans="1:3" ht="20.100000000000001" customHeight="1" thickBot="1" x14ac:dyDescent="0.35">
      <c r="A23" s="2" t="s">
        <v>12</v>
      </c>
      <c r="C23" s="21" t="s">
        <v>83</v>
      </c>
    </row>
    <row r="24" spans="1:3" ht="20.100000000000001" customHeight="1" thickBot="1" x14ac:dyDescent="0.35">
      <c r="A24" s="2" t="s">
        <v>15</v>
      </c>
      <c r="C24" s="21" t="s">
        <v>84</v>
      </c>
    </row>
    <row r="25" spans="1:3" ht="20.100000000000001" customHeight="1" thickBot="1" x14ac:dyDescent="0.35">
      <c r="A25" s="2" t="s">
        <v>28</v>
      </c>
      <c r="C25" s="21" t="s">
        <v>85</v>
      </c>
    </row>
    <row r="26" spans="1:3" ht="20.100000000000001" customHeight="1" thickBot="1" x14ac:dyDescent="0.35">
      <c r="A26" s="2" t="s">
        <v>29</v>
      </c>
      <c r="C26" s="21" t="s">
        <v>86</v>
      </c>
    </row>
    <row r="27" spans="1:3" ht="20.100000000000001" customHeight="1" thickBot="1" x14ac:dyDescent="0.35">
      <c r="A27" s="2" t="s">
        <v>13</v>
      </c>
      <c r="C27" s="21" t="s">
        <v>87</v>
      </c>
    </row>
    <row r="28" spans="1:3" ht="20.100000000000001" customHeight="1" thickBot="1" x14ac:dyDescent="0.35">
      <c r="A28" s="2" t="s">
        <v>30</v>
      </c>
      <c r="C28" s="21" t="s">
        <v>88</v>
      </c>
    </row>
    <row r="29" spans="1:3" ht="20.100000000000001" customHeight="1" thickBot="1" x14ac:dyDescent="0.35">
      <c r="A29" s="2" t="s">
        <v>31</v>
      </c>
      <c r="C29" s="2"/>
    </row>
    <row r="30" spans="1:3" ht="20.100000000000001" customHeight="1" thickBot="1" x14ac:dyDescent="0.35">
      <c r="A30" s="2" t="s">
        <v>32</v>
      </c>
      <c r="C30" s="2"/>
    </row>
    <row r="31" spans="1:3" ht="20.100000000000001" customHeight="1" thickBot="1" x14ac:dyDescent="0.35">
      <c r="A31" s="2" t="s">
        <v>33</v>
      </c>
      <c r="C31" s="2"/>
    </row>
    <row r="32" spans="1:3" ht="20.100000000000001" customHeight="1" thickBot="1" x14ac:dyDescent="0.35">
      <c r="A32" s="2" t="s">
        <v>16</v>
      </c>
      <c r="C32" s="2"/>
    </row>
    <row r="33" spans="1:9" ht="20.100000000000001" customHeight="1" thickBot="1" x14ac:dyDescent="0.35">
      <c r="A33" s="2" t="s">
        <v>14</v>
      </c>
      <c r="C33" s="2"/>
    </row>
    <row r="34" spans="1:9" ht="20.100000000000001" customHeight="1" thickBot="1" x14ac:dyDescent="0.35">
      <c r="A34" s="2" t="s">
        <v>34</v>
      </c>
      <c r="C34" s="2"/>
    </row>
    <row r="35" spans="1:9" ht="20.100000000000001" customHeight="1" x14ac:dyDescent="0.3">
      <c r="A35" s="17"/>
    </row>
    <row r="36" spans="1:9" s="16" customFormat="1" ht="20.100000000000001" customHeight="1" x14ac:dyDescent="0.3">
      <c r="A36" s="14"/>
      <c r="B36" s="15"/>
      <c r="C36" s="15"/>
      <c r="D36" s="15"/>
      <c r="E36" s="15"/>
      <c r="F36" s="15"/>
      <c r="G36" s="15"/>
      <c r="H36" s="15"/>
      <c r="I36" s="15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2">
        <v>45901</v>
      </c>
    </row>
    <row r="40" spans="1:9" ht="20.100000000000001" customHeight="1" thickBot="1" x14ac:dyDescent="0.35">
      <c r="A40" s="12">
        <v>45902</v>
      </c>
    </row>
    <row r="41" spans="1:9" ht="20.100000000000001" customHeight="1" thickBot="1" x14ac:dyDescent="0.35">
      <c r="A41" s="12">
        <v>45903</v>
      </c>
    </row>
    <row r="42" spans="1:9" ht="20.100000000000001" customHeight="1" thickBot="1" x14ac:dyDescent="0.35">
      <c r="A42" s="12">
        <v>45904</v>
      </c>
    </row>
    <row r="43" spans="1:9" ht="20.100000000000001" customHeight="1" thickBot="1" x14ac:dyDescent="0.35">
      <c r="A43" s="12">
        <v>45905</v>
      </c>
    </row>
    <row r="44" spans="1:9" ht="20.100000000000001" customHeight="1" thickBot="1" x14ac:dyDescent="0.35">
      <c r="A44" s="12">
        <v>45906</v>
      </c>
    </row>
    <row r="45" spans="1:9" ht="20.100000000000001" customHeight="1" thickBot="1" x14ac:dyDescent="0.35">
      <c r="A45" s="12">
        <v>45907</v>
      </c>
    </row>
    <row r="46" spans="1:9" ht="20.100000000000001" customHeight="1" thickBot="1" x14ac:dyDescent="0.35">
      <c r="A46" s="12">
        <v>45908</v>
      </c>
    </row>
    <row r="47" spans="1:9" ht="20.100000000000001" customHeight="1" thickBot="1" x14ac:dyDescent="0.35">
      <c r="A47" s="12">
        <v>45909</v>
      </c>
    </row>
    <row r="48" spans="1:9" ht="20.100000000000001" customHeight="1" thickBot="1" x14ac:dyDescent="0.35">
      <c r="A48" s="12">
        <v>45910</v>
      </c>
    </row>
    <row r="49" spans="1:1" ht="20.100000000000001" customHeight="1" thickBot="1" x14ac:dyDescent="0.35">
      <c r="A49" s="12">
        <v>45911</v>
      </c>
    </row>
    <row r="50" spans="1:1" ht="20.100000000000001" customHeight="1" thickBot="1" x14ac:dyDescent="0.35">
      <c r="A50" s="12">
        <v>45912</v>
      </c>
    </row>
    <row r="51" spans="1:1" ht="20.100000000000001" customHeight="1" thickBot="1" x14ac:dyDescent="0.35">
      <c r="A51" s="12">
        <v>45913</v>
      </c>
    </row>
    <row r="52" spans="1:1" ht="20.100000000000001" customHeight="1" thickBot="1" x14ac:dyDescent="0.35">
      <c r="A52" s="12">
        <v>45914</v>
      </c>
    </row>
    <row r="53" spans="1:1" ht="20.100000000000001" customHeight="1" thickBot="1" x14ac:dyDescent="0.35">
      <c r="A53" s="12">
        <v>45915</v>
      </c>
    </row>
    <row r="54" spans="1:1" ht="20.100000000000001" customHeight="1" thickBot="1" x14ac:dyDescent="0.35">
      <c r="A54" s="12">
        <v>45916</v>
      </c>
    </row>
    <row r="55" spans="1:1" ht="20.100000000000001" customHeight="1" thickBot="1" x14ac:dyDescent="0.35">
      <c r="A55" s="12">
        <v>45917</v>
      </c>
    </row>
    <row r="56" spans="1:1" ht="20.100000000000001" customHeight="1" thickBot="1" x14ac:dyDescent="0.35">
      <c r="A56" s="12">
        <v>45918</v>
      </c>
    </row>
    <row r="57" spans="1:1" ht="20.100000000000001" customHeight="1" thickBot="1" x14ac:dyDescent="0.35">
      <c r="A57" s="12">
        <v>45919</v>
      </c>
    </row>
    <row r="58" spans="1:1" ht="20.100000000000001" customHeight="1" thickBot="1" x14ac:dyDescent="0.35">
      <c r="A58" s="12">
        <v>45920</v>
      </c>
    </row>
    <row r="59" spans="1:1" ht="20.100000000000001" customHeight="1" thickBot="1" x14ac:dyDescent="0.35">
      <c r="A59" s="12">
        <v>45921</v>
      </c>
    </row>
    <row r="60" spans="1:1" ht="20.100000000000001" customHeight="1" thickBot="1" x14ac:dyDescent="0.35">
      <c r="A60" s="12">
        <v>45922</v>
      </c>
    </row>
    <row r="61" spans="1:1" ht="20.100000000000001" customHeight="1" thickBot="1" x14ac:dyDescent="0.35">
      <c r="A61" s="12">
        <v>45923</v>
      </c>
    </row>
    <row r="62" spans="1:1" ht="20.100000000000001" customHeight="1" thickBot="1" x14ac:dyDescent="0.35">
      <c r="A62" s="12">
        <v>45924</v>
      </c>
    </row>
    <row r="63" spans="1:1" ht="20.100000000000001" customHeight="1" thickBot="1" x14ac:dyDescent="0.35">
      <c r="A63" s="12">
        <v>45925</v>
      </c>
    </row>
    <row r="64" spans="1:1" ht="20.100000000000001" customHeight="1" thickBot="1" x14ac:dyDescent="0.35">
      <c r="A64" s="12">
        <v>45926</v>
      </c>
    </row>
    <row r="65" spans="1:1" ht="20.100000000000001" customHeight="1" thickBot="1" x14ac:dyDescent="0.35">
      <c r="A65" s="12">
        <v>45927</v>
      </c>
    </row>
    <row r="66" spans="1:1" ht="20.100000000000001" customHeight="1" thickBot="1" x14ac:dyDescent="0.35">
      <c r="A66" s="12">
        <v>45928</v>
      </c>
    </row>
    <row r="67" spans="1:1" ht="20.100000000000001" customHeight="1" thickBot="1" x14ac:dyDescent="0.35">
      <c r="A67" s="12">
        <v>45929</v>
      </c>
    </row>
    <row r="68" spans="1:1" ht="20.100000000000001" customHeight="1" thickBot="1" x14ac:dyDescent="0.35">
      <c r="A68" s="12">
        <v>45930</v>
      </c>
    </row>
    <row r="69" spans="1:1" ht="20.100000000000001" customHeight="1" thickBot="1" x14ac:dyDescent="0.35">
      <c r="A69" s="12">
        <v>45931</v>
      </c>
    </row>
    <row r="70" spans="1:1" ht="20.100000000000001" customHeight="1" thickBot="1" x14ac:dyDescent="0.35">
      <c r="A70" s="12">
        <v>45932</v>
      </c>
    </row>
    <row r="71" spans="1:1" ht="20.100000000000001" customHeight="1" thickBot="1" x14ac:dyDescent="0.35">
      <c r="A71" s="12">
        <v>45933</v>
      </c>
    </row>
    <row r="72" spans="1:1" ht="20.100000000000001" customHeight="1" thickBot="1" x14ac:dyDescent="0.35">
      <c r="A72" s="12">
        <v>45934</v>
      </c>
    </row>
    <row r="73" spans="1:1" ht="20.100000000000001" customHeight="1" thickBot="1" x14ac:dyDescent="0.35">
      <c r="A73" s="12">
        <v>45935</v>
      </c>
    </row>
    <row r="74" spans="1:1" ht="20.100000000000001" customHeight="1" thickBot="1" x14ac:dyDescent="0.35">
      <c r="A74" s="12">
        <v>45936</v>
      </c>
    </row>
    <row r="75" spans="1:1" ht="20.100000000000001" customHeight="1" thickBot="1" x14ac:dyDescent="0.35">
      <c r="A75" s="12">
        <v>45937</v>
      </c>
    </row>
    <row r="76" spans="1:1" ht="20.100000000000001" customHeight="1" thickBot="1" x14ac:dyDescent="0.35">
      <c r="A76" s="12">
        <v>45938</v>
      </c>
    </row>
    <row r="77" spans="1:1" ht="20.100000000000001" customHeight="1" thickBot="1" x14ac:dyDescent="0.35">
      <c r="A77" s="12">
        <v>45939</v>
      </c>
    </row>
    <row r="78" spans="1:1" ht="20.100000000000001" customHeight="1" thickBot="1" x14ac:dyDescent="0.35">
      <c r="A78" s="12">
        <v>45940</v>
      </c>
    </row>
    <row r="79" spans="1:1" ht="20.100000000000001" customHeight="1" thickBot="1" x14ac:dyDescent="0.35">
      <c r="A79" s="12">
        <v>45941</v>
      </c>
    </row>
    <row r="80" spans="1:1" ht="20.100000000000001" customHeight="1" thickBot="1" x14ac:dyDescent="0.35">
      <c r="A80" s="12">
        <v>45942</v>
      </c>
    </row>
    <row r="81" spans="1:1" ht="20.100000000000001" customHeight="1" thickBot="1" x14ac:dyDescent="0.35">
      <c r="A81" s="12">
        <v>45943</v>
      </c>
    </row>
    <row r="82" spans="1:1" ht="20.100000000000001" customHeight="1" thickBot="1" x14ac:dyDescent="0.35">
      <c r="A82" s="12">
        <v>45944</v>
      </c>
    </row>
    <row r="83" spans="1:1" ht="20.100000000000001" customHeight="1" thickBot="1" x14ac:dyDescent="0.35">
      <c r="A83" s="12">
        <v>45945</v>
      </c>
    </row>
    <row r="84" spans="1:1" ht="20.100000000000001" customHeight="1" thickBot="1" x14ac:dyDescent="0.35">
      <c r="A84" s="12">
        <v>45946</v>
      </c>
    </row>
    <row r="85" spans="1:1" ht="20.100000000000001" customHeight="1" thickBot="1" x14ac:dyDescent="0.35">
      <c r="A85" s="12">
        <v>45947</v>
      </c>
    </row>
    <row r="86" spans="1:1" ht="20.100000000000001" customHeight="1" thickBot="1" x14ac:dyDescent="0.35">
      <c r="A86" s="12">
        <v>45948</v>
      </c>
    </row>
    <row r="87" spans="1:1" ht="20.100000000000001" customHeight="1" thickBot="1" x14ac:dyDescent="0.35">
      <c r="A87" s="12">
        <v>45949</v>
      </c>
    </row>
    <row r="88" spans="1:1" ht="20.100000000000001" customHeight="1" thickBot="1" x14ac:dyDescent="0.35">
      <c r="A88" s="12">
        <v>45950</v>
      </c>
    </row>
    <row r="89" spans="1:1" ht="20.100000000000001" customHeight="1" thickBot="1" x14ac:dyDescent="0.35">
      <c r="A89" s="12">
        <v>45951</v>
      </c>
    </row>
    <row r="90" spans="1:1" ht="20.100000000000001" customHeight="1" thickBot="1" x14ac:dyDescent="0.35">
      <c r="A90" s="12">
        <v>45952</v>
      </c>
    </row>
    <row r="91" spans="1:1" ht="20.100000000000001" customHeight="1" thickBot="1" x14ac:dyDescent="0.35">
      <c r="A91" s="12">
        <v>45953</v>
      </c>
    </row>
    <row r="92" spans="1:1" ht="20.100000000000001" customHeight="1" thickBot="1" x14ac:dyDescent="0.35">
      <c r="A92" s="12">
        <v>45954</v>
      </c>
    </row>
    <row r="93" spans="1:1" ht="20.100000000000001" customHeight="1" thickBot="1" x14ac:dyDescent="0.35">
      <c r="A93" s="12">
        <v>45955</v>
      </c>
    </row>
    <row r="94" spans="1:1" ht="20.100000000000001" customHeight="1" thickBot="1" x14ac:dyDescent="0.35">
      <c r="A94" s="12">
        <v>45956</v>
      </c>
    </row>
    <row r="95" spans="1:1" ht="20.100000000000001" customHeight="1" thickBot="1" x14ac:dyDescent="0.35">
      <c r="A95" s="12">
        <v>45957</v>
      </c>
    </row>
    <row r="96" spans="1:1" ht="20.100000000000001" customHeight="1" thickBot="1" x14ac:dyDescent="0.35">
      <c r="A96" s="12">
        <v>45958</v>
      </c>
    </row>
    <row r="97" spans="1:9" ht="20.100000000000001" customHeight="1" thickBot="1" x14ac:dyDescent="0.35">
      <c r="A97" s="12">
        <v>45959</v>
      </c>
    </row>
    <row r="98" spans="1:9" ht="20.100000000000001" customHeight="1" thickBot="1" x14ac:dyDescent="0.35">
      <c r="A98" s="12">
        <v>45960</v>
      </c>
    </row>
    <row r="99" spans="1:9" ht="20.100000000000001" customHeight="1" thickBot="1" x14ac:dyDescent="0.35">
      <c r="A99" s="12">
        <v>45961</v>
      </c>
    </row>
    <row r="100" spans="1:9" ht="20.100000000000001" customHeight="1" thickBot="1" x14ac:dyDescent="0.35">
      <c r="A100" s="12">
        <v>45962</v>
      </c>
    </row>
    <row r="101" spans="1:9" ht="20.100000000000001" customHeight="1" thickBot="1" x14ac:dyDescent="0.35">
      <c r="A101" s="12">
        <v>45963</v>
      </c>
    </row>
    <row r="102" spans="1:9" ht="20.100000000000001" customHeight="1" thickBot="1" x14ac:dyDescent="0.35">
      <c r="A102" s="12">
        <v>45964</v>
      </c>
    </row>
    <row r="103" spans="1:9" ht="20.100000000000001" customHeight="1" thickBot="1" x14ac:dyDescent="0.35">
      <c r="A103" s="12">
        <v>45965</v>
      </c>
    </row>
    <row r="104" spans="1:9" ht="20.100000000000001" customHeight="1" thickBot="1" x14ac:dyDescent="0.35">
      <c r="A104" s="12">
        <v>45966</v>
      </c>
    </row>
    <row r="105" spans="1:9" ht="20.100000000000001" customHeight="1" thickBot="1" x14ac:dyDescent="0.35">
      <c r="A105" s="12">
        <v>45967</v>
      </c>
    </row>
    <row r="106" spans="1:9" ht="20.100000000000001" customHeight="1" thickBot="1" x14ac:dyDescent="0.35">
      <c r="A106" s="12">
        <v>45968</v>
      </c>
    </row>
    <row r="107" spans="1:9" ht="20.100000000000001" customHeight="1" x14ac:dyDescent="0.3">
      <c r="A107" s="13"/>
    </row>
    <row r="108" spans="1:9" ht="20.100000000000001" customHeight="1" x14ac:dyDescent="0.3">
      <c r="A108" s="13"/>
    </row>
    <row r="109" spans="1:9" s="16" customFormat="1" ht="20.100000000000001" customHeight="1" x14ac:dyDescent="0.3">
      <c r="A109" s="14"/>
      <c r="B109" s="15"/>
      <c r="C109" s="15"/>
      <c r="D109" s="15"/>
      <c r="E109" s="15"/>
      <c r="F109" s="15"/>
      <c r="G109" s="15"/>
      <c r="H109" s="15"/>
      <c r="I109" s="15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2" t="s">
        <v>89</v>
      </c>
    </row>
    <row r="200" spans="1:1" ht="20.100000000000001" customHeight="1" x14ac:dyDescent="0.3">
      <c r="A200" s="22" t="s">
        <v>90</v>
      </c>
    </row>
    <row r="201" spans="1:1" ht="20.100000000000001" customHeight="1" x14ac:dyDescent="0.3">
      <c r="A201" s="22" t="s">
        <v>91</v>
      </c>
    </row>
    <row r="202" spans="1:1" ht="20.100000000000001" customHeight="1" x14ac:dyDescent="0.3">
      <c r="A202" s="22" t="s">
        <v>92</v>
      </c>
    </row>
    <row r="203" spans="1:1" ht="20.100000000000001" customHeight="1" x14ac:dyDescent="0.3">
      <c r="A203" s="22" t="s">
        <v>93</v>
      </c>
    </row>
    <row r="204" spans="1:1" ht="20.100000000000001" customHeight="1" x14ac:dyDescent="0.3">
      <c r="A204" s="22" t="s">
        <v>94</v>
      </c>
    </row>
    <row r="205" spans="1:1" ht="20.100000000000001" customHeight="1" x14ac:dyDescent="0.3">
      <c r="A205" s="22" t="s">
        <v>95</v>
      </c>
    </row>
    <row r="206" spans="1:1" ht="20.100000000000001" customHeight="1" x14ac:dyDescent="0.3">
      <c r="A206" s="22" t="s">
        <v>96</v>
      </c>
    </row>
    <row r="207" spans="1:1" ht="20.100000000000001" customHeight="1" x14ac:dyDescent="0.3">
      <c r="A207" s="22" t="s">
        <v>97</v>
      </c>
    </row>
    <row r="208" spans="1:1" ht="20.100000000000001" customHeight="1" x14ac:dyDescent="0.3">
      <c r="A208" s="23" t="s">
        <v>98</v>
      </c>
    </row>
    <row r="209" spans="1:1" ht="20.100000000000001" customHeight="1" x14ac:dyDescent="0.3">
      <c r="A209" s="23" t="s">
        <v>99</v>
      </c>
    </row>
    <row r="210" spans="1:1" ht="20.100000000000001" customHeight="1" x14ac:dyDescent="0.3">
      <c r="A210" s="22" t="s">
        <v>100</v>
      </c>
    </row>
    <row r="211" spans="1:1" ht="20.100000000000001" customHeight="1" x14ac:dyDescent="0.3">
      <c r="A211" s="22" t="s">
        <v>101</v>
      </c>
    </row>
    <row r="212" spans="1:1" ht="20.100000000000001" customHeight="1" x14ac:dyDescent="0.3">
      <c r="A212" s="22" t="s">
        <v>102</v>
      </c>
    </row>
    <row r="213" spans="1:1" ht="20.100000000000001" customHeight="1" x14ac:dyDescent="0.3">
      <c r="A213" s="22" t="s">
        <v>103</v>
      </c>
    </row>
    <row r="214" spans="1:1" ht="20.100000000000001" customHeight="1" x14ac:dyDescent="0.3">
      <c r="A214" s="22" t="s">
        <v>104</v>
      </c>
    </row>
    <row r="215" spans="1:1" ht="20.100000000000001" customHeight="1" x14ac:dyDescent="0.3">
      <c r="A215" s="22" t="s">
        <v>105</v>
      </c>
    </row>
    <row r="216" spans="1:1" ht="20.100000000000001" customHeight="1" x14ac:dyDescent="0.3">
      <c r="A216" s="22" t="s">
        <v>106</v>
      </c>
    </row>
    <row r="217" spans="1:1" ht="20.100000000000001" customHeight="1" x14ac:dyDescent="0.3">
      <c r="A217" s="22" t="s">
        <v>107</v>
      </c>
    </row>
    <row r="218" spans="1:1" ht="20.100000000000001" customHeight="1" x14ac:dyDescent="0.3">
      <c r="A218" s="22" t="s">
        <v>108</v>
      </c>
    </row>
    <row r="219" spans="1:1" ht="20.100000000000001" customHeight="1" x14ac:dyDescent="0.3">
      <c r="A219" s="22" t="s">
        <v>109</v>
      </c>
    </row>
    <row r="220" spans="1:1" ht="20.100000000000001" customHeight="1" x14ac:dyDescent="0.3">
      <c r="A220" s="22" t="s">
        <v>110</v>
      </c>
    </row>
    <row r="221" spans="1:1" ht="20.100000000000001" customHeight="1" x14ac:dyDescent="0.3">
      <c r="A221" s="22" t="s">
        <v>111</v>
      </c>
    </row>
    <row r="222" spans="1:1" ht="20.100000000000001" customHeight="1" x14ac:dyDescent="0.3">
      <c r="A222" s="22" t="s">
        <v>112</v>
      </c>
    </row>
    <row r="223" spans="1:1" ht="20.100000000000001" customHeight="1" x14ac:dyDescent="0.3">
      <c r="A223" s="22" t="s">
        <v>113</v>
      </c>
    </row>
    <row r="224" spans="1:1" ht="20.100000000000001" customHeight="1" x14ac:dyDescent="0.3">
      <c r="A224" s="22" t="s">
        <v>114</v>
      </c>
    </row>
    <row r="225" spans="1:1" ht="20.100000000000001" customHeight="1" x14ac:dyDescent="0.3">
      <c r="A225" s="22" t="s">
        <v>115</v>
      </c>
    </row>
    <row r="226" spans="1:1" ht="20.100000000000001" customHeight="1" x14ac:dyDescent="0.3">
      <c r="A226" s="22" t="s">
        <v>116</v>
      </c>
    </row>
    <row r="227" spans="1:1" ht="20.100000000000001" customHeight="1" x14ac:dyDescent="0.3">
      <c r="A227" s="22" t="s">
        <v>117</v>
      </c>
    </row>
    <row r="228" spans="1:1" ht="20.100000000000001" customHeight="1" x14ac:dyDescent="0.3">
      <c r="A228" s="22" t="s">
        <v>118</v>
      </c>
    </row>
    <row r="229" spans="1:1" ht="20.100000000000001" customHeight="1" x14ac:dyDescent="0.3">
      <c r="A229" s="22" t="s">
        <v>119</v>
      </c>
    </row>
    <row r="230" spans="1:1" ht="20.100000000000001" customHeight="1" x14ac:dyDescent="0.3">
      <c r="A230" s="22" t="s">
        <v>120</v>
      </c>
    </row>
    <row r="231" spans="1:1" ht="20.100000000000001" customHeight="1" x14ac:dyDescent="0.3">
      <c r="A231" s="22" t="s">
        <v>121</v>
      </c>
    </row>
    <row r="232" spans="1:1" ht="20.100000000000001" customHeight="1" x14ac:dyDescent="0.3">
      <c r="A232" s="22" t="s">
        <v>122</v>
      </c>
    </row>
    <row r="233" spans="1:1" ht="20.100000000000001" customHeight="1" x14ac:dyDescent="0.3">
      <c r="A233" s="22" t="s">
        <v>123</v>
      </c>
    </row>
    <row r="234" spans="1:1" ht="20.100000000000001" customHeight="1" x14ac:dyDescent="0.3">
      <c r="A234" s="22" t="s">
        <v>124</v>
      </c>
    </row>
    <row r="235" spans="1:1" ht="20.100000000000001" customHeight="1" x14ac:dyDescent="0.3">
      <c r="A235" s="24" t="s">
        <v>125</v>
      </c>
    </row>
    <row r="236" spans="1:1" ht="20.100000000000001" customHeight="1" x14ac:dyDescent="0.3">
      <c r="A236" s="22" t="s">
        <v>126</v>
      </c>
    </row>
    <row r="237" spans="1:1" ht="20.100000000000001" customHeight="1" x14ac:dyDescent="0.3">
      <c r="A237" s="22" t="s">
        <v>127</v>
      </c>
    </row>
    <row r="238" spans="1:1" ht="20.100000000000001" customHeight="1" x14ac:dyDescent="0.3">
      <c r="A238" s="22" t="s">
        <v>128</v>
      </c>
    </row>
    <row r="239" spans="1:1" ht="20.100000000000001" customHeight="1" x14ac:dyDescent="0.3">
      <c r="A239" s="22" t="s">
        <v>129</v>
      </c>
    </row>
    <row r="240" spans="1:1" ht="20.100000000000001" customHeight="1" x14ac:dyDescent="0.3">
      <c r="A240" s="22" t="s">
        <v>130</v>
      </c>
    </row>
    <row r="241" spans="1:1" ht="20.100000000000001" customHeight="1" x14ac:dyDescent="0.3">
      <c r="A241" s="22" t="s">
        <v>131</v>
      </c>
    </row>
    <row r="242" spans="1:1" ht="20.100000000000001" customHeight="1" x14ac:dyDescent="0.3">
      <c r="A242" s="22" t="s">
        <v>132</v>
      </c>
    </row>
    <row r="243" spans="1:1" ht="20.100000000000001" customHeight="1" x14ac:dyDescent="0.3">
      <c r="A243" s="22" t="s">
        <v>133</v>
      </c>
    </row>
    <row r="244" spans="1:1" ht="20.100000000000001" customHeight="1" x14ac:dyDescent="0.3">
      <c r="A244" s="22" t="s">
        <v>134</v>
      </c>
    </row>
    <row r="245" spans="1:1" ht="20.100000000000001" customHeight="1" x14ac:dyDescent="0.3">
      <c r="A245" s="22" t="s">
        <v>135</v>
      </c>
    </row>
    <row r="246" spans="1:1" ht="20.100000000000001" customHeight="1" x14ac:dyDescent="0.3">
      <c r="A246" s="22" t="s">
        <v>136</v>
      </c>
    </row>
    <row r="247" spans="1:1" ht="20.100000000000001" customHeight="1" x14ac:dyDescent="0.3">
      <c r="A247" s="22" t="s">
        <v>127</v>
      </c>
    </row>
    <row r="248" spans="1:1" ht="20.100000000000001" customHeight="1" x14ac:dyDescent="0.3">
      <c r="A248" s="22" t="s">
        <v>137</v>
      </c>
    </row>
    <row r="249" spans="1:1" ht="20.100000000000001" customHeight="1" x14ac:dyDescent="0.3">
      <c r="A249" s="22" t="s">
        <v>138</v>
      </c>
    </row>
    <row r="250" spans="1:1" ht="20.100000000000001" customHeight="1" x14ac:dyDescent="0.3">
      <c r="A250" s="24" t="s">
        <v>139</v>
      </c>
    </row>
    <row r="251" spans="1:1" ht="20.100000000000001" customHeight="1" x14ac:dyDescent="0.3">
      <c r="A251" s="25" t="s">
        <v>140</v>
      </c>
    </row>
    <row r="252" spans="1:1" ht="20.100000000000001" customHeight="1" x14ac:dyDescent="0.3">
      <c r="A252" s="22" t="s">
        <v>141</v>
      </c>
    </row>
    <row r="253" spans="1:1" ht="20.100000000000001" customHeight="1" x14ac:dyDescent="0.3">
      <c r="A253" s="22" t="s">
        <v>142</v>
      </c>
    </row>
    <row r="254" spans="1:1" ht="20.100000000000001" customHeight="1" x14ac:dyDescent="0.3">
      <c r="A254" s="26" t="s">
        <v>143</v>
      </c>
    </row>
    <row r="255" spans="1:1" ht="20.100000000000001" customHeight="1" x14ac:dyDescent="0.3">
      <c r="A255" s="26" t="s">
        <v>144</v>
      </c>
    </row>
    <row r="256" spans="1:1" ht="20.100000000000001" customHeight="1" x14ac:dyDescent="0.3">
      <c r="A256" s="27" t="s">
        <v>145</v>
      </c>
    </row>
    <row r="257" spans="1:1" ht="20.100000000000001" customHeight="1" x14ac:dyDescent="0.3">
      <c r="A257" s="22" t="s">
        <v>146</v>
      </c>
    </row>
    <row r="258" spans="1:1" ht="20.100000000000001" customHeight="1" x14ac:dyDescent="0.3">
      <c r="A258" s="27" t="s">
        <v>147</v>
      </c>
    </row>
    <row r="259" spans="1:1" ht="20.100000000000001" customHeight="1" x14ac:dyDescent="0.3">
      <c r="A259" s="22" t="s">
        <v>148</v>
      </c>
    </row>
    <row r="260" spans="1:1" ht="20.100000000000001" customHeight="1" x14ac:dyDescent="0.3">
      <c r="A260" s="27" t="s">
        <v>149</v>
      </c>
    </row>
    <row r="261" spans="1:1" ht="20.100000000000001" customHeight="1" x14ac:dyDescent="0.3">
      <c r="A261" s="22" t="s">
        <v>150</v>
      </c>
    </row>
    <row r="262" spans="1:1" ht="20.100000000000001" customHeight="1" x14ac:dyDescent="0.3">
      <c r="A262" s="22" t="s">
        <v>151</v>
      </c>
    </row>
    <row r="263" spans="1:1" ht="20.100000000000001" customHeight="1" x14ac:dyDescent="0.3">
      <c r="A263" s="27" t="s">
        <v>152</v>
      </c>
    </row>
    <row r="264" spans="1:1" ht="20.100000000000001" customHeight="1" x14ac:dyDescent="0.3">
      <c r="A264" s="27" t="s">
        <v>153</v>
      </c>
    </row>
    <row r="265" spans="1:1" ht="20.100000000000001" customHeight="1" x14ac:dyDescent="0.3">
      <c r="A265" s="27" t="s">
        <v>154</v>
      </c>
    </row>
    <row r="266" spans="1:1" ht="20.100000000000001" customHeight="1" x14ac:dyDescent="0.3">
      <c r="A266" s="22" t="s">
        <v>155</v>
      </c>
    </row>
    <row r="267" spans="1:1" ht="20.100000000000001" customHeight="1" x14ac:dyDescent="0.3">
      <c r="A267" s="22" t="s">
        <v>156</v>
      </c>
    </row>
    <row r="268" spans="1:1" ht="20.100000000000001" customHeight="1" x14ac:dyDescent="0.3">
      <c r="A268" s="22" t="s">
        <v>157</v>
      </c>
    </row>
    <row r="269" spans="1:1" ht="20.100000000000001" customHeight="1" x14ac:dyDescent="0.3">
      <c r="A269" s="22" t="s">
        <v>158</v>
      </c>
    </row>
    <row r="270" spans="1:1" ht="20.100000000000001" customHeight="1" x14ac:dyDescent="0.3">
      <c r="A270" s="27" t="s">
        <v>159</v>
      </c>
    </row>
    <row r="271" spans="1:1" ht="20.100000000000001" customHeight="1" x14ac:dyDescent="0.3">
      <c r="A271" s="27" t="s">
        <v>160</v>
      </c>
    </row>
    <row r="272" spans="1:1" ht="20.100000000000001" customHeight="1" x14ac:dyDescent="0.3">
      <c r="A272" s="22" t="s">
        <v>161</v>
      </c>
    </row>
    <row r="273" spans="1:1" ht="20.100000000000001" customHeight="1" x14ac:dyDescent="0.3">
      <c r="A273" s="27" t="s">
        <v>162</v>
      </c>
    </row>
    <row r="274" spans="1:1" ht="20.100000000000001" customHeight="1" x14ac:dyDescent="0.3">
      <c r="A274" s="27" t="s">
        <v>163</v>
      </c>
    </row>
    <row r="275" spans="1:1" ht="20.100000000000001" customHeight="1" x14ac:dyDescent="0.3">
      <c r="A275" s="22" t="s">
        <v>164</v>
      </c>
    </row>
    <row r="276" spans="1:1" ht="20.100000000000001" customHeight="1" x14ac:dyDescent="0.3">
      <c r="A276" s="22" t="s">
        <v>165</v>
      </c>
    </row>
    <row r="277" spans="1:1" ht="20.100000000000001" customHeight="1" x14ac:dyDescent="0.3">
      <c r="A277" s="27" t="s">
        <v>166</v>
      </c>
    </row>
    <row r="278" spans="1:1" ht="20.100000000000001" customHeight="1" x14ac:dyDescent="0.3">
      <c r="A278" s="22" t="s">
        <v>167</v>
      </c>
    </row>
    <row r="279" spans="1:1" ht="20.100000000000001" customHeight="1" x14ac:dyDescent="0.3">
      <c r="A279" s="22" t="s">
        <v>168</v>
      </c>
    </row>
    <row r="280" spans="1:1" ht="20.100000000000001" customHeight="1" x14ac:dyDescent="0.3">
      <c r="A280" s="22" t="s">
        <v>169</v>
      </c>
    </row>
    <row r="281" spans="1:1" ht="20.100000000000001" customHeight="1" x14ac:dyDescent="0.3">
      <c r="A281" s="22" t="s">
        <v>170</v>
      </c>
    </row>
    <row r="282" spans="1:1" ht="20.100000000000001" customHeight="1" x14ac:dyDescent="0.3">
      <c r="A282" s="27" t="s">
        <v>171</v>
      </c>
    </row>
    <row r="283" spans="1:1" ht="20.100000000000001" customHeight="1" x14ac:dyDescent="0.3">
      <c r="A283" s="27" t="s">
        <v>172</v>
      </c>
    </row>
    <row r="284" spans="1:1" ht="20.100000000000001" customHeight="1" x14ac:dyDescent="0.3">
      <c r="A284" s="27" t="s">
        <v>173</v>
      </c>
    </row>
    <row r="285" spans="1:1" ht="20.100000000000001" customHeight="1" thickBot="1" x14ac:dyDescent="0.35">
      <c r="A285" s="22" t="s">
        <v>174</v>
      </c>
    </row>
    <row r="286" spans="1:1" ht="20.100000000000001" customHeight="1" thickBot="1" x14ac:dyDescent="0.35">
      <c r="A286" s="2" t="s">
        <v>58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2025-10-15T16:56:48Z</dcterms:modified>
</cp:coreProperties>
</file>