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A06BC9C1-2925-4E30-841E-3481895BA10F}"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<sst xmlns="http://schemas.openxmlformats.org/spreadsheetml/2006/main" count="258" uniqueCount="202">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</sst>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586545</xdr:colOff>
      <xdr:row>36</xdr:row>
      <xdr:rowOff>104735</xdr:rowOff>
    </xdr:from>
    <xdr:to>
      <xdr:col>7</xdr:col>
      <xdr:colOff>495095</xdr:colOff>
      <xdr:row>36</xdr:row>
      <xdr:rowOff>377255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4CE0584-C668-B281-E4FA-CDF47C2EC6BC}"/>
                </a:ext>
              </a:extLst>
            </xdr14:cNvPr>
            <xdr14:cNvContentPartPr/>
          </xdr14:nvContentPartPr>
          <xdr14:nvPr macro=""/>
          <xdr14:xfrm>
            <a:off x="10399407905" y="18404280"/>
            <a:ext cx="566640" cy="272520"/>
          </xdr14:xfrm>
        </xdr:contentPart>
      </mc:Choice>
      <mc:Fallback xmlns="">
        <xdr:pic>
          <xdr:nvPicPr>
            <xdr:cNvPr id="2" name="Ink 1">
              <a:extLst>
                <a:ext uri="{FF2B5EF4-FFF2-40B4-BE49-F238E27FC236}">
                  <a16:creationId xmlns:a16="http://schemas.microsoft.com/office/drawing/2014/main" id="{84CE0584-C668-B281-E4FA-CDF47C2EC6BC}"/>
                </a:ext>
              </a:extLst>
            </xdr:cNvPr>
            <xdr:cNvPicPr/>
          </xdr:nvPicPr>
          <xdr:blipFill>
            <a:blip xmlns:r="http://schemas.openxmlformats.org/officeDocument/2006/relationships" r:embed="rId2"/>
            <a:stretch>
              <a:fillRect/>
            </a:stretch>
          </xdr:blipFill>
          <xdr:spPr>
            <a:xfrm>
              <a:off x="10399401785" y="18398160"/>
              <a:ext cx="578880" cy="284760"/>
            </a:xfrm>
            <a:prstGeom prst="rect">
              <a:avLst/>
            </a:prstGeom>
          </xdr:spPr>
        </xdr:pic>
      </mc:Fallback>
    </mc:AlternateContent>
    <xdr:clientData/>
  </xdr:twoCellAnchor>
  <xdr:twoCellAnchor editAs="oneCell">
    <xdr:from>
      <xdr:col>7</xdr:col>
      <xdr:colOff>455495</xdr:colOff>
      <xdr:row>36</xdr:row>
      <xdr:rowOff>129215</xdr:rowOff>
    </xdr:from>
    <xdr:to>
      <xdr:col>9</xdr:col>
      <xdr:colOff>206714</xdr:colOff>
      <xdr:row>36</xdr:row>
      <xdr:rowOff>480215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EB8D7D69-D255-0BC8-221C-A02D7DE3F5E4}"/>
                </a:ext>
              </a:extLst>
            </xdr14:cNvPr>
            <xdr14:cNvContentPartPr/>
          </xdr14:nvContentPartPr>
          <xdr14:nvPr macro=""/>
          <xdr14:xfrm>
            <a:off x="10398380105" y="18428760"/>
            <a:ext cx="1067400" cy="351000"/>
          </xdr14:xfrm>
        </xdr:contentPart>
      </mc:Choice>
      <mc:Fallback xmlns="">
        <xdr:pic>
          <xdr:nvPicPr>
            <xdr:cNvPr id="3" name="Ink 2">
              <a:extLst>
                <a:ext uri="{FF2B5EF4-FFF2-40B4-BE49-F238E27FC236}">
                  <a16:creationId xmlns:a16="http://schemas.microsoft.com/office/drawing/2014/main" id="{EB8D7D69-D255-0BC8-221C-A02D7DE3F5E4}"/>
                </a:ext>
              </a:extLst>
            </xdr:cNvPr>
            <xdr:cNvPicPr/>
          </xdr:nvPicPr>
          <xdr:blipFill>
            <a:blip xmlns:r="http://schemas.openxmlformats.org/officeDocument/2006/relationships" r:embed="rId4"/>
            <a:stretch>
              <a:fillRect/>
            </a:stretch>
          </xdr:blipFill>
          <xdr:spPr>
            <a:xfrm>
              <a:off x="10398373985" y="18422640"/>
              <a:ext cx="1079640" cy="3632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21:51.415"/>
    </inkml:context>
    <inkml:brush xml:id="br0">
      <inkml:brushProperty name="width" value="0.035" units="cm"/>
      <inkml:brushProperty name="height" value="0.035" units="cm"/>
    </inkml:brush>
  </inkml:definitions>
  <inkml:trace contextRef="#ctx0" brushRef="#br0">1134 756 6513,'0'0'0,"0"0"0,2 0 752,1-3 56,-3 0 232,2-1 113,-2 4-1153,0 0 1192,0 0-32,0 0 72,3 0-167,-3 0-1065,0 0 864,0 0-224,0 0-176,0 0-112,0 0-2672,0 0 4976,0 0-2256,2 0-128,-2 0 88,0 0-360,0 0 425,0 0-81,0 0-48,0 0 0,0 0-1657,0 0 3074,0 0-1505,0-3-8,0 3 16,0 0-216,0-3 216,-5 0-56,3 0 112,2 3-144,0 0-128,-3-3-40,0 1 168,0-1 8,3 0 16,0 3-152,0-3 176,0 0 8,0 0-96,-5-1 24,5 4-112,0-3 120,-2 0-56,-3 1 72,5-3-40,0 5-96,0-4 8,-5 0 280,-3-1-71,8-6 63,0 11-280,-5-3 240,0-1-200,5-7-72,-12 8 48,12 3-16,-2-12 80,-3 10-80,1-11 0,-8 8 0,12 5 0,-2-14 56,-3 10 0,0-12 0,-6 5 16,11 11-72,-2-11 152,-8-2-96,5 0 192,-8 0-80,13 13-168,-3-14-112,-9 0 296,10 1-176,-9-1 80,11 14-88,0-14 136,-7-2-48,2 0-128,-6 1 24,11 15 16,0-16 152,-5 1-152,-7 0 112,12 2-24,0 13-88,-2-13 104,-2 2-24,1 7-24,-1-12 88,4 16-144,-3-3 40,1-8 104,2 8 72,0-1-152,0 4-64,0-5-232,0 2 200,0-1 136,0 1-152,0 3 48,0 0 160,0-2-88,0-1-96,0 3 24,2-3 96,3 3-184,0 0 16,-1 0 144,-4 0-72,14-3 16,-3 3 128,1 0-160,3-3 8,-15 3 8,13 0 8,1-3-48,5 3 80,-6-3-136,-13 3 96,19 0 56,-5-2-168,0-1 120,0 0 56,-14 3-64,14-3-32,4-1 72,-1 0-96,1-8 112,-18 12-56,19-3-40,0-8 8,2 8 80,-1-10-96,-20 13 48,23-4 64,-4-9-8,0 9-112,-2-7 96,-17 11-40,18-3-32,-6-9-40,1 8 136,2-7-128,-15 11 64,13-3 32,-1-1-16,-3-9-32,3 10 32,-12 3-16,7-4-72,4 0-16,-6-1 128,7 1-40,-12 4 0,5-4 48,6-8-8,-9 10-128,5-1 80,-7 3 8,5-5-48,6 1-8,-8 0 72,-1 0 24,-2 4-40,2-3 16,-2 0-48,0 3 80,0-3-152,0 3 104,0 0-160,0-3 32,-2 3-8,2 0 136,-5 0-232,-6 0 248,6 0-240,-7 0 208,12 0 16,-5 0-56,-8 2 56,11 2-72,-19 0-24,21-4 96,-12 6-32,-1 5 16,1-6 64,-4 7 32,16-12-80,-17 5 40,1 7-80,-3-6 40,3 7-136,16-13 136,-17 4-104,1 10 64,-4-8 0,0 8 120,20-14-80,-13 13 0,-2-2-24,2-5-8,1 8-32,12-14 64,-16 5 40,2 9 16,0-10 40,0 10-80,14-14-16,-14 5 56,-2 7-88,2-6 48,0 7-32,14-13 16,-14 5-24,-2 10 40,2-10-104,4 8 160,10-13-72,-13 4-88,1 9 120,0-8-8,1 7 8,11-12-32,-14 5 16,10 0-32,-13 1 88,6 0-72,11-6 0,-3 5 152,-11 1-192,7-3-240,-2 2 224,9-5 56,-2 4-272,-3-1 176,-7-1 240,7 0-344,5-2 200,-1 3 56,-11-2-56,12 1 32,-3-1 104,3-1-136,-5 1 0,1 1-56,4-1-16,-4 1 72,4-2 0,-3 1 0,-1-1 88,4 0 96,-5 0-120,5 0-64,-15-3 104,13 0-64,1 1-112,-14-3-8,15 5 80,-5-4-32,1 0 72,-8-7 32,10 9 16,2 2-88,-14-5 24,10-6-96,-11 7 88,15-9-16,0 13 0,-14-4 0,8-11-16,-6 3 48,9-3-128,3 15 96,-13-15 96,-2 1 32,2-2-184,1-1 112,12 17-56,-13-20 0,-2-1 8,2-4 40,-4 4-48,17 21 0,-16-20-16,4 2 56,-1 1 64,-4 0 48,17 17-152,-16-13 16,4 1-48,-2 1-24,5 7 72,9 4-16,-12-12 16,7 10 64,-6-3-104,4-6 48,7 11-24,-10 0 32,10-3-48,-1 0 104,-4 3-120,5 0 32,0 0-40,0 0-48,0 0 48,2 5 64,-2-5-24,3 11-56,8 2 72,-4 0 96,9 1-168,-16-14 56,12 15 48,1 0 64,9 0-256,-9-1 160,-13-14-16,20 15 24,-7-1-24,3-1-8,1 2-8,-17-15 16,13 13-16,4 1 16,-4 1 56,4-3 88,-17-12-144,11 13-16,-1 0-56,-5-2 56,11 2-24,-16-13 40,4 14-24,8 2-48,-7-2 144,6 0-232,-11-14 160,5 13 16,-3-1 112,-2-1-200,3-1 168,-3-10-96,2 12 48,-2-7-136,0 8 16,0-9-24,0-4 96,0 13-72,-5-9 144,1 9-56,-6-9 40,10-4-56,-4 5 0,-1-1-72,-7 0 40,8 1 8,4-5 24,-19 4 56,1 0-40,1 0-80,-3 1 24,20-5 40,-16 5-40,-6 0 24,4 0 56,0 0 48,18-5-88,-22 2-16,4 1 0,-1-1 32,-2-1 16,21-1-32,-16 0 0,-2 0-32,6-3 160,-3-1-144,15 4 16,-13-4 72,-2-1-72,12-7-72,0 9-56,3 3 128,-2-4-64,-3-1 72,5-6-88,-2 8 104,2 3-24,0-3-40,2-1 24,0 0 8,1-1 8,-3 5 0,0-2-48,5-1 48,-5 0 88,3 0-32,-3 3-56,3-3 72,-1 3-64,-2-3-16,0 0-8,0 3 16,-5-2 16,-6-1-32,-1 3-24,-1-3 120,13 3-80,-15 0-40,2-3 96,-1 3 16,-2 0-72,16 0 0,-23 0 128,6 0-104,-6 0 24,2 0-104,21 0 56,-21-3-120,0 0-88,3 1-256,-4-3-392,22 5 856,-23-11-1273,0 8-471,2-10-729,1 9-1319,-2-11-1169,22 15 4961,-21-11-7210,21 11 7210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21:52.108"/>
    </inkml:context>
    <inkml:brush xml:id="br0">
      <inkml:brushProperty name="width" value="0.035" units="cm"/>
      <inkml:brushProperty name="height" value="0.035" units="cm"/>
    </inkml:brush>
  </inkml:definitions>
  <inkml:trace contextRef="#ctx0" brushRef="#br0">1682 474 7817,'0'0'0,"4"15"1184,-4-15-1184,12 13 785,-10 4-113,14-3 16,-1-8 32,-15-6-720,13 14 688,6-8-88,-1 7-8,8-8-79,-26-5-513,25 13 544,6-9 152,1 8-96,1-8 96,-33-4-696,34 4 624,4 2-112,-2-2 136,-1-1-175,-35-3-473,40 3 440,-3-2-40,0-1-88,3 0 128,-40 0-440,41-4 440,-3-9 64,3 9-128,-4-10 136,-37 14-512,39-5 400,1-12-24,-1 6-7,-4 0-193,-35 11-176,38-13 248,-4 0-56,1 0 16,-2-1-56,-33 14-152,25-15 160,-2 2 0,-2-1 288,0-2-96,-21 16-352,16-14 384,0-2 0,-4 1-424,1-2 352,-13 17-312,5-17 88,10 2 48,-11 0 64,-2-1-96,-2 16-104,5-16 248,-3-1 160,1 2-183,-3-1-105,0 16-120,0-16 120,-5 1-448,0-1 400,-6 2 64,11 14-136,-15-16 56,2-1 320,-4-1-528,1 1-112,16 17 264,-23-19-241,0 5-79,-7-2 320,0 1-64,30 15 64,-31-13 64,-4 0-80,1 9 40,-1-10 40,35 14-64,-37-3 16,-2-1 24,-1-1 32,1 3 24,39 2-96,-45 0 8,-1 0 57,-2 1-130,-6 3 65,54-4 0,-53 6 65,-3 8-65,-2-3 16,-5 4-8,63-15-8,-59 14-177,1 3-15,-10 3 32,6 3 0,62-23 160,-65 25 32,4 1 24,3-2 0,7 0-56,51-24 0,-62 23-16,2 1 32,1 2 32,1 1 40,58-27-88,-58 31 40,-4 2-8,-1-1-64,3 4 16,60-36 16,-58 35 80,0 0-512,0 0 656,-2 0-1024,60-35 800,-56 34-392,3-1 1000,2 0-520,-5-1 921,56-32-1009,-56 30 552,-2 0-488,7-3-216,0-3 112,51-24 40,-46 23-184,-6 0-64,27-19-225,-9 13-935,34-17 1408,-33 13-2464,-7 2-1513,-3 7-3617,-11-4-1304,54-18 8898,0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1" t="s">
        <v>201</v>
      </c>
      <c r="C1" s="71"/>
      <c r="D1" s="71"/>
      <c r="E1" s="71"/>
      <c r="F1" s="71"/>
      <c r="G1" s="71"/>
      <c r="H1" s="71"/>
      <c r="I1" s="71"/>
      <c r="J1" s="71"/>
    </row>
    <row r="2" spans="1:10" ht="30" customHeight="1" x14ac:dyDescent="0.3">
      <c r="B2" s="13" t="s">
        <v>8</v>
      </c>
      <c r="C2" s="77" t="s">
        <v>47</v>
      </c>
      <c r="D2" s="77"/>
      <c r="E2" s="13" t="s">
        <v>7</v>
      </c>
      <c r="F2" s="72">
        <v>45956</v>
      </c>
      <c r="G2" s="72"/>
      <c r="H2" s="72"/>
      <c r="I2" s="72"/>
      <c r="J2" s="72"/>
    </row>
    <row r="3" spans="1:10" ht="30" customHeight="1" x14ac:dyDescent="0.3">
      <c r="B3" s="13" t="s">
        <v>9</v>
      </c>
      <c r="C3" s="77" t="s">
        <v>87</v>
      </c>
      <c r="D3" s="77"/>
      <c r="E3" s="13" t="s">
        <v>6</v>
      </c>
      <c r="F3" s="77" t="s">
        <v>104</v>
      </c>
      <c r="G3" s="77"/>
      <c r="H3" s="77"/>
      <c r="I3" s="77"/>
      <c r="J3" s="77"/>
    </row>
    <row r="4" spans="1:10" ht="30" customHeight="1" thickBot="1" x14ac:dyDescent="0.35">
      <c r="B4" s="6"/>
      <c r="C4" s="7"/>
      <c r="D4" s="7"/>
      <c r="E4" s="6"/>
      <c r="F4" s="7"/>
      <c r="G4" s="7"/>
      <c r="H4" s="8"/>
      <c r="I4" s="7"/>
      <c r="J4" s="7"/>
    </row>
    <row r="5" spans="1:10" ht="24.9" customHeight="1" x14ac:dyDescent="0.3">
      <c r="A5" s="11"/>
      <c r="B5" s="73" t="s">
        <v>0</v>
      </c>
      <c r="C5" s="74"/>
      <c r="D5" s="74"/>
      <c r="E5" s="82" t="s">
        <v>1</v>
      </c>
      <c r="F5" s="82"/>
      <c r="G5" s="82"/>
      <c r="H5" s="82"/>
      <c r="I5" s="82" t="s">
        <v>2</v>
      </c>
      <c r="J5" s="83"/>
    </row>
    <row r="6" spans="1:10" ht="24.9" customHeight="1" thickBot="1" x14ac:dyDescent="0.35">
      <c r="A6" s="11"/>
      <c r="B6" s="75"/>
      <c r="C6" s="76"/>
      <c r="D6" s="76"/>
      <c r="E6" s="12" t="s">
        <v>3</v>
      </c>
      <c r="F6" s="12" t="s">
        <v>4</v>
      </c>
      <c r="G6" s="12" t="s">
        <v>23</v>
      </c>
      <c r="H6" s="12" t="s">
        <v>24</v>
      </c>
      <c r="I6" s="84"/>
      <c r="J6" s="85"/>
    </row>
    <row r="7" spans="1:10" ht="24.9" customHeight="1" thickBot="1" x14ac:dyDescent="0.35">
      <c r="A7" s="11"/>
      <c r="B7" s="80" t="s">
        <v>21</v>
      </c>
      <c r="C7" s="81"/>
      <c r="D7" s="81"/>
      <c r="E7" s="30" t="s">
        <v>18</v>
      </c>
      <c r="F7" s="30" t="s">
        <v>19</v>
      </c>
      <c r="G7" s="30" t="s">
        <v>22</v>
      </c>
      <c r="H7" s="30" t="s">
        <v>20</v>
      </c>
      <c r="I7" s="93" t="s">
        <v>25</v>
      </c>
      <c r="J7" s="94"/>
    </row>
    <row r="8" spans="1:10" ht="39.9" customHeight="1" thickBot="1" x14ac:dyDescent="0.35">
      <c r="A8" s="11"/>
      <c r="B8" s="49" t="s">
        <v>195</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 customHeight="1" thickBot="1" x14ac:dyDescent="0.35">
      <c r="A9" s="11"/>
      <c r="B9" s="51" t="s">
        <v>196</v>
      </c>
      <c r="C9" s="52"/>
      <c r="D9" s="52"/>
      <c r="E9" s="10">
        <v>5</v>
      </c>
      <c r="F9" s="41">
        <v>3.5</v>
      </c>
      <c r="G9" s="42">
        <f>IFERROR(F9/E9,"")</f>
        <v>0.7</v>
      </c>
      <c r="H9" s="28" t="str">
        <f>_xlfn.IFS(F9="أدخل العلامة","",F9="لا ينطبق","تم الإلغاء",G9&gt;=90%,"ممتاز",G9&gt;=80%,"جيد جداً",G9&gt;=70%,"جيد",G9&gt;=60%,"مقبول",G9&lt;60%,"راسب")</f>
        <v>جيد</v>
      </c>
      <c r="I9" s="91"/>
      <c r="J9" s="92"/>
    </row>
    <row r="10" spans="1:10" ht="39.9" customHeight="1" thickBot="1" x14ac:dyDescent="0.35">
      <c r="A10" s="11"/>
      <c r="B10" s="51" t="s">
        <v>197</v>
      </c>
      <c r="C10" s="52"/>
      <c r="D10" s="52"/>
      <c r="E10" s="10">
        <v>5</v>
      </c>
      <c r="F10" s="41">
        <v>3.5</v>
      </c>
      <c r="G10" s="42">
        <f t="shared" ref="G10:G32" si="0">IFERROR(F10/E10,"")</f>
        <v>0.7</v>
      </c>
      <c r="H10" s="28" t="str">
        <f t="shared" ref="H10:H32" si="1">_xlfn.IFS(F10="أدخل العلامة","",F10="لا ينطبق","تم الإلغاء",G10&gt;=90%,"ممتاز",G10&gt;=80%,"جيد جداً",G10&gt;=70%,"جيد",G10&gt;=60%,"مقبول",G10&lt;60%,"راسب")</f>
        <v>جيد</v>
      </c>
      <c r="I10" s="91"/>
      <c r="J10" s="92"/>
    </row>
    <row r="11" spans="1:10" ht="39.9" customHeight="1" x14ac:dyDescent="0.3">
      <c r="A11" s="11"/>
      <c r="B11" s="47" t="s">
        <v>198</v>
      </c>
      <c r="C11" s="48"/>
      <c r="D11" s="48"/>
      <c r="E11" s="40"/>
      <c r="F11" s="34"/>
      <c r="G11" s="35"/>
      <c r="H11" s="36"/>
      <c r="I11" s="57"/>
      <c r="J11" s="58"/>
    </row>
    <row r="12" spans="1:10" ht="39.9" customHeight="1" x14ac:dyDescent="0.3">
      <c r="A12" s="11"/>
      <c r="B12" s="43" t="s">
        <v>176</v>
      </c>
      <c r="C12" s="44"/>
      <c r="D12" s="44"/>
      <c r="E12" s="9">
        <v>5</v>
      </c>
      <c r="F12" s="27">
        <v>3.75</v>
      </c>
      <c r="G12" s="32">
        <f t="shared" si="0"/>
        <v>0.75</v>
      </c>
      <c r="H12" s="33" t="str">
        <f t="shared" si="1"/>
        <v>جيد</v>
      </c>
      <c r="I12" s="55"/>
      <c r="J12" s="56"/>
    </row>
    <row r="13" spans="1:10" ht="54.9" customHeight="1" x14ac:dyDescent="0.3">
      <c r="A13" s="11"/>
      <c r="B13" s="43" t="s">
        <v>177</v>
      </c>
      <c r="C13" s="44"/>
      <c r="D13" s="44"/>
      <c r="E13" s="9">
        <v>5</v>
      </c>
      <c r="F13" s="27">
        <v>3.5</v>
      </c>
      <c r="G13" s="32">
        <f t="shared" si="0"/>
        <v>0.7</v>
      </c>
      <c r="H13" s="33" t="str">
        <f t="shared" si="1"/>
        <v>جيد</v>
      </c>
      <c r="I13" s="55"/>
      <c r="J13" s="56"/>
    </row>
    <row r="14" spans="1:10" ht="71.25" customHeight="1" x14ac:dyDescent="0.3">
      <c r="A14" s="11"/>
      <c r="B14" s="43" t="s">
        <v>178</v>
      </c>
      <c r="C14" s="44"/>
      <c r="D14" s="44"/>
      <c r="E14" s="9">
        <v>5</v>
      </c>
      <c r="F14" s="27">
        <v>3.5</v>
      </c>
      <c r="G14" s="32">
        <f t="shared" si="0"/>
        <v>0.7</v>
      </c>
      <c r="H14" s="33" t="str">
        <f t="shared" si="1"/>
        <v>جيد</v>
      </c>
      <c r="I14" s="55"/>
      <c r="J14" s="56"/>
    </row>
    <row r="15" spans="1:10" ht="39.9" customHeight="1" x14ac:dyDescent="0.3">
      <c r="A15" s="11"/>
      <c r="B15" s="43" t="s">
        <v>179</v>
      </c>
      <c r="C15" s="44"/>
      <c r="D15" s="44"/>
      <c r="E15" s="9">
        <v>5</v>
      </c>
      <c r="F15" s="27">
        <v>3.75</v>
      </c>
      <c r="G15" s="32">
        <f t="shared" si="0"/>
        <v>0.75</v>
      </c>
      <c r="H15" s="33" t="str">
        <f t="shared" si="1"/>
        <v>جيد</v>
      </c>
      <c r="I15" s="55"/>
      <c r="J15" s="56"/>
    </row>
    <row r="16" spans="1:10" ht="68.25" customHeight="1" x14ac:dyDescent="0.3">
      <c r="A16" s="11"/>
      <c r="B16" s="43" t="s">
        <v>180</v>
      </c>
      <c r="C16" s="44"/>
      <c r="D16" s="44"/>
      <c r="E16" s="9">
        <v>5</v>
      </c>
      <c r="F16" s="27">
        <v>3.75</v>
      </c>
      <c r="G16" s="32">
        <f t="shared" si="0"/>
        <v>0.75</v>
      </c>
      <c r="H16" s="33" t="str">
        <f t="shared" si="1"/>
        <v>جيد</v>
      </c>
      <c r="I16" s="55"/>
      <c r="J16" s="56"/>
    </row>
    <row r="17" spans="1:10" ht="65.099999999999994" customHeight="1" thickBot="1" x14ac:dyDescent="0.35">
      <c r="A17" s="11"/>
      <c r="B17" s="45" t="s">
        <v>181</v>
      </c>
      <c r="C17" s="46"/>
      <c r="D17" s="46"/>
      <c r="E17" s="37">
        <v>5</v>
      </c>
      <c r="F17" s="29">
        <v>3.75</v>
      </c>
      <c r="G17" s="38">
        <f t="shared" si="0"/>
        <v>0.75</v>
      </c>
      <c r="H17" s="39" t="str">
        <f t="shared" si="1"/>
        <v>جيد</v>
      </c>
      <c r="I17" s="53"/>
      <c r="J17" s="54"/>
    </row>
    <row r="18" spans="1:10" ht="39.9" customHeight="1" x14ac:dyDescent="0.3">
      <c r="A18" s="11"/>
      <c r="B18" s="59" t="s">
        <v>199</v>
      </c>
      <c r="C18" s="60"/>
      <c r="D18" s="60"/>
      <c r="E18" s="40"/>
      <c r="F18" s="34"/>
      <c r="G18" s="35"/>
      <c r="H18" s="36"/>
      <c r="I18" s="57"/>
      <c r="J18" s="58"/>
    </row>
    <row r="19" spans="1:10" ht="39.9" customHeight="1" x14ac:dyDescent="0.3">
      <c r="A19" s="11"/>
      <c r="B19" s="43" t="s">
        <v>182</v>
      </c>
      <c r="C19" s="44"/>
      <c r="D19" s="44"/>
      <c r="E19" s="9">
        <v>5</v>
      </c>
      <c r="F19" s="27">
        <v>3.5</v>
      </c>
      <c r="G19" s="32">
        <f t="shared" si="0"/>
        <v>0.7</v>
      </c>
      <c r="H19" s="33" t="str">
        <f t="shared" si="1"/>
        <v>جيد</v>
      </c>
      <c r="I19" s="55"/>
      <c r="J19" s="56"/>
    </row>
    <row r="20" spans="1:10" ht="39.9" customHeight="1" x14ac:dyDescent="0.3">
      <c r="A20" s="11"/>
      <c r="B20" s="43" t="s">
        <v>183</v>
      </c>
      <c r="C20" s="44"/>
      <c r="D20" s="44"/>
      <c r="E20" s="9">
        <v>5</v>
      </c>
      <c r="F20" s="27">
        <v>3.5</v>
      </c>
      <c r="G20" s="32">
        <f t="shared" si="0"/>
        <v>0.7</v>
      </c>
      <c r="H20" s="33" t="str">
        <f t="shared" si="1"/>
        <v>جيد</v>
      </c>
      <c r="I20" s="55"/>
      <c r="J20" s="56"/>
    </row>
    <row r="21" spans="1:10" ht="39.9" customHeight="1" x14ac:dyDescent="0.3">
      <c r="A21" s="11"/>
      <c r="B21" s="43" t="s">
        <v>184</v>
      </c>
      <c r="C21" s="44"/>
      <c r="D21" s="44"/>
      <c r="E21" s="9">
        <v>5</v>
      </c>
      <c r="F21" s="27">
        <v>3.5</v>
      </c>
      <c r="G21" s="32">
        <f t="shared" si="0"/>
        <v>0.7</v>
      </c>
      <c r="H21" s="33" t="str">
        <f t="shared" si="1"/>
        <v>جيد</v>
      </c>
      <c r="I21" s="55"/>
      <c r="J21" s="56"/>
    </row>
    <row r="22" spans="1:10" ht="39.9" customHeight="1" x14ac:dyDescent="0.3">
      <c r="A22" s="11"/>
      <c r="B22" s="43" t="s">
        <v>185</v>
      </c>
      <c r="C22" s="44"/>
      <c r="D22" s="44"/>
      <c r="E22" s="9">
        <v>5</v>
      </c>
      <c r="F22" s="27">
        <v>3.75</v>
      </c>
      <c r="G22" s="32">
        <f t="shared" si="0"/>
        <v>0.75</v>
      </c>
      <c r="H22" s="33" t="str">
        <f t="shared" si="1"/>
        <v>جيد</v>
      </c>
      <c r="I22" s="55"/>
      <c r="J22" s="56"/>
    </row>
    <row r="23" spans="1:10" ht="39.9" customHeight="1" x14ac:dyDescent="0.3">
      <c r="A23" s="11"/>
      <c r="B23" s="43" t="s">
        <v>186</v>
      </c>
      <c r="C23" s="44"/>
      <c r="D23" s="44"/>
      <c r="E23" s="9">
        <v>5</v>
      </c>
      <c r="F23" s="27">
        <v>3.75</v>
      </c>
      <c r="G23" s="32">
        <f t="shared" si="0"/>
        <v>0.75</v>
      </c>
      <c r="H23" s="33" t="str">
        <f t="shared" si="1"/>
        <v>جيد</v>
      </c>
      <c r="I23" s="55"/>
      <c r="J23" s="56"/>
    </row>
    <row r="24" spans="1:10" ht="39.9" customHeight="1" x14ac:dyDescent="0.3">
      <c r="A24" s="11"/>
      <c r="B24" s="43" t="s">
        <v>187</v>
      </c>
      <c r="C24" s="44"/>
      <c r="D24" s="44"/>
      <c r="E24" s="9">
        <v>5</v>
      </c>
      <c r="F24" s="27">
        <v>3.5</v>
      </c>
      <c r="G24" s="32">
        <f t="shared" si="0"/>
        <v>0.7</v>
      </c>
      <c r="H24" s="33" t="str">
        <f t="shared" si="1"/>
        <v>جيد</v>
      </c>
      <c r="I24" s="55"/>
      <c r="J24" s="56"/>
    </row>
    <row r="25" spans="1:10" ht="39.9" customHeight="1" x14ac:dyDescent="0.3">
      <c r="A25" s="11"/>
      <c r="B25" s="43" t="s">
        <v>188</v>
      </c>
      <c r="C25" s="44"/>
      <c r="D25" s="44"/>
      <c r="E25" s="9">
        <v>5</v>
      </c>
      <c r="F25" s="27">
        <v>3.5</v>
      </c>
      <c r="G25" s="32">
        <f t="shared" si="0"/>
        <v>0.7</v>
      </c>
      <c r="H25" s="33" t="str">
        <f t="shared" si="1"/>
        <v>جيد</v>
      </c>
      <c r="I25" s="55"/>
      <c r="J25" s="56"/>
    </row>
    <row r="26" spans="1:10" ht="39.9" customHeight="1" thickBot="1" x14ac:dyDescent="0.35">
      <c r="A26" s="11"/>
      <c r="B26" s="45" t="s">
        <v>189</v>
      </c>
      <c r="C26" s="46"/>
      <c r="D26" s="46"/>
      <c r="E26" s="37">
        <v>5</v>
      </c>
      <c r="F26" s="29">
        <v>3.5</v>
      </c>
      <c r="G26" s="38">
        <f t="shared" si="0"/>
        <v>0.7</v>
      </c>
      <c r="H26" s="39" t="str">
        <f t="shared" si="1"/>
        <v>جيد</v>
      </c>
      <c r="I26" s="53"/>
      <c r="J26" s="54"/>
    </row>
    <row r="27" spans="1:10" ht="39.9" customHeight="1" x14ac:dyDescent="0.3">
      <c r="A27" s="11"/>
      <c r="B27" s="47" t="s">
        <v>200</v>
      </c>
      <c r="C27" s="48"/>
      <c r="D27" s="48"/>
      <c r="E27" s="40"/>
      <c r="F27" s="34"/>
      <c r="G27" s="35"/>
      <c r="H27" s="36"/>
      <c r="I27" s="57"/>
      <c r="J27" s="58"/>
    </row>
    <row r="28" spans="1:10" ht="39.9" customHeight="1" x14ac:dyDescent="0.3">
      <c r="A28" s="11"/>
      <c r="B28" s="43" t="s">
        <v>190</v>
      </c>
      <c r="C28" s="44"/>
      <c r="D28" s="44"/>
      <c r="E28" s="9">
        <v>5</v>
      </c>
      <c r="F28" s="27">
        <v>3.75</v>
      </c>
      <c r="G28" s="32">
        <f t="shared" si="0"/>
        <v>0.75</v>
      </c>
      <c r="H28" s="33" t="str">
        <f t="shared" si="1"/>
        <v>جيد</v>
      </c>
      <c r="I28" s="55"/>
      <c r="J28" s="56"/>
    </row>
    <row r="29" spans="1:10" ht="39.9" customHeight="1" x14ac:dyDescent="0.3">
      <c r="A29" s="11"/>
      <c r="B29" s="43" t="s">
        <v>191</v>
      </c>
      <c r="C29" s="44"/>
      <c r="D29" s="44"/>
      <c r="E29" s="9">
        <v>5</v>
      </c>
      <c r="F29" s="27">
        <v>3.75</v>
      </c>
      <c r="G29" s="32">
        <f t="shared" si="0"/>
        <v>0.75</v>
      </c>
      <c r="H29" s="33" t="str">
        <f t="shared" si="1"/>
        <v>جيد</v>
      </c>
      <c r="I29" s="55"/>
      <c r="J29" s="56"/>
    </row>
    <row r="30" spans="1:10" ht="39.9" customHeight="1" x14ac:dyDescent="0.3">
      <c r="A30" s="11"/>
      <c r="B30" s="43" t="s">
        <v>192</v>
      </c>
      <c r="C30" s="44"/>
      <c r="D30" s="44"/>
      <c r="E30" s="9">
        <v>5</v>
      </c>
      <c r="F30" s="27">
        <v>3.75</v>
      </c>
      <c r="G30" s="32">
        <f t="shared" si="0"/>
        <v>0.75</v>
      </c>
      <c r="H30" s="33" t="str">
        <f t="shared" si="1"/>
        <v>جيد</v>
      </c>
      <c r="I30" s="55"/>
      <c r="J30" s="56"/>
    </row>
    <row r="31" spans="1:10" ht="39.9" customHeight="1" x14ac:dyDescent="0.3">
      <c r="A31" s="11"/>
      <c r="B31" s="43" t="s">
        <v>193</v>
      </c>
      <c r="C31" s="44"/>
      <c r="D31" s="44"/>
      <c r="E31" s="9">
        <v>5</v>
      </c>
      <c r="F31" s="27">
        <v>3.5</v>
      </c>
      <c r="G31" s="32">
        <f t="shared" si="0"/>
        <v>0.7</v>
      </c>
      <c r="H31" s="33" t="str">
        <f t="shared" si="1"/>
        <v>جيد</v>
      </c>
      <c r="I31" s="55"/>
      <c r="J31" s="56"/>
    </row>
    <row r="32" spans="1:10" ht="39.9" customHeight="1" thickBot="1" x14ac:dyDescent="0.35">
      <c r="A32" s="11"/>
      <c r="B32" s="45" t="s">
        <v>194</v>
      </c>
      <c r="C32" s="46"/>
      <c r="D32" s="46"/>
      <c r="E32" s="37">
        <v>5</v>
      </c>
      <c r="F32" s="29">
        <v>3.75</v>
      </c>
      <c r="G32" s="38">
        <f t="shared" si="0"/>
        <v>0.75</v>
      </c>
      <c r="H32" s="39" t="str">
        <f t="shared" si="1"/>
        <v>جيد</v>
      </c>
      <c r="I32" s="53"/>
      <c r="J32" s="54"/>
    </row>
    <row r="33" spans="1:10" ht="30" customHeight="1" thickBot="1" x14ac:dyDescent="0.35">
      <c r="A33" s="4"/>
      <c r="B33" s="61" t="s">
        <v>5</v>
      </c>
      <c r="C33" s="62"/>
      <c r="D33" s="62"/>
      <c r="E33" s="31">
        <f>SUM(E8:E32)</f>
        <v>110</v>
      </c>
      <c r="F33" s="31">
        <f>SUM(F8:F32)</f>
        <v>79.75</v>
      </c>
      <c r="G33" s="88"/>
      <c r="H33" s="89"/>
      <c r="I33" s="89"/>
      <c r="J33" s="90"/>
    </row>
    <row r="34" spans="1:10" ht="30" customHeight="1" thickBot="1" x14ac:dyDescent="0.35">
      <c r="A34" s="4"/>
      <c r="B34" s="63" t="s">
        <v>54</v>
      </c>
      <c r="C34" s="64"/>
      <c r="D34" s="64"/>
      <c r="E34" s="78">
        <f>F33/E33/100*100</f>
        <v>0.72499999999999998</v>
      </c>
      <c r="F34" s="78"/>
      <c r="G34" s="78"/>
      <c r="H34" s="78"/>
      <c r="I34" s="78"/>
      <c r="J34" s="79"/>
    </row>
    <row r="35" spans="1:10" ht="30" customHeight="1" thickBot="1" x14ac:dyDescent="0.3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3">
      <c r="B36" s="65" t="s">
        <v>175</v>
      </c>
      <c r="C36" s="65"/>
      <c r="D36" s="65"/>
      <c r="E36" s="86" t="s">
        <v>52</v>
      </c>
      <c r="F36" s="86"/>
      <c r="G36" s="67" t="s">
        <v>104</v>
      </c>
      <c r="H36" s="67"/>
      <c r="I36" s="67"/>
      <c r="J36" s="67"/>
    </row>
    <row r="37" spans="1:10" ht="51" customHeight="1" x14ac:dyDescent="0.3">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2025-10-27T16:36:23Z</dcterms:modified>
</cp:coreProperties>
</file>