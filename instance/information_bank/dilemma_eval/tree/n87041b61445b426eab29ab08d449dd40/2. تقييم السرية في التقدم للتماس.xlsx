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27908C5-690E-4086-A943-2F16DBEA32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20" i="2"/>
  <c r="H20" i="2" s="1"/>
  <c r="G21" i="2"/>
  <c r="H21" i="2"/>
  <c r="G22" i="2"/>
  <c r="H22" i="2" s="1"/>
  <c r="G23" i="2"/>
  <c r="H23" i="2" s="1"/>
  <c r="G26" i="2"/>
  <c r="H26" i="2"/>
  <c r="G27" i="2"/>
  <c r="H27" i="2"/>
  <c r="G28" i="2"/>
  <c r="H28" i="2"/>
  <c r="G30" i="2"/>
  <c r="H30" i="2"/>
  <c r="G31" i="2"/>
  <c r="H31" i="2" s="1"/>
  <c r="G32" i="2"/>
  <c r="H32" i="2"/>
  <c r="G33" i="2"/>
  <c r="H33" i="2"/>
  <c r="G34" i="2"/>
  <c r="H34" i="2" s="1"/>
  <c r="G37" i="2"/>
  <c r="H37" i="2" s="1"/>
  <c r="G38" i="2"/>
  <c r="H38" i="2" s="1"/>
  <c r="G39" i="2"/>
  <c r="H39" i="2"/>
  <c r="G40" i="2"/>
  <c r="H40" i="2"/>
  <c r="G41" i="2"/>
  <c r="H41" i="2"/>
  <c r="G43" i="2"/>
  <c r="H43" i="2" s="1"/>
  <c r="G44" i="2"/>
  <c r="H44" i="2"/>
  <c r="G45" i="2"/>
  <c r="H45" i="2" s="1"/>
  <c r="G46" i="2"/>
  <c r="H46" i="2" s="1"/>
  <c r="G48" i="2"/>
  <c r="H48" i="2" s="1"/>
  <c r="G49" i="2"/>
  <c r="H49" i="2" s="1"/>
  <c r="G50" i="2"/>
  <c r="H50" i="2"/>
  <c r="G51" i="2"/>
  <c r="H51" i="2" s="1"/>
  <c r="G52" i="2"/>
  <c r="H52" i="2" s="1"/>
  <c r="F53" i="2"/>
  <c r="E54" i="2" s="1"/>
  <c r="E55" i="2" s="1"/>
  <c r="E53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<sst xmlns="http://schemas.openxmlformats.org/spreadsheetml/2006/main" count="282" uniqueCount="226">
  <si>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</si>
  <si>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</si>
  <si>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</si>
  <si>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</si>
  <si>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</si>
  <si>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</si>
  <si>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</si>
  <si>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</si>
  <si>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</si>
  <si>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</si>
  <si>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</si>
  <si>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</si>
  <si>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</si>
  <si>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</si>
  <si>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</si>
  <si>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</si>
  <si>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</si>
  <si>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</si>
  <si>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</si>
  <si>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</si>
  <si>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</si>
  <si>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</si>
  <si>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</si>
  <si>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</si>
  <si>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</si>
  <si>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</si>
  <si>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</si>
  <si>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</si>
  <si>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</si>
  <si>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</si>
  <si>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</si>
  <si>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</si>
  <si>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</si>
  <si>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</si>
  <si>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</si>
  <si>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</si>
  <si>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</si>
  <si>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</si>
  <si>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</si>
  <si>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</si>
  <si>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</si>
  <si>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</si>
  <si>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</si>
  <si>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</si>
  <si>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</si>
  <si>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</si>
  <si>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</si>
  <si>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</si>
  <si>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</si>
  <si>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</si>
  <si>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</si>
  <si>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</si>
  <si>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</si>
  <si>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</si>
  <si>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</si>
  <si>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</si>
  <si>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</si>
  <si>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</si>
  <si>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</si>
  <si>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</si>
  <si>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</si>
  <si>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</si>
  <si>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</si>
  <si>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</si>
  <si>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</si>
  <si>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</si>
  <si>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</si>
  <si>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</si>
  <si>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</si>
  <si>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</si>
  <si>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</si>
  <si>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</si>
  <si>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</si>
  <si>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</si>
  <si>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</si>
  <si>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</si>
  <si>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</si>
  <si>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</si>
  <si>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</si>
  <si>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</si>
  <si>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</si>
  <si>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</si>
  <si>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</si>
  <si>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</si>
  <si>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</si>
  <si>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</si>
  <si>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</si>
  <si>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</si>
  <si>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</si>
  <si>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</si>
  <si>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</si>
  <si>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</si>
  <si>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</si>
  <si>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</si>
  <si>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</si>
  <si>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</si>
  <si>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</si>
  <si>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</si>
  <si>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</si>
  <si>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</si>
  <si>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</si>
  <si>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</si>
  <si>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</si>
  <si>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</si>
  <si>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</si>
  <si>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</si>
  <si>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</si>
  <si>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</si>
  <si>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</si>
  <si>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</si>
  <si>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</si>
  <si>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</si>
  <si>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</si>
  <si>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</si>
  <si>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</si>
  <si>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</si>
  <si>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</si>
  <si>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</si>
  <si>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</si>
  <si>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</si>
  <si>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</si>
  <si>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</si>
  <si>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</si>
  <si>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</si>
  <si>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</si>
  <si>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</si>
  <si>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</si>
  <si>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</si>
  <si>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</si>
  <si>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</si>
  <si>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</si>
  <si>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</si>
  <si>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</si>
  <si>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</si>
  <si>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</si>
  <si>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</si>
  <si>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</si>
  <si>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</si>
  <si>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</si>
  <si>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</si>
  <si>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</si>
  <si>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</si>
  <si>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</si>
  <si>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</si>
  <si>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</si>
  <si>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</si>
  <si>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</si>
  <si>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</si>
  <si>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</si>
  <si>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</si>
  <si>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</si>
  <si>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</si>
  <si>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</si>
  <si>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</si>
  <si>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</si>
  <si>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</si>
  <si>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</si>
  <si>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</si>
  <si>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</si>
  <si>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</si>
  <si>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</si>
  <si>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</si>
  <si>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</si>
  <si>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</si>
  <si>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</si>
  <si>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</si>
  <si>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</si>
  <si>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</si>
  <si>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</si>
  <si>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</si>
  <si>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</si>
  <si>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</si>
  <si>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</si>
  <si>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</si>
  <si>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</si>
  <si>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</si>
  <si>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</si>
  <si>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</si>
  <si>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</si>
  <si>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</si>
  <si>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</si>
  <si>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</si>
  <si>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</si>
  <si>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</si>
  <si>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</si>
  <si>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</si>
  <si>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</si>
  <si>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</si>
  <si>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</si>
  <si>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</si>
  <si>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</si>
  <si>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</si>
  <si>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</si>
  <si>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</si>
  <si>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</si>
  <si>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</si>
  <si>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</si>
  <si>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</si>
  <si>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</si>
  <si>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</si>
  <si>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</si>
  <si>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</si>
  <si>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</si>
  <si>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</si>
  <si>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</si>
  <si>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</si>
  <si>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</si>
  <si>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</si>
  <si>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</si>
  <si>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</si>
  <si>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</si>
  <si>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</si>
  <si>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</si>
  <si>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</si>
  <si>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</si>
  <si>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</si>
  <si>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</si>
  <si>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</si>
  <si>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</si>
  <si>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</si>
  <si>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</si>
  <si>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</si>
  <si>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</si>
  <si>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</si>
  <si>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</si>
  <si>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السرية/فريق القتال في التقدم للتماس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</si>
</sst>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157482</xdr:colOff>
      <xdr:row>56</xdr:row>
      <xdr:rowOff>48382</xdr:rowOff>
    </xdr:from>
    <xdr:to>
      <xdr:col>8</xdr:col>
      <xdr:colOff>458139</xdr:colOff>
      <xdr:row>56</xdr:row>
      <xdr:rowOff>363382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F02EB5-95EA-C686-D147-747D54CDBC54}"/>
                </a:ext>
              </a:extLst>
            </xdr14:cNvPr>
            <xdr14:cNvContentPartPr/>
          </xdr14:nvContentPartPr>
          <xdr14:nvPr macro=""/>
          <xdr14:xfrm>
            <a:off x="10423244661" y="25458840"/>
            <a:ext cx="955080" cy="315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F02EB5-95EA-C686-D147-747D54CDBC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35661" y="25450200"/>
              <a:ext cx="97272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632682</xdr:colOff>
      <xdr:row>56</xdr:row>
      <xdr:rowOff>152062</xdr:rowOff>
    </xdr:from>
    <xdr:to>
      <xdr:col>9</xdr:col>
      <xdr:colOff>75875</xdr:colOff>
      <xdr:row>56</xdr:row>
      <xdr:rowOff>525022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0BA0B55-B622-5821-734E-F85882344F59}"/>
                </a:ext>
              </a:extLst>
            </xdr14:cNvPr>
            <xdr14:cNvContentPartPr/>
          </xdr14:nvContentPartPr>
          <xdr14:nvPr macro=""/>
          <xdr14:xfrm>
            <a:off x="10422972501" y="25562520"/>
            <a:ext cx="752040" cy="372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0BA0B55-B622-5821-734E-F85882344F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3501" y="25553520"/>
              <a:ext cx="769680" cy="39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04:43.2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1931 649 5945,'0'0'0,"-4"-2"1712,0-8-888,-6 6-464,8-5-176,2 9-184,-2-1 56,0-3-24,0 2-56,0-1 16,1 2 80,1 0-88,0 1 16,0-1-8,0-1 32,0 1-112,0 1 136,0-1-32,0 0-16,0 1 0,0-1 16,0-1-8,0 1 32,0 0-64,0-1 48,0 0-24,0 2 0,0-2 32,0 0 64,0-1-23,3 2 23,-3-1-40,2-1-8,-2 3-48,2-2 32,-2-1 32,3 1-32,-1 0-64,0 0 8,2 0-64,-4 2 88,10-2-56,-10-1 8,9 1 104,-5-1-80,9 1 0,-2 0 48,-11 2-24,11-3-96,1 1 64,0-1 24,2 2 8,0-1-8,3 0 16,-17 2-8,17-2-41,1 1 33,0 0 0,0 0 8,1 0-8,1-1 8,-20 2 0,21-1 0,-1 0-24,2 0 32,-1 0 0,2 1-24,0 0 32,-23 0-16,23 0-24,-2 0 0,1 0-8,-1 0-16,0 0 0,-1 2-8,-20-2 56,20 2-40,1 1-56,-2-1 64,0 1 0,-1-1 0,0 0 56,-18-2-24,16 4-16,-1-1-16,0 7 16,-1-8 0,-1 1 0,-2 0 0,-11-3 16,11 10-24,-8-8-8,8 2-40,-8 7-32,0-9-96,1 2-96,-4-4 296,3 9-344,-3-6-40,0 0 40,0 1 56,-1 6 48,-2-8 72,3-2 168,-10 4-104,5 6 56,-9-7 8,2 0 8,-1 7 8,-3-8 0,16-2 24,-17 4-16,0 7 16,-2-9-16,0 2 8,-1 5 0,-1-9-24,21 0 32,-21 4-64,-1-2-64,2 1-88,-3-1-88,0-2-96,1 0-25,22 0 425,-23-1-424,-1-3 32,0 1 88,-1-1 80,1-5 88,1 5 80,23 4 56,-22-5-24,2-6 16,-2 8 16,3-7 8,-1 7 0,1-2 16,19 5-32,-19-5 48,-1 1 32,1 0 40,0 0 48,0 0 40,0 3 8,19 1-216,-20-1 216,2 0-64,0 0-32,-2 1-16,1 0-40,-4 0 0,23 0-64,-21 3 40,-3 0 8,0 0-16,0 1-16,-4-1 32,3 7-24,25-10-24,-29 2 32,3 8 9,-2-8-25,0 2 16,0 0-40,-2-1 32,30-3-24,-30 4 32,1-2-24,0 1 16,1-3-8,0 0-8,1 0 0,27 0-8,-28 0 72,-1-2-16,1 1 8,-1-2 16,0-1-16,0-6 56,29 10-120,-28-3 88,-1-7 88,0 1 16,2-1 8,0-1 88,2-1-24,25 12-264,-25-13 352,2-1-40,1-2-32,1 0-32,0-1-152,2-1 80,19 18-176,-18-21 32,1 1 16,1 1 24,1-1-104,1 1 104,1 1-48,13 18-24,-12-18 64,1 2-16,1 0 0,1 0 0,4 2 8,-7-2-72,12 16 16,-2-14-120,-2-2-40,0 2-152,3 0-16,1-1-16,0 1 88,0 14 256,3-13-264,7-2 0,-6 2 40,9-1-112,-9 1 112,10 2-32,-14 11 256,12-10-200,1 1 64,2 4-56,3-8 144,0 8-40,3-8 39,-21 13 49,22-5-96,1-7-40,2 7 40,2-6 8,2 8 56,2-8-64,-31 11 96,33-4-48,0 0-40,2-1 0,-2 0 88,5 0-48,-2 2-8,-36 3 56,38-3-88,-1 2-40,-1 0 24,1 0-24,1 1-24,0 0 64,-38 0 88,39 0-80,1 0 32,-3 2 48,1 0-48,-2 2 40,0 0 8,-36-4 0,36 3-8,-1 1 16,0 7-8,-2-9 24,0 2-64,-1 6 40,-32-10 0,31 4-32,-1 7-16,-4-8 80,0 9-40,-1-2-16,-4-7 32,-21-3-8,23 15-40,-3-12 64,-3 11-56,-2-11 64,-2 13-16,-1-5-24,-12-11 8,9 10 48,2 1-64,-8 0 104,0-1-80,1-7 32,-2 12 8,-2-15-48,3 9 8,-3 1 136,-3-1 24,-6 1 48,-1 1 16,-2-1 0,12-10-232,-13 12 224,-6 2 40,-4-2-15,-1 1-49,-1 0 16,-2-1 0,27-12-216,-28 13 264,-5-1 96,-2 3-56,-2-1-40,-1 1-32,-2 0-48,40-15-184,-40 15 240,-3 1 64,-2 2-80,0-1-40,-3 1-24,-1-1-96,49-17-64,-53 15 128,0 2-8,-2 0-24,0-1-8,-1 1-16,-3 0 32,59-17-104,-59 16 128,0 0 32,0 0-24,0 1-32,-1-2-31,2 1-25,58-16-48,-60 17 88,1-3-16,1 2-8,2-3-8,3 1-24,4-2 16,49-12-48,-47 11 32,3 0 16,2-8-24,2 9 16,4-9 8,2 6-16,34-9-32,-32 3 16,4-1-112,0 0-152,3 1-289,2-3-311,1 0-240,22 0 1088,-19 2-1184,1-2 80,1 0 167,2-1 289,2-3 272,1 0 168,12 4 208,-11-11-80,6 6-2200,5 5 2280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04:44.2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2002 5 10090,'0'0'0,"-11"-1"3624,1-2-2927,10 3-697,-14-1 264,-2 1-136,-1 0-48,-1 4-72,-4 10 16,-1-3-16,23-11-8,-25 12 64,-1 2-8,0 0 8,-3 0-8,-1 2-64,-3-1 16,33-15-8,-37 18 64,0-1-64,0 0 32,-2 2-32,2-1-40,-3-1 48,40-17-8,-40 16 8,-1-1 16,1-2-56,2 0-8,1-2-112,4 0-64,33-11 216,-31 9-448,1-5-81,2 8-119,2-10-184,6 2-8,0-1-184,20-3 1024,-14 4-1177,1-2-103,3-2-48,5 0 48,-6 0 183,9 0 385,2 0 712,-4-1-456,1-2 256,0-1 152,2 0 0,1 1 32,0-1-16,0 4 32,0-3 0,2-1-8,2 0 16,0 2 8,4 1 0,-5 0 24,-3 1-40,2-2 24,0 2 16,-2 0-32,0 0 8,0 0 40,0 0-16,0 0-40,0 3 24,0-1 16,-1 2-8,-2-1 72,-7 8 64,7-8 56,3-3-224,-13 3 216,5 8-8,-5-9-24,0 8-8,0-8 97,1 8-25,12-10-248,-16 2 264,3 2 16,-2 6-24,-2-8 80,1 2-32,-1-1-8,17-3-296,-17 4 296,1 5-96,-1-9-8,-1 3-48,-2-1 8,1 0-48,19-2-104,-18 0 136,1 3 16,1-3-96,-4 0 80,1 0-80,0 0-32,19 0-24,-17 0 72,1-1-72,0-1 64,3 1 64,-2 0-88,2 0-8,13 1-32,-13-1 8,-1 0-72,0-1 72,-3 1 24,3 1-8,1 0-8,13 0-16,-15 0 0,2 0-24,-2 0-16,1 3 88,0-3-56,-2 2-8,16-2 16,-14 2 16,-2 1-48,0 0 72,1 1 32,0-1-24,-1 1-32,16-4-16,-15 4 8,0-1 16,-1 1-32,1-1 64,0 0-8,0 0-40,15-3-8,-15 3 88,-1-1-48,2 1 32,0-1 0,0-2-8,3 2 25,11-2-89,-11 0 96,0 0-32,2 0 96,0 0-32,-2-1-8,2-1 48,9 2-168,-9-4 80,4 1 0,-5-7-40,6 6 8,-6-6-40,7 5-8,3 5 0,-5-13-16,1 2-40,0 0-80,1-1-8,0-1-72,2 0-16,1 13 232,-1-13-200,1-2 7,0 1 17,2-1 40,2 1-8,0 0 0,-4 14 144,9-13-128,-5 1 8,8 0 0,-9 0 0,12 1 8,-5 0-16,-10 11 128,11-5-112,-2-6 48,4 8-40,-4-1 8,3 1 16,-1 1-40,-11 2 120,11-1-88,0 1 8,-1 0 8,0 3 24,-1 9 0,-5-9 16,-4-3 32,13 16-16,-11-2 0,8 1 8,-8 0-16,2 3 0,5 1-16,-9-19 40,0 21-56,2 1 24,0 0-32,-2 2 8,3 0-8,-3 1-16,0-25 80,0 26-64,0 1-8,0 0 0,-2 1 16,0 1 0,0 1 24,2-30 32,-3 30-16,2 0 0,-1 2 24,0 2-8,1-2 8,1-1 32,0-31-40,0 30 24,4-1 8,7-3 0,-2-1 0,5-2 56,1-1 48,-15-22-136,21 20 224,1-1 120,4-1 72,2-2 16,6-4 8,2-3-56,-36-9-384,42 4 320,1 0-32,4-1-47,3 0-57,4-3-32,3 0-64,-57 0-88,58-3 72,1-6-16,3 5-24,0-9-16,6 2-32,2-2 8,-70 13 8,73-16 8,2-2 16,3 2-56,1-2-104,2 0-320,0 0-737,-81 18 1193,81-18-1896,0 0 152,1 0 415,-1 0-1631,-81 18 2960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A49" zoomScale="130" zoomScaleNormal="100" zoomScaleSheetLayoutView="130" workbookViewId="0">
      <selection activeCell="F20" sqref="F2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5" t="s">
        <v>225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3">
      <c r="B2" s="12" t="s">
        <v>8</v>
      </c>
      <c r="C2" s="41" t="s">
        <v>41</v>
      </c>
      <c r="D2" s="41"/>
      <c r="E2" s="12" t="s">
        <v>7</v>
      </c>
      <c r="F2" s="36">
        <v>45944</v>
      </c>
      <c r="G2" s="36"/>
      <c r="H2" s="36"/>
      <c r="I2" s="36"/>
      <c r="J2" s="36"/>
    </row>
    <row r="3" spans="1:10" ht="30" customHeight="1" x14ac:dyDescent="0.3">
      <c r="B3" s="12" t="s">
        <v>9</v>
      </c>
      <c r="C3" s="41" t="s">
        <v>82</v>
      </c>
      <c r="D3" s="41"/>
      <c r="E3" s="12" t="s">
        <v>6</v>
      </c>
      <c r="F3" s="41" t="s">
        <v>92</v>
      </c>
      <c r="G3" s="41"/>
      <c r="H3" s="41"/>
      <c r="I3" s="41"/>
      <c r="J3" s="4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" customHeight="1" thickBot="1" x14ac:dyDescent="0.3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3">
      <c r="A8" s="10"/>
      <c r="B8" s="77" t="s">
        <v>180</v>
      </c>
      <c r="C8" s="78"/>
      <c r="D8" s="78"/>
      <c r="E8" s="78"/>
      <c r="F8" s="78"/>
      <c r="G8" s="78"/>
      <c r="H8" s="78"/>
      <c r="I8" s="78"/>
      <c r="J8" s="79"/>
    </row>
    <row r="9" spans="1:10" ht="39.9" customHeight="1" x14ac:dyDescent="0.3">
      <c r="A9" s="10"/>
      <c r="B9" s="67" t="s">
        <v>181</v>
      </c>
      <c r="C9" s="68"/>
      <c r="D9" s="68"/>
      <c r="E9" s="9"/>
      <c r="F9" s="26"/>
      <c r="G9" s="30"/>
      <c r="H9" s="31"/>
      <c r="I9" s="46"/>
      <c r="J9" s="47"/>
    </row>
    <row r="10" spans="1:10" ht="72" customHeight="1" x14ac:dyDescent="0.3">
      <c r="A10" s="10"/>
      <c r="B10" s="69" t="s">
        <v>182</v>
      </c>
      <c r="C10" s="70"/>
      <c r="D10" s="70"/>
      <c r="E10" s="9">
        <v>5</v>
      </c>
      <c r="F10" s="26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3">
      <c r="A11" s="10"/>
      <c r="B11" s="69" t="s">
        <v>183</v>
      </c>
      <c r="C11" s="70"/>
      <c r="D11" s="7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6"/>
      <c r="J11" s="47"/>
    </row>
    <row r="12" spans="1:10" ht="30" customHeight="1" x14ac:dyDescent="0.3">
      <c r="A12" s="10"/>
      <c r="B12" s="69" t="s">
        <v>184</v>
      </c>
      <c r="C12" s="70"/>
      <c r="D12" s="70"/>
      <c r="E12" s="9"/>
      <c r="F12" s="26"/>
      <c r="G12" s="30"/>
      <c r="H12" s="31"/>
      <c r="I12" s="46"/>
      <c r="J12" s="47"/>
    </row>
    <row r="13" spans="1:10" ht="75" customHeight="1" x14ac:dyDescent="0.3">
      <c r="A13" s="10"/>
      <c r="B13" s="75" t="s">
        <v>185</v>
      </c>
      <c r="C13" s="76"/>
      <c r="D13" s="7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6"/>
      <c r="J13" s="47"/>
    </row>
    <row r="14" spans="1:10" ht="39.9" customHeight="1" x14ac:dyDescent="0.3">
      <c r="A14" s="10"/>
      <c r="B14" s="75" t="s">
        <v>186</v>
      </c>
      <c r="C14" s="76"/>
      <c r="D14" s="76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6"/>
      <c r="J14" s="47"/>
    </row>
    <row r="15" spans="1:10" ht="62.25" customHeight="1" x14ac:dyDescent="0.3">
      <c r="A15" s="10"/>
      <c r="B15" s="75" t="s">
        <v>187</v>
      </c>
      <c r="C15" s="76"/>
      <c r="D15" s="76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6"/>
      <c r="J15" s="47"/>
    </row>
    <row r="16" spans="1:10" ht="39.9" customHeight="1" x14ac:dyDescent="0.3">
      <c r="A16" s="10"/>
      <c r="B16" s="75" t="s">
        <v>188</v>
      </c>
      <c r="C16" s="76"/>
      <c r="D16" s="76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6"/>
      <c r="J16" s="47"/>
    </row>
    <row r="17" spans="1:10" ht="39.9" customHeight="1" x14ac:dyDescent="0.3">
      <c r="A17" s="10"/>
      <c r="B17" s="75" t="s">
        <v>189</v>
      </c>
      <c r="C17" s="76"/>
      <c r="D17" s="76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6"/>
      <c r="J17" s="47"/>
    </row>
    <row r="18" spans="1:10" ht="62.25" customHeight="1" x14ac:dyDescent="0.3">
      <c r="A18" s="10"/>
      <c r="B18" s="69" t="s">
        <v>190</v>
      </c>
      <c r="C18" s="70"/>
      <c r="D18" s="7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6"/>
      <c r="J18" s="47"/>
    </row>
    <row r="19" spans="1:10" ht="39.9" customHeight="1" x14ac:dyDescent="0.3">
      <c r="A19" s="10"/>
      <c r="B19" s="69" t="s">
        <v>191</v>
      </c>
      <c r="C19" s="70"/>
      <c r="D19" s="70"/>
      <c r="E19" s="9"/>
      <c r="F19" s="26"/>
      <c r="G19" s="30"/>
      <c r="H19" s="31"/>
      <c r="I19" s="46"/>
      <c r="J19" s="47"/>
    </row>
    <row r="20" spans="1:10" ht="30" customHeight="1" x14ac:dyDescent="0.3">
      <c r="A20" s="10"/>
      <c r="B20" s="75" t="s">
        <v>192</v>
      </c>
      <c r="C20" s="76"/>
      <c r="D20" s="76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6"/>
      <c r="J20" s="47"/>
    </row>
    <row r="21" spans="1:10" ht="30" customHeight="1" x14ac:dyDescent="0.3">
      <c r="A21" s="10"/>
      <c r="B21" s="75" t="s">
        <v>193</v>
      </c>
      <c r="C21" s="76"/>
      <c r="D21" s="76"/>
      <c r="E21" s="9">
        <v>5</v>
      </c>
      <c r="F21" s="26">
        <v>2.75</v>
      </c>
      <c r="G21" s="30">
        <f t="shared" si="0"/>
        <v>0.55000000000000004</v>
      </c>
      <c r="H21" s="31" t="str">
        <f t="shared" si="1"/>
        <v>راسب</v>
      </c>
      <c r="I21" s="46"/>
      <c r="J21" s="47"/>
    </row>
    <row r="22" spans="1:10" ht="30" customHeight="1" x14ac:dyDescent="0.3">
      <c r="A22" s="10"/>
      <c r="B22" s="75" t="s">
        <v>194</v>
      </c>
      <c r="C22" s="76"/>
      <c r="D22" s="76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6"/>
      <c r="J22" s="47"/>
    </row>
    <row r="23" spans="1:10" ht="30" customHeight="1" thickBot="1" x14ac:dyDescent="0.35">
      <c r="A23" s="10"/>
      <c r="B23" s="80" t="s">
        <v>195</v>
      </c>
      <c r="C23" s="81"/>
      <c r="D23" s="81"/>
      <c r="E23" s="32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54"/>
      <c r="J23" s="55"/>
    </row>
    <row r="24" spans="1:10" ht="30" customHeight="1" x14ac:dyDescent="0.3">
      <c r="A24" s="10"/>
      <c r="B24" s="77" t="s">
        <v>196</v>
      </c>
      <c r="C24" s="78"/>
      <c r="D24" s="78"/>
      <c r="E24" s="78"/>
      <c r="F24" s="78"/>
      <c r="G24" s="78"/>
      <c r="H24" s="78"/>
      <c r="I24" s="78"/>
      <c r="J24" s="79"/>
    </row>
    <row r="25" spans="1:10" ht="30" customHeight="1" x14ac:dyDescent="0.3">
      <c r="A25" s="10"/>
      <c r="B25" s="67" t="s">
        <v>197</v>
      </c>
      <c r="C25" s="68"/>
      <c r="D25" s="68"/>
      <c r="E25" s="9"/>
      <c r="F25" s="26"/>
      <c r="G25" s="30"/>
      <c r="H25" s="31"/>
      <c r="I25" s="46"/>
      <c r="J25" s="47"/>
    </row>
    <row r="26" spans="1:10" ht="39.9" customHeight="1" x14ac:dyDescent="0.3">
      <c r="A26" s="10"/>
      <c r="B26" s="69" t="s">
        <v>198</v>
      </c>
      <c r="C26" s="70"/>
      <c r="D26" s="70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6"/>
      <c r="J26" s="47"/>
    </row>
    <row r="27" spans="1:10" ht="30" customHeight="1" x14ac:dyDescent="0.3">
      <c r="A27" s="10"/>
      <c r="B27" s="69" t="s">
        <v>199</v>
      </c>
      <c r="C27" s="70"/>
      <c r="D27" s="70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6"/>
      <c r="J27" s="47"/>
    </row>
    <row r="28" spans="1:10" ht="30" customHeight="1" x14ac:dyDescent="0.3">
      <c r="A28" s="10"/>
      <c r="B28" s="69" t="s">
        <v>200</v>
      </c>
      <c r="C28" s="70"/>
      <c r="D28" s="70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6"/>
      <c r="J28" s="47"/>
    </row>
    <row r="29" spans="1:10" ht="30" customHeight="1" x14ac:dyDescent="0.3">
      <c r="A29" s="10"/>
      <c r="B29" s="67" t="s">
        <v>201</v>
      </c>
      <c r="C29" s="68"/>
      <c r="D29" s="68"/>
      <c r="E29" s="9"/>
      <c r="F29" s="26"/>
      <c r="G29" s="30"/>
      <c r="H29" s="31"/>
      <c r="I29" s="46"/>
      <c r="J29" s="47"/>
    </row>
    <row r="30" spans="1:10" ht="30" customHeight="1" x14ac:dyDescent="0.3">
      <c r="A30" s="10"/>
      <c r="B30" s="69" t="s">
        <v>202</v>
      </c>
      <c r="C30" s="70"/>
      <c r="D30" s="7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0" customHeight="1" x14ac:dyDescent="0.3">
      <c r="A31" s="10"/>
      <c r="B31" s="69" t="s">
        <v>203</v>
      </c>
      <c r="C31" s="70"/>
      <c r="D31" s="7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6"/>
      <c r="J31" s="47"/>
    </row>
    <row r="32" spans="1:10" ht="30" customHeight="1" x14ac:dyDescent="0.3">
      <c r="A32" s="10"/>
      <c r="B32" s="69" t="s">
        <v>204</v>
      </c>
      <c r="C32" s="70"/>
      <c r="D32" s="7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6"/>
      <c r="J32" s="47"/>
    </row>
    <row r="33" spans="1:10" ht="30" customHeight="1" x14ac:dyDescent="0.3">
      <c r="A33" s="10"/>
      <c r="B33" s="69" t="s">
        <v>205</v>
      </c>
      <c r="C33" s="70"/>
      <c r="D33" s="70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6"/>
      <c r="J33" s="47"/>
    </row>
    <row r="34" spans="1:10" ht="30" customHeight="1" thickBot="1" x14ac:dyDescent="0.35">
      <c r="A34" s="10"/>
      <c r="B34" s="80" t="s">
        <v>206</v>
      </c>
      <c r="C34" s="81"/>
      <c r="D34" s="81"/>
      <c r="E34" s="32">
        <v>5</v>
      </c>
      <c r="F34" s="27">
        <v>3.75</v>
      </c>
      <c r="G34" s="33">
        <f t="shared" si="0"/>
        <v>0.75</v>
      </c>
      <c r="H34" s="34" t="str">
        <f t="shared" si="1"/>
        <v>جيد</v>
      </c>
      <c r="I34" s="54"/>
      <c r="J34" s="55"/>
    </row>
    <row r="35" spans="1:10" ht="30" customHeight="1" x14ac:dyDescent="0.3">
      <c r="A35" s="10"/>
      <c r="B35" s="77" t="s">
        <v>207</v>
      </c>
      <c r="C35" s="78"/>
      <c r="D35" s="78"/>
      <c r="E35" s="78"/>
      <c r="F35" s="78"/>
      <c r="G35" s="78"/>
      <c r="H35" s="78"/>
      <c r="I35" s="78"/>
      <c r="J35" s="79"/>
    </row>
    <row r="36" spans="1:10" ht="39.9" customHeight="1" x14ac:dyDescent="0.3">
      <c r="A36" s="10"/>
      <c r="B36" s="67" t="s">
        <v>208</v>
      </c>
      <c r="C36" s="68"/>
      <c r="D36" s="68"/>
      <c r="E36" s="9"/>
      <c r="F36" s="26"/>
      <c r="G36" s="30"/>
      <c r="H36" s="31"/>
      <c r="I36" s="46"/>
      <c r="J36" s="47"/>
    </row>
    <row r="37" spans="1:10" ht="39.9" customHeight="1" x14ac:dyDescent="0.3">
      <c r="A37" s="10"/>
      <c r="B37" s="69" t="s">
        <v>209</v>
      </c>
      <c r="C37" s="70"/>
      <c r="D37" s="70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6"/>
      <c r="J37" s="47"/>
    </row>
    <row r="38" spans="1:10" ht="39.9" customHeight="1" x14ac:dyDescent="0.3">
      <c r="A38" s="10"/>
      <c r="B38" s="69" t="s">
        <v>210</v>
      </c>
      <c r="C38" s="70"/>
      <c r="D38" s="70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6"/>
      <c r="J38" s="47"/>
    </row>
    <row r="39" spans="1:10" ht="30" customHeight="1" x14ac:dyDescent="0.3">
      <c r="A39" s="10"/>
      <c r="B39" s="69" t="s">
        <v>211</v>
      </c>
      <c r="C39" s="70"/>
      <c r="D39" s="70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6"/>
      <c r="J39" s="47"/>
    </row>
    <row r="40" spans="1:10" ht="30" customHeight="1" x14ac:dyDescent="0.3">
      <c r="A40" s="10"/>
      <c r="B40" s="69" t="s">
        <v>212</v>
      </c>
      <c r="C40" s="70"/>
      <c r="D40" s="70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6"/>
      <c r="J40" s="47"/>
    </row>
    <row r="41" spans="1:10" ht="39.9" customHeight="1" x14ac:dyDescent="0.3">
      <c r="A41" s="10"/>
      <c r="B41" s="67" t="s">
        <v>213</v>
      </c>
      <c r="C41" s="68"/>
      <c r="D41" s="68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6"/>
      <c r="J41" s="47"/>
    </row>
    <row r="42" spans="1:10" ht="30" customHeight="1" x14ac:dyDescent="0.3">
      <c r="A42" s="10"/>
      <c r="B42" s="67" t="s">
        <v>214</v>
      </c>
      <c r="C42" s="68"/>
      <c r="D42" s="68"/>
      <c r="E42" s="9"/>
      <c r="F42" s="26"/>
      <c r="G42" s="30"/>
      <c r="H42" s="31"/>
      <c r="I42" s="46"/>
      <c r="J42" s="47"/>
    </row>
    <row r="43" spans="1:10" ht="30" customHeight="1" x14ac:dyDescent="0.3">
      <c r="A43" s="10"/>
      <c r="B43" s="69" t="s">
        <v>215</v>
      </c>
      <c r="C43" s="70"/>
      <c r="D43" s="70"/>
      <c r="E43" s="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46"/>
      <c r="J43" s="47"/>
    </row>
    <row r="44" spans="1:10" ht="30" customHeight="1" x14ac:dyDescent="0.3">
      <c r="A44" s="10"/>
      <c r="B44" s="69" t="s">
        <v>216</v>
      </c>
      <c r="C44" s="70"/>
      <c r="D44" s="70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46"/>
      <c r="J44" s="47"/>
    </row>
    <row r="45" spans="1:10" ht="30" customHeight="1" x14ac:dyDescent="0.3">
      <c r="A45" s="10"/>
      <c r="B45" s="69" t="s">
        <v>217</v>
      </c>
      <c r="C45" s="70"/>
      <c r="D45" s="70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46"/>
      <c r="J45" s="47"/>
    </row>
    <row r="46" spans="1:10" ht="30" customHeight="1" x14ac:dyDescent="0.3">
      <c r="A46" s="10"/>
      <c r="B46" s="69" t="s">
        <v>218</v>
      </c>
      <c r="C46" s="70"/>
      <c r="D46" s="70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46"/>
      <c r="J46" s="47"/>
    </row>
    <row r="47" spans="1:10" ht="39.9" customHeight="1" x14ac:dyDescent="0.3">
      <c r="A47" s="10"/>
      <c r="B47" s="69" t="s">
        <v>219</v>
      </c>
      <c r="C47" s="70"/>
      <c r="D47" s="70"/>
      <c r="E47" s="9"/>
      <c r="F47" s="26"/>
      <c r="G47" s="30"/>
      <c r="H47" s="31"/>
      <c r="I47" s="46"/>
      <c r="J47" s="47"/>
    </row>
    <row r="48" spans="1:10" ht="39.9" customHeight="1" x14ac:dyDescent="0.3">
      <c r="A48" s="10"/>
      <c r="B48" s="75" t="s">
        <v>220</v>
      </c>
      <c r="C48" s="76"/>
      <c r="D48" s="76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6"/>
      <c r="J48" s="47"/>
    </row>
    <row r="49" spans="1:10" ht="60" customHeight="1" x14ac:dyDescent="0.3">
      <c r="A49" s="10"/>
      <c r="B49" s="75" t="s">
        <v>221</v>
      </c>
      <c r="C49" s="76"/>
      <c r="D49" s="76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6"/>
      <c r="J49" s="47"/>
    </row>
    <row r="50" spans="1:10" ht="39.9" customHeight="1" x14ac:dyDescent="0.3">
      <c r="A50" s="10"/>
      <c r="B50" s="75" t="s">
        <v>222</v>
      </c>
      <c r="C50" s="76"/>
      <c r="D50" s="76"/>
      <c r="E50" s="9">
        <v>5</v>
      </c>
      <c r="F50" s="26">
        <v>3.5</v>
      </c>
      <c r="G50" s="30">
        <f t="shared" si="0"/>
        <v>0.7</v>
      </c>
      <c r="H50" s="31" t="str">
        <f t="shared" si="1"/>
        <v>جيد</v>
      </c>
      <c r="I50" s="46"/>
      <c r="J50" s="47"/>
    </row>
    <row r="51" spans="1:10" ht="30" customHeight="1" x14ac:dyDescent="0.3">
      <c r="A51" s="10"/>
      <c r="B51" s="69" t="s">
        <v>223</v>
      </c>
      <c r="C51" s="70"/>
      <c r="D51" s="70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6"/>
      <c r="J51" s="47"/>
    </row>
    <row r="52" spans="1:10" ht="30" customHeight="1" thickBot="1" x14ac:dyDescent="0.35">
      <c r="A52" s="10"/>
      <c r="B52" s="80" t="s">
        <v>224</v>
      </c>
      <c r="C52" s="81"/>
      <c r="D52" s="81"/>
      <c r="E52" s="32">
        <v>5</v>
      </c>
      <c r="F52" s="27">
        <v>3.5</v>
      </c>
      <c r="G52" s="33">
        <f t="shared" si="0"/>
        <v>0.7</v>
      </c>
      <c r="H52" s="34" t="str">
        <f t="shared" si="1"/>
        <v>جيد</v>
      </c>
      <c r="I52" s="54"/>
      <c r="J52" s="55"/>
    </row>
    <row r="53" spans="1:10" ht="30" customHeight="1" thickBot="1" x14ac:dyDescent="0.35">
      <c r="A53" s="4"/>
      <c r="B53" s="71" t="s">
        <v>5</v>
      </c>
      <c r="C53" s="72"/>
      <c r="D53" s="72"/>
      <c r="E53" s="29">
        <f>SUM(E8:E52)</f>
        <v>170</v>
      </c>
      <c r="F53" s="29">
        <f>SUM(F8:F52)</f>
        <v>123.5</v>
      </c>
      <c r="G53" s="64"/>
      <c r="H53" s="65"/>
      <c r="I53" s="65"/>
      <c r="J53" s="66"/>
    </row>
    <row r="54" spans="1:10" ht="30" customHeight="1" thickBot="1" x14ac:dyDescent="0.35">
      <c r="A54" s="4"/>
      <c r="B54" s="73" t="s">
        <v>54</v>
      </c>
      <c r="C54" s="74"/>
      <c r="D54" s="74"/>
      <c r="E54" s="42">
        <f>F53/E53/100*100</f>
        <v>0.72647058823529409</v>
      </c>
      <c r="F54" s="42"/>
      <c r="G54" s="42"/>
      <c r="H54" s="42"/>
      <c r="I54" s="42"/>
      <c r="J54" s="43"/>
    </row>
    <row r="55" spans="1:10" ht="30" customHeight="1" thickBot="1" x14ac:dyDescent="0.35">
      <c r="A55" s="4"/>
      <c r="B55" s="73" t="s">
        <v>55</v>
      </c>
      <c r="C55" s="74"/>
      <c r="D55" s="74"/>
      <c r="E55" s="60" t="str">
        <f>_xlfn.IFS(E54&gt;=90%,"ممتاز",E54&gt;=80%,"جيد جداً",E54&gt;=70%,"جيد",E54&gt;=60%,"مقبول",E54&lt;60%,"راسب")</f>
        <v>جيد</v>
      </c>
      <c r="F55" s="60"/>
      <c r="G55" s="60"/>
      <c r="H55" s="60"/>
      <c r="I55" s="60"/>
      <c r="J55" s="61"/>
    </row>
    <row r="56" spans="1:10" ht="42" customHeight="1" x14ac:dyDescent="0.3">
      <c r="B56" s="56" t="s">
        <v>174</v>
      </c>
      <c r="C56" s="56"/>
      <c r="D56" s="56"/>
      <c r="E56" s="62" t="s">
        <v>52</v>
      </c>
      <c r="F56" s="62"/>
      <c r="G56" s="58" t="s">
        <v>92</v>
      </c>
      <c r="H56" s="58"/>
      <c r="I56" s="58"/>
      <c r="J56" s="58"/>
    </row>
    <row r="57" spans="1:10" ht="51" customHeight="1" x14ac:dyDescent="0.3">
      <c r="A57" s="5"/>
      <c r="B57" s="57"/>
      <c r="C57" s="57"/>
      <c r="D57" s="57"/>
      <c r="E57" s="63" t="s">
        <v>53</v>
      </c>
      <c r="F57" s="63"/>
      <c r="G57" s="59"/>
      <c r="H57" s="59"/>
      <c r="I57" s="59"/>
      <c r="J57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2025-10-15T17:22:45Z</dcterms:modified>
</cp:coreProperties>
</file>