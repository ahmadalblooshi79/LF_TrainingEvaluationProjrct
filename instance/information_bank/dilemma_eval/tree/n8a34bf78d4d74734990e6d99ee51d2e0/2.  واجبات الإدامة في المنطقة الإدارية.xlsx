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/>
  <bookViews>
    <workbookView xWindow="-105" yWindow="-105" windowWidth="23250" windowHeight="12570"/>
  </bookViews>
  <sheets>
    <sheet name="قائمة التقييم" sheetId="2" r:id="rId1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التقييم'!$A$1:$J$54</definedName>
    <definedName name="_xlnm.Print_Titles" localSheetId="0">'قائمة التقييم'!$7:$7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9" i="2" l="1"/>
  <c r="H9" i="2" s="1"/>
  <c r="G10" i="2" l="1"/>
  <c r="H10" i="2" s="1"/>
  <c r="G11" i="2"/>
  <c r="H11" i="2" s="1"/>
  <c r="G12" i="2"/>
  <c r="H12" i="2" s="1"/>
  <c r="G13" i="2"/>
  <c r="H13" i="2" s="1"/>
  <c r="G14" i="2"/>
  <c r="H14" i="2" s="1"/>
  <c r="G15" i="2"/>
  <c r="H15" i="2" s="1"/>
  <c r="G16" i="2"/>
  <c r="H16" i="2" s="1"/>
  <c r="G17" i="2"/>
  <c r="H17" i="2" s="1"/>
  <c r="G19" i="2"/>
  <c r="H19" i="2" s="1"/>
  <c r="G20" i="2"/>
  <c r="H20" i="2" s="1"/>
  <c r="G21" i="2"/>
  <c r="H21" i="2" s="1"/>
  <c r="G22" i="2"/>
  <c r="H22" i="2" s="1"/>
  <c r="G23" i="2"/>
  <c r="H23" i="2" s="1"/>
  <c r="G24" i="2"/>
  <c r="H24" i="2" s="1"/>
  <c r="G25" i="2"/>
  <c r="H25" i="2" s="1"/>
  <c r="G26" i="2"/>
  <c r="H26" i="2" s="1"/>
  <c r="G27" i="2"/>
  <c r="H27" i="2" s="1"/>
  <c r="G28" i="2"/>
  <c r="H28" i="2" s="1"/>
  <c r="G30" i="2"/>
  <c r="H30" i="2" s="1"/>
  <c r="G31" i="2"/>
  <c r="H31" i="2" s="1"/>
  <c r="G32" i="2"/>
  <c r="H32" i="2" s="1"/>
  <c r="G33" i="2"/>
  <c r="H33" i="2" s="1"/>
  <c r="G35" i="2"/>
  <c r="H35" i="2" s="1"/>
  <c r="G36" i="2"/>
  <c r="H36" i="2" s="1"/>
  <c r="G37" i="2"/>
  <c r="H37" i="2" s="1"/>
  <c r="G38" i="2"/>
  <c r="H38" i="2" s="1"/>
  <c r="G39" i="2"/>
  <c r="H39" i="2" s="1"/>
  <c r="G40" i="2"/>
  <c r="H40" i="2" s="1"/>
  <c r="G41" i="2"/>
  <c r="H41" i="2" s="1"/>
  <c r="G42" i="2"/>
  <c r="H42" i="2" s="1"/>
  <c r="G44" i="2"/>
  <c r="H44" i="2" s="1"/>
  <c r="G45" i="2"/>
  <c r="H45" i="2" s="1"/>
  <c r="G46" i="2"/>
  <c r="H46" i="2" s="1"/>
  <c r="G47" i="2"/>
  <c r="H47" i="2" s="1"/>
  <c r="G48" i="2"/>
  <c r="H48" i="2" s="1"/>
  <c r="G49" i="2"/>
  <c r="H49" i="2" s="1"/>
  <c r="F50" i="2" l="1"/>
  <c r="E50" i="2" l="1"/>
  <c r="E51" i="2" l="1"/>
  <c r="E52" i="2" s="1"/>
</calcChain>
</file>

<file path=xl/sharedStrings.xml><?xml version="1.0" encoding="utf-8"?>
<sst xmlns="http://schemas.openxmlformats.org/spreadsheetml/2006/main" count="108" uniqueCount="71">
  <si>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</si>
  <si>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</si>
  <si>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</si>
  <si>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</si>
  <si>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</si>
  <si>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</si>
  <si>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</si>
  <si>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</si>
  <si>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</si>
  <si>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</si>
  <si>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</si>
  <si>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</si>
  <si>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</si>
  <si>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</si>
  <si>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</si>
  <si>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</si>
  <si>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</si>
  <si>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</si>
  <si>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</si>
  <si>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</si>
  <si>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</si>
  <si>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</si>
  <si>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</si>
  <si>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</si>
  <si>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أدخل اسم المحكم</t>
  </si>
  <si>
    <t>أدخل اسم قائد الوحدة الخاضعة للتقييم</t>
  </si>
  <si>
    <t>أدخل العلامة</t>
  </si>
  <si>
    <r>
      <t>ملاحظـــات</t>
    </r>
    <r>
      <rPr>
        <b/>
        <sz val="14"/>
        <color rgb="FF000000"/>
        <rFont val="Arial"/>
        <family val="2"/>
      </rPr>
      <t xml:space="preserve">: 
</t>
    </r>
    <r>
      <rPr>
        <sz val="14"/>
        <color rgb="FF000000"/>
        <rFont val="Arial"/>
        <family val="2"/>
      </rPr>
      <t>1. يعتبر هذا النموذج (سري للغاية) بعد إدخال علامات التقييم.
2. نموذج التقييم قابل للتطوير والتعديل.</t>
    </r>
  </si>
  <si>
    <r>
      <t>1.</t>
    </r>
    <r>
      <rPr>
        <sz val="7"/>
        <color rgb="FF000000"/>
        <rFont val="Times New Roman"/>
        <family val="1"/>
      </rPr>
      <t xml:space="preserve">        </t>
    </r>
    <r>
      <rPr>
        <b/>
        <u/>
        <sz val="12"/>
        <color rgb="FF000000"/>
        <rFont val="Arial"/>
        <family val="2"/>
      </rPr>
      <t>قائد كتيبة الإسناد الإداري (قائد المنطقة الإدارية).</t>
    </r>
  </si>
  <si>
    <t>أ. تفهم قصد قائد مجموعة اللواء.</t>
  </si>
  <si>
    <t xml:space="preserve">ب. رفع موقف الإدامة والتواصي لقائد مجموعة اللواء أول بأول. </t>
  </si>
  <si>
    <t>جـ. تخطيط وتنسيق وتوجيه كافة إمدادات الإسناد المباشر لمجموعة اللواء.</t>
  </si>
  <si>
    <t xml:space="preserve">د. توضيع جميع الوحدات في المنطقة الإدارية بشكل يوفر الإسناد المتبادل بينها. </t>
  </si>
  <si>
    <t>هـ. تأمين وتنسيق السيطرة على الأضرار في المنطقة.</t>
  </si>
  <si>
    <t>و. الإشراف على كافة العمليات التي تنفذ داخل المنطقة الإدارية.</t>
  </si>
  <si>
    <t>ز. الإشراف على عمل الوحدات المرؤوسة وهيئات ركنها.</t>
  </si>
  <si>
    <t>ح. التأكد من وصول الإمداد إلى مجموعة اللواء بما فيها المنطقة الإدارية.</t>
  </si>
  <si>
    <t>ط. الإشراف على إدارة شؤون الأفراد في المنطقة الإدارية.</t>
  </si>
  <si>
    <r>
      <t>2.</t>
    </r>
    <r>
      <rPr>
        <sz val="7"/>
        <color rgb="FF000000"/>
        <rFont val="Times New Roman"/>
        <family val="1"/>
      </rPr>
      <t xml:space="preserve">        </t>
    </r>
    <r>
      <rPr>
        <b/>
        <u/>
        <sz val="12"/>
        <color rgb="FF000000"/>
        <rFont val="Arial"/>
        <family val="2"/>
      </rPr>
      <t>ركن إمداد كتيبة الإسناد الإداري.</t>
    </r>
  </si>
  <si>
    <t>أ. تنسيق الحركات الإدارية للتشكيل.</t>
  </si>
  <si>
    <t>ب. وضع السياسات والخطط والإجراءات والبرامج الخاصة بإدارة واستخدام التزويد والصيانة.</t>
  </si>
  <si>
    <t>جـ. وضع السياسات والخطط والإجراءات والبرامج الخاصة بتأسيس وصيانة مستويات التموين وقوائم المخزون بما يتماشى مع السياسات الموضوعة من القيادة الأعلى.</t>
  </si>
  <si>
    <t>د. تحديد متطلبات الصيانة والتموين.</t>
  </si>
  <si>
    <t>هـ. الإشراف على عمليات التزويد والصيانة في كتيبة الإسناد الإداري.</t>
  </si>
  <si>
    <t>و. إعادة توزيع موارد التزويد والصيانة ضمن كتيبة الإسناد الإداري.</t>
  </si>
  <si>
    <t>ز. التأكد من أن برامج الصيانة المطبقة تدعم احتياجات المهمة.</t>
  </si>
  <si>
    <t>ح. تقديم المشورة لقائد كتيبة الإسناد وهيئة ركنه ومساعدة قادة الوحدات المُسندة والمرؤوسة في أمور التزويد والصيانة.</t>
  </si>
  <si>
    <t>ط. المحافظة على اتصال دائم بالوحدات المسانِدة والمُسندة.</t>
  </si>
  <si>
    <t>ي. وضع تقديرات الإمداد ودراسة الاحتياجات.</t>
  </si>
  <si>
    <r>
      <t>3.</t>
    </r>
    <r>
      <rPr>
        <sz val="7"/>
        <color rgb="FF000000"/>
        <rFont val="Times New Roman"/>
        <family val="1"/>
      </rPr>
      <t xml:space="preserve">        </t>
    </r>
    <r>
      <rPr>
        <b/>
        <u/>
        <sz val="12"/>
        <color rgb="FF000000"/>
        <rFont val="Arial"/>
        <family val="2"/>
      </rPr>
      <t>ركن الإدارة في كتيبة الإسناد.</t>
    </r>
  </si>
  <si>
    <t>أ. تقديم المشورة لقائد المنطقة الإدارية حول الأمور الإدارية والأفراد.</t>
  </si>
  <si>
    <t>ب. تنسيق أعمال إسناد خدمات الأفراد من حيث حصر القوة والإبلاغ عن الإصابات والقيام بعمليات التعويض لمجموعة اللواء.</t>
  </si>
  <si>
    <t>جـ. إعداد معلومات ملحق شؤون الأفراد المتعلقة في الأوامر.</t>
  </si>
  <si>
    <t>د. متابعة معلومات الإسناد الطبي والوفيات والنقل وأسرى الحرب بعناية.</t>
  </si>
  <si>
    <r>
      <t>4.</t>
    </r>
    <r>
      <rPr>
        <sz val="7"/>
        <color rgb="FF000000"/>
        <rFont val="Times New Roman"/>
        <family val="1"/>
      </rPr>
      <t xml:space="preserve">        </t>
    </r>
    <r>
      <rPr>
        <b/>
        <u/>
        <sz val="12"/>
        <color rgb="FF000000"/>
        <rFont val="Arial"/>
        <family val="2"/>
      </rPr>
      <t>ركن عمليات كتيبة الإسناد الإداري.</t>
    </r>
  </si>
  <si>
    <t>أ. إبقاء قائد كتيبة الإسناد على اطلاع وتقديم المشورة له فيما يخص جميع معلومات التحضير الاستخباري لميدان المعركة.</t>
  </si>
  <si>
    <t>ب. الإشراف على أدوار كتيبة الإسناد الإداري غير الإدارية (المصنفة على أنها ليست أدوار إمداد أو أفراد أو إدارة).</t>
  </si>
  <si>
    <t>جـ. إدامة موقف القوات الصديقة وقوات العدو.</t>
  </si>
  <si>
    <t>د. تجهيز دليل التخطيط والخطط العملياتية.</t>
  </si>
  <si>
    <t>هـ. تجهيز واعتماد وإصدار خطط وأوامر الإدارة/ الإمداد وخطط وأوامر العمليات، والإشراف على تنفيذها.</t>
  </si>
  <si>
    <t>و. ممارسة الرقابة على جميع أنشطة الأمن العملياتي.</t>
  </si>
  <si>
    <t>ز. وضع وتطوير ومراجعة خطط حماية المنطقة الخلفية لكتيبة الإسناد في مجموعة اللواء والوحدات الواقعة في المنطقة الإدارية.</t>
  </si>
  <si>
    <t>ح. وضع وتطوير الخطط والمتطلبات لدراسة طبيعة الأرض، وعمل الخرائط والمخططات لمساعدة وحدات الإدامة المرؤوسة.</t>
  </si>
  <si>
    <r>
      <t>5.</t>
    </r>
    <r>
      <rPr>
        <sz val="7"/>
        <color rgb="FF000000"/>
        <rFont val="Times New Roman"/>
        <family val="1"/>
      </rPr>
      <t xml:space="preserve">        </t>
    </r>
    <r>
      <rPr>
        <b/>
        <u/>
        <sz val="12"/>
        <color rgb="FF000000"/>
        <rFont val="Arial"/>
        <family val="2"/>
      </rPr>
      <t>ضابط الإشارة في المنطقة الإدارية.</t>
    </r>
  </si>
  <si>
    <t>أ. الإشراف على إدارة المعلومات وشبكات الاتصال للمنطقة الإدارية.</t>
  </si>
  <si>
    <t>ب. الإشراف الفني على فعاليات أنشطة الإشارة.</t>
  </si>
  <si>
    <t>جـ. الإشراف الفني على كافة معدات الاتصالات.</t>
  </si>
  <si>
    <t>د. تنسيق الإسناد مع سرية الإشارة لإدامة الاتصال مع القيادات الأعلى.</t>
  </si>
  <si>
    <t>هـ. إعداد وتطوير وتنسيق خطط إسناد الإشارة.</t>
  </si>
  <si>
    <t>و. التأكد من توفر وسائل بديلة للاتصال من أجل إدامة شبكة الاتصال.</t>
  </si>
  <si>
    <t>تقييم واجبات الإدامة في المنطقة الإدارية - العمليات التعرضية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</si>
</sst>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10C0000]d\ mmmm\ yyyy;@"/>
  </numFmts>
  <fonts count="11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4"/>
      <color rgb="FF000000"/>
      <name val="Arial"/>
      <family val="2"/>
    </font>
    <font>
      <sz val="12"/>
      <color rgb="FF000000"/>
      <name val="Arial"/>
      <family val="2"/>
    </font>
    <font>
      <sz val="7"/>
      <color rgb="FF000000"/>
      <name val="Times New Roman"/>
      <family val="1"/>
    </font>
    <font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22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5" fillId="0" borderId="0" xfId="0" applyFont="1" applyAlignment="1" applyProtection="1">
      <alignment vertical="center" wrapText="1" readingOrder="2"/>
      <protection locked="0"/>
    </xf>
    <xf numFmtId="0" fontId="5" fillId="0" borderId="0" xfId="0" applyFont="1" applyAlignment="1" applyProtection="1">
      <alignment horizontal="right" vertical="center" wrapText="1" readingOrder="2"/>
      <protection locked="0"/>
    </xf>
    <xf numFmtId="0" fontId="5" fillId="0" borderId="0" xfId="0" applyFont="1" applyAlignment="1" applyProtection="1">
      <alignment horizontal="center" vertical="center" wrapText="1" readingOrder="2"/>
      <protection locked="0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5" fillId="3" borderId="11" xfId="0" applyFont="1" applyFill="1" applyBorder="1" applyAlignment="1" applyProtection="1">
      <alignment horizontal="center" vertical="center" wrapText="1" readingOrder="2"/>
      <protection locked="0"/>
    </xf>
    <xf numFmtId="0" fontId="5" fillId="3" borderId="2" xfId="0" applyFont="1" applyFill="1" applyBorder="1" applyAlignment="1" applyProtection="1">
      <alignment vertical="center" wrapText="1" readingOrder="2"/>
      <protection locked="0"/>
    </xf>
    <xf numFmtId="0" fontId="3" fillId="0" borderId="2" xfId="0" applyFont="1" applyBorder="1" applyAlignment="1" applyProtection="1">
      <alignment horizontal="center" vertical="center" wrapText="1" readingOrder="2"/>
      <protection locked="0"/>
    </xf>
    <xf numFmtId="0" fontId="3" fillId="0" borderId="11" xfId="0" applyFont="1" applyBorder="1" applyAlignment="1" applyProtection="1">
      <alignment horizontal="center" vertical="center" wrapText="1" readingOrder="2"/>
      <protection locked="0"/>
    </xf>
    <xf numFmtId="0" fontId="5" fillId="3" borderId="14" xfId="0" applyFont="1" applyFill="1" applyBorder="1" applyAlignment="1" applyProtection="1">
      <alignment horizontal="center" vertical="center" wrapText="1" readingOrder="2"/>
      <protection locked="0"/>
    </xf>
    <xf numFmtId="0" fontId="2" fillId="0" borderId="17" xfId="0" applyFont="1" applyBorder="1" applyAlignment="1">
      <alignment horizontal="center" vertical="center" wrapText="1" readingOrder="2"/>
    </xf>
    <xf numFmtId="0" fontId="3" fillId="0" borderId="2" xfId="0" applyFont="1" applyBorder="1" applyAlignment="1">
      <alignment horizontal="center" vertical="center" wrapText="1" readingOrder="2"/>
    </xf>
    <xf numFmtId="9" fontId="3" fillId="0" borderId="2" xfId="0" applyNumberFormat="1" applyFont="1" applyBorder="1" applyAlignment="1">
      <alignment horizontal="center" vertical="center" wrapText="1" readingOrder="2"/>
    </xf>
    <xf numFmtId="0" fontId="2" fillId="0" borderId="2" xfId="0" applyFont="1" applyBorder="1" applyAlignment="1">
      <alignment horizontal="center" vertical="center" wrapText="1" readingOrder="1"/>
    </xf>
    <xf numFmtId="0" fontId="3" fillId="0" borderId="3" xfId="0" applyFont="1" applyBorder="1" applyAlignment="1">
      <alignment horizontal="center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3" fillId="0" borderId="11" xfId="0" applyFont="1" applyBorder="1" applyAlignment="1">
      <alignment horizontal="center" vertical="center" wrapText="1" readingOrder="2"/>
    </xf>
    <xf numFmtId="9" fontId="3" fillId="0" borderId="11" xfId="0" applyNumberFormat="1" applyFont="1" applyBorder="1" applyAlignment="1">
      <alignment horizontal="center" vertical="center" wrapText="1" readingOrder="2"/>
    </xf>
    <xf numFmtId="0" fontId="2" fillId="0" borderId="11" xfId="0" applyFont="1" applyBorder="1" applyAlignment="1">
      <alignment horizontal="center" vertical="center" wrapText="1" readingOrder="1"/>
    </xf>
    <xf numFmtId="0" fontId="2" fillId="0" borderId="3" xfId="0" applyFont="1" applyBorder="1" applyAlignment="1">
      <alignment horizontal="center" vertical="center" wrapText="1" readingOrder="2"/>
    </xf>
    <xf numFmtId="0" fontId="3" fillId="0" borderId="3" xfId="0" applyFont="1" applyBorder="1" applyAlignment="1">
      <alignment horizontal="center" vertical="center" wrapText="1"/>
    </xf>
    <xf numFmtId="0" fontId="3" fillId="0" borderId="3" xfId="0" applyFont="1" applyBorder="1" applyAlignment="1" applyProtection="1">
      <alignment horizontal="center" vertical="center" wrapText="1"/>
      <protection locked="0"/>
    </xf>
    <xf numFmtId="9" fontId="3" fillId="0" borderId="3" xfId="0" applyNumberFormat="1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Border="1" applyAlignment="1" applyProtection="1">
      <alignment horizontal="center" vertical="center" wrapText="1"/>
      <protection locked="0"/>
    </xf>
    <xf numFmtId="9" fontId="3" fillId="0" borderId="2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1" xfId="0" applyFont="1" applyBorder="1" applyAlignment="1" applyProtection="1">
      <alignment horizontal="center" vertical="center" wrapText="1"/>
      <protection locked="0"/>
    </xf>
    <xf numFmtId="9" fontId="3" fillId="0" borderId="11" xfId="0" applyNumberFormat="1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10" fillId="0" borderId="21" xfId="0" applyFont="1" applyBorder="1" applyAlignment="1">
      <alignment horizontal="right" vertical="center" wrapText="1" indent="2" readingOrder="2"/>
    </xf>
    <xf numFmtId="0" fontId="10" fillId="0" borderId="2" xfId="0" applyFont="1" applyBorder="1" applyAlignment="1">
      <alignment horizontal="right" vertical="center" wrapText="1" indent="2" readingOrder="2"/>
    </xf>
    <xf numFmtId="0" fontId="10" fillId="0" borderId="10" xfId="0" applyFont="1" applyBorder="1" applyAlignment="1">
      <alignment horizontal="right" vertical="center" wrapText="1" indent="2" readingOrder="2"/>
    </xf>
    <xf numFmtId="0" fontId="10" fillId="0" borderId="11" xfId="0" applyFont="1" applyBorder="1" applyAlignment="1">
      <alignment horizontal="right" vertical="center" wrapText="1" indent="2" readingOrder="2"/>
    </xf>
    <xf numFmtId="0" fontId="8" fillId="0" borderId="4" xfId="0" applyFont="1" applyBorder="1" applyAlignment="1">
      <alignment horizontal="right" vertical="center" wrapText="1" readingOrder="2"/>
    </xf>
    <xf numFmtId="0" fontId="8" fillId="0" borderId="3" xfId="0" applyFont="1" applyBorder="1" applyAlignment="1">
      <alignment horizontal="right" vertical="center" wrapText="1" readingOrder="2"/>
    </xf>
    <xf numFmtId="0" fontId="10" fillId="0" borderId="10" xfId="0" applyFont="1" applyBorder="1" applyAlignment="1">
      <alignment horizontal="right" vertical="center" wrapText="1" indent="2"/>
    </xf>
    <xf numFmtId="0" fontId="10" fillId="0" borderId="11" xfId="0" applyFont="1" applyBorder="1" applyAlignment="1">
      <alignment horizontal="right" vertical="center" wrapText="1" indent="2"/>
    </xf>
    <xf numFmtId="0" fontId="10" fillId="0" borderId="21" xfId="0" applyFont="1" applyBorder="1" applyAlignment="1">
      <alignment horizontal="right" vertical="center" wrapText="1" indent="2"/>
    </xf>
    <xf numFmtId="0" fontId="10" fillId="0" borderId="2" xfId="0" applyFont="1" applyBorder="1" applyAlignment="1">
      <alignment horizontal="right" vertical="center" wrapText="1" indent="2"/>
    </xf>
    <xf numFmtId="0" fontId="3" fillId="0" borderId="2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3" fillId="0" borderId="11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5" xfId="0" applyFont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/>
      <protection locked="0"/>
    </xf>
    <xf numFmtId="0" fontId="3" fillId="0" borderId="5" xfId="0" applyFont="1" applyBorder="1" applyAlignment="1" applyProtection="1">
      <alignment horizontal="center" vertical="center" wrapText="1"/>
      <protection locked="0"/>
    </xf>
    <xf numFmtId="0" fontId="5" fillId="3" borderId="16" xfId="0" applyFont="1" applyFill="1" applyBorder="1" applyAlignment="1" applyProtection="1">
      <alignment horizontal="center" vertical="center" wrapText="1" readingOrder="2"/>
      <protection locked="0"/>
    </xf>
    <xf numFmtId="0" fontId="5" fillId="3" borderId="17" xfId="0" applyFont="1" applyFill="1" applyBorder="1" applyAlignment="1" applyProtection="1">
      <alignment horizontal="center" vertical="center" wrapText="1" readingOrder="2"/>
      <protection locked="0"/>
    </xf>
    <xf numFmtId="0" fontId="5" fillId="3" borderId="7" xfId="0" applyFont="1" applyFill="1" applyBorder="1" applyAlignment="1" applyProtection="1">
      <alignment horizontal="center" vertical="center" wrapText="1" readingOrder="2"/>
      <protection locked="0"/>
    </xf>
    <xf numFmtId="0" fontId="5" fillId="3" borderId="8" xfId="0" applyFont="1" applyFill="1" applyBorder="1" applyAlignment="1" applyProtection="1">
      <alignment horizontal="center" vertical="center" wrapText="1" readingOrder="2"/>
      <protection locked="0"/>
    </xf>
    <xf numFmtId="0" fontId="3" fillId="0" borderId="2" xfId="0" applyFont="1" applyBorder="1" applyAlignment="1" applyProtection="1">
      <alignment horizontal="center" vertical="center" wrapText="1"/>
      <protection locked="0"/>
    </xf>
    <xf numFmtId="0" fontId="3" fillId="0" borderId="6" xfId="0" applyFont="1" applyBorder="1" applyAlignment="1" applyProtection="1">
      <alignment horizontal="center" vertical="center" wrapText="1"/>
      <protection locked="0"/>
    </xf>
    <xf numFmtId="0" fontId="3" fillId="0" borderId="11" xfId="0" applyFont="1" applyBorder="1" applyAlignment="1" applyProtection="1">
      <alignment horizontal="center" vertical="center" wrapText="1"/>
      <protection locked="0"/>
    </xf>
    <xf numFmtId="0" fontId="3" fillId="0" borderId="12" xfId="0" applyFont="1" applyBorder="1" applyAlignment="1" applyProtection="1">
      <alignment horizontal="center" vertical="center" wrapText="1"/>
      <protection locked="0"/>
    </xf>
    <xf numFmtId="0" fontId="4" fillId="0" borderId="1" xfId="0" applyFont="1" applyBorder="1" applyAlignment="1" applyProtection="1">
      <alignment vertical="top" wrapText="1" readingOrder="2"/>
      <protection locked="0"/>
    </xf>
    <xf numFmtId="0" fontId="4" fillId="0" borderId="0" xfId="0" applyFont="1" applyBorder="1" applyAlignment="1" applyProtection="1">
      <alignment vertical="top" wrapText="1" readingOrder="2"/>
      <protection locked="0"/>
    </xf>
    <xf numFmtId="0" fontId="5" fillId="0" borderId="0" xfId="0" applyFont="1" applyBorder="1" applyAlignment="1" applyProtection="1">
      <alignment horizontal="right" vertical="center" wrapText="1" readingOrder="2"/>
      <protection locked="0"/>
    </xf>
    <xf numFmtId="0" fontId="5" fillId="0" borderId="0" xfId="0" applyFont="1" applyAlignment="1" applyProtection="1">
      <alignment horizontal="center" vertical="center" wrapText="1" readingOrder="2"/>
      <protection locked="0"/>
    </xf>
    <xf numFmtId="0" fontId="2" fillId="0" borderId="8" xfId="0" applyFont="1" applyBorder="1" applyAlignment="1">
      <alignment horizontal="center" vertical="center" wrapText="1" readingOrder="1"/>
    </xf>
    <xf numFmtId="0" fontId="2" fillId="0" borderId="9" xfId="0" applyFont="1" applyBorder="1" applyAlignment="1">
      <alignment horizontal="center" vertical="center" wrapText="1" readingOrder="1"/>
    </xf>
    <xf numFmtId="164" fontId="5" fillId="0" borderId="2" xfId="0" applyNumberFormat="1" applyFont="1" applyBorder="1" applyAlignment="1" applyProtection="1">
      <alignment horizontal="right" vertical="center" wrapText="1" readingOrder="2"/>
      <protection locked="0"/>
    </xf>
    <xf numFmtId="0" fontId="6" fillId="3" borderId="4" xfId="0" applyFont="1" applyFill="1" applyBorder="1" applyAlignment="1" applyProtection="1">
      <alignment horizontal="center" vertical="center" wrapText="1" readingOrder="2"/>
      <protection locked="0"/>
    </xf>
    <xf numFmtId="0" fontId="6" fillId="3" borderId="3" xfId="0" applyFont="1" applyFill="1" applyBorder="1" applyAlignment="1" applyProtection="1">
      <alignment horizontal="center" vertical="center" wrapText="1" readingOrder="2"/>
      <protection locked="0"/>
    </xf>
    <xf numFmtId="0" fontId="6" fillId="3" borderId="10" xfId="0" applyFont="1" applyFill="1" applyBorder="1" applyAlignment="1" applyProtection="1">
      <alignment horizontal="center" vertical="center" wrapText="1" readingOrder="2"/>
      <protection locked="0"/>
    </xf>
    <xf numFmtId="0" fontId="6" fillId="3" borderId="11" xfId="0" applyFont="1" applyFill="1" applyBorder="1" applyAlignment="1" applyProtection="1">
      <alignment horizontal="center" vertical="center" wrapText="1" readingOrder="2"/>
      <protection locked="0"/>
    </xf>
    <xf numFmtId="0" fontId="5" fillId="0" borderId="2" xfId="0" applyFont="1" applyBorder="1" applyAlignment="1" applyProtection="1">
      <alignment horizontal="right" vertical="center" wrapText="1" readingOrder="2"/>
      <protection locked="0"/>
    </xf>
    <xf numFmtId="10" fontId="2" fillId="0" borderId="8" xfId="0" applyNumberFormat="1" applyFont="1" applyBorder="1" applyAlignment="1">
      <alignment horizontal="center" vertical="center" wrapText="1" readingOrder="2"/>
    </xf>
    <xf numFmtId="10" fontId="2" fillId="0" borderId="9" xfId="0" applyNumberFormat="1" applyFont="1" applyBorder="1" applyAlignment="1">
      <alignment horizontal="center" vertical="center" wrapText="1" readingOrder="2"/>
    </xf>
    <xf numFmtId="0" fontId="6" fillId="3" borderId="13" xfId="0" applyFont="1" applyFill="1" applyBorder="1" applyAlignment="1" applyProtection="1">
      <alignment horizontal="center" vertical="center" wrapText="1" readingOrder="2"/>
      <protection locked="0"/>
    </xf>
    <xf numFmtId="0" fontId="6" fillId="3" borderId="14" xfId="0" applyFont="1" applyFill="1" applyBorder="1" applyAlignment="1" applyProtection="1">
      <alignment horizontal="center" vertical="center" wrapText="1" readingOrder="2"/>
      <protection locked="0"/>
    </xf>
    <xf numFmtId="0" fontId="5" fillId="3" borderId="3" xfId="0" applyFont="1" applyFill="1" applyBorder="1" applyAlignment="1" applyProtection="1">
      <alignment horizontal="center" vertical="center" wrapText="1" readingOrder="2"/>
      <protection locked="0"/>
    </xf>
    <xf numFmtId="0" fontId="5" fillId="3" borderId="5" xfId="0" applyFont="1" applyFill="1" applyBorder="1" applyAlignment="1" applyProtection="1">
      <alignment horizontal="center" vertical="center" wrapText="1" readingOrder="2"/>
      <protection locked="0"/>
    </xf>
    <xf numFmtId="0" fontId="5" fillId="3" borderId="11" xfId="0" applyFont="1" applyFill="1" applyBorder="1" applyAlignment="1" applyProtection="1">
      <alignment horizontal="center" vertical="center" wrapText="1" readingOrder="2"/>
      <protection locked="0"/>
    </xf>
    <xf numFmtId="0" fontId="5" fillId="3" borderId="12" xfId="0" applyFont="1" applyFill="1" applyBorder="1" applyAlignment="1" applyProtection="1">
      <alignment horizontal="center" vertical="center" wrapText="1" readingOrder="2"/>
      <protection locked="0"/>
    </xf>
    <xf numFmtId="0" fontId="5" fillId="3" borderId="14" xfId="0" applyFont="1" applyFill="1" applyBorder="1" applyAlignment="1" applyProtection="1">
      <alignment horizontal="center" vertical="center" wrapText="1" readingOrder="2"/>
      <protection locked="0"/>
    </xf>
    <xf numFmtId="0" fontId="5" fillId="3" borderId="15" xfId="0" applyFont="1" applyFill="1" applyBorder="1" applyAlignment="1" applyProtection="1">
      <alignment horizontal="center" vertical="center" wrapText="1" readingOrder="2"/>
      <protection locked="0"/>
    </xf>
    <xf numFmtId="0" fontId="5" fillId="0" borderId="1" xfId="0" applyFont="1" applyBorder="1" applyAlignment="1" applyProtection="1">
      <alignment horizontal="left" vertical="center" wrapText="1" readingOrder="2"/>
      <protection locked="0"/>
    </xf>
    <xf numFmtId="0" fontId="5" fillId="0" borderId="0" xfId="0" applyFont="1" applyAlignment="1" applyProtection="1">
      <alignment horizontal="left" vertical="center" wrapText="1" readingOrder="2"/>
      <protection locked="0"/>
    </xf>
    <xf numFmtId="0" fontId="2" fillId="0" borderId="18" xfId="0" applyFont="1" applyBorder="1" applyAlignment="1">
      <alignment horizontal="center" vertical="center" wrapText="1" readingOrder="2"/>
    </xf>
    <xf numFmtId="0" fontId="2" fillId="0" borderId="19" xfId="0" applyFont="1" applyBorder="1" applyAlignment="1">
      <alignment horizontal="center" vertical="center" wrapText="1" readingOrder="2"/>
    </xf>
    <xf numFmtId="0" fontId="2" fillId="0" borderId="20" xfId="0" applyFont="1" applyBorder="1" applyAlignment="1">
      <alignment horizontal="center" vertical="center" wrapText="1" readingOrder="2"/>
    </xf>
    <xf numFmtId="49" fontId="4" fillId="0" borderId="0" xfId="0" applyNumberFormat="1" applyFont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24"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J54"/>
  <sheetViews>
    <sheetView rightToLeft="1" tabSelected="1" view="pageBreakPreview" zoomScale="130" zoomScaleNormal="100" zoomScaleSheetLayoutView="130" workbookViewId="0">
      <selection activeCell="B1" sqref="B1:J1"/>
    </sheetView>
  </sheetViews>
  <sheetFormatPr defaultColWidth="9" defaultRowHeight="15" x14ac:dyDescent="0.25"/>
  <cols>
    <col min="1" max="1" width="5.140625" style="1" customWidth="1"/>
    <col min="2" max="2" width="12.140625" style="1" customWidth="1"/>
    <col min="3" max="3" width="9" style="1"/>
    <col min="4" max="4" width="28.140625" style="1" customWidth="1"/>
    <col min="5" max="7" width="9.28515625" style="1" customWidth="1"/>
    <col min="8" max="8" width="9.28515625" style="2" customWidth="1"/>
    <col min="9" max="9" width="9.28515625" style="1" customWidth="1"/>
    <col min="10" max="10" width="15.42578125" style="1" customWidth="1"/>
    <col min="11" max="16384" width="9" style="1"/>
  </cols>
  <sheetData>
    <row r="1" spans="1:10" ht="45" customHeight="1" x14ac:dyDescent="0.25">
      <c r="B1" s="91" t="s">
        <v>70</v>
      </c>
      <c r="C1" s="91"/>
      <c r="D1" s="91"/>
      <c r="E1" s="91"/>
      <c r="F1" s="91"/>
      <c r="G1" s="91"/>
      <c r="H1" s="91"/>
      <c r="I1" s="91"/>
      <c r="J1" s="91"/>
    </row>
    <row r="2" spans="1:10" ht="30" customHeight="1" x14ac:dyDescent="0.25">
      <c r="B2" s="10" t="s">
        <v>8</v>
      </c>
      <c r="C2" s="75" t="s">
        <v>23</v>
      </c>
      <c r="D2" s="75"/>
      <c r="E2" s="10" t="s">
        <v>7</v>
      </c>
      <c r="F2" s="70" t="s">
        <v>22</v>
      </c>
      <c r="G2" s="70"/>
      <c r="H2" s="70"/>
      <c r="I2" s="70"/>
      <c r="J2" s="70"/>
    </row>
    <row r="3" spans="1:10" ht="30" customHeight="1" x14ac:dyDescent="0.25">
      <c r="B3" s="10" t="s">
        <v>9</v>
      </c>
      <c r="C3" s="75" t="s">
        <v>25</v>
      </c>
      <c r="D3" s="75"/>
      <c r="E3" s="10" t="s">
        <v>6</v>
      </c>
      <c r="F3" s="75" t="s">
        <v>24</v>
      </c>
      <c r="G3" s="75"/>
      <c r="H3" s="75"/>
      <c r="I3" s="75"/>
      <c r="J3" s="75"/>
    </row>
    <row r="4" spans="1:10" ht="30" customHeight="1" thickBot="1" x14ac:dyDescent="0.3">
      <c r="B4" s="5"/>
      <c r="C4" s="6"/>
      <c r="D4" s="6"/>
      <c r="E4" s="5"/>
      <c r="F4" s="6"/>
      <c r="G4" s="6"/>
      <c r="H4" s="7"/>
      <c r="I4" s="6"/>
      <c r="J4" s="6"/>
    </row>
    <row r="5" spans="1:10" ht="24.95" customHeight="1" x14ac:dyDescent="0.25">
      <c r="A5" s="8"/>
      <c r="B5" s="71" t="s">
        <v>0</v>
      </c>
      <c r="C5" s="72"/>
      <c r="D5" s="72"/>
      <c r="E5" s="80" t="s">
        <v>1</v>
      </c>
      <c r="F5" s="80"/>
      <c r="G5" s="80"/>
      <c r="H5" s="80"/>
      <c r="I5" s="80" t="s">
        <v>2</v>
      </c>
      <c r="J5" s="81"/>
    </row>
    <row r="6" spans="1:10" ht="24.95" customHeight="1" thickBot="1" x14ac:dyDescent="0.3">
      <c r="A6" s="8"/>
      <c r="B6" s="73"/>
      <c r="C6" s="74"/>
      <c r="D6" s="74"/>
      <c r="E6" s="9" t="s">
        <v>3</v>
      </c>
      <c r="F6" s="9" t="s">
        <v>4</v>
      </c>
      <c r="G6" s="9" t="s">
        <v>15</v>
      </c>
      <c r="H6" s="9" t="s">
        <v>16</v>
      </c>
      <c r="I6" s="82"/>
      <c r="J6" s="83"/>
    </row>
    <row r="7" spans="1:10" ht="24.95" customHeight="1" thickBot="1" x14ac:dyDescent="0.3">
      <c r="A7" s="8"/>
      <c r="B7" s="78" t="s">
        <v>13</v>
      </c>
      <c r="C7" s="79"/>
      <c r="D7" s="79"/>
      <c r="E7" s="13" t="s">
        <v>10</v>
      </c>
      <c r="F7" s="13" t="s">
        <v>11</v>
      </c>
      <c r="G7" s="13" t="s">
        <v>14</v>
      </c>
      <c r="H7" s="13" t="s">
        <v>12</v>
      </c>
      <c r="I7" s="84" t="s">
        <v>17</v>
      </c>
      <c r="J7" s="85"/>
    </row>
    <row r="8" spans="1:10" ht="39.950000000000003" customHeight="1" x14ac:dyDescent="0.25">
      <c r="A8" s="8"/>
      <c r="B8" s="42" t="s">
        <v>28</v>
      </c>
      <c r="C8" s="43"/>
      <c r="D8" s="43"/>
      <c r="E8" s="26"/>
      <c r="F8" s="27"/>
      <c r="G8" s="28"/>
      <c r="H8" s="29"/>
      <c r="I8" s="54"/>
      <c r="J8" s="55"/>
    </row>
    <row r="9" spans="1:10" ht="39.950000000000003" customHeight="1" x14ac:dyDescent="0.25">
      <c r="A9" s="8"/>
      <c r="B9" s="46" t="s">
        <v>29</v>
      </c>
      <c r="C9" s="47"/>
      <c r="D9" s="47"/>
      <c r="E9" s="30">
        <v>5</v>
      </c>
      <c r="F9" s="31" t="s">
        <v>26</v>
      </c>
      <c r="G9" s="32" t="str">
        <f>IFERROR(F9/E9,"")</f>
        <v/>
      </c>
      <c r="H9" s="33" t="str">
        <f>_xlfn.IFS(F9="أدخل العلامة","",F9="لا ينطبق","تم الإلغاء",G9&gt;=90%,"ممتاز",G9&gt;=80%,"جيد جداً",G9&gt;=70%,"جيد",G9&gt;=60%,"مقبول",G9&lt;60%,"راسب")</f>
        <v/>
      </c>
      <c r="I9" s="60"/>
      <c r="J9" s="61"/>
    </row>
    <row r="10" spans="1:10" ht="39.950000000000003" customHeight="1" x14ac:dyDescent="0.25">
      <c r="A10" s="8"/>
      <c r="B10" s="46" t="s">
        <v>30</v>
      </c>
      <c r="C10" s="47"/>
      <c r="D10" s="47"/>
      <c r="E10" s="30">
        <v>5</v>
      </c>
      <c r="F10" s="31" t="s">
        <v>26</v>
      </c>
      <c r="G10" s="32" t="str">
        <f t="shared" ref="G10:G49" si="0">IFERROR(F10/E10,"")</f>
        <v/>
      </c>
      <c r="H10" s="33" t="str">
        <f t="shared" ref="H10:H49" si="1">_xlfn.IFS(F10="أدخل العلامة","",F10="لا ينطبق","تم الإلغاء",G10&gt;=90%,"ممتاز",G10&gt;=80%,"جيد جداً",G10&gt;=70%,"جيد",G10&gt;=60%,"مقبول",G10&lt;60%,"راسب")</f>
        <v/>
      </c>
      <c r="I10" s="60"/>
      <c r="J10" s="61"/>
    </row>
    <row r="11" spans="1:10" ht="39.950000000000003" customHeight="1" x14ac:dyDescent="0.25">
      <c r="A11" s="8"/>
      <c r="B11" s="46" t="s">
        <v>31</v>
      </c>
      <c r="C11" s="47"/>
      <c r="D11" s="47"/>
      <c r="E11" s="30">
        <v>5</v>
      </c>
      <c r="F11" s="31" t="s">
        <v>26</v>
      </c>
      <c r="G11" s="32" t="str">
        <f t="shared" si="0"/>
        <v/>
      </c>
      <c r="H11" s="33" t="str">
        <f t="shared" si="1"/>
        <v/>
      </c>
      <c r="I11" s="60"/>
      <c r="J11" s="61"/>
    </row>
    <row r="12" spans="1:10" ht="39.950000000000003" customHeight="1" x14ac:dyDescent="0.25">
      <c r="A12" s="8"/>
      <c r="B12" s="46" t="s">
        <v>32</v>
      </c>
      <c r="C12" s="47"/>
      <c r="D12" s="47"/>
      <c r="E12" s="30">
        <v>5</v>
      </c>
      <c r="F12" s="31" t="s">
        <v>26</v>
      </c>
      <c r="G12" s="32" t="str">
        <f t="shared" si="0"/>
        <v/>
      </c>
      <c r="H12" s="33" t="str">
        <f t="shared" si="1"/>
        <v/>
      </c>
      <c r="I12" s="60"/>
      <c r="J12" s="61"/>
    </row>
    <row r="13" spans="1:10" ht="39.950000000000003" customHeight="1" x14ac:dyDescent="0.25">
      <c r="A13" s="8"/>
      <c r="B13" s="46" t="s">
        <v>33</v>
      </c>
      <c r="C13" s="47"/>
      <c r="D13" s="47"/>
      <c r="E13" s="30">
        <v>5</v>
      </c>
      <c r="F13" s="31" t="s">
        <v>26</v>
      </c>
      <c r="G13" s="32" t="str">
        <f t="shared" si="0"/>
        <v/>
      </c>
      <c r="H13" s="33" t="str">
        <f t="shared" si="1"/>
        <v/>
      </c>
      <c r="I13" s="60"/>
      <c r="J13" s="61"/>
    </row>
    <row r="14" spans="1:10" ht="39.950000000000003" customHeight="1" x14ac:dyDescent="0.25">
      <c r="A14" s="8"/>
      <c r="B14" s="46" t="s">
        <v>34</v>
      </c>
      <c r="C14" s="47"/>
      <c r="D14" s="47"/>
      <c r="E14" s="30">
        <v>5</v>
      </c>
      <c r="F14" s="31" t="s">
        <v>26</v>
      </c>
      <c r="G14" s="32" t="str">
        <f t="shared" si="0"/>
        <v/>
      </c>
      <c r="H14" s="33" t="str">
        <f t="shared" si="1"/>
        <v/>
      </c>
      <c r="I14" s="60"/>
      <c r="J14" s="61"/>
    </row>
    <row r="15" spans="1:10" ht="39.950000000000003" customHeight="1" x14ac:dyDescent="0.25">
      <c r="A15" s="8"/>
      <c r="B15" s="46" t="s">
        <v>35</v>
      </c>
      <c r="C15" s="47"/>
      <c r="D15" s="47"/>
      <c r="E15" s="30">
        <v>5</v>
      </c>
      <c r="F15" s="31" t="s">
        <v>26</v>
      </c>
      <c r="G15" s="32" t="str">
        <f t="shared" si="0"/>
        <v/>
      </c>
      <c r="H15" s="33" t="str">
        <f t="shared" si="1"/>
        <v/>
      </c>
      <c r="I15" s="60"/>
      <c r="J15" s="61"/>
    </row>
    <row r="16" spans="1:10" ht="39.950000000000003" customHeight="1" x14ac:dyDescent="0.25">
      <c r="A16" s="8"/>
      <c r="B16" s="46" t="s">
        <v>36</v>
      </c>
      <c r="C16" s="47"/>
      <c r="D16" s="47"/>
      <c r="E16" s="30">
        <v>5</v>
      </c>
      <c r="F16" s="31" t="s">
        <v>26</v>
      </c>
      <c r="G16" s="32" t="str">
        <f t="shared" si="0"/>
        <v/>
      </c>
      <c r="H16" s="33" t="str">
        <f t="shared" si="1"/>
        <v/>
      </c>
      <c r="I16" s="60"/>
      <c r="J16" s="61"/>
    </row>
    <row r="17" spans="1:10" ht="39.950000000000003" customHeight="1" thickBot="1" x14ac:dyDescent="0.3">
      <c r="A17" s="8"/>
      <c r="B17" s="44" t="s">
        <v>37</v>
      </c>
      <c r="C17" s="45"/>
      <c r="D17" s="45"/>
      <c r="E17" s="34">
        <v>5</v>
      </c>
      <c r="F17" s="35" t="s">
        <v>26</v>
      </c>
      <c r="G17" s="36" t="str">
        <f t="shared" si="0"/>
        <v/>
      </c>
      <c r="H17" s="37" t="str">
        <f t="shared" si="1"/>
        <v/>
      </c>
      <c r="I17" s="62"/>
      <c r="J17" s="63"/>
    </row>
    <row r="18" spans="1:10" ht="39.950000000000003" customHeight="1" x14ac:dyDescent="0.25">
      <c r="A18" s="8"/>
      <c r="B18" s="42" t="s">
        <v>38</v>
      </c>
      <c r="C18" s="43"/>
      <c r="D18" s="43"/>
      <c r="E18" s="25"/>
      <c r="F18" s="19"/>
      <c r="G18" s="20"/>
      <c r="H18" s="21"/>
      <c r="I18" s="52"/>
      <c r="J18" s="53"/>
    </row>
    <row r="19" spans="1:10" ht="39.950000000000003" customHeight="1" x14ac:dyDescent="0.25">
      <c r="A19" s="8"/>
      <c r="B19" s="38" t="s">
        <v>39</v>
      </c>
      <c r="C19" s="39"/>
      <c r="D19" s="39"/>
      <c r="E19" s="15">
        <v>5</v>
      </c>
      <c r="F19" s="11" t="s">
        <v>26</v>
      </c>
      <c r="G19" s="16" t="str">
        <f t="shared" si="0"/>
        <v/>
      </c>
      <c r="H19" s="17" t="str">
        <f t="shared" si="1"/>
        <v/>
      </c>
      <c r="I19" s="48"/>
      <c r="J19" s="49"/>
    </row>
    <row r="20" spans="1:10" ht="39.950000000000003" customHeight="1" x14ac:dyDescent="0.25">
      <c r="A20" s="8"/>
      <c r="B20" s="38" t="s">
        <v>40</v>
      </c>
      <c r="C20" s="39"/>
      <c r="D20" s="39"/>
      <c r="E20" s="15">
        <v>5</v>
      </c>
      <c r="F20" s="11" t="s">
        <v>26</v>
      </c>
      <c r="G20" s="16" t="str">
        <f t="shared" si="0"/>
        <v/>
      </c>
      <c r="H20" s="17" t="str">
        <f t="shared" si="1"/>
        <v/>
      </c>
      <c r="I20" s="48"/>
      <c r="J20" s="49"/>
    </row>
    <row r="21" spans="1:10" ht="50.1" customHeight="1" x14ac:dyDescent="0.25">
      <c r="A21" s="8"/>
      <c r="B21" s="38" t="s">
        <v>41</v>
      </c>
      <c r="C21" s="39"/>
      <c r="D21" s="39"/>
      <c r="E21" s="15">
        <v>5</v>
      </c>
      <c r="F21" s="11" t="s">
        <v>26</v>
      </c>
      <c r="G21" s="16" t="str">
        <f t="shared" si="0"/>
        <v/>
      </c>
      <c r="H21" s="17" t="str">
        <f t="shared" si="1"/>
        <v/>
      </c>
      <c r="I21" s="48"/>
      <c r="J21" s="49"/>
    </row>
    <row r="22" spans="1:10" ht="39.950000000000003" customHeight="1" x14ac:dyDescent="0.25">
      <c r="A22" s="8"/>
      <c r="B22" s="38" t="s">
        <v>42</v>
      </c>
      <c r="C22" s="39"/>
      <c r="D22" s="39"/>
      <c r="E22" s="15">
        <v>5</v>
      </c>
      <c r="F22" s="11" t="s">
        <v>26</v>
      </c>
      <c r="G22" s="16" t="str">
        <f t="shared" si="0"/>
        <v/>
      </c>
      <c r="H22" s="17" t="str">
        <f t="shared" si="1"/>
        <v/>
      </c>
      <c r="I22" s="48"/>
      <c r="J22" s="49"/>
    </row>
    <row r="23" spans="1:10" ht="39.950000000000003" customHeight="1" x14ac:dyDescent="0.25">
      <c r="A23" s="8"/>
      <c r="B23" s="38" t="s">
        <v>43</v>
      </c>
      <c r="C23" s="39"/>
      <c r="D23" s="39"/>
      <c r="E23" s="15">
        <v>5</v>
      </c>
      <c r="F23" s="11" t="s">
        <v>26</v>
      </c>
      <c r="G23" s="16" t="str">
        <f t="shared" si="0"/>
        <v/>
      </c>
      <c r="H23" s="17" t="str">
        <f t="shared" si="1"/>
        <v/>
      </c>
      <c r="I23" s="48"/>
      <c r="J23" s="49"/>
    </row>
    <row r="24" spans="1:10" ht="39.950000000000003" customHeight="1" x14ac:dyDescent="0.25">
      <c r="A24" s="8"/>
      <c r="B24" s="38" t="s">
        <v>44</v>
      </c>
      <c r="C24" s="39"/>
      <c r="D24" s="39"/>
      <c r="E24" s="15">
        <v>5</v>
      </c>
      <c r="F24" s="11" t="s">
        <v>26</v>
      </c>
      <c r="G24" s="16" t="str">
        <f t="shared" si="0"/>
        <v/>
      </c>
      <c r="H24" s="17" t="str">
        <f t="shared" si="1"/>
        <v/>
      </c>
      <c r="I24" s="48"/>
      <c r="J24" s="49"/>
    </row>
    <row r="25" spans="1:10" ht="39.950000000000003" customHeight="1" x14ac:dyDescent="0.25">
      <c r="A25" s="8"/>
      <c r="B25" s="38" t="s">
        <v>45</v>
      </c>
      <c r="C25" s="39"/>
      <c r="D25" s="39"/>
      <c r="E25" s="15">
        <v>5</v>
      </c>
      <c r="F25" s="11" t="s">
        <v>26</v>
      </c>
      <c r="G25" s="16" t="str">
        <f t="shared" si="0"/>
        <v/>
      </c>
      <c r="H25" s="17" t="str">
        <f t="shared" si="1"/>
        <v/>
      </c>
      <c r="I25" s="48"/>
      <c r="J25" s="49"/>
    </row>
    <row r="26" spans="1:10" ht="39.950000000000003" customHeight="1" x14ac:dyDescent="0.25">
      <c r="A26" s="8"/>
      <c r="B26" s="38" t="s">
        <v>46</v>
      </c>
      <c r="C26" s="39"/>
      <c r="D26" s="39"/>
      <c r="E26" s="15">
        <v>5</v>
      </c>
      <c r="F26" s="11" t="s">
        <v>26</v>
      </c>
      <c r="G26" s="16" t="str">
        <f t="shared" si="0"/>
        <v/>
      </c>
      <c r="H26" s="17" t="str">
        <f t="shared" si="1"/>
        <v/>
      </c>
      <c r="I26" s="48"/>
      <c r="J26" s="49"/>
    </row>
    <row r="27" spans="1:10" ht="39.950000000000003" customHeight="1" x14ac:dyDescent="0.25">
      <c r="A27" s="8"/>
      <c r="B27" s="38" t="s">
        <v>47</v>
      </c>
      <c r="C27" s="39"/>
      <c r="D27" s="39"/>
      <c r="E27" s="15">
        <v>5</v>
      </c>
      <c r="F27" s="11" t="s">
        <v>26</v>
      </c>
      <c r="G27" s="16" t="str">
        <f t="shared" si="0"/>
        <v/>
      </c>
      <c r="H27" s="17" t="str">
        <f t="shared" si="1"/>
        <v/>
      </c>
      <c r="I27" s="48"/>
      <c r="J27" s="49"/>
    </row>
    <row r="28" spans="1:10" ht="39.950000000000003" customHeight="1" thickBot="1" x14ac:dyDescent="0.3">
      <c r="A28" s="8"/>
      <c r="B28" s="40" t="s">
        <v>48</v>
      </c>
      <c r="C28" s="41"/>
      <c r="D28" s="41"/>
      <c r="E28" s="22">
        <v>5</v>
      </c>
      <c r="F28" s="12" t="s">
        <v>26</v>
      </c>
      <c r="G28" s="23" t="str">
        <f t="shared" si="0"/>
        <v/>
      </c>
      <c r="H28" s="24" t="str">
        <f t="shared" si="1"/>
        <v/>
      </c>
      <c r="I28" s="50"/>
      <c r="J28" s="51"/>
    </row>
    <row r="29" spans="1:10" ht="39.950000000000003" customHeight="1" x14ac:dyDescent="0.25">
      <c r="A29" s="8"/>
      <c r="B29" s="42" t="s">
        <v>49</v>
      </c>
      <c r="C29" s="43"/>
      <c r="D29" s="43"/>
      <c r="E29" s="25"/>
      <c r="F29" s="19"/>
      <c r="G29" s="20"/>
      <c r="H29" s="21"/>
      <c r="I29" s="52"/>
      <c r="J29" s="53"/>
    </row>
    <row r="30" spans="1:10" ht="39.950000000000003" customHeight="1" x14ac:dyDescent="0.25">
      <c r="A30" s="8"/>
      <c r="B30" s="38" t="s">
        <v>50</v>
      </c>
      <c r="C30" s="39"/>
      <c r="D30" s="39"/>
      <c r="E30" s="15">
        <v>5</v>
      </c>
      <c r="F30" s="11" t="s">
        <v>26</v>
      </c>
      <c r="G30" s="16" t="str">
        <f t="shared" si="0"/>
        <v/>
      </c>
      <c r="H30" s="17" t="str">
        <f t="shared" si="1"/>
        <v/>
      </c>
      <c r="I30" s="48"/>
      <c r="J30" s="49"/>
    </row>
    <row r="31" spans="1:10" ht="39.950000000000003" customHeight="1" x14ac:dyDescent="0.25">
      <c r="A31" s="8"/>
      <c r="B31" s="38" t="s">
        <v>51</v>
      </c>
      <c r="C31" s="39"/>
      <c r="D31" s="39"/>
      <c r="E31" s="15">
        <v>5</v>
      </c>
      <c r="F31" s="11" t="s">
        <v>26</v>
      </c>
      <c r="G31" s="16" t="str">
        <f t="shared" si="0"/>
        <v/>
      </c>
      <c r="H31" s="17" t="str">
        <f t="shared" si="1"/>
        <v/>
      </c>
      <c r="I31" s="48"/>
      <c r="J31" s="49"/>
    </row>
    <row r="32" spans="1:10" ht="39.950000000000003" customHeight="1" x14ac:dyDescent="0.25">
      <c r="A32" s="8"/>
      <c r="B32" s="38" t="s">
        <v>52</v>
      </c>
      <c r="C32" s="39"/>
      <c r="D32" s="39"/>
      <c r="E32" s="15">
        <v>5</v>
      </c>
      <c r="F32" s="11" t="s">
        <v>26</v>
      </c>
      <c r="G32" s="16" t="str">
        <f t="shared" si="0"/>
        <v/>
      </c>
      <c r="H32" s="17" t="str">
        <f t="shared" si="1"/>
        <v/>
      </c>
      <c r="I32" s="48"/>
      <c r="J32" s="49"/>
    </row>
    <row r="33" spans="1:10" ht="39.950000000000003" customHeight="1" thickBot="1" x14ac:dyDescent="0.3">
      <c r="A33" s="8"/>
      <c r="B33" s="40" t="s">
        <v>53</v>
      </c>
      <c r="C33" s="41"/>
      <c r="D33" s="41"/>
      <c r="E33" s="22">
        <v>5</v>
      </c>
      <c r="F33" s="12" t="s">
        <v>26</v>
      </c>
      <c r="G33" s="23" t="str">
        <f t="shared" si="0"/>
        <v/>
      </c>
      <c r="H33" s="24" t="str">
        <f t="shared" si="1"/>
        <v/>
      </c>
      <c r="I33" s="50"/>
      <c r="J33" s="51"/>
    </row>
    <row r="34" spans="1:10" ht="39.950000000000003" customHeight="1" x14ac:dyDescent="0.25">
      <c r="A34" s="8"/>
      <c r="B34" s="42" t="s">
        <v>54</v>
      </c>
      <c r="C34" s="43"/>
      <c r="D34" s="43"/>
      <c r="E34" s="18"/>
      <c r="F34" s="19"/>
      <c r="G34" s="20"/>
      <c r="H34" s="21"/>
      <c r="I34" s="52"/>
      <c r="J34" s="53"/>
    </row>
    <row r="35" spans="1:10" ht="39.950000000000003" customHeight="1" x14ac:dyDescent="0.25">
      <c r="A35" s="8"/>
      <c r="B35" s="38" t="s">
        <v>55</v>
      </c>
      <c r="C35" s="39"/>
      <c r="D35" s="39"/>
      <c r="E35" s="15">
        <v>5</v>
      </c>
      <c r="F35" s="11" t="s">
        <v>26</v>
      </c>
      <c r="G35" s="16" t="str">
        <f t="shared" si="0"/>
        <v/>
      </c>
      <c r="H35" s="17" t="str">
        <f t="shared" si="1"/>
        <v/>
      </c>
      <c r="I35" s="48"/>
      <c r="J35" s="49"/>
    </row>
    <row r="36" spans="1:10" ht="39.950000000000003" customHeight="1" x14ac:dyDescent="0.25">
      <c r="A36" s="8"/>
      <c r="B36" s="38" t="s">
        <v>56</v>
      </c>
      <c r="C36" s="39"/>
      <c r="D36" s="39"/>
      <c r="E36" s="15">
        <v>5</v>
      </c>
      <c r="F36" s="11" t="s">
        <v>26</v>
      </c>
      <c r="G36" s="16" t="str">
        <f t="shared" si="0"/>
        <v/>
      </c>
      <c r="H36" s="17" t="str">
        <f t="shared" si="1"/>
        <v/>
      </c>
      <c r="I36" s="48"/>
      <c r="J36" s="49"/>
    </row>
    <row r="37" spans="1:10" ht="39.950000000000003" customHeight="1" x14ac:dyDescent="0.25">
      <c r="A37" s="8"/>
      <c r="B37" s="38" t="s">
        <v>57</v>
      </c>
      <c r="C37" s="39"/>
      <c r="D37" s="39"/>
      <c r="E37" s="15">
        <v>5</v>
      </c>
      <c r="F37" s="11" t="s">
        <v>26</v>
      </c>
      <c r="G37" s="16" t="str">
        <f t="shared" si="0"/>
        <v/>
      </c>
      <c r="H37" s="17" t="str">
        <f t="shared" si="1"/>
        <v/>
      </c>
      <c r="I37" s="48"/>
      <c r="J37" s="49"/>
    </row>
    <row r="38" spans="1:10" ht="39.950000000000003" customHeight="1" x14ac:dyDescent="0.25">
      <c r="A38" s="8"/>
      <c r="B38" s="38" t="s">
        <v>58</v>
      </c>
      <c r="C38" s="39"/>
      <c r="D38" s="39"/>
      <c r="E38" s="15">
        <v>5</v>
      </c>
      <c r="F38" s="11" t="s">
        <v>26</v>
      </c>
      <c r="G38" s="16" t="str">
        <f t="shared" si="0"/>
        <v/>
      </c>
      <c r="H38" s="17" t="str">
        <f t="shared" si="1"/>
        <v/>
      </c>
      <c r="I38" s="48"/>
      <c r="J38" s="49"/>
    </row>
    <row r="39" spans="1:10" ht="39.950000000000003" customHeight="1" x14ac:dyDescent="0.25">
      <c r="A39" s="8"/>
      <c r="B39" s="38" t="s">
        <v>59</v>
      </c>
      <c r="C39" s="39"/>
      <c r="D39" s="39"/>
      <c r="E39" s="15">
        <v>5</v>
      </c>
      <c r="F39" s="11" t="s">
        <v>26</v>
      </c>
      <c r="G39" s="16" t="str">
        <f t="shared" si="0"/>
        <v/>
      </c>
      <c r="H39" s="17" t="str">
        <f t="shared" si="1"/>
        <v/>
      </c>
      <c r="I39" s="48"/>
      <c r="J39" s="49"/>
    </row>
    <row r="40" spans="1:10" ht="39.950000000000003" customHeight="1" x14ac:dyDescent="0.25">
      <c r="A40" s="8"/>
      <c r="B40" s="38" t="s">
        <v>60</v>
      </c>
      <c r="C40" s="39"/>
      <c r="D40" s="39"/>
      <c r="E40" s="15">
        <v>5</v>
      </c>
      <c r="F40" s="11" t="s">
        <v>26</v>
      </c>
      <c r="G40" s="16" t="str">
        <f t="shared" si="0"/>
        <v/>
      </c>
      <c r="H40" s="17" t="str">
        <f t="shared" si="1"/>
        <v/>
      </c>
      <c r="I40" s="48"/>
      <c r="J40" s="49"/>
    </row>
    <row r="41" spans="1:10" ht="39.950000000000003" customHeight="1" x14ac:dyDescent="0.25">
      <c r="A41" s="8"/>
      <c r="B41" s="38" t="s">
        <v>61</v>
      </c>
      <c r="C41" s="39"/>
      <c r="D41" s="39"/>
      <c r="E41" s="15">
        <v>5</v>
      </c>
      <c r="F41" s="11" t="s">
        <v>26</v>
      </c>
      <c r="G41" s="16" t="str">
        <f t="shared" si="0"/>
        <v/>
      </c>
      <c r="H41" s="17" t="str">
        <f t="shared" si="1"/>
        <v/>
      </c>
      <c r="I41" s="48"/>
      <c r="J41" s="49"/>
    </row>
    <row r="42" spans="1:10" ht="39.950000000000003" customHeight="1" thickBot="1" x14ac:dyDescent="0.3">
      <c r="A42" s="8"/>
      <c r="B42" s="40" t="s">
        <v>62</v>
      </c>
      <c r="C42" s="41"/>
      <c r="D42" s="41"/>
      <c r="E42" s="22">
        <v>5</v>
      </c>
      <c r="F42" s="12" t="s">
        <v>26</v>
      </c>
      <c r="G42" s="23" t="str">
        <f t="shared" si="0"/>
        <v/>
      </c>
      <c r="H42" s="24" t="str">
        <f t="shared" si="1"/>
        <v/>
      </c>
      <c r="I42" s="50"/>
      <c r="J42" s="51"/>
    </row>
    <row r="43" spans="1:10" ht="39.950000000000003" customHeight="1" x14ac:dyDescent="0.25">
      <c r="A43" s="8"/>
      <c r="B43" s="42" t="s">
        <v>63</v>
      </c>
      <c r="C43" s="43"/>
      <c r="D43" s="43"/>
      <c r="E43" s="25"/>
      <c r="F43" s="19"/>
      <c r="G43" s="20"/>
      <c r="H43" s="21"/>
      <c r="I43" s="52"/>
      <c r="J43" s="53"/>
    </row>
    <row r="44" spans="1:10" ht="39.950000000000003" customHeight="1" x14ac:dyDescent="0.25">
      <c r="A44" s="8"/>
      <c r="B44" s="38" t="s">
        <v>64</v>
      </c>
      <c r="C44" s="39"/>
      <c r="D44" s="39"/>
      <c r="E44" s="15">
        <v>5</v>
      </c>
      <c r="F44" s="11" t="s">
        <v>26</v>
      </c>
      <c r="G44" s="16" t="str">
        <f t="shared" si="0"/>
        <v/>
      </c>
      <c r="H44" s="17" t="str">
        <f t="shared" si="1"/>
        <v/>
      </c>
      <c r="I44" s="48"/>
      <c r="J44" s="49"/>
    </row>
    <row r="45" spans="1:10" ht="39.950000000000003" customHeight="1" x14ac:dyDescent="0.25">
      <c r="A45" s="8"/>
      <c r="B45" s="38" t="s">
        <v>65</v>
      </c>
      <c r="C45" s="39"/>
      <c r="D45" s="39"/>
      <c r="E45" s="15">
        <v>5</v>
      </c>
      <c r="F45" s="11" t="s">
        <v>26</v>
      </c>
      <c r="G45" s="16" t="str">
        <f t="shared" si="0"/>
        <v/>
      </c>
      <c r="H45" s="17" t="str">
        <f t="shared" si="1"/>
        <v/>
      </c>
      <c r="I45" s="48"/>
      <c r="J45" s="49"/>
    </row>
    <row r="46" spans="1:10" ht="39.950000000000003" customHeight="1" x14ac:dyDescent="0.25">
      <c r="A46" s="8"/>
      <c r="B46" s="38" t="s">
        <v>66</v>
      </c>
      <c r="C46" s="39"/>
      <c r="D46" s="39"/>
      <c r="E46" s="15">
        <v>5</v>
      </c>
      <c r="F46" s="11" t="s">
        <v>26</v>
      </c>
      <c r="G46" s="16" t="str">
        <f t="shared" si="0"/>
        <v/>
      </c>
      <c r="H46" s="17" t="str">
        <f t="shared" si="1"/>
        <v/>
      </c>
      <c r="I46" s="48"/>
      <c r="J46" s="49"/>
    </row>
    <row r="47" spans="1:10" ht="39.950000000000003" customHeight="1" x14ac:dyDescent="0.25">
      <c r="A47" s="8"/>
      <c r="B47" s="38" t="s">
        <v>67</v>
      </c>
      <c r="C47" s="39"/>
      <c r="D47" s="39"/>
      <c r="E47" s="15">
        <v>5</v>
      </c>
      <c r="F47" s="11" t="s">
        <v>26</v>
      </c>
      <c r="G47" s="16" t="str">
        <f t="shared" si="0"/>
        <v/>
      </c>
      <c r="H47" s="17" t="str">
        <f t="shared" si="1"/>
        <v/>
      </c>
      <c r="I47" s="48"/>
      <c r="J47" s="49"/>
    </row>
    <row r="48" spans="1:10" ht="39.950000000000003" customHeight="1" x14ac:dyDescent="0.25">
      <c r="A48" s="8"/>
      <c r="B48" s="38" t="s">
        <v>68</v>
      </c>
      <c r="C48" s="39"/>
      <c r="D48" s="39"/>
      <c r="E48" s="15">
        <v>5</v>
      </c>
      <c r="F48" s="11" t="s">
        <v>26</v>
      </c>
      <c r="G48" s="16" t="str">
        <f t="shared" si="0"/>
        <v/>
      </c>
      <c r="H48" s="17" t="str">
        <f t="shared" si="1"/>
        <v/>
      </c>
      <c r="I48" s="48"/>
      <c r="J48" s="49"/>
    </row>
    <row r="49" spans="1:10" ht="39.950000000000003" customHeight="1" thickBot="1" x14ac:dyDescent="0.3">
      <c r="A49" s="8"/>
      <c r="B49" s="40" t="s">
        <v>69</v>
      </c>
      <c r="C49" s="41"/>
      <c r="D49" s="41"/>
      <c r="E49" s="22">
        <v>5</v>
      </c>
      <c r="F49" s="12" t="s">
        <v>26</v>
      </c>
      <c r="G49" s="23" t="str">
        <f t="shared" si="0"/>
        <v/>
      </c>
      <c r="H49" s="24" t="str">
        <f t="shared" si="1"/>
        <v/>
      </c>
      <c r="I49" s="50"/>
      <c r="J49" s="51"/>
    </row>
    <row r="50" spans="1:10" ht="30" customHeight="1" thickBot="1" x14ac:dyDescent="0.3">
      <c r="A50" s="3"/>
      <c r="B50" s="56" t="s">
        <v>5</v>
      </c>
      <c r="C50" s="57"/>
      <c r="D50" s="57"/>
      <c r="E50" s="14">
        <f>SUM(E8:E49)</f>
        <v>185</v>
      </c>
      <c r="F50" s="14">
        <f>SUM(F8:F49)</f>
        <v>0</v>
      </c>
      <c r="G50" s="88"/>
      <c r="H50" s="89"/>
      <c r="I50" s="89"/>
      <c r="J50" s="90"/>
    </row>
    <row r="51" spans="1:10" ht="30" customHeight="1" thickBot="1" x14ac:dyDescent="0.3">
      <c r="A51" s="3"/>
      <c r="B51" s="58" t="s">
        <v>20</v>
      </c>
      <c r="C51" s="59"/>
      <c r="D51" s="59"/>
      <c r="E51" s="76">
        <f>F50/E50/100*100</f>
        <v>0</v>
      </c>
      <c r="F51" s="76"/>
      <c r="G51" s="76"/>
      <c r="H51" s="76"/>
      <c r="I51" s="76"/>
      <c r="J51" s="77"/>
    </row>
    <row r="52" spans="1:10" ht="30" customHeight="1" thickBot="1" x14ac:dyDescent="0.3">
      <c r="A52" s="3"/>
      <c r="B52" s="58" t="s">
        <v>21</v>
      </c>
      <c r="C52" s="59"/>
      <c r="D52" s="59"/>
      <c r="E52" s="68" t="str">
        <f>_xlfn.IFS(E51&gt;=90%,"ممتاز",E51&gt;=80%,"جيد جداً",E51&gt;=70%,"جيد",E51&gt;=60%,"مقبول",E51&lt;60%,"راسب")</f>
        <v>راسب</v>
      </c>
      <c r="F52" s="68"/>
      <c r="G52" s="68"/>
      <c r="H52" s="68"/>
      <c r="I52" s="68"/>
      <c r="J52" s="69"/>
    </row>
    <row r="53" spans="1:10" ht="42" customHeight="1" x14ac:dyDescent="0.25">
      <c r="B53" s="64" t="s">
        <v>27</v>
      </c>
      <c r="C53" s="64"/>
      <c r="D53" s="64"/>
      <c r="E53" s="86" t="s">
        <v>18</v>
      </c>
      <c r="F53" s="86"/>
      <c r="G53" s="66" t="s">
        <v>24</v>
      </c>
      <c r="H53" s="66"/>
      <c r="I53" s="66"/>
      <c r="J53" s="66"/>
    </row>
    <row r="54" spans="1:10" ht="51" customHeight="1" x14ac:dyDescent="0.25">
      <c r="A54" s="4"/>
      <c r="B54" s="65"/>
      <c r="C54" s="65"/>
      <c r="D54" s="65"/>
      <c r="E54" s="87" t="s">
        <v>19</v>
      </c>
      <c r="F54" s="87"/>
      <c r="G54" s="67"/>
      <c r="H54" s="67"/>
      <c r="I54" s="67"/>
      <c r="J54" s="67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105">
    <mergeCell ref="B1:J1"/>
    <mergeCell ref="F2:J2"/>
    <mergeCell ref="B5:D6"/>
    <mergeCell ref="C2:D2"/>
    <mergeCell ref="C3:D3"/>
    <mergeCell ref="F3:J3"/>
    <mergeCell ref="E51:J51"/>
    <mergeCell ref="B7:D7"/>
    <mergeCell ref="I38:J38"/>
    <mergeCell ref="I39:J39"/>
    <mergeCell ref="I30:J30"/>
    <mergeCell ref="I31:J31"/>
    <mergeCell ref="E5:H5"/>
    <mergeCell ref="I37:J37"/>
    <mergeCell ref="I5:J6"/>
    <mergeCell ref="I7:J7"/>
    <mergeCell ref="I10:J10"/>
    <mergeCell ref="I19:J19"/>
    <mergeCell ref="I20:J20"/>
    <mergeCell ref="I21:J21"/>
    <mergeCell ref="I22:J22"/>
    <mergeCell ref="I23:J23"/>
    <mergeCell ref="I24:J24"/>
    <mergeCell ref="I25:J25"/>
    <mergeCell ref="B53:D54"/>
    <mergeCell ref="G53:J53"/>
    <mergeCell ref="G54:J54"/>
    <mergeCell ref="E52:J52"/>
    <mergeCell ref="I40:J40"/>
    <mergeCell ref="I41:J41"/>
    <mergeCell ref="I42:J42"/>
    <mergeCell ref="I43:J43"/>
    <mergeCell ref="I44:J44"/>
    <mergeCell ref="I49:J49"/>
    <mergeCell ref="I45:J45"/>
    <mergeCell ref="I46:J46"/>
    <mergeCell ref="I47:J47"/>
    <mergeCell ref="I48:J48"/>
    <mergeCell ref="E53:F53"/>
    <mergeCell ref="E54:F54"/>
    <mergeCell ref="G50:J50"/>
    <mergeCell ref="I32:J32"/>
    <mergeCell ref="I33:J33"/>
    <mergeCell ref="I34:J34"/>
    <mergeCell ref="I35:J35"/>
    <mergeCell ref="I36:J36"/>
    <mergeCell ref="I8:J8"/>
    <mergeCell ref="B50:D50"/>
    <mergeCell ref="B51:D51"/>
    <mergeCell ref="B52:D52"/>
    <mergeCell ref="I11:J11"/>
    <mergeCell ref="I12:J12"/>
    <mergeCell ref="I13:J13"/>
    <mergeCell ref="I14:J14"/>
    <mergeCell ref="I15:J15"/>
    <mergeCell ref="I16:J16"/>
    <mergeCell ref="I17:J17"/>
    <mergeCell ref="I18:J18"/>
    <mergeCell ref="I28:J28"/>
    <mergeCell ref="I29:J29"/>
    <mergeCell ref="I26:J26"/>
    <mergeCell ref="I27:J27"/>
    <mergeCell ref="I9:J9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44:D44"/>
    <mergeCell ref="B45:D45"/>
    <mergeCell ref="B46:D46"/>
    <mergeCell ref="B47:D47"/>
    <mergeCell ref="B48:D48"/>
    <mergeCell ref="B49:D49"/>
    <mergeCell ref="B35:D35"/>
    <mergeCell ref="B36:D36"/>
    <mergeCell ref="B37:D37"/>
    <mergeCell ref="B38:D38"/>
    <mergeCell ref="B39:D39"/>
    <mergeCell ref="B40:D40"/>
    <mergeCell ref="B41:D41"/>
    <mergeCell ref="B42:D42"/>
    <mergeCell ref="B43:D43"/>
  </mergeCells>
  <conditionalFormatting sqref="E52">
    <cfRule type="expression" dxfId="23" priority="57">
      <formula>$E52="راسب"</formula>
    </cfRule>
  </conditionalFormatting>
  <conditionalFormatting sqref="E52:J52">
    <cfRule type="expression" dxfId="22" priority="58">
      <formula>$E52="مقبول"</formula>
    </cfRule>
    <cfRule type="expression" dxfId="21" priority="59">
      <formula>$E52="جيد"</formula>
    </cfRule>
    <cfRule type="expression" dxfId="20" priority="60">
      <formula>$E52="جيد جداً"</formula>
    </cfRule>
    <cfRule type="expression" dxfId="19" priority="61">
      <formula>$E52="ممتاز"</formula>
    </cfRule>
  </conditionalFormatting>
  <conditionalFormatting sqref="H8 H10:H49">
    <cfRule type="containsText" dxfId="18" priority="39" operator="containsText" text="ممتاز">
      <formula>NOT(ISERROR(SEARCH("ممتاز",H8)))</formula>
    </cfRule>
    <cfRule type="containsText" dxfId="17" priority="40" operator="containsText" text="جيد جداً">
      <formula>NOT(ISERROR(SEARCH("جيد جداً",H8)))</formula>
    </cfRule>
    <cfRule type="containsText" dxfId="16" priority="41" operator="containsText" text="جيد">
      <formula>NOT(ISERROR(SEARCH("جيد",H8)))</formula>
    </cfRule>
    <cfRule type="containsText" dxfId="15" priority="42" operator="containsText" text="مقبول">
      <formula>NOT(ISERROR(SEARCH("مقبول",H8)))</formula>
    </cfRule>
    <cfRule type="containsText" dxfId="14" priority="43" operator="containsText" text="راسب">
      <formula>NOT(ISERROR(SEARCH("راسب",H8)))</formula>
    </cfRule>
  </conditionalFormatting>
  <conditionalFormatting sqref="H8 H10:H49">
    <cfRule type="containsText" dxfId="13" priority="38" operator="containsText" text="أدخل العلامة">
      <formula>NOT(ISERROR(SEARCH("أدخل العلامة",H8)))</formula>
    </cfRule>
  </conditionalFormatting>
  <conditionalFormatting sqref="F2:J2">
    <cfRule type="containsText" dxfId="12" priority="19" operator="containsText" text="أدخل التاريخ">
      <formula>NOT(ISERROR(SEARCH("أدخل التاريخ",F2)))</formula>
    </cfRule>
  </conditionalFormatting>
  <conditionalFormatting sqref="C2:D2">
    <cfRule type="containsText" dxfId="11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0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F3:J3">
    <cfRule type="containsText" dxfId="9" priority="16" operator="containsText" text="أدخل أسم المحكم">
      <formula>NOT(ISERROR(SEARCH("أدخل أسم المحكم",F3)))</formula>
    </cfRule>
  </conditionalFormatting>
  <conditionalFormatting sqref="G53:J53">
    <cfRule type="containsText" dxfId="8" priority="15" operator="containsText" text="أدخل اسم المحكم">
      <formula>NOT(ISERROR(SEARCH("أدخل اسم المحكم",G53)))</formula>
    </cfRule>
  </conditionalFormatting>
  <conditionalFormatting sqref="F8 F10:F49">
    <cfRule type="containsText" dxfId="7" priority="14" operator="containsText" text="أدخل العلامة">
      <formula>NOT(ISERROR(SEARCH("أدخل العلامة",F8)))</formula>
    </cfRule>
  </conditionalFormatting>
  <conditionalFormatting sqref="H9">
    <cfRule type="containsText" dxfId="6" priority="6" operator="containsText" text="ممتاز">
      <formula>NOT(ISERROR(SEARCH("ممتاز",H9)))</formula>
    </cfRule>
    <cfRule type="containsText" dxfId="5" priority="7" operator="containsText" text="جيد جداً">
      <formula>NOT(ISERROR(SEARCH("جيد جداً",H9)))</formula>
    </cfRule>
    <cfRule type="containsText" dxfId="4" priority="8" operator="containsText" text="جيد">
      <formula>NOT(ISERROR(SEARCH("جيد",H9)))</formula>
    </cfRule>
    <cfRule type="containsText" dxfId="3" priority="9" operator="containsText" text="مقبول">
      <formula>NOT(ISERROR(SEARCH("مقبول",H9)))</formula>
    </cfRule>
    <cfRule type="containsText" dxfId="2" priority="10" operator="containsText" text="راسب">
      <formula>NOT(ISERROR(SEARCH("راسب",H9)))</formula>
    </cfRule>
  </conditionalFormatting>
  <conditionalFormatting sqref="H9">
    <cfRule type="containsText" dxfId="1" priority="5" operator="containsText" text="أدخل العلامة">
      <formula>NOT(ISERROR(SEARCH("أدخل العلامة",H9)))</formula>
    </cfRule>
  </conditionalFormatting>
  <conditionalFormatting sqref="F9">
    <cfRule type="containsText" dxfId="0" priority="4" operator="containsText" text="أدخل العلامة">
      <formula>NOT(ISERROR(SEARCH("أدخل العلامة",F9)))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5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#REF!</xm:f>
          </x14:formula1>
          <xm:sqref>F2:J2</xm:sqref>
        </x14:dataValidation>
        <x14:dataValidation type="list" allowBlank="1" showInputMessage="1" showErrorMessage="1">
          <x14:formula1>
            <xm:f>#REF!</xm:f>
          </x14:formula1>
          <xm:sqref>C2:D2</xm:sqref>
        </x14:dataValidation>
        <x14:dataValidation type="list" allowBlank="1" showInputMessage="1" showErrorMessage="1">
          <x14:formula1>
            <xm:f>#REF!</xm:f>
          </x14:formula1>
          <xm:sqref>F44:F49 F35:F42 F30:F33 F19:F28 F9:F17</xm:sqref>
        </x14:dataValidation>
        <x14:dataValidation type="list" allowBlank="1" showInputMessage="1" showErrorMessage="1">
          <x14:formula1>
            <xm:f>#REF!</xm:f>
          </x14:formula1>
          <xm:sqref>G53:J53 F3:J3</xm:sqref>
        </x14:dataValidation>
        <x14:dataValidation type="list" allowBlank="1" showInputMessage="1" showErrorMessage="1">
          <x14:formula1>
            <xm:f>#REF!</xm:f>
          </x14:formula1>
          <xm:sqref>C3:D3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قائمة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2026-08-30T05:08:22Z</dcterms:modified>
</cp:coreProperties>
</file>