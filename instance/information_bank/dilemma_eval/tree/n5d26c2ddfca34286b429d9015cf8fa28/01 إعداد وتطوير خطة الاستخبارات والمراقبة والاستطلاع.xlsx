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F20" i="2" l="1"/>
  <c r="E20" i="2" l="1"/>
  <c r="E21" i="2" l="1"/>
  <c r="E22" i="2" s="1"/>
</calcChain>
</file>

<file path=xl/sharedStrings.xml><?xml version="1.0" encoding="utf-8"?>
<sst xmlns="http://schemas.openxmlformats.org/spreadsheetml/2006/main" count="51" uniqueCount="41">
  <si>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</si>
  <si>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</si>
  <si>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</si>
  <si>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</si>
  <si>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</si>
  <si>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</si>
  <si>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</si>
  <si>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</si>
  <si>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</si>
  <si>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</si>
  <si>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</si>
  <si>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</si>
  <si>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</si>
  <si>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</si>
  <si>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</si>
  <si>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</si>
  <si>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</si>
  <si>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</si>
  <si>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</si>
  <si>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</si>
  <si>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</si>
  <si>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</si>
  <si>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</si>
  <si>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</si>
  <si>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</si>
  <si>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</si>
  <si>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</si>
  <si>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</si>
  <si>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استخبارات مجموعة اللواء بتحليل المتطلبات وإعداد وتطوير قائمة متطلبات المعلومات ذات الأولوية من خلال الإجراءات التالية:</t>
    </r>
  </si>
  <si>
    <t xml:space="preserve">ب. مراجعة متطلبات المعلومات وتقييم متطلبات المعلومات ذات الأولوية.  </t>
  </si>
  <si>
    <t>جـ. تحليل متطلبات الجمع لتحديد مصادر الجمع الأكثر فعالية في الاستخدام.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</si>
  <si>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</si>
  <si>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الاستخبارات لمجموعة اللواء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</si>
  <si>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Arial"/>
        <family val="2"/>
      </rPr>
      <t>يقوم قائد سرية الاستطلاع/نائب قائد السرية بمساعدة ركن الاستخبارات بتحديث خطة جمع المعلومات وتأكيد التزامن من خلال:</t>
    </r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</si>
  <si>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</si>
  <si>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</si>
  <si>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أ.   حذف المتطلبات التي تمت تلبيتها.</t>
  </si>
  <si>
    <t>د.  إدامة الإلمام بالموقف.</t>
  </si>
  <si>
    <t>أ.   استلام متطلبات المعلومات الهامة للقائد.</t>
  </si>
  <si>
    <t>د.  تطوير متطلبات المعلومات المعينة التي تجيب على كل متطلب من متطلبات المعلومات.</t>
  </si>
  <si>
    <t>تقييم سرية الاستطلاع في إعداد وتطوير خطة الاستخبارات والمراقبة والاستطلاع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</si>
</sst>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6" fillId="4" borderId="2" xfId="0" applyFont="1" applyFill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8" fillId="4" borderId="21" xfId="0" applyFont="1" applyFill="1" applyBorder="1" applyAlignment="1">
      <alignment horizontal="right" vertical="center" wrapText="1" indent="2" readingOrder="2"/>
    </xf>
    <xf numFmtId="0" fontId="8" fillId="4" borderId="2" xfId="0" applyFont="1" applyFill="1" applyBorder="1" applyAlignment="1">
      <alignment horizontal="right" vertical="center" wrapText="1" indent="2" readingOrder="2"/>
    </xf>
    <xf numFmtId="0" fontId="8" fillId="4" borderId="10" xfId="0" applyFont="1" applyFill="1" applyBorder="1" applyAlignment="1">
      <alignment horizontal="right" vertical="center" wrapText="1" indent="2" readingOrder="2"/>
    </xf>
    <xf numFmtId="0" fontId="8" fillId="4" borderId="11" xfId="0" applyFont="1" applyFill="1" applyBorder="1" applyAlignment="1">
      <alignment horizontal="right" vertical="center" wrapText="1" indent="2" readingOrder="2"/>
    </xf>
    <xf numFmtId="0" fontId="8" fillId="4" borderId="4" xfId="0" applyFont="1" applyFill="1" applyBorder="1" applyAlignment="1">
      <alignment horizontal="right" vertical="center" wrapText="1" readingOrder="2"/>
    </xf>
    <xf numFmtId="0" fontId="8" fillId="4" borderId="3" xfId="0" applyFont="1" applyFill="1" applyBorder="1" applyAlignment="1">
      <alignment horizontal="right" vertical="center" wrapText="1" readingOrder="2"/>
    </xf>
    <xf numFmtId="0" fontId="8" fillId="4" borderId="21" xfId="0" applyFont="1" applyFill="1" applyBorder="1" applyAlignment="1">
      <alignment horizontal="right" vertical="center" wrapText="1" readingOrder="2"/>
    </xf>
    <xf numFmtId="0" fontId="8" fillId="4" borderId="2" xfId="0" applyFont="1" applyFill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40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0" t="s">
        <v>8</v>
      </c>
      <c r="C2" s="43" t="s">
        <v>23</v>
      </c>
      <c r="D2" s="43"/>
      <c r="E2" s="10" t="s">
        <v>7</v>
      </c>
      <c r="F2" s="38" t="s">
        <v>22</v>
      </c>
      <c r="G2" s="38"/>
      <c r="H2" s="38"/>
      <c r="I2" s="38"/>
      <c r="J2" s="38"/>
    </row>
    <row r="3" spans="1:10" ht="30" customHeight="1" x14ac:dyDescent="0.25">
      <c r="B3" s="10" t="s">
        <v>9</v>
      </c>
      <c r="C3" s="43" t="s">
        <v>25</v>
      </c>
      <c r="D3" s="43"/>
      <c r="E3" s="10" t="s">
        <v>6</v>
      </c>
      <c r="F3" s="43" t="s">
        <v>24</v>
      </c>
      <c r="G3" s="43"/>
      <c r="H3" s="43"/>
      <c r="I3" s="43"/>
      <c r="J3" s="43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39" t="s">
        <v>0</v>
      </c>
      <c r="C5" s="40"/>
      <c r="D5" s="40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3">
      <c r="A6" s="8"/>
      <c r="B6" s="41"/>
      <c r="C6" s="42"/>
      <c r="D6" s="42"/>
      <c r="E6" s="9" t="s">
        <v>3</v>
      </c>
      <c r="F6" s="9" t="s">
        <v>4</v>
      </c>
      <c r="G6" s="9" t="s">
        <v>15</v>
      </c>
      <c r="H6" s="9" t="s">
        <v>16</v>
      </c>
      <c r="I6" s="50"/>
      <c r="J6" s="51"/>
    </row>
    <row r="7" spans="1:10" ht="24.95" customHeight="1" thickBot="1" x14ac:dyDescent="0.3">
      <c r="A7" s="8"/>
      <c r="B7" s="46" t="s">
        <v>13</v>
      </c>
      <c r="C7" s="47"/>
      <c r="D7" s="47"/>
      <c r="E7" s="13" t="s">
        <v>10</v>
      </c>
      <c r="F7" s="13" t="s">
        <v>11</v>
      </c>
      <c r="G7" s="13" t="s">
        <v>14</v>
      </c>
      <c r="H7" s="13" t="s">
        <v>12</v>
      </c>
      <c r="I7" s="52" t="s">
        <v>17</v>
      </c>
      <c r="J7" s="53"/>
    </row>
    <row r="8" spans="1:10" ht="79.5" customHeight="1" x14ac:dyDescent="0.25">
      <c r="A8" s="8"/>
      <c r="B8" s="66" t="s">
        <v>28</v>
      </c>
      <c r="C8" s="67"/>
      <c r="D8" s="67"/>
      <c r="E8" s="18"/>
      <c r="F8" s="19"/>
      <c r="G8" s="20"/>
      <c r="H8" s="21"/>
      <c r="I8" s="54"/>
      <c r="J8" s="55"/>
    </row>
    <row r="9" spans="1:10" ht="30" customHeight="1" x14ac:dyDescent="0.25">
      <c r="A9" s="8"/>
      <c r="B9" s="62" t="s">
        <v>38</v>
      </c>
      <c r="C9" s="63"/>
      <c r="D9" s="63"/>
      <c r="E9" s="15">
        <v>5</v>
      </c>
      <c r="F9" s="11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0"/>
      <c r="J9" s="31"/>
    </row>
    <row r="10" spans="1:10" ht="39.950000000000003" customHeight="1" x14ac:dyDescent="0.25">
      <c r="A10" s="8"/>
      <c r="B10" s="62" t="s">
        <v>29</v>
      </c>
      <c r="C10" s="63"/>
      <c r="D10" s="63"/>
      <c r="E10" s="15">
        <v>5</v>
      </c>
      <c r="F10" s="11" t="s">
        <v>26</v>
      </c>
      <c r="G10" s="16" t="str">
        <f t="shared" ref="G10:G19" si="0">IFERROR(F10/E10,"")</f>
        <v/>
      </c>
      <c r="H10" s="17" t="str">
        <f t="shared" ref="H10:H19" si="1">_xlfn.IFS(F10="أدخل العلامة","",F10="لا ينطبق","تم الإلغاء",G10&gt;=90%,"ممتاز",G10&gt;=80%,"جيد جداً",G10&gt;=70%,"جيد",G10&gt;=60%,"مقبول",G10&lt;60%,"راسب")</f>
        <v/>
      </c>
      <c r="I10" s="30"/>
      <c r="J10" s="31"/>
    </row>
    <row r="11" spans="1:10" ht="39.950000000000003" customHeight="1" x14ac:dyDescent="0.25">
      <c r="A11" s="8"/>
      <c r="B11" s="62" t="s">
        <v>30</v>
      </c>
      <c r="C11" s="63"/>
      <c r="D11" s="63"/>
      <c r="E11" s="15">
        <v>5</v>
      </c>
      <c r="F11" s="11" t="s">
        <v>26</v>
      </c>
      <c r="G11" s="16" t="str">
        <f t="shared" si="0"/>
        <v/>
      </c>
      <c r="H11" s="17" t="str">
        <f t="shared" si="1"/>
        <v/>
      </c>
      <c r="I11" s="30"/>
      <c r="J11" s="31"/>
    </row>
    <row r="12" spans="1:10" ht="39.950000000000003" customHeight="1" x14ac:dyDescent="0.25">
      <c r="A12" s="8"/>
      <c r="B12" s="62" t="s">
        <v>39</v>
      </c>
      <c r="C12" s="63"/>
      <c r="D12" s="63"/>
      <c r="E12" s="15">
        <v>5</v>
      </c>
      <c r="F12" s="11" t="s">
        <v>26</v>
      </c>
      <c r="G12" s="16" t="str">
        <f t="shared" si="0"/>
        <v/>
      </c>
      <c r="H12" s="17" t="str">
        <f t="shared" si="1"/>
        <v/>
      </c>
      <c r="I12" s="30"/>
      <c r="J12" s="31"/>
    </row>
    <row r="13" spans="1:10" ht="39.950000000000003" customHeight="1" x14ac:dyDescent="0.25">
      <c r="A13" s="8"/>
      <c r="B13" s="62" t="s">
        <v>31</v>
      </c>
      <c r="C13" s="63"/>
      <c r="D13" s="63"/>
      <c r="E13" s="15">
        <v>5</v>
      </c>
      <c r="F13" s="11" t="s">
        <v>26</v>
      </c>
      <c r="G13" s="16" t="str">
        <f t="shared" si="0"/>
        <v/>
      </c>
      <c r="H13" s="17" t="str">
        <f t="shared" si="1"/>
        <v/>
      </c>
      <c r="I13" s="30"/>
      <c r="J13" s="31"/>
    </row>
    <row r="14" spans="1:10" ht="60" customHeight="1" x14ac:dyDescent="0.25">
      <c r="A14" s="8"/>
      <c r="B14" s="68" t="s">
        <v>32</v>
      </c>
      <c r="C14" s="69"/>
      <c r="D14" s="69"/>
      <c r="E14" s="15">
        <v>5</v>
      </c>
      <c r="F14" s="11" t="s">
        <v>26</v>
      </c>
      <c r="G14" s="16" t="str">
        <f t="shared" si="0"/>
        <v/>
      </c>
      <c r="H14" s="17" t="str">
        <f t="shared" si="1"/>
        <v/>
      </c>
      <c r="I14" s="30"/>
      <c r="J14" s="31"/>
    </row>
    <row r="15" spans="1:10" ht="54.95" customHeight="1" x14ac:dyDescent="0.25">
      <c r="A15" s="8"/>
      <c r="B15" s="68" t="s">
        <v>33</v>
      </c>
      <c r="C15" s="69"/>
      <c r="D15" s="69"/>
      <c r="E15" s="15"/>
      <c r="F15" s="11"/>
      <c r="G15" s="16"/>
      <c r="H15" s="17"/>
      <c r="I15" s="30"/>
      <c r="J15" s="31"/>
    </row>
    <row r="16" spans="1:10" ht="30" customHeight="1" x14ac:dyDescent="0.25">
      <c r="A16" s="8"/>
      <c r="B16" s="62" t="s">
        <v>36</v>
      </c>
      <c r="C16" s="63"/>
      <c r="D16" s="63"/>
      <c r="E16" s="15">
        <v>5</v>
      </c>
      <c r="F16" s="11" t="s">
        <v>26</v>
      </c>
      <c r="G16" s="16" t="str">
        <f t="shared" si="0"/>
        <v/>
      </c>
      <c r="H16" s="17" t="str">
        <f t="shared" si="1"/>
        <v/>
      </c>
      <c r="I16" s="30"/>
      <c r="J16" s="31"/>
    </row>
    <row r="17" spans="1:10" ht="39.950000000000003" customHeight="1" x14ac:dyDescent="0.25">
      <c r="A17" s="8"/>
      <c r="B17" s="62" t="s">
        <v>34</v>
      </c>
      <c r="C17" s="63"/>
      <c r="D17" s="63"/>
      <c r="E17" s="15">
        <v>5</v>
      </c>
      <c r="F17" s="11" t="s">
        <v>26</v>
      </c>
      <c r="G17" s="16" t="str">
        <f t="shared" si="0"/>
        <v/>
      </c>
      <c r="H17" s="17" t="str">
        <f t="shared" si="1"/>
        <v/>
      </c>
      <c r="I17" s="30"/>
      <c r="J17" s="31"/>
    </row>
    <row r="18" spans="1:10" ht="54.95" customHeight="1" x14ac:dyDescent="0.25">
      <c r="A18" s="8"/>
      <c r="B18" s="62" t="s">
        <v>35</v>
      </c>
      <c r="C18" s="63"/>
      <c r="D18" s="63"/>
      <c r="E18" s="15">
        <v>5</v>
      </c>
      <c r="F18" s="11" t="s">
        <v>26</v>
      </c>
      <c r="G18" s="16" t="str">
        <f t="shared" si="0"/>
        <v/>
      </c>
      <c r="H18" s="17" t="str">
        <f t="shared" si="1"/>
        <v/>
      </c>
      <c r="I18" s="30"/>
      <c r="J18" s="31"/>
    </row>
    <row r="19" spans="1:10" ht="30" customHeight="1" thickBot="1" x14ac:dyDescent="0.3">
      <c r="A19" s="8"/>
      <c r="B19" s="64" t="s">
        <v>37</v>
      </c>
      <c r="C19" s="65"/>
      <c r="D19" s="65"/>
      <c r="E19" s="22">
        <v>5</v>
      </c>
      <c r="F19" s="12" t="s">
        <v>26</v>
      </c>
      <c r="G19" s="23" t="str">
        <f t="shared" si="0"/>
        <v/>
      </c>
      <c r="H19" s="24" t="str">
        <f t="shared" si="1"/>
        <v/>
      </c>
      <c r="I19" s="60"/>
      <c r="J19" s="61"/>
    </row>
    <row r="20" spans="1:10" ht="30" customHeight="1" thickBot="1" x14ac:dyDescent="0.3">
      <c r="A20" s="3"/>
      <c r="B20" s="56" t="s">
        <v>5</v>
      </c>
      <c r="C20" s="57"/>
      <c r="D20" s="57"/>
      <c r="E20" s="14">
        <f>SUM(E8:E19)</f>
        <v>50</v>
      </c>
      <c r="F20" s="14">
        <f>SUM(F8:F19)</f>
        <v>0</v>
      </c>
      <c r="G20" s="27"/>
      <c r="H20" s="28"/>
      <c r="I20" s="28"/>
      <c r="J20" s="29"/>
    </row>
    <row r="21" spans="1:10" ht="30" customHeight="1" thickBot="1" x14ac:dyDescent="0.3">
      <c r="A21" s="3"/>
      <c r="B21" s="58" t="s">
        <v>20</v>
      </c>
      <c r="C21" s="59"/>
      <c r="D21" s="59"/>
      <c r="E21" s="44">
        <f>F20/E20/100*100</f>
        <v>0</v>
      </c>
      <c r="F21" s="44"/>
      <c r="G21" s="44"/>
      <c r="H21" s="44"/>
      <c r="I21" s="44"/>
      <c r="J21" s="45"/>
    </row>
    <row r="22" spans="1:10" ht="30" customHeight="1" thickBot="1" x14ac:dyDescent="0.3">
      <c r="A22" s="3"/>
      <c r="B22" s="58" t="s">
        <v>21</v>
      </c>
      <c r="C22" s="59"/>
      <c r="D22" s="59"/>
      <c r="E22" s="36" t="str">
        <f>_xlfn.IFS(E21&gt;=90%,"ممتاز",E21&gt;=80%,"جيد جداً",E21&gt;=70%,"جيد",E21&gt;=60%,"مقبول",E21&lt;60%,"راسب")</f>
        <v>راسب</v>
      </c>
      <c r="F22" s="36"/>
      <c r="G22" s="36"/>
      <c r="H22" s="36"/>
      <c r="I22" s="36"/>
      <c r="J22" s="37"/>
    </row>
    <row r="23" spans="1:10" ht="42" customHeight="1" x14ac:dyDescent="0.25">
      <c r="B23" s="32" t="s">
        <v>27</v>
      </c>
      <c r="C23" s="32"/>
      <c r="D23" s="32"/>
      <c r="E23" s="25" t="s">
        <v>18</v>
      </c>
      <c r="F23" s="25"/>
      <c r="G23" s="34" t="s">
        <v>24</v>
      </c>
      <c r="H23" s="34"/>
      <c r="I23" s="34"/>
      <c r="J23" s="34"/>
    </row>
    <row r="24" spans="1:10" ht="51" customHeight="1" x14ac:dyDescent="0.25">
      <c r="A24" s="4"/>
      <c r="B24" s="33"/>
      <c r="C24" s="33"/>
      <c r="D24" s="33"/>
      <c r="E24" s="26" t="s">
        <v>19</v>
      </c>
      <c r="F24" s="26"/>
      <c r="G24" s="35"/>
      <c r="H24" s="35"/>
      <c r="I24" s="35"/>
      <c r="J24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</mergeCells>
  <conditionalFormatting sqref="E22">
    <cfRule type="expression" dxfId="23" priority="57">
      <formula>$E22="راسب"</formula>
    </cfRule>
  </conditionalFormatting>
  <conditionalFormatting sqref="E22:J22">
    <cfRule type="expression" dxfId="22" priority="58">
      <formula>$E22="مقبول"</formula>
    </cfRule>
    <cfRule type="expression" dxfId="21" priority="59">
      <formula>$E22="جيد"</formula>
    </cfRule>
    <cfRule type="expression" dxfId="20" priority="60">
      <formula>$E22="جيد جداً"</formula>
    </cfRule>
    <cfRule type="expression" dxfId="19" priority="61">
      <formula>$E22="ممتاز"</formula>
    </cfRule>
  </conditionalFormatting>
  <conditionalFormatting sqref="H8 H10:H1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8" priority="15" operator="containsText" text="أدخل اسم المحكم">
      <formula>NOT(ISERROR(SEARCH("أدخل اسم المحكم",G23)))</formula>
    </cfRule>
  </conditionalFormatting>
  <conditionalFormatting sqref="F8 F10:F1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F16:F19 F9:F14</xm:sqref>
        </x14:dataValidation>
        <x14:dataValidation type="list" allowBlank="1" showInputMessage="1" showErrorMessage="1">
          <x14:formula1>
            <xm:f>#REF!</xm:f>
          </x14:formula1>
          <xm:sqref>G23:J23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F3:J3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2026-08-30T05:01:33Z</dcterms:modified>
</cp:coreProperties>
</file>