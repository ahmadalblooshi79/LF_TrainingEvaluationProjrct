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3"/>
  <workbookPr filterPrivacy="1" codeName="ThisWorkbook"/>
  <xr:revisionPtr revIDLastSave="0" documentId="13_ncr:1_{82A9C7CB-1103-403F-836D-307E8081436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قائمة التقييم" sheetId="2" r:id="rId1"/>
    <sheet name="بيانات التقييم" sheetId="4" r:id="rId2"/>
    <sheet name="مسودة" sheetId="6" r:id="rId3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التقييم'!$A$1:$J$27</definedName>
    <definedName name="_xlnm.Print_Titles" localSheetId="0">'قائمة التقييم'!$7:$7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2" l="1"/>
  <c r="H9" i="2"/>
  <c r="G10" i="2"/>
  <c r="H10" i="2"/>
  <c r="G11" i="2"/>
  <c r="H11" i="2"/>
  <c r="G12" i="2"/>
  <c r="H12" i="2"/>
  <c r="G13" i="2"/>
  <c r="H13" i="2"/>
  <c r="G14" i="2"/>
  <c r="H14" i="2"/>
  <c r="G15" i="2"/>
  <c r="H15" i="2"/>
  <c r="G16" i="2"/>
  <c r="H16" i="2"/>
  <c r="G17" i="2"/>
  <c r="H17" i="2"/>
  <c r="G18" i="2"/>
  <c r="H18" i="2"/>
  <c r="G19" i="2"/>
  <c r="H19" i="2"/>
  <c r="G20" i="2"/>
  <c r="H20" i="2"/>
  <c r="G21" i="2"/>
  <c r="H21" i="2"/>
  <c r="G22" i="2"/>
  <c r="H22" i="2"/>
  <c r="G8" i="2"/>
  <c r="H8" i="2"/>
  <c r="F23" i="2"/>
  <c r="E23" i="2"/>
  <c r="E24" i="2"/>
  <c r="E25" i="2"/>
</calcChain>
</file>

<file path=xl/sharedStrings.xml><?xml version="1.0" encoding="utf-8"?>
<sst xmlns="http://schemas.openxmlformats.org/spreadsheetml/2006/main" count="253" uniqueCount="197">
  <si>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</si>
  <si>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</si>
  <si>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</si>
  <si>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</si>
  <si>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</si>
  <si>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</si>
  <si>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</si>
  <si>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</si>
  <si>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</si>
  <si>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</si>
  <si>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</si>
  <si>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</si>
  <si>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</si>
  <si>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</si>
  <si>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</si>
  <si>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</si>
  <si>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</si>
  <si>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</si>
  <si>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</si>
  <si>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</si>
  <si>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</si>
  <si>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</si>
  <si>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</si>
  <si>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</si>
  <si>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</si>
  <si>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</si>
  <si>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</si>
  <si>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</si>
  <si>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</si>
  <si>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</si>
  <si>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</si>
  <si>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</si>
  <si>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</si>
  <si>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</si>
  <si>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</si>
  <si>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</si>
  <si>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</si>
  <si>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</si>
  <si>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</si>
  <si>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</si>
  <si>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</si>
  <si>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</si>
  <si>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</si>
  <si>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</si>
  <si>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</si>
  <si>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</si>
  <si>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</si>
  <si>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</si>
  <si>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</si>
  <si>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</si>
  <si>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</si>
  <si>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</si>
  <si>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</si>
  <si>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</si>
  <si>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</si>
  <si>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</si>
  <si>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</si>
  <si>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</si>
  <si>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</si>
  <si>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</si>
  <si>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</si>
  <si>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</si>
  <si>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</si>
  <si>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</si>
  <si>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</si>
  <si>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</si>
  <si>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</si>
  <si>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</si>
  <si>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</si>
  <si>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</si>
  <si>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</si>
  <si>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</si>
  <si>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</si>
  <si>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</si>
  <si>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</si>
  <si>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</si>
  <si>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</si>
  <si>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</si>
  <si>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</si>
  <si>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</si>
  <si>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</si>
  <si>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</si>
  <si>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</si>
  <si>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</si>
  <si>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</si>
  <si>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</si>
  <si>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</si>
  <si>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</si>
  <si>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</si>
  <si>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</si>
  <si>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</si>
  <si>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</si>
  <si>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</si>
  <si>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</si>
  <si>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</si>
  <si>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</si>
  <si>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</si>
  <si>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</si>
  <si>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</si>
  <si>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</si>
  <si>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</si>
  <si>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</si>
  <si>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</si>
  <si>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</si>
  <si>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</si>
  <si>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</si>
  <si>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</si>
  <si>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</si>
  <si>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</si>
  <si>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</si>
  <si>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</si>
  <si>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</si>
  <si>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</si>
  <si>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</si>
  <si>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</si>
  <si>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</si>
  <si>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</si>
  <si>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</si>
  <si>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</si>
  <si>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</si>
  <si>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</si>
  <si>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</si>
  <si>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</si>
  <si>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</si>
  <si>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</si>
  <si>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</si>
  <si>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</si>
  <si>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</si>
  <si>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</si>
  <si>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</si>
  <si>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</si>
  <si>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</si>
  <si>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</si>
  <si>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</si>
  <si>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</si>
  <si>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</si>
  <si>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</si>
  <si>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</si>
  <si>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</si>
  <si>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</si>
  <si>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</si>
  <si>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</si>
  <si>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</si>
  <si>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</si>
  <si>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</si>
  <si>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</si>
  <si>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</si>
  <si>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</si>
  <si>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</si>
  <si>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</si>
  <si>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</si>
  <si>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</si>
  <si>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</si>
  <si>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</si>
  <si>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</si>
  <si>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</si>
  <si>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</si>
  <si>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</si>
  <si>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</si>
  <si>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</si>
  <si>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</si>
  <si>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</si>
  <si>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</si>
  <si>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</si>
  <si>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</si>
  <si>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</si>
  <si>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</si>
  <si>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</si>
  <si>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</si>
  <si>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</si>
  <si>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</si>
  <si>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</si>
  <si>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</si>
  <si>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</si>
  <si>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r>
      <t>ملاحظـــات:</t>
    </r>
    <r>
      <rPr>
        <sz val="12"/>
        <color rgb="FF000000"/>
        <rFont val="Arial"/>
        <family val="2"/>
      </rPr>
      <t xml:space="preserve"> 
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</si>
  <si>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مقدم ركن / عبدالرحمن محمد الطنيجي</t>
  </si>
  <si>
    <t xml:space="preserve">رائد / راشد ضاوي  راشد الطنيجي </t>
  </si>
  <si>
    <t>نقيب / حميد سعيد مسير الظاهري</t>
  </si>
  <si>
    <t>نقيب / يوسف محمد الفلاسي</t>
  </si>
  <si>
    <t>نقيب / سعيد راشد الظنحاني</t>
  </si>
  <si>
    <r>
      <t>1.</t>
    </r>
    <r>
      <rPr>
        <sz val="7"/>
        <color theme="1"/>
        <rFont val="Times New Roman"/>
        <family val="1"/>
      </rPr>
      <t xml:space="preserve">         </t>
    </r>
    <r>
      <rPr>
        <sz val="12"/>
        <color theme="1"/>
        <rFont val="Arial"/>
        <family val="2"/>
      </rPr>
      <t>يتابع قائد السرية الموقف من مركز القيادة في مجموعة اللواء وبحد أدنى وكما يلي:</t>
    </r>
  </si>
  <si>
    <t>أ.   موقع فصائل الهندسة وحركتها.</t>
  </si>
  <si>
    <t>ب. موقع فصائل الإسناد والوحدات المجاورة وحركتها.</t>
  </si>
  <si>
    <t>جـ. متابعة مواقع قوات العدو وحجمها وحركتها ونشاطاتها.</t>
  </si>
  <si>
    <t>د.  متابعة حالة الطقس.</t>
  </si>
  <si>
    <t>هـ. متابعة موقف حقول الألغام لقواتنا.</t>
  </si>
  <si>
    <t>و.  متابعة موقف موانع قوات العدو.</t>
  </si>
  <si>
    <t>ز.  متابعة حركة المدنيين (النازحين) ضمن منطقة العمليات.</t>
  </si>
  <si>
    <t>ح.  متابعة موقف الإمداد والقوى البشرية لسرية الهندسة.</t>
  </si>
  <si>
    <t>ط. متابعة موقف الأسلحة والأجهزة والمعدات الهامة.</t>
  </si>
  <si>
    <t>ي. متابعة إرسال التقارير للمستوى الأعلى.</t>
  </si>
  <si>
    <t>ك. متابعة التقارير الواردة من الوحدات المرؤوسة.</t>
  </si>
  <si>
    <t>ل. متابعة متطلبات القائد من المعلومات الهامة/ الحرجة.</t>
  </si>
  <si>
    <t>م.  متابعة أوامر العمليات أو الأوامر المجزأة الصادرة من المستوى الأعلى.</t>
  </si>
  <si>
    <r>
      <t>2.</t>
    </r>
    <r>
      <rPr>
        <sz val="7"/>
        <color theme="1"/>
        <rFont val="Times New Roman"/>
        <family val="1"/>
      </rPr>
      <t xml:space="preserve">         </t>
    </r>
    <r>
      <rPr>
        <sz val="12"/>
        <color theme="1"/>
        <rFont val="Arial"/>
        <family val="2"/>
      </rPr>
      <t>توزيع المعلومات إلى المعنيين حسب الحاجة.</t>
    </r>
  </si>
  <si>
    <r>
      <rPr>
        <b/>
        <sz val="14"/>
        <color rgb="FF000000"/>
        <rFont val="Arial"/>
        <family val="2"/>
      </rPr>
      <t>تقييم متابعة موقف سرية الهندسة ومراقبة سير العمليات</t>
    </r>
    <r>
      <rPr>
        <b/>
        <u/>
        <sz val="14"/>
        <color rgb="FF000000"/>
        <rFont val="Arial"/>
        <family val="2"/>
      </rPr>
      <t xml:space="preserve">
تمرين جاهزية مجموعة لواء الإمارات/1 (جندي الصحراء 2025/20)</t>
    </r>
  </si>
  <si>
    <t>النقيب/ مطر محمد بالهوش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</si>
</sst>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5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2"/>
      <color rgb="FF000000"/>
      <name val="Arial"/>
      <family val="2"/>
    </font>
    <font>
      <sz val="12"/>
      <color theme="1"/>
      <name val="Arial"/>
      <family val="2"/>
    </font>
    <font>
      <sz val="7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21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2" fillId="0" borderId="11" xfId="0" applyFont="1" applyBorder="1" applyAlignment="1">
      <alignment horizontal="center" vertical="center" wrapText="1" readingOrder="1"/>
    </xf>
    <xf numFmtId="0" fontId="2" fillId="0" borderId="11" xfId="0" applyFont="1" applyBorder="1" applyAlignment="1">
      <alignment horizontal="center" vertical="center" wrapText="1" readingOrder="2"/>
    </xf>
    <xf numFmtId="0" fontId="3" fillId="0" borderId="11" xfId="0" applyFont="1" applyBorder="1" applyAlignment="1" applyProtection="1">
      <alignment horizontal="center" vertical="center" wrapText="1" readingOrder="2"/>
      <protection locked="0"/>
    </xf>
    <xf numFmtId="9" fontId="3" fillId="0" borderId="11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2"/>
    </xf>
    <xf numFmtId="0" fontId="2" fillId="0" borderId="9" xfId="0" applyFont="1" applyBorder="1" applyAlignment="1">
      <alignment horizontal="center" vertical="center" wrapText="1" readingOrder="2"/>
    </xf>
    <xf numFmtId="0" fontId="3" fillId="0" borderId="11" xfId="0" applyFont="1" applyBorder="1" applyAlignment="1" applyProtection="1">
      <alignment horizontal="center" vertical="center" wrapText="1" readingOrder="2"/>
      <protection locked="0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3" fillId="0" borderId="11" xfId="0" applyFont="1" applyBorder="1" applyAlignment="1" applyProtection="1">
      <alignment horizontal="center" vertical="center" wrapText="1" readingOrder="2"/>
      <protection locked="0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10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7" fillId="4" borderId="8" xfId="0" applyFont="1" applyFill="1" applyBorder="1" applyAlignment="1" applyProtection="1">
      <alignment horizontal="center" vertical="center" wrapText="1" readingOrder="2"/>
      <protection locked="0"/>
    </xf>
    <xf numFmtId="0" fontId="7" fillId="4" borderId="9" xfId="0" applyFont="1" applyFill="1" applyBorder="1" applyAlignment="1" applyProtection="1">
      <alignment horizontal="center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6" fillId="4" borderId="14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0" fontId="6" fillId="4" borderId="10" xfId="0" applyFont="1" applyFill="1" applyBorder="1" applyAlignment="1" applyProtection="1">
      <alignment horizontal="center" vertical="center" wrapText="1" readingOrder="2"/>
      <protection locked="0"/>
    </xf>
    <xf numFmtId="0" fontId="3" fillId="0" borderId="11" xfId="0" applyFont="1" applyBorder="1" applyAlignment="1" applyProtection="1">
      <alignment horizontal="center" vertical="center" wrapText="1" readingOrder="2"/>
      <protection locked="0"/>
    </xf>
    <xf numFmtId="0" fontId="3" fillId="0" borderId="15" xfId="0" applyFont="1" applyBorder="1" applyAlignment="1" applyProtection="1">
      <alignment horizontal="center" vertical="center" wrapText="1" readingOrder="2"/>
      <protection locked="0"/>
    </xf>
    <xf numFmtId="0" fontId="13" fillId="0" borderId="4" xfId="0" applyFont="1" applyBorder="1" applyAlignment="1">
      <alignment horizontal="right" vertical="center" wrapText="1" readingOrder="2"/>
    </xf>
    <xf numFmtId="0" fontId="13" fillId="0" borderId="3" xfId="0" applyFont="1" applyBorder="1" applyAlignment="1">
      <alignment horizontal="right" vertical="center" wrapText="1" indent="3" readingOrder="2"/>
    </xf>
    <xf numFmtId="49" fontId="5" fillId="0" borderId="0" xfId="0" applyNumberFormat="1" applyFont="1" applyAlignment="1" applyProtection="1">
      <alignment horizontal="center" vertical="top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7" fillId="4" borderId="13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13" fillId="0" borderId="13" xfId="0" applyFont="1" applyBorder="1" applyAlignment="1">
      <alignment horizontal="right" vertical="center" wrapText="1" readingOrder="2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16" xfId="0" applyFont="1" applyBorder="1" applyAlignment="1">
      <alignment horizontal="center" vertical="center" wrapText="1" readingOrder="2"/>
    </xf>
    <xf numFmtId="0" fontId="2" fillId="0" borderId="17" xfId="0" applyFont="1" applyBorder="1" applyAlignment="1">
      <alignment horizontal="center" vertical="center" wrapText="1" readingOrder="2"/>
    </xf>
    <xf numFmtId="0" fontId="2" fillId="0" borderId="18" xfId="0" applyFont="1" applyBorder="1" applyAlignment="1">
      <alignment horizontal="center" vertical="center" wrapText="1" readingOrder="2"/>
    </xf>
    <xf numFmtId="0" fontId="1" fillId="0" borderId="1" xfId="0" applyFont="1" applyBorder="1" applyAlignment="1" applyProtection="1">
      <alignment vertical="top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0" borderId="20" xfId="0" applyFont="1" applyBorder="1" applyAlignment="1" applyProtection="1">
      <alignment horizontal="center" vertical="center" wrapText="1" readingOrder="2"/>
      <protection locked="0"/>
    </xf>
  </cellXfs>
  <cellStyles count="1">
    <cellStyle name="Normal" xfId="0" builtinId="0"/>
  </cellStyles>
  <dxfs count="17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ustomXml" Target="../ink/ink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184091</xdr:colOff>
      <xdr:row>25</xdr:row>
      <xdr:rowOff>520240</xdr:rowOff>
    </xdr:from>
    <xdr:to>
      <xdr:col>9</xdr:col>
      <xdr:colOff>352550</xdr:colOff>
      <xdr:row>26</xdr:row>
      <xdr:rowOff>615548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7A38EB49-76CC-DAFE-77E4-08EE10423713}"/>
                </a:ext>
              </a:extLst>
            </xdr14:cNvPr>
            <xdr14:cNvContentPartPr/>
          </xdr14:nvContentPartPr>
          <xdr14:nvPr macro=""/>
          <xdr14:xfrm>
            <a:off x="10398234269" y="10299240"/>
            <a:ext cx="1484640" cy="62640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7A38EB49-76CC-DAFE-77E4-08EE1042371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398225269" y="10290240"/>
              <a:ext cx="1502280" cy="64404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7T09:01:31.217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1074 1719 2880,'0'0'0,"0"0"0,-2-19 2385,-10 5-1169,7-1-544,-11 2-88,16 13-584,-2-2 424,2-2 8,0-2 0,0-5 17,0 11-449,0-4 456,0-10-144,0 8-32,0-12-288,0 18 8,2-19-152,2-5-64,8-3-8,-7-4 272,-5 31-48,2-31 8,8-1 88,-10 0-96,7-3-16,-7 35 16,4-36 40,-2-1-32,3-3 40,-3 2-64,-2 38 16,0-39 48,0 1 16,0 0 48,0 3 64,0 35-176,-5-33 72,1 2 136,1 5 32,-3 5 88,6 21-328,-12-17 368,10 4-88,-3 9-48,-2-8-48,7 12-184,-3-1 112,3-1-56,0 1-32,0 1-104,0 0 80,0 0-16,0 0-16,3 4-40,-3-4 72,12 16-16,-10-3-32,15 2-16,-6 7 64,-11-22 0,12 24-64,-7 7-24,13 2 72,-8 2-48,-10-35 64,14 37-56,2 0 80,-4-2-88,9-1 80,-21-34-16,21 35 0,-3-4-48,2-3 48,-2-2-40,-18-26 40,17 24 0,-5-6-56,1-2 32,-10-5 24,-3-11 0,14 4 16,-9 9 48,-3-13-32,1 3-24,-3-3-8,0 3-8,0-3 40,0 0 64,0 0 80,0 0-176,-3 3 176,-14-1 0,-1-2-48,-3 3-80,21-3-48,-24 5 64,-2-1-56,-4 0 40,2 0 32,28-4-80,-38 12 16,1-9 32,-3-1-48,0 1-48,40-3 48,-42 3-24,7-3 8,0 0 32,9-4 16,26 4-32,-31-6 24,8-7-48,2 9 0,2-7 24,19 11 0,-18-5 16,1 1 16,5 0-32,9 0-16,3 4 16,-3-3 40,-2 1-16,5 1-24,0 0-64,0 1 64,0 0-192,2-2-40,14 1 0,1-1 56,-17 2 176,18-3-136,9-1 72,1-10 0,4 1 32,-32 13 32,35-17-16,5-4 40,2-2-32,-2-1-8,-40 24 16,40-24-32,3 0-8,-8-2 48,2 2-16,-37 24 8,33-24 0,-3 1 24,0 3-24,-6 2 24,-24 18-24,23-20 16,-6 5-24,-3 1 8,-10-1 0,-4 15 0,15-11 32,-15 5-16,0-5 16,0 7 64,0 4-96,-5-5 176,-9 3 104,3 0 48,-4 2-64,15 0-264,-19 0 160,1 3-112,-4 11-48,1-1 0,21-13 0,-25 17-16,1 6-24,1 5-16,-5 6 8,28-34 48,-24 36-48,6 3 56,-4 3 0,9-3-56,13-39 48,-12 39 8,7-6-48,2-1 0,3-7-40,0-25 80,0 23-88,0-3-16,5-4-48,7-2-48,-12-14 200,3 11-288,15-8-64,-6 1-32,4-1 80,-16-3 304,17 0-280,-1-3 40,0-10 112,4 1 40,-20 12 88,15-17-48,5-2 48,-7-2-16,1-1 24,-14 22-8,10-19 24,-5-1-32,6 0 56,-11 3-32,0 17-16,2-16 8,-2 4 72,0 7 0,0-6 96,0 11-176,-5-1 272,2-2 40,-2 3-16,-10 0-32,15 0-264,-2 0 144,-10 0-96,8 0-32,-3 3-16,7-3 0,-10 2 0,8 1-16,-3-3-8,5 3 56,0-3-32,-2 0-48,-1 0 8,3 0-112,5 0-184,-5 0 336,3 0-248,-1 0 0,3 0 56,7 0 128,-12 0 64,4 3-32,8 1 0,-8 8 56,11-8-24,-15-4 0,5 16 8,8-4 0,-8 4 0,14-4 8,-19-12-16,11 15-16,1-3-32,0 0 24,-3-8 40,-9-4-16,12 14-16,0-11 0,-2 0 0,3-3-72,-13 0 88,12 0 16,1-3 16,4-10-32,0 0 56,-17 13-56,18-17 24,4-5-8,3-8 48,3-1-24,-28 31-40,28-36 16,6-2 40,3-3 0,2-3 32,-39 44-88,40-47 80,5-2-40,-3 0-8,0-5-8,-42 54-24,40-52 24,3-5-8,1-1-16,-1-5 8,-43 63-8,41-67-8,4-6 24,-3-2-16,0 2-16,-42 73 16,35-68 0,-7 9 48,-9 10-8,-16 15 32,-3 34-72,5-24 112,-5 8 72,-3 11 120,-9-7 24,12 12-328,-14-1 328,-5 1-144,-2 0-112,-5 3-88,26-3 16,-25 14-32,-3-10 0,2 15-56,-5-2 48,31-17 40,-25 18-56,-3 4 0,4 0 56,1 1-8,23-23 8,-24 26-8,3 3 16,0 5 24,2 5-24,19-39-8,-17 44 24,-1 5-8,1 8-24,6 5 0,11-62 8,-12 64-24,8 2-24,-8 1 24,8 2 24,4-69 0,0 71-32,0-1-48,0-1-8,8-4-48,-8-65 136,8 61-112,6-5 64,-1-4-56,2-7 24,-15-45 80,17 39-72,-2-4-72,2-6 8,2-4-16,-19-25 152,19 23-184,-3-4 40,0-7-24,0-7 32,-16-5 136,15 4-128,-3-1 0,-1-3 72,-6-2 32,-5 2 24,19-11 0,-17 5 72,9-12-48,-8 4 56,4-4-8,-7 18-72,2-17 48,3 0 56,-2 2-64,-3 15-40,0-15 48,0 3 24,0 7-24,0-6 32,0 11-80,0-1 40,-3-2 56,-2 0 8,3-1 16,2 4-120,-2-5 128,-3 3-24,0-3 32,-1 2-8,1 2 32,5 1-160,0-3 128,-7 2-48,2-1 16,5 2-96,-3-1 16,1 1 56,2-1-16,-2 1-56,2 0 32,0 0-32,0 0-48,0 0 0,0 0 16,0 0-32,0 0 256,2 4-440,3-1 216,0 1-48,9 0 56,-14-4 24,2 4-48,12-1 8,-2 0 32,0 0-40,-12-3 48,18 0 48,-1 0-96,4 0 32,0-4 8,-21 4 8,23-15-40,5 3 32,0-5-32,1-5 8,-29 22 32,28-26-72,0-4 24,2-3 16,3-5 0,-33 38 32,33-43 24,0-5 24,0-7 16,-1-5-8,-32 60-56,33-62 48,-3-7-32,-1-1-8,-6-4 0,-23 74-8,17-78-16,1-6 96,-15-4-64,2 0-64,-5 88 48,2-88 104,-4 6-64,-15 9 120,1 11 208,16 62-368,-22-45 472,-3 12 160,-1 10 17,0 9-25,26 14-624,-26-4 480,1-1-184,1 5-160,3 3-80,21-3-56,-19 17-32,-2 3-24,2 7 16,3 7-24,16-34 64,-19 43-80,8 6-16,-3 8-40,9 7 96,5-64 40,-12 71-64,8 3 64,1 5 24,1 4-104,2-83 80,0 83 64,2 0-128,12-4 64,0 2-48,-14-81 48,5 78-104,13-3 40,-8 0-80,7-5 88,-17-70 56,13 68-96,7-3 16,-2-5 24,-4-2-80,-14-58 136,18 51-80,-3-2-24,-1-9 16,2-4-48,-16-36 136,15 27-73,-6-6-23,-5-6 8,1-11 56,-5-4 32,5 4-96,-5-1 64,0-3 64,0-2 24,0 2-56,-5-11 56,-9-3 48,-2-7-88,-5-4-16,21 25 0,-24-29 40,-6-7-48,-5-3 8,-5-4 40,40 43-40,-45-47 8,-6 2-8,-6-2 0,-1-3 57,58 50-57,-64-48 16,-4 0 8,1 1 112,-6 1-40,73 46-96,-77-41 136,-5 6 40,-3 4-80,1 4 8,84 27-104,-91-25 64,-4 7 16,-5 2-48,0 11-48,100 5 16,-108-6-8,-3 3-48,3 3 16,-2 4 8,110-4 32,-103 15-48,0-3 80,9 1-64,5 1 48,89-14-16,-81 13 0,9 1 8,12-1 48,10-1-48,50-12-8,-39 11 8,8-7-48,15 1 0,4-1-88,12-4 128,0 4-152,12 7-72,4-6-113,19 7 65,-35-12 272,45 3-312,9 2 128,12-3 96,16-2 0,-82 0 88,87-4-64,11-10 24,7 0 8,3-2 40,-108 16-8,117-18 72,12-2 0,4 0-32,6-2-8,-139 22-32,141-21 8,1-2 16,6 2-24,2 0 0,-150 21 0,152-22-32,3 2 0,0 2 40,-5 3 8,-150 15-16,152-12-16,-2 1-8,2 7 0,-2-2-48,-150 6 72,145-6-8,-1 2-80,1 1-88,0 2-208,-145 1 384,143-3-2024,0-1-1345,-14-8-1880,-129 12 5249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27"/>
  <sheetViews>
    <sheetView rightToLeft="1" tabSelected="1" view="pageBreakPreview" topLeftCell="D21" zoomScale="130" zoomScaleNormal="100" zoomScaleSheetLayoutView="130" workbookViewId="0">
      <selection activeCell="E3" sqref="E3"/>
    </sheetView>
  </sheetViews>
  <sheetFormatPr defaultColWidth="9" defaultRowHeight="14.4" x14ac:dyDescent="0.3"/>
  <cols>
    <col min="1" max="1" width="5.109375" style="1" customWidth="1"/>
    <col min="2" max="2" width="12.109375" style="1" customWidth="1"/>
    <col min="3" max="3" width="9" style="1"/>
    <col min="4" max="4" width="28.109375" style="1" customWidth="1"/>
    <col min="5" max="7" width="9.33203125" style="1" customWidth="1"/>
    <col min="8" max="8" width="9.33203125" style="3" customWidth="1"/>
    <col min="9" max="9" width="9.33203125" style="1" customWidth="1"/>
    <col min="10" max="10" width="15.44140625" style="1" customWidth="1"/>
    <col min="11" max="16384" width="9" style="1"/>
  </cols>
  <sheetData>
    <row r="1" spans="1:10" ht="45" customHeight="1" x14ac:dyDescent="0.3">
      <c r="B1" s="47" t="s">
        <v>195</v>
      </c>
      <c r="C1" s="47"/>
      <c r="D1" s="47"/>
      <c r="E1" s="47"/>
      <c r="F1" s="47"/>
      <c r="G1" s="47"/>
      <c r="H1" s="47"/>
      <c r="I1" s="47"/>
      <c r="J1" s="47"/>
    </row>
    <row r="2" spans="1:10" ht="30" customHeight="1" x14ac:dyDescent="0.3">
      <c r="B2" s="18" t="s">
        <v>8</v>
      </c>
      <c r="C2" s="53" t="s">
        <v>12</v>
      </c>
      <c r="D2" s="53"/>
      <c r="E2" s="18" t="s">
        <v>7</v>
      </c>
      <c r="F2" s="48">
        <v>45956</v>
      </c>
      <c r="G2" s="48"/>
      <c r="H2" s="48"/>
      <c r="I2" s="48"/>
      <c r="J2" s="48"/>
    </row>
    <row r="3" spans="1:10" ht="30" customHeight="1" x14ac:dyDescent="0.3">
      <c r="B3" s="18" t="s">
        <v>9</v>
      </c>
      <c r="C3" s="53" t="s">
        <v>73</v>
      </c>
      <c r="D3" s="53"/>
      <c r="E3" s="18" t="s">
        <v>6</v>
      </c>
      <c r="F3" s="53" t="s">
        <v>59</v>
      </c>
      <c r="G3" s="53"/>
      <c r="H3" s="53"/>
      <c r="I3" s="53"/>
      <c r="J3" s="53"/>
    </row>
    <row r="4" spans="1:10" ht="30" customHeight="1" thickBot="1" x14ac:dyDescent="0.35">
      <c r="B4" s="6"/>
      <c r="C4" s="7"/>
      <c r="D4" s="7"/>
      <c r="E4" s="6"/>
      <c r="F4" s="69" t="s">
        <v>196</v>
      </c>
      <c r="G4" s="69"/>
      <c r="H4" s="69"/>
      <c r="I4" s="69"/>
      <c r="J4" s="7"/>
    </row>
    <row r="5" spans="1:10" ht="24.9" customHeight="1" x14ac:dyDescent="0.3">
      <c r="A5" s="15"/>
      <c r="B5" s="49" t="s">
        <v>0</v>
      </c>
      <c r="C5" s="50"/>
      <c r="D5" s="50"/>
      <c r="E5" s="37" t="s">
        <v>1</v>
      </c>
      <c r="F5" s="37"/>
      <c r="G5" s="37"/>
      <c r="H5" s="37"/>
      <c r="I5" s="37" t="s">
        <v>2</v>
      </c>
      <c r="J5" s="38"/>
    </row>
    <row r="6" spans="1:10" ht="24.9" customHeight="1" thickBot="1" x14ac:dyDescent="0.35">
      <c r="A6" s="15"/>
      <c r="B6" s="51"/>
      <c r="C6" s="52"/>
      <c r="D6" s="52"/>
      <c r="E6" s="16" t="s">
        <v>3</v>
      </c>
      <c r="F6" s="16" t="s">
        <v>4</v>
      </c>
      <c r="G6" s="16" t="s">
        <v>23</v>
      </c>
      <c r="H6" s="16" t="s">
        <v>24</v>
      </c>
      <c r="I6" s="39"/>
      <c r="J6" s="40"/>
    </row>
    <row r="7" spans="1:10" ht="24.9" customHeight="1" thickBot="1" x14ac:dyDescent="0.35">
      <c r="A7" s="15"/>
      <c r="B7" s="35" t="s">
        <v>21</v>
      </c>
      <c r="C7" s="36"/>
      <c r="D7" s="36"/>
      <c r="E7" s="17" t="s">
        <v>18</v>
      </c>
      <c r="F7" s="17" t="s">
        <v>19</v>
      </c>
      <c r="G7" s="17" t="s">
        <v>22</v>
      </c>
      <c r="H7" s="17" t="s">
        <v>20</v>
      </c>
      <c r="I7" s="41" t="s">
        <v>25</v>
      </c>
      <c r="J7" s="42"/>
    </row>
    <row r="8" spans="1:10" ht="39.9" customHeight="1" x14ac:dyDescent="0.3">
      <c r="A8" s="15"/>
      <c r="B8" s="45" t="s">
        <v>180</v>
      </c>
      <c r="C8" s="45"/>
      <c r="D8" s="45"/>
      <c r="E8" s="9">
        <v>5</v>
      </c>
      <c r="F8" s="10">
        <v>3.75</v>
      </c>
      <c r="G8" s="11">
        <f>IFERROR(F8/E8,"")</f>
        <v>0.75</v>
      </c>
      <c r="H8" s="8" t="str">
        <f>_xlfn.IFS(F8="أدخل العلامة","",F8="لا ينطبق","تم الإلغاء",G8&gt;=90%,"ممتاز",G8&gt;=80%,"جيد جداً",G8&gt;=70%,"جيد",G8&gt;=60%,"مقبول",G8&lt;60%,"راسب")</f>
        <v>جيد</v>
      </c>
      <c r="I8" s="43"/>
      <c r="J8" s="44"/>
    </row>
    <row r="9" spans="1:10" ht="30" customHeight="1" x14ac:dyDescent="0.3">
      <c r="A9" s="15"/>
      <c r="B9" s="46" t="s">
        <v>181</v>
      </c>
      <c r="C9" s="46"/>
      <c r="D9" s="46"/>
      <c r="E9" s="9">
        <v>5</v>
      </c>
      <c r="F9" s="25">
        <v>3.5</v>
      </c>
      <c r="G9" s="11">
        <f>IFERROR(F9/E9,"")</f>
        <v>0.7</v>
      </c>
      <c r="H9" s="8" t="str">
        <f>_xlfn.IFS(F9="أدخل العلامة","",F9="لا ينطبق","تم الإلغاء",G9&gt;=90%,"ممتاز",G9&gt;=80%,"جيد جداً",G9&gt;=70%,"جيد",G9&gt;=60%,"مقبول",G9&lt;60%,"راسب")</f>
        <v>جيد</v>
      </c>
      <c r="I9" s="43"/>
      <c r="J9" s="44"/>
    </row>
    <row r="10" spans="1:10" ht="30" customHeight="1" x14ac:dyDescent="0.3">
      <c r="A10" s="15"/>
      <c r="B10" s="46" t="s">
        <v>182</v>
      </c>
      <c r="C10" s="46"/>
      <c r="D10" s="46"/>
      <c r="E10" s="12">
        <v>5</v>
      </c>
      <c r="F10" s="14">
        <v>3.75</v>
      </c>
      <c r="G10" s="11">
        <f t="shared" ref="G10:G22" si="0">IFERROR(F10/E10,"")</f>
        <v>0.75</v>
      </c>
      <c r="H10" s="8" t="str">
        <f t="shared" ref="H10:H22" si="1">_xlfn.IFS(F10="أدخل العلامة","",F10="لا ينطبق","تم الإلغاء",G10&gt;=90%,"ممتاز",G10&gt;=80%,"جيد جداً",G10&gt;=70%,"جيد",G10&gt;=60%,"مقبول",G10&lt;60%,"راسب")</f>
        <v>جيد</v>
      </c>
      <c r="I10" s="33"/>
      <c r="J10" s="34"/>
    </row>
    <row r="11" spans="1:10" ht="30" customHeight="1" x14ac:dyDescent="0.3">
      <c r="A11" s="15"/>
      <c r="B11" s="46" t="s">
        <v>183</v>
      </c>
      <c r="C11" s="46"/>
      <c r="D11" s="46"/>
      <c r="E11" s="9">
        <v>5</v>
      </c>
      <c r="F11" s="14">
        <v>3.5</v>
      </c>
      <c r="G11" s="11">
        <f t="shared" si="0"/>
        <v>0.7</v>
      </c>
      <c r="H11" s="8" t="str">
        <f t="shared" si="1"/>
        <v>جيد</v>
      </c>
      <c r="I11" s="33"/>
      <c r="J11" s="34"/>
    </row>
    <row r="12" spans="1:10" ht="30" customHeight="1" x14ac:dyDescent="0.3">
      <c r="A12" s="15"/>
      <c r="B12" s="46" t="s">
        <v>184</v>
      </c>
      <c r="C12" s="46"/>
      <c r="D12" s="46"/>
      <c r="E12" s="12">
        <v>5</v>
      </c>
      <c r="F12" s="14">
        <v>3.75</v>
      </c>
      <c r="G12" s="11">
        <f t="shared" si="0"/>
        <v>0.75</v>
      </c>
      <c r="H12" s="8" t="str">
        <f t="shared" si="1"/>
        <v>جيد</v>
      </c>
      <c r="I12" s="33"/>
      <c r="J12" s="34"/>
    </row>
    <row r="13" spans="1:10" ht="30" customHeight="1" x14ac:dyDescent="0.3">
      <c r="A13" s="15"/>
      <c r="B13" s="46" t="s">
        <v>185</v>
      </c>
      <c r="C13" s="46"/>
      <c r="D13" s="46"/>
      <c r="E13" s="9">
        <v>5</v>
      </c>
      <c r="F13" s="14">
        <v>3.75</v>
      </c>
      <c r="G13" s="11">
        <f t="shared" si="0"/>
        <v>0.75</v>
      </c>
      <c r="H13" s="8" t="str">
        <f t="shared" si="1"/>
        <v>جيد</v>
      </c>
      <c r="I13" s="33"/>
      <c r="J13" s="34"/>
    </row>
    <row r="14" spans="1:10" ht="30" customHeight="1" x14ac:dyDescent="0.3">
      <c r="A14" s="15"/>
      <c r="B14" s="46" t="s">
        <v>186</v>
      </c>
      <c r="C14" s="46"/>
      <c r="D14" s="46"/>
      <c r="E14" s="12">
        <v>5</v>
      </c>
      <c r="F14" s="14">
        <v>3.75</v>
      </c>
      <c r="G14" s="11">
        <f t="shared" si="0"/>
        <v>0.75</v>
      </c>
      <c r="H14" s="8" t="str">
        <f t="shared" si="1"/>
        <v>جيد</v>
      </c>
      <c r="I14" s="33"/>
      <c r="J14" s="34"/>
    </row>
    <row r="15" spans="1:10" ht="30" customHeight="1" x14ac:dyDescent="0.3">
      <c r="A15" s="15"/>
      <c r="B15" s="46" t="s">
        <v>187</v>
      </c>
      <c r="C15" s="46"/>
      <c r="D15" s="46"/>
      <c r="E15" s="9">
        <v>5</v>
      </c>
      <c r="F15" s="14">
        <v>3.5</v>
      </c>
      <c r="G15" s="11">
        <f t="shared" si="0"/>
        <v>0.7</v>
      </c>
      <c r="H15" s="8" t="str">
        <f t="shared" si="1"/>
        <v>جيد</v>
      </c>
      <c r="I15" s="33"/>
      <c r="J15" s="34"/>
    </row>
    <row r="16" spans="1:10" ht="30" customHeight="1" x14ac:dyDescent="0.3">
      <c r="A16" s="15"/>
      <c r="B16" s="46" t="s">
        <v>188</v>
      </c>
      <c r="C16" s="46"/>
      <c r="D16" s="46"/>
      <c r="E16" s="12">
        <v>5</v>
      </c>
      <c r="F16" s="14">
        <v>3.75</v>
      </c>
      <c r="G16" s="11">
        <f t="shared" si="0"/>
        <v>0.75</v>
      </c>
      <c r="H16" s="8" t="str">
        <f t="shared" si="1"/>
        <v>جيد</v>
      </c>
      <c r="I16" s="33"/>
      <c r="J16" s="34"/>
    </row>
    <row r="17" spans="1:10" ht="30" customHeight="1" x14ac:dyDescent="0.3">
      <c r="A17" s="15"/>
      <c r="B17" s="46" t="s">
        <v>189</v>
      </c>
      <c r="C17" s="46"/>
      <c r="D17" s="46"/>
      <c r="E17" s="9">
        <v>5</v>
      </c>
      <c r="F17" s="14">
        <v>3.75</v>
      </c>
      <c r="G17" s="11">
        <f t="shared" si="0"/>
        <v>0.75</v>
      </c>
      <c r="H17" s="8" t="str">
        <f t="shared" si="1"/>
        <v>جيد</v>
      </c>
      <c r="I17" s="33"/>
      <c r="J17" s="34"/>
    </row>
    <row r="18" spans="1:10" ht="30" customHeight="1" x14ac:dyDescent="0.3">
      <c r="A18" s="15"/>
      <c r="B18" s="46" t="s">
        <v>190</v>
      </c>
      <c r="C18" s="46"/>
      <c r="D18" s="46"/>
      <c r="E18" s="12">
        <v>5</v>
      </c>
      <c r="F18" s="14">
        <v>3.75</v>
      </c>
      <c r="G18" s="11">
        <f t="shared" si="0"/>
        <v>0.75</v>
      </c>
      <c r="H18" s="8" t="str">
        <f t="shared" si="1"/>
        <v>جيد</v>
      </c>
      <c r="I18" s="33"/>
      <c r="J18" s="34"/>
    </row>
    <row r="19" spans="1:10" ht="30" customHeight="1" x14ac:dyDescent="0.3">
      <c r="A19" s="15"/>
      <c r="B19" s="46" t="s">
        <v>191</v>
      </c>
      <c r="C19" s="46"/>
      <c r="D19" s="46"/>
      <c r="E19" s="9">
        <v>5</v>
      </c>
      <c r="F19" s="14">
        <v>3.75</v>
      </c>
      <c r="G19" s="11">
        <f t="shared" si="0"/>
        <v>0.75</v>
      </c>
      <c r="H19" s="8" t="str">
        <f t="shared" si="1"/>
        <v>جيد</v>
      </c>
      <c r="I19" s="33"/>
      <c r="J19" s="34"/>
    </row>
    <row r="20" spans="1:10" ht="30" customHeight="1" x14ac:dyDescent="0.3">
      <c r="A20" s="15"/>
      <c r="B20" s="46" t="s">
        <v>192</v>
      </c>
      <c r="C20" s="46"/>
      <c r="D20" s="46"/>
      <c r="E20" s="12">
        <v>5</v>
      </c>
      <c r="F20" s="14">
        <v>3.5</v>
      </c>
      <c r="G20" s="11">
        <f t="shared" si="0"/>
        <v>0.7</v>
      </c>
      <c r="H20" s="8" t="str">
        <f t="shared" si="1"/>
        <v>جيد</v>
      </c>
      <c r="I20" s="33"/>
      <c r="J20" s="34"/>
    </row>
    <row r="21" spans="1:10" ht="39.9" customHeight="1" x14ac:dyDescent="0.3">
      <c r="A21" s="15"/>
      <c r="B21" s="46" t="s">
        <v>193</v>
      </c>
      <c r="C21" s="46"/>
      <c r="D21" s="46"/>
      <c r="E21" s="9">
        <v>5</v>
      </c>
      <c r="F21" s="14">
        <v>3.75</v>
      </c>
      <c r="G21" s="11">
        <f t="shared" si="0"/>
        <v>0.75</v>
      </c>
      <c r="H21" s="8" t="str">
        <f t="shared" si="1"/>
        <v>جيد</v>
      </c>
      <c r="I21" s="33"/>
      <c r="J21" s="34"/>
    </row>
    <row r="22" spans="1:10" ht="30" customHeight="1" thickBot="1" x14ac:dyDescent="0.35">
      <c r="A22" s="15"/>
      <c r="B22" s="56" t="s">
        <v>194</v>
      </c>
      <c r="C22" s="56"/>
      <c r="D22" s="56"/>
      <c r="E22" s="12">
        <v>5</v>
      </c>
      <c r="F22" s="14">
        <v>3.75</v>
      </c>
      <c r="G22" s="11">
        <f t="shared" si="0"/>
        <v>0.75</v>
      </c>
      <c r="H22" s="8" t="str">
        <f t="shared" si="1"/>
        <v>جيد</v>
      </c>
      <c r="I22" s="33"/>
      <c r="J22" s="34"/>
    </row>
    <row r="23" spans="1:10" ht="30" customHeight="1" thickBot="1" x14ac:dyDescent="0.35">
      <c r="A23" s="4"/>
      <c r="B23" s="68" t="s">
        <v>5</v>
      </c>
      <c r="C23" s="41"/>
      <c r="D23" s="41"/>
      <c r="E23" s="13">
        <f>SUM(E8:E22)</f>
        <v>75</v>
      </c>
      <c r="F23" s="13">
        <f>SUM(F8:F22)</f>
        <v>55.25</v>
      </c>
      <c r="G23" s="59"/>
      <c r="H23" s="60"/>
      <c r="I23" s="60"/>
      <c r="J23" s="61"/>
    </row>
    <row r="24" spans="1:10" ht="30" customHeight="1" thickBot="1" x14ac:dyDescent="0.35">
      <c r="A24" s="4"/>
      <c r="B24" s="68" t="s">
        <v>54</v>
      </c>
      <c r="C24" s="41"/>
      <c r="D24" s="41"/>
      <c r="E24" s="54">
        <f>F23/E23/100*100</f>
        <v>0.73666666666666669</v>
      </c>
      <c r="F24" s="54"/>
      <c r="G24" s="54"/>
      <c r="H24" s="54"/>
      <c r="I24" s="54"/>
      <c r="J24" s="55"/>
    </row>
    <row r="25" spans="1:10" ht="30" customHeight="1" thickBot="1" x14ac:dyDescent="0.35">
      <c r="A25" s="4"/>
      <c r="B25" s="68" t="s">
        <v>55</v>
      </c>
      <c r="C25" s="41"/>
      <c r="D25" s="41"/>
      <c r="E25" s="66" t="str">
        <f>_xlfn.IFS(E24&gt;=90%,"ممتاز",E24&gt;=80%,"جيد جداً",E24&gt;=70%,"جيد",E24&gt;=60%,"مقبول",E24&lt;60%,"راسب")</f>
        <v>جيد</v>
      </c>
      <c r="F25" s="66"/>
      <c r="G25" s="66"/>
      <c r="H25" s="66"/>
      <c r="I25" s="66"/>
      <c r="J25" s="67"/>
    </row>
    <row r="26" spans="1:10" ht="42" customHeight="1" x14ac:dyDescent="0.3">
      <c r="B26" s="62" t="s">
        <v>174</v>
      </c>
      <c r="C26" s="62"/>
      <c r="D26" s="62"/>
      <c r="E26" s="57" t="s">
        <v>52</v>
      </c>
      <c r="F26" s="57"/>
      <c r="G26" s="64" t="s">
        <v>59</v>
      </c>
      <c r="H26" s="64"/>
      <c r="I26" s="64"/>
      <c r="J26" s="64"/>
    </row>
    <row r="27" spans="1:10" ht="51" customHeight="1" x14ac:dyDescent="0.3">
      <c r="A27" s="5"/>
      <c r="B27" s="63"/>
      <c r="C27" s="63"/>
      <c r="D27" s="63"/>
      <c r="E27" s="58" t="s">
        <v>53</v>
      </c>
      <c r="F27" s="58"/>
      <c r="G27" s="65"/>
      <c r="H27" s="65"/>
      <c r="I27" s="65"/>
      <c r="J27" s="65"/>
    </row>
  </sheetData>
  <sheetProtection formatCells="0" formatColumns="0" formatRows="0" insertColumns="0" insertRows="0" insertHyperlinks="0" deleteColumns="0" deleteRows="0" selectLockedCells="1" sort="0" autoFilter="0" pivotTables="0"/>
  <mergeCells count="52"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E26:F26"/>
    <mergeCell ref="E27:F27"/>
    <mergeCell ref="G23:J23"/>
    <mergeCell ref="B26:D27"/>
    <mergeCell ref="G26:J26"/>
    <mergeCell ref="G27:J27"/>
    <mergeCell ref="E25:J25"/>
    <mergeCell ref="B23:D23"/>
    <mergeCell ref="B24:D24"/>
    <mergeCell ref="B25:D25"/>
    <mergeCell ref="I19:J19"/>
    <mergeCell ref="I20:J20"/>
    <mergeCell ref="I21:J21"/>
    <mergeCell ref="I22:J22"/>
    <mergeCell ref="E24:J24"/>
    <mergeCell ref="B1:J1"/>
    <mergeCell ref="F2:J2"/>
    <mergeCell ref="B5:D6"/>
    <mergeCell ref="C2:D2"/>
    <mergeCell ref="C3:D3"/>
    <mergeCell ref="F3:J3"/>
    <mergeCell ref="F4:I4"/>
    <mergeCell ref="B7:D7"/>
    <mergeCell ref="E5:H5"/>
    <mergeCell ref="I5:J6"/>
    <mergeCell ref="I7:J7"/>
    <mergeCell ref="I10:J10"/>
    <mergeCell ref="I9:J9"/>
    <mergeCell ref="B8:D8"/>
    <mergeCell ref="B9:D9"/>
    <mergeCell ref="B10:D10"/>
    <mergeCell ref="I8:J8"/>
    <mergeCell ref="I16:J16"/>
    <mergeCell ref="I17:J17"/>
    <mergeCell ref="I18:J18"/>
    <mergeCell ref="I11:J11"/>
    <mergeCell ref="I12:J12"/>
    <mergeCell ref="I13:J13"/>
    <mergeCell ref="I14:J14"/>
    <mergeCell ref="I15:J15"/>
  </mergeCells>
  <conditionalFormatting sqref="C2:D2">
    <cfRule type="containsText" dxfId="16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15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25">
    <cfRule type="expression" dxfId="14" priority="57">
      <formula>$E25="راسب"</formula>
    </cfRule>
  </conditionalFormatting>
  <conditionalFormatting sqref="E25:J25">
    <cfRule type="expression" dxfId="13" priority="58">
      <formula>$E25="مقبول"</formula>
    </cfRule>
    <cfRule type="expression" dxfId="12" priority="59">
      <formula>$E25="جيد"</formula>
    </cfRule>
    <cfRule type="expression" dxfId="11" priority="60">
      <formula>$E25="جيد جداً"</formula>
    </cfRule>
    <cfRule type="expression" dxfId="10" priority="61">
      <formula>$E25="ممتاز"</formula>
    </cfRule>
  </conditionalFormatting>
  <conditionalFormatting sqref="F8:F22">
    <cfRule type="containsText" dxfId="9" priority="4" operator="containsText" text="أدخل العلامة">
      <formula>NOT(ISERROR(SEARCH("أدخل العلامة",F8)))</formula>
    </cfRule>
  </conditionalFormatting>
  <conditionalFormatting sqref="F2:J2">
    <cfRule type="containsText" dxfId="8" priority="19" operator="containsText" text="أدخل التاريخ">
      <formula>NOT(ISERROR(SEARCH("أدخل التاريخ",F2)))</formula>
    </cfRule>
  </conditionalFormatting>
  <conditionalFormatting sqref="F3:J3">
    <cfRule type="containsText" dxfId="7" priority="16" operator="containsText" text="أدخل أسم المحكم">
      <formula>NOT(ISERROR(SEARCH("أدخل أسم المحكم",F3)))</formula>
    </cfRule>
  </conditionalFormatting>
  <conditionalFormatting sqref="G26:J26">
    <cfRule type="containsText" dxfId="6" priority="15" operator="containsText" text="أدخل اسم المحكم">
      <formula>NOT(ISERROR(SEARCH("أدخل اسم المحكم",G26)))</formula>
    </cfRule>
  </conditionalFormatting>
  <conditionalFormatting sqref="H8:H22">
    <cfRule type="containsText" dxfId="5" priority="5" operator="containsText" text="أدخل العلامة">
      <formula>NOT(ISERROR(SEARCH("أدخل العلامة",H8)))</formula>
    </cfRule>
    <cfRule type="containsText" dxfId="4" priority="6" operator="containsText" text="ممتاز">
      <formula>NOT(ISERROR(SEARCH("ممتاز",H8)))</formula>
    </cfRule>
    <cfRule type="containsText" dxfId="3" priority="7" operator="containsText" text="جيد جداً">
      <formula>NOT(ISERROR(SEARCH("جيد جداً",H8)))</formula>
    </cfRule>
    <cfRule type="containsText" dxfId="2" priority="8" operator="containsText" text="جيد">
      <formula>NOT(ISERROR(SEARCH("جيد",H8)))</formula>
    </cfRule>
    <cfRule type="containsText" dxfId="1" priority="9" operator="containsText" text="مقبول">
      <formula>NOT(ISERROR(SEARCH("مقبول",H8)))</formula>
    </cfRule>
    <cfRule type="containsText" dxfId="0" priority="10" operator="containsText" text="راسب">
      <formula>NOT(ISERROR(SEARCH("راسب",H8)))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74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F27846E5-4775-4613-AD3F-6A647663FDD7}">
          <x14:formula1>
            <xm:f>'بيانات التقييم'!$A$38:$A$106</xm:f>
          </x14:formula1>
          <xm:sqref>F2:J2</xm:sqref>
        </x14:dataValidation>
        <x14:dataValidation type="list" allowBlank="1" showInputMessage="1" showErrorMessage="1" xr:uid="{29F5EBBB-8CF0-4EBC-9568-49582573F3A1}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 xr:uid="{5A7ADC9F-6098-4415-8DD4-849A148D02E3}">
          <x14:formula1>
            <xm:f>'بيانات التقييم'!$A$111:$A$133</xm:f>
          </x14:formula1>
          <xm:sqref>F8:F22</xm:sqref>
        </x14:dataValidation>
        <x14:dataValidation type="list" allowBlank="1" showInputMessage="1" showErrorMessage="1" xr:uid="{BD8CB5A2-5F32-4EAD-A63C-382D3B90B847}">
          <x14:formula1>
            <xm:f>'بيانات التقييم'!$A$198:$A$286</xm:f>
          </x14:formula1>
          <xm:sqref>G26:J26 F3:J3</xm:sqref>
        </x14:dataValidation>
        <x14:dataValidation type="list" allowBlank="1" showInputMessage="1" showErrorMessage="1" xr:uid="{132078BB-599D-4F0E-87F8-5A950BE5625D}">
          <x14:formula1>
            <xm:f>'بيانات التقييم'!$C$1:$C$31</xm:f>
          </x14:formula1>
          <xm:sqref>C3:D3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8"/>
  <sheetViews>
    <sheetView rightToLeft="1" topLeftCell="A110" workbookViewId="0">
      <selection activeCell="A64" sqref="A64"/>
    </sheetView>
  </sheetViews>
  <sheetFormatPr defaultRowHeight="20.100000000000001" customHeight="1" x14ac:dyDescent="0.3"/>
  <cols>
    <col min="1" max="1" width="42.5546875" style="1" customWidth="1"/>
    <col min="2" max="2" width="24.88671875" style="1" customWidth="1"/>
    <col min="3" max="3" width="59.88671875" style="1" customWidth="1"/>
    <col min="4" max="9" width="9" style="1"/>
  </cols>
  <sheetData>
    <row r="1" spans="1:3" ht="20.100000000000001" customHeight="1" thickBot="1" x14ac:dyDescent="0.35">
      <c r="A1" s="2" t="s">
        <v>57</v>
      </c>
      <c r="C1" s="2" t="s">
        <v>60</v>
      </c>
    </row>
    <row r="2" spans="1:3" ht="20.100000000000001" customHeight="1" thickBot="1" x14ac:dyDescent="0.35">
      <c r="A2" s="2" t="s">
        <v>35</v>
      </c>
      <c r="C2" s="26" t="s">
        <v>62</v>
      </c>
    </row>
    <row r="3" spans="1:3" ht="20.100000000000001" customHeight="1" thickBot="1" x14ac:dyDescent="0.35">
      <c r="A3" s="2" t="s">
        <v>26</v>
      </c>
      <c r="C3" s="26" t="s">
        <v>63</v>
      </c>
    </row>
    <row r="4" spans="1:3" ht="20.100000000000001" customHeight="1" thickBot="1" x14ac:dyDescent="0.35">
      <c r="A4" s="2" t="s">
        <v>36</v>
      </c>
      <c r="C4" s="26" t="s">
        <v>64</v>
      </c>
    </row>
    <row r="5" spans="1:3" ht="20.100000000000001" customHeight="1" thickBot="1" x14ac:dyDescent="0.35">
      <c r="A5" s="2" t="s">
        <v>37</v>
      </c>
      <c r="C5" s="26" t="s">
        <v>65</v>
      </c>
    </row>
    <row r="6" spans="1:3" ht="20.100000000000001" customHeight="1" thickBot="1" x14ac:dyDescent="0.35">
      <c r="A6" s="2" t="s">
        <v>38</v>
      </c>
      <c r="C6" s="26" t="s">
        <v>66</v>
      </c>
    </row>
    <row r="7" spans="1:3" ht="20.100000000000001" customHeight="1" thickBot="1" x14ac:dyDescent="0.35">
      <c r="A7" s="2" t="s">
        <v>39</v>
      </c>
      <c r="C7" s="26" t="s">
        <v>67</v>
      </c>
    </row>
    <row r="8" spans="1:3" ht="20.100000000000001" customHeight="1" thickBot="1" x14ac:dyDescent="0.35">
      <c r="A8" s="2" t="s">
        <v>40</v>
      </c>
      <c r="C8" s="26" t="s">
        <v>68</v>
      </c>
    </row>
    <row r="9" spans="1:3" ht="20.100000000000001" customHeight="1" thickBot="1" x14ac:dyDescent="0.35">
      <c r="A9" s="2" t="s">
        <v>41</v>
      </c>
      <c r="C9" s="26" t="s">
        <v>69</v>
      </c>
    </row>
    <row r="10" spans="1:3" ht="20.100000000000001" customHeight="1" thickBot="1" x14ac:dyDescent="0.35">
      <c r="A10" s="2" t="s">
        <v>42</v>
      </c>
      <c r="C10" s="26" t="s">
        <v>70</v>
      </c>
    </row>
    <row r="11" spans="1:3" ht="20.100000000000001" customHeight="1" thickBot="1" x14ac:dyDescent="0.35">
      <c r="A11" s="2" t="s">
        <v>43</v>
      </c>
      <c r="C11" s="26" t="s">
        <v>71</v>
      </c>
    </row>
    <row r="12" spans="1:3" ht="20.100000000000001" customHeight="1" thickBot="1" x14ac:dyDescent="0.35">
      <c r="A12" s="2" t="s">
        <v>44</v>
      </c>
      <c r="C12" s="26" t="s">
        <v>72</v>
      </c>
    </row>
    <row r="13" spans="1:3" ht="20.100000000000001" customHeight="1" thickBot="1" x14ac:dyDescent="0.35">
      <c r="A13" s="2" t="s">
        <v>45</v>
      </c>
      <c r="C13" s="26" t="s">
        <v>73</v>
      </c>
    </row>
    <row r="14" spans="1:3" ht="20.100000000000001" customHeight="1" thickBot="1" x14ac:dyDescent="0.35">
      <c r="A14" s="2" t="s">
        <v>46</v>
      </c>
      <c r="C14" s="26" t="s">
        <v>74</v>
      </c>
    </row>
    <row r="15" spans="1:3" ht="20.100000000000001" customHeight="1" thickBot="1" x14ac:dyDescent="0.35">
      <c r="A15" s="2" t="s">
        <v>47</v>
      </c>
      <c r="C15" s="26" t="s">
        <v>75</v>
      </c>
    </row>
    <row r="16" spans="1:3" ht="20.100000000000001" customHeight="1" thickBot="1" x14ac:dyDescent="0.35">
      <c r="A16" s="2" t="s">
        <v>10</v>
      </c>
      <c r="C16" s="26" t="s">
        <v>76</v>
      </c>
    </row>
    <row r="17" spans="1:3" ht="20.100000000000001" customHeight="1" thickBot="1" x14ac:dyDescent="0.35">
      <c r="A17" s="2" t="s">
        <v>27</v>
      </c>
      <c r="C17" s="26" t="s">
        <v>77</v>
      </c>
    </row>
    <row r="18" spans="1:3" ht="20.100000000000001" customHeight="1" thickBot="1" x14ac:dyDescent="0.35">
      <c r="A18" s="2" t="s">
        <v>48</v>
      </c>
      <c r="C18" s="26" t="s">
        <v>78</v>
      </c>
    </row>
    <row r="19" spans="1:3" ht="20.100000000000001" customHeight="1" thickBot="1" x14ac:dyDescent="0.35">
      <c r="A19" s="2" t="s">
        <v>49</v>
      </c>
      <c r="C19" s="26" t="s">
        <v>79</v>
      </c>
    </row>
    <row r="20" spans="1:3" ht="20.100000000000001" customHeight="1" thickBot="1" x14ac:dyDescent="0.35">
      <c r="A20" s="2" t="s">
        <v>50</v>
      </c>
      <c r="C20" s="26" t="s">
        <v>80</v>
      </c>
    </row>
    <row r="21" spans="1:3" ht="20.100000000000001" customHeight="1" thickBot="1" x14ac:dyDescent="0.35">
      <c r="A21" s="2" t="s">
        <v>51</v>
      </c>
      <c r="C21" s="26" t="s">
        <v>81</v>
      </c>
    </row>
    <row r="22" spans="1:3" ht="20.100000000000001" customHeight="1" thickBot="1" x14ac:dyDescent="0.35">
      <c r="A22" s="2" t="s">
        <v>11</v>
      </c>
      <c r="C22" s="26" t="s">
        <v>82</v>
      </c>
    </row>
    <row r="23" spans="1:3" ht="20.100000000000001" customHeight="1" thickBot="1" x14ac:dyDescent="0.35">
      <c r="A23" s="2" t="s">
        <v>12</v>
      </c>
      <c r="C23" s="26" t="s">
        <v>83</v>
      </c>
    </row>
    <row r="24" spans="1:3" ht="20.100000000000001" customHeight="1" thickBot="1" x14ac:dyDescent="0.35">
      <c r="A24" s="2" t="s">
        <v>15</v>
      </c>
      <c r="C24" s="26" t="s">
        <v>84</v>
      </c>
    </row>
    <row r="25" spans="1:3" ht="20.100000000000001" customHeight="1" thickBot="1" x14ac:dyDescent="0.35">
      <c r="A25" s="2" t="s">
        <v>28</v>
      </c>
      <c r="C25" s="26" t="s">
        <v>85</v>
      </c>
    </row>
    <row r="26" spans="1:3" ht="20.100000000000001" customHeight="1" thickBot="1" x14ac:dyDescent="0.35">
      <c r="A26" s="2" t="s">
        <v>29</v>
      </c>
      <c r="C26" s="26" t="s">
        <v>86</v>
      </c>
    </row>
    <row r="27" spans="1:3" ht="20.100000000000001" customHeight="1" thickBot="1" x14ac:dyDescent="0.35">
      <c r="A27" s="2" t="s">
        <v>13</v>
      </c>
      <c r="C27" s="26" t="s">
        <v>87</v>
      </c>
    </row>
    <row r="28" spans="1:3" ht="20.100000000000001" customHeight="1" thickBot="1" x14ac:dyDescent="0.35">
      <c r="A28" s="2" t="s">
        <v>30</v>
      </c>
      <c r="C28" s="26" t="s">
        <v>88</v>
      </c>
    </row>
    <row r="29" spans="1:3" ht="20.100000000000001" customHeight="1" thickBot="1" x14ac:dyDescent="0.35">
      <c r="A29" s="2" t="s">
        <v>31</v>
      </c>
      <c r="C29" s="26" t="s">
        <v>177</v>
      </c>
    </row>
    <row r="30" spans="1:3" ht="20.100000000000001" customHeight="1" thickBot="1" x14ac:dyDescent="0.35">
      <c r="A30" s="2" t="s">
        <v>32</v>
      </c>
      <c r="C30" s="26" t="s">
        <v>178</v>
      </c>
    </row>
    <row r="31" spans="1:3" ht="20.100000000000001" customHeight="1" thickBot="1" x14ac:dyDescent="0.35">
      <c r="A31" s="2" t="s">
        <v>33</v>
      </c>
      <c r="C31" s="26" t="s">
        <v>179</v>
      </c>
    </row>
    <row r="32" spans="1:3" ht="20.100000000000001" customHeight="1" thickBot="1" x14ac:dyDescent="0.35">
      <c r="A32" s="2" t="s">
        <v>16</v>
      </c>
      <c r="C32" s="26"/>
    </row>
    <row r="33" spans="1:9" ht="20.100000000000001" customHeight="1" thickBot="1" x14ac:dyDescent="0.35">
      <c r="A33" s="2" t="s">
        <v>14</v>
      </c>
      <c r="C33" s="26"/>
    </row>
    <row r="34" spans="1:9" ht="20.100000000000001" customHeight="1" thickBot="1" x14ac:dyDescent="0.35">
      <c r="A34" s="2" t="s">
        <v>34</v>
      </c>
      <c r="C34" s="26"/>
    </row>
    <row r="35" spans="1:9" ht="20.100000000000001" customHeight="1" x14ac:dyDescent="0.3">
      <c r="A35" s="24"/>
    </row>
    <row r="36" spans="1:9" s="23" customFormat="1" ht="20.100000000000001" customHeight="1" x14ac:dyDescent="0.3">
      <c r="A36" s="21"/>
      <c r="B36" s="22"/>
      <c r="C36" s="22"/>
      <c r="D36" s="22"/>
      <c r="E36" s="22"/>
      <c r="F36" s="22"/>
      <c r="G36" s="22"/>
      <c r="H36" s="22"/>
      <c r="I36" s="22"/>
    </row>
    <row r="37" spans="1:9" ht="20.100000000000001" customHeight="1" thickBot="1" x14ac:dyDescent="0.35"/>
    <row r="38" spans="1:9" ht="20.100000000000001" customHeight="1" thickBot="1" x14ac:dyDescent="0.35">
      <c r="A38" s="2" t="s">
        <v>56</v>
      </c>
    </row>
    <row r="39" spans="1:9" ht="20.100000000000001" customHeight="1" thickBot="1" x14ac:dyDescent="0.35">
      <c r="A39" s="19">
        <v>45931</v>
      </c>
    </row>
    <row r="40" spans="1:9" ht="20.100000000000001" customHeight="1" thickBot="1" x14ac:dyDescent="0.35">
      <c r="A40" s="19">
        <v>45932</v>
      </c>
    </row>
    <row r="41" spans="1:9" ht="20.100000000000001" customHeight="1" thickBot="1" x14ac:dyDescent="0.35">
      <c r="A41" s="19">
        <v>45933</v>
      </c>
    </row>
    <row r="42" spans="1:9" ht="20.100000000000001" customHeight="1" thickBot="1" x14ac:dyDescent="0.35">
      <c r="A42" s="19">
        <v>45934</v>
      </c>
    </row>
    <row r="43" spans="1:9" ht="20.100000000000001" customHeight="1" thickBot="1" x14ac:dyDescent="0.35">
      <c r="A43" s="19">
        <v>45935</v>
      </c>
    </row>
    <row r="44" spans="1:9" ht="20.100000000000001" customHeight="1" thickBot="1" x14ac:dyDescent="0.35">
      <c r="A44" s="19">
        <v>45936</v>
      </c>
    </row>
    <row r="45" spans="1:9" ht="20.100000000000001" customHeight="1" thickBot="1" x14ac:dyDescent="0.35">
      <c r="A45" s="19">
        <v>45937</v>
      </c>
    </row>
    <row r="46" spans="1:9" ht="20.100000000000001" customHeight="1" thickBot="1" x14ac:dyDescent="0.35">
      <c r="A46" s="19">
        <v>45938</v>
      </c>
    </row>
    <row r="47" spans="1:9" ht="20.100000000000001" customHeight="1" thickBot="1" x14ac:dyDescent="0.35">
      <c r="A47" s="19">
        <v>45939</v>
      </c>
    </row>
    <row r="48" spans="1:9" ht="20.100000000000001" customHeight="1" thickBot="1" x14ac:dyDescent="0.35">
      <c r="A48" s="19">
        <v>45940</v>
      </c>
    </row>
    <row r="49" spans="1:1" ht="20.100000000000001" customHeight="1" thickBot="1" x14ac:dyDescent="0.35">
      <c r="A49" s="19">
        <v>45941</v>
      </c>
    </row>
    <row r="50" spans="1:1" ht="20.100000000000001" customHeight="1" thickBot="1" x14ac:dyDescent="0.35">
      <c r="A50" s="19">
        <v>45942</v>
      </c>
    </row>
    <row r="51" spans="1:1" ht="20.100000000000001" customHeight="1" thickBot="1" x14ac:dyDescent="0.35">
      <c r="A51" s="19">
        <v>45943</v>
      </c>
    </row>
    <row r="52" spans="1:1" ht="20.100000000000001" customHeight="1" thickBot="1" x14ac:dyDescent="0.35">
      <c r="A52" s="19">
        <v>45944</v>
      </c>
    </row>
    <row r="53" spans="1:1" ht="20.100000000000001" customHeight="1" thickBot="1" x14ac:dyDescent="0.35">
      <c r="A53" s="19">
        <v>45945</v>
      </c>
    </row>
    <row r="54" spans="1:1" ht="20.100000000000001" customHeight="1" thickBot="1" x14ac:dyDescent="0.35">
      <c r="A54" s="19">
        <v>45946</v>
      </c>
    </row>
    <row r="55" spans="1:1" ht="20.100000000000001" customHeight="1" thickBot="1" x14ac:dyDescent="0.35">
      <c r="A55" s="19">
        <v>45947</v>
      </c>
    </row>
    <row r="56" spans="1:1" ht="20.100000000000001" customHeight="1" thickBot="1" x14ac:dyDescent="0.35">
      <c r="A56" s="19">
        <v>45948</v>
      </c>
    </row>
    <row r="57" spans="1:1" ht="20.100000000000001" customHeight="1" thickBot="1" x14ac:dyDescent="0.35">
      <c r="A57" s="19">
        <v>45949</v>
      </c>
    </row>
    <row r="58" spans="1:1" ht="20.100000000000001" customHeight="1" thickBot="1" x14ac:dyDescent="0.35">
      <c r="A58" s="19">
        <v>45950</v>
      </c>
    </row>
    <row r="59" spans="1:1" ht="20.100000000000001" customHeight="1" thickBot="1" x14ac:dyDescent="0.35">
      <c r="A59" s="19">
        <v>45951</v>
      </c>
    </row>
    <row r="60" spans="1:1" ht="20.100000000000001" customHeight="1" thickBot="1" x14ac:dyDescent="0.35">
      <c r="A60" s="19">
        <v>45952</v>
      </c>
    </row>
    <row r="61" spans="1:1" ht="20.100000000000001" customHeight="1" thickBot="1" x14ac:dyDescent="0.35">
      <c r="A61" s="19">
        <v>45953</v>
      </c>
    </row>
    <row r="62" spans="1:1" ht="20.100000000000001" customHeight="1" thickBot="1" x14ac:dyDescent="0.35">
      <c r="A62" s="19">
        <v>45954</v>
      </c>
    </row>
    <row r="63" spans="1:1" ht="20.100000000000001" customHeight="1" thickBot="1" x14ac:dyDescent="0.35">
      <c r="A63" s="19">
        <v>45955</v>
      </c>
    </row>
    <row r="64" spans="1:1" ht="20.100000000000001" customHeight="1" thickBot="1" x14ac:dyDescent="0.35">
      <c r="A64" s="19">
        <v>45956</v>
      </c>
    </row>
    <row r="65" spans="1:1" ht="20.100000000000001" customHeight="1" thickBot="1" x14ac:dyDescent="0.35">
      <c r="A65" s="19">
        <v>45957</v>
      </c>
    </row>
    <row r="66" spans="1:1" ht="20.100000000000001" customHeight="1" thickBot="1" x14ac:dyDescent="0.35">
      <c r="A66" s="19">
        <v>45958</v>
      </c>
    </row>
    <row r="67" spans="1:1" ht="20.100000000000001" customHeight="1" thickBot="1" x14ac:dyDescent="0.35">
      <c r="A67" s="19">
        <v>45959</v>
      </c>
    </row>
    <row r="68" spans="1:1" ht="20.100000000000001" customHeight="1" thickBot="1" x14ac:dyDescent="0.35">
      <c r="A68" s="19">
        <v>45960</v>
      </c>
    </row>
    <row r="69" spans="1:1" ht="20.100000000000001" customHeight="1" thickBot="1" x14ac:dyDescent="0.35">
      <c r="A69" s="19">
        <v>45961</v>
      </c>
    </row>
    <row r="70" spans="1:1" ht="20.100000000000001" customHeight="1" thickBot="1" x14ac:dyDescent="0.35">
      <c r="A70" s="19"/>
    </row>
    <row r="71" spans="1:1" ht="20.100000000000001" customHeight="1" thickBot="1" x14ac:dyDescent="0.35">
      <c r="A71" s="19"/>
    </row>
    <row r="72" spans="1:1" ht="20.100000000000001" customHeight="1" thickBot="1" x14ac:dyDescent="0.35">
      <c r="A72" s="19"/>
    </row>
    <row r="73" spans="1:1" ht="20.100000000000001" customHeight="1" thickBot="1" x14ac:dyDescent="0.35">
      <c r="A73" s="19"/>
    </row>
    <row r="74" spans="1:1" ht="20.100000000000001" customHeight="1" thickBot="1" x14ac:dyDescent="0.35">
      <c r="A74" s="19"/>
    </row>
    <row r="75" spans="1:1" ht="20.100000000000001" customHeight="1" thickBot="1" x14ac:dyDescent="0.35">
      <c r="A75" s="19"/>
    </row>
    <row r="76" spans="1:1" ht="20.100000000000001" customHeight="1" thickBot="1" x14ac:dyDescent="0.35">
      <c r="A76" s="19"/>
    </row>
    <row r="77" spans="1:1" ht="20.100000000000001" customHeight="1" thickBot="1" x14ac:dyDescent="0.35">
      <c r="A77" s="19"/>
    </row>
    <row r="78" spans="1:1" ht="20.100000000000001" customHeight="1" thickBot="1" x14ac:dyDescent="0.35">
      <c r="A78" s="19"/>
    </row>
    <row r="79" spans="1:1" ht="20.100000000000001" customHeight="1" thickBot="1" x14ac:dyDescent="0.35">
      <c r="A79" s="19"/>
    </row>
    <row r="80" spans="1:1" ht="20.100000000000001" customHeight="1" thickBot="1" x14ac:dyDescent="0.35">
      <c r="A80" s="19"/>
    </row>
    <row r="81" spans="1:1" ht="20.100000000000001" customHeight="1" thickBot="1" x14ac:dyDescent="0.35">
      <c r="A81" s="19"/>
    </row>
    <row r="82" spans="1:1" ht="20.100000000000001" customHeight="1" thickBot="1" x14ac:dyDescent="0.35">
      <c r="A82" s="19"/>
    </row>
    <row r="83" spans="1:1" ht="20.100000000000001" customHeight="1" thickBot="1" x14ac:dyDescent="0.35">
      <c r="A83" s="19"/>
    </row>
    <row r="84" spans="1:1" ht="20.100000000000001" customHeight="1" thickBot="1" x14ac:dyDescent="0.35">
      <c r="A84" s="19"/>
    </row>
    <row r="85" spans="1:1" ht="20.100000000000001" customHeight="1" thickBot="1" x14ac:dyDescent="0.35">
      <c r="A85" s="19"/>
    </row>
    <row r="86" spans="1:1" ht="20.100000000000001" customHeight="1" thickBot="1" x14ac:dyDescent="0.35">
      <c r="A86" s="19"/>
    </row>
    <row r="87" spans="1:1" ht="20.100000000000001" customHeight="1" thickBot="1" x14ac:dyDescent="0.35">
      <c r="A87" s="19"/>
    </row>
    <row r="88" spans="1:1" ht="20.100000000000001" customHeight="1" thickBot="1" x14ac:dyDescent="0.35">
      <c r="A88" s="19"/>
    </row>
    <row r="89" spans="1:1" ht="20.100000000000001" customHeight="1" thickBot="1" x14ac:dyDescent="0.35">
      <c r="A89" s="19"/>
    </row>
    <row r="90" spans="1:1" ht="20.100000000000001" customHeight="1" thickBot="1" x14ac:dyDescent="0.35">
      <c r="A90" s="19"/>
    </row>
    <row r="91" spans="1:1" ht="20.100000000000001" customHeight="1" thickBot="1" x14ac:dyDescent="0.35">
      <c r="A91" s="19"/>
    </row>
    <row r="92" spans="1:1" ht="20.100000000000001" customHeight="1" thickBot="1" x14ac:dyDescent="0.35">
      <c r="A92" s="19"/>
    </row>
    <row r="93" spans="1:1" ht="20.100000000000001" customHeight="1" thickBot="1" x14ac:dyDescent="0.35">
      <c r="A93" s="19"/>
    </row>
    <row r="94" spans="1:1" ht="20.100000000000001" customHeight="1" thickBot="1" x14ac:dyDescent="0.35">
      <c r="A94" s="19"/>
    </row>
    <row r="95" spans="1:1" ht="20.100000000000001" customHeight="1" thickBot="1" x14ac:dyDescent="0.35">
      <c r="A95" s="19"/>
    </row>
    <row r="96" spans="1:1" ht="20.100000000000001" customHeight="1" thickBot="1" x14ac:dyDescent="0.35">
      <c r="A96" s="19"/>
    </row>
    <row r="97" spans="1:9" ht="20.100000000000001" customHeight="1" thickBot="1" x14ac:dyDescent="0.35">
      <c r="A97" s="19"/>
    </row>
    <row r="98" spans="1:9" ht="20.100000000000001" customHeight="1" thickBot="1" x14ac:dyDescent="0.35">
      <c r="A98" s="19"/>
    </row>
    <row r="99" spans="1:9" ht="20.100000000000001" customHeight="1" thickBot="1" x14ac:dyDescent="0.35">
      <c r="A99" s="19"/>
    </row>
    <row r="100" spans="1:9" ht="20.100000000000001" customHeight="1" thickBot="1" x14ac:dyDescent="0.35">
      <c r="A100" s="19"/>
    </row>
    <row r="101" spans="1:9" ht="20.100000000000001" customHeight="1" thickBot="1" x14ac:dyDescent="0.35">
      <c r="A101" s="19"/>
    </row>
    <row r="102" spans="1:9" ht="20.100000000000001" customHeight="1" thickBot="1" x14ac:dyDescent="0.35">
      <c r="A102" s="19"/>
    </row>
    <row r="103" spans="1:9" ht="20.100000000000001" customHeight="1" thickBot="1" x14ac:dyDescent="0.35">
      <c r="A103" s="19"/>
    </row>
    <row r="104" spans="1:9" ht="20.100000000000001" customHeight="1" thickBot="1" x14ac:dyDescent="0.35">
      <c r="A104" s="19"/>
    </row>
    <row r="105" spans="1:9" ht="20.100000000000001" customHeight="1" thickBot="1" x14ac:dyDescent="0.35">
      <c r="A105" s="19"/>
    </row>
    <row r="106" spans="1:9" ht="20.100000000000001" customHeight="1" thickBot="1" x14ac:dyDescent="0.35">
      <c r="A106" s="19"/>
    </row>
    <row r="107" spans="1:9" ht="20.100000000000001" customHeight="1" x14ac:dyDescent="0.3">
      <c r="A107" s="20"/>
    </row>
    <row r="108" spans="1:9" ht="20.100000000000001" customHeight="1" x14ac:dyDescent="0.3">
      <c r="A108" s="20"/>
    </row>
    <row r="109" spans="1:9" s="23" customFormat="1" ht="20.100000000000001" customHeight="1" x14ac:dyDescent="0.3">
      <c r="A109" s="21"/>
      <c r="B109" s="22"/>
      <c r="C109" s="22"/>
      <c r="D109" s="22"/>
      <c r="E109" s="22"/>
      <c r="F109" s="22"/>
      <c r="G109" s="22"/>
      <c r="H109" s="22"/>
      <c r="I109" s="22"/>
    </row>
    <row r="110" spans="1:9" ht="20.100000000000001" customHeight="1" thickBot="1" x14ac:dyDescent="0.35"/>
    <row r="111" spans="1:9" ht="20.100000000000001" customHeight="1" thickBot="1" x14ac:dyDescent="0.35">
      <c r="A111" s="2" t="s">
        <v>61</v>
      </c>
    </row>
    <row r="112" spans="1:9" ht="20.100000000000001" customHeight="1" thickBot="1" x14ac:dyDescent="0.35">
      <c r="A112" s="2" t="s">
        <v>17</v>
      </c>
    </row>
    <row r="113" spans="1:1" ht="20.100000000000001" customHeight="1" thickBot="1" x14ac:dyDescent="0.35">
      <c r="A113" s="2">
        <v>0</v>
      </c>
    </row>
    <row r="114" spans="1:1" ht="20.100000000000001" customHeight="1" thickBot="1" x14ac:dyDescent="0.35">
      <c r="A114" s="2">
        <v>0.25</v>
      </c>
    </row>
    <row r="115" spans="1:1" ht="20.100000000000001" customHeight="1" thickBot="1" x14ac:dyDescent="0.35">
      <c r="A115" s="2">
        <v>0.5</v>
      </c>
    </row>
    <row r="116" spans="1:1" ht="20.100000000000001" customHeight="1" thickBot="1" x14ac:dyDescent="0.35">
      <c r="A116" s="2">
        <v>0.75</v>
      </c>
    </row>
    <row r="117" spans="1:1" ht="20.100000000000001" customHeight="1" thickBot="1" x14ac:dyDescent="0.35">
      <c r="A117" s="2">
        <v>1</v>
      </c>
    </row>
    <row r="118" spans="1:1" ht="20.100000000000001" customHeight="1" thickBot="1" x14ac:dyDescent="0.35">
      <c r="A118" s="2">
        <v>1.25</v>
      </c>
    </row>
    <row r="119" spans="1:1" ht="20.100000000000001" customHeight="1" thickBot="1" x14ac:dyDescent="0.35">
      <c r="A119" s="2">
        <v>1.5</v>
      </c>
    </row>
    <row r="120" spans="1:1" ht="20.100000000000001" customHeight="1" thickBot="1" x14ac:dyDescent="0.35">
      <c r="A120" s="2">
        <v>1.75</v>
      </c>
    </row>
    <row r="121" spans="1:1" ht="20.100000000000001" customHeight="1" thickBot="1" x14ac:dyDescent="0.35">
      <c r="A121" s="2">
        <v>2</v>
      </c>
    </row>
    <row r="122" spans="1:1" ht="20.100000000000001" customHeight="1" thickBot="1" x14ac:dyDescent="0.35">
      <c r="A122" s="2">
        <v>2.25</v>
      </c>
    </row>
    <row r="123" spans="1:1" ht="20.100000000000001" customHeight="1" thickBot="1" x14ac:dyDescent="0.35">
      <c r="A123" s="2">
        <v>2.5</v>
      </c>
    </row>
    <row r="124" spans="1:1" ht="20.100000000000001" customHeight="1" thickBot="1" x14ac:dyDescent="0.35">
      <c r="A124" s="2">
        <v>2.75</v>
      </c>
    </row>
    <row r="125" spans="1:1" ht="20.100000000000001" customHeight="1" thickBot="1" x14ac:dyDescent="0.35">
      <c r="A125" s="2">
        <v>3</v>
      </c>
    </row>
    <row r="126" spans="1:1" ht="20.100000000000001" customHeight="1" thickBot="1" x14ac:dyDescent="0.35">
      <c r="A126" s="2">
        <v>3.25</v>
      </c>
    </row>
    <row r="127" spans="1:1" ht="20.100000000000001" customHeight="1" thickBot="1" x14ac:dyDescent="0.35">
      <c r="A127" s="2">
        <v>3.5</v>
      </c>
    </row>
    <row r="128" spans="1:1" ht="20.100000000000001" customHeight="1" thickBot="1" x14ac:dyDescent="0.35">
      <c r="A128" s="2">
        <v>3.75</v>
      </c>
    </row>
    <row r="129" spans="1:1" ht="20.100000000000001" customHeight="1" thickBot="1" x14ac:dyDescent="0.35">
      <c r="A129" s="2">
        <v>4</v>
      </c>
    </row>
    <row r="130" spans="1:1" ht="20.100000000000001" customHeight="1" thickBot="1" x14ac:dyDescent="0.35">
      <c r="A130" s="2">
        <v>4.25</v>
      </c>
    </row>
    <row r="131" spans="1:1" ht="20.100000000000001" customHeight="1" thickBot="1" x14ac:dyDescent="0.35">
      <c r="A131" s="2">
        <v>4.5</v>
      </c>
    </row>
    <row r="132" spans="1:1" ht="20.100000000000001" customHeight="1" thickBot="1" x14ac:dyDescent="0.35">
      <c r="A132" s="2">
        <v>4.75</v>
      </c>
    </row>
    <row r="133" spans="1:1" ht="20.100000000000001" customHeight="1" thickBot="1" x14ac:dyDescent="0.35">
      <c r="A133" s="2">
        <v>5</v>
      </c>
    </row>
    <row r="134" spans="1:1" ht="20.100000000000001" customHeight="1" thickBot="1" x14ac:dyDescent="0.35">
      <c r="A134" s="2">
        <v>5.25</v>
      </c>
    </row>
    <row r="135" spans="1:1" ht="20.100000000000001" customHeight="1" thickBot="1" x14ac:dyDescent="0.35">
      <c r="A135" s="2">
        <v>5.5</v>
      </c>
    </row>
    <row r="136" spans="1:1" ht="20.100000000000001" customHeight="1" thickBot="1" x14ac:dyDescent="0.35">
      <c r="A136" s="2">
        <v>5.75</v>
      </c>
    </row>
    <row r="137" spans="1:1" ht="20.100000000000001" customHeight="1" thickBot="1" x14ac:dyDescent="0.35">
      <c r="A137" s="2">
        <v>6</v>
      </c>
    </row>
    <row r="138" spans="1:1" ht="20.100000000000001" customHeight="1" thickBot="1" x14ac:dyDescent="0.35">
      <c r="A138" s="2">
        <v>6.25</v>
      </c>
    </row>
    <row r="139" spans="1:1" ht="20.100000000000001" customHeight="1" thickBot="1" x14ac:dyDescent="0.35">
      <c r="A139" s="2">
        <v>6.5</v>
      </c>
    </row>
    <row r="140" spans="1:1" ht="20.100000000000001" customHeight="1" thickBot="1" x14ac:dyDescent="0.35">
      <c r="A140" s="2">
        <v>6.75</v>
      </c>
    </row>
    <row r="141" spans="1:1" ht="20.100000000000001" customHeight="1" thickBot="1" x14ac:dyDescent="0.35">
      <c r="A141" s="2">
        <v>7</v>
      </c>
    </row>
    <row r="142" spans="1:1" ht="20.100000000000001" customHeight="1" thickBot="1" x14ac:dyDescent="0.35">
      <c r="A142" s="2">
        <v>7.25</v>
      </c>
    </row>
    <row r="143" spans="1:1" ht="20.100000000000001" customHeight="1" thickBot="1" x14ac:dyDescent="0.35">
      <c r="A143" s="2">
        <v>7.5</v>
      </c>
    </row>
    <row r="144" spans="1:1" ht="20.100000000000001" customHeight="1" thickBot="1" x14ac:dyDescent="0.35">
      <c r="A144" s="2">
        <v>7.75</v>
      </c>
    </row>
    <row r="145" spans="1:1" ht="20.100000000000001" customHeight="1" thickBot="1" x14ac:dyDescent="0.35">
      <c r="A145" s="2">
        <v>8</v>
      </c>
    </row>
    <row r="146" spans="1:1" ht="20.100000000000001" customHeight="1" thickBot="1" x14ac:dyDescent="0.35">
      <c r="A146" s="2">
        <v>8.25</v>
      </c>
    </row>
    <row r="147" spans="1:1" ht="20.100000000000001" customHeight="1" thickBot="1" x14ac:dyDescent="0.35">
      <c r="A147" s="2">
        <v>8.5</v>
      </c>
    </row>
    <row r="148" spans="1:1" ht="20.100000000000001" customHeight="1" thickBot="1" x14ac:dyDescent="0.35">
      <c r="A148" s="2">
        <v>8.75</v>
      </c>
    </row>
    <row r="149" spans="1:1" ht="20.100000000000001" customHeight="1" thickBot="1" x14ac:dyDescent="0.35">
      <c r="A149" s="2">
        <v>9</v>
      </c>
    </row>
    <row r="150" spans="1:1" ht="20.100000000000001" customHeight="1" thickBot="1" x14ac:dyDescent="0.35">
      <c r="A150" s="2">
        <v>9.25</v>
      </c>
    </row>
    <row r="151" spans="1:1" ht="20.100000000000001" customHeight="1" thickBot="1" x14ac:dyDescent="0.35">
      <c r="A151" s="2">
        <v>9.5</v>
      </c>
    </row>
    <row r="152" spans="1:1" ht="20.100000000000001" customHeight="1" thickBot="1" x14ac:dyDescent="0.35">
      <c r="A152" s="2">
        <v>9.75</v>
      </c>
    </row>
    <row r="153" spans="1:1" ht="20.100000000000001" customHeight="1" thickBot="1" x14ac:dyDescent="0.35">
      <c r="A153" s="2">
        <v>10</v>
      </c>
    </row>
    <row r="154" spans="1:1" ht="20.100000000000001" customHeight="1" thickBot="1" x14ac:dyDescent="0.35">
      <c r="A154" s="2">
        <v>10.25</v>
      </c>
    </row>
    <row r="155" spans="1:1" ht="20.100000000000001" customHeight="1" thickBot="1" x14ac:dyDescent="0.35">
      <c r="A155" s="2">
        <v>10.5</v>
      </c>
    </row>
    <row r="156" spans="1:1" ht="20.100000000000001" customHeight="1" thickBot="1" x14ac:dyDescent="0.35">
      <c r="A156" s="2">
        <v>10.75</v>
      </c>
    </row>
    <row r="157" spans="1:1" ht="20.100000000000001" customHeight="1" thickBot="1" x14ac:dyDescent="0.35">
      <c r="A157" s="2">
        <v>11</v>
      </c>
    </row>
    <row r="158" spans="1:1" ht="20.100000000000001" customHeight="1" thickBot="1" x14ac:dyDescent="0.35">
      <c r="A158" s="2">
        <v>11.25</v>
      </c>
    </row>
    <row r="159" spans="1:1" ht="20.100000000000001" customHeight="1" thickBot="1" x14ac:dyDescent="0.35">
      <c r="A159" s="2">
        <v>11.5</v>
      </c>
    </row>
    <row r="160" spans="1:1" ht="20.100000000000001" customHeight="1" thickBot="1" x14ac:dyDescent="0.35">
      <c r="A160" s="2">
        <v>11.75</v>
      </c>
    </row>
    <row r="161" spans="1:1" ht="20.100000000000001" customHeight="1" thickBot="1" x14ac:dyDescent="0.35">
      <c r="A161" s="2">
        <v>12</v>
      </c>
    </row>
    <row r="162" spans="1:1" ht="20.100000000000001" customHeight="1" thickBot="1" x14ac:dyDescent="0.35">
      <c r="A162" s="2">
        <v>12.25</v>
      </c>
    </row>
    <row r="163" spans="1:1" ht="20.100000000000001" customHeight="1" thickBot="1" x14ac:dyDescent="0.35">
      <c r="A163" s="2">
        <v>12.5</v>
      </c>
    </row>
    <row r="164" spans="1:1" ht="20.100000000000001" customHeight="1" thickBot="1" x14ac:dyDescent="0.35">
      <c r="A164" s="2">
        <v>12.75</v>
      </c>
    </row>
    <row r="165" spans="1:1" ht="20.100000000000001" customHeight="1" thickBot="1" x14ac:dyDescent="0.35">
      <c r="A165" s="2">
        <v>13</v>
      </c>
    </row>
    <row r="166" spans="1:1" ht="20.100000000000001" customHeight="1" thickBot="1" x14ac:dyDescent="0.35">
      <c r="A166" s="2">
        <v>13.25</v>
      </c>
    </row>
    <row r="167" spans="1:1" ht="20.100000000000001" customHeight="1" thickBot="1" x14ac:dyDescent="0.35">
      <c r="A167" s="2">
        <v>13.5</v>
      </c>
    </row>
    <row r="168" spans="1:1" ht="20.100000000000001" customHeight="1" thickBot="1" x14ac:dyDescent="0.35">
      <c r="A168" s="2">
        <v>13.75</v>
      </c>
    </row>
    <row r="169" spans="1:1" ht="20.100000000000001" customHeight="1" thickBot="1" x14ac:dyDescent="0.35">
      <c r="A169" s="2">
        <v>14</v>
      </c>
    </row>
    <row r="170" spans="1:1" ht="20.100000000000001" customHeight="1" thickBot="1" x14ac:dyDescent="0.35">
      <c r="A170" s="2">
        <v>14.25</v>
      </c>
    </row>
    <row r="171" spans="1:1" ht="20.100000000000001" customHeight="1" thickBot="1" x14ac:dyDescent="0.35">
      <c r="A171" s="2">
        <v>14.5</v>
      </c>
    </row>
    <row r="172" spans="1:1" ht="20.100000000000001" customHeight="1" thickBot="1" x14ac:dyDescent="0.35">
      <c r="A172" s="2">
        <v>14.75</v>
      </c>
    </row>
    <row r="173" spans="1:1" ht="20.100000000000001" customHeight="1" thickBot="1" x14ac:dyDescent="0.35">
      <c r="A173" s="2">
        <v>15</v>
      </c>
    </row>
    <row r="174" spans="1:1" ht="20.100000000000001" customHeight="1" thickBot="1" x14ac:dyDescent="0.35">
      <c r="A174" s="2">
        <v>15.25</v>
      </c>
    </row>
    <row r="175" spans="1:1" ht="20.100000000000001" customHeight="1" thickBot="1" x14ac:dyDescent="0.35">
      <c r="A175" s="2">
        <v>15.5</v>
      </c>
    </row>
    <row r="176" spans="1:1" ht="20.100000000000001" customHeight="1" thickBot="1" x14ac:dyDescent="0.35">
      <c r="A176" s="2">
        <v>15.75</v>
      </c>
    </row>
    <row r="177" spans="1:1" ht="20.100000000000001" customHeight="1" thickBot="1" x14ac:dyDescent="0.35">
      <c r="A177" s="2">
        <v>16</v>
      </c>
    </row>
    <row r="178" spans="1:1" ht="20.100000000000001" customHeight="1" thickBot="1" x14ac:dyDescent="0.35">
      <c r="A178" s="2">
        <v>16.25</v>
      </c>
    </row>
    <row r="179" spans="1:1" ht="20.100000000000001" customHeight="1" thickBot="1" x14ac:dyDescent="0.35">
      <c r="A179" s="2">
        <v>16.5</v>
      </c>
    </row>
    <row r="180" spans="1:1" ht="20.100000000000001" customHeight="1" thickBot="1" x14ac:dyDescent="0.35">
      <c r="A180" s="2">
        <v>16.75</v>
      </c>
    </row>
    <row r="181" spans="1:1" ht="20.100000000000001" customHeight="1" thickBot="1" x14ac:dyDescent="0.35">
      <c r="A181" s="2">
        <v>17</v>
      </c>
    </row>
    <row r="182" spans="1:1" ht="20.100000000000001" customHeight="1" thickBot="1" x14ac:dyDescent="0.35">
      <c r="A182" s="2">
        <v>17.25</v>
      </c>
    </row>
    <row r="183" spans="1:1" ht="20.100000000000001" customHeight="1" thickBot="1" x14ac:dyDescent="0.35">
      <c r="A183" s="2">
        <v>17.5</v>
      </c>
    </row>
    <row r="184" spans="1:1" ht="20.100000000000001" customHeight="1" thickBot="1" x14ac:dyDescent="0.35">
      <c r="A184" s="2">
        <v>17.75</v>
      </c>
    </row>
    <row r="185" spans="1:1" ht="20.100000000000001" customHeight="1" thickBot="1" x14ac:dyDescent="0.35">
      <c r="A185" s="2">
        <v>18</v>
      </c>
    </row>
    <row r="186" spans="1:1" ht="20.100000000000001" customHeight="1" thickBot="1" x14ac:dyDescent="0.35">
      <c r="A186" s="2">
        <v>18.25</v>
      </c>
    </row>
    <row r="187" spans="1:1" ht="20.100000000000001" customHeight="1" thickBot="1" x14ac:dyDescent="0.35">
      <c r="A187" s="2">
        <v>18.5</v>
      </c>
    </row>
    <row r="188" spans="1:1" ht="20.100000000000001" customHeight="1" thickBot="1" x14ac:dyDescent="0.35">
      <c r="A188" s="2">
        <v>18.75</v>
      </c>
    </row>
    <row r="189" spans="1:1" ht="20.100000000000001" customHeight="1" thickBot="1" x14ac:dyDescent="0.35">
      <c r="A189" s="2">
        <v>19</v>
      </c>
    </row>
    <row r="190" spans="1:1" ht="20.100000000000001" customHeight="1" thickBot="1" x14ac:dyDescent="0.35">
      <c r="A190" s="2">
        <v>19.25</v>
      </c>
    </row>
    <row r="191" spans="1:1" ht="20.100000000000001" customHeight="1" thickBot="1" x14ac:dyDescent="0.35">
      <c r="A191" s="2">
        <v>19.5</v>
      </c>
    </row>
    <row r="192" spans="1:1" ht="20.100000000000001" customHeight="1" thickBot="1" x14ac:dyDescent="0.35">
      <c r="A192" s="2">
        <v>19.75</v>
      </c>
    </row>
    <row r="193" spans="1:1" ht="20.100000000000001" customHeight="1" thickBot="1" x14ac:dyDescent="0.35">
      <c r="A193" s="2">
        <v>20</v>
      </c>
    </row>
    <row r="197" spans="1:1" ht="20.100000000000001" customHeight="1" thickBot="1" x14ac:dyDescent="0.35"/>
    <row r="198" spans="1:1" ht="20.100000000000001" customHeight="1" thickBot="1" x14ac:dyDescent="0.35">
      <c r="A198" s="2" t="s">
        <v>59</v>
      </c>
    </row>
    <row r="199" spans="1:1" ht="20.100000000000001" customHeight="1" x14ac:dyDescent="0.3">
      <c r="A199" s="27" t="s">
        <v>89</v>
      </c>
    </row>
    <row r="200" spans="1:1" ht="20.100000000000001" customHeight="1" x14ac:dyDescent="0.3">
      <c r="A200" s="27" t="s">
        <v>90</v>
      </c>
    </row>
    <row r="201" spans="1:1" ht="20.100000000000001" customHeight="1" x14ac:dyDescent="0.3">
      <c r="A201" s="27" t="s">
        <v>91</v>
      </c>
    </row>
    <row r="202" spans="1:1" ht="20.100000000000001" customHeight="1" x14ac:dyDescent="0.3">
      <c r="A202" s="27" t="s">
        <v>92</v>
      </c>
    </row>
    <row r="203" spans="1:1" ht="20.100000000000001" customHeight="1" x14ac:dyDescent="0.3">
      <c r="A203" s="27" t="s">
        <v>93</v>
      </c>
    </row>
    <row r="204" spans="1:1" ht="20.100000000000001" customHeight="1" x14ac:dyDescent="0.3">
      <c r="A204" s="27" t="s">
        <v>94</v>
      </c>
    </row>
    <row r="205" spans="1:1" ht="20.100000000000001" customHeight="1" x14ac:dyDescent="0.3">
      <c r="A205" s="27" t="s">
        <v>95</v>
      </c>
    </row>
    <row r="206" spans="1:1" ht="20.100000000000001" customHeight="1" x14ac:dyDescent="0.3">
      <c r="A206" s="27" t="s">
        <v>96</v>
      </c>
    </row>
    <row r="207" spans="1:1" ht="20.100000000000001" customHeight="1" x14ac:dyDescent="0.3">
      <c r="A207" s="27" t="s">
        <v>97</v>
      </c>
    </row>
    <row r="208" spans="1:1" ht="20.100000000000001" customHeight="1" x14ac:dyDescent="0.3">
      <c r="A208" s="28" t="s">
        <v>98</v>
      </c>
    </row>
    <row r="209" spans="1:1" ht="20.100000000000001" customHeight="1" x14ac:dyDescent="0.3">
      <c r="A209" s="28" t="s">
        <v>99</v>
      </c>
    </row>
    <row r="210" spans="1:1" ht="20.100000000000001" customHeight="1" x14ac:dyDescent="0.3">
      <c r="A210" s="27" t="s">
        <v>100</v>
      </c>
    </row>
    <row r="211" spans="1:1" ht="20.100000000000001" customHeight="1" x14ac:dyDescent="0.3">
      <c r="A211" s="27" t="s">
        <v>101</v>
      </c>
    </row>
    <row r="212" spans="1:1" ht="20.100000000000001" customHeight="1" x14ac:dyDescent="0.3">
      <c r="A212" s="27" t="s">
        <v>175</v>
      </c>
    </row>
    <row r="213" spans="1:1" ht="20.100000000000001" customHeight="1" x14ac:dyDescent="0.3">
      <c r="A213" s="27" t="s">
        <v>102</v>
      </c>
    </row>
    <row r="214" spans="1:1" ht="20.100000000000001" customHeight="1" x14ac:dyDescent="0.3">
      <c r="A214" s="27" t="s">
        <v>103</v>
      </c>
    </row>
    <row r="215" spans="1:1" ht="20.100000000000001" customHeight="1" x14ac:dyDescent="0.3">
      <c r="A215" s="27" t="s">
        <v>104</v>
      </c>
    </row>
    <row r="216" spans="1:1" ht="20.100000000000001" customHeight="1" x14ac:dyDescent="0.3">
      <c r="A216" s="27" t="s">
        <v>105</v>
      </c>
    </row>
    <row r="217" spans="1:1" ht="20.100000000000001" customHeight="1" x14ac:dyDescent="0.3">
      <c r="A217" s="27" t="s">
        <v>106</v>
      </c>
    </row>
    <row r="218" spans="1:1" ht="20.100000000000001" customHeight="1" x14ac:dyDescent="0.3">
      <c r="A218" s="27" t="s">
        <v>107</v>
      </c>
    </row>
    <row r="219" spans="1:1" ht="20.100000000000001" customHeight="1" x14ac:dyDescent="0.3">
      <c r="A219" s="27" t="s">
        <v>108</v>
      </c>
    </row>
    <row r="220" spans="1:1" ht="20.100000000000001" customHeight="1" x14ac:dyDescent="0.3">
      <c r="A220" s="27" t="s">
        <v>109</v>
      </c>
    </row>
    <row r="221" spans="1:1" ht="20.100000000000001" customHeight="1" x14ac:dyDescent="0.3">
      <c r="A221" s="27" t="s">
        <v>110</v>
      </c>
    </row>
    <row r="222" spans="1:1" ht="20.100000000000001" customHeight="1" x14ac:dyDescent="0.3">
      <c r="A222" s="27" t="s">
        <v>111</v>
      </c>
    </row>
    <row r="223" spans="1:1" ht="20.100000000000001" customHeight="1" x14ac:dyDescent="0.3">
      <c r="A223" s="27" t="s">
        <v>112</v>
      </c>
    </row>
    <row r="224" spans="1:1" ht="20.100000000000001" customHeight="1" x14ac:dyDescent="0.3">
      <c r="A224" s="27" t="s">
        <v>176</v>
      </c>
    </row>
    <row r="225" spans="1:1" ht="20.100000000000001" customHeight="1" x14ac:dyDescent="0.3">
      <c r="A225" s="27" t="s">
        <v>113</v>
      </c>
    </row>
    <row r="226" spans="1:1" ht="20.100000000000001" customHeight="1" x14ac:dyDescent="0.3">
      <c r="A226" s="27" t="s">
        <v>114</v>
      </c>
    </row>
    <row r="227" spans="1:1" ht="20.100000000000001" customHeight="1" x14ac:dyDescent="0.3">
      <c r="A227" s="27" t="s">
        <v>115</v>
      </c>
    </row>
    <row r="228" spans="1:1" ht="20.100000000000001" customHeight="1" x14ac:dyDescent="0.3">
      <c r="A228" s="27" t="s">
        <v>116</v>
      </c>
    </row>
    <row r="229" spans="1:1" ht="20.100000000000001" customHeight="1" x14ac:dyDescent="0.3">
      <c r="A229" s="27" t="s">
        <v>117</v>
      </c>
    </row>
    <row r="230" spans="1:1" ht="20.100000000000001" customHeight="1" x14ac:dyDescent="0.3">
      <c r="A230" s="27" t="s">
        <v>118</v>
      </c>
    </row>
    <row r="231" spans="1:1" ht="20.100000000000001" customHeight="1" x14ac:dyDescent="0.3">
      <c r="A231" s="27" t="s">
        <v>119</v>
      </c>
    </row>
    <row r="232" spans="1:1" ht="20.100000000000001" customHeight="1" x14ac:dyDescent="0.3">
      <c r="A232" s="27" t="s">
        <v>120</v>
      </c>
    </row>
    <row r="233" spans="1:1" ht="20.100000000000001" customHeight="1" x14ac:dyDescent="0.3">
      <c r="A233" s="27" t="s">
        <v>121</v>
      </c>
    </row>
    <row r="234" spans="1:1" ht="20.100000000000001" customHeight="1" x14ac:dyDescent="0.3">
      <c r="A234" s="27" t="s">
        <v>122</v>
      </c>
    </row>
    <row r="235" spans="1:1" ht="20.100000000000001" customHeight="1" x14ac:dyDescent="0.3">
      <c r="A235" s="27" t="s">
        <v>123</v>
      </c>
    </row>
    <row r="236" spans="1:1" ht="20.100000000000001" customHeight="1" x14ac:dyDescent="0.3">
      <c r="A236" s="29" t="s">
        <v>124</v>
      </c>
    </row>
    <row r="237" spans="1:1" ht="20.100000000000001" customHeight="1" x14ac:dyDescent="0.3">
      <c r="A237" s="27" t="s">
        <v>125</v>
      </c>
    </row>
    <row r="238" spans="1:1" ht="20.100000000000001" customHeight="1" x14ac:dyDescent="0.3">
      <c r="A238" s="27" t="s">
        <v>126</v>
      </c>
    </row>
    <row r="239" spans="1:1" ht="20.100000000000001" customHeight="1" x14ac:dyDescent="0.3">
      <c r="A239" s="27" t="s">
        <v>127</v>
      </c>
    </row>
    <row r="240" spans="1:1" ht="20.100000000000001" customHeight="1" x14ac:dyDescent="0.3">
      <c r="A240" s="27" t="s">
        <v>128</v>
      </c>
    </row>
    <row r="241" spans="1:1" ht="20.100000000000001" customHeight="1" x14ac:dyDescent="0.3">
      <c r="A241" s="27" t="s">
        <v>129</v>
      </c>
    </row>
    <row r="242" spans="1:1" ht="20.100000000000001" customHeight="1" x14ac:dyDescent="0.3">
      <c r="A242" s="27" t="s">
        <v>130</v>
      </c>
    </row>
    <row r="243" spans="1:1" ht="20.100000000000001" customHeight="1" x14ac:dyDescent="0.3">
      <c r="A243" s="27" t="s">
        <v>131</v>
      </c>
    </row>
    <row r="244" spans="1:1" ht="20.100000000000001" customHeight="1" x14ac:dyDescent="0.3">
      <c r="A244" s="27" t="s">
        <v>132</v>
      </c>
    </row>
    <row r="245" spans="1:1" ht="20.100000000000001" customHeight="1" x14ac:dyDescent="0.3">
      <c r="A245" s="27" t="s">
        <v>133</v>
      </c>
    </row>
    <row r="246" spans="1:1" ht="20.100000000000001" customHeight="1" x14ac:dyDescent="0.3">
      <c r="A246" s="27" t="s">
        <v>134</v>
      </c>
    </row>
    <row r="247" spans="1:1" ht="20.100000000000001" customHeight="1" x14ac:dyDescent="0.3">
      <c r="A247" s="27" t="s">
        <v>135</v>
      </c>
    </row>
    <row r="248" spans="1:1" ht="20.100000000000001" customHeight="1" x14ac:dyDescent="0.3">
      <c r="A248" s="27" t="s">
        <v>126</v>
      </c>
    </row>
    <row r="249" spans="1:1" ht="20.100000000000001" customHeight="1" x14ac:dyDescent="0.3">
      <c r="A249" s="27" t="s">
        <v>136</v>
      </c>
    </row>
    <row r="250" spans="1:1" ht="20.100000000000001" customHeight="1" x14ac:dyDescent="0.3">
      <c r="A250" s="27" t="s">
        <v>137</v>
      </c>
    </row>
    <row r="251" spans="1:1" ht="20.100000000000001" customHeight="1" x14ac:dyDescent="0.3">
      <c r="A251" s="29" t="s">
        <v>138</v>
      </c>
    </row>
    <row r="252" spans="1:1" ht="20.100000000000001" customHeight="1" x14ac:dyDescent="0.3">
      <c r="A252" s="30" t="s">
        <v>139</v>
      </c>
    </row>
    <row r="253" spans="1:1" ht="20.100000000000001" customHeight="1" x14ac:dyDescent="0.3">
      <c r="A253" s="27" t="s">
        <v>140</v>
      </c>
    </row>
    <row r="254" spans="1:1" ht="20.100000000000001" customHeight="1" x14ac:dyDescent="0.3">
      <c r="A254" s="27" t="s">
        <v>141</v>
      </c>
    </row>
    <row r="255" spans="1:1" ht="20.100000000000001" customHeight="1" x14ac:dyDescent="0.3">
      <c r="A255" s="31" t="s">
        <v>142</v>
      </c>
    </row>
    <row r="256" spans="1:1" ht="20.100000000000001" customHeight="1" x14ac:dyDescent="0.3">
      <c r="A256" s="31" t="s">
        <v>143</v>
      </c>
    </row>
    <row r="257" spans="1:1" ht="20.100000000000001" customHeight="1" x14ac:dyDescent="0.3">
      <c r="A257" s="32" t="s">
        <v>144</v>
      </c>
    </row>
    <row r="258" spans="1:1" ht="20.100000000000001" customHeight="1" x14ac:dyDescent="0.3">
      <c r="A258" s="27" t="s">
        <v>145</v>
      </c>
    </row>
    <row r="259" spans="1:1" ht="20.100000000000001" customHeight="1" x14ac:dyDescent="0.3">
      <c r="A259" s="32" t="s">
        <v>146</v>
      </c>
    </row>
    <row r="260" spans="1:1" ht="20.100000000000001" customHeight="1" x14ac:dyDescent="0.3">
      <c r="A260" s="27" t="s">
        <v>147</v>
      </c>
    </row>
    <row r="261" spans="1:1" ht="20.100000000000001" customHeight="1" x14ac:dyDescent="0.3">
      <c r="A261" s="32" t="s">
        <v>148</v>
      </c>
    </row>
    <row r="262" spans="1:1" ht="20.100000000000001" customHeight="1" x14ac:dyDescent="0.3">
      <c r="A262" s="27" t="s">
        <v>149</v>
      </c>
    </row>
    <row r="263" spans="1:1" ht="20.100000000000001" customHeight="1" x14ac:dyDescent="0.3">
      <c r="A263" s="27" t="s">
        <v>150</v>
      </c>
    </row>
    <row r="264" spans="1:1" ht="20.100000000000001" customHeight="1" x14ac:dyDescent="0.3">
      <c r="A264" s="32" t="s">
        <v>151</v>
      </c>
    </row>
    <row r="265" spans="1:1" ht="20.100000000000001" customHeight="1" x14ac:dyDescent="0.3">
      <c r="A265" s="32" t="s">
        <v>152</v>
      </c>
    </row>
    <row r="266" spans="1:1" ht="20.100000000000001" customHeight="1" x14ac:dyDescent="0.3">
      <c r="A266" s="32" t="s">
        <v>153</v>
      </c>
    </row>
    <row r="267" spans="1:1" ht="20.100000000000001" customHeight="1" x14ac:dyDescent="0.3">
      <c r="A267" s="27" t="s">
        <v>154</v>
      </c>
    </row>
    <row r="268" spans="1:1" ht="20.100000000000001" customHeight="1" x14ac:dyDescent="0.3">
      <c r="A268" s="27" t="s">
        <v>155</v>
      </c>
    </row>
    <row r="269" spans="1:1" ht="20.100000000000001" customHeight="1" x14ac:dyDescent="0.3">
      <c r="A269" s="27" t="s">
        <v>156</v>
      </c>
    </row>
    <row r="270" spans="1:1" ht="20.100000000000001" customHeight="1" x14ac:dyDescent="0.3">
      <c r="A270" s="27" t="s">
        <v>157</v>
      </c>
    </row>
    <row r="271" spans="1:1" ht="20.100000000000001" customHeight="1" x14ac:dyDescent="0.3">
      <c r="A271" s="32" t="s">
        <v>158</v>
      </c>
    </row>
    <row r="272" spans="1:1" ht="20.100000000000001" customHeight="1" x14ac:dyDescent="0.3">
      <c r="A272" s="32" t="s">
        <v>159</v>
      </c>
    </row>
    <row r="273" spans="1:1" ht="20.100000000000001" customHeight="1" x14ac:dyDescent="0.3">
      <c r="A273" s="27" t="s">
        <v>160</v>
      </c>
    </row>
    <row r="274" spans="1:1" ht="20.100000000000001" customHeight="1" x14ac:dyDescent="0.3">
      <c r="A274" s="32" t="s">
        <v>161</v>
      </c>
    </row>
    <row r="275" spans="1:1" ht="20.100000000000001" customHeight="1" x14ac:dyDescent="0.3">
      <c r="A275" s="32" t="s">
        <v>162</v>
      </c>
    </row>
    <row r="276" spans="1:1" ht="20.100000000000001" customHeight="1" x14ac:dyDescent="0.3">
      <c r="A276" s="27" t="s">
        <v>163</v>
      </c>
    </row>
    <row r="277" spans="1:1" ht="20.100000000000001" customHeight="1" x14ac:dyDescent="0.3">
      <c r="A277" s="27" t="s">
        <v>164</v>
      </c>
    </row>
    <row r="278" spans="1:1" ht="20.100000000000001" customHeight="1" x14ac:dyDescent="0.3">
      <c r="A278" s="32" t="s">
        <v>165</v>
      </c>
    </row>
    <row r="279" spans="1:1" ht="20.100000000000001" customHeight="1" x14ac:dyDescent="0.3">
      <c r="A279" s="27" t="s">
        <v>166</v>
      </c>
    </row>
    <row r="280" spans="1:1" ht="20.100000000000001" customHeight="1" x14ac:dyDescent="0.3">
      <c r="A280" s="27" t="s">
        <v>167</v>
      </c>
    </row>
    <row r="281" spans="1:1" ht="20.100000000000001" customHeight="1" x14ac:dyDescent="0.3">
      <c r="A281" s="27" t="s">
        <v>168</v>
      </c>
    </row>
    <row r="282" spans="1:1" ht="20.100000000000001" customHeight="1" x14ac:dyDescent="0.3">
      <c r="A282" s="27" t="s">
        <v>169</v>
      </c>
    </row>
    <row r="283" spans="1:1" ht="20.100000000000001" customHeight="1" x14ac:dyDescent="0.3">
      <c r="A283" s="32" t="s">
        <v>170</v>
      </c>
    </row>
    <row r="284" spans="1:1" ht="20.100000000000001" customHeight="1" x14ac:dyDescent="0.3">
      <c r="A284" s="32" t="s">
        <v>171</v>
      </c>
    </row>
    <row r="285" spans="1:1" ht="20.100000000000001" customHeight="1" x14ac:dyDescent="0.3">
      <c r="A285" s="32" t="s">
        <v>172</v>
      </c>
    </row>
    <row r="286" spans="1:1" ht="20.100000000000001" customHeight="1" thickBot="1" x14ac:dyDescent="0.35">
      <c r="A286" s="27" t="s">
        <v>173</v>
      </c>
    </row>
    <row r="287" spans="1:1" ht="20.100000000000001" customHeight="1" thickBot="1" x14ac:dyDescent="0.35">
      <c r="A287" s="2" t="s">
        <v>58</v>
      </c>
    </row>
    <row r="288" spans="1:1" ht="20.100000000000001" customHeight="1" thickBot="1" x14ac:dyDescent="0.35">
      <c r="A288" s="2" t="s">
        <v>58</v>
      </c>
    </row>
    <row r="289" spans="1:1" ht="20.100000000000001" customHeight="1" thickBot="1" x14ac:dyDescent="0.35">
      <c r="A289" s="2" t="s">
        <v>58</v>
      </c>
    </row>
    <row r="290" spans="1:1" ht="20.100000000000001" customHeight="1" thickBot="1" x14ac:dyDescent="0.35">
      <c r="A290" s="2" t="s">
        <v>58</v>
      </c>
    </row>
    <row r="291" spans="1:1" ht="20.100000000000001" customHeight="1" thickBot="1" x14ac:dyDescent="0.35">
      <c r="A291" s="2" t="s">
        <v>58</v>
      </c>
    </row>
    <row r="292" spans="1:1" ht="20.100000000000001" customHeight="1" thickBot="1" x14ac:dyDescent="0.35">
      <c r="A292" s="2" t="s">
        <v>58</v>
      </c>
    </row>
    <row r="293" spans="1:1" ht="20.100000000000001" customHeight="1" thickBot="1" x14ac:dyDescent="0.35">
      <c r="A293" s="2" t="s">
        <v>58</v>
      </c>
    </row>
    <row r="294" spans="1:1" ht="20.100000000000001" customHeight="1" thickBot="1" x14ac:dyDescent="0.35">
      <c r="A294" s="2" t="s">
        <v>58</v>
      </c>
    </row>
    <row r="295" spans="1:1" ht="20.100000000000001" customHeight="1" thickBot="1" x14ac:dyDescent="0.35">
      <c r="A295" s="2" t="s">
        <v>58</v>
      </c>
    </row>
    <row r="296" spans="1:1" ht="20.100000000000001" customHeight="1" thickBot="1" x14ac:dyDescent="0.35">
      <c r="A296" s="2" t="s">
        <v>58</v>
      </c>
    </row>
    <row r="297" spans="1:1" ht="20.100000000000001" customHeight="1" thickBot="1" x14ac:dyDescent="0.35">
      <c r="A297" s="2" t="s">
        <v>58</v>
      </c>
    </row>
    <row r="298" spans="1:1" ht="20.100000000000001" customHeight="1" thickBot="1" x14ac:dyDescent="0.35">
      <c r="A298" s="2" t="s">
        <v>58</v>
      </c>
    </row>
    <row r="299" spans="1:1" ht="20.100000000000001" customHeight="1" thickBot="1" x14ac:dyDescent="0.35">
      <c r="A299" s="2" t="s">
        <v>58</v>
      </c>
    </row>
    <row r="300" spans="1:1" ht="20.100000000000001" customHeight="1" thickBot="1" x14ac:dyDescent="0.35">
      <c r="A300" s="2" t="s">
        <v>58</v>
      </c>
    </row>
    <row r="301" spans="1:1" ht="20.100000000000001" customHeight="1" thickBot="1" x14ac:dyDescent="0.35">
      <c r="A301" s="2" t="s">
        <v>58</v>
      </c>
    </row>
    <row r="302" spans="1:1" ht="20.100000000000001" customHeight="1" thickBot="1" x14ac:dyDescent="0.35">
      <c r="A302" s="2" t="s">
        <v>58</v>
      </c>
    </row>
    <row r="303" spans="1:1" ht="20.100000000000001" customHeight="1" thickBot="1" x14ac:dyDescent="0.35">
      <c r="A303" s="2" t="s">
        <v>58</v>
      </c>
    </row>
    <row r="304" spans="1:1" ht="20.100000000000001" customHeight="1" thickBot="1" x14ac:dyDescent="0.35">
      <c r="A304" s="2" t="s">
        <v>58</v>
      </c>
    </row>
    <row r="305" spans="1:1" ht="20.100000000000001" customHeight="1" thickBot="1" x14ac:dyDescent="0.35">
      <c r="A305" s="2" t="s">
        <v>58</v>
      </c>
    </row>
    <row r="306" spans="1:1" ht="20.100000000000001" customHeight="1" thickBot="1" x14ac:dyDescent="0.35">
      <c r="A306" s="2" t="s">
        <v>58</v>
      </c>
    </row>
    <row r="307" spans="1:1" ht="20.100000000000001" customHeight="1" thickBot="1" x14ac:dyDescent="0.35">
      <c r="A307" s="2" t="s">
        <v>58</v>
      </c>
    </row>
    <row r="308" spans="1:1" ht="20.100000000000001" customHeight="1" thickBot="1" x14ac:dyDescent="0.35">
      <c r="A308" s="2" t="s">
        <v>58</v>
      </c>
    </row>
    <row r="309" spans="1:1" ht="20.100000000000001" customHeight="1" thickBot="1" x14ac:dyDescent="0.35">
      <c r="A309" s="2" t="s">
        <v>58</v>
      </c>
    </row>
    <row r="310" spans="1:1" ht="20.100000000000001" customHeight="1" thickBot="1" x14ac:dyDescent="0.35">
      <c r="A310" s="2" t="s">
        <v>58</v>
      </c>
    </row>
    <row r="311" spans="1:1" ht="20.100000000000001" customHeight="1" thickBot="1" x14ac:dyDescent="0.35">
      <c r="A311" s="2" t="s">
        <v>58</v>
      </c>
    </row>
    <row r="312" spans="1:1" ht="20.100000000000001" customHeight="1" thickBot="1" x14ac:dyDescent="0.35">
      <c r="A312" s="2" t="s">
        <v>58</v>
      </c>
    </row>
    <row r="313" spans="1:1" ht="20.100000000000001" customHeight="1" thickBot="1" x14ac:dyDescent="0.35">
      <c r="A313" s="2" t="s">
        <v>58</v>
      </c>
    </row>
    <row r="314" spans="1:1" ht="20.100000000000001" customHeight="1" thickBot="1" x14ac:dyDescent="0.35">
      <c r="A314" s="2" t="s">
        <v>58</v>
      </c>
    </row>
    <row r="315" spans="1:1" ht="20.100000000000001" customHeight="1" thickBot="1" x14ac:dyDescent="0.35">
      <c r="A315" s="2" t="s">
        <v>58</v>
      </c>
    </row>
    <row r="316" spans="1:1" ht="20.100000000000001" customHeight="1" thickBot="1" x14ac:dyDescent="0.35">
      <c r="A316" s="2" t="s">
        <v>58</v>
      </c>
    </row>
    <row r="317" spans="1:1" ht="20.100000000000001" customHeight="1" thickBot="1" x14ac:dyDescent="0.35">
      <c r="A317" s="2" t="s">
        <v>58</v>
      </c>
    </row>
    <row r="318" spans="1:1" ht="20.100000000000001" customHeight="1" thickBot="1" x14ac:dyDescent="0.35">
      <c r="A318" s="2" t="s">
        <v>58</v>
      </c>
    </row>
    <row r="319" spans="1:1" ht="20.100000000000001" customHeight="1" thickBot="1" x14ac:dyDescent="0.35">
      <c r="A319" s="2" t="s">
        <v>58</v>
      </c>
    </row>
    <row r="320" spans="1:1" ht="20.100000000000001" customHeight="1" thickBot="1" x14ac:dyDescent="0.35">
      <c r="A320" s="2" t="s">
        <v>58</v>
      </c>
    </row>
    <row r="321" spans="1:1" ht="20.100000000000001" customHeight="1" thickBot="1" x14ac:dyDescent="0.35">
      <c r="A321" s="2" t="s">
        <v>58</v>
      </c>
    </row>
    <row r="322" spans="1:1" ht="20.100000000000001" customHeight="1" thickBot="1" x14ac:dyDescent="0.35">
      <c r="A322" s="2" t="s">
        <v>58</v>
      </c>
    </row>
    <row r="323" spans="1:1" ht="20.100000000000001" customHeight="1" thickBot="1" x14ac:dyDescent="0.35">
      <c r="A323" s="2" t="s">
        <v>58</v>
      </c>
    </row>
    <row r="324" spans="1:1" ht="20.100000000000001" customHeight="1" thickBot="1" x14ac:dyDescent="0.35">
      <c r="A324" s="2" t="s">
        <v>58</v>
      </c>
    </row>
    <row r="325" spans="1:1" ht="20.100000000000001" customHeight="1" thickBot="1" x14ac:dyDescent="0.35">
      <c r="A325" s="2" t="s">
        <v>58</v>
      </c>
    </row>
    <row r="326" spans="1:1" ht="20.100000000000001" customHeight="1" thickBot="1" x14ac:dyDescent="0.35">
      <c r="A326" s="2" t="s">
        <v>58</v>
      </c>
    </row>
    <row r="327" spans="1:1" ht="20.100000000000001" customHeight="1" thickBot="1" x14ac:dyDescent="0.35">
      <c r="A327" s="2" t="s">
        <v>58</v>
      </c>
    </row>
    <row r="328" spans="1:1" ht="20.100000000000001" customHeight="1" thickBot="1" x14ac:dyDescent="0.35">
      <c r="A328" s="2" t="s">
        <v>58</v>
      </c>
    </row>
    <row r="329" spans="1:1" ht="20.100000000000001" customHeight="1" thickBot="1" x14ac:dyDescent="0.35">
      <c r="A329" s="2" t="s">
        <v>58</v>
      </c>
    </row>
    <row r="330" spans="1:1" ht="20.100000000000001" customHeight="1" thickBot="1" x14ac:dyDescent="0.35">
      <c r="A330" s="2" t="s">
        <v>58</v>
      </c>
    </row>
    <row r="331" spans="1:1" ht="20.100000000000001" customHeight="1" thickBot="1" x14ac:dyDescent="0.35">
      <c r="A331" s="2" t="s">
        <v>58</v>
      </c>
    </row>
    <row r="332" spans="1:1" ht="20.100000000000001" customHeight="1" thickBot="1" x14ac:dyDescent="0.35">
      <c r="A332" s="2" t="s">
        <v>58</v>
      </c>
    </row>
    <row r="333" spans="1:1" ht="20.100000000000001" customHeight="1" thickBot="1" x14ac:dyDescent="0.35">
      <c r="A333" s="2" t="s">
        <v>58</v>
      </c>
    </row>
    <row r="334" spans="1:1" ht="20.100000000000001" customHeight="1" thickBot="1" x14ac:dyDescent="0.35">
      <c r="A334" s="2" t="s">
        <v>58</v>
      </c>
    </row>
    <row r="335" spans="1:1" ht="20.100000000000001" customHeight="1" thickBot="1" x14ac:dyDescent="0.35">
      <c r="A335" s="2" t="s">
        <v>58</v>
      </c>
    </row>
    <row r="336" spans="1:1" ht="20.100000000000001" customHeight="1" thickBot="1" x14ac:dyDescent="0.35">
      <c r="A336" s="2" t="s">
        <v>58</v>
      </c>
    </row>
    <row r="337" spans="1:1" ht="20.100000000000001" customHeight="1" thickBot="1" x14ac:dyDescent="0.35">
      <c r="A337" s="2" t="s">
        <v>58</v>
      </c>
    </row>
    <row r="338" spans="1:1" ht="20.100000000000001" customHeight="1" thickBot="1" x14ac:dyDescent="0.35">
      <c r="A338" s="2" t="s">
        <v>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4BA87E-9C8D-4B0D-AFB8-14AD0F6D6F80}">
  <dimension ref="A1"/>
  <sheetViews>
    <sheetView rightToLeft="1" workbookViewId="0"/>
  </sheetViews>
  <sheetFormatPr defaultRowHeight="14.4" x14ac:dyDescent="0.3"/>
  <sheetData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قائمة التقييم</vt:lpstr>
      <vt:lpstr>بيانات التقييم</vt:lpstr>
      <vt:lpstr>مسودة</vt:lpstr>
      <vt:lpstr>'قائمة التقييم'!_Hlk189049123</vt:lpstr>
      <vt:lpstr>'قائمة التقييم'!Print_Area</vt:lpstr>
      <vt:lpstr>'قائمة التقييم'!Print_Titles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2025-10-27T21:28:10Z</dcterms:modified>
</cp:coreProperties>
</file>