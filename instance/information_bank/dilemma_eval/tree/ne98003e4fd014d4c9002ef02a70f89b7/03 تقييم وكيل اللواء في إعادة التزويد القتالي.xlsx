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C34E8BBE-3F2C-4E99-87CC-9686A5F0F5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8" i="2"/>
  <c r="H8" i="2"/>
  <c r="F21" i="2"/>
  <c r="E21" i="2"/>
  <c r="E22" i="2"/>
  <c r="E23" i="2"/>
</calcChain>
</file>

<file path=xl/sharedStrings.xml><?xml version="1.0" encoding="utf-8"?>
<sst xmlns="http://schemas.openxmlformats.org/spreadsheetml/2006/main" count="250" uniqueCount="195">
  <si>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</si>
  <si>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</si>
  <si>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</si>
  <si>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</si>
  <si>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</si>
  <si>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</si>
  <si>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</si>
  <si>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</si>
  <si>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</si>
  <si>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</si>
  <si>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</si>
  <si>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</si>
  <si>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</si>
  <si>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</si>
  <si>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</si>
  <si>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</si>
  <si>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</si>
  <si>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</si>
  <si>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</si>
  <si>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</si>
  <si>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</si>
  <si>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</si>
  <si>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</si>
  <si>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</si>
  <si>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</si>
  <si>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</si>
  <si>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</si>
  <si>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</si>
  <si>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</si>
  <si>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</si>
  <si>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</si>
  <si>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</si>
  <si>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</si>
  <si>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</si>
  <si>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</si>
  <si>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</si>
  <si>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</si>
  <si>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</si>
  <si>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</si>
  <si>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</si>
  <si>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</si>
  <si>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</si>
  <si>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</si>
  <si>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</si>
  <si>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</si>
  <si>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</si>
  <si>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</si>
  <si>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</si>
  <si>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</si>
  <si>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</si>
  <si>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</si>
  <si>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</si>
  <si>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</si>
  <si>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</si>
  <si>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</si>
  <si>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</si>
  <si>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</si>
  <si>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</si>
  <si>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</si>
  <si>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</si>
  <si>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</si>
  <si>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</si>
  <si>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</si>
  <si>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</si>
  <si>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</si>
  <si>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</si>
  <si>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</si>
  <si>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</si>
  <si>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</si>
  <si>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</si>
  <si>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</si>
  <si>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</si>
  <si>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</si>
  <si>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</si>
  <si>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</si>
  <si>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</si>
  <si>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</si>
  <si>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</si>
  <si>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</si>
  <si>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</si>
  <si>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</si>
  <si>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</si>
  <si>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</si>
  <si>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</si>
  <si>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</si>
  <si>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</si>
  <si>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</si>
  <si>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</si>
  <si>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</si>
  <si>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</si>
  <si>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</si>
  <si>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</si>
  <si>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</si>
  <si>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</si>
  <si>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</si>
  <si>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</si>
  <si>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</si>
  <si>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</si>
  <si>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</si>
  <si>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</si>
  <si>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</si>
  <si>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</si>
  <si>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</si>
  <si>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</si>
  <si>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</si>
  <si>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</si>
  <si>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</si>
  <si>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</si>
  <si>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</si>
  <si>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</si>
  <si>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</si>
  <si>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</si>
  <si>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</si>
  <si>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</si>
  <si>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</si>
  <si>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</si>
  <si>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</si>
  <si>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</si>
  <si>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</si>
  <si>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</si>
  <si>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</si>
  <si>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</si>
  <si>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</si>
  <si>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</si>
  <si>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</si>
  <si>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</si>
  <si>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</si>
  <si>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</si>
  <si>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</si>
  <si>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</si>
  <si>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</si>
  <si>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</si>
  <si>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</si>
  <si>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</si>
  <si>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</si>
  <si>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</si>
  <si>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</si>
  <si>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</si>
  <si>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</si>
  <si>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</si>
  <si>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</si>
  <si>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</si>
  <si>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</si>
  <si>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</si>
  <si>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</si>
  <si>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</si>
  <si>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</si>
  <si>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</si>
  <si>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</si>
  <si>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</si>
  <si>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</si>
  <si>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</si>
  <si>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</si>
  <si>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</si>
  <si>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</si>
  <si>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</si>
  <si>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</si>
  <si>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</si>
  <si>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</si>
  <si>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</si>
  <si>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</si>
  <si>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</si>
  <si>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</si>
  <si>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</si>
  <si>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</si>
  <si>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</si>
  <si>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</si>
  <si>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</si>
  <si>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</si>
  <si>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</si>
  <si>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</si>
  <si>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</si>
  <si>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</si>
  <si>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</si>
  <si>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</si>
  <si>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</si>
  <si>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</si>
  <si>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</si>
  <si>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الوحــــــــــــــــــدة: </t>
  </si>
  <si>
    <t xml:space="preserve">اسم ضابط الصف: 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</si>
  <si>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تنظيم عناصر إعادة التزويد لتوفير الاسناد المباشر في الميدان.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</si>
  <si>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تأسيس الاتصال مع وحدات الإمداد.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</si>
  <si>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تنسيق الاسناد الاداري وإسناد الامداد.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</si>
  <si>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الاشراف على توضيع اقسام عناصر إعادة التزويد المختلفة. 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</si>
  <si>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الاشراف على حركة الامداد من حيث ملاءمتها لخطة التنقل للوحدات المقاتلة أثناء العمليات الدفاعية. 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</si>
  <si>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استخدام اجراءات قياسية موحدة لإعادة التسليح وإعادة التزود بالوقود وتجهيز الوحدات المقاتلة بالسرعة الممكنة لإدامة العمليات القتالية.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</si>
  <si>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قيام المرؤوسين بالإشراف على التزويد والوضع العام لصيانة وحداتهم وتمرير التقارير وحسب الأوامر المستدامة للعمليات.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</si>
  <si>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قيام المرؤوسين بتمرير التقارير عن الوضع العام للأفراد والقوى البشرية وطلب البدلاء وحسب الأوامر المستدامة للعمليات.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</si>
  <si>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توحيد وتجميع تقارير المرؤوسين.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</si>
  <si>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 xml:space="preserve">الحركة إلى نقطة إعادة التزويد للاتصال بعنصر التزويد. 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</si>
  <si>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تحديد أسلوب إعادة التزويد.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</si>
  <si>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توجيه  حركة عناصر إعادة التزويد أثناء العمليات.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</si>
  <si>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رفع التقارير الموحدة إلى نائب القائد.</t>
    </r>
  </si>
  <si>
    <r>
      <rPr>
        <b/>
        <sz val="14"/>
        <color rgb="FF000000"/>
        <rFont val="Arial"/>
        <family val="2"/>
      </rPr>
      <t>تقييم وكيل مجموعة اللواء في إعادة التزويد القتالي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</si>
  <si>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وكيل/1 علي عبدالله المزروعي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</si>
</sst>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123092</xdr:colOff>
      <xdr:row>24</xdr:row>
      <xdr:rowOff>128954</xdr:rowOff>
    </xdr:from>
    <xdr:to>
      <xdr:col>9</xdr:col>
      <xdr:colOff>331150</xdr:colOff>
      <xdr:row>24</xdr:row>
      <xdr:rowOff>553983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65076DF-0EA0-463F-B0C5-CD31944BBE52}"/>
                </a:ext>
              </a:extLst>
            </xdr14:cNvPr>
            <xdr14:cNvContentPartPr/>
          </xdr14:nvContentPartPr>
          <xdr14:nvPr macro=""/>
          <xdr14:xfrm>
            <a:off x="10078297019" y="11007969"/>
            <a:ext cx="1485873" cy="425029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4025A273-29A6-E982-F00B-E63EDF83949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245275" y="9899280"/>
              <a:ext cx="1536480" cy="793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1T22:27:00.7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4128 727,'0'0,"0"0,0 0,0 0,0 0,0 0,0 0,0 0,0 0,0 0,0 0,0 0,-16 0,14 0,-27 0,-49 0,63 0,-95 8,-62 1,137-7,-164 5,-83 2,226-8,-200 6,-72 11,278-16,-229 4,-81 3,316-8,-240 7,-44 1,288-8,-233 6,-9 2,250-8,-170 7,61-8,126 0,-95 8,48 1,55-8,-17-2,8 1,94-9,48-8,-116 15,183-22,103-11,-264 31,296-27,109-21,-389 46,342-32,1-6,-349 40,292-26,-21 3,-275 24,173-11,-70 5,-126 8,80-6,-49 7,-41 0,-10-9,-57 9,54 0,-156-17,-55-1,195 16,-218-13,-101-3,300 16,-321-13,-42-3,351 16,-235-13,9 6,247 8,-135-16,44 9,107 7,-26-7,27-9,15 14,83-12,138-28,-188 37,219-32,94-14,-296 44,326-37,80-7,-386 44,333-19,-58 10,-295 14,201 6,-45-3,-173 0,63 17,-16 1,-67-16,9 22,-51 10,26-29,-146 69,-68 22,187-82,-233 85,-127 24,335-105,-308 94,-87 19,386-112,-228 67,12 1,241-74,-74 18,37 12,66-36,40 21,143-10,-146-16,263 13,24-6,-270-8,339 16,198 0,-497-15,523 13,-605-15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5"/>
  <sheetViews>
    <sheetView rightToLeft="1" tabSelected="1" view="pageBreakPreview" topLeftCell="C21" zoomScale="130" zoomScaleNormal="100" zoomScaleSheetLayoutView="130" workbookViewId="0">
      <selection activeCell="G25" sqref="G25:J25"/>
    </sheetView>
  </sheetViews>
  <sheetFormatPr defaultColWidth="9" defaultRowHeight="14.4" x14ac:dyDescent="0.3"/>
  <cols>
    <col min="1" max="1" width="5.109375" style="1" customWidth="1"/>
    <col min="2" max="2" width="16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9" t="s">
        <v>193</v>
      </c>
      <c r="C1" s="59"/>
      <c r="D1" s="59"/>
      <c r="E1" s="59"/>
      <c r="F1" s="59"/>
      <c r="G1" s="59"/>
      <c r="H1" s="59"/>
      <c r="I1" s="59"/>
      <c r="J1" s="59"/>
    </row>
    <row r="2" spans="1:10" ht="30" customHeight="1" x14ac:dyDescent="0.3">
      <c r="B2" s="12" t="s">
        <v>178</v>
      </c>
      <c r="C2" s="65" t="s">
        <v>33</v>
      </c>
      <c r="D2" s="65"/>
      <c r="E2" s="12" t="s">
        <v>7</v>
      </c>
      <c r="F2" s="60">
        <v>45952</v>
      </c>
      <c r="G2" s="60"/>
      <c r="H2" s="60"/>
      <c r="I2" s="60"/>
      <c r="J2" s="60"/>
    </row>
    <row r="3" spans="1:10" ht="30" customHeight="1" x14ac:dyDescent="0.3">
      <c r="B3" s="12" t="s">
        <v>179</v>
      </c>
      <c r="C3" s="65" t="s">
        <v>194</v>
      </c>
      <c r="D3" s="65"/>
      <c r="E3" s="12" t="s">
        <v>6</v>
      </c>
      <c r="F3" s="65" t="s">
        <v>130</v>
      </c>
      <c r="G3" s="65"/>
      <c r="H3" s="65"/>
      <c r="I3" s="65"/>
      <c r="J3" s="6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1" t="s">
        <v>0</v>
      </c>
      <c r="C5" s="62"/>
      <c r="D5" s="62"/>
      <c r="E5" s="49" t="s">
        <v>1</v>
      </c>
      <c r="F5" s="49"/>
      <c r="G5" s="49"/>
      <c r="H5" s="49"/>
      <c r="I5" s="49" t="s">
        <v>2</v>
      </c>
      <c r="J5" s="50"/>
    </row>
    <row r="6" spans="1:10" ht="24.9" customHeight="1" thickBot="1" x14ac:dyDescent="0.35">
      <c r="A6" s="10"/>
      <c r="B6" s="63"/>
      <c r="C6" s="64"/>
      <c r="D6" s="64"/>
      <c r="E6" s="11" t="s">
        <v>3</v>
      </c>
      <c r="F6" s="11" t="s">
        <v>4</v>
      </c>
      <c r="G6" s="11" t="s">
        <v>21</v>
      </c>
      <c r="H6" s="11" t="s">
        <v>22</v>
      </c>
      <c r="I6" s="51"/>
      <c r="J6" s="52"/>
    </row>
    <row r="7" spans="1:10" ht="24.9" customHeight="1" thickBot="1" x14ac:dyDescent="0.35">
      <c r="A7" s="10"/>
      <c r="B7" s="47" t="s">
        <v>19</v>
      </c>
      <c r="C7" s="48"/>
      <c r="D7" s="48"/>
      <c r="E7" s="28" t="s">
        <v>16</v>
      </c>
      <c r="F7" s="28" t="s">
        <v>17</v>
      </c>
      <c r="G7" s="28" t="s">
        <v>20</v>
      </c>
      <c r="H7" s="28" t="s">
        <v>18</v>
      </c>
      <c r="I7" s="53" t="s">
        <v>23</v>
      </c>
      <c r="J7" s="54"/>
    </row>
    <row r="8" spans="1:10" ht="39.9" customHeight="1" x14ac:dyDescent="0.3">
      <c r="A8" s="10"/>
      <c r="B8" s="57" t="s">
        <v>180</v>
      </c>
      <c r="C8" s="58"/>
      <c r="D8" s="58"/>
      <c r="E8" s="32">
        <v>5</v>
      </c>
      <c r="F8" s="33">
        <v>3.75</v>
      </c>
      <c r="G8" s="34">
        <f>IFERROR(F8/E8,"")</f>
        <v>0.75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55"/>
      <c r="J8" s="56"/>
    </row>
    <row r="9" spans="1:10" ht="39.9" customHeight="1" x14ac:dyDescent="0.3">
      <c r="A9" s="10"/>
      <c r="B9" s="39" t="s">
        <v>181</v>
      </c>
      <c r="C9" s="40"/>
      <c r="D9" s="40"/>
      <c r="E9" s="9">
        <v>5</v>
      </c>
      <c r="F9" s="2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9.9" customHeight="1" x14ac:dyDescent="0.3">
      <c r="A10" s="10"/>
      <c r="B10" s="39" t="s">
        <v>182</v>
      </c>
      <c r="C10" s="40"/>
      <c r="D10" s="40"/>
      <c r="E10" s="9">
        <v>5</v>
      </c>
      <c r="F10" s="26">
        <v>3.5</v>
      </c>
      <c r="G10" s="30">
        <f t="shared" ref="G10:G20" si="0">IFERROR(F10/E10,"")</f>
        <v>0.7</v>
      </c>
      <c r="H10" s="31" t="str">
        <f t="shared" ref="H10:H20" si="1">_xlfn.IFS(F10="أدخل العلامة","",F10="لا ينطبق","تم الإلغاء",G10&gt;=90%,"ممتاز",G10&gt;=80%,"جيد جداً",G10&gt;=70%,"جيد",G10&gt;=60%,"مقبول",G10&lt;60%,"راسب")</f>
        <v>جيد</v>
      </c>
      <c r="I10" s="45"/>
      <c r="J10" s="46"/>
    </row>
    <row r="11" spans="1:10" ht="39.9" customHeight="1" x14ac:dyDescent="0.3">
      <c r="A11" s="10"/>
      <c r="B11" s="39" t="s">
        <v>183</v>
      </c>
      <c r="C11" s="40"/>
      <c r="D11" s="40"/>
      <c r="E11" s="9">
        <v>5</v>
      </c>
      <c r="F11" s="26">
        <v>3.75</v>
      </c>
      <c r="G11" s="30">
        <f t="shared" si="0"/>
        <v>0.75</v>
      </c>
      <c r="H11" s="31" t="str">
        <f t="shared" si="1"/>
        <v>جيد</v>
      </c>
      <c r="I11" s="45"/>
      <c r="J11" s="46"/>
    </row>
    <row r="12" spans="1:10" ht="39.9" customHeight="1" x14ac:dyDescent="0.3">
      <c r="A12" s="10"/>
      <c r="B12" s="39" t="s">
        <v>184</v>
      </c>
      <c r="C12" s="40"/>
      <c r="D12" s="40"/>
      <c r="E12" s="9">
        <v>5</v>
      </c>
      <c r="F12" s="26">
        <v>3.75</v>
      </c>
      <c r="G12" s="30">
        <f t="shared" si="0"/>
        <v>0.75</v>
      </c>
      <c r="H12" s="31" t="str">
        <f t="shared" si="1"/>
        <v>جيد</v>
      </c>
      <c r="I12" s="45"/>
      <c r="J12" s="46"/>
    </row>
    <row r="13" spans="1:10" ht="39.9" customHeight="1" x14ac:dyDescent="0.3">
      <c r="A13" s="10"/>
      <c r="B13" s="39" t="s">
        <v>185</v>
      </c>
      <c r="C13" s="40"/>
      <c r="D13" s="40"/>
      <c r="E13" s="9">
        <v>5</v>
      </c>
      <c r="F13" s="26">
        <v>3.5</v>
      </c>
      <c r="G13" s="30">
        <f t="shared" si="0"/>
        <v>0.7</v>
      </c>
      <c r="H13" s="31" t="str">
        <f t="shared" si="1"/>
        <v>جيد</v>
      </c>
      <c r="I13" s="45"/>
      <c r="J13" s="46"/>
    </row>
    <row r="14" spans="1:10" ht="39.9" customHeight="1" x14ac:dyDescent="0.3">
      <c r="A14" s="10"/>
      <c r="B14" s="39" t="s">
        <v>186</v>
      </c>
      <c r="C14" s="40"/>
      <c r="D14" s="40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45"/>
      <c r="J14" s="46"/>
    </row>
    <row r="15" spans="1:10" ht="39.9" customHeight="1" x14ac:dyDescent="0.3">
      <c r="A15" s="10"/>
      <c r="B15" s="39" t="s">
        <v>187</v>
      </c>
      <c r="C15" s="40"/>
      <c r="D15" s="40"/>
      <c r="E15" s="9">
        <v>5</v>
      </c>
      <c r="F15" s="26">
        <v>3.5</v>
      </c>
      <c r="G15" s="30">
        <f t="shared" si="0"/>
        <v>0.7</v>
      </c>
      <c r="H15" s="31" t="str">
        <f t="shared" si="1"/>
        <v>جيد</v>
      </c>
      <c r="I15" s="45"/>
      <c r="J15" s="46"/>
    </row>
    <row r="16" spans="1:10" ht="39.9" customHeight="1" x14ac:dyDescent="0.3">
      <c r="A16" s="10"/>
      <c r="B16" s="39" t="s">
        <v>188</v>
      </c>
      <c r="C16" s="40"/>
      <c r="D16" s="40"/>
      <c r="E16" s="9">
        <v>5</v>
      </c>
      <c r="F16" s="26">
        <v>3.5</v>
      </c>
      <c r="G16" s="30">
        <f t="shared" si="0"/>
        <v>0.7</v>
      </c>
      <c r="H16" s="31" t="str">
        <f t="shared" si="1"/>
        <v>جيد</v>
      </c>
      <c r="I16" s="45"/>
      <c r="J16" s="46"/>
    </row>
    <row r="17" spans="1:10" ht="39.9" customHeight="1" x14ac:dyDescent="0.3">
      <c r="A17" s="10"/>
      <c r="B17" s="39" t="s">
        <v>192</v>
      </c>
      <c r="C17" s="40"/>
      <c r="D17" s="40"/>
      <c r="E17" s="9">
        <v>5</v>
      </c>
      <c r="F17" s="26">
        <v>3.5</v>
      </c>
      <c r="G17" s="30">
        <f t="shared" si="0"/>
        <v>0.7</v>
      </c>
      <c r="H17" s="31" t="str">
        <f t="shared" si="1"/>
        <v>جيد</v>
      </c>
      <c r="I17" s="45"/>
      <c r="J17" s="46"/>
    </row>
    <row r="18" spans="1:10" ht="39.9" customHeight="1" x14ac:dyDescent="0.3">
      <c r="A18" s="10"/>
      <c r="B18" s="39" t="s">
        <v>189</v>
      </c>
      <c r="C18" s="40"/>
      <c r="D18" s="40"/>
      <c r="E18" s="9">
        <v>5</v>
      </c>
      <c r="F18" s="26">
        <v>3.5</v>
      </c>
      <c r="G18" s="30">
        <f t="shared" si="0"/>
        <v>0.7</v>
      </c>
      <c r="H18" s="31" t="str">
        <f t="shared" si="1"/>
        <v>جيد</v>
      </c>
      <c r="I18" s="45"/>
      <c r="J18" s="46"/>
    </row>
    <row r="19" spans="1:10" ht="39.9" customHeight="1" x14ac:dyDescent="0.3">
      <c r="A19" s="10"/>
      <c r="B19" s="39" t="s">
        <v>190</v>
      </c>
      <c r="C19" s="40"/>
      <c r="D19" s="40"/>
      <c r="E19" s="9">
        <v>5</v>
      </c>
      <c r="F19" s="26">
        <v>3.75</v>
      </c>
      <c r="G19" s="30">
        <f t="shared" si="0"/>
        <v>0.75</v>
      </c>
      <c r="H19" s="31" t="str">
        <f t="shared" si="1"/>
        <v>جيد</v>
      </c>
      <c r="I19" s="45"/>
      <c r="J19" s="46"/>
    </row>
    <row r="20" spans="1:10" ht="39.9" customHeight="1" thickBot="1" x14ac:dyDescent="0.35">
      <c r="A20" s="10"/>
      <c r="B20" s="43" t="s">
        <v>191</v>
      </c>
      <c r="C20" s="44"/>
      <c r="D20" s="44"/>
      <c r="E20" s="36">
        <v>5</v>
      </c>
      <c r="F20" s="27">
        <v>3.75</v>
      </c>
      <c r="G20" s="37">
        <f t="shared" si="0"/>
        <v>0.75</v>
      </c>
      <c r="H20" s="38" t="str">
        <f t="shared" si="1"/>
        <v>جيد</v>
      </c>
      <c r="I20" s="41"/>
      <c r="J20" s="42"/>
    </row>
    <row r="21" spans="1:10" ht="30" customHeight="1" thickBot="1" x14ac:dyDescent="0.35">
      <c r="A21" s="4"/>
      <c r="B21" s="79" t="s">
        <v>5</v>
      </c>
      <c r="C21" s="80"/>
      <c r="D21" s="80"/>
      <c r="E21" s="29">
        <f>SUM(E8:E20)</f>
        <v>65</v>
      </c>
      <c r="F21" s="29">
        <f>SUM(F8:F20)</f>
        <v>46.75</v>
      </c>
      <c r="G21" s="68"/>
      <c r="H21" s="69"/>
      <c r="I21" s="69"/>
      <c r="J21" s="70"/>
    </row>
    <row r="22" spans="1:10" ht="30" customHeight="1" thickBot="1" x14ac:dyDescent="0.35">
      <c r="A22" s="4"/>
      <c r="B22" s="81" t="s">
        <v>52</v>
      </c>
      <c r="C22" s="82"/>
      <c r="D22" s="82"/>
      <c r="E22" s="77">
        <f>F21/E21/100*100</f>
        <v>0.71923076923076923</v>
      </c>
      <c r="F22" s="77"/>
      <c r="G22" s="77"/>
      <c r="H22" s="77"/>
      <c r="I22" s="77"/>
      <c r="J22" s="78"/>
    </row>
    <row r="23" spans="1:10" ht="30" customHeight="1" thickBot="1" x14ac:dyDescent="0.35">
      <c r="A23" s="4"/>
      <c r="B23" s="81" t="s">
        <v>53</v>
      </c>
      <c r="C23" s="82"/>
      <c r="D23" s="82"/>
      <c r="E23" s="75" t="str">
        <f>_xlfn.IFS(E22&gt;=90%,"ممتاز",E22&gt;=80%,"جيد جداً",E22&gt;=70%,"جيد",E22&gt;=60%,"مقبول",E22&lt;60%,"راسب")</f>
        <v>جيد</v>
      </c>
      <c r="F23" s="75"/>
      <c r="G23" s="75"/>
      <c r="H23" s="75"/>
      <c r="I23" s="75"/>
      <c r="J23" s="76"/>
    </row>
    <row r="24" spans="1:10" ht="42" customHeight="1" x14ac:dyDescent="0.3">
      <c r="B24" s="71" t="s">
        <v>172</v>
      </c>
      <c r="C24" s="71"/>
      <c r="D24" s="71"/>
      <c r="E24" s="66" t="s">
        <v>50</v>
      </c>
      <c r="F24" s="66"/>
      <c r="G24" s="73" t="s">
        <v>130</v>
      </c>
      <c r="H24" s="73"/>
      <c r="I24" s="73"/>
      <c r="J24" s="73"/>
    </row>
    <row r="25" spans="1:10" ht="51" customHeight="1" x14ac:dyDescent="0.3">
      <c r="A25" s="5"/>
      <c r="B25" s="72"/>
      <c r="C25" s="72"/>
      <c r="D25" s="72"/>
      <c r="E25" s="67" t="s">
        <v>51</v>
      </c>
      <c r="F25" s="67"/>
      <c r="G25" s="74"/>
      <c r="H25" s="74"/>
      <c r="I25" s="74"/>
      <c r="J25" s="7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7">
    <mergeCell ref="E24:F24"/>
    <mergeCell ref="E25:F25"/>
    <mergeCell ref="G21:J21"/>
    <mergeCell ref="I9:J9"/>
    <mergeCell ref="B24:D25"/>
    <mergeCell ref="G24:J24"/>
    <mergeCell ref="G25:J25"/>
    <mergeCell ref="E23:J23"/>
    <mergeCell ref="E22:J22"/>
    <mergeCell ref="B21:D21"/>
    <mergeCell ref="B22:D22"/>
    <mergeCell ref="B23:D23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I15:J15"/>
    <mergeCell ref="I16:J16"/>
    <mergeCell ref="I17:J17"/>
    <mergeCell ref="I18:J18"/>
    <mergeCell ref="I19:J19"/>
    <mergeCell ref="I20:J20"/>
    <mergeCell ref="B17:D17"/>
    <mergeCell ref="B18:D18"/>
    <mergeCell ref="B19:D19"/>
    <mergeCell ref="B20:D20"/>
    <mergeCell ref="B16:D16"/>
    <mergeCell ref="B11:D11"/>
    <mergeCell ref="B12:D12"/>
    <mergeCell ref="B13:D13"/>
    <mergeCell ref="B14:D14"/>
    <mergeCell ref="B15:D1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3">
    <cfRule type="expression" dxfId="14" priority="57">
      <formula>$E23="راسب"</formula>
    </cfRule>
  </conditionalFormatting>
  <conditionalFormatting sqref="E23:J23">
    <cfRule type="expression" dxfId="13" priority="60">
      <formula>$E23="جيد جداً"</formula>
    </cfRule>
    <cfRule type="expression" dxfId="12" priority="59">
      <formula>$E23="جيد"</formula>
    </cfRule>
    <cfRule type="expression" dxfId="11" priority="58">
      <formula>$E23="مقبول"</formula>
    </cfRule>
    <cfRule type="expression" dxfId="10" priority="61">
      <formula>$E23="ممتاز"</formula>
    </cfRule>
  </conditionalFormatting>
  <conditionalFormatting sqref="F8:F2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4:J24">
    <cfRule type="containsText" dxfId="6" priority="15" operator="containsText" text="أدخل اسم المحكم">
      <formula>NOT(ISERROR(SEARCH("أدخل اسم المحكم",G24)))</formula>
    </cfRule>
  </conditionalFormatting>
  <conditionalFormatting sqref="H8:H20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F8:F20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G24:J24 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55</v>
      </c>
      <c r="C1" s="2" t="s">
        <v>58</v>
      </c>
    </row>
    <row r="2" spans="1:3" ht="20.100000000000001" customHeight="1" thickBot="1" x14ac:dyDescent="0.35">
      <c r="A2" s="2" t="s">
        <v>33</v>
      </c>
      <c r="C2" s="19" t="s">
        <v>60</v>
      </c>
    </row>
    <row r="3" spans="1:3" ht="20.100000000000001" customHeight="1" thickBot="1" x14ac:dyDescent="0.35">
      <c r="A3" s="2" t="s">
        <v>24</v>
      </c>
      <c r="C3" s="19" t="s">
        <v>61</v>
      </c>
    </row>
    <row r="4" spans="1:3" ht="20.100000000000001" customHeight="1" thickBot="1" x14ac:dyDescent="0.35">
      <c r="A4" s="2" t="s">
        <v>34</v>
      </c>
      <c r="C4" s="19" t="s">
        <v>62</v>
      </c>
    </row>
    <row r="5" spans="1:3" ht="20.100000000000001" customHeight="1" thickBot="1" x14ac:dyDescent="0.35">
      <c r="A5" s="2" t="s">
        <v>35</v>
      </c>
      <c r="C5" s="19" t="s">
        <v>63</v>
      </c>
    </row>
    <row r="6" spans="1:3" ht="20.100000000000001" customHeight="1" thickBot="1" x14ac:dyDescent="0.35">
      <c r="A6" s="2" t="s">
        <v>36</v>
      </c>
      <c r="C6" s="19" t="s">
        <v>64</v>
      </c>
    </row>
    <row r="7" spans="1:3" ht="20.100000000000001" customHeight="1" thickBot="1" x14ac:dyDescent="0.35">
      <c r="A7" s="2" t="s">
        <v>37</v>
      </c>
      <c r="C7" s="19" t="s">
        <v>65</v>
      </c>
    </row>
    <row r="8" spans="1:3" ht="20.100000000000001" customHeight="1" thickBot="1" x14ac:dyDescent="0.35">
      <c r="A8" s="2" t="s">
        <v>38</v>
      </c>
      <c r="C8" s="19" t="s">
        <v>66</v>
      </c>
    </row>
    <row r="9" spans="1:3" ht="20.100000000000001" customHeight="1" thickBot="1" x14ac:dyDescent="0.35">
      <c r="A9" s="2" t="s">
        <v>39</v>
      </c>
      <c r="C9" s="19" t="s">
        <v>67</v>
      </c>
    </row>
    <row r="10" spans="1:3" ht="20.100000000000001" customHeight="1" thickBot="1" x14ac:dyDescent="0.35">
      <c r="A10" s="2" t="s">
        <v>40</v>
      </c>
      <c r="C10" s="19" t="s">
        <v>68</v>
      </c>
    </row>
    <row r="11" spans="1:3" ht="20.100000000000001" customHeight="1" thickBot="1" x14ac:dyDescent="0.35">
      <c r="A11" s="2" t="s">
        <v>41</v>
      </c>
      <c r="C11" s="19" t="s">
        <v>69</v>
      </c>
    </row>
    <row r="12" spans="1:3" ht="20.100000000000001" customHeight="1" thickBot="1" x14ac:dyDescent="0.35">
      <c r="A12" s="2" t="s">
        <v>42</v>
      </c>
      <c r="C12" s="19" t="s">
        <v>70</v>
      </c>
    </row>
    <row r="13" spans="1:3" ht="20.100000000000001" customHeight="1" thickBot="1" x14ac:dyDescent="0.35">
      <c r="A13" s="2" t="s">
        <v>43</v>
      </c>
      <c r="C13" s="19" t="s">
        <v>71</v>
      </c>
    </row>
    <row r="14" spans="1:3" ht="20.100000000000001" customHeight="1" thickBot="1" x14ac:dyDescent="0.35">
      <c r="A14" s="2" t="s">
        <v>44</v>
      </c>
      <c r="C14" s="19" t="s">
        <v>72</v>
      </c>
    </row>
    <row r="15" spans="1:3" ht="20.100000000000001" customHeight="1" thickBot="1" x14ac:dyDescent="0.35">
      <c r="A15" s="2" t="s">
        <v>45</v>
      </c>
      <c r="C15" s="19" t="s">
        <v>73</v>
      </c>
    </row>
    <row r="16" spans="1:3" ht="20.100000000000001" customHeight="1" thickBot="1" x14ac:dyDescent="0.35">
      <c r="A16" s="2" t="s">
        <v>8</v>
      </c>
      <c r="C16" s="19" t="s">
        <v>74</v>
      </c>
    </row>
    <row r="17" spans="1:3" ht="20.100000000000001" customHeight="1" thickBot="1" x14ac:dyDescent="0.35">
      <c r="A17" s="2" t="s">
        <v>25</v>
      </c>
      <c r="C17" s="19" t="s">
        <v>75</v>
      </c>
    </row>
    <row r="18" spans="1:3" ht="20.100000000000001" customHeight="1" thickBot="1" x14ac:dyDescent="0.35">
      <c r="A18" s="2" t="s">
        <v>46</v>
      </c>
      <c r="C18" s="19" t="s">
        <v>76</v>
      </c>
    </row>
    <row r="19" spans="1:3" ht="20.100000000000001" customHeight="1" thickBot="1" x14ac:dyDescent="0.35">
      <c r="A19" s="2" t="s">
        <v>47</v>
      </c>
      <c r="C19" s="19" t="s">
        <v>77</v>
      </c>
    </row>
    <row r="20" spans="1:3" ht="20.100000000000001" customHeight="1" thickBot="1" x14ac:dyDescent="0.35">
      <c r="A20" s="2" t="s">
        <v>48</v>
      </c>
      <c r="C20" s="19" t="s">
        <v>78</v>
      </c>
    </row>
    <row r="21" spans="1:3" ht="20.100000000000001" customHeight="1" thickBot="1" x14ac:dyDescent="0.35">
      <c r="A21" s="2" t="s">
        <v>49</v>
      </c>
      <c r="C21" s="19" t="s">
        <v>79</v>
      </c>
    </row>
    <row r="22" spans="1:3" ht="20.100000000000001" customHeight="1" thickBot="1" x14ac:dyDescent="0.35">
      <c r="A22" s="2" t="s">
        <v>9</v>
      </c>
      <c r="C22" s="19" t="s">
        <v>80</v>
      </c>
    </row>
    <row r="23" spans="1:3" ht="20.100000000000001" customHeight="1" thickBot="1" x14ac:dyDescent="0.35">
      <c r="A23" s="2" t="s">
        <v>10</v>
      </c>
      <c r="C23" s="19" t="s">
        <v>81</v>
      </c>
    </row>
    <row r="24" spans="1:3" ht="20.100000000000001" customHeight="1" thickBot="1" x14ac:dyDescent="0.35">
      <c r="A24" s="2" t="s">
        <v>13</v>
      </c>
      <c r="C24" s="19" t="s">
        <v>82</v>
      </c>
    </row>
    <row r="25" spans="1:3" ht="20.100000000000001" customHeight="1" thickBot="1" x14ac:dyDescent="0.35">
      <c r="A25" s="2" t="s">
        <v>26</v>
      </c>
      <c r="C25" s="19" t="s">
        <v>83</v>
      </c>
    </row>
    <row r="26" spans="1:3" ht="20.100000000000001" customHeight="1" thickBot="1" x14ac:dyDescent="0.35">
      <c r="A26" s="2" t="s">
        <v>27</v>
      </c>
      <c r="C26" s="19" t="s">
        <v>84</v>
      </c>
    </row>
    <row r="27" spans="1:3" ht="20.100000000000001" customHeight="1" thickBot="1" x14ac:dyDescent="0.35">
      <c r="A27" s="2" t="s">
        <v>11</v>
      </c>
      <c r="C27" s="19" t="s">
        <v>85</v>
      </c>
    </row>
    <row r="28" spans="1:3" ht="20.100000000000001" customHeight="1" thickBot="1" x14ac:dyDescent="0.35">
      <c r="A28" s="2" t="s">
        <v>28</v>
      </c>
      <c r="C28" s="19" t="s">
        <v>86</v>
      </c>
    </row>
    <row r="29" spans="1:3" ht="20.100000000000001" customHeight="1" thickBot="1" x14ac:dyDescent="0.35">
      <c r="A29" s="2" t="s">
        <v>29</v>
      </c>
      <c r="C29" s="19" t="s">
        <v>175</v>
      </c>
    </row>
    <row r="30" spans="1:3" ht="20.100000000000001" customHeight="1" thickBot="1" x14ac:dyDescent="0.35">
      <c r="A30" s="2" t="s">
        <v>30</v>
      </c>
      <c r="C30" s="19" t="s">
        <v>176</v>
      </c>
    </row>
    <row r="31" spans="1:3" ht="20.100000000000001" customHeight="1" thickBot="1" x14ac:dyDescent="0.35">
      <c r="A31" s="2" t="s">
        <v>31</v>
      </c>
      <c r="C31" s="19" t="s">
        <v>177</v>
      </c>
    </row>
    <row r="32" spans="1:3" ht="20.100000000000001" customHeight="1" thickBot="1" x14ac:dyDescent="0.35">
      <c r="A32" s="2" t="s">
        <v>14</v>
      </c>
      <c r="C32" s="19"/>
    </row>
    <row r="33" spans="1:9" ht="20.100000000000001" customHeight="1" thickBot="1" x14ac:dyDescent="0.35">
      <c r="A33" s="2" t="s">
        <v>12</v>
      </c>
      <c r="C33" s="19"/>
    </row>
    <row r="34" spans="1:9" ht="20.100000000000001" customHeight="1" thickBot="1" x14ac:dyDescent="0.35">
      <c r="A34" s="2" t="s">
        <v>32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54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59</v>
      </c>
    </row>
    <row r="112" spans="1:9" ht="20.100000000000001" customHeight="1" thickBot="1" x14ac:dyDescent="0.35">
      <c r="A112" s="2" t="s">
        <v>15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57</v>
      </c>
    </row>
    <row r="199" spans="1:1" ht="20.100000000000001" customHeight="1" x14ac:dyDescent="0.3">
      <c r="A199" s="20" t="s">
        <v>87</v>
      </c>
    </row>
    <row r="200" spans="1:1" ht="20.100000000000001" customHeight="1" x14ac:dyDescent="0.3">
      <c r="A200" s="20" t="s">
        <v>88</v>
      </c>
    </row>
    <row r="201" spans="1:1" ht="20.100000000000001" customHeight="1" x14ac:dyDescent="0.3">
      <c r="A201" s="20" t="s">
        <v>89</v>
      </c>
    </row>
    <row r="202" spans="1:1" ht="20.100000000000001" customHeight="1" x14ac:dyDescent="0.3">
      <c r="A202" s="20" t="s">
        <v>90</v>
      </c>
    </row>
    <row r="203" spans="1:1" ht="20.100000000000001" customHeight="1" x14ac:dyDescent="0.3">
      <c r="A203" s="20" t="s">
        <v>91</v>
      </c>
    </row>
    <row r="204" spans="1:1" ht="20.100000000000001" customHeight="1" x14ac:dyDescent="0.3">
      <c r="A204" s="20" t="s">
        <v>92</v>
      </c>
    </row>
    <row r="205" spans="1:1" ht="20.100000000000001" customHeight="1" x14ac:dyDescent="0.3">
      <c r="A205" s="20" t="s">
        <v>93</v>
      </c>
    </row>
    <row r="206" spans="1:1" ht="20.100000000000001" customHeight="1" x14ac:dyDescent="0.3">
      <c r="A206" s="20" t="s">
        <v>94</v>
      </c>
    </row>
    <row r="207" spans="1:1" ht="20.100000000000001" customHeight="1" x14ac:dyDescent="0.3">
      <c r="A207" s="20" t="s">
        <v>95</v>
      </c>
    </row>
    <row r="208" spans="1:1" ht="20.100000000000001" customHeight="1" x14ac:dyDescent="0.3">
      <c r="A208" s="21" t="s">
        <v>96</v>
      </c>
    </row>
    <row r="209" spans="1:1" ht="20.100000000000001" customHeight="1" x14ac:dyDescent="0.3">
      <c r="A209" s="21" t="s">
        <v>97</v>
      </c>
    </row>
    <row r="210" spans="1:1" ht="20.100000000000001" customHeight="1" x14ac:dyDescent="0.3">
      <c r="A210" s="20" t="s">
        <v>98</v>
      </c>
    </row>
    <row r="211" spans="1:1" ht="20.100000000000001" customHeight="1" x14ac:dyDescent="0.3">
      <c r="A211" s="20" t="s">
        <v>99</v>
      </c>
    </row>
    <row r="212" spans="1:1" ht="20.100000000000001" customHeight="1" x14ac:dyDescent="0.3">
      <c r="A212" s="20" t="s">
        <v>173</v>
      </c>
    </row>
    <row r="213" spans="1:1" ht="20.100000000000001" customHeight="1" x14ac:dyDescent="0.3">
      <c r="A213" s="20" t="s">
        <v>100</v>
      </c>
    </row>
    <row r="214" spans="1:1" ht="20.100000000000001" customHeight="1" x14ac:dyDescent="0.3">
      <c r="A214" s="20" t="s">
        <v>101</v>
      </c>
    </row>
    <row r="215" spans="1:1" ht="20.100000000000001" customHeight="1" x14ac:dyDescent="0.3">
      <c r="A215" s="20" t="s">
        <v>102</v>
      </c>
    </row>
    <row r="216" spans="1:1" ht="20.100000000000001" customHeight="1" x14ac:dyDescent="0.3">
      <c r="A216" s="20" t="s">
        <v>103</v>
      </c>
    </row>
    <row r="217" spans="1:1" ht="20.100000000000001" customHeight="1" x14ac:dyDescent="0.3">
      <c r="A217" s="20" t="s">
        <v>104</v>
      </c>
    </row>
    <row r="218" spans="1:1" ht="20.100000000000001" customHeight="1" x14ac:dyDescent="0.3">
      <c r="A218" s="20" t="s">
        <v>105</v>
      </c>
    </row>
    <row r="219" spans="1:1" ht="20.100000000000001" customHeight="1" x14ac:dyDescent="0.3">
      <c r="A219" s="20" t="s">
        <v>106</v>
      </c>
    </row>
    <row r="220" spans="1:1" ht="20.100000000000001" customHeight="1" x14ac:dyDescent="0.3">
      <c r="A220" s="20" t="s">
        <v>107</v>
      </c>
    </row>
    <row r="221" spans="1:1" ht="20.100000000000001" customHeight="1" x14ac:dyDescent="0.3">
      <c r="A221" s="20" t="s">
        <v>108</v>
      </c>
    </row>
    <row r="222" spans="1:1" ht="20.100000000000001" customHeight="1" x14ac:dyDescent="0.3">
      <c r="A222" s="20" t="s">
        <v>109</v>
      </c>
    </row>
    <row r="223" spans="1:1" ht="20.100000000000001" customHeight="1" x14ac:dyDescent="0.3">
      <c r="A223" s="20" t="s">
        <v>110</v>
      </c>
    </row>
    <row r="224" spans="1:1" ht="20.100000000000001" customHeight="1" x14ac:dyDescent="0.3">
      <c r="A224" s="20" t="s">
        <v>174</v>
      </c>
    </row>
    <row r="225" spans="1:1" ht="20.100000000000001" customHeight="1" x14ac:dyDescent="0.3">
      <c r="A225" s="20" t="s">
        <v>111</v>
      </c>
    </row>
    <row r="226" spans="1:1" ht="20.100000000000001" customHeight="1" x14ac:dyDescent="0.3">
      <c r="A226" s="20" t="s">
        <v>112</v>
      </c>
    </row>
    <row r="227" spans="1:1" ht="20.100000000000001" customHeight="1" x14ac:dyDescent="0.3">
      <c r="A227" s="20" t="s">
        <v>113</v>
      </c>
    </row>
    <row r="228" spans="1:1" ht="20.100000000000001" customHeight="1" x14ac:dyDescent="0.3">
      <c r="A228" s="20" t="s">
        <v>114</v>
      </c>
    </row>
    <row r="229" spans="1:1" ht="20.100000000000001" customHeight="1" x14ac:dyDescent="0.3">
      <c r="A229" s="20" t="s">
        <v>115</v>
      </c>
    </row>
    <row r="230" spans="1:1" ht="20.100000000000001" customHeight="1" x14ac:dyDescent="0.3">
      <c r="A230" s="20" t="s">
        <v>116</v>
      </c>
    </row>
    <row r="231" spans="1:1" ht="20.100000000000001" customHeight="1" x14ac:dyDescent="0.3">
      <c r="A231" s="20" t="s">
        <v>117</v>
      </c>
    </row>
    <row r="232" spans="1:1" ht="20.100000000000001" customHeight="1" x14ac:dyDescent="0.3">
      <c r="A232" s="20" t="s">
        <v>118</v>
      </c>
    </row>
    <row r="233" spans="1:1" ht="20.100000000000001" customHeight="1" x14ac:dyDescent="0.3">
      <c r="A233" s="20" t="s">
        <v>119</v>
      </c>
    </row>
    <row r="234" spans="1:1" ht="20.100000000000001" customHeight="1" x14ac:dyDescent="0.3">
      <c r="A234" s="20" t="s">
        <v>120</v>
      </c>
    </row>
    <row r="235" spans="1:1" ht="20.100000000000001" customHeight="1" x14ac:dyDescent="0.3">
      <c r="A235" s="20" t="s">
        <v>121</v>
      </c>
    </row>
    <row r="236" spans="1:1" ht="20.100000000000001" customHeight="1" x14ac:dyDescent="0.3">
      <c r="A236" s="22" t="s">
        <v>122</v>
      </c>
    </row>
    <row r="237" spans="1:1" ht="20.100000000000001" customHeight="1" x14ac:dyDescent="0.3">
      <c r="A237" s="20" t="s">
        <v>123</v>
      </c>
    </row>
    <row r="238" spans="1:1" ht="20.100000000000001" customHeight="1" x14ac:dyDescent="0.3">
      <c r="A238" s="20" t="s">
        <v>124</v>
      </c>
    </row>
    <row r="239" spans="1:1" ht="20.100000000000001" customHeight="1" x14ac:dyDescent="0.3">
      <c r="A239" s="20" t="s">
        <v>125</v>
      </c>
    </row>
    <row r="240" spans="1:1" ht="20.100000000000001" customHeight="1" x14ac:dyDescent="0.3">
      <c r="A240" s="20" t="s">
        <v>126</v>
      </c>
    </row>
    <row r="241" spans="1:1" ht="20.100000000000001" customHeight="1" x14ac:dyDescent="0.3">
      <c r="A241" s="20" t="s">
        <v>127</v>
      </c>
    </row>
    <row r="242" spans="1:1" ht="20.100000000000001" customHeight="1" x14ac:dyDescent="0.3">
      <c r="A242" s="20" t="s">
        <v>128</v>
      </c>
    </row>
    <row r="243" spans="1:1" ht="20.100000000000001" customHeight="1" x14ac:dyDescent="0.3">
      <c r="A243" s="20" t="s">
        <v>129</v>
      </c>
    </row>
    <row r="244" spans="1:1" ht="20.100000000000001" customHeight="1" x14ac:dyDescent="0.3">
      <c r="A244" s="20" t="s">
        <v>130</v>
      </c>
    </row>
    <row r="245" spans="1:1" ht="20.100000000000001" customHeight="1" x14ac:dyDescent="0.3">
      <c r="A245" s="20" t="s">
        <v>131</v>
      </c>
    </row>
    <row r="246" spans="1:1" ht="20.100000000000001" customHeight="1" x14ac:dyDescent="0.3">
      <c r="A246" s="20" t="s">
        <v>132</v>
      </c>
    </row>
    <row r="247" spans="1:1" ht="20.100000000000001" customHeight="1" x14ac:dyDescent="0.3">
      <c r="A247" s="20" t="s">
        <v>133</v>
      </c>
    </row>
    <row r="248" spans="1:1" ht="20.100000000000001" customHeight="1" x14ac:dyDescent="0.3">
      <c r="A248" s="20" t="s">
        <v>124</v>
      </c>
    </row>
    <row r="249" spans="1:1" ht="20.100000000000001" customHeight="1" x14ac:dyDescent="0.3">
      <c r="A249" s="20" t="s">
        <v>134</v>
      </c>
    </row>
    <row r="250" spans="1:1" ht="20.100000000000001" customHeight="1" x14ac:dyDescent="0.3">
      <c r="A250" s="20" t="s">
        <v>135</v>
      </c>
    </row>
    <row r="251" spans="1:1" ht="20.100000000000001" customHeight="1" x14ac:dyDescent="0.3">
      <c r="A251" s="22" t="s">
        <v>136</v>
      </c>
    </row>
    <row r="252" spans="1:1" ht="20.100000000000001" customHeight="1" x14ac:dyDescent="0.3">
      <c r="A252" s="23" t="s">
        <v>137</v>
      </c>
    </row>
    <row r="253" spans="1:1" ht="20.100000000000001" customHeight="1" x14ac:dyDescent="0.3">
      <c r="A253" s="20" t="s">
        <v>138</v>
      </c>
    </row>
    <row r="254" spans="1:1" ht="20.100000000000001" customHeight="1" x14ac:dyDescent="0.3">
      <c r="A254" s="20" t="s">
        <v>139</v>
      </c>
    </row>
    <row r="255" spans="1:1" ht="20.100000000000001" customHeight="1" x14ac:dyDescent="0.3">
      <c r="A255" s="24" t="s">
        <v>140</v>
      </c>
    </row>
    <row r="256" spans="1:1" ht="20.100000000000001" customHeight="1" x14ac:dyDescent="0.3">
      <c r="A256" s="24" t="s">
        <v>141</v>
      </c>
    </row>
    <row r="257" spans="1:1" ht="20.100000000000001" customHeight="1" x14ac:dyDescent="0.3">
      <c r="A257" s="25" t="s">
        <v>142</v>
      </c>
    </row>
    <row r="258" spans="1:1" ht="20.100000000000001" customHeight="1" x14ac:dyDescent="0.3">
      <c r="A258" s="20" t="s">
        <v>143</v>
      </c>
    </row>
    <row r="259" spans="1:1" ht="20.100000000000001" customHeight="1" x14ac:dyDescent="0.3">
      <c r="A259" s="25" t="s">
        <v>144</v>
      </c>
    </row>
    <row r="260" spans="1:1" ht="20.100000000000001" customHeight="1" x14ac:dyDescent="0.3">
      <c r="A260" s="20" t="s">
        <v>145</v>
      </c>
    </row>
    <row r="261" spans="1:1" ht="20.100000000000001" customHeight="1" x14ac:dyDescent="0.3">
      <c r="A261" s="25" t="s">
        <v>146</v>
      </c>
    </row>
    <row r="262" spans="1:1" ht="20.100000000000001" customHeight="1" x14ac:dyDescent="0.3">
      <c r="A262" s="20" t="s">
        <v>147</v>
      </c>
    </row>
    <row r="263" spans="1:1" ht="20.100000000000001" customHeight="1" x14ac:dyDescent="0.3">
      <c r="A263" s="20" t="s">
        <v>148</v>
      </c>
    </row>
    <row r="264" spans="1:1" ht="20.100000000000001" customHeight="1" x14ac:dyDescent="0.3">
      <c r="A264" s="25" t="s">
        <v>149</v>
      </c>
    </row>
    <row r="265" spans="1:1" ht="20.100000000000001" customHeight="1" x14ac:dyDescent="0.3">
      <c r="A265" s="25" t="s">
        <v>150</v>
      </c>
    </row>
    <row r="266" spans="1:1" ht="20.100000000000001" customHeight="1" x14ac:dyDescent="0.3">
      <c r="A266" s="25" t="s">
        <v>151</v>
      </c>
    </row>
    <row r="267" spans="1:1" ht="20.100000000000001" customHeight="1" x14ac:dyDescent="0.3">
      <c r="A267" s="20" t="s">
        <v>152</v>
      </c>
    </row>
    <row r="268" spans="1:1" ht="20.100000000000001" customHeight="1" x14ac:dyDescent="0.3">
      <c r="A268" s="20" t="s">
        <v>153</v>
      </c>
    </row>
    <row r="269" spans="1:1" ht="20.100000000000001" customHeight="1" x14ac:dyDescent="0.3">
      <c r="A269" s="20" t="s">
        <v>154</v>
      </c>
    </row>
    <row r="270" spans="1:1" ht="20.100000000000001" customHeight="1" x14ac:dyDescent="0.3">
      <c r="A270" s="20" t="s">
        <v>155</v>
      </c>
    </row>
    <row r="271" spans="1:1" ht="20.100000000000001" customHeight="1" x14ac:dyDescent="0.3">
      <c r="A271" s="25" t="s">
        <v>156</v>
      </c>
    </row>
    <row r="272" spans="1:1" ht="20.100000000000001" customHeight="1" x14ac:dyDescent="0.3">
      <c r="A272" s="25" t="s">
        <v>157</v>
      </c>
    </row>
    <row r="273" spans="1:1" ht="20.100000000000001" customHeight="1" x14ac:dyDescent="0.3">
      <c r="A273" s="20" t="s">
        <v>158</v>
      </c>
    </row>
    <row r="274" spans="1:1" ht="20.100000000000001" customHeight="1" x14ac:dyDescent="0.3">
      <c r="A274" s="25" t="s">
        <v>159</v>
      </c>
    </row>
    <row r="275" spans="1:1" ht="20.100000000000001" customHeight="1" x14ac:dyDescent="0.3">
      <c r="A275" s="25" t="s">
        <v>160</v>
      </c>
    </row>
    <row r="276" spans="1:1" ht="20.100000000000001" customHeight="1" x14ac:dyDescent="0.3">
      <c r="A276" s="20" t="s">
        <v>161</v>
      </c>
    </row>
    <row r="277" spans="1:1" ht="20.100000000000001" customHeight="1" x14ac:dyDescent="0.3">
      <c r="A277" s="20" t="s">
        <v>162</v>
      </c>
    </row>
    <row r="278" spans="1:1" ht="20.100000000000001" customHeight="1" x14ac:dyDescent="0.3">
      <c r="A278" s="25" t="s">
        <v>163</v>
      </c>
    </row>
    <row r="279" spans="1:1" ht="20.100000000000001" customHeight="1" x14ac:dyDescent="0.3">
      <c r="A279" s="20" t="s">
        <v>164</v>
      </c>
    </row>
    <row r="280" spans="1:1" ht="20.100000000000001" customHeight="1" x14ac:dyDescent="0.3">
      <c r="A280" s="20" t="s">
        <v>165</v>
      </c>
    </row>
    <row r="281" spans="1:1" ht="20.100000000000001" customHeight="1" x14ac:dyDescent="0.3">
      <c r="A281" s="20" t="s">
        <v>166</v>
      </c>
    </row>
    <row r="282" spans="1:1" ht="20.100000000000001" customHeight="1" x14ac:dyDescent="0.3">
      <c r="A282" s="20" t="s">
        <v>167</v>
      </c>
    </row>
    <row r="283" spans="1:1" ht="20.100000000000001" customHeight="1" x14ac:dyDescent="0.3">
      <c r="A283" s="25" t="s">
        <v>168</v>
      </c>
    </row>
    <row r="284" spans="1:1" ht="20.100000000000001" customHeight="1" x14ac:dyDescent="0.3">
      <c r="A284" s="25" t="s">
        <v>169</v>
      </c>
    </row>
    <row r="285" spans="1:1" ht="20.100000000000001" customHeight="1" x14ac:dyDescent="0.3">
      <c r="A285" s="25" t="s">
        <v>170</v>
      </c>
    </row>
    <row r="286" spans="1:1" ht="20.100000000000001" customHeight="1" thickBot="1" x14ac:dyDescent="0.35">
      <c r="A286" s="20" t="s">
        <v>171</v>
      </c>
    </row>
    <row r="287" spans="1:1" ht="20.100000000000001" customHeight="1" thickBot="1" x14ac:dyDescent="0.35">
      <c r="A287" s="2" t="s">
        <v>56</v>
      </c>
    </row>
    <row r="288" spans="1:1" ht="20.100000000000001" customHeight="1" thickBot="1" x14ac:dyDescent="0.35">
      <c r="A288" s="2" t="s">
        <v>56</v>
      </c>
    </row>
    <row r="289" spans="1:1" ht="20.100000000000001" customHeight="1" thickBot="1" x14ac:dyDescent="0.35">
      <c r="A289" s="2" t="s">
        <v>56</v>
      </c>
    </row>
    <row r="290" spans="1:1" ht="20.100000000000001" customHeight="1" thickBot="1" x14ac:dyDescent="0.35">
      <c r="A290" s="2" t="s">
        <v>56</v>
      </c>
    </row>
    <row r="291" spans="1:1" ht="20.100000000000001" customHeight="1" thickBot="1" x14ac:dyDescent="0.35">
      <c r="A291" s="2" t="s">
        <v>56</v>
      </c>
    </row>
    <row r="292" spans="1:1" ht="20.100000000000001" customHeight="1" thickBot="1" x14ac:dyDescent="0.35">
      <c r="A292" s="2" t="s">
        <v>56</v>
      </c>
    </row>
    <row r="293" spans="1:1" ht="20.100000000000001" customHeight="1" thickBot="1" x14ac:dyDescent="0.35">
      <c r="A293" s="2" t="s">
        <v>56</v>
      </c>
    </row>
    <row r="294" spans="1:1" ht="20.100000000000001" customHeight="1" thickBot="1" x14ac:dyDescent="0.35">
      <c r="A294" s="2" t="s">
        <v>56</v>
      </c>
    </row>
    <row r="295" spans="1:1" ht="20.100000000000001" customHeight="1" thickBot="1" x14ac:dyDescent="0.35">
      <c r="A295" s="2" t="s">
        <v>56</v>
      </c>
    </row>
    <row r="296" spans="1:1" ht="20.100000000000001" customHeight="1" thickBot="1" x14ac:dyDescent="0.35">
      <c r="A296" s="2" t="s">
        <v>56</v>
      </c>
    </row>
    <row r="297" spans="1:1" ht="20.100000000000001" customHeight="1" thickBot="1" x14ac:dyDescent="0.35">
      <c r="A297" s="2" t="s">
        <v>56</v>
      </c>
    </row>
    <row r="298" spans="1:1" ht="20.100000000000001" customHeight="1" thickBot="1" x14ac:dyDescent="0.35">
      <c r="A298" s="2" t="s">
        <v>56</v>
      </c>
    </row>
    <row r="299" spans="1:1" ht="20.100000000000001" customHeight="1" thickBot="1" x14ac:dyDescent="0.35">
      <c r="A299" s="2" t="s">
        <v>56</v>
      </c>
    </row>
    <row r="300" spans="1:1" ht="20.100000000000001" customHeight="1" thickBot="1" x14ac:dyDescent="0.35">
      <c r="A300" s="2" t="s">
        <v>56</v>
      </c>
    </row>
    <row r="301" spans="1:1" ht="20.100000000000001" customHeight="1" thickBot="1" x14ac:dyDescent="0.35">
      <c r="A301" s="2" t="s">
        <v>56</v>
      </c>
    </row>
    <row r="302" spans="1:1" ht="20.100000000000001" customHeight="1" thickBot="1" x14ac:dyDescent="0.35">
      <c r="A302" s="2" t="s">
        <v>56</v>
      </c>
    </row>
    <row r="303" spans="1:1" ht="20.100000000000001" customHeight="1" thickBot="1" x14ac:dyDescent="0.35">
      <c r="A303" s="2" t="s">
        <v>56</v>
      </c>
    </row>
    <row r="304" spans="1:1" ht="20.100000000000001" customHeight="1" thickBot="1" x14ac:dyDescent="0.35">
      <c r="A304" s="2" t="s">
        <v>56</v>
      </c>
    </row>
    <row r="305" spans="1:1" ht="20.100000000000001" customHeight="1" thickBot="1" x14ac:dyDescent="0.35">
      <c r="A305" s="2" t="s">
        <v>56</v>
      </c>
    </row>
    <row r="306" spans="1:1" ht="20.100000000000001" customHeight="1" thickBot="1" x14ac:dyDescent="0.35">
      <c r="A306" s="2" t="s">
        <v>56</v>
      </c>
    </row>
    <row r="307" spans="1:1" ht="20.100000000000001" customHeight="1" thickBot="1" x14ac:dyDescent="0.35">
      <c r="A307" s="2" t="s">
        <v>56</v>
      </c>
    </row>
    <row r="308" spans="1:1" ht="20.100000000000001" customHeight="1" thickBot="1" x14ac:dyDescent="0.35">
      <c r="A308" s="2" t="s">
        <v>56</v>
      </c>
    </row>
    <row r="309" spans="1:1" ht="20.100000000000001" customHeight="1" thickBot="1" x14ac:dyDescent="0.35">
      <c r="A309" s="2" t="s">
        <v>56</v>
      </c>
    </row>
    <row r="310" spans="1:1" ht="20.100000000000001" customHeight="1" thickBot="1" x14ac:dyDescent="0.35">
      <c r="A310" s="2" t="s">
        <v>56</v>
      </c>
    </row>
    <row r="311" spans="1:1" ht="20.100000000000001" customHeight="1" thickBot="1" x14ac:dyDescent="0.35">
      <c r="A311" s="2" t="s">
        <v>56</v>
      </c>
    </row>
    <row r="312" spans="1:1" ht="20.100000000000001" customHeight="1" thickBot="1" x14ac:dyDescent="0.35">
      <c r="A312" s="2" t="s">
        <v>56</v>
      </c>
    </row>
    <row r="313" spans="1:1" ht="20.100000000000001" customHeight="1" thickBot="1" x14ac:dyDescent="0.35">
      <c r="A313" s="2" t="s">
        <v>56</v>
      </c>
    </row>
    <row r="314" spans="1:1" ht="20.100000000000001" customHeight="1" thickBot="1" x14ac:dyDescent="0.35">
      <c r="A314" s="2" t="s">
        <v>56</v>
      </c>
    </row>
    <row r="315" spans="1:1" ht="20.100000000000001" customHeight="1" thickBot="1" x14ac:dyDescent="0.35">
      <c r="A315" s="2" t="s">
        <v>56</v>
      </c>
    </row>
    <row r="316" spans="1:1" ht="20.100000000000001" customHeight="1" thickBot="1" x14ac:dyDescent="0.35">
      <c r="A316" s="2" t="s">
        <v>56</v>
      </c>
    </row>
    <row r="317" spans="1:1" ht="20.100000000000001" customHeight="1" thickBot="1" x14ac:dyDescent="0.35">
      <c r="A317" s="2" t="s">
        <v>56</v>
      </c>
    </row>
    <row r="318" spans="1:1" ht="20.100000000000001" customHeight="1" thickBot="1" x14ac:dyDescent="0.35">
      <c r="A318" s="2" t="s">
        <v>56</v>
      </c>
    </row>
    <row r="319" spans="1:1" ht="20.100000000000001" customHeight="1" thickBot="1" x14ac:dyDescent="0.35">
      <c r="A319" s="2" t="s">
        <v>56</v>
      </c>
    </row>
    <row r="320" spans="1:1" ht="20.100000000000001" customHeight="1" thickBot="1" x14ac:dyDescent="0.35">
      <c r="A320" s="2" t="s">
        <v>56</v>
      </c>
    </row>
    <row r="321" spans="1:1" ht="20.100000000000001" customHeight="1" thickBot="1" x14ac:dyDescent="0.35">
      <c r="A321" s="2" t="s">
        <v>56</v>
      </c>
    </row>
    <row r="322" spans="1:1" ht="20.100000000000001" customHeight="1" thickBot="1" x14ac:dyDescent="0.35">
      <c r="A322" s="2" t="s">
        <v>56</v>
      </c>
    </row>
    <row r="323" spans="1:1" ht="20.100000000000001" customHeight="1" thickBot="1" x14ac:dyDescent="0.35">
      <c r="A323" s="2" t="s">
        <v>56</v>
      </c>
    </row>
    <row r="324" spans="1:1" ht="20.100000000000001" customHeight="1" thickBot="1" x14ac:dyDescent="0.35">
      <c r="A324" s="2" t="s">
        <v>56</v>
      </c>
    </row>
    <row r="325" spans="1:1" ht="20.100000000000001" customHeight="1" thickBot="1" x14ac:dyDescent="0.35">
      <c r="A325" s="2" t="s">
        <v>56</v>
      </c>
    </row>
    <row r="326" spans="1:1" ht="20.100000000000001" customHeight="1" thickBot="1" x14ac:dyDescent="0.35">
      <c r="A326" s="2" t="s">
        <v>56</v>
      </c>
    </row>
    <row r="327" spans="1:1" ht="20.100000000000001" customHeight="1" thickBot="1" x14ac:dyDescent="0.35">
      <c r="A327" s="2" t="s">
        <v>56</v>
      </c>
    </row>
    <row r="328" spans="1:1" ht="20.100000000000001" customHeight="1" thickBot="1" x14ac:dyDescent="0.35">
      <c r="A328" s="2" t="s">
        <v>56</v>
      </c>
    </row>
    <row r="329" spans="1:1" ht="20.100000000000001" customHeight="1" thickBot="1" x14ac:dyDescent="0.35">
      <c r="A329" s="2" t="s">
        <v>56</v>
      </c>
    </row>
    <row r="330" spans="1:1" ht="20.100000000000001" customHeight="1" thickBot="1" x14ac:dyDescent="0.35">
      <c r="A330" s="2" t="s">
        <v>56</v>
      </c>
    </row>
    <row r="331" spans="1:1" ht="20.100000000000001" customHeight="1" thickBot="1" x14ac:dyDescent="0.35">
      <c r="A331" s="2" t="s">
        <v>56</v>
      </c>
    </row>
    <row r="332" spans="1:1" ht="20.100000000000001" customHeight="1" thickBot="1" x14ac:dyDescent="0.35">
      <c r="A332" s="2" t="s">
        <v>56</v>
      </c>
    </row>
    <row r="333" spans="1:1" ht="20.100000000000001" customHeight="1" thickBot="1" x14ac:dyDescent="0.35">
      <c r="A333" s="2" t="s">
        <v>56</v>
      </c>
    </row>
    <row r="334" spans="1:1" ht="20.100000000000001" customHeight="1" thickBot="1" x14ac:dyDescent="0.35">
      <c r="A334" s="2" t="s">
        <v>56</v>
      </c>
    </row>
    <row r="335" spans="1:1" ht="20.100000000000001" customHeight="1" thickBot="1" x14ac:dyDescent="0.35">
      <c r="A335" s="2" t="s">
        <v>56</v>
      </c>
    </row>
    <row r="336" spans="1:1" ht="20.100000000000001" customHeight="1" thickBot="1" x14ac:dyDescent="0.35">
      <c r="A336" s="2" t="s">
        <v>56</v>
      </c>
    </row>
    <row r="337" spans="1:1" ht="20.100000000000001" customHeight="1" thickBot="1" x14ac:dyDescent="0.35">
      <c r="A337" s="2" t="s">
        <v>56</v>
      </c>
    </row>
    <row r="338" spans="1:1" ht="20.100000000000001" customHeight="1" thickBot="1" x14ac:dyDescent="0.35">
      <c r="A338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2025-10-21T22:27:04Z</dcterms:modified>
</cp:coreProperties>
</file>