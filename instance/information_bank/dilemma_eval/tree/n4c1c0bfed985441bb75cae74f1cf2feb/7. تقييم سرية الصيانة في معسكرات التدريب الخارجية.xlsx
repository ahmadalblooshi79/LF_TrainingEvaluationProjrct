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9F28B98A-DFE6-48E4-8FFA-8AF56796D80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التقييم'!$A$1:$J$53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2" l="1"/>
  <c r="H14" i="2" s="1"/>
  <c r="G9" i="2"/>
  <c r="H9" i="2"/>
  <c r="G10" i="2"/>
  <c r="H10" i="2"/>
  <c r="G11" i="2"/>
  <c r="H11" i="2" s="1"/>
  <c r="G12" i="2"/>
  <c r="H12" i="2"/>
  <c r="G13" i="2"/>
  <c r="H13" i="2" s="1"/>
  <c r="G15" i="2"/>
  <c r="H15" i="2"/>
  <c r="G17" i="2"/>
  <c r="H17" i="2"/>
  <c r="G18" i="2"/>
  <c r="H18" i="2"/>
  <c r="G19" i="2"/>
  <c r="H19" i="2"/>
  <c r="G20" i="2"/>
  <c r="H20" i="2"/>
  <c r="G21" i="2"/>
  <c r="H21" i="2"/>
  <c r="G23" i="2"/>
  <c r="H23" i="2"/>
  <c r="G24" i="2"/>
  <c r="H24" i="2"/>
  <c r="G25" i="2"/>
  <c r="H25" i="2"/>
  <c r="G27" i="2"/>
  <c r="H27" i="2"/>
  <c r="G28" i="2"/>
  <c r="H28" i="2"/>
  <c r="G29" i="2"/>
  <c r="H29" i="2"/>
  <c r="G30" i="2"/>
  <c r="H30" i="2"/>
  <c r="G31" i="2"/>
  <c r="H31" i="2" s="1"/>
  <c r="G32" i="2"/>
  <c r="H32" i="2"/>
  <c r="G34" i="2"/>
  <c r="H34" i="2"/>
  <c r="G35" i="2"/>
  <c r="H35" i="2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G44" i="2"/>
  <c r="H44" i="2"/>
  <c r="G45" i="2"/>
  <c r="H45" i="2"/>
  <c r="G46" i="2"/>
  <c r="H46" i="2"/>
  <c r="G47" i="2"/>
  <c r="H47" i="2"/>
  <c r="G48" i="2"/>
  <c r="H48" i="2"/>
  <c r="F49" i="2"/>
  <c r="E49" i="2"/>
  <c r="E50" i="2" s="1"/>
  <c r="E51" i="2" s="1"/>
</calcChain>
</file>

<file path=xl/sharedStrings.xml><?xml version="1.0" encoding="utf-8"?>
<sst xmlns="http://schemas.openxmlformats.org/spreadsheetml/2006/main" count="283" uniqueCount="222">
  <si>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</si>
  <si>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</si>
  <si>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</si>
  <si>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</si>
  <si>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</si>
  <si>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</si>
  <si>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</si>
  <si>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</si>
  <si>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</si>
  <si>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</si>
  <si>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</si>
  <si>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</si>
  <si>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</si>
  <si>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</si>
  <si>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</si>
  <si>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</si>
  <si>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</si>
  <si>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</si>
  <si>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</si>
  <si>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</si>
  <si>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</si>
  <si>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</si>
  <si>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</si>
  <si>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</si>
  <si>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</si>
  <si>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</si>
  <si>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</si>
  <si>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</si>
  <si>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</si>
  <si>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</si>
  <si>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</si>
  <si>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</si>
  <si>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</si>
  <si>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</si>
  <si>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</si>
  <si>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</si>
  <si>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</si>
  <si>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</si>
  <si>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</si>
  <si>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</si>
  <si>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</si>
  <si>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</si>
  <si>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</si>
  <si>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</si>
  <si>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</si>
  <si>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</si>
  <si>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</si>
  <si>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</si>
  <si>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</si>
  <si>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</si>
  <si>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</si>
  <si>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</si>
  <si>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</si>
  <si>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</si>
  <si>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</si>
  <si>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</si>
  <si>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</si>
  <si>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</si>
  <si>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</si>
  <si>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</si>
  <si>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</si>
  <si>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</si>
  <si>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</si>
  <si>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</si>
  <si>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</si>
  <si>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</si>
  <si>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</si>
  <si>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</si>
  <si>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</si>
  <si>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</si>
  <si>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</si>
  <si>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</si>
  <si>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</si>
  <si>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</si>
  <si>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</si>
  <si>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</si>
  <si>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</si>
  <si>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</si>
  <si>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</si>
  <si>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</si>
  <si>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</si>
  <si>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</si>
  <si>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</si>
  <si>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</si>
  <si>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</si>
  <si>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</si>
  <si>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</si>
  <si>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</si>
  <si>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</si>
  <si>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</si>
  <si>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</si>
  <si>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</si>
  <si>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</si>
  <si>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</si>
  <si>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</si>
  <si>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</si>
  <si>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</si>
  <si>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</si>
  <si>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</si>
  <si>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</si>
  <si>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</si>
  <si>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</si>
  <si>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</si>
  <si>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</si>
  <si>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</si>
  <si>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</si>
  <si>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</si>
  <si>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</si>
  <si>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</si>
  <si>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</si>
  <si>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</si>
  <si>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</si>
  <si>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</si>
  <si>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</si>
  <si>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</si>
  <si>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</si>
  <si>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</si>
  <si>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</si>
  <si>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</si>
  <si>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</si>
  <si>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</si>
  <si>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</si>
  <si>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</si>
  <si>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</si>
  <si>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</si>
  <si>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</si>
  <si>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</si>
  <si>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</si>
  <si>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</si>
  <si>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</si>
  <si>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</si>
  <si>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</si>
  <si>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</si>
  <si>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</si>
  <si>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</si>
  <si>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</si>
  <si>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</si>
  <si>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</si>
  <si>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</si>
  <si>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</si>
  <si>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</si>
  <si>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</si>
  <si>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</si>
  <si>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</si>
  <si>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</si>
  <si>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</si>
  <si>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</si>
  <si>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</si>
  <si>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</si>
  <si>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</si>
  <si>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</si>
  <si>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</si>
  <si>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</si>
  <si>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</si>
  <si>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</si>
  <si>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</si>
  <si>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</si>
  <si>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</si>
  <si>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</si>
  <si>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</si>
  <si>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</si>
  <si>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</si>
  <si>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</si>
  <si>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</si>
  <si>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</si>
  <si>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</si>
  <si>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</si>
  <si>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</si>
  <si>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</si>
  <si>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</si>
  <si>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</si>
  <si>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</si>
  <si>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</si>
  <si>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</si>
  <si>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</si>
  <si>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</si>
  <si>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</si>
  <si>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</si>
  <si>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</si>
  <si>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</si>
  <si>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الشؤون الإدارية</t>
    </r>
    <r>
      <rPr>
        <b/>
        <sz val="12"/>
        <color theme="1"/>
        <rFont val="Arial"/>
        <family val="2"/>
      </rPr>
      <t xml:space="preserve"> (يتم التأكد من التالي) :</t>
    </r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</si>
  <si>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المظهر العام للمعسكر من حيث (نصب الخيام، النظافة، مداخل ومخارج الطرق المؤدية واللوحات الإرشادية للمعسكر).</t>
    </r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</si>
  <si>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توفر وصلاحية مكاتب قيادة السرية.</t>
    </r>
  </si>
  <si>
    <r>
      <t>3.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توفر وصلاحية مكتب المخابرة.</t>
    </r>
  </si>
  <si>
    <r>
      <t>4.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توفر مواقف للآليات.</t>
    </r>
  </si>
  <si>
    <r>
      <t>5.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وجـود وصلاحية العيادة والإسعاف والأدوية والتأكد من وجود طبيب وممرض / ممرضة.</t>
    </r>
  </si>
  <si>
    <t>القوى البشرية والآليـات.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</si>
  <si>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نسبة الاستكمال من القوى البشرية وتشمل (المرتب، الموجود، المدربين، الموجود اليومي).</t>
    </r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</si>
  <si>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مدى استكمال التخصصات للمرتب.</t>
    </r>
  </si>
  <si>
    <r>
      <t>3.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مدى استكمال التخصصات الأخرى الملحقة والمعينة (الإسناد الناري والإداري).</t>
    </r>
  </si>
  <si>
    <r>
      <t>4.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نسبـة استكمال الآليات والمعدات الموجودة على المرتب.</t>
    </r>
  </si>
  <si>
    <r>
      <t>5.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الحالة الفنية للآليات.</t>
    </r>
  </si>
  <si>
    <t>الأسلحــة والذخائــر.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</si>
  <si>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توفر ذخيرة العمليات حسب مقياس الذخائر وحسب تعليمات رفع حالات الاستعداد القتالي.</t>
    </r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</si>
  <si>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توفر ذخيرة التدريب حسب المقياس.</t>
    </r>
  </si>
  <si>
    <r>
      <t>3.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الحالة الفنية للذخائر.</t>
    </r>
  </si>
  <si>
    <t>مواقف الآليات (أثناء معسكرات التدريب الخارجية / عندما تكون محملة بالذخائر والوقود).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</si>
  <si>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توفر وصلاحية الإنارة في منطقة مواقف الآليات.</t>
    </r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</si>
  <si>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توفر وصلاحية وسيلة الاتصال.</t>
    </r>
  </si>
  <si>
    <r>
      <t>3.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وجود وصلاحية طفايات الحريق ووجود بطاقة الصلاحية عليها بمواقف الآليات.</t>
    </r>
  </si>
  <si>
    <r>
      <t>4.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وجود جميع أفراد الحراسة في مكان مناوبتهم وارتدائهم اللباس المقرر للحراسات ووجود أسلحتهم الشخصية والذخيرة المقررة ومدى إلمامهم باستخدام أسلحتهم الشخصية.</t>
    </r>
  </si>
  <si>
    <r>
      <t>5.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مدى معرفة فرد الحراسة لعدد الآليات المتواجدة بالمواقف وعدم السماح بخروج أي آلية إلا بأوامر من ضابط الخفر شخصياً.</t>
    </r>
  </si>
  <si>
    <r>
      <t>6.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مدى التقيد بالنظافة العامة في مواقف الآليات.</t>
    </r>
  </si>
  <si>
    <t>التدريب/ مساعدات التدريب.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</si>
  <si>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وجود تعليمات وخطة التدريب.</t>
    </r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</si>
  <si>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مدى تطابق خطة وتعليمات التدريب الخارجي مع خطة التدريب / الزمنية الشهرية للمستوى الأعلى.</t>
    </r>
  </si>
  <si>
    <r>
      <t>3.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وجود برامج التدريب ومدى تطابقها مع خطة التدريب الشهرية.</t>
    </r>
  </si>
  <si>
    <r>
      <t>4.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وجود وملائمة مناطق التدريب مع برنامج التدريب.</t>
    </r>
  </si>
  <si>
    <r>
      <t>5.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توفر وصلاحية النماذج والمجسمات.</t>
    </r>
  </si>
  <si>
    <r>
      <t>6.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توفر وصلاحية وسائل الإيضاح.</t>
    </r>
  </si>
  <si>
    <r>
      <t>7.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وجود وثائق وتعليمات التدريب.</t>
    </r>
  </si>
  <si>
    <r>
      <t>8.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وجود التعليمات التنظيمية للمعسكر.</t>
    </r>
  </si>
  <si>
    <t>وجود خطة الدفاع والحراسة و خطة الحريق.</t>
  </si>
  <si>
    <t>الإشارة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</si>
  <si>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مدى التقيد بالتعليمات الإشارية ومخططات شبكة الاتصالات.</t>
    </r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</si>
  <si>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توفر وصلاحية وسائل الاتصال.</t>
    </r>
  </si>
  <si>
    <r>
      <t>3.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مدى التقيد بأصول المخابرة الصحيحة والالتزام بالأمن اللاسلكي من قبل مستخدمي الأجهزة.</t>
    </r>
  </si>
  <si>
    <r>
      <t>4.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مدى كفاءة الاتصالات.</t>
    </r>
  </si>
  <si>
    <t>الإشراف والمتابعة من المستوى الأعلى.</t>
  </si>
  <si>
    <r>
      <rPr>
        <b/>
        <sz val="14"/>
        <color rgb="FF000000"/>
        <rFont val="Arial"/>
        <family val="2"/>
      </rPr>
      <t>تقييم سرية الصيانة في معسكرات التدريب الخارجية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</si>
  <si>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6.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 xml:space="preserve"> توفر خيمة للمحاضرات مزودة بمساعدات التدريب.</t>
    </r>
  </si>
  <si>
    <r>
      <t>7.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وجود نظــام للتخلــص مـن النفايــات والمخلـفـات (الطبية والعضوية).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</si>
</sst>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7"/>
      <color rgb="FF000000"/>
      <name val="Times New Roman"/>
      <family val="1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15" fillId="0" borderId="4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 readingOrder="2"/>
    </xf>
    <xf numFmtId="0" fontId="3" fillId="0" borderId="12" xfId="0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2" fillId="0" borderId="8" xfId="0" applyFont="1" applyBorder="1" applyAlignment="1">
      <alignment horizontal="right" vertical="center" wrapText="1" readingOrder="2"/>
    </xf>
    <xf numFmtId="0" fontId="2" fillId="0" borderId="9" xfId="0" applyFont="1" applyBorder="1" applyAlignment="1">
      <alignment horizontal="right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365045</xdr:colOff>
      <xdr:row>51</xdr:row>
      <xdr:rowOff>197125</xdr:rowOff>
    </xdr:from>
    <xdr:to>
      <xdr:col>9</xdr:col>
      <xdr:colOff>986374</xdr:colOff>
      <xdr:row>52</xdr:row>
      <xdr:rowOff>524635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30F96664-FCEC-2037-7AFA-64B9DBDD7526}"/>
                </a:ext>
              </a:extLst>
            </xdr14:cNvPr>
            <xdr14:cNvContentPartPr/>
          </xdr14:nvContentPartPr>
          <xdr14:nvPr macro=""/>
          <xdr14:xfrm>
            <a:off x="10397600445" y="21331080"/>
            <a:ext cx="2595600" cy="8586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30F96664-FCEC-2037-7AFA-64B9DBDD752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7591445" y="21322080"/>
              <a:ext cx="2613240" cy="87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4675</xdr:colOff>
      <xdr:row>52</xdr:row>
      <xdr:rowOff>276235</xdr:rowOff>
    </xdr:from>
    <xdr:to>
      <xdr:col>9</xdr:col>
      <xdr:colOff>645094</xdr:colOff>
      <xdr:row>53</xdr:row>
      <xdr:rowOff>6248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3BFEAB4-3D4D-CF8E-4A68-864EA3CAB423}"/>
                </a:ext>
              </a:extLst>
            </xdr14:cNvPr>
            <xdr14:cNvContentPartPr/>
          </xdr14:nvContentPartPr>
          <xdr14:nvPr macro=""/>
          <xdr14:xfrm>
            <a:off x="10397941725" y="21941280"/>
            <a:ext cx="1956600" cy="3765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03BFEAB4-3D4D-CF8E-4A68-864EA3CAB42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7932725" y="21932640"/>
              <a:ext cx="1974240" cy="39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363617</xdr:colOff>
      <xdr:row>16</xdr:row>
      <xdr:rowOff>259295</xdr:rowOff>
    </xdr:from>
    <xdr:to>
      <xdr:col>5</xdr:col>
      <xdr:colOff>379457</xdr:colOff>
      <xdr:row>16</xdr:row>
      <xdr:rowOff>271535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D7EF0781-2540-6163-28A2-9F031C99705B}"/>
                </a:ext>
              </a:extLst>
            </xdr14:cNvPr>
            <xdr14:cNvContentPartPr/>
          </xdr14:nvContentPartPr>
          <xdr14:nvPr macro=""/>
          <xdr14:xfrm>
            <a:off x="10400839725" y="6747840"/>
            <a:ext cx="15840" cy="1224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D7EF0781-2540-6163-28A2-9F031C99705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400831085" y="6738840"/>
              <a:ext cx="33480" cy="298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9:30:43.37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5549 2270 18051,'0'0'0,"-12"-1"-80,-4 1-1008,16 0 1088,-23 0-1256,-13 3 80,-6 1 599,-19 9 377,61-13 200,-78 2-40,-9 10 8,-17-9 32,-8 0-16,112-3 16,-125 0 0,-9 2-24,-7-2 24,-10-5 8,151 5-8,-159-16 16,-4 0 32,1-1-56,0-5-16,162 22 24,-166-27 0,2-4 40,-3-5 16,0-5 32,167 41-88,-163-44 64,6-6-48,4-4 88,10-1 153,143 55-257,-141-61 368,14 0 104,9-5-8,10-3-24,108 69-440,-94-71 432,7-6-32,21-4 16,10-5-144,56 86-272,-45-93 264,16-6 96,11 1-48,16 1 25,2 97-337,11-96 464,25 8-24,15 4 0,27 6-240,-78 78-200,97-77-456,22 1-865,23 5-151,17 3 160,-159 68 1312,179-60-944,21 7 640,19 5 64,11 9 7,-230 39 233,250-35-208,11 10 88,7 5 32,12 6 88,-280 14 0,275-5 32,-2 4-8,-5 1 40,-7 17 8,-261-17-72,254 23 88,-14 5-24,-17 9-8,-16 7-56,-207-44 0,181 48-8,-15 3-8,-24 2-24,-26 0-16,-116-53 56,99 52-72,-29 1 16,-18-3-48,-24-4-64,-28-46 168,5 43-192,-10-1-56,-32 1-184,-22 1-112,59-44 544,-87 46-512,-23 3 64,-22 3 152,-24 2 232,156-54 64,-174 57-80,-25 2 64,-14-1 32,-14 2-24,-13 0 0,240-60 8,-252 63-48,-7-1 8,-13 2 0,-6 0-8,278-64 48,-280 64 16,-5-2-40,-2 1 56,1 0-16,286-63-16,-288 61-8,2-3 56,5 1 144,8-3 72,273-56-264,-263 57 296,12-3-56,13-2-128,125-26-32,113-26-80,-139 31-8,10-3-16,-17 6-80,12-4-88,134-30 192,-144 33-216,15-5-8,59-14 168,-1 1-232,71-15 288,-59 11-1080,0-7-721,15 9-151,4-13 343,40 0 1609,-55 0-3432,55 0 3432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9:30:44.11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5095 74 8113,'0'0'0,"70"-27"5601,1 5-5425,-71 22-176,66-20 257,-40 17-25,-31 2-368,-25 1-361,30 0 497,-50 14-584,-21-1-16,-21 5 200,-24 2 296,116-20 104,-139 24-80,-19 3-80,-18 4 104,-22 0 8,198-31 48,-213 33-48,-11 1 0,-9-3 24,-5 0 0,238-31 24,-243 30 24,-3-3 48,-2-3 72,-2-2 160,250-22-304,-243 23 400,-2-3 56,10 0-72,8-1-112,227-19-272,-210 17 192,12 2-72,21-2-88,14 1 41,163-18-73,-146 21-65,23-4-31,22 0 32,28-3-120,73-14 184,-49 5-520,27 7-520,24-12-608,35 0-769,-37 0 2417,62-12-2016,33-5-905,28-8 185,-123 25 2736</inkml:trace>
  <inkml:trace contextRef="#ctx0" brushRef="#br0" timeOffset="1">3677 316 3872,'0'0'0,"148"-12"2473,43 10-1081,31-2-80,-222 4-1312,172-3 841,-51 2-257,-30-2-96,-31 2-136,-60 1-352,30-2 352,-30 2-128,-23 0-104,-32 12-16,55-12-104,-83 4 0,-24 15 0,-28-2 32,-24 2 8,159-19-40,-188 21 48,-15 6 64,-20 1 32,-16 4 40,239-32-184,-243 35 176,-12 2 8,-2 5 8,1-2-40,256-40-152,-257 46 184,-1-2-56,13 0-72,9 1-16,236-45-40,-229 45-24,7 1-24,15-1 0,4-2-80,203-43 128,-94 19-416,-19 7-2280,12-11-801,101-15 3497,-121 19-5489,121-19 5489,0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9:31:59.50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8889,'0'0'0,"19"0"2345,-7 0-2489,-12 0 144,12 0-784,-12 5-393,0-2-7,0-1-168,0-2 1352,-24 23-4145,24-23 4145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3"/>
  <sheetViews>
    <sheetView rightToLeft="1" tabSelected="1" view="pageBreakPreview" topLeftCell="A43" zoomScale="130" zoomScaleNormal="100" zoomScaleSheetLayoutView="130" workbookViewId="0">
      <selection activeCell="B47" sqref="B47:D47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46" t="s">
        <v>219</v>
      </c>
      <c r="C1" s="46"/>
      <c r="D1" s="46"/>
      <c r="E1" s="46"/>
      <c r="F1" s="46"/>
      <c r="G1" s="46"/>
      <c r="H1" s="46"/>
      <c r="I1" s="46"/>
      <c r="J1" s="46"/>
    </row>
    <row r="2" spans="1:10" ht="30" customHeight="1" x14ac:dyDescent="0.3">
      <c r="B2" s="13" t="s">
        <v>8</v>
      </c>
      <c r="C2" s="52" t="s">
        <v>32</v>
      </c>
      <c r="D2" s="52"/>
      <c r="E2" s="13" t="s">
        <v>7</v>
      </c>
      <c r="F2" s="47">
        <v>45931</v>
      </c>
      <c r="G2" s="47"/>
      <c r="H2" s="47"/>
      <c r="I2" s="47"/>
      <c r="J2" s="47"/>
    </row>
    <row r="3" spans="1:10" ht="30" customHeight="1" x14ac:dyDescent="0.3">
      <c r="B3" s="13" t="s">
        <v>9</v>
      </c>
      <c r="C3" s="52" t="s">
        <v>67</v>
      </c>
      <c r="D3" s="52"/>
      <c r="E3" s="13" t="s">
        <v>6</v>
      </c>
      <c r="F3" s="52" t="s">
        <v>136</v>
      </c>
      <c r="G3" s="52"/>
      <c r="H3" s="52"/>
      <c r="I3" s="52"/>
      <c r="J3" s="52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1"/>
      <c r="B5" s="48" t="s">
        <v>0</v>
      </c>
      <c r="C5" s="49"/>
      <c r="D5" s="49"/>
      <c r="E5" s="61" t="s">
        <v>1</v>
      </c>
      <c r="F5" s="61"/>
      <c r="G5" s="61"/>
      <c r="H5" s="61"/>
      <c r="I5" s="61" t="s">
        <v>2</v>
      </c>
      <c r="J5" s="62"/>
    </row>
    <row r="6" spans="1:10" ht="24.9" customHeight="1" thickBot="1" x14ac:dyDescent="0.35">
      <c r="A6" s="11"/>
      <c r="B6" s="50"/>
      <c r="C6" s="51"/>
      <c r="D6" s="51"/>
      <c r="E6" s="12" t="s">
        <v>3</v>
      </c>
      <c r="F6" s="12" t="s">
        <v>4</v>
      </c>
      <c r="G6" s="12" t="s">
        <v>23</v>
      </c>
      <c r="H6" s="12" t="s">
        <v>24</v>
      </c>
      <c r="I6" s="63"/>
      <c r="J6" s="64"/>
    </row>
    <row r="7" spans="1:10" ht="24.9" customHeight="1" thickBot="1" x14ac:dyDescent="0.35">
      <c r="A7" s="11"/>
      <c r="B7" s="55" t="s">
        <v>21</v>
      </c>
      <c r="C7" s="56"/>
      <c r="D7" s="56"/>
      <c r="E7" s="35" t="s">
        <v>18</v>
      </c>
      <c r="F7" s="35" t="s">
        <v>19</v>
      </c>
      <c r="G7" s="35" t="s">
        <v>22</v>
      </c>
      <c r="H7" s="35" t="s">
        <v>20</v>
      </c>
      <c r="I7" s="65" t="s">
        <v>25</v>
      </c>
      <c r="J7" s="66"/>
    </row>
    <row r="8" spans="1:10" ht="30" customHeight="1" x14ac:dyDescent="0.3">
      <c r="A8" s="11"/>
      <c r="B8" s="92" t="s">
        <v>180</v>
      </c>
      <c r="C8" s="93"/>
      <c r="D8" s="93"/>
      <c r="E8" s="31"/>
      <c r="F8" s="39"/>
      <c r="G8" s="40"/>
      <c r="H8" s="41"/>
      <c r="I8" s="67"/>
      <c r="J8" s="68"/>
    </row>
    <row r="9" spans="1:10" ht="39.9" customHeight="1" x14ac:dyDescent="0.3">
      <c r="A9" s="11"/>
      <c r="B9" s="82" t="s">
        <v>181</v>
      </c>
      <c r="C9" s="83"/>
      <c r="D9" s="83"/>
      <c r="E9" s="32">
        <v>8</v>
      </c>
      <c r="F9" s="27">
        <v>6.75</v>
      </c>
      <c r="G9" s="37">
        <f>IFERROR(F9/E9,"")</f>
        <v>0.84375</v>
      </c>
      <c r="H9" s="38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57"/>
      <c r="J9" s="58"/>
    </row>
    <row r="10" spans="1:10" ht="30" customHeight="1" x14ac:dyDescent="0.3">
      <c r="A10" s="11"/>
      <c r="B10" s="82" t="s">
        <v>182</v>
      </c>
      <c r="C10" s="83"/>
      <c r="D10" s="83"/>
      <c r="E10" s="32">
        <v>5</v>
      </c>
      <c r="F10" s="27">
        <v>3.5</v>
      </c>
      <c r="G10" s="37">
        <f t="shared" ref="G10:G48" si="0">IFERROR(F10/E10,"")</f>
        <v>0.7</v>
      </c>
      <c r="H10" s="38" t="str">
        <f t="shared" ref="H10:H48" si="1">_xlfn.IFS(F10="أدخل العلامة","",F10="لا ينطبق","تم الإلغاء",G10&gt;=90%,"ممتاز",G10&gt;=80%,"جيد جداً",G10&gt;=70%,"جيد",G10&gt;=60%,"مقبول",G10&lt;60%,"راسب")</f>
        <v>جيد</v>
      </c>
      <c r="I10" s="57"/>
      <c r="J10" s="58"/>
    </row>
    <row r="11" spans="1:10" ht="30" customHeight="1" x14ac:dyDescent="0.3">
      <c r="A11" s="11"/>
      <c r="B11" s="82" t="s">
        <v>183</v>
      </c>
      <c r="C11" s="83"/>
      <c r="D11" s="83"/>
      <c r="E11" s="32">
        <v>0</v>
      </c>
      <c r="F11" s="27" t="s">
        <v>17</v>
      </c>
      <c r="G11" s="37" t="str">
        <f t="shared" si="0"/>
        <v/>
      </c>
      <c r="H11" s="38" t="str">
        <f t="shared" si="1"/>
        <v>تم الإلغاء</v>
      </c>
      <c r="I11" s="57"/>
      <c r="J11" s="58"/>
    </row>
    <row r="12" spans="1:10" ht="30" customHeight="1" x14ac:dyDescent="0.3">
      <c r="A12" s="11"/>
      <c r="B12" s="82" t="s">
        <v>184</v>
      </c>
      <c r="C12" s="83"/>
      <c r="D12" s="83"/>
      <c r="E12" s="32">
        <v>5</v>
      </c>
      <c r="F12" s="27">
        <v>3.5</v>
      </c>
      <c r="G12" s="37">
        <f t="shared" si="0"/>
        <v>0.7</v>
      </c>
      <c r="H12" s="38" t="str">
        <f t="shared" si="1"/>
        <v>جيد</v>
      </c>
      <c r="I12" s="57"/>
      <c r="J12" s="58"/>
    </row>
    <row r="13" spans="1:10" ht="40.5" customHeight="1" x14ac:dyDescent="0.3">
      <c r="A13" s="11"/>
      <c r="B13" s="82" t="s">
        <v>185</v>
      </c>
      <c r="C13" s="83"/>
      <c r="D13" s="83"/>
      <c r="E13" s="32">
        <v>0</v>
      </c>
      <c r="F13" s="27" t="s">
        <v>17</v>
      </c>
      <c r="G13" s="37" t="str">
        <f t="shared" si="0"/>
        <v/>
      </c>
      <c r="H13" s="38" t="str">
        <f t="shared" si="1"/>
        <v>تم الإلغاء</v>
      </c>
      <c r="I13" s="57"/>
      <c r="J13" s="58"/>
    </row>
    <row r="14" spans="1:10" ht="40.5" customHeight="1" x14ac:dyDescent="0.3">
      <c r="A14" s="11"/>
      <c r="B14" s="82" t="s">
        <v>220</v>
      </c>
      <c r="C14" s="83"/>
      <c r="D14" s="83"/>
      <c r="E14" s="32">
        <v>0</v>
      </c>
      <c r="F14" s="30" t="s">
        <v>17</v>
      </c>
      <c r="G14" s="37" t="str">
        <f t="shared" ref="G14" si="2">IFERROR(F14/E14,"")</f>
        <v/>
      </c>
      <c r="H14" s="38" t="str">
        <f t="shared" ref="H14" si="3">_xlfn.IFS(F14="أدخل العلامة","",F14="لا ينطبق","تم الإلغاء",G14&gt;=90%,"ممتاز",G14&gt;=80%,"جيد جداً",G14&gt;=70%,"جيد",G14&gt;=60%,"مقبول",G14&lt;60%,"راسب")</f>
        <v>تم الإلغاء</v>
      </c>
      <c r="I14" s="57"/>
      <c r="J14" s="58"/>
    </row>
    <row r="15" spans="1:10" ht="30" customHeight="1" thickBot="1" x14ac:dyDescent="0.35">
      <c r="A15" s="11"/>
      <c r="B15" s="84" t="s">
        <v>221</v>
      </c>
      <c r="C15" s="85"/>
      <c r="D15" s="85"/>
      <c r="E15" s="33">
        <v>5</v>
      </c>
      <c r="F15" s="29">
        <v>3.75</v>
      </c>
      <c r="G15" s="42">
        <f t="shared" si="0"/>
        <v>0.75</v>
      </c>
      <c r="H15" s="43" t="str">
        <f t="shared" si="1"/>
        <v>جيد</v>
      </c>
      <c r="I15" s="59"/>
      <c r="J15" s="60"/>
    </row>
    <row r="16" spans="1:10" ht="30" customHeight="1" x14ac:dyDescent="0.3">
      <c r="A16" s="11"/>
      <c r="B16" s="92" t="s">
        <v>186</v>
      </c>
      <c r="C16" s="93"/>
      <c r="D16" s="93"/>
      <c r="E16" s="31"/>
      <c r="F16" s="39"/>
      <c r="G16" s="40"/>
      <c r="H16" s="41"/>
      <c r="I16" s="67"/>
      <c r="J16" s="68"/>
    </row>
    <row r="17" spans="1:10" ht="39.9" customHeight="1" x14ac:dyDescent="0.3">
      <c r="A17" s="11"/>
      <c r="B17" s="82" t="s">
        <v>187</v>
      </c>
      <c r="C17" s="83"/>
      <c r="D17" s="83"/>
      <c r="E17" s="32">
        <v>5</v>
      </c>
      <c r="F17" s="27">
        <v>3.75</v>
      </c>
      <c r="G17" s="37">
        <f t="shared" si="0"/>
        <v>0.75</v>
      </c>
      <c r="H17" s="38" t="str">
        <f t="shared" si="1"/>
        <v>جيد</v>
      </c>
      <c r="I17" s="57"/>
      <c r="J17" s="58"/>
    </row>
    <row r="18" spans="1:10" ht="30" customHeight="1" x14ac:dyDescent="0.3">
      <c r="A18" s="11"/>
      <c r="B18" s="82" t="s">
        <v>188</v>
      </c>
      <c r="C18" s="83"/>
      <c r="D18" s="83"/>
      <c r="E18" s="32">
        <v>5</v>
      </c>
      <c r="F18" s="27">
        <v>3.75</v>
      </c>
      <c r="G18" s="37">
        <f t="shared" si="0"/>
        <v>0.75</v>
      </c>
      <c r="H18" s="38" t="str">
        <f t="shared" si="1"/>
        <v>جيد</v>
      </c>
      <c r="I18" s="57"/>
      <c r="J18" s="58"/>
    </row>
    <row r="19" spans="1:10" ht="39.9" customHeight="1" x14ac:dyDescent="0.3">
      <c r="A19" s="11"/>
      <c r="B19" s="82" t="s">
        <v>189</v>
      </c>
      <c r="C19" s="83"/>
      <c r="D19" s="83"/>
      <c r="E19" s="32">
        <v>5</v>
      </c>
      <c r="F19" s="27">
        <v>3.75</v>
      </c>
      <c r="G19" s="37">
        <f t="shared" si="0"/>
        <v>0.75</v>
      </c>
      <c r="H19" s="38" t="str">
        <f t="shared" si="1"/>
        <v>جيد</v>
      </c>
      <c r="I19" s="57"/>
      <c r="J19" s="58"/>
    </row>
    <row r="20" spans="1:10" ht="30" customHeight="1" x14ac:dyDescent="0.3">
      <c r="A20" s="11"/>
      <c r="B20" s="82" t="s">
        <v>190</v>
      </c>
      <c r="C20" s="83"/>
      <c r="D20" s="83"/>
      <c r="E20" s="9">
        <v>5</v>
      </c>
      <c r="F20" s="27">
        <v>4</v>
      </c>
      <c r="G20" s="37">
        <f t="shared" si="0"/>
        <v>0.8</v>
      </c>
      <c r="H20" s="38" t="str">
        <f t="shared" si="1"/>
        <v>جيد جداً</v>
      </c>
      <c r="I20" s="57"/>
      <c r="J20" s="58"/>
    </row>
    <row r="21" spans="1:10" ht="30" customHeight="1" thickBot="1" x14ac:dyDescent="0.35">
      <c r="A21" s="11"/>
      <c r="B21" s="84" t="s">
        <v>191</v>
      </c>
      <c r="C21" s="85"/>
      <c r="D21" s="85"/>
      <c r="E21" s="34">
        <v>5</v>
      </c>
      <c r="F21" s="29">
        <v>4</v>
      </c>
      <c r="G21" s="42">
        <f t="shared" si="0"/>
        <v>0.8</v>
      </c>
      <c r="H21" s="43" t="str">
        <f t="shared" si="1"/>
        <v>جيد جداً</v>
      </c>
      <c r="I21" s="59"/>
      <c r="J21" s="60"/>
    </row>
    <row r="22" spans="1:10" ht="30" customHeight="1" x14ac:dyDescent="0.3">
      <c r="A22" s="11"/>
      <c r="B22" s="94" t="s">
        <v>192</v>
      </c>
      <c r="C22" s="95"/>
      <c r="D22" s="95"/>
      <c r="E22" s="31"/>
      <c r="F22" s="39"/>
      <c r="G22" s="40"/>
      <c r="H22" s="41"/>
      <c r="I22" s="67"/>
      <c r="J22" s="68"/>
    </row>
    <row r="23" spans="1:10" ht="39.9" customHeight="1" x14ac:dyDescent="0.3">
      <c r="A23" s="11"/>
      <c r="B23" s="82" t="s">
        <v>193</v>
      </c>
      <c r="C23" s="83"/>
      <c r="D23" s="83"/>
      <c r="E23" s="9">
        <v>8</v>
      </c>
      <c r="F23" s="30">
        <v>6</v>
      </c>
      <c r="G23" s="37">
        <f t="shared" si="0"/>
        <v>0.75</v>
      </c>
      <c r="H23" s="38" t="str">
        <f t="shared" si="1"/>
        <v>جيد</v>
      </c>
      <c r="I23" s="57"/>
      <c r="J23" s="58"/>
    </row>
    <row r="24" spans="1:10" ht="30" customHeight="1" x14ac:dyDescent="0.3">
      <c r="A24" s="11"/>
      <c r="B24" s="82" t="s">
        <v>194</v>
      </c>
      <c r="C24" s="83"/>
      <c r="D24" s="83"/>
      <c r="E24" s="9">
        <v>0</v>
      </c>
      <c r="F24" s="30" t="s">
        <v>17</v>
      </c>
      <c r="G24" s="37" t="str">
        <f t="shared" si="0"/>
        <v/>
      </c>
      <c r="H24" s="38" t="str">
        <f t="shared" si="1"/>
        <v>تم الإلغاء</v>
      </c>
      <c r="I24" s="57"/>
      <c r="J24" s="58"/>
    </row>
    <row r="25" spans="1:10" ht="30" customHeight="1" thickBot="1" x14ac:dyDescent="0.35">
      <c r="A25" s="11"/>
      <c r="B25" s="84" t="s">
        <v>195</v>
      </c>
      <c r="C25" s="85"/>
      <c r="D25" s="85"/>
      <c r="E25" s="34">
        <v>5</v>
      </c>
      <c r="F25" s="29">
        <v>4</v>
      </c>
      <c r="G25" s="42">
        <f t="shared" si="0"/>
        <v>0.8</v>
      </c>
      <c r="H25" s="43" t="str">
        <f t="shared" si="1"/>
        <v>جيد جداً</v>
      </c>
      <c r="I25" s="59"/>
      <c r="J25" s="60"/>
    </row>
    <row r="26" spans="1:10" ht="39.9" customHeight="1" x14ac:dyDescent="0.3">
      <c r="A26" s="11"/>
      <c r="B26" s="94" t="s">
        <v>196</v>
      </c>
      <c r="C26" s="95"/>
      <c r="D26" s="95"/>
      <c r="E26" s="31"/>
      <c r="F26" s="39"/>
      <c r="G26" s="40"/>
      <c r="H26" s="41"/>
      <c r="I26" s="67"/>
      <c r="J26" s="68"/>
    </row>
    <row r="27" spans="1:10" ht="30" customHeight="1" x14ac:dyDescent="0.3">
      <c r="A27" s="11"/>
      <c r="B27" s="82" t="s">
        <v>197</v>
      </c>
      <c r="C27" s="83"/>
      <c r="D27" s="83"/>
      <c r="E27" s="9">
        <v>5</v>
      </c>
      <c r="F27" s="27">
        <v>4</v>
      </c>
      <c r="G27" s="37">
        <f t="shared" si="0"/>
        <v>0.8</v>
      </c>
      <c r="H27" s="38" t="str">
        <f t="shared" si="1"/>
        <v>جيد جداً</v>
      </c>
      <c r="I27" s="57"/>
      <c r="J27" s="58"/>
    </row>
    <row r="28" spans="1:10" ht="30" customHeight="1" x14ac:dyDescent="0.3">
      <c r="A28" s="11"/>
      <c r="B28" s="82" t="s">
        <v>198</v>
      </c>
      <c r="C28" s="83"/>
      <c r="D28" s="83"/>
      <c r="E28" s="9">
        <v>5</v>
      </c>
      <c r="F28" s="27">
        <v>3.75</v>
      </c>
      <c r="G28" s="37">
        <f t="shared" si="0"/>
        <v>0.75</v>
      </c>
      <c r="H28" s="38" t="str">
        <f t="shared" si="1"/>
        <v>جيد</v>
      </c>
      <c r="I28" s="57"/>
      <c r="J28" s="58"/>
    </row>
    <row r="29" spans="1:10" ht="39.9" customHeight="1" x14ac:dyDescent="0.3">
      <c r="A29" s="11"/>
      <c r="B29" s="82" t="s">
        <v>199</v>
      </c>
      <c r="C29" s="83"/>
      <c r="D29" s="83"/>
      <c r="E29" s="9">
        <v>5</v>
      </c>
      <c r="F29" s="27">
        <v>3.75</v>
      </c>
      <c r="G29" s="37">
        <f t="shared" si="0"/>
        <v>0.75</v>
      </c>
      <c r="H29" s="38" t="str">
        <f t="shared" si="1"/>
        <v>جيد</v>
      </c>
      <c r="I29" s="57"/>
      <c r="J29" s="58"/>
    </row>
    <row r="30" spans="1:10" ht="53.25" customHeight="1" x14ac:dyDescent="0.3">
      <c r="A30" s="11"/>
      <c r="B30" s="82" t="s">
        <v>200</v>
      </c>
      <c r="C30" s="83"/>
      <c r="D30" s="83"/>
      <c r="E30" s="9">
        <v>5</v>
      </c>
      <c r="F30" s="27">
        <v>3.75</v>
      </c>
      <c r="G30" s="37">
        <f t="shared" si="0"/>
        <v>0.75</v>
      </c>
      <c r="H30" s="38" t="str">
        <f t="shared" si="1"/>
        <v>جيد</v>
      </c>
      <c r="I30" s="57"/>
      <c r="J30" s="58"/>
    </row>
    <row r="31" spans="1:10" ht="39.9" customHeight="1" x14ac:dyDescent="0.3">
      <c r="A31" s="11"/>
      <c r="B31" s="82" t="s">
        <v>201</v>
      </c>
      <c r="C31" s="83"/>
      <c r="D31" s="83"/>
      <c r="E31" s="9">
        <v>0</v>
      </c>
      <c r="F31" s="27" t="s">
        <v>17</v>
      </c>
      <c r="G31" s="37" t="str">
        <f t="shared" si="0"/>
        <v/>
      </c>
      <c r="H31" s="38" t="str">
        <f t="shared" si="1"/>
        <v>تم الإلغاء</v>
      </c>
      <c r="I31" s="57"/>
      <c r="J31" s="58"/>
    </row>
    <row r="32" spans="1:10" ht="30" customHeight="1" thickBot="1" x14ac:dyDescent="0.35">
      <c r="A32" s="11"/>
      <c r="B32" s="84" t="s">
        <v>202</v>
      </c>
      <c r="C32" s="85"/>
      <c r="D32" s="85"/>
      <c r="E32" s="34">
        <v>5</v>
      </c>
      <c r="F32" s="29">
        <v>3.5</v>
      </c>
      <c r="G32" s="42">
        <f t="shared" si="0"/>
        <v>0.7</v>
      </c>
      <c r="H32" s="43" t="str">
        <f t="shared" si="1"/>
        <v>جيد</v>
      </c>
      <c r="I32" s="59"/>
      <c r="J32" s="60"/>
    </row>
    <row r="33" spans="1:10" ht="30" customHeight="1" x14ac:dyDescent="0.3">
      <c r="A33" s="11"/>
      <c r="B33" s="94" t="s">
        <v>203</v>
      </c>
      <c r="C33" s="95"/>
      <c r="D33" s="95"/>
      <c r="E33" s="31"/>
      <c r="F33" s="39"/>
      <c r="G33" s="40"/>
      <c r="H33" s="41"/>
      <c r="I33" s="67"/>
      <c r="J33" s="68"/>
    </row>
    <row r="34" spans="1:10" ht="30" customHeight="1" x14ac:dyDescent="0.3">
      <c r="A34" s="11"/>
      <c r="B34" s="82" t="s">
        <v>204</v>
      </c>
      <c r="C34" s="83"/>
      <c r="D34" s="83"/>
      <c r="E34" s="9">
        <v>5</v>
      </c>
      <c r="F34" s="27">
        <v>3.5</v>
      </c>
      <c r="G34" s="37">
        <f t="shared" si="0"/>
        <v>0.7</v>
      </c>
      <c r="H34" s="38" t="str">
        <f t="shared" si="1"/>
        <v>جيد</v>
      </c>
      <c r="I34" s="57"/>
      <c r="J34" s="58"/>
    </row>
    <row r="35" spans="1:10" ht="39.9" customHeight="1" x14ac:dyDescent="0.3">
      <c r="A35" s="11"/>
      <c r="B35" s="82" t="s">
        <v>205</v>
      </c>
      <c r="C35" s="83"/>
      <c r="D35" s="83"/>
      <c r="E35" s="9">
        <v>5</v>
      </c>
      <c r="F35" s="27">
        <v>3.5</v>
      </c>
      <c r="G35" s="37">
        <f t="shared" si="0"/>
        <v>0.7</v>
      </c>
      <c r="H35" s="38" t="str">
        <f t="shared" si="1"/>
        <v>جيد</v>
      </c>
      <c r="I35" s="57"/>
      <c r="J35" s="58"/>
    </row>
    <row r="36" spans="1:10" ht="30" customHeight="1" x14ac:dyDescent="0.3">
      <c r="A36" s="11"/>
      <c r="B36" s="82" t="s">
        <v>206</v>
      </c>
      <c r="C36" s="83"/>
      <c r="D36" s="83"/>
      <c r="E36" s="9">
        <v>5</v>
      </c>
      <c r="F36" s="27">
        <v>3.5</v>
      </c>
      <c r="G36" s="37">
        <f t="shared" si="0"/>
        <v>0.7</v>
      </c>
      <c r="H36" s="38" t="str">
        <f t="shared" si="1"/>
        <v>جيد</v>
      </c>
      <c r="I36" s="57"/>
      <c r="J36" s="58"/>
    </row>
    <row r="37" spans="1:10" ht="30" customHeight="1" x14ac:dyDescent="0.3">
      <c r="A37" s="11"/>
      <c r="B37" s="82" t="s">
        <v>207</v>
      </c>
      <c r="C37" s="83"/>
      <c r="D37" s="83"/>
      <c r="E37" s="9">
        <v>5</v>
      </c>
      <c r="F37" s="27">
        <v>3.75</v>
      </c>
      <c r="G37" s="37">
        <f t="shared" si="0"/>
        <v>0.75</v>
      </c>
      <c r="H37" s="38" t="str">
        <f t="shared" si="1"/>
        <v>جيد</v>
      </c>
      <c r="I37" s="57"/>
      <c r="J37" s="58"/>
    </row>
    <row r="38" spans="1:10" ht="30" customHeight="1" x14ac:dyDescent="0.3">
      <c r="A38" s="11"/>
      <c r="B38" s="82" t="s">
        <v>208</v>
      </c>
      <c r="C38" s="83"/>
      <c r="D38" s="83"/>
      <c r="E38" s="9">
        <v>5</v>
      </c>
      <c r="F38" s="27">
        <v>3.75</v>
      </c>
      <c r="G38" s="37">
        <f t="shared" si="0"/>
        <v>0.75</v>
      </c>
      <c r="H38" s="38" t="str">
        <f t="shared" si="1"/>
        <v>جيد</v>
      </c>
      <c r="I38" s="57"/>
      <c r="J38" s="58"/>
    </row>
    <row r="39" spans="1:10" ht="30" customHeight="1" x14ac:dyDescent="0.3">
      <c r="A39" s="11"/>
      <c r="B39" s="82" t="s">
        <v>209</v>
      </c>
      <c r="C39" s="83"/>
      <c r="D39" s="83"/>
      <c r="E39" s="9">
        <v>5</v>
      </c>
      <c r="F39" s="27">
        <v>3.75</v>
      </c>
      <c r="G39" s="37">
        <f t="shared" si="0"/>
        <v>0.75</v>
      </c>
      <c r="H39" s="38" t="str">
        <f t="shared" si="1"/>
        <v>جيد</v>
      </c>
      <c r="I39" s="57"/>
      <c r="J39" s="58"/>
    </row>
    <row r="40" spans="1:10" ht="30" customHeight="1" x14ac:dyDescent="0.3">
      <c r="A40" s="11"/>
      <c r="B40" s="82" t="s">
        <v>210</v>
      </c>
      <c r="C40" s="83"/>
      <c r="D40" s="83"/>
      <c r="E40" s="9">
        <v>5</v>
      </c>
      <c r="F40" s="27">
        <v>3.75</v>
      </c>
      <c r="G40" s="37">
        <f t="shared" si="0"/>
        <v>0.75</v>
      </c>
      <c r="H40" s="38" t="str">
        <f t="shared" si="1"/>
        <v>جيد</v>
      </c>
      <c r="I40" s="57"/>
      <c r="J40" s="58"/>
    </row>
    <row r="41" spans="1:10" ht="30" customHeight="1" thickBot="1" x14ac:dyDescent="0.35">
      <c r="A41" s="11"/>
      <c r="B41" s="84" t="s">
        <v>211</v>
      </c>
      <c r="C41" s="85"/>
      <c r="D41" s="85"/>
      <c r="E41" s="34">
        <v>5</v>
      </c>
      <c r="F41" s="29">
        <v>3.75</v>
      </c>
      <c r="G41" s="42">
        <f t="shared" si="0"/>
        <v>0.75</v>
      </c>
      <c r="H41" s="43" t="str">
        <f t="shared" si="1"/>
        <v>جيد</v>
      </c>
      <c r="I41" s="59"/>
      <c r="J41" s="60"/>
    </row>
    <row r="42" spans="1:10" ht="30" customHeight="1" thickBot="1" x14ac:dyDescent="0.35">
      <c r="A42" s="11"/>
      <c r="B42" s="86" t="s">
        <v>212</v>
      </c>
      <c r="C42" s="87"/>
      <c r="D42" s="87"/>
      <c r="E42" s="10">
        <v>10</v>
      </c>
      <c r="F42" s="44">
        <v>7.5</v>
      </c>
      <c r="G42" s="45">
        <f t="shared" si="0"/>
        <v>0.75</v>
      </c>
      <c r="H42" s="28" t="str">
        <f t="shared" si="1"/>
        <v>جيد</v>
      </c>
      <c r="I42" s="75"/>
      <c r="J42" s="76"/>
    </row>
    <row r="43" spans="1:10" ht="30" customHeight="1" x14ac:dyDescent="0.3">
      <c r="A43" s="11"/>
      <c r="B43" s="94" t="s">
        <v>213</v>
      </c>
      <c r="C43" s="95"/>
      <c r="D43" s="95"/>
      <c r="E43" s="31"/>
      <c r="F43" s="39"/>
      <c r="G43" s="40"/>
      <c r="H43" s="41"/>
      <c r="I43" s="67"/>
      <c r="J43" s="68"/>
    </row>
    <row r="44" spans="1:10" ht="30" customHeight="1" x14ac:dyDescent="0.3">
      <c r="A44" s="11"/>
      <c r="B44" s="82" t="s">
        <v>214</v>
      </c>
      <c r="C44" s="83"/>
      <c r="D44" s="83"/>
      <c r="E44" s="9">
        <v>5</v>
      </c>
      <c r="F44" s="27">
        <v>4</v>
      </c>
      <c r="G44" s="37">
        <f t="shared" si="0"/>
        <v>0.8</v>
      </c>
      <c r="H44" s="38" t="str">
        <f t="shared" si="1"/>
        <v>جيد جداً</v>
      </c>
      <c r="I44" s="57"/>
      <c r="J44" s="58"/>
    </row>
    <row r="45" spans="1:10" ht="30" customHeight="1" x14ac:dyDescent="0.3">
      <c r="A45" s="11"/>
      <c r="B45" s="82" t="s">
        <v>215</v>
      </c>
      <c r="C45" s="83"/>
      <c r="D45" s="83"/>
      <c r="E45" s="9">
        <v>5</v>
      </c>
      <c r="F45" s="27">
        <v>3.5</v>
      </c>
      <c r="G45" s="37">
        <f t="shared" si="0"/>
        <v>0.7</v>
      </c>
      <c r="H45" s="38" t="str">
        <f t="shared" si="1"/>
        <v>جيد</v>
      </c>
      <c r="I45" s="57"/>
      <c r="J45" s="58"/>
    </row>
    <row r="46" spans="1:10" ht="39.9" customHeight="1" x14ac:dyDescent="0.3">
      <c r="A46" s="11"/>
      <c r="B46" s="82" t="s">
        <v>216</v>
      </c>
      <c r="C46" s="83"/>
      <c r="D46" s="83"/>
      <c r="E46" s="9">
        <v>5</v>
      </c>
      <c r="F46" s="27">
        <v>3.5</v>
      </c>
      <c r="G46" s="37">
        <f t="shared" si="0"/>
        <v>0.7</v>
      </c>
      <c r="H46" s="38" t="str">
        <f t="shared" si="1"/>
        <v>جيد</v>
      </c>
      <c r="I46" s="57"/>
      <c r="J46" s="58"/>
    </row>
    <row r="47" spans="1:10" ht="30" customHeight="1" thickBot="1" x14ac:dyDescent="0.35">
      <c r="A47" s="11"/>
      <c r="B47" s="84" t="s">
        <v>217</v>
      </c>
      <c r="C47" s="85"/>
      <c r="D47" s="85"/>
      <c r="E47" s="34">
        <v>5</v>
      </c>
      <c r="F47" s="29">
        <v>3.5</v>
      </c>
      <c r="G47" s="42">
        <f t="shared" si="0"/>
        <v>0.7</v>
      </c>
      <c r="H47" s="43" t="str">
        <f t="shared" si="1"/>
        <v>جيد</v>
      </c>
      <c r="I47" s="59"/>
      <c r="J47" s="60"/>
    </row>
    <row r="48" spans="1:10" ht="30" customHeight="1" thickBot="1" x14ac:dyDescent="0.35">
      <c r="A48" s="11"/>
      <c r="B48" s="86" t="s">
        <v>218</v>
      </c>
      <c r="C48" s="87"/>
      <c r="D48" s="87"/>
      <c r="E48" s="10">
        <v>6</v>
      </c>
      <c r="F48" s="44">
        <v>5</v>
      </c>
      <c r="G48" s="45">
        <f t="shared" si="0"/>
        <v>0.83333333333333337</v>
      </c>
      <c r="H48" s="28" t="str">
        <f t="shared" si="1"/>
        <v>جيد جداً</v>
      </c>
      <c r="I48" s="75"/>
      <c r="J48" s="76"/>
    </row>
    <row r="49" spans="1:10" ht="30" customHeight="1" thickBot="1" x14ac:dyDescent="0.35">
      <c r="A49" s="4"/>
      <c r="B49" s="88" t="s">
        <v>5</v>
      </c>
      <c r="C49" s="89"/>
      <c r="D49" s="89"/>
      <c r="E49" s="36">
        <f>SUM(E8:E48)</f>
        <v>162</v>
      </c>
      <c r="F49" s="36">
        <f>SUM(F8:F48)</f>
        <v>121.75</v>
      </c>
      <c r="G49" s="79"/>
      <c r="H49" s="80"/>
      <c r="I49" s="80"/>
      <c r="J49" s="81"/>
    </row>
    <row r="50" spans="1:10" ht="30" customHeight="1" thickBot="1" x14ac:dyDescent="0.35">
      <c r="A50" s="4"/>
      <c r="B50" s="90" t="s">
        <v>54</v>
      </c>
      <c r="C50" s="91"/>
      <c r="D50" s="91"/>
      <c r="E50" s="53">
        <f>F49/E49/100*100</f>
        <v>0.75154320987654322</v>
      </c>
      <c r="F50" s="53"/>
      <c r="G50" s="53"/>
      <c r="H50" s="53"/>
      <c r="I50" s="53"/>
      <c r="J50" s="54"/>
    </row>
    <row r="51" spans="1:10" ht="30" customHeight="1" thickBot="1" x14ac:dyDescent="0.35">
      <c r="A51" s="4"/>
      <c r="B51" s="90" t="s">
        <v>55</v>
      </c>
      <c r="C51" s="91"/>
      <c r="D51" s="91"/>
      <c r="E51" s="73" t="str">
        <f>_xlfn.IFS(E50&gt;=90%,"ممتاز",E50&gt;=80%,"جيد جداً",E50&gt;=70%,"جيد",E50&gt;=60%,"مقبول",E50&lt;60%,"راسب")</f>
        <v>جيد</v>
      </c>
      <c r="F51" s="73"/>
      <c r="G51" s="73"/>
      <c r="H51" s="73"/>
      <c r="I51" s="73"/>
      <c r="J51" s="74"/>
    </row>
    <row r="52" spans="1:10" ht="42" customHeight="1" x14ac:dyDescent="0.3">
      <c r="B52" s="69" t="s">
        <v>174</v>
      </c>
      <c r="C52" s="69"/>
      <c r="D52" s="69"/>
      <c r="E52" s="77" t="s">
        <v>52</v>
      </c>
      <c r="F52" s="77"/>
      <c r="G52" s="71" t="s">
        <v>136</v>
      </c>
      <c r="H52" s="71"/>
      <c r="I52" s="71"/>
      <c r="J52" s="71"/>
    </row>
    <row r="53" spans="1:10" ht="51" customHeight="1" x14ac:dyDescent="0.3">
      <c r="A53" s="5"/>
      <c r="B53" s="70"/>
      <c r="C53" s="70"/>
      <c r="D53" s="70"/>
      <c r="E53" s="78" t="s">
        <v>53</v>
      </c>
      <c r="F53" s="78"/>
      <c r="G53" s="72"/>
      <c r="H53" s="72"/>
      <c r="I53" s="72"/>
      <c r="J53" s="72"/>
    </row>
  </sheetData>
  <sheetProtection formatCells="0" formatColumns="0" formatRows="0" insertColumns="0" insertRows="0" insertHyperlinks="0" deleteColumns="0" deleteRows="0" selectLockedCells="1" sort="0" autoFilter="0" pivotTables="0"/>
  <mergeCells count="103"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8:D8"/>
    <mergeCell ref="B9:D9"/>
    <mergeCell ref="B10:D10"/>
    <mergeCell ref="B11:D11"/>
    <mergeCell ref="B12:D12"/>
    <mergeCell ref="B13:D13"/>
    <mergeCell ref="B15:D15"/>
    <mergeCell ref="B16:D16"/>
    <mergeCell ref="B17:D17"/>
    <mergeCell ref="I33:J33"/>
    <mergeCell ref="I34:J34"/>
    <mergeCell ref="I35:J35"/>
    <mergeCell ref="I36:J36"/>
    <mergeCell ref="I37:J37"/>
    <mergeCell ref="I8:J8"/>
    <mergeCell ref="B49:D49"/>
    <mergeCell ref="B50:D50"/>
    <mergeCell ref="B51:D51"/>
    <mergeCell ref="I11:J11"/>
    <mergeCell ref="I12:J12"/>
    <mergeCell ref="I13:J13"/>
    <mergeCell ref="I15:J15"/>
    <mergeCell ref="I16:J16"/>
    <mergeCell ref="I17:J17"/>
    <mergeCell ref="I18:J18"/>
    <mergeCell ref="I19:J19"/>
    <mergeCell ref="I29:J29"/>
    <mergeCell ref="I30:J30"/>
    <mergeCell ref="I27:J27"/>
    <mergeCell ref="I28:J28"/>
    <mergeCell ref="I9:J9"/>
    <mergeCell ref="B14:D14"/>
    <mergeCell ref="I14:J14"/>
    <mergeCell ref="B52:D53"/>
    <mergeCell ref="G52:J52"/>
    <mergeCell ref="G53:J53"/>
    <mergeCell ref="E51:J51"/>
    <mergeCell ref="I41:J41"/>
    <mergeCell ref="I42:J42"/>
    <mergeCell ref="I43:J43"/>
    <mergeCell ref="I44:J44"/>
    <mergeCell ref="I45:J45"/>
    <mergeCell ref="I46:J46"/>
    <mergeCell ref="I47:J47"/>
    <mergeCell ref="I48:J48"/>
    <mergeCell ref="E52:F52"/>
    <mergeCell ref="E53:F53"/>
    <mergeCell ref="G49:J49"/>
    <mergeCell ref="B45:D45"/>
    <mergeCell ref="B46:D46"/>
    <mergeCell ref="B47:D47"/>
    <mergeCell ref="B48:D48"/>
    <mergeCell ref="B1:J1"/>
    <mergeCell ref="F2:J2"/>
    <mergeCell ref="B5:D6"/>
    <mergeCell ref="C2:D2"/>
    <mergeCell ref="C3:D3"/>
    <mergeCell ref="F3:J3"/>
    <mergeCell ref="E50:J50"/>
    <mergeCell ref="B7:D7"/>
    <mergeCell ref="I39:J39"/>
    <mergeCell ref="I40:J40"/>
    <mergeCell ref="I31:J31"/>
    <mergeCell ref="I32:J32"/>
    <mergeCell ref="E5:H5"/>
    <mergeCell ref="I38:J38"/>
    <mergeCell ref="I5:J6"/>
    <mergeCell ref="I7:J7"/>
    <mergeCell ref="I10:J10"/>
    <mergeCell ref="I20:J20"/>
    <mergeCell ref="I21:J21"/>
    <mergeCell ref="I22:J22"/>
    <mergeCell ref="I23:J23"/>
    <mergeCell ref="I24:J24"/>
    <mergeCell ref="I25:J25"/>
    <mergeCell ref="I26:J26"/>
  </mergeCells>
  <conditionalFormatting sqref="C2:D2">
    <cfRule type="containsText" dxfId="16" priority="27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26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1">
    <cfRule type="expression" dxfId="14" priority="66">
      <formula>$E51="راسب"</formula>
    </cfRule>
  </conditionalFormatting>
  <conditionalFormatting sqref="E51:J51">
    <cfRule type="expression" dxfId="13" priority="67">
      <formula>$E51="مقبول"</formula>
    </cfRule>
    <cfRule type="expression" dxfId="12" priority="68">
      <formula>$E51="جيد"</formula>
    </cfRule>
    <cfRule type="expression" dxfId="11" priority="69">
      <formula>$E51="جيد جداً"</formula>
    </cfRule>
    <cfRule type="expression" dxfId="10" priority="70">
      <formula>$E51="ممتاز"</formula>
    </cfRule>
  </conditionalFormatting>
  <conditionalFormatting sqref="F8:F48">
    <cfRule type="containsText" dxfId="9" priority="1" operator="containsText" text="أدخل العلامة">
      <formula>NOT(ISERROR(SEARCH("أدخل العلامة",F8)))</formula>
    </cfRule>
  </conditionalFormatting>
  <conditionalFormatting sqref="F2:J2">
    <cfRule type="containsText" dxfId="8" priority="28" operator="containsText" text="أدخل التاريخ">
      <formula>NOT(ISERROR(SEARCH("أدخل التاريخ",F2)))</formula>
    </cfRule>
  </conditionalFormatting>
  <conditionalFormatting sqref="F3:J3">
    <cfRule type="containsText" dxfId="7" priority="25" operator="containsText" text="أدخل أسم المحكم">
      <formula>NOT(ISERROR(SEARCH("أدخل أسم المحكم",F3)))</formula>
    </cfRule>
  </conditionalFormatting>
  <conditionalFormatting sqref="G52:J52">
    <cfRule type="containsText" dxfId="6" priority="24" operator="containsText" text="أدخل اسم المحكم">
      <formula>NOT(ISERROR(SEARCH("أدخل اسم المحكم",G52)))</formula>
    </cfRule>
  </conditionalFormatting>
  <conditionalFormatting sqref="H8:H48">
    <cfRule type="containsText" dxfId="5" priority="4" operator="containsText" text="أدخل العلامة">
      <formula>NOT(ISERROR(SEARCH("أدخل العلامة",H8)))</formula>
    </cfRule>
    <cfRule type="containsText" dxfId="4" priority="5" operator="containsText" text="ممتاز">
      <formula>NOT(ISERROR(SEARCH("ممتاز",H8)))</formula>
    </cfRule>
    <cfRule type="containsText" dxfId="3" priority="6" operator="containsText" text="جيد جداً">
      <formula>NOT(ISERROR(SEARCH("جيد جداً",H8)))</formula>
    </cfRule>
    <cfRule type="containsText" dxfId="2" priority="7" operator="containsText" text="جيد">
      <formula>NOT(ISERROR(SEARCH("جيد",H8)))</formula>
    </cfRule>
    <cfRule type="containsText" dxfId="1" priority="8" operator="containsText" text="مقبول">
      <formula>NOT(ISERROR(SEARCH("مقبول",H8)))</formula>
    </cfRule>
    <cfRule type="containsText" dxfId="0" priority="9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F10:F15 F25 F27:F32 F34:F41 F17:F21 F44:F47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G52:J52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1CBFED82-7128-4B21-B7A9-4A877492A790}">
          <x14:formula1>
            <xm:f>'بيانات التقييم'!$A$111:$A$153</xm:f>
          </x14:formula1>
          <xm:sqref>F42</xm:sqref>
        </x14:dataValidation>
        <x14:dataValidation type="list" allowBlank="1" showInputMessage="1" showErrorMessage="1" xr:uid="{6F8C49C4-6BC7-4EFB-B3CD-5B48C58ECD0D}">
          <x14:formula1>
            <xm:f>'بيانات التقييم'!$A$111:$A$145</xm:f>
          </x14:formula1>
          <xm:sqref>F9 F23:F24</xm:sqref>
        </x14:dataValidation>
        <x14:dataValidation type="list" allowBlank="1" showInputMessage="1" showErrorMessage="1" xr:uid="{6A583176-DE0A-415D-B2EC-A0D3E51BBE08}">
          <x14:formula1>
            <xm:f>'بيانات التقييم'!$A$111:$A$137</xm:f>
          </x14:formula1>
          <xm:sqref>F48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1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0" t="s">
        <v>62</v>
      </c>
    </row>
    <row r="3" spans="1:3" ht="20.100000000000001" customHeight="1" thickBot="1" x14ac:dyDescent="0.35">
      <c r="A3" s="2" t="s">
        <v>26</v>
      </c>
      <c r="C3" s="20" t="s">
        <v>63</v>
      </c>
    </row>
    <row r="4" spans="1:3" ht="20.100000000000001" customHeight="1" thickBot="1" x14ac:dyDescent="0.35">
      <c r="A4" s="2" t="s">
        <v>36</v>
      </c>
      <c r="C4" s="20" t="s">
        <v>64</v>
      </c>
    </row>
    <row r="5" spans="1:3" ht="20.100000000000001" customHeight="1" thickBot="1" x14ac:dyDescent="0.35">
      <c r="A5" s="2" t="s">
        <v>37</v>
      </c>
      <c r="C5" s="20" t="s">
        <v>65</v>
      </c>
    </row>
    <row r="6" spans="1:3" ht="20.100000000000001" customHeight="1" thickBot="1" x14ac:dyDescent="0.35">
      <c r="A6" s="2" t="s">
        <v>38</v>
      </c>
      <c r="C6" s="20" t="s">
        <v>66</v>
      </c>
    </row>
    <row r="7" spans="1:3" ht="20.100000000000001" customHeight="1" thickBot="1" x14ac:dyDescent="0.35">
      <c r="A7" s="2" t="s">
        <v>39</v>
      </c>
      <c r="C7" s="20" t="s">
        <v>67</v>
      </c>
    </row>
    <row r="8" spans="1:3" ht="20.100000000000001" customHeight="1" thickBot="1" x14ac:dyDescent="0.35">
      <c r="A8" s="2" t="s">
        <v>40</v>
      </c>
      <c r="C8" s="20" t="s">
        <v>68</v>
      </c>
    </row>
    <row r="9" spans="1:3" ht="20.100000000000001" customHeight="1" thickBot="1" x14ac:dyDescent="0.35">
      <c r="A9" s="2" t="s">
        <v>41</v>
      </c>
      <c r="C9" s="20" t="s">
        <v>69</v>
      </c>
    </row>
    <row r="10" spans="1:3" ht="20.100000000000001" customHeight="1" thickBot="1" x14ac:dyDescent="0.35">
      <c r="A10" s="2" t="s">
        <v>42</v>
      </c>
      <c r="C10" s="20" t="s">
        <v>70</v>
      </c>
    </row>
    <row r="11" spans="1:3" ht="20.100000000000001" customHeight="1" thickBot="1" x14ac:dyDescent="0.35">
      <c r="A11" s="2" t="s">
        <v>43</v>
      </c>
      <c r="C11" s="20" t="s">
        <v>71</v>
      </c>
    </row>
    <row r="12" spans="1:3" ht="20.100000000000001" customHeight="1" thickBot="1" x14ac:dyDescent="0.35">
      <c r="A12" s="2" t="s">
        <v>44</v>
      </c>
      <c r="C12" s="20" t="s">
        <v>72</v>
      </c>
    </row>
    <row r="13" spans="1:3" ht="20.100000000000001" customHeight="1" thickBot="1" x14ac:dyDescent="0.35">
      <c r="A13" s="2" t="s">
        <v>45</v>
      </c>
      <c r="C13" s="20" t="s">
        <v>73</v>
      </c>
    </row>
    <row r="14" spans="1:3" ht="20.100000000000001" customHeight="1" thickBot="1" x14ac:dyDescent="0.35">
      <c r="A14" s="2" t="s">
        <v>46</v>
      </c>
      <c r="C14" s="20" t="s">
        <v>74</v>
      </c>
    </row>
    <row r="15" spans="1:3" ht="20.100000000000001" customHeight="1" thickBot="1" x14ac:dyDescent="0.35">
      <c r="A15" s="2" t="s">
        <v>47</v>
      </c>
      <c r="C15" s="20" t="s">
        <v>75</v>
      </c>
    </row>
    <row r="16" spans="1:3" ht="20.100000000000001" customHeight="1" thickBot="1" x14ac:dyDescent="0.35">
      <c r="A16" s="2" t="s">
        <v>10</v>
      </c>
      <c r="C16" s="20" t="s">
        <v>76</v>
      </c>
    </row>
    <row r="17" spans="1:3" ht="20.100000000000001" customHeight="1" thickBot="1" x14ac:dyDescent="0.35">
      <c r="A17" s="2" t="s">
        <v>27</v>
      </c>
      <c r="C17" s="20" t="s">
        <v>77</v>
      </c>
    </row>
    <row r="18" spans="1:3" ht="20.100000000000001" customHeight="1" thickBot="1" x14ac:dyDescent="0.35">
      <c r="A18" s="2" t="s">
        <v>48</v>
      </c>
      <c r="C18" s="20" t="s">
        <v>78</v>
      </c>
    </row>
    <row r="19" spans="1:3" ht="20.100000000000001" customHeight="1" thickBot="1" x14ac:dyDescent="0.35">
      <c r="A19" s="2" t="s">
        <v>49</v>
      </c>
      <c r="C19" s="20" t="s">
        <v>79</v>
      </c>
    </row>
    <row r="20" spans="1:3" ht="20.100000000000001" customHeight="1" thickBot="1" x14ac:dyDescent="0.35">
      <c r="A20" s="2" t="s">
        <v>50</v>
      </c>
      <c r="C20" s="20" t="s">
        <v>80</v>
      </c>
    </row>
    <row r="21" spans="1:3" ht="20.100000000000001" customHeight="1" thickBot="1" x14ac:dyDescent="0.35">
      <c r="A21" s="2" t="s">
        <v>51</v>
      </c>
      <c r="C21" s="20" t="s">
        <v>81</v>
      </c>
    </row>
    <row r="22" spans="1:3" ht="20.100000000000001" customHeight="1" thickBot="1" x14ac:dyDescent="0.35">
      <c r="A22" s="2" t="s">
        <v>11</v>
      </c>
      <c r="C22" s="20" t="s">
        <v>82</v>
      </c>
    </row>
    <row r="23" spans="1:3" ht="20.100000000000001" customHeight="1" thickBot="1" x14ac:dyDescent="0.35">
      <c r="A23" s="2" t="s">
        <v>12</v>
      </c>
      <c r="C23" s="20" t="s">
        <v>83</v>
      </c>
    </row>
    <row r="24" spans="1:3" ht="20.100000000000001" customHeight="1" thickBot="1" x14ac:dyDescent="0.35">
      <c r="A24" s="2" t="s">
        <v>15</v>
      </c>
      <c r="C24" s="20" t="s">
        <v>84</v>
      </c>
    </row>
    <row r="25" spans="1:3" ht="20.100000000000001" customHeight="1" thickBot="1" x14ac:dyDescent="0.35">
      <c r="A25" s="2" t="s">
        <v>28</v>
      </c>
      <c r="C25" s="20" t="s">
        <v>85</v>
      </c>
    </row>
    <row r="26" spans="1:3" ht="20.100000000000001" customHeight="1" thickBot="1" x14ac:dyDescent="0.35">
      <c r="A26" s="2" t="s">
        <v>29</v>
      </c>
      <c r="C26" s="20" t="s">
        <v>86</v>
      </c>
    </row>
    <row r="27" spans="1:3" ht="20.100000000000001" customHeight="1" thickBot="1" x14ac:dyDescent="0.35">
      <c r="A27" s="2" t="s">
        <v>13</v>
      </c>
      <c r="C27" s="20" t="s">
        <v>87</v>
      </c>
    </row>
    <row r="28" spans="1:3" ht="20.100000000000001" customHeight="1" thickBot="1" x14ac:dyDescent="0.35">
      <c r="A28" s="2" t="s">
        <v>30</v>
      </c>
      <c r="C28" s="20" t="s">
        <v>88</v>
      </c>
    </row>
    <row r="29" spans="1:3" ht="20.100000000000001" customHeight="1" thickBot="1" x14ac:dyDescent="0.35">
      <c r="A29" s="2" t="s">
        <v>31</v>
      </c>
      <c r="C29" s="20" t="s">
        <v>177</v>
      </c>
    </row>
    <row r="30" spans="1:3" ht="20.100000000000001" customHeight="1" thickBot="1" x14ac:dyDescent="0.35">
      <c r="A30" s="2" t="s">
        <v>32</v>
      </c>
      <c r="C30" s="20" t="s">
        <v>178</v>
      </c>
    </row>
    <row r="31" spans="1:3" ht="20.100000000000001" customHeight="1" thickBot="1" x14ac:dyDescent="0.35">
      <c r="A31" s="2" t="s">
        <v>33</v>
      </c>
      <c r="C31" s="20" t="s">
        <v>179</v>
      </c>
    </row>
    <row r="32" spans="1:3" ht="20.100000000000001" customHeight="1" thickBot="1" x14ac:dyDescent="0.35">
      <c r="A32" s="2" t="s">
        <v>16</v>
      </c>
      <c r="C32" s="20"/>
    </row>
    <row r="33" spans="1:9" ht="20.100000000000001" customHeight="1" thickBot="1" x14ac:dyDescent="0.35">
      <c r="A33" s="2" t="s">
        <v>14</v>
      </c>
      <c r="C33" s="20"/>
    </row>
    <row r="34" spans="1:9" ht="20.100000000000001" customHeight="1" thickBot="1" x14ac:dyDescent="0.35">
      <c r="A34" s="2" t="s">
        <v>34</v>
      </c>
      <c r="C34" s="20"/>
    </row>
    <row r="35" spans="1:9" ht="20.100000000000001" customHeight="1" x14ac:dyDescent="0.3">
      <c r="A35" s="19"/>
    </row>
    <row r="36" spans="1:9" s="18" customFormat="1" ht="20.100000000000001" customHeight="1" x14ac:dyDescent="0.3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4">
        <v>45901</v>
      </c>
    </row>
    <row r="40" spans="1:9" ht="20.100000000000001" customHeight="1" thickBot="1" x14ac:dyDescent="0.35">
      <c r="A40" s="14">
        <v>45902</v>
      </c>
    </row>
    <row r="41" spans="1:9" ht="20.100000000000001" customHeight="1" thickBot="1" x14ac:dyDescent="0.35">
      <c r="A41" s="14">
        <v>45903</v>
      </c>
    </row>
    <row r="42" spans="1:9" ht="20.100000000000001" customHeight="1" thickBot="1" x14ac:dyDescent="0.35">
      <c r="A42" s="14">
        <v>45904</v>
      </c>
    </row>
    <row r="43" spans="1:9" ht="20.100000000000001" customHeight="1" thickBot="1" x14ac:dyDescent="0.35">
      <c r="A43" s="14">
        <v>45905</v>
      </c>
    </row>
    <row r="44" spans="1:9" ht="20.100000000000001" customHeight="1" thickBot="1" x14ac:dyDescent="0.35">
      <c r="A44" s="14">
        <v>45906</v>
      </c>
    </row>
    <row r="45" spans="1:9" ht="20.100000000000001" customHeight="1" thickBot="1" x14ac:dyDescent="0.35">
      <c r="A45" s="14">
        <v>45907</v>
      </c>
    </row>
    <row r="46" spans="1:9" ht="20.100000000000001" customHeight="1" thickBot="1" x14ac:dyDescent="0.35">
      <c r="A46" s="14">
        <v>45908</v>
      </c>
    </row>
    <row r="47" spans="1:9" ht="20.100000000000001" customHeight="1" thickBot="1" x14ac:dyDescent="0.35">
      <c r="A47" s="14">
        <v>45909</v>
      </c>
    </row>
    <row r="48" spans="1:9" ht="20.100000000000001" customHeight="1" thickBot="1" x14ac:dyDescent="0.35">
      <c r="A48" s="14">
        <v>45910</v>
      </c>
    </row>
    <row r="49" spans="1:1" ht="20.100000000000001" customHeight="1" thickBot="1" x14ac:dyDescent="0.35">
      <c r="A49" s="14">
        <v>45911</v>
      </c>
    </row>
    <row r="50" spans="1:1" ht="20.100000000000001" customHeight="1" thickBot="1" x14ac:dyDescent="0.35">
      <c r="A50" s="14">
        <v>45912</v>
      </c>
    </row>
    <row r="51" spans="1:1" ht="20.100000000000001" customHeight="1" thickBot="1" x14ac:dyDescent="0.35">
      <c r="A51" s="14">
        <v>45913</v>
      </c>
    </row>
    <row r="52" spans="1:1" ht="20.100000000000001" customHeight="1" thickBot="1" x14ac:dyDescent="0.35">
      <c r="A52" s="14">
        <v>45914</v>
      </c>
    </row>
    <row r="53" spans="1:1" ht="20.100000000000001" customHeight="1" thickBot="1" x14ac:dyDescent="0.35">
      <c r="A53" s="14">
        <v>45915</v>
      </c>
    </row>
    <row r="54" spans="1:1" ht="20.100000000000001" customHeight="1" thickBot="1" x14ac:dyDescent="0.35">
      <c r="A54" s="14">
        <v>45916</v>
      </c>
    </row>
    <row r="55" spans="1:1" ht="20.100000000000001" customHeight="1" thickBot="1" x14ac:dyDescent="0.35">
      <c r="A55" s="14">
        <v>45917</v>
      </c>
    </row>
    <row r="56" spans="1:1" ht="20.100000000000001" customHeight="1" thickBot="1" x14ac:dyDescent="0.35">
      <c r="A56" s="14">
        <v>45918</v>
      </c>
    </row>
    <row r="57" spans="1:1" ht="20.100000000000001" customHeight="1" thickBot="1" x14ac:dyDescent="0.35">
      <c r="A57" s="14">
        <v>45919</v>
      </c>
    </row>
    <row r="58" spans="1:1" ht="20.100000000000001" customHeight="1" thickBot="1" x14ac:dyDescent="0.35">
      <c r="A58" s="14">
        <v>45920</v>
      </c>
    </row>
    <row r="59" spans="1:1" ht="20.100000000000001" customHeight="1" thickBot="1" x14ac:dyDescent="0.35">
      <c r="A59" s="14">
        <v>45921</v>
      </c>
    </row>
    <row r="60" spans="1:1" ht="20.100000000000001" customHeight="1" thickBot="1" x14ac:dyDescent="0.35">
      <c r="A60" s="14">
        <v>45922</v>
      </c>
    </row>
    <row r="61" spans="1:1" ht="20.100000000000001" customHeight="1" thickBot="1" x14ac:dyDescent="0.35">
      <c r="A61" s="14">
        <v>45923</v>
      </c>
    </row>
    <row r="62" spans="1:1" ht="20.100000000000001" customHeight="1" thickBot="1" x14ac:dyDescent="0.35">
      <c r="A62" s="14">
        <v>45924</v>
      </c>
    </row>
    <row r="63" spans="1:1" ht="20.100000000000001" customHeight="1" thickBot="1" x14ac:dyDescent="0.35">
      <c r="A63" s="14">
        <v>45925</v>
      </c>
    </row>
    <row r="64" spans="1:1" ht="20.100000000000001" customHeight="1" thickBot="1" x14ac:dyDescent="0.35">
      <c r="A64" s="14">
        <v>45926</v>
      </c>
    </row>
    <row r="65" spans="1:1" ht="20.100000000000001" customHeight="1" thickBot="1" x14ac:dyDescent="0.35">
      <c r="A65" s="14">
        <v>45927</v>
      </c>
    </row>
    <row r="66" spans="1:1" ht="20.100000000000001" customHeight="1" thickBot="1" x14ac:dyDescent="0.35">
      <c r="A66" s="14">
        <v>45928</v>
      </c>
    </row>
    <row r="67" spans="1:1" ht="20.100000000000001" customHeight="1" thickBot="1" x14ac:dyDescent="0.35">
      <c r="A67" s="14">
        <v>45929</v>
      </c>
    </row>
    <row r="68" spans="1:1" ht="20.100000000000001" customHeight="1" thickBot="1" x14ac:dyDescent="0.35">
      <c r="A68" s="14">
        <v>45930</v>
      </c>
    </row>
    <row r="69" spans="1:1" ht="20.100000000000001" customHeight="1" thickBot="1" x14ac:dyDescent="0.35">
      <c r="A69" s="14">
        <v>45931</v>
      </c>
    </row>
    <row r="70" spans="1:1" ht="20.100000000000001" customHeight="1" thickBot="1" x14ac:dyDescent="0.35">
      <c r="A70" s="14">
        <v>45932</v>
      </c>
    </row>
    <row r="71" spans="1:1" ht="20.100000000000001" customHeight="1" thickBot="1" x14ac:dyDescent="0.35">
      <c r="A71" s="14">
        <v>45933</v>
      </c>
    </row>
    <row r="72" spans="1:1" ht="20.100000000000001" customHeight="1" thickBot="1" x14ac:dyDescent="0.35">
      <c r="A72" s="14">
        <v>45934</v>
      </c>
    </row>
    <row r="73" spans="1:1" ht="20.100000000000001" customHeight="1" thickBot="1" x14ac:dyDescent="0.35">
      <c r="A73" s="14">
        <v>45935</v>
      </c>
    </row>
    <row r="74" spans="1:1" ht="20.100000000000001" customHeight="1" thickBot="1" x14ac:dyDescent="0.35">
      <c r="A74" s="14">
        <v>45936</v>
      </c>
    </row>
    <row r="75" spans="1:1" ht="20.100000000000001" customHeight="1" thickBot="1" x14ac:dyDescent="0.35">
      <c r="A75" s="14">
        <v>45937</v>
      </c>
    </row>
    <row r="76" spans="1:1" ht="20.100000000000001" customHeight="1" thickBot="1" x14ac:dyDescent="0.35">
      <c r="A76" s="14">
        <v>45938</v>
      </c>
    </row>
    <row r="77" spans="1:1" ht="20.100000000000001" customHeight="1" thickBot="1" x14ac:dyDescent="0.35">
      <c r="A77" s="14">
        <v>45939</v>
      </c>
    </row>
    <row r="78" spans="1:1" ht="20.100000000000001" customHeight="1" thickBot="1" x14ac:dyDescent="0.35">
      <c r="A78" s="14">
        <v>45940</v>
      </c>
    </row>
    <row r="79" spans="1:1" ht="20.100000000000001" customHeight="1" thickBot="1" x14ac:dyDescent="0.35">
      <c r="A79" s="14">
        <v>45941</v>
      </c>
    </row>
    <row r="80" spans="1:1" ht="20.100000000000001" customHeight="1" thickBot="1" x14ac:dyDescent="0.35">
      <c r="A80" s="14">
        <v>45942</v>
      </c>
    </row>
    <row r="81" spans="1:1" ht="20.100000000000001" customHeight="1" thickBot="1" x14ac:dyDescent="0.35">
      <c r="A81" s="14">
        <v>45943</v>
      </c>
    </row>
    <row r="82" spans="1:1" ht="20.100000000000001" customHeight="1" thickBot="1" x14ac:dyDescent="0.35">
      <c r="A82" s="14">
        <v>45944</v>
      </c>
    </row>
    <row r="83" spans="1:1" ht="20.100000000000001" customHeight="1" thickBot="1" x14ac:dyDescent="0.35">
      <c r="A83" s="14">
        <v>45945</v>
      </c>
    </row>
    <row r="84" spans="1:1" ht="20.100000000000001" customHeight="1" thickBot="1" x14ac:dyDescent="0.35">
      <c r="A84" s="14">
        <v>45946</v>
      </c>
    </row>
    <row r="85" spans="1:1" ht="20.100000000000001" customHeight="1" thickBot="1" x14ac:dyDescent="0.35">
      <c r="A85" s="14">
        <v>45947</v>
      </c>
    </row>
    <row r="86" spans="1:1" ht="20.100000000000001" customHeight="1" thickBot="1" x14ac:dyDescent="0.35">
      <c r="A86" s="14">
        <v>45948</v>
      </c>
    </row>
    <row r="87" spans="1:1" ht="20.100000000000001" customHeight="1" thickBot="1" x14ac:dyDescent="0.35">
      <c r="A87" s="14">
        <v>45949</v>
      </c>
    </row>
    <row r="88" spans="1:1" ht="20.100000000000001" customHeight="1" thickBot="1" x14ac:dyDescent="0.35">
      <c r="A88" s="14">
        <v>45950</v>
      </c>
    </row>
    <row r="89" spans="1:1" ht="20.100000000000001" customHeight="1" thickBot="1" x14ac:dyDescent="0.35">
      <c r="A89" s="14">
        <v>45951</v>
      </c>
    </row>
    <row r="90" spans="1:1" ht="20.100000000000001" customHeight="1" thickBot="1" x14ac:dyDescent="0.35">
      <c r="A90" s="14">
        <v>45952</v>
      </c>
    </row>
    <row r="91" spans="1:1" ht="20.100000000000001" customHeight="1" thickBot="1" x14ac:dyDescent="0.35">
      <c r="A91" s="14">
        <v>45953</v>
      </c>
    </row>
    <row r="92" spans="1:1" ht="20.100000000000001" customHeight="1" thickBot="1" x14ac:dyDescent="0.35">
      <c r="A92" s="14">
        <v>45954</v>
      </c>
    </row>
    <row r="93" spans="1:1" ht="20.100000000000001" customHeight="1" thickBot="1" x14ac:dyDescent="0.35">
      <c r="A93" s="14">
        <v>45955</v>
      </c>
    </row>
    <row r="94" spans="1:1" ht="20.100000000000001" customHeight="1" thickBot="1" x14ac:dyDescent="0.35">
      <c r="A94" s="14">
        <v>45956</v>
      </c>
    </row>
    <row r="95" spans="1:1" ht="20.100000000000001" customHeight="1" thickBot="1" x14ac:dyDescent="0.35">
      <c r="A95" s="14">
        <v>45957</v>
      </c>
    </row>
    <row r="96" spans="1:1" ht="20.100000000000001" customHeight="1" thickBot="1" x14ac:dyDescent="0.35">
      <c r="A96" s="14">
        <v>45958</v>
      </c>
    </row>
    <row r="97" spans="1:9" ht="20.100000000000001" customHeight="1" thickBot="1" x14ac:dyDescent="0.35">
      <c r="A97" s="14">
        <v>45959</v>
      </c>
    </row>
    <row r="98" spans="1:9" ht="20.100000000000001" customHeight="1" thickBot="1" x14ac:dyDescent="0.35">
      <c r="A98" s="14">
        <v>45960</v>
      </c>
    </row>
    <row r="99" spans="1:9" ht="20.100000000000001" customHeight="1" thickBot="1" x14ac:dyDescent="0.35">
      <c r="A99" s="14">
        <v>45961</v>
      </c>
    </row>
    <row r="100" spans="1:9" ht="20.100000000000001" customHeight="1" thickBot="1" x14ac:dyDescent="0.35">
      <c r="A100" s="14">
        <v>45962</v>
      </c>
    </row>
    <row r="101" spans="1:9" ht="20.100000000000001" customHeight="1" thickBot="1" x14ac:dyDescent="0.35">
      <c r="A101" s="14">
        <v>45963</v>
      </c>
    </row>
    <row r="102" spans="1:9" ht="20.100000000000001" customHeight="1" thickBot="1" x14ac:dyDescent="0.35">
      <c r="A102" s="14">
        <v>45964</v>
      </c>
    </row>
    <row r="103" spans="1:9" ht="20.100000000000001" customHeight="1" thickBot="1" x14ac:dyDescent="0.35">
      <c r="A103" s="14">
        <v>45965</v>
      </c>
    </row>
    <row r="104" spans="1:9" ht="20.100000000000001" customHeight="1" thickBot="1" x14ac:dyDescent="0.35">
      <c r="A104" s="14">
        <v>45966</v>
      </c>
    </row>
    <row r="105" spans="1:9" ht="20.100000000000001" customHeight="1" thickBot="1" x14ac:dyDescent="0.35">
      <c r="A105" s="14">
        <v>45967</v>
      </c>
    </row>
    <row r="106" spans="1:9" ht="20.100000000000001" customHeight="1" thickBot="1" x14ac:dyDescent="0.35">
      <c r="A106" s="14">
        <v>45968</v>
      </c>
    </row>
    <row r="107" spans="1:9" ht="20.100000000000001" customHeight="1" x14ac:dyDescent="0.3">
      <c r="A107" s="15"/>
    </row>
    <row r="108" spans="1:9" ht="20.100000000000001" customHeight="1" x14ac:dyDescent="0.3">
      <c r="A108" s="15"/>
    </row>
    <row r="109" spans="1:9" s="18" customFormat="1" ht="20.100000000000001" customHeight="1" x14ac:dyDescent="0.3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1" t="s">
        <v>89</v>
      </c>
    </row>
    <row r="200" spans="1:1" ht="20.100000000000001" customHeight="1" x14ac:dyDescent="0.3">
      <c r="A200" s="21" t="s">
        <v>90</v>
      </c>
    </row>
    <row r="201" spans="1:1" ht="20.100000000000001" customHeight="1" x14ac:dyDescent="0.3">
      <c r="A201" s="21" t="s">
        <v>91</v>
      </c>
    </row>
    <row r="202" spans="1:1" ht="20.100000000000001" customHeight="1" x14ac:dyDescent="0.3">
      <c r="A202" s="21" t="s">
        <v>92</v>
      </c>
    </row>
    <row r="203" spans="1:1" ht="20.100000000000001" customHeight="1" x14ac:dyDescent="0.3">
      <c r="A203" s="21" t="s">
        <v>93</v>
      </c>
    </row>
    <row r="204" spans="1:1" ht="20.100000000000001" customHeight="1" x14ac:dyDescent="0.3">
      <c r="A204" s="21" t="s">
        <v>94</v>
      </c>
    </row>
    <row r="205" spans="1:1" ht="20.100000000000001" customHeight="1" x14ac:dyDescent="0.3">
      <c r="A205" s="21" t="s">
        <v>95</v>
      </c>
    </row>
    <row r="206" spans="1:1" ht="20.100000000000001" customHeight="1" x14ac:dyDescent="0.3">
      <c r="A206" s="21" t="s">
        <v>96</v>
      </c>
    </row>
    <row r="207" spans="1:1" ht="20.100000000000001" customHeight="1" x14ac:dyDescent="0.3">
      <c r="A207" s="21" t="s">
        <v>97</v>
      </c>
    </row>
    <row r="208" spans="1:1" ht="20.100000000000001" customHeight="1" x14ac:dyDescent="0.3">
      <c r="A208" s="22" t="s">
        <v>98</v>
      </c>
    </row>
    <row r="209" spans="1:1" ht="20.100000000000001" customHeight="1" x14ac:dyDescent="0.3">
      <c r="A209" s="22" t="s">
        <v>99</v>
      </c>
    </row>
    <row r="210" spans="1:1" ht="20.100000000000001" customHeight="1" x14ac:dyDescent="0.3">
      <c r="A210" s="21" t="s">
        <v>100</v>
      </c>
    </row>
    <row r="211" spans="1:1" ht="20.100000000000001" customHeight="1" x14ac:dyDescent="0.3">
      <c r="A211" s="21" t="s">
        <v>101</v>
      </c>
    </row>
    <row r="212" spans="1:1" ht="20.100000000000001" customHeight="1" x14ac:dyDescent="0.3">
      <c r="A212" s="21" t="s">
        <v>175</v>
      </c>
    </row>
    <row r="213" spans="1:1" ht="20.100000000000001" customHeight="1" x14ac:dyDescent="0.3">
      <c r="A213" s="21" t="s">
        <v>102</v>
      </c>
    </row>
    <row r="214" spans="1:1" ht="20.100000000000001" customHeight="1" x14ac:dyDescent="0.3">
      <c r="A214" s="21" t="s">
        <v>103</v>
      </c>
    </row>
    <row r="215" spans="1:1" ht="20.100000000000001" customHeight="1" x14ac:dyDescent="0.3">
      <c r="A215" s="21" t="s">
        <v>104</v>
      </c>
    </row>
    <row r="216" spans="1:1" ht="20.100000000000001" customHeight="1" x14ac:dyDescent="0.3">
      <c r="A216" s="21" t="s">
        <v>105</v>
      </c>
    </row>
    <row r="217" spans="1:1" ht="20.100000000000001" customHeight="1" x14ac:dyDescent="0.3">
      <c r="A217" s="21" t="s">
        <v>106</v>
      </c>
    </row>
    <row r="218" spans="1:1" ht="20.100000000000001" customHeight="1" x14ac:dyDescent="0.3">
      <c r="A218" s="21" t="s">
        <v>107</v>
      </c>
    </row>
    <row r="219" spans="1:1" ht="20.100000000000001" customHeight="1" x14ac:dyDescent="0.3">
      <c r="A219" s="21" t="s">
        <v>108</v>
      </c>
    </row>
    <row r="220" spans="1:1" ht="20.100000000000001" customHeight="1" x14ac:dyDescent="0.3">
      <c r="A220" s="21" t="s">
        <v>109</v>
      </c>
    </row>
    <row r="221" spans="1:1" ht="20.100000000000001" customHeight="1" x14ac:dyDescent="0.3">
      <c r="A221" s="21" t="s">
        <v>110</v>
      </c>
    </row>
    <row r="222" spans="1:1" ht="20.100000000000001" customHeight="1" x14ac:dyDescent="0.3">
      <c r="A222" s="21" t="s">
        <v>111</v>
      </c>
    </row>
    <row r="223" spans="1:1" ht="20.100000000000001" customHeight="1" x14ac:dyDescent="0.3">
      <c r="A223" s="21" t="s">
        <v>112</v>
      </c>
    </row>
    <row r="224" spans="1:1" ht="20.100000000000001" customHeight="1" x14ac:dyDescent="0.3">
      <c r="A224" s="21" t="s">
        <v>176</v>
      </c>
    </row>
    <row r="225" spans="1:1" ht="20.100000000000001" customHeight="1" x14ac:dyDescent="0.3">
      <c r="A225" s="21" t="s">
        <v>113</v>
      </c>
    </row>
    <row r="226" spans="1:1" ht="20.100000000000001" customHeight="1" x14ac:dyDescent="0.3">
      <c r="A226" s="21" t="s">
        <v>114</v>
      </c>
    </row>
    <row r="227" spans="1:1" ht="20.100000000000001" customHeight="1" x14ac:dyDescent="0.3">
      <c r="A227" s="21" t="s">
        <v>115</v>
      </c>
    </row>
    <row r="228" spans="1:1" ht="20.100000000000001" customHeight="1" x14ac:dyDescent="0.3">
      <c r="A228" s="21" t="s">
        <v>116</v>
      </c>
    </row>
    <row r="229" spans="1:1" ht="20.100000000000001" customHeight="1" x14ac:dyDescent="0.3">
      <c r="A229" s="21" t="s">
        <v>117</v>
      </c>
    </row>
    <row r="230" spans="1:1" ht="20.100000000000001" customHeight="1" x14ac:dyDescent="0.3">
      <c r="A230" s="21" t="s">
        <v>118</v>
      </c>
    </row>
    <row r="231" spans="1:1" ht="20.100000000000001" customHeight="1" x14ac:dyDescent="0.3">
      <c r="A231" s="21" t="s">
        <v>119</v>
      </c>
    </row>
    <row r="232" spans="1:1" ht="20.100000000000001" customHeight="1" x14ac:dyDescent="0.3">
      <c r="A232" s="21" t="s">
        <v>120</v>
      </c>
    </row>
    <row r="233" spans="1:1" ht="20.100000000000001" customHeight="1" x14ac:dyDescent="0.3">
      <c r="A233" s="21" t="s">
        <v>121</v>
      </c>
    </row>
    <row r="234" spans="1:1" ht="20.100000000000001" customHeight="1" x14ac:dyDescent="0.3">
      <c r="A234" s="21" t="s">
        <v>122</v>
      </c>
    </row>
    <row r="235" spans="1:1" ht="20.100000000000001" customHeight="1" x14ac:dyDescent="0.3">
      <c r="A235" s="21" t="s">
        <v>123</v>
      </c>
    </row>
    <row r="236" spans="1:1" ht="20.100000000000001" customHeight="1" x14ac:dyDescent="0.3">
      <c r="A236" s="23" t="s">
        <v>124</v>
      </c>
    </row>
    <row r="237" spans="1:1" ht="20.100000000000001" customHeight="1" x14ac:dyDescent="0.3">
      <c r="A237" s="21" t="s">
        <v>125</v>
      </c>
    </row>
    <row r="238" spans="1:1" ht="20.100000000000001" customHeight="1" x14ac:dyDescent="0.3">
      <c r="A238" s="21" t="s">
        <v>126</v>
      </c>
    </row>
    <row r="239" spans="1:1" ht="20.100000000000001" customHeight="1" x14ac:dyDescent="0.3">
      <c r="A239" s="21" t="s">
        <v>127</v>
      </c>
    </row>
    <row r="240" spans="1:1" ht="20.100000000000001" customHeight="1" x14ac:dyDescent="0.3">
      <c r="A240" s="21" t="s">
        <v>128</v>
      </c>
    </row>
    <row r="241" spans="1:1" ht="20.100000000000001" customHeight="1" x14ac:dyDescent="0.3">
      <c r="A241" s="21" t="s">
        <v>129</v>
      </c>
    </row>
    <row r="242" spans="1:1" ht="20.100000000000001" customHeight="1" x14ac:dyDescent="0.3">
      <c r="A242" s="21" t="s">
        <v>130</v>
      </c>
    </row>
    <row r="243" spans="1:1" ht="20.100000000000001" customHeight="1" x14ac:dyDescent="0.3">
      <c r="A243" s="21" t="s">
        <v>131</v>
      </c>
    </row>
    <row r="244" spans="1:1" ht="20.100000000000001" customHeight="1" x14ac:dyDescent="0.3">
      <c r="A244" s="21" t="s">
        <v>132</v>
      </c>
    </row>
    <row r="245" spans="1:1" ht="20.100000000000001" customHeight="1" x14ac:dyDescent="0.3">
      <c r="A245" s="21" t="s">
        <v>133</v>
      </c>
    </row>
    <row r="246" spans="1:1" ht="20.100000000000001" customHeight="1" x14ac:dyDescent="0.3">
      <c r="A246" s="21" t="s">
        <v>134</v>
      </c>
    </row>
    <row r="247" spans="1:1" ht="20.100000000000001" customHeight="1" x14ac:dyDescent="0.3">
      <c r="A247" s="21" t="s">
        <v>135</v>
      </c>
    </row>
    <row r="248" spans="1:1" ht="20.100000000000001" customHeight="1" x14ac:dyDescent="0.3">
      <c r="A248" s="21" t="s">
        <v>126</v>
      </c>
    </row>
    <row r="249" spans="1:1" ht="20.100000000000001" customHeight="1" x14ac:dyDescent="0.3">
      <c r="A249" s="21" t="s">
        <v>136</v>
      </c>
    </row>
    <row r="250" spans="1:1" ht="20.100000000000001" customHeight="1" x14ac:dyDescent="0.3">
      <c r="A250" s="21" t="s">
        <v>137</v>
      </c>
    </row>
    <row r="251" spans="1:1" ht="20.100000000000001" customHeight="1" x14ac:dyDescent="0.3">
      <c r="A251" s="23" t="s">
        <v>138</v>
      </c>
    </row>
    <row r="252" spans="1:1" ht="20.100000000000001" customHeight="1" x14ac:dyDescent="0.3">
      <c r="A252" s="24" t="s">
        <v>139</v>
      </c>
    </row>
    <row r="253" spans="1:1" ht="20.100000000000001" customHeight="1" x14ac:dyDescent="0.3">
      <c r="A253" s="21" t="s">
        <v>140</v>
      </c>
    </row>
    <row r="254" spans="1:1" ht="20.100000000000001" customHeight="1" x14ac:dyDescent="0.3">
      <c r="A254" s="21" t="s">
        <v>141</v>
      </c>
    </row>
    <row r="255" spans="1:1" ht="20.100000000000001" customHeight="1" x14ac:dyDescent="0.3">
      <c r="A255" s="25" t="s">
        <v>142</v>
      </c>
    </row>
    <row r="256" spans="1:1" ht="20.100000000000001" customHeight="1" x14ac:dyDescent="0.3">
      <c r="A256" s="25" t="s">
        <v>143</v>
      </c>
    </row>
    <row r="257" spans="1:1" ht="20.100000000000001" customHeight="1" x14ac:dyDescent="0.3">
      <c r="A257" s="26" t="s">
        <v>144</v>
      </c>
    </row>
    <row r="258" spans="1:1" ht="20.100000000000001" customHeight="1" x14ac:dyDescent="0.3">
      <c r="A258" s="21" t="s">
        <v>145</v>
      </c>
    </row>
    <row r="259" spans="1:1" ht="20.100000000000001" customHeight="1" x14ac:dyDescent="0.3">
      <c r="A259" s="26" t="s">
        <v>146</v>
      </c>
    </row>
    <row r="260" spans="1:1" ht="20.100000000000001" customHeight="1" x14ac:dyDescent="0.3">
      <c r="A260" s="21" t="s">
        <v>147</v>
      </c>
    </row>
    <row r="261" spans="1:1" ht="20.100000000000001" customHeight="1" x14ac:dyDescent="0.3">
      <c r="A261" s="26" t="s">
        <v>148</v>
      </c>
    </row>
    <row r="262" spans="1:1" ht="20.100000000000001" customHeight="1" x14ac:dyDescent="0.3">
      <c r="A262" s="21" t="s">
        <v>149</v>
      </c>
    </row>
    <row r="263" spans="1:1" ht="20.100000000000001" customHeight="1" x14ac:dyDescent="0.3">
      <c r="A263" s="21" t="s">
        <v>150</v>
      </c>
    </row>
    <row r="264" spans="1:1" ht="20.100000000000001" customHeight="1" x14ac:dyDescent="0.3">
      <c r="A264" s="26" t="s">
        <v>151</v>
      </c>
    </row>
    <row r="265" spans="1:1" ht="20.100000000000001" customHeight="1" x14ac:dyDescent="0.3">
      <c r="A265" s="26" t="s">
        <v>152</v>
      </c>
    </row>
    <row r="266" spans="1:1" ht="20.100000000000001" customHeight="1" x14ac:dyDescent="0.3">
      <c r="A266" s="26" t="s">
        <v>153</v>
      </c>
    </row>
    <row r="267" spans="1:1" ht="20.100000000000001" customHeight="1" x14ac:dyDescent="0.3">
      <c r="A267" s="21" t="s">
        <v>154</v>
      </c>
    </row>
    <row r="268" spans="1:1" ht="20.100000000000001" customHeight="1" x14ac:dyDescent="0.3">
      <c r="A268" s="21" t="s">
        <v>155</v>
      </c>
    </row>
    <row r="269" spans="1:1" ht="20.100000000000001" customHeight="1" x14ac:dyDescent="0.3">
      <c r="A269" s="21" t="s">
        <v>156</v>
      </c>
    </row>
    <row r="270" spans="1:1" ht="20.100000000000001" customHeight="1" x14ac:dyDescent="0.3">
      <c r="A270" s="21" t="s">
        <v>157</v>
      </c>
    </row>
    <row r="271" spans="1:1" ht="20.100000000000001" customHeight="1" x14ac:dyDescent="0.3">
      <c r="A271" s="26" t="s">
        <v>158</v>
      </c>
    </row>
    <row r="272" spans="1:1" ht="20.100000000000001" customHeight="1" x14ac:dyDescent="0.3">
      <c r="A272" s="26" t="s">
        <v>159</v>
      </c>
    </row>
    <row r="273" spans="1:1" ht="20.100000000000001" customHeight="1" x14ac:dyDescent="0.3">
      <c r="A273" s="21" t="s">
        <v>160</v>
      </c>
    </row>
    <row r="274" spans="1:1" ht="20.100000000000001" customHeight="1" x14ac:dyDescent="0.3">
      <c r="A274" s="26" t="s">
        <v>161</v>
      </c>
    </row>
    <row r="275" spans="1:1" ht="20.100000000000001" customHeight="1" x14ac:dyDescent="0.3">
      <c r="A275" s="26" t="s">
        <v>162</v>
      </c>
    </row>
    <row r="276" spans="1:1" ht="20.100000000000001" customHeight="1" x14ac:dyDescent="0.3">
      <c r="A276" s="21" t="s">
        <v>163</v>
      </c>
    </row>
    <row r="277" spans="1:1" ht="20.100000000000001" customHeight="1" x14ac:dyDescent="0.3">
      <c r="A277" s="21" t="s">
        <v>164</v>
      </c>
    </row>
    <row r="278" spans="1:1" ht="20.100000000000001" customHeight="1" x14ac:dyDescent="0.3">
      <c r="A278" s="26" t="s">
        <v>165</v>
      </c>
    </row>
    <row r="279" spans="1:1" ht="20.100000000000001" customHeight="1" x14ac:dyDescent="0.3">
      <c r="A279" s="21" t="s">
        <v>166</v>
      </c>
    </row>
    <row r="280" spans="1:1" ht="20.100000000000001" customHeight="1" x14ac:dyDescent="0.3">
      <c r="A280" s="21" t="s">
        <v>167</v>
      </c>
    </row>
    <row r="281" spans="1:1" ht="20.100000000000001" customHeight="1" x14ac:dyDescent="0.3">
      <c r="A281" s="21" t="s">
        <v>168</v>
      </c>
    </row>
    <row r="282" spans="1:1" ht="20.100000000000001" customHeight="1" x14ac:dyDescent="0.3">
      <c r="A282" s="21" t="s">
        <v>169</v>
      </c>
    </row>
    <row r="283" spans="1:1" ht="20.100000000000001" customHeight="1" x14ac:dyDescent="0.3">
      <c r="A283" s="26" t="s">
        <v>170</v>
      </c>
    </row>
    <row r="284" spans="1:1" ht="20.100000000000001" customHeight="1" x14ac:dyDescent="0.3">
      <c r="A284" s="26" t="s">
        <v>171</v>
      </c>
    </row>
    <row r="285" spans="1:1" ht="20.100000000000001" customHeight="1" x14ac:dyDescent="0.3">
      <c r="A285" s="26" t="s">
        <v>172</v>
      </c>
    </row>
    <row r="286" spans="1:1" ht="20.100000000000001" customHeight="1" thickBot="1" x14ac:dyDescent="0.35">
      <c r="A286" s="21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2025-10-07T21:38:03Z</dcterms:modified>
</cp:coreProperties>
</file>