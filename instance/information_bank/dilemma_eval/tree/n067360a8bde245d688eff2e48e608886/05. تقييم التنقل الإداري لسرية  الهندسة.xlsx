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A96C6B8D-71A3-4938-A5E9-0B05188FBEB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9" i="2"/>
  <c r="H19" i="2" s="1"/>
  <c r="G20" i="2"/>
  <c r="H20" i="2"/>
  <c r="G21" i="2"/>
  <c r="H21" i="2" s="1"/>
  <c r="G22" i="2"/>
  <c r="H22" i="2" s="1"/>
  <c r="G24" i="2"/>
  <c r="H24" i="2"/>
  <c r="G25" i="2"/>
  <c r="H25" i="2"/>
  <c r="G26" i="2"/>
  <c r="H26" i="2"/>
  <c r="G27" i="2"/>
  <c r="H27" i="2"/>
  <c r="G28" i="2"/>
  <c r="H28" i="2"/>
  <c r="G29" i="2"/>
  <c r="H29" i="2"/>
  <c r="G31" i="2"/>
  <c r="H31" i="2"/>
  <c r="G32" i="2"/>
  <c r="H32" i="2"/>
  <c r="G34" i="2"/>
  <c r="H34" i="2"/>
  <c r="G35" i="2"/>
  <c r="H35" i="2" s="1"/>
  <c r="G36" i="2"/>
  <c r="H36" i="2" s="1"/>
  <c r="G37" i="2"/>
  <c r="H37" i="2"/>
  <c r="F38" i="2"/>
  <c r="E38" i="2"/>
  <c r="E39" i="2" l="1"/>
  <c r="E40" i="2" s="1"/>
</calcChain>
</file>

<file path=xl/sharedStrings.xml><?xml version="1.0" encoding="utf-8"?>
<sst xmlns="http://schemas.openxmlformats.org/spreadsheetml/2006/main" count="271" uniqueCount="211">
  <si>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</si>
  <si>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</si>
  <si>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</si>
  <si>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</si>
  <si>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</si>
  <si>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</si>
  <si>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</si>
  <si>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</si>
  <si>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</si>
  <si>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</si>
  <si>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</si>
  <si>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</si>
  <si>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</si>
  <si>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</si>
  <si>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</si>
  <si>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</si>
  <si>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</si>
  <si>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</si>
  <si>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</si>
  <si>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</si>
  <si>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</si>
  <si>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</si>
  <si>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</si>
  <si>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</si>
  <si>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</si>
  <si>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</si>
  <si>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</si>
  <si>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</si>
  <si>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</si>
  <si>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</si>
  <si>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</si>
  <si>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</si>
  <si>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</si>
  <si>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</si>
  <si>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</si>
  <si>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</si>
  <si>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</si>
  <si>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</si>
  <si>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</si>
  <si>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</si>
  <si>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</si>
  <si>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</si>
  <si>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</si>
  <si>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</si>
  <si>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</si>
  <si>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</si>
  <si>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</si>
  <si>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</si>
  <si>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</si>
  <si>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</si>
  <si>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</si>
  <si>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</si>
  <si>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</si>
  <si>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</si>
  <si>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</si>
  <si>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</si>
  <si>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</si>
  <si>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</si>
  <si>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</si>
  <si>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</si>
  <si>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</si>
  <si>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</si>
  <si>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</si>
  <si>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</si>
  <si>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</si>
  <si>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</si>
  <si>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</si>
  <si>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</si>
  <si>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</si>
  <si>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</si>
  <si>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</si>
  <si>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</si>
  <si>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</si>
  <si>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</si>
  <si>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</si>
  <si>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</si>
  <si>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</si>
  <si>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</si>
  <si>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</si>
  <si>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</si>
  <si>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</si>
  <si>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</si>
  <si>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</si>
  <si>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</si>
  <si>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</si>
  <si>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</si>
  <si>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</si>
  <si>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</si>
  <si>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</si>
  <si>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</si>
  <si>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</si>
  <si>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</si>
  <si>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</si>
  <si>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</si>
  <si>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</si>
  <si>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</si>
  <si>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</si>
  <si>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</si>
  <si>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</si>
  <si>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</si>
  <si>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</si>
  <si>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</si>
  <si>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</si>
  <si>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</si>
  <si>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</si>
  <si>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</si>
  <si>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</si>
  <si>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</si>
  <si>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</si>
  <si>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</si>
  <si>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</si>
  <si>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</si>
  <si>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</si>
  <si>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</si>
  <si>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</si>
  <si>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</si>
  <si>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</si>
  <si>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</si>
  <si>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</si>
  <si>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</si>
  <si>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</si>
  <si>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</si>
  <si>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</si>
  <si>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</si>
  <si>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</si>
  <si>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</si>
  <si>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</si>
  <si>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</si>
  <si>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</si>
  <si>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</si>
  <si>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</si>
  <si>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</si>
  <si>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</si>
  <si>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</si>
  <si>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</si>
  <si>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</si>
  <si>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</si>
  <si>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</si>
  <si>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</si>
  <si>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</si>
  <si>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</si>
  <si>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</si>
  <si>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</si>
  <si>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</si>
  <si>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</si>
  <si>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</si>
  <si>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</si>
  <si>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</si>
  <si>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</si>
  <si>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</si>
  <si>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</si>
  <si>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</si>
  <si>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</si>
  <si>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</si>
  <si>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</si>
  <si>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</si>
  <si>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</si>
  <si>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</si>
  <si>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</si>
  <si>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</si>
  <si>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</si>
  <si>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</si>
  <si>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</si>
  <si>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</si>
  <si>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</si>
  <si>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</si>
  <si>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</si>
  <si>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</si>
  <si>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</si>
  <si>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</si>
  <si>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</si>
  <si>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</si>
  <si>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</si>
  <si>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</si>
  <si>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</si>
  <si>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</si>
  <si>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</si>
  <si>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</si>
  <si>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</si>
  <si>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</si>
  <si>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التنقل الإداري لسرية  الهندسة الميدان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</si>
  <si>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توفر التعليمات والأوامر الضرورية للتنقـل مع قائـد القافلة، وتشمل:</t>
  </si>
  <si>
    <r>
      <t xml:space="preserve">1. </t>
    </r>
    <r>
      <rPr>
        <sz val="12"/>
        <color rgb="FF000000"/>
        <rFont val="Arial"/>
        <family val="2"/>
      </rPr>
      <t xml:space="preserve">وجود </t>
    </r>
    <r>
      <rPr>
        <sz val="12"/>
        <color theme="1"/>
        <rFont val="Arial"/>
        <family val="2"/>
      </rPr>
      <t>الأمر / برقية إعطاء الموافقة بالتحرك من المستوى الأعلـى.</t>
    </r>
  </si>
  <si>
    <t>2. وجود أمـر التنقل ودقة البيانات الواردة به.</t>
  </si>
  <si>
    <t>3. وجود جدول التنقل ودقة البيانات الواردة به.</t>
  </si>
  <si>
    <t>4. وجود يومية التحرك ودقة البيانات الواردة بها.</t>
  </si>
  <si>
    <t>5. مدى التقيد بالتوقيتات، الوقفات، السرعة، الكثافة، الطرق ونقاط السيطرة).</t>
  </si>
  <si>
    <t>6. مدى إلمام قائد القافلة (بالأوامر الصادرة في أمر / جدول / يومية التحرك مخطط / التنقل، المواقف الطارئة مثل إلغاء أو تأخير حركة القافلة).</t>
  </si>
  <si>
    <t>7. التأكد من جاهزيـة الضباط والأفــراد من حيث (الأسلحـة الشخصيـة، اللبـاس، البطاقة والرخـص العسكرية، بطاقة الطريق لكل قائد آلية، وسيلة إضاءة مع كل سائق، القلادة المعدنيـة).</t>
  </si>
  <si>
    <t>8. وجود أفراد حراسة مع القافلة حسب التعليمات.</t>
  </si>
  <si>
    <t>9. التأكد من التنسيـق مـع الشرطـة العسكرية.</t>
  </si>
  <si>
    <t>الشـرطة العسكرية</t>
  </si>
  <si>
    <t>1. وجود برقية إخطار الشرطة العسكرية بالتحرك صادرة من المستوى الأعلى.</t>
  </si>
  <si>
    <t>2. التأكد من التنسيق مع الشرطة المدينة حول التحرك من قبل الشرطة العسكرية.</t>
  </si>
  <si>
    <t>3. التأكد من عدم السماح للسيارة المدينة بالدخول بين آليات القافلة العسكرية.</t>
  </si>
  <si>
    <t>4. التأكد من جاهزية الأفراد والآليات من حيث (عدد الأفراد / الآليات، التسليح، الاتصالات، اللباس).</t>
  </si>
  <si>
    <r>
      <t>جاهزية آليات القافلة</t>
    </r>
    <r>
      <rPr>
        <b/>
        <sz val="12"/>
        <color theme="1"/>
        <rFont val="Arial"/>
        <family val="2"/>
      </rPr>
      <t xml:space="preserve">، </t>
    </r>
    <r>
      <rPr>
        <sz val="12"/>
        <color theme="1"/>
        <rFont val="Arial"/>
        <family val="2"/>
      </rPr>
      <t>من حيـث:</t>
    </r>
  </si>
  <si>
    <t>1. وجود الأعلام الضرورية (علم أزرق في بداية ونهاية كل مجموعة، علم أصفر في حالة عطل الآليـة، عدم وضع أعلام حمراء على الآليات التي تحمل ذخائر أو متفجرات).</t>
  </si>
  <si>
    <t>2. وجود عدة الآلية، جدول التحميل / الركوب لكل آلية.</t>
  </si>
  <si>
    <t>3. مدى صلاحية وجاهزية الآليات من حيث (الوقود، المياه، الإطار الاحتياطي، غطاء التمويه مع الركائز).</t>
  </si>
  <si>
    <t>4. التأكد من عدم تحميل الآليات أكثر من حمولتها أو وضع حمولة غير مرتبة بحيث توحي بأنها محملة أكثر من حمولتها.</t>
  </si>
  <si>
    <t>5. التأكد من تحميل ثلث ذخيرة الخط الأول لجميع الأصناف في صناديق (أثناء التنقل لتنفيذ التمارين الخارجية) مع وجود سند صرف لاستلام الذخائر.</t>
  </si>
  <si>
    <t>6. التأكد من تغطية حمولة الآليات (الأسلحة، الذخائر، معدات عسكرية) ومدى صلاحية الأغطية وتثبيتها.</t>
  </si>
  <si>
    <r>
      <t>عند تحميل أي ذخيرة في القافلة</t>
    </r>
    <r>
      <rPr>
        <b/>
        <sz val="12"/>
        <color theme="1"/>
        <rFont val="Arial"/>
        <family val="2"/>
      </rPr>
      <t xml:space="preserve">، </t>
    </r>
    <r>
      <rPr>
        <sz val="12"/>
        <color theme="1"/>
        <rFont val="Arial"/>
        <family val="2"/>
      </rPr>
      <t>يتم توفير الآتي:</t>
    </r>
  </si>
  <si>
    <t>1. وجود سيارة إطفاء والتأكد من جاهزيتها وصلاحيتها وكفاءة طاقمها.</t>
  </si>
  <si>
    <t>2. وجود أفراد حراسة مع السلاح الشخصي والذخيرة المقررة للحراسة وملمين بواجباتهم وموزعين على القافلة.</t>
  </si>
  <si>
    <t>الشؤون الإدارية</t>
  </si>
  <si>
    <t>1. توفر الإعاشة أثناء التنقـل.</t>
  </si>
  <si>
    <t>2. وجود سيارة إسعاف مع طبيب / ممرضة أو ممرض قانوني بكامل التجهيزات.</t>
  </si>
  <si>
    <t>3. وجود آلية إنقاذ مع فريق (ميكانيكي، كهربائي حسب نوع الآليات المتنقلة) وإلمام الفريق بتشغيل وسيلة الإنقـاذ.</t>
  </si>
  <si>
    <t>4. وجود آلية قطر احتياط لأليات النقل الثقيلة.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</si>
</sst>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vertical="center" wrapText="1"/>
    </xf>
    <xf numFmtId="0" fontId="2" fillId="0" borderId="3" xfId="0" applyFont="1" applyBorder="1" applyAlignment="1" applyProtection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</xf>
    <xf numFmtId="0" fontId="2" fillId="0" borderId="12" xfId="0" applyFont="1" applyBorder="1" applyAlignment="1" applyProtection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</xf>
    <xf numFmtId="0" fontId="2" fillId="0" borderId="4" xfId="0" applyFont="1" applyBorder="1" applyAlignment="1" applyProtection="1">
      <alignment vertical="center" wrapText="1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4" fillId="0" borderId="5" xfId="0" applyFont="1" applyBorder="1" applyAlignment="1" applyProtection="1">
      <alignment horizontal="right" vertical="center" wrapText="1" readingOrder="2"/>
    </xf>
    <xf numFmtId="0" fontId="14" fillId="0" borderId="4" xfId="0" applyFont="1" applyBorder="1" applyAlignment="1" applyProtection="1">
      <alignment horizontal="right" vertical="center" wrapText="1" readingOrder="2"/>
    </xf>
    <xf numFmtId="0" fontId="13" fillId="0" borderId="23" xfId="0" applyFont="1" applyBorder="1" applyAlignment="1" applyProtection="1">
      <alignment horizontal="right" vertical="center" wrapText="1" readingOrder="2"/>
    </xf>
    <xf numFmtId="0" fontId="13" fillId="0" borderId="3" xfId="0" applyFont="1" applyBorder="1" applyAlignment="1" applyProtection="1">
      <alignment horizontal="right" vertical="center" wrapText="1" readingOrder="2"/>
    </xf>
    <xf numFmtId="0" fontId="12" fillId="0" borderId="23" xfId="0" applyFont="1" applyBorder="1" applyAlignment="1" applyProtection="1">
      <alignment horizontal="right" vertical="center" wrapText="1" readingOrder="2"/>
    </xf>
    <xf numFmtId="0" fontId="12" fillId="0" borderId="3" xfId="0" applyFont="1" applyBorder="1" applyAlignment="1" applyProtection="1">
      <alignment horizontal="right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12" fillId="0" borderId="11" xfId="0" applyFont="1" applyBorder="1" applyAlignment="1" applyProtection="1">
      <alignment horizontal="right" vertical="center" wrapText="1" readingOrder="2"/>
    </xf>
    <xf numFmtId="0" fontId="12" fillId="0" borderId="12" xfId="0" applyFont="1" applyBorder="1" applyAlignment="1" applyProtection="1">
      <alignment horizontal="right" vertical="center" wrapText="1" readingOrder="2"/>
    </xf>
    <xf numFmtId="0" fontId="1" fillId="0" borderId="5" xfId="0" applyFont="1" applyBorder="1" applyAlignment="1" applyProtection="1">
      <alignment horizontal="right" vertical="center" wrapText="1" readingOrder="2"/>
    </xf>
    <xf numFmtId="0" fontId="1" fillId="0" borderId="4" xfId="0" applyFont="1" applyBorder="1" applyAlignment="1" applyProtection="1">
      <alignment horizontal="right" vertical="center" wrapText="1" readingOrder="2"/>
    </xf>
    <xf numFmtId="0" fontId="13" fillId="0" borderId="11" xfId="0" applyFont="1" applyBorder="1" applyAlignment="1" applyProtection="1">
      <alignment horizontal="right" vertical="center" wrapText="1" readingOrder="2"/>
    </xf>
    <xf numFmtId="0" fontId="13" fillId="0" borderId="12" xfId="0" applyFont="1" applyBorder="1" applyAlignment="1" applyProtection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33</xdr:row>
      <xdr:rowOff>676275</xdr:rowOff>
    </xdr:from>
    <xdr:to>
      <xdr:col>3</xdr:col>
      <xdr:colOff>457200</xdr:colOff>
      <xdr:row>33</xdr:row>
      <xdr:rowOff>923925</xdr:rowOff>
    </xdr:to>
    <xdr:sp macro="" textlink="">
      <xdr:nvSpPr>
        <xdr:cNvPr id="2" name="Text Box 5634">
          <a:extLst>
            <a:ext uri="{FF2B5EF4-FFF2-40B4-BE49-F238E27FC236}">
              <a16:creationId xmlns:a16="http://schemas.microsoft.com/office/drawing/2014/main" id="{DD124309-3A82-4D6F-A181-F8A9F6A00938}"/>
            </a:ext>
          </a:extLst>
        </xdr:cNvPr>
        <xdr:cNvSpPr txBox="1">
          <a:spLocks noChangeArrowheads="1"/>
        </xdr:cNvSpPr>
      </xdr:nvSpPr>
      <xdr:spPr bwMode="auto">
        <a:xfrm>
          <a:off x="11235642375" y="14382750"/>
          <a:ext cx="4286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r" rtl="1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HeshamNormal"/>
            </a:rPr>
            <a:t>35</a:t>
          </a:r>
        </a:p>
      </xdr:txBody>
    </xdr:sp>
    <xdr:clientData/>
  </xdr:twoCellAnchor>
  <xdr:twoCellAnchor>
    <xdr:from>
      <xdr:col>3</xdr:col>
      <xdr:colOff>28575</xdr:colOff>
      <xdr:row>33</xdr:row>
      <xdr:rowOff>676275</xdr:rowOff>
    </xdr:from>
    <xdr:to>
      <xdr:col>3</xdr:col>
      <xdr:colOff>457200</xdr:colOff>
      <xdr:row>33</xdr:row>
      <xdr:rowOff>923925</xdr:rowOff>
    </xdr:to>
    <xdr:sp macro="" textlink="">
      <xdr:nvSpPr>
        <xdr:cNvPr id="3" name="Text Box 5634">
          <a:extLst>
            <a:ext uri="{FF2B5EF4-FFF2-40B4-BE49-F238E27FC236}">
              <a16:creationId xmlns:a16="http://schemas.microsoft.com/office/drawing/2014/main" id="{AA981A04-F6E9-493C-823C-CC79A6FA9FB0}"/>
            </a:ext>
          </a:extLst>
        </xdr:cNvPr>
        <xdr:cNvSpPr txBox="1">
          <a:spLocks noChangeArrowheads="1"/>
        </xdr:cNvSpPr>
      </xdr:nvSpPr>
      <xdr:spPr bwMode="auto">
        <a:xfrm>
          <a:off x="11235642375" y="14382750"/>
          <a:ext cx="4286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r" rtl="1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HeshamNormal"/>
            </a:rPr>
            <a:t>35</a:t>
          </a:r>
        </a:p>
      </xdr:txBody>
    </xdr:sp>
    <xdr:clientData/>
  </xdr:twoCellAnchor>
  <xdr:twoCellAnchor editAs="oneCell">
    <xdr:from>
      <xdr:col>6</xdr:col>
      <xdr:colOff>325202</xdr:colOff>
      <xdr:row>41</xdr:row>
      <xdr:rowOff>92542</xdr:rowOff>
    </xdr:from>
    <xdr:to>
      <xdr:col>9</xdr:col>
      <xdr:colOff>43288</xdr:colOff>
      <xdr:row>41</xdr:row>
      <xdr:rowOff>632182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E8B0A20F-3FE5-F164-41E1-3325086FB3AA}"/>
                </a:ext>
              </a:extLst>
            </xdr14:cNvPr>
            <xdr14:cNvContentPartPr/>
          </xdr14:nvContentPartPr>
          <xdr14:nvPr macro=""/>
          <xdr14:xfrm>
            <a:off x="10436350276" y="20036160"/>
            <a:ext cx="1692360" cy="53964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E8B0A20F-3FE5-F164-41E1-3325086FB3A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6344156" y="20030040"/>
              <a:ext cx="1704600" cy="551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6T18:16:58.7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4274 773 1936,'0'0'0,"0"0"0,-3-2 824,-3-1-192,-9-2-224,13 1-240,2 4-168,0-1-16,0-1-96,5 0-72,-5 2-24,0 0 208,5 0-288,-5 0 24,2 0 56,-2 0-24,0 0 232,5 0-136,-5 0-32,2 0 8,-2 4 80,0-4 80,4 3-136,1-3 40,-3 3 24,3-3 0,-5 0 72,5 4-8,2-4 16,-4 0 16,0 0 8,-3 0-32,5 0 72,0 0-24,-3 0 32,1-2 48,-3 2-128,5-2 168,-3 1-24,-2-1 56,5 0-64,-5 2-136,1-1 56,4-1 40,-5 0-112,0 1 16,0 1 0,2-2 16,1 2 0,-3-2 16,5 2-24,-5 0-8,0 0 16,0 0-24,0 0 16,0 0 8,0 0-48,2 0 72,3 0-32,-3 0 16,-2 0-24,3 0 40,1 0-40,-4 0 24,2-2-32,-2 2 8,5-1-8,-3-1 16,-2 0-16,5-1 24,-5 3-16,2-4 40,1-1-8,3 2-8,-4-2 8,-2 5-32,5-14 40,0 11 0,0-4 8,-3 0 0,-2 7-48,5-7 56,-1 0-8,1 1-8,-1-1 8,-4 7-48,3-5 0,2 1 0,-3 3 16,-2-1-8,0 2-8,5-2 0,-5 0-56,5 1 40,-1-1 40,-4 2-24,4-2 16,11 1 32,-10-3-40,8 1-40,-13 3 32,5-4-32,8-1 64,-10 0-40,13 0 16,-16 5-8,3-5 24,2 2-32,8-1 24,-13 2 24,0 2-40,0-1 40,0-1 16,0 2 280,0 0 296,0 0-632,-2 0 825,-1 3 127,3-3-176,-2 4-384,2-4-392,-2 3 232,-2 1-104,-1-1-96,-10 11-8,15-14-24,-4 3-40,-12 11-8,1-9 32,-5 12-8,20-17 24,-21 15-40,-2 2 24,-1 0-56,-5 2 32,29-19 40,-31 21 32,-1 1-72,-6 3 96,-4 4-24,42-29-32,-37 31 40,-5 0 16,3 3-32,-1 0 8,40-34-32,-41 34-16,-1 0 64,7-3-32,0-5-24,35-26 8,-28 22 40,0-5 16,5-4 16,7-9 72,16-4-144,-17 5 200,4-2 72,6-3 40,-12 0 8,19 0-320,-7-3 313,-9-4-161,9-8-8,-7 8 8,14 7-152,-5-19 88,-9 6 0,12 6-32,-3-12-32,5 19-24,-7-5-24,3-12 120,-1 12-136,3-14-24,2 19 64,-2-14-80,2 1-72,0-1 8,4 0 0,-4 14 144,16-15-128,-11 1-24,11-3 40,-2 2 7,-14 15 105,12-15-80,4-2 40,0-1 8,1 3-8,-17 15 40,13-15-40,2-1 0,-2 3 8,-8 8 16,-5 5 16,17-16-32,-13 13 40,0-2-8,1 0 24,-5 5-24,5-4 24,0 3 0,-5-1 8,0 2 24,0 0-56,0 0 16,0 0 48,-5 0 0,3 0-8,2 0-56,-5 3 105,-11 2-73,9 0 8,-14 11-24,21-16-16,-17 5 0,-1 14 24,-3-14 0,0 12-8,21-17-16,-21 5 48,-2 15-16,-5-6-48,7-9 64,21-5-48,-25 21 32,-1-16-40,2 14 40,1-14-64,23-5 32,-20 15 8,1-10 24,3 9-8,0-11-16,-6 13-24,22-16 16,-18 3 32,0 2-24,1 9-40,1-14 64,16 0-32,-12 5-40,5-2 24,-7-3 64,14 0-48,-4 0 8,-4-1 64,2-5-24,1 0-8,5 6-40,-2-14-8,-3 7-48,5-12 16,0 4 16,0 15 24,0-15-40,5-2-16,11-2-40,-11 0-8,-5 19 104,16-19-88,-2-1 64,-2 1 16,1 0-8,-13 19 16,15-17 24,-2 0-32,2 4-16,-11-1 24,12 0-16,-16 14 16,3-5-9,4-2 58,-3 1-33,1 2 32,-5 4-48,0-2 0,0 1 8,0 1 8,0 0-24,0 0 8,0 0 32,-3 3-8,-1 2-24,4-5 0,-5 14 0,-11-9-8,0 14 24,-3-6 0,-2 4-16,21-17 0,-26 19 0,-1 0-24,1 1 24,-2-1 16,28-19-16,-30 19 24,0-2-16,-1 0 24,31-17-32,-32 17 24,-1 2-8,-1 0 32,-1 3-16,2-3-8,33-19-24,-32 18 40,4-1-40,5-3 16,0-9-16,23-5 0,-26 16 24,7-13 8,-2 11-8,7-14-8,14 0-16,-14 3 32,10 0 16,-10-3 24,9 0 16,5 0-88,-4-1 72,1-3-8,1-1-24,-1-2-40,3 7 0,0-15-24,0 8-24,5-12-8,0 1 24,-5 18 32,5-19-24,8 0-16,-8-1 16,11 3 8,-16 17 16,5-19-24,9 4 8,-11-1 32,10 1-48,-13 15 32,5-14-24,12 1-24,-14 6 24,12-10 0,-15 17 24,5-5-8,-1-2 8,10 0-64,-14 2 48,0 5 16,2-5-40,3 1 0,0 3 32,-5-1-8,0 2 16,0 0-32,0 0 24,0 0 32,0 0 0,0 0-32,0 0 88,0 0-8,-3 0 56,-1 0-64,4 0-64,-5 0 56,-11 3-32,2-3-64,-5 4 64,19-4-24,-23 3 24,-5 0 8,-2 3-16,-10-1-24,40-5 8,-40 5 32,-6 0-8,3 10-8,-7-10 40,50-5-56,-53 19 8,-1-5 0,-6 1-8,-3 1 16,63-16-16,-64 18 24,-4 3-48,-4 3 56,72-24-32,-72 25 40,72-25-40,-77 28 48,-2 1-16,0-2 8,-5 0-16,84-27-24,-88 29 0,-1-2 24,0 2-16,-2 2-48,91-31 40,-91 29-8,0 2 40,0-2-8,1-2-24,90-27 0,-89 26 24,3-1-32,3-3 0,1 1 8,82-23 0,-83 18 0,4-1-8,5-1 0,6-11 24,68-5-16,-63 14 40,33-14 48,-3 3 40,1-3-56,32 0-72,-37 0 80,5 0-24,-4 0-40,9-5 32,27 5-48,-35-14 16,9 7 16,8-13-24,-1-1-32,19 21 24,-4-23-24,-3-3-72,4-6 40,3-4 32,0 36 24,18-39-32,4-6 48,10-8-96,43-44 16,-75 97 64,78-94-40,6 14-56,-11 19 64,1 3-16,-74 58 48,81-55 0,2 4 8,6 1 40,-1 1-16,-88 49-32,91-48-24,7-1 72,1 3-64,10 0 8,-109 46 8,114-45 8,3 3-24,1 1 0,1 0-16,-119 41 32,116-41-24,-2 2-32,-2 3-8,-1 5-8,-111 31 72,116-24-32,-2 5-24,0 6 8,-3 8 72,-111 5-24,109-5-32,-6-1 8,-3 5 0,-9-1-8,-91 2 32,88-2-16,-4 2 16,-6 0-8,-3 0 0,-75 0 8,72 4 8,-4 1-16,-6 0-8,-4 0-16,-58-5 32,58 14-32,-2-9-8,0 12 24,-2-4 8,-54-13 8,48 14 8,-7 0-8,-3-1 8,-10 1-8,-28-14 0,23 15-16,-6 1 16,-13-3 0,10 1 0,-14-14 0,0 5 48,0 11-8,-3-11 8,-10 13 24,13-18-72,-14 14 48,-9 1 0,2 1 16,-7 1-32,28-17-32,-30 19 56,-5 1-24,-5 4-8,-4 0 8,44-24-32,-42 24 0,-2 3 0,-4 2 8,-4 3 8,52-32-16,-58 36-16,-2 0-8,4 0 8,-2 1 24,58-37-8,-58 36-16,2-3 32,4-1-48,1-5 24,51-27 8,-46 26 24,4-4-16,1 0 32,8-5-48,33-17 8,-30 14 40,4-11-8,7 3 32,6-3 24,13-3-88,-8 0 72,4 0 8,-1-2-40,5-1-32,0 3-8,0-5-48,5-2-16,12-10-24,1 1 24,-18 16 64,23-20-56,5-2 16,4-4 0,6-1-24,-38 27 64,39-27-40,5-2 32,0 0 8,-2 1 24,-42 28-24,44-27 24,-4 5-56,0 0 8,-1 1 16,-39 21 8,42-17 40,-1-2-32,-3 2-24,-3 2 56,-35 15-40,30-7-48,0-6 40,-2 11-56,-7-2-56,-21 4 120,18-1-48,1 1-16,-8 0 32,-6 0 56,-5 0-24,5 0-40,-2 5 56,1 0 40,-4 9-72,0-14 16,0 5-8,-7 13 8,-9 0 24,-1-1 32,17-17-56,-18 18 88,-5 3-32,-3-2-72,0 1 16,26-20 0,-30 21-24,0-3 24,2 1-40,-4-4 24,32-15 16,-30 16-40,2-1 8,0-1 32,4 1-56,24-15 56,-25 14-32,2-1 64,4-7-24,-2 14 0,21-20-8,-19 5-8,1 10-24,1-9 40,2 7 0,15-13-8,-15 4-8,2 9 0,-2-9 0,9 1 56,6-5-48,-17 5-8,12 0-16,2-2 16,-12 1 16,15-4-8,-2 3 0,2-3-40,0 0-40,0 0 80,0 0 8,0 0 24,0 0 8,0 0-8,0 0-144,2-1 248,1-1-152,-3-2 0,0-1 0,0 5 16,4-5-48,-4 0 0,3-2-24,2 0-8,-5 7 80,1-5-56,13-1-56,-11 0 8,13 1-88,-16 5 192,4-5-369,8 0-47,-7-2-48,6 2 8,-11 5 456,5-5-336,-2 0 96,1 0 56,-1 0 72,-3 5 112,2-5-48,-2 1 24,0 2 32,0 1-16,0 1 8,0 0-104,0 0-72,0 3-24,0 2-224,0-5 424,0 17-592,0-3-1281,0 1-855,0-15 2728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2"/>
  <sheetViews>
    <sheetView rightToLeft="1" tabSelected="1" view="pageBreakPreview" topLeftCell="A37" zoomScale="130" zoomScaleNormal="100" zoomScaleSheetLayoutView="130" workbookViewId="0">
      <selection activeCell="E17" sqref="E17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3" t="s">
        <v>180</v>
      </c>
      <c r="C1" s="63"/>
      <c r="D1" s="63"/>
      <c r="E1" s="63"/>
      <c r="F1" s="63"/>
      <c r="G1" s="63"/>
      <c r="H1" s="63"/>
      <c r="I1" s="63"/>
      <c r="J1" s="63"/>
    </row>
    <row r="2" spans="1:10" ht="30" customHeight="1" x14ac:dyDescent="0.3">
      <c r="B2" s="11" t="s">
        <v>8</v>
      </c>
      <c r="C2" s="69" t="s">
        <v>12</v>
      </c>
      <c r="D2" s="69"/>
      <c r="E2" s="11" t="s">
        <v>7</v>
      </c>
      <c r="F2" s="64">
        <v>45931</v>
      </c>
      <c r="G2" s="64"/>
      <c r="H2" s="64"/>
      <c r="I2" s="64"/>
      <c r="J2" s="64"/>
    </row>
    <row r="3" spans="1:10" ht="30" customHeight="1" x14ac:dyDescent="0.3">
      <c r="B3" s="11" t="s">
        <v>9</v>
      </c>
      <c r="C3" s="69" t="s">
        <v>73</v>
      </c>
      <c r="D3" s="69"/>
      <c r="E3" s="11" t="s">
        <v>6</v>
      </c>
      <c r="F3" s="69" t="s">
        <v>119</v>
      </c>
      <c r="G3" s="69"/>
      <c r="H3" s="69"/>
      <c r="I3" s="69"/>
      <c r="J3" s="69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9"/>
      <c r="B5" s="65" t="s">
        <v>0</v>
      </c>
      <c r="C5" s="66"/>
      <c r="D5" s="66"/>
      <c r="E5" s="51" t="s">
        <v>1</v>
      </c>
      <c r="F5" s="51"/>
      <c r="G5" s="51"/>
      <c r="H5" s="51"/>
      <c r="I5" s="51" t="s">
        <v>2</v>
      </c>
      <c r="J5" s="52"/>
    </row>
    <row r="6" spans="1:10" ht="24.9" customHeight="1" thickBot="1" x14ac:dyDescent="0.35">
      <c r="A6" s="9"/>
      <c r="B6" s="67"/>
      <c r="C6" s="68"/>
      <c r="D6" s="68"/>
      <c r="E6" s="10" t="s">
        <v>3</v>
      </c>
      <c r="F6" s="10" t="s">
        <v>4</v>
      </c>
      <c r="G6" s="10" t="s">
        <v>23</v>
      </c>
      <c r="H6" s="10" t="s">
        <v>24</v>
      </c>
      <c r="I6" s="53"/>
      <c r="J6" s="54"/>
    </row>
    <row r="7" spans="1:10" ht="24.9" customHeight="1" thickBot="1" x14ac:dyDescent="0.35">
      <c r="A7" s="9"/>
      <c r="B7" s="72" t="s">
        <v>21</v>
      </c>
      <c r="C7" s="73"/>
      <c r="D7" s="73"/>
      <c r="E7" s="33" t="s">
        <v>18</v>
      </c>
      <c r="F7" s="33" t="s">
        <v>19</v>
      </c>
      <c r="G7" s="33" t="s">
        <v>22</v>
      </c>
      <c r="H7" s="33" t="s">
        <v>20</v>
      </c>
      <c r="I7" s="55" t="s">
        <v>25</v>
      </c>
      <c r="J7" s="56"/>
    </row>
    <row r="8" spans="1:10" ht="39.9" customHeight="1" x14ac:dyDescent="0.3">
      <c r="A8" s="9"/>
      <c r="B8" s="88" t="s">
        <v>181</v>
      </c>
      <c r="C8" s="89"/>
      <c r="D8" s="89"/>
      <c r="E8" s="27"/>
      <c r="F8" s="37"/>
      <c r="G8" s="38"/>
      <c r="H8" s="39"/>
      <c r="I8" s="49"/>
      <c r="J8" s="50"/>
    </row>
    <row r="9" spans="1:10" ht="39.9" customHeight="1" x14ac:dyDescent="0.3">
      <c r="A9" s="9"/>
      <c r="B9" s="80" t="s">
        <v>182</v>
      </c>
      <c r="C9" s="81"/>
      <c r="D9" s="81"/>
      <c r="E9" s="28">
        <v>5</v>
      </c>
      <c r="F9" s="25">
        <v>4</v>
      </c>
      <c r="G9" s="35">
        <f>IFERROR(F9/E9,"")</f>
        <v>0.8</v>
      </c>
      <c r="H9" s="36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47"/>
      <c r="J9" s="48"/>
    </row>
    <row r="10" spans="1:10" ht="39.9" customHeight="1" x14ac:dyDescent="0.3">
      <c r="A10" s="9"/>
      <c r="B10" s="82" t="s">
        <v>183</v>
      </c>
      <c r="C10" s="83"/>
      <c r="D10" s="83"/>
      <c r="E10" s="28">
        <v>5</v>
      </c>
      <c r="F10" s="25">
        <v>3.5</v>
      </c>
      <c r="G10" s="35">
        <f t="shared" ref="G10:G37" si="0">IFERROR(F10/E10,"")</f>
        <v>0.7</v>
      </c>
      <c r="H10" s="36" t="str">
        <f t="shared" ref="H10:H37" si="1">_xlfn.IFS(F10="أدخل العلامة","",F10="لا ينطبق","تم الإلغاء",G10&gt;=90%,"ممتاز",G10&gt;=80%,"جيد جداً",G10&gt;=70%,"جيد",G10&gt;=60%,"مقبول",G10&lt;60%,"راسب")</f>
        <v>جيد</v>
      </c>
      <c r="I10" s="47"/>
      <c r="J10" s="48"/>
    </row>
    <row r="11" spans="1:10" ht="39.9" customHeight="1" x14ac:dyDescent="0.3">
      <c r="A11" s="9"/>
      <c r="B11" s="82" t="s">
        <v>184</v>
      </c>
      <c r="C11" s="83"/>
      <c r="D11" s="83"/>
      <c r="E11" s="28">
        <v>5</v>
      </c>
      <c r="F11" s="25">
        <v>3.5</v>
      </c>
      <c r="G11" s="35">
        <f t="shared" si="0"/>
        <v>0.7</v>
      </c>
      <c r="H11" s="36" t="str">
        <f t="shared" si="1"/>
        <v>جيد</v>
      </c>
      <c r="I11" s="47"/>
      <c r="J11" s="48"/>
    </row>
    <row r="12" spans="1:10" ht="39.9" customHeight="1" x14ac:dyDescent="0.3">
      <c r="A12" s="9"/>
      <c r="B12" s="82" t="s">
        <v>185</v>
      </c>
      <c r="C12" s="83"/>
      <c r="D12" s="83"/>
      <c r="E12" s="28">
        <v>5</v>
      </c>
      <c r="F12" s="25">
        <v>3.5</v>
      </c>
      <c r="G12" s="35">
        <f t="shared" si="0"/>
        <v>0.7</v>
      </c>
      <c r="H12" s="36" t="str">
        <f t="shared" si="1"/>
        <v>جيد</v>
      </c>
      <c r="I12" s="47"/>
      <c r="J12" s="48"/>
    </row>
    <row r="13" spans="1:10" ht="39.9" customHeight="1" x14ac:dyDescent="0.3">
      <c r="A13" s="9"/>
      <c r="B13" s="80" t="s">
        <v>186</v>
      </c>
      <c r="C13" s="81"/>
      <c r="D13" s="81"/>
      <c r="E13" s="29">
        <v>20</v>
      </c>
      <c r="F13" s="25">
        <v>14.25</v>
      </c>
      <c r="G13" s="35">
        <f t="shared" si="0"/>
        <v>0.71250000000000002</v>
      </c>
      <c r="H13" s="36" t="str">
        <f t="shared" si="1"/>
        <v>جيد</v>
      </c>
      <c r="I13" s="47"/>
      <c r="J13" s="48"/>
    </row>
    <row r="14" spans="1:10" ht="39.9" customHeight="1" x14ac:dyDescent="0.3">
      <c r="A14" s="9"/>
      <c r="B14" s="82" t="s">
        <v>187</v>
      </c>
      <c r="C14" s="83"/>
      <c r="D14" s="83"/>
      <c r="E14" s="28">
        <v>10</v>
      </c>
      <c r="F14" s="25">
        <v>7.75</v>
      </c>
      <c r="G14" s="35">
        <f t="shared" si="0"/>
        <v>0.77500000000000002</v>
      </c>
      <c r="H14" s="36" t="str">
        <f t="shared" si="1"/>
        <v>جيد</v>
      </c>
      <c r="I14" s="47"/>
      <c r="J14" s="48"/>
    </row>
    <row r="15" spans="1:10" ht="61.5" customHeight="1" x14ac:dyDescent="0.3">
      <c r="A15" s="9"/>
      <c r="B15" s="82" t="s">
        <v>188</v>
      </c>
      <c r="C15" s="83"/>
      <c r="D15" s="83"/>
      <c r="E15" s="28">
        <v>10</v>
      </c>
      <c r="F15" s="25">
        <v>7.5</v>
      </c>
      <c r="G15" s="35">
        <f t="shared" si="0"/>
        <v>0.75</v>
      </c>
      <c r="H15" s="36" t="str">
        <f t="shared" si="1"/>
        <v>جيد</v>
      </c>
      <c r="I15" s="47"/>
      <c r="J15" s="48"/>
    </row>
    <row r="16" spans="1:10" ht="39.9" customHeight="1" x14ac:dyDescent="0.3">
      <c r="A16" s="9"/>
      <c r="B16" s="82" t="s">
        <v>189</v>
      </c>
      <c r="C16" s="83"/>
      <c r="D16" s="83"/>
      <c r="E16" s="28">
        <v>10</v>
      </c>
      <c r="F16" s="25">
        <v>8</v>
      </c>
      <c r="G16" s="35">
        <f t="shared" si="0"/>
        <v>0.8</v>
      </c>
      <c r="H16" s="36" t="str">
        <f t="shared" si="1"/>
        <v>جيد جداً</v>
      </c>
      <c r="I16" s="47"/>
      <c r="J16" s="48"/>
    </row>
    <row r="17" spans="1:10" ht="39.9" customHeight="1" thickBot="1" x14ac:dyDescent="0.35">
      <c r="A17" s="9"/>
      <c r="B17" s="86" t="s">
        <v>190</v>
      </c>
      <c r="C17" s="87"/>
      <c r="D17" s="87"/>
      <c r="E17" s="30">
        <v>5</v>
      </c>
      <c r="F17" s="26">
        <v>3.75</v>
      </c>
      <c r="G17" s="40">
        <f t="shared" si="0"/>
        <v>0.75</v>
      </c>
      <c r="H17" s="41" t="str">
        <f t="shared" si="1"/>
        <v>جيد</v>
      </c>
      <c r="I17" s="74"/>
      <c r="J17" s="75"/>
    </row>
    <row r="18" spans="1:10" ht="39.9" customHeight="1" x14ac:dyDescent="0.3">
      <c r="A18" s="9"/>
      <c r="B18" s="78" t="s">
        <v>191</v>
      </c>
      <c r="C18" s="79"/>
      <c r="D18" s="79"/>
      <c r="E18" s="27"/>
      <c r="F18" s="37"/>
      <c r="G18" s="38"/>
      <c r="H18" s="39"/>
      <c r="I18" s="49"/>
      <c r="J18" s="50"/>
    </row>
    <row r="19" spans="1:10" ht="39.9" customHeight="1" x14ac:dyDescent="0.3">
      <c r="A19" s="9"/>
      <c r="B19" s="80" t="s">
        <v>192</v>
      </c>
      <c r="C19" s="81"/>
      <c r="D19" s="81"/>
      <c r="E19" s="28">
        <v>0</v>
      </c>
      <c r="F19" s="25" t="s">
        <v>17</v>
      </c>
      <c r="G19" s="35" t="str">
        <f t="shared" si="0"/>
        <v/>
      </c>
      <c r="H19" s="36" t="str">
        <f t="shared" si="1"/>
        <v>تم الإلغاء</v>
      </c>
      <c r="I19" s="47"/>
      <c r="J19" s="48"/>
    </row>
    <row r="20" spans="1:10" ht="39.9" customHeight="1" x14ac:dyDescent="0.3">
      <c r="A20" s="9"/>
      <c r="B20" s="82" t="s">
        <v>193</v>
      </c>
      <c r="C20" s="83"/>
      <c r="D20" s="83"/>
      <c r="E20" s="28">
        <v>0</v>
      </c>
      <c r="F20" s="25" t="s">
        <v>17</v>
      </c>
      <c r="G20" s="35" t="str">
        <f t="shared" si="0"/>
        <v/>
      </c>
      <c r="H20" s="36" t="str">
        <f t="shared" si="1"/>
        <v>تم الإلغاء</v>
      </c>
      <c r="I20" s="47"/>
      <c r="J20" s="48"/>
    </row>
    <row r="21" spans="1:10" ht="39.9" customHeight="1" x14ac:dyDescent="0.3">
      <c r="A21" s="9"/>
      <c r="B21" s="82" t="s">
        <v>194</v>
      </c>
      <c r="C21" s="83"/>
      <c r="D21" s="83"/>
      <c r="E21" s="28">
        <v>0</v>
      </c>
      <c r="F21" s="25" t="s">
        <v>17</v>
      </c>
      <c r="G21" s="35" t="str">
        <f t="shared" si="0"/>
        <v/>
      </c>
      <c r="H21" s="36" t="str">
        <f t="shared" si="1"/>
        <v>تم الإلغاء</v>
      </c>
      <c r="I21" s="47"/>
      <c r="J21" s="48"/>
    </row>
    <row r="22" spans="1:10" ht="39.9" customHeight="1" thickBot="1" x14ac:dyDescent="0.35">
      <c r="A22" s="9"/>
      <c r="B22" s="86" t="s">
        <v>195</v>
      </c>
      <c r="C22" s="87"/>
      <c r="D22" s="87"/>
      <c r="E22" s="30">
        <v>0</v>
      </c>
      <c r="F22" s="26" t="s">
        <v>17</v>
      </c>
      <c r="G22" s="40" t="str">
        <f t="shared" si="0"/>
        <v/>
      </c>
      <c r="H22" s="41" t="str">
        <f t="shared" si="1"/>
        <v>تم الإلغاء</v>
      </c>
      <c r="I22" s="74"/>
      <c r="J22" s="75"/>
    </row>
    <row r="23" spans="1:10" ht="39.9" customHeight="1" x14ac:dyDescent="0.3">
      <c r="A23" s="9"/>
      <c r="B23" s="78" t="s">
        <v>196</v>
      </c>
      <c r="C23" s="79"/>
      <c r="D23" s="79"/>
      <c r="E23" s="27"/>
      <c r="F23" s="37"/>
      <c r="G23" s="38"/>
      <c r="H23" s="39"/>
      <c r="I23" s="49"/>
      <c r="J23" s="50"/>
    </row>
    <row r="24" spans="1:10" ht="51" customHeight="1" x14ac:dyDescent="0.3">
      <c r="A24" s="9"/>
      <c r="B24" s="82" t="s">
        <v>197</v>
      </c>
      <c r="C24" s="83"/>
      <c r="D24" s="83"/>
      <c r="E24" s="28">
        <v>5</v>
      </c>
      <c r="F24" s="25">
        <v>3.5</v>
      </c>
      <c r="G24" s="35">
        <f t="shared" si="0"/>
        <v>0.7</v>
      </c>
      <c r="H24" s="36" t="str">
        <f t="shared" si="1"/>
        <v>جيد</v>
      </c>
      <c r="I24" s="47"/>
      <c r="J24" s="48"/>
    </row>
    <row r="25" spans="1:10" ht="39.9" customHeight="1" x14ac:dyDescent="0.3">
      <c r="A25" s="9"/>
      <c r="B25" s="82" t="s">
        <v>198</v>
      </c>
      <c r="C25" s="83"/>
      <c r="D25" s="83"/>
      <c r="E25" s="28">
        <v>5</v>
      </c>
      <c r="F25" s="25">
        <v>3.75</v>
      </c>
      <c r="G25" s="35">
        <f t="shared" si="0"/>
        <v>0.75</v>
      </c>
      <c r="H25" s="36" t="str">
        <f t="shared" si="1"/>
        <v>جيد</v>
      </c>
      <c r="I25" s="47"/>
      <c r="J25" s="48"/>
    </row>
    <row r="26" spans="1:10" ht="39.9" customHeight="1" x14ac:dyDescent="0.3">
      <c r="A26" s="9"/>
      <c r="B26" s="82" t="s">
        <v>199</v>
      </c>
      <c r="C26" s="83"/>
      <c r="D26" s="83"/>
      <c r="E26" s="28">
        <v>5</v>
      </c>
      <c r="F26" s="25">
        <v>3.5</v>
      </c>
      <c r="G26" s="35">
        <f t="shared" si="0"/>
        <v>0.7</v>
      </c>
      <c r="H26" s="36" t="str">
        <f t="shared" si="1"/>
        <v>جيد</v>
      </c>
      <c r="I26" s="47"/>
      <c r="J26" s="48"/>
    </row>
    <row r="27" spans="1:10" ht="39.9" customHeight="1" x14ac:dyDescent="0.3">
      <c r="A27" s="9"/>
      <c r="B27" s="82" t="s">
        <v>200</v>
      </c>
      <c r="C27" s="83"/>
      <c r="D27" s="83"/>
      <c r="E27" s="28">
        <v>5</v>
      </c>
      <c r="F27" s="25">
        <v>3.75</v>
      </c>
      <c r="G27" s="35">
        <f t="shared" si="0"/>
        <v>0.75</v>
      </c>
      <c r="H27" s="36" t="str">
        <f t="shared" si="1"/>
        <v>جيد</v>
      </c>
      <c r="I27" s="47"/>
      <c r="J27" s="48"/>
    </row>
    <row r="28" spans="1:10" ht="39.9" customHeight="1" x14ac:dyDescent="0.3">
      <c r="A28" s="9"/>
      <c r="B28" s="82" t="s">
        <v>201</v>
      </c>
      <c r="C28" s="83"/>
      <c r="D28" s="83"/>
      <c r="E28" s="29">
        <v>10</v>
      </c>
      <c r="F28" s="25">
        <v>7.75</v>
      </c>
      <c r="G28" s="35">
        <f t="shared" si="0"/>
        <v>0.77500000000000002</v>
      </c>
      <c r="H28" s="36" t="str">
        <f t="shared" si="1"/>
        <v>جيد</v>
      </c>
      <c r="I28" s="47"/>
      <c r="J28" s="48"/>
    </row>
    <row r="29" spans="1:10" ht="39.9" customHeight="1" thickBot="1" x14ac:dyDescent="0.35">
      <c r="A29" s="9"/>
      <c r="B29" s="86" t="s">
        <v>202</v>
      </c>
      <c r="C29" s="87"/>
      <c r="D29" s="87"/>
      <c r="E29" s="31">
        <v>5</v>
      </c>
      <c r="F29" s="26">
        <v>3.5</v>
      </c>
      <c r="G29" s="40">
        <f t="shared" si="0"/>
        <v>0.7</v>
      </c>
      <c r="H29" s="41" t="str">
        <f t="shared" si="1"/>
        <v>جيد</v>
      </c>
      <c r="I29" s="74"/>
      <c r="J29" s="75"/>
    </row>
    <row r="30" spans="1:10" ht="39.9" customHeight="1" x14ac:dyDescent="0.3">
      <c r="A30" s="9"/>
      <c r="B30" s="78" t="s">
        <v>203</v>
      </c>
      <c r="C30" s="79"/>
      <c r="D30" s="79"/>
      <c r="E30" s="27"/>
      <c r="F30" s="37"/>
      <c r="G30" s="38"/>
      <c r="H30" s="39"/>
      <c r="I30" s="49"/>
      <c r="J30" s="50"/>
    </row>
    <row r="31" spans="1:10" ht="39.9" customHeight="1" x14ac:dyDescent="0.3">
      <c r="A31" s="9"/>
      <c r="B31" s="82" t="s">
        <v>204</v>
      </c>
      <c r="C31" s="83"/>
      <c r="D31" s="83"/>
      <c r="E31" s="28">
        <v>8</v>
      </c>
      <c r="F31" s="25">
        <v>6.5</v>
      </c>
      <c r="G31" s="35">
        <f t="shared" si="0"/>
        <v>0.8125</v>
      </c>
      <c r="H31" s="36" t="str">
        <f t="shared" si="1"/>
        <v>جيد جداً</v>
      </c>
      <c r="I31" s="47"/>
      <c r="J31" s="48"/>
    </row>
    <row r="32" spans="1:10" ht="39.9" customHeight="1" thickBot="1" x14ac:dyDescent="0.35">
      <c r="A32" s="9"/>
      <c r="B32" s="86" t="s">
        <v>205</v>
      </c>
      <c r="C32" s="87"/>
      <c r="D32" s="87"/>
      <c r="E32" s="30">
        <v>12</v>
      </c>
      <c r="F32" s="26">
        <v>9.5</v>
      </c>
      <c r="G32" s="40">
        <f t="shared" si="0"/>
        <v>0.79166666666666663</v>
      </c>
      <c r="H32" s="41" t="str">
        <f t="shared" si="1"/>
        <v>جيد</v>
      </c>
      <c r="I32" s="74"/>
      <c r="J32" s="75"/>
    </row>
    <row r="33" spans="1:10" ht="39.9" customHeight="1" x14ac:dyDescent="0.3">
      <c r="A33" s="9"/>
      <c r="B33" s="88" t="s">
        <v>206</v>
      </c>
      <c r="C33" s="89"/>
      <c r="D33" s="89"/>
      <c r="E33" s="32"/>
      <c r="F33" s="37"/>
      <c r="G33" s="38"/>
      <c r="H33" s="39"/>
      <c r="I33" s="49"/>
      <c r="J33" s="50"/>
    </row>
    <row r="34" spans="1:10" ht="39.9" customHeight="1" x14ac:dyDescent="0.3">
      <c r="A34" s="9"/>
      <c r="B34" s="82" t="s">
        <v>207</v>
      </c>
      <c r="C34" s="83"/>
      <c r="D34" s="83"/>
      <c r="E34" s="28">
        <v>5</v>
      </c>
      <c r="F34" s="25">
        <v>3.75</v>
      </c>
      <c r="G34" s="35">
        <f t="shared" si="0"/>
        <v>0.75</v>
      </c>
      <c r="H34" s="36" t="str">
        <f t="shared" si="1"/>
        <v>جيد</v>
      </c>
      <c r="I34" s="47"/>
      <c r="J34" s="48"/>
    </row>
    <row r="35" spans="1:10" ht="39.9" customHeight="1" x14ac:dyDescent="0.3">
      <c r="A35" s="9"/>
      <c r="B35" s="82" t="s">
        <v>208</v>
      </c>
      <c r="C35" s="83"/>
      <c r="D35" s="83"/>
      <c r="E35" s="28">
        <v>5</v>
      </c>
      <c r="F35" s="25">
        <v>3.5</v>
      </c>
      <c r="G35" s="35">
        <f t="shared" si="0"/>
        <v>0.7</v>
      </c>
      <c r="H35" s="36" t="str">
        <f t="shared" si="1"/>
        <v>جيد</v>
      </c>
      <c r="I35" s="47"/>
      <c r="J35" s="48"/>
    </row>
    <row r="36" spans="1:10" ht="39.9" customHeight="1" x14ac:dyDescent="0.3">
      <c r="A36" s="9"/>
      <c r="B36" s="82" t="s">
        <v>209</v>
      </c>
      <c r="C36" s="83"/>
      <c r="D36" s="83"/>
      <c r="E36" s="28">
        <v>5</v>
      </c>
      <c r="F36" s="25">
        <v>3.75</v>
      </c>
      <c r="G36" s="35">
        <f t="shared" si="0"/>
        <v>0.75</v>
      </c>
      <c r="H36" s="36" t="str">
        <f t="shared" si="1"/>
        <v>جيد</v>
      </c>
      <c r="I36" s="47"/>
      <c r="J36" s="48"/>
    </row>
    <row r="37" spans="1:10" ht="39.9" customHeight="1" thickBot="1" x14ac:dyDescent="0.35">
      <c r="A37" s="9"/>
      <c r="B37" s="90" t="s">
        <v>210</v>
      </c>
      <c r="C37" s="91"/>
      <c r="D37" s="91"/>
      <c r="E37" s="30">
        <v>5</v>
      </c>
      <c r="F37" s="26">
        <v>3.5</v>
      </c>
      <c r="G37" s="40">
        <f t="shared" si="0"/>
        <v>0.7</v>
      </c>
      <c r="H37" s="41" t="str">
        <f t="shared" si="1"/>
        <v>جيد</v>
      </c>
      <c r="I37" s="74"/>
      <c r="J37" s="75"/>
    </row>
    <row r="38" spans="1:10" ht="30" customHeight="1" thickBot="1" x14ac:dyDescent="0.35">
      <c r="A38" s="4"/>
      <c r="B38" s="84" t="s">
        <v>5</v>
      </c>
      <c r="C38" s="85"/>
      <c r="D38" s="85"/>
      <c r="E38" s="34">
        <f>SUM(E8:E37)</f>
        <v>150</v>
      </c>
      <c r="F38" s="34">
        <f>SUM(F8:F37)</f>
        <v>112</v>
      </c>
      <c r="G38" s="44"/>
      <c r="H38" s="45"/>
      <c r="I38" s="45"/>
      <c r="J38" s="46"/>
    </row>
    <row r="39" spans="1:10" ht="30" customHeight="1" thickBot="1" x14ac:dyDescent="0.35">
      <c r="A39" s="4"/>
      <c r="B39" s="76" t="s">
        <v>54</v>
      </c>
      <c r="C39" s="77"/>
      <c r="D39" s="77"/>
      <c r="E39" s="70">
        <f>F38/E38/100*100</f>
        <v>0.7466666666666667</v>
      </c>
      <c r="F39" s="70"/>
      <c r="G39" s="70"/>
      <c r="H39" s="70"/>
      <c r="I39" s="70"/>
      <c r="J39" s="71"/>
    </row>
    <row r="40" spans="1:10" ht="30" customHeight="1" thickBot="1" x14ac:dyDescent="0.35">
      <c r="A40" s="4"/>
      <c r="B40" s="76" t="s">
        <v>55</v>
      </c>
      <c r="C40" s="77"/>
      <c r="D40" s="77"/>
      <c r="E40" s="61" t="str">
        <f>_xlfn.IFS(E39&gt;=90%,"ممتاز",E39&gt;=80%,"جيد جداً",E39&gt;=70%,"جيد",E39&gt;=60%,"مقبول",E39&lt;60%,"راسب")</f>
        <v>جيد</v>
      </c>
      <c r="F40" s="61"/>
      <c r="G40" s="61"/>
      <c r="H40" s="61"/>
      <c r="I40" s="61"/>
      <c r="J40" s="62"/>
    </row>
    <row r="41" spans="1:10" ht="42" customHeight="1" x14ac:dyDescent="0.3">
      <c r="B41" s="57" t="s">
        <v>174</v>
      </c>
      <c r="C41" s="57"/>
      <c r="D41" s="57"/>
      <c r="E41" s="42" t="s">
        <v>52</v>
      </c>
      <c r="F41" s="42"/>
      <c r="G41" s="59" t="s">
        <v>119</v>
      </c>
      <c r="H41" s="59"/>
      <c r="I41" s="59"/>
      <c r="J41" s="59"/>
    </row>
    <row r="42" spans="1:10" ht="51" customHeight="1" x14ac:dyDescent="0.3">
      <c r="A42" s="5"/>
      <c r="B42" s="58"/>
      <c r="C42" s="58"/>
      <c r="D42" s="58"/>
      <c r="E42" s="43" t="s">
        <v>53</v>
      </c>
      <c r="F42" s="43"/>
      <c r="G42" s="60"/>
      <c r="H42" s="60"/>
      <c r="I42" s="60"/>
      <c r="J42" s="60"/>
    </row>
  </sheetData>
  <sheetProtection formatCells="0" formatColumns="0" formatRows="0" insertColumns="0" insertRows="0" insertHyperlinks="0" deleteColumns="0" deleteRows="0" selectLockedCells="1" sort="0" autoFilter="0" pivotTables="0"/>
  <mergeCells count="81">
    <mergeCell ref="B33:D33"/>
    <mergeCell ref="B34:D34"/>
    <mergeCell ref="B24:D24"/>
    <mergeCell ref="B25:D25"/>
    <mergeCell ref="B28:D28"/>
    <mergeCell ref="B29:D29"/>
    <mergeCell ref="B30:D30"/>
    <mergeCell ref="B31:D31"/>
    <mergeCell ref="B32:D32"/>
    <mergeCell ref="B8:D8"/>
    <mergeCell ref="B9:D9"/>
    <mergeCell ref="B10:D10"/>
    <mergeCell ref="B11:D11"/>
    <mergeCell ref="B12:D12"/>
    <mergeCell ref="B19:D19"/>
    <mergeCell ref="B20:D20"/>
    <mergeCell ref="B21:D21"/>
    <mergeCell ref="B38:D38"/>
    <mergeCell ref="B13:D13"/>
    <mergeCell ref="B14:D14"/>
    <mergeCell ref="B15:D15"/>
    <mergeCell ref="B16:D16"/>
    <mergeCell ref="B17:D17"/>
    <mergeCell ref="B22:D22"/>
    <mergeCell ref="B23:D23"/>
    <mergeCell ref="B35:D35"/>
    <mergeCell ref="B36:D36"/>
    <mergeCell ref="B37:D37"/>
    <mergeCell ref="B26:D26"/>
    <mergeCell ref="B27:D27"/>
    <mergeCell ref="B39:D39"/>
    <mergeCell ref="B40:D40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1:J21"/>
    <mergeCell ref="I22:J22"/>
    <mergeCell ref="I32:J32"/>
    <mergeCell ref="B18:D18"/>
    <mergeCell ref="B41:D42"/>
    <mergeCell ref="G41:J41"/>
    <mergeCell ref="G42:J42"/>
    <mergeCell ref="E40:J40"/>
    <mergeCell ref="B1:J1"/>
    <mergeCell ref="F2:J2"/>
    <mergeCell ref="B5:D6"/>
    <mergeCell ref="C2:D2"/>
    <mergeCell ref="C3:D3"/>
    <mergeCell ref="F3:J3"/>
    <mergeCell ref="E39:J39"/>
    <mergeCell ref="B7:D7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8:J8"/>
    <mergeCell ref="E41:F41"/>
    <mergeCell ref="E42:F42"/>
    <mergeCell ref="G38:J38"/>
    <mergeCell ref="I9:J9"/>
    <mergeCell ref="I23:J23"/>
    <mergeCell ref="I24:J24"/>
    <mergeCell ref="I25:J25"/>
    <mergeCell ref="I26:J26"/>
    <mergeCell ref="I27:J27"/>
    <mergeCell ref="I33:J33"/>
    <mergeCell ref="I34:J34"/>
    <mergeCell ref="I35:J35"/>
    <mergeCell ref="I36:J3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0">
    <cfRule type="expression" dxfId="14" priority="57">
      <formula>$E40="راسب"</formula>
    </cfRule>
  </conditionalFormatting>
  <conditionalFormatting sqref="E40:J40">
    <cfRule type="expression" dxfId="13" priority="58">
      <formula>$E40="مقبول"</formula>
    </cfRule>
    <cfRule type="expression" dxfId="12" priority="59">
      <formula>$E40="جيد"</formula>
    </cfRule>
    <cfRule type="expression" dxfId="11" priority="60">
      <formula>$E40="جيد جداً"</formula>
    </cfRule>
    <cfRule type="expression" dxfId="10" priority="61">
      <formula>$E40="ممتاز"</formula>
    </cfRule>
  </conditionalFormatting>
  <conditionalFormatting sqref="F8:F37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41:J41">
    <cfRule type="containsText" dxfId="6" priority="15" operator="containsText" text="أدخل اسم المحكم">
      <formula>NOT(ISERROR(SEARCH("أدخل اسم المحكم",G41)))</formula>
    </cfRule>
  </conditionalFormatting>
  <conditionalFormatting sqref="H8:H37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F34:F37 F9:F12 F29 F17 F19:F22 F24:F27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G41:J41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E62C74FC-E7D5-4A22-9193-EE5DEDA17948}">
          <x14:formula1>
            <xm:f>'بيانات التقييم'!$A$111:$A$153</xm:f>
          </x14:formula1>
          <xm:sqref>F14 F15 F16 F28</xm:sqref>
        </x14:dataValidation>
        <x14:dataValidation type="list" allowBlank="1" showInputMessage="1" showErrorMessage="1" xr:uid="{3D760FFA-9D83-4B1D-A030-226229A841B1}">
          <x14:formula1>
            <xm:f>'بيانات التقييم'!$A$111:$A$193</xm:f>
          </x14:formula1>
          <xm:sqref>F13</xm:sqref>
        </x14:dataValidation>
        <x14:dataValidation type="list" allowBlank="1" showInputMessage="1" showErrorMessage="1" xr:uid="{7522EE8D-C9DD-4DDE-B12C-73775E947DE7}">
          <x14:formula1>
            <xm:f>'بيانات التقييم'!$A$111:$A$145</xm:f>
          </x14:formula1>
          <xm:sqref>F31</xm:sqref>
        </x14:dataValidation>
        <x14:dataValidation type="list" allowBlank="1" showInputMessage="1" showErrorMessage="1" xr:uid="{69D6B887-E3DD-4BA9-8C9B-F0E4F790920A}">
          <x14:formula1>
            <xm:f>'بيانات التقييم'!$A$111:$A$161</xm:f>
          </x14:formula1>
          <xm:sqref>F32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50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18" t="s">
        <v>177</v>
      </c>
    </row>
    <row r="30" spans="1:3" ht="20.100000000000001" customHeight="1" thickBot="1" x14ac:dyDescent="0.35">
      <c r="A30" s="2" t="s">
        <v>32</v>
      </c>
      <c r="C30" s="18" t="s">
        <v>178</v>
      </c>
    </row>
    <row r="31" spans="1:3" ht="20.100000000000001" customHeight="1" thickBot="1" x14ac:dyDescent="0.35">
      <c r="A31" s="2" t="s">
        <v>33</v>
      </c>
      <c r="C31" s="18" t="s">
        <v>179</v>
      </c>
    </row>
    <row r="32" spans="1:3" ht="20.100000000000001" customHeight="1" thickBot="1" x14ac:dyDescent="0.35">
      <c r="A32" s="2" t="s">
        <v>16</v>
      </c>
      <c r="C32" s="18"/>
    </row>
    <row r="33" spans="1:9" ht="20.100000000000001" customHeight="1" thickBot="1" x14ac:dyDescent="0.35">
      <c r="A33" s="2" t="s">
        <v>14</v>
      </c>
      <c r="C33" s="18"/>
    </row>
    <row r="34" spans="1:9" ht="20.100000000000001" customHeight="1" thickBot="1" x14ac:dyDescent="0.35">
      <c r="A34" s="2" t="s">
        <v>34</v>
      </c>
      <c r="C34" s="18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175</v>
      </c>
    </row>
    <row r="213" spans="1:1" ht="20.100000000000001" customHeight="1" x14ac:dyDescent="0.3">
      <c r="A213" s="19" t="s">
        <v>102</v>
      </c>
    </row>
    <row r="214" spans="1:1" ht="20.100000000000001" customHeight="1" x14ac:dyDescent="0.3">
      <c r="A214" s="19" t="s">
        <v>103</v>
      </c>
    </row>
    <row r="215" spans="1:1" ht="20.100000000000001" customHeight="1" x14ac:dyDescent="0.3">
      <c r="A215" s="19" t="s">
        <v>104</v>
      </c>
    </row>
    <row r="216" spans="1:1" ht="20.100000000000001" customHeight="1" x14ac:dyDescent="0.3">
      <c r="A216" s="19" t="s">
        <v>105</v>
      </c>
    </row>
    <row r="217" spans="1:1" ht="20.100000000000001" customHeight="1" x14ac:dyDescent="0.3">
      <c r="A217" s="19" t="s">
        <v>106</v>
      </c>
    </row>
    <row r="218" spans="1:1" ht="20.100000000000001" customHeight="1" x14ac:dyDescent="0.3">
      <c r="A218" s="19" t="s">
        <v>107</v>
      </c>
    </row>
    <row r="219" spans="1:1" ht="20.100000000000001" customHeight="1" x14ac:dyDescent="0.3">
      <c r="A219" s="19" t="s">
        <v>108</v>
      </c>
    </row>
    <row r="220" spans="1:1" ht="20.100000000000001" customHeight="1" x14ac:dyDescent="0.3">
      <c r="A220" s="19" t="s">
        <v>109</v>
      </c>
    </row>
    <row r="221" spans="1:1" ht="20.100000000000001" customHeight="1" x14ac:dyDescent="0.3">
      <c r="A221" s="19" t="s">
        <v>110</v>
      </c>
    </row>
    <row r="222" spans="1:1" ht="20.100000000000001" customHeight="1" x14ac:dyDescent="0.3">
      <c r="A222" s="19" t="s">
        <v>111</v>
      </c>
    </row>
    <row r="223" spans="1:1" ht="20.100000000000001" customHeight="1" x14ac:dyDescent="0.3">
      <c r="A223" s="19" t="s">
        <v>112</v>
      </c>
    </row>
    <row r="224" spans="1:1" ht="20.100000000000001" customHeight="1" x14ac:dyDescent="0.3">
      <c r="A224" s="19" t="s">
        <v>176</v>
      </c>
    </row>
    <row r="225" spans="1:1" ht="20.100000000000001" customHeight="1" x14ac:dyDescent="0.3">
      <c r="A225" s="19" t="s">
        <v>113</v>
      </c>
    </row>
    <row r="226" spans="1:1" ht="20.100000000000001" customHeight="1" x14ac:dyDescent="0.3">
      <c r="A226" s="19" t="s">
        <v>114</v>
      </c>
    </row>
    <row r="227" spans="1:1" ht="20.100000000000001" customHeight="1" x14ac:dyDescent="0.3">
      <c r="A227" s="19" t="s">
        <v>115</v>
      </c>
    </row>
    <row r="228" spans="1:1" ht="20.100000000000001" customHeight="1" x14ac:dyDescent="0.3">
      <c r="A228" s="19" t="s">
        <v>116</v>
      </c>
    </row>
    <row r="229" spans="1:1" ht="20.100000000000001" customHeight="1" x14ac:dyDescent="0.3">
      <c r="A229" s="19" t="s">
        <v>117</v>
      </c>
    </row>
    <row r="230" spans="1:1" ht="20.100000000000001" customHeight="1" x14ac:dyDescent="0.3">
      <c r="A230" s="19" t="s">
        <v>118</v>
      </c>
    </row>
    <row r="231" spans="1:1" ht="20.100000000000001" customHeight="1" x14ac:dyDescent="0.3">
      <c r="A231" s="19" t="s">
        <v>119</v>
      </c>
    </row>
    <row r="232" spans="1:1" ht="20.100000000000001" customHeight="1" x14ac:dyDescent="0.3">
      <c r="A232" s="19" t="s">
        <v>120</v>
      </c>
    </row>
    <row r="233" spans="1:1" ht="20.100000000000001" customHeight="1" x14ac:dyDescent="0.3">
      <c r="A233" s="19" t="s">
        <v>121</v>
      </c>
    </row>
    <row r="234" spans="1:1" ht="20.100000000000001" customHeight="1" x14ac:dyDescent="0.3">
      <c r="A234" s="19" t="s">
        <v>122</v>
      </c>
    </row>
    <row r="235" spans="1:1" ht="20.100000000000001" customHeight="1" x14ac:dyDescent="0.3">
      <c r="A235" s="19" t="s">
        <v>123</v>
      </c>
    </row>
    <row r="236" spans="1:1" ht="20.100000000000001" customHeight="1" x14ac:dyDescent="0.3">
      <c r="A236" s="21" t="s">
        <v>124</v>
      </c>
    </row>
    <row r="237" spans="1:1" ht="20.100000000000001" customHeight="1" x14ac:dyDescent="0.3">
      <c r="A237" s="19" t="s">
        <v>125</v>
      </c>
    </row>
    <row r="238" spans="1:1" ht="20.100000000000001" customHeight="1" x14ac:dyDescent="0.3">
      <c r="A238" s="19" t="s">
        <v>126</v>
      </c>
    </row>
    <row r="239" spans="1:1" ht="20.100000000000001" customHeight="1" x14ac:dyDescent="0.3">
      <c r="A239" s="19" t="s">
        <v>127</v>
      </c>
    </row>
    <row r="240" spans="1:1" ht="20.100000000000001" customHeight="1" x14ac:dyDescent="0.3">
      <c r="A240" s="19" t="s">
        <v>128</v>
      </c>
    </row>
    <row r="241" spans="1:1" ht="20.100000000000001" customHeight="1" x14ac:dyDescent="0.3">
      <c r="A241" s="19" t="s">
        <v>129</v>
      </c>
    </row>
    <row r="242" spans="1:1" ht="20.100000000000001" customHeight="1" x14ac:dyDescent="0.3">
      <c r="A242" s="19" t="s">
        <v>130</v>
      </c>
    </row>
    <row r="243" spans="1:1" ht="20.100000000000001" customHeight="1" x14ac:dyDescent="0.3">
      <c r="A243" s="19" t="s">
        <v>131</v>
      </c>
    </row>
    <row r="244" spans="1:1" ht="20.100000000000001" customHeight="1" x14ac:dyDescent="0.3">
      <c r="A244" s="19" t="s">
        <v>132</v>
      </c>
    </row>
    <row r="245" spans="1:1" ht="20.100000000000001" customHeight="1" x14ac:dyDescent="0.3">
      <c r="A245" s="19" t="s">
        <v>133</v>
      </c>
    </row>
    <row r="246" spans="1:1" ht="20.100000000000001" customHeight="1" x14ac:dyDescent="0.3">
      <c r="A246" s="19" t="s">
        <v>134</v>
      </c>
    </row>
    <row r="247" spans="1:1" ht="20.100000000000001" customHeight="1" x14ac:dyDescent="0.3">
      <c r="A247" s="19" t="s">
        <v>135</v>
      </c>
    </row>
    <row r="248" spans="1:1" ht="20.100000000000001" customHeight="1" x14ac:dyDescent="0.3">
      <c r="A248" s="19" t="s">
        <v>126</v>
      </c>
    </row>
    <row r="249" spans="1:1" ht="20.100000000000001" customHeight="1" x14ac:dyDescent="0.3">
      <c r="A249" s="19" t="s">
        <v>136</v>
      </c>
    </row>
    <row r="250" spans="1:1" ht="20.100000000000001" customHeight="1" x14ac:dyDescent="0.3">
      <c r="A250" s="19" t="s">
        <v>137</v>
      </c>
    </row>
    <row r="251" spans="1:1" ht="20.100000000000001" customHeight="1" x14ac:dyDescent="0.3">
      <c r="A251" s="21" t="s">
        <v>138</v>
      </c>
    </row>
    <row r="252" spans="1:1" ht="20.100000000000001" customHeight="1" x14ac:dyDescent="0.3">
      <c r="A252" s="22" t="s">
        <v>139</v>
      </c>
    </row>
    <row r="253" spans="1:1" ht="20.100000000000001" customHeight="1" x14ac:dyDescent="0.3">
      <c r="A253" s="19" t="s">
        <v>140</v>
      </c>
    </row>
    <row r="254" spans="1:1" ht="20.100000000000001" customHeight="1" x14ac:dyDescent="0.3">
      <c r="A254" s="19" t="s">
        <v>141</v>
      </c>
    </row>
    <row r="255" spans="1:1" ht="20.100000000000001" customHeight="1" x14ac:dyDescent="0.3">
      <c r="A255" s="23" t="s">
        <v>142</v>
      </c>
    </row>
    <row r="256" spans="1:1" ht="20.100000000000001" customHeight="1" x14ac:dyDescent="0.3">
      <c r="A256" s="23" t="s">
        <v>143</v>
      </c>
    </row>
    <row r="257" spans="1:1" ht="20.100000000000001" customHeight="1" x14ac:dyDescent="0.3">
      <c r="A257" s="24" t="s">
        <v>144</v>
      </c>
    </row>
    <row r="258" spans="1:1" ht="20.100000000000001" customHeight="1" x14ac:dyDescent="0.3">
      <c r="A258" s="19" t="s">
        <v>145</v>
      </c>
    </row>
    <row r="259" spans="1:1" ht="20.100000000000001" customHeight="1" x14ac:dyDescent="0.3">
      <c r="A259" s="24" t="s">
        <v>146</v>
      </c>
    </row>
    <row r="260" spans="1:1" ht="20.100000000000001" customHeight="1" x14ac:dyDescent="0.3">
      <c r="A260" s="19" t="s">
        <v>147</v>
      </c>
    </row>
    <row r="261" spans="1:1" ht="20.100000000000001" customHeight="1" x14ac:dyDescent="0.3">
      <c r="A261" s="24" t="s">
        <v>148</v>
      </c>
    </row>
    <row r="262" spans="1:1" ht="20.100000000000001" customHeight="1" x14ac:dyDescent="0.3">
      <c r="A262" s="19" t="s">
        <v>149</v>
      </c>
    </row>
    <row r="263" spans="1:1" ht="20.100000000000001" customHeight="1" x14ac:dyDescent="0.3">
      <c r="A263" s="19" t="s">
        <v>150</v>
      </c>
    </row>
    <row r="264" spans="1:1" ht="20.100000000000001" customHeight="1" x14ac:dyDescent="0.3">
      <c r="A264" s="24" t="s">
        <v>151</v>
      </c>
    </row>
    <row r="265" spans="1:1" ht="20.100000000000001" customHeight="1" x14ac:dyDescent="0.3">
      <c r="A265" s="24" t="s">
        <v>152</v>
      </c>
    </row>
    <row r="266" spans="1:1" ht="20.100000000000001" customHeight="1" x14ac:dyDescent="0.3">
      <c r="A266" s="24" t="s">
        <v>153</v>
      </c>
    </row>
    <row r="267" spans="1:1" ht="20.100000000000001" customHeight="1" x14ac:dyDescent="0.3">
      <c r="A267" s="19" t="s">
        <v>154</v>
      </c>
    </row>
    <row r="268" spans="1:1" ht="20.100000000000001" customHeight="1" x14ac:dyDescent="0.3">
      <c r="A268" s="19" t="s">
        <v>155</v>
      </c>
    </row>
    <row r="269" spans="1:1" ht="20.100000000000001" customHeight="1" x14ac:dyDescent="0.3">
      <c r="A269" s="19" t="s">
        <v>156</v>
      </c>
    </row>
    <row r="270" spans="1:1" ht="20.100000000000001" customHeight="1" x14ac:dyDescent="0.3">
      <c r="A270" s="19" t="s">
        <v>157</v>
      </c>
    </row>
    <row r="271" spans="1:1" ht="20.100000000000001" customHeight="1" x14ac:dyDescent="0.3">
      <c r="A271" s="24" t="s">
        <v>158</v>
      </c>
    </row>
    <row r="272" spans="1:1" ht="20.100000000000001" customHeight="1" x14ac:dyDescent="0.3">
      <c r="A272" s="24" t="s">
        <v>159</v>
      </c>
    </row>
    <row r="273" spans="1:1" ht="20.100000000000001" customHeight="1" x14ac:dyDescent="0.3">
      <c r="A273" s="19" t="s">
        <v>160</v>
      </c>
    </row>
    <row r="274" spans="1:1" ht="20.100000000000001" customHeight="1" x14ac:dyDescent="0.3">
      <c r="A274" s="24" t="s">
        <v>161</v>
      </c>
    </row>
    <row r="275" spans="1:1" ht="20.100000000000001" customHeight="1" x14ac:dyDescent="0.3">
      <c r="A275" s="24" t="s">
        <v>162</v>
      </c>
    </row>
    <row r="276" spans="1:1" ht="20.100000000000001" customHeight="1" x14ac:dyDescent="0.3">
      <c r="A276" s="19" t="s">
        <v>163</v>
      </c>
    </row>
    <row r="277" spans="1:1" ht="20.100000000000001" customHeight="1" x14ac:dyDescent="0.3">
      <c r="A277" s="19" t="s">
        <v>164</v>
      </c>
    </row>
    <row r="278" spans="1:1" ht="20.100000000000001" customHeight="1" x14ac:dyDescent="0.3">
      <c r="A278" s="24" t="s">
        <v>165</v>
      </c>
    </row>
    <row r="279" spans="1:1" ht="20.100000000000001" customHeight="1" x14ac:dyDescent="0.3">
      <c r="A279" s="19" t="s">
        <v>166</v>
      </c>
    </row>
    <row r="280" spans="1:1" ht="20.100000000000001" customHeight="1" x14ac:dyDescent="0.3">
      <c r="A280" s="19" t="s">
        <v>167</v>
      </c>
    </row>
    <row r="281" spans="1:1" ht="20.100000000000001" customHeight="1" x14ac:dyDescent="0.3">
      <c r="A281" s="19" t="s">
        <v>168</v>
      </c>
    </row>
    <row r="282" spans="1:1" ht="20.100000000000001" customHeight="1" x14ac:dyDescent="0.3">
      <c r="A282" s="19" t="s">
        <v>169</v>
      </c>
    </row>
    <row r="283" spans="1:1" ht="20.100000000000001" customHeight="1" x14ac:dyDescent="0.3">
      <c r="A283" s="24" t="s">
        <v>170</v>
      </c>
    </row>
    <row r="284" spans="1:1" ht="20.100000000000001" customHeight="1" x14ac:dyDescent="0.3">
      <c r="A284" s="24" t="s">
        <v>171</v>
      </c>
    </row>
    <row r="285" spans="1:1" ht="20.100000000000001" customHeight="1" x14ac:dyDescent="0.3">
      <c r="A285" s="24" t="s">
        <v>172</v>
      </c>
    </row>
    <row r="286" spans="1:1" ht="20.100000000000001" customHeight="1" thickBot="1" x14ac:dyDescent="0.35">
      <c r="A286" s="19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2025-10-07T17:55:15Z</dcterms:modified>
</cp:coreProperties>
</file>