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1167B68D-C42A-4AD1-AC39-7FAAF06ACCE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التقييم'!$A$1:$J$35</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s="1"/>
  <c r="G18" i="2"/>
  <c r="H18" i="2"/>
  <c r="G19" i="2"/>
  <c r="H19" i="2"/>
  <c r="G20" i="2"/>
  <c r="H20" i="2"/>
  <c r="G21" i="2"/>
  <c r="H21" i="2"/>
  <c r="G22" i="2"/>
  <c r="H22" i="2"/>
  <c r="G23" i="2"/>
  <c r="H23" i="2"/>
  <c r="G24" i="2"/>
  <c r="H24" i="2"/>
  <c r="G25" i="2"/>
  <c r="H25" i="2"/>
  <c r="G26" i="2"/>
  <c r="H26" i="2"/>
  <c r="G28" i="2"/>
  <c r="H28" i="2"/>
  <c r="G29" i="2"/>
  <c r="H29" i="2"/>
  <c r="G30" i="2"/>
  <c r="H30" i="2"/>
  <c r="G8" i="2"/>
  <c r="H8" i="2"/>
  <c r="F31" i="2"/>
  <c r="E31" i="2"/>
  <c r="E32" i="2"/>
  <c r="E33" i="2" s="1"/>
</calcChain>
</file>

<file path=xl/sharedStrings.xml><?xml version="1.0" encoding="utf-8"?>
<sst xmlns="http://schemas.openxmlformats.org/spreadsheetml/2006/main" count="257" uniqueCount="200">
  <si>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</si>
  <si>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</si>
  <si>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</si>
  <si>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</si>
  <si>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</si>
  <si>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</si>
  <si>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</si>
  <si>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</si>
  <si>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</si>
  <si>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</si>
  <si>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</si>
  <si>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</si>
  <si>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</si>
  <si>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</si>
  <si>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</si>
  <si>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</si>
  <si>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</si>
  <si>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</si>
  <si>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</si>
  <si>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</si>
  <si>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</si>
  <si>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</si>
  <si>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</si>
  <si>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</si>
  <si>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</si>
  <si>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</si>
  <si>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</si>
  <si>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</si>
  <si>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</si>
  <si>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</si>
  <si>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</si>
  <si>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</si>
  <si>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</si>
  <si>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</si>
  <si>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</si>
  <si>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</si>
  <si>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</si>
  <si>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</si>
  <si>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</si>
  <si>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</si>
  <si>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</si>
  <si>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</si>
  <si>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</si>
  <si>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</si>
  <si>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</si>
  <si>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</si>
  <si>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</si>
  <si>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</si>
  <si>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</si>
  <si>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</si>
  <si>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</si>
  <si>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</si>
  <si>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</si>
  <si>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</si>
  <si>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</si>
  <si>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</si>
  <si>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</si>
  <si>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</si>
  <si>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</si>
  <si>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</si>
  <si>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</si>
  <si>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</si>
  <si>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</si>
  <si>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</si>
  <si>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</si>
  <si>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</si>
  <si>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</si>
  <si>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</si>
  <si>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</si>
  <si>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</si>
  <si>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</si>
  <si>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</si>
  <si>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</si>
  <si>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</si>
  <si>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</si>
  <si>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</si>
  <si>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</si>
  <si>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</si>
  <si>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</si>
  <si>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</si>
  <si>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</si>
  <si>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</si>
  <si>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</si>
  <si>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</si>
  <si>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</si>
  <si>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</si>
  <si>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</si>
  <si>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</si>
  <si>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</si>
  <si>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</si>
  <si>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</si>
  <si>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</si>
  <si>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</si>
  <si>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</si>
  <si>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</si>
  <si>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</si>
  <si>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</si>
  <si>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</si>
  <si>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</si>
  <si>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</si>
  <si>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</si>
  <si>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</si>
  <si>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</si>
  <si>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</si>
  <si>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</si>
  <si>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</si>
  <si>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</si>
  <si>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</si>
  <si>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</si>
  <si>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</si>
  <si>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</si>
  <si>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</si>
  <si>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</si>
  <si>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</si>
  <si>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</si>
  <si>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</si>
  <si>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</si>
  <si>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</si>
  <si>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</si>
  <si>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</si>
  <si>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</si>
  <si>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</si>
  <si>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</si>
  <si>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</si>
  <si>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</si>
  <si>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</si>
  <si>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</si>
  <si>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</si>
  <si>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</si>
  <si>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</si>
  <si>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</si>
  <si>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</si>
  <si>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</si>
  <si>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</si>
  <si>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</si>
  <si>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</si>
  <si>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</si>
  <si>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</si>
  <si>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</si>
  <si>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</si>
  <si>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</si>
  <si>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</si>
  <si>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</si>
  <si>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</si>
  <si>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</si>
  <si>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</si>
  <si>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</si>
  <si>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</si>
  <si>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</si>
  <si>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</si>
  <si>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</si>
  <si>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</si>
  <si>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</si>
  <si>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</si>
  <si>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</si>
  <si>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</si>
  <si>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</si>
  <si>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</si>
  <si>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</si>
  <si>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</si>
  <si>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</si>
  <si>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</si>
  <si>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</si>
  <si>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</si>
  <si>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</si>
  <si>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</si>
  <si>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</si>
  <si>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</si>
  <si>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</si>
  <si>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</si>
  <si>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</si>
  <si>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</si>
  <si>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</si>
  <si>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</si>
  <si>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</si>
  <si>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</si>
  <si>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التنسيق مع قيادة مجموعة اللواء بدفع دورية استطلاع كيميائي اشعاعي مع وحدات الاستطلاع الأخرى.</t>
  </si>
  <si>
    <t xml:space="preserve">ب. انتخاب مواقع ثابتة لدورية الاستطلاع الكيميائي الاشعاعي للتمكن من القيام بالمراقبة والكشف. </t>
  </si>
  <si>
    <t>جـ. اعطاء إنذار مبكر فور الكشف عن أي تلوث كيميائي إشعاعي نووي.</t>
  </si>
  <si>
    <t>1.    تحرك قيادة سرية الدفاع الكيميائي مع حركة قيادة مجموعة اللـواء ، ليتمكن قائد السرية الإلمام بالموقف.</t>
  </si>
  <si>
    <t>2.    إلمام قائد السرية بالموقف.</t>
  </si>
  <si>
    <t xml:space="preserve">3.    توزيع دوريات الاستطلاع الكيميائي البيولوجي الاشعاعي النووي على رتل التحرك بجانب أو مع قوة المناورة وحسب اتجاه الريح </t>
  </si>
  <si>
    <t xml:space="preserve">4.    استعداد الدوريات لإيجاد ممرات وطرق نظيفة وآمنة حولها ، عند استخدام العدو لأسلحة التدمير الشامل. </t>
  </si>
  <si>
    <t>5.    تحرك دورية القيادة لتأمين قيادة مجموعة اللواء.</t>
  </si>
  <si>
    <t>6.    دفع دورية الاستطلاع الكيميائي/1 الإشعاعي للأمام للالتحاق بعناصر الاستطلاع الأمامية أو ضمن مقدمة الحرس.</t>
  </si>
  <si>
    <t>7.    دفع دورية الاستطلاع الكيميائي الإشعاعي/2 بموقع مناسب لتأمين الجسم الرئيس.</t>
  </si>
  <si>
    <t>8.    تحرك دورية الإستطلاع البيولوجي مع الآليات الإدارية التابعة لمجموعة اللواء.</t>
  </si>
  <si>
    <t>9.    إبلاغ قائد فصيل الاستطلاع قائد السرية بالموقف والمعلومات التخصصية بصفة مستمرة.</t>
  </si>
  <si>
    <r>
      <t>10.</t>
    </r>
    <r>
      <rPr>
        <sz val="7"/>
        <color rgb="FF000000"/>
        <rFont val="Arial"/>
        <family val="2"/>
      </rPr>
      <t xml:space="preserve">        </t>
    </r>
    <r>
      <rPr>
        <sz val="12"/>
        <color rgb="FF000000"/>
        <rFont val="Arial"/>
        <family val="2"/>
      </rPr>
      <t>قيام قائد وحدة الاستطلاع عند الاصطدام بموقع دفاعي بوضع مدرعات الاستطلاع في مواقع توفر التخفية (البدن مخفي) ثم الرد على رماية العدو مع إبلاغ قائد السرية فوراً.</t>
    </r>
  </si>
  <si>
    <r>
      <t>11.</t>
    </r>
    <r>
      <rPr>
        <sz val="7"/>
        <color rgb="FF000000"/>
        <rFont val="Arial"/>
        <family val="2"/>
      </rPr>
      <t xml:space="preserve">        </t>
    </r>
    <r>
      <rPr>
        <sz val="12"/>
        <color rgb="FF000000"/>
        <rFont val="Arial"/>
        <family val="2"/>
      </rPr>
      <t>انتخاب مواقع مراقبة تمكن طاقم الدورية من تقديم الإنذار المبكر عند استخدام العدو لأسلحة التدمير الشامل فور حدوثه.</t>
    </r>
  </si>
  <si>
    <r>
      <t>12.</t>
    </r>
    <r>
      <rPr>
        <sz val="7"/>
        <color rgb="FF000000"/>
        <rFont val="Arial"/>
        <family val="2"/>
      </rPr>
      <t xml:space="preserve">        </t>
    </r>
    <r>
      <rPr>
        <sz val="12"/>
        <color rgb="FF000000"/>
        <rFont val="Arial"/>
        <family val="2"/>
      </rPr>
      <t>استطلاع محاور التقدم بالتنسيق مع استطلاع مجموعة اللواء للتأكد من خلوها من مخاطر أسلحة التدمير الشامل وذلك بتواجدها في الأمام بقدر الإمكان.</t>
    </r>
  </si>
  <si>
    <r>
      <t>13.</t>
    </r>
    <r>
      <rPr>
        <sz val="7"/>
        <color rgb="FF000000"/>
        <rFont val="Arial"/>
        <family val="2"/>
      </rPr>
      <t xml:space="preserve">        </t>
    </r>
    <r>
      <rPr>
        <sz val="12"/>
        <color rgb="FF000000"/>
        <rFont val="Arial"/>
        <family val="2"/>
      </rPr>
      <t>انتخاب ممرات تقدم غير ملوثة لتستخدمها الوحدات التعبوية وذلك في حالة استخدام العدو أسلحة التدمير الشامل.</t>
    </r>
  </si>
  <si>
    <r>
      <t>14.</t>
    </r>
    <r>
      <rPr>
        <sz val="7"/>
        <color rgb="FF000000"/>
        <rFont val="Arial"/>
        <family val="2"/>
      </rPr>
      <t xml:space="preserve">        </t>
    </r>
    <r>
      <rPr>
        <sz val="12"/>
        <color rgb="FF000000"/>
        <rFont val="Arial"/>
        <family val="2"/>
      </rPr>
      <t>دراسة اتجاه الرياح عند توزيع الدوريات على رتل التحرك بحيث تتحرك بجانب أو مع قوة المناورة وحسب إتجاه الرياح</t>
    </r>
    <r>
      <rPr>
        <b/>
        <sz val="12"/>
        <color rgb="FF000000"/>
        <rFont val="Arial"/>
        <family val="2"/>
      </rPr>
      <t>.</t>
    </r>
  </si>
  <si>
    <r>
      <t>15.</t>
    </r>
    <r>
      <rPr>
        <sz val="7"/>
        <color rgb="FF000000"/>
        <rFont val="Arial"/>
        <family val="2"/>
      </rPr>
      <t xml:space="preserve">        </t>
    </r>
    <r>
      <rPr>
        <sz val="12"/>
        <color rgb="FF000000"/>
        <rFont val="Arial"/>
        <family val="2"/>
      </rPr>
      <t>تحديد مناطق التطهير على طول طرق التقدم للقوات الصديقة لإدامة عمليات التطهير. كما يجب أن يكون فصيل التطهير مستعدا للقيام بعمليات التطهير العملياتي وحسب الضرورة للمحافظة على الزخم، أما التطهير الكلي ينفذ بعد تنفيذ المهمة.</t>
    </r>
  </si>
  <si>
    <r>
      <t>16.</t>
    </r>
    <r>
      <rPr>
        <sz val="7"/>
        <color rgb="FF000000"/>
        <rFont val="Arial"/>
        <family val="2"/>
      </rPr>
      <t xml:space="preserve">        </t>
    </r>
    <r>
      <rPr>
        <sz val="12"/>
        <color rgb="FF000000"/>
        <rFont val="Arial"/>
        <family val="2"/>
      </rPr>
      <t>استعداد وحدات التطهير للقيام بعمليات التطهير العملياتي وحسب الضرورة للمحافظة على الزخم.</t>
    </r>
  </si>
  <si>
    <r>
      <t>17.</t>
    </r>
    <r>
      <rPr>
        <sz val="7"/>
        <color rgb="FF000000"/>
        <rFont val="Arial"/>
        <family val="2"/>
      </rPr>
      <t xml:space="preserve">        </t>
    </r>
    <r>
      <rPr>
        <sz val="12"/>
        <color rgb="FF000000"/>
        <rFont val="Arial"/>
        <family val="2"/>
      </rPr>
      <t>انتخاب مواقع ثابتة لدوريات الاستطلاع الكيميائي أثناء الهجوم السريع وذلك للقيام بالمراقبة والكشف من خلاله.</t>
    </r>
  </si>
  <si>
    <r>
      <t>18.</t>
    </r>
    <r>
      <rPr>
        <sz val="7"/>
        <color rgb="FF000000"/>
        <rFont val="Arial"/>
        <family val="2"/>
      </rPr>
      <t xml:space="preserve">        </t>
    </r>
    <r>
      <rPr>
        <sz val="12"/>
        <color rgb="FF000000"/>
        <rFont val="Arial"/>
        <family val="2"/>
      </rPr>
      <t>الاستطلاع الكيميائي المستمر للأمام وللأجنحة وبالتالي الإنذار المبكر لكل القوة حال الكشف عن أي تلوث كيميائي بيولوجي إشعاعي نووي.</t>
    </r>
  </si>
  <si>
    <r>
      <t>19.</t>
    </r>
    <r>
      <rPr>
        <sz val="7"/>
        <color rgb="FF000000"/>
        <rFont val="Arial"/>
        <family val="2"/>
      </rPr>
      <t xml:space="preserve">        </t>
    </r>
    <r>
      <rPr>
        <sz val="12"/>
        <color rgb="FF000000"/>
        <rFont val="Arial"/>
        <family val="2"/>
      </rPr>
      <t>يقوم قائد سرية لدفاع الكيميائي مع قائد فصيل التطهير عند تحضير خطة التأمين الكيميائي بتقييم عمليات التطهير المطلوبة وأفضل الطرق لتنفيذها.</t>
    </r>
  </si>
  <si>
    <r>
      <t>20.</t>
    </r>
    <r>
      <rPr>
        <sz val="7"/>
        <color rgb="FF000000"/>
        <rFont val="Arial"/>
        <family val="2"/>
      </rPr>
      <t xml:space="preserve">        </t>
    </r>
    <r>
      <rPr>
        <sz val="12"/>
        <color rgb="FF000000"/>
        <rFont val="Arial"/>
        <family val="2"/>
      </rPr>
      <t>العمل عند الهجوم السريع على الأهداف كما يلي:</t>
    </r>
  </si>
  <si>
    <r>
      <rPr>
        <b/>
        <sz val="14"/>
        <color rgb="FF000000"/>
        <rFont val="Arial"/>
        <family val="2"/>
      </rPr>
      <t>تقييم سرية الدفاع الكيميائي في إسناد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</si>
</sst>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2" fillId="0" borderId="21" xfId="0" applyFont="1" applyBorder="1" applyAlignment="1">
      <alignment horizontal="right" vertical="center" wrapText="1" readingOrder="2"/>
    </xf>
    <xf numFmtId="0" fontId="12" fillId="0" borderId="3" xfId="0" applyFont="1" applyBorder="1" applyAlignment="1">
      <alignment horizontal="right" vertical="center" wrapText="1" readingOrder="2"/>
    </xf>
    <xf numFmtId="0" fontId="12" fillId="0" borderId="21"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587579</xdr:colOff>
      <xdr:row>34</xdr:row>
      <xdr:rowOff>64500</xdr:rowOff>
    </xdr:from>
    <xdr:to>
      <xdr:col>8</xdr:col>
      <xdr:colOff>80678</xdr:colOff>
      <xdr:row>34</xdr:row>
      <xdr:rowOff>578580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8A0409C-9D95-DD44-7C84-C2CA5A25B28E}"/>
                </a:ext>
              </a:extLst>
            </xdr14:cNvPr>
            <xdr14:cNvContentPartPr/>
          </xdr14:nvContentPartPr>
          <xdr14:nvPr macro=""/>
          <xdr14:xfrm>
            <a:off x="10399164231" y="17019000"/>
            <a:ext cx="809280" cy="514080"/>
          </xdr14:xfrm>
        </xdr:contentPart>
      </mc:Choice>
      <mc:Fallback xmlns="">
        <xdr:pic>
          <xdr:nvPicPr>
            <xdr:cNvPr id="2" name="Ink 1">
              <a:extLst>
                <a:ext uri="{FF2B5EF4-FFF2-40B4-BE49-F238E27FC236}">
                  <a16:creationId xmlns:a16="http://schemas.microsoft.com/office/drawing/2014/main" id="{A8A0409C-9D95-DD44-7C84-C2CA5A25B28E}"/>
                </a:ext>
              </a:extLst>
            </xdr:cNvPr>
            <xdr:cNvPicPr/>
          </xdr:nvPicPr>
          <xdr:blipFill>
            <a:blip xmlns:r="http://schemas.openxmlformats.org/officeDocument/2006/relationships" r:embed="rId2"/>
            <a:stretch>
              <a:fillRect/>
            </a:stretch>
          </xdr:blipFill>
          <xdr:spPr>
            <a:xfrm>
              <a:off x="10399158111" y="17012880"/>
              <a:ext cx="821520" cy="5263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4T03:06:26.075"/>
    </inkml:context>
    <inkml:brush xml:id="br0">
      <inkml:brushProperty name="width" value="0.035" units="cm"/>
      <inkml:brushProperty name="height" value="0.035" units="cm"/>
    </inkml:brush>
  </inkml:definitions>
  <inkml:trace contextRef="#ctx0" brushRef="#br0">259 1427,'0'0,"0"0,0 0,0 0,0 0,0 0,0 0,0 0,0 0,0 0,0 0,0 0,0 0,0 0,0 0,0-16,0 13,16 6,1-19,-16 13,11-11,20-2,-30 14,42-12,-14-2,-26 14,38-12,-12 14,-25 0,36-16,4 16,-40 0,23 0,1-16,-24 16,20 0,-9 0,-14 0,12 0,-1-16,-10 14,-19-12,0 14,14 0,-26-16,-4 16,30 0,-42 0,15-16,24 14,-21 4,-5-18,28 14,-24 4,-3-18,25 14,-6 4,-5-18,16 14,16-12,0 14,14-16,-26 14,53-12,19 14,-67 0,44-16,39-16,-79 27,65-6,28-5,-93 14,66-12,-1-2,-67 13,37-10,-1-3,-39 13,15-10,6-3,-24 13,-25 6,20-3,-14-17,5 9,2 16,-8-24,15 14,-31 4,15-2,16 0,-14 0,-2-16,14 14,-12 4,1-18,10 14,-10 4,-4-18,17 14,-13 4,26 14,4 0,-1-16,-3 16,3-16,-13 0,10 0,1 0,-11 0,10 0,-10 0,-22 0,19-16,0 14,-14 4,-2-18,14 14,-12-12,14 13,-13 2,-3-17,14 14,-13 4,2-2,10 0,-10 0,-3 0,2 0,11 0,-10 0,10 0,-23-16,9 16,14 0,-24-16,-5 0,30 14,-41-12,12-2,27 14,-21-12,-37-2,53 13,-44-25,7 12,39 13,-45-10,20-3,30 13,-26-10,-2-3,23 13,-2-10,-21-19,23 26,-2-4,-7-22,16 27,0-6,16-5,-14 13,-4-11,18-2,-13 14,54-28,50-18,-88 41,145-50,37-23,-170 67,181-38,49-29,-222 68,165-41,-51 37,-130 14,45-12,8 30,-65-13,10 10,-7 4,-12-15,-4 28,18-14,-13-14,10 28,1 2,-12-27,-4 38,2-11,0-27,0 22,-14 5,12-27,-12 22,-2 5,16-27,-14 22,-18 5,30-27,-26 22,-18 6,40-28,-49 22,-21 5,65-27,-116 38,-40 5,142-41,-119 34,-40-10,159-26,-87 22,-26 5,116-27,-32-10,-8 5,54 0,-30 0,-7 0,38 0,-45 16,6-16,36 0,-42 16,6-16,39 0,-32 16,-23 0,53-13,-28 10,-9-13,40 0,-34 16,11 0,24-13,-36 10,12 4,21-15,-1-4,-21 18,26-14,-7 12,-6-14,17 0,0 16,0-15,-14-2,6 1,0 16,8-16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5"/>
  <sheetViews>
    <sheetView rightToLeft="1" tabSelected="1" view="pageBreakPreview" topLeftCell="A26" zoomScale="130" zoomScaleNormal="100" zoomScaleSheetLayoutView="130" workbookViewId="0">
      <selection activeCell="E18" sqref="E18"/>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4" t="s">
        <v>199</v>
      </c>
      <c r="C1" s="54"/>
      <c r="D1" s="54"/>
      <c r="E1" s="54"/>
      <c r="F1" s="54"/>
      <c r="G1" s="54"/>
      <c r="H1" s="54"/>
      <c r="I1" s="54"/>
      <c r="J1" s="54"/>
    </row>
    <row r="2" spans="1:10" ht="30" customHeight="1" x14ac:dyDescent="0.3">
      <c r="B2" s="13" t="s">
        <v>8</v>
      </c>
      <c r="C2" s="60" t="s">
        <v>13</v>
      </c>
      <c r="D2" s="60"/>
      <c r="E2" s="13" t="s">
        <v>7</v>
      </c>
      <c r="F2" s="55">
        <v>45924</v>
      </c>
      <c r="G2" s="55"/>
      <c r="H2" s="55"/>
      <c r="I2" s="55"/>
      <c r="J2" s="55"/>
    </row>
    <row r="3" spans="1:10" ht="30" customHeight="1" x14ac:dyDescent="0.3">
      <c r="B3" s="13" t="s">
        <v>9</v>
      </c>
      <c r="C3" s="60" t="s">
        <v>71</v>
      </c>
      <c r="D3" s="60"/>
      <c r="E3" s="13" t="s">
        <v>6</v>
      </c>
      <c r="F3" s="60" t="s">
        <v>136</v>
      </c>
      <c r="G3" s="60"/>
      <c r="H3" s="60"/>
      <c r="I3" s="60"/>
      <c r="J3" s="60"/>
    </row>
    <row r="4" spans="1:10" ht="30" customHeight="1" thickBot="1" x14ac:dyDescent="0.35">
      <c r="B4" s="6"/>
      <c r="C4" s="7"/>
      <c r="D4" s="7"/>
      <c r="E4" s="6"/>
      <c r="F4" s="7"/>
      <c r="G4" s="7"/>
      <c r="H4" s="8"/>
      <c r="I4" s="7"/>
      <c r="J4" s="7"/>
    </row>
    <row r="5" spans="1:10" ht="24.9" customHeight="1" x14ac:dyDescent="0.3">
      <c r="A5" s="11"/>
      <c r="B5" s="56" t="s">
        <v>0</v>
      </c>
      <c r="C5" s="57"/>
      <c r="D5" s="57"/>
      <c r="E5" s="65" t="s">
        <v>1</v>
      </c>
      <c r="F5" s="65"/>
      <c r="G5" s="65"/>
      <c r="H5" s="65"/>
      <c r="I5" s="65" t="s">
        <v>2</v>
      </c>
      <c r="J5" s="66"/>
    </row>
    <row r="6" spans="1:10" ht="24.9" customHeight="1" thickBot="1" x14ac:dyDescent="0.35">
      <c r="A6" s="11"/>
      <c r="B6" s="58"/>
      <c r="C6" s="59"/>
      <c r="D6" s="59"/>
      <c r="E6" s="12" t="s">
        <v>3</v>
      </c>
      <c r="F6" s="12" t="s">
        <v>4</v>
      </c>
      <c r="G6" s="12" t="s">
        <v>23</v>
      </c>
      <c r="H6" s="12" t="s">
        <v>24</v>
      </c>
      <c r="I6" s="67"/>
      <c r="J6" s="68"/>
    </row>
    <row r="7" spans="1:10" ht="24.9" customHeight="1" thickBot="1" x14ac:dyDescent="0.35">
      <c r="A7" s="11"/>
      <c r="B7" s="61" t="s">
        <v>21</v>
      </c>
      <c r="C7" s="62"/>
      <c r="D7" s="62"/>
      <c r="E7" s="29" t="s">
        <v>18</v>
      </c>
      <c r="F7" s="29" t="s">
        <v>19</v>
      </c>
      <c r="G7" s="29" t="s">
        <v>22</v>
      </c>
      <c r="H7" s="29" t="s">
        <v>20</v>
      </c>
      <c r="I7" s="69" t="s">
        <v>25</v>
      </c>
      <c r="J7" s="70"/>
    </row>
    <row r="8" spans="1:10" ht="39.9" customHeight="1" x14ac:dyDescent="0.3">
      <c r="A8" s="11"/>
      <c r="B8" s="71" t="s">
        <v>179</v>
      </c>
      <c r="C8" s="72"/>
      <c r="D8" s="72"/>
      <c r="E8" s="32">
        <v>5</v>
      </c>
      <c r="F8" s="33">
        <v>4</v>
      </c>
      <c r="G8" s="34">
        <f>IFERROR(F8/E8,"")</f>
        <v>0.8</v>
      </c>
      <c r="H8" s="35" t="str">
        <f>_xlfn.IFS(F8="أدخل العلامة","",F8="لا ينطبق","تم الإلغاء",G8&gt;=90%,"ممتاز",G8&gt;=80%,"جيد جداً",G8&gt;=70%,"جيد",G8&gt;=60%,"مقبول",G8&lt;60%,"راسب")</f>
        <v>جيد جداً</v>
      </c>
      <c r="I8" s="79"/>
      <c r="J8" s="80"/>
    </row>
    <row r="9" spans="1:10" ht="39.9" customHeight="1" x14ac:dyDescent="0.3">
      <c r="A9" s="11"/>
      <c r="B9" s="41" t="s">
        <v>180</v>
      </c>
      <c r="C9" s="42"/>
      <c r="D9" s="42"/>
      <c r="E9" s="9">
        <v>5</v>
      </c>
      <c r="F9" s="27">
        <v>4</v>
      </c>
      <c r="G9" s="30">
        <f>IFERROR(F9/E9,"")</f>
        <v>0.8</v>
      </c>
      <c r="H9" s="31" t="str">
        <f>_xlfn.IFS(F9="أدخل العلامة","",F9="لا ينطبق","تم الإلغاء",G9&gt;=90%,"ممتاز",G9&gt;=80%,"جيد جداً",G9&gt;=70%,"جيد",G9&gt;=60%,"مقبول",G9&lt;60%,"راسب")</f>
        <v>جيد جداً</v>
      </c>
      <c r="I9" s="50"/>
      <c r="J9" s="51"/>
    </row>
    <row r="10" spans="1:10" ht="39.9" customHeight="1" x14ac:dyDescent="0.3">
      <c r="A10" s="11"/>
      <c r="B10" s="41" t="s">
        <v>181</v>
      </c>
      <c r="C10" s="42"/>
      <c r="D10" s="42"/>
      <c r="E10" s="9">
        <v>5</v>
      </c>
      <c r="F10" s="27">
        <v>4</v>
      </c>
      <c r="G10" s="30">
        <f t="shared" ref="G10:G30" si="0">IFERROR(F10/E10,"")</f>
        <v>0.8</v>
      </c>
      <c r="H10" s="31" t="str">
        <f t="shared" ref="H10:H30" si="1">_xlfn.IFS(F10="أدخل العلامة","",F10="لا ينطبق","تم الإلغاء",G10&gt;=90%,"ممتاز",G10&gt;=80%,"جيد جداً",G10&gt;=70%,"جيد",G10&gt;=60%,"مقبول",G10&lt;60%,"راسب")</f>
        <v>جيد جداً</v>
      </c>
      <c r="I10" s="50"/>
      <c r="J10" s="51"/>
    </row>
    <row r="11" spans="1:10" ht="39.9" customHeight="1" x14ac:dyDescent="0.3">
      <c r="A11" s="11"/>
      <c r="B11" s="41" t="s">
        <v>182</v>
      </c>
      <c r="C11" s="42"/>
      <c r="D11" s="42"/>
      <c r="E11" s="9">
        <v>5</v>
      </c>
      <c r="F11" s="27">
        <v>3.75</v>
      </c>
      <c r="G11" s="30">
        <f t="shared" si="0"/>
        <v>0.75</v>
      </c>
      <c r="H11" s="31" t="str">
        <f t="shared" si="1"/>
        <v>جيد</v>
      </c>
      <c r="I11" s="50"/>
      <c r="J11" s="51"/>
    </row>
    <row r="12" spans="1:10" ht="39.9" customHeight="1" x14ac:dyDescent="0.3">
      <c r="A12" s="11"/>
      <c r="B12" s="41" t="s">
        <v>183</v>
      </c>
      <c r="C12" s="42"/>
      <c r="D12" s="42"/>
      <c r="E12" s="9">
        <v>5</v>
      </c>
      <c r="F12" s="27">
        <v>4</v>
      </c>
      <c r="G12" s="30">
        <f t="shared" si="0"/>
        <v>0.8</v>
      </c>
      <c r="H12" s="31" t="str">
        <f t="shared" si="1"/>
        <v>جيد جداً</v>
      </c>
      <c r="I12" s="50"/>
      <c r="J12" s="51"/>
    </row>
    <row r="13" spans="1:10" ht="39.9" customHeight="1" x14ac:dyDescent="0.3">
      <c r="A13" s="11"/>
      <c r="B13" s="41" t="s">
        <v>184</v>
      </c>
      <c r="C13" s="42"/>
      <c r="D13" s="42"/>
      <c r="E13" s="9">
        <v>5</v>
      </c>
      <c r="F13" s="27">
        <v>3.75</v>
      </c>
      <c r="G13" s="30">
        <f t="shared" si="0"/>
        <v>0.75</v>
      </c>
      <c r="H13" s="31" t="str">
        <f t="shared" si="1"/>
        <v>جيد</v>
      </c>
      <c r="I13" s="50"/>
      <c r="J13" s="51"/>
    </row>
    <row r="14" spans="1:10" ht="39.9" customHeight="1" x14ac:dyDescent="0.3">
      <c r="A14" s="11"/>
      <c r="B14" s="41" t="s">
        <v>185</v>
      </c>
      <c r="C14" s="42"/>
      <c r="D14" s="42"/>
      <c r="E14" s="9">
        <v>5</v>
      </c>
      <c r="F14" s="27">
        <v>3.75</v>
      </c>
      <c r="G14" s="30">
        <f t="shared" si="0"/>
        <v>0.75</v>
      </c>
      <c r="H14" s="31" t="str">
        <f t="shared" si="1"/>
        <v>جيد</v>
      </c>
      <c r="I14" s="50"/>
      <c r="J14" s="51"/>
    </row>
    <row r="15" spans="1:10" ht="39.9" customHeight="1" x14ac:dyDescent="0.3">
      <c r="A15" s="11"/>
      <c r="B15" s="41" t="s">
        <v>186</v>
      </c>
      <c r="C15" s="42"/>
      <c r="D15" s="42"/>
      <c r="E15" s="9">
        <v>5</v>
      </c>
      <c r="F15" s="27">
        <v>4</v>
      </c>
      <c r="G15" s="30">
        <f t="shared" si="0"/>
        <v>0.8</v>
      </c>
      <c r="H15" s="31" t="str">
        <f t="shared" si="1"/>
        <v>جيد جداً</v>
      </c>
      <c r="I15" s="50"/>
      <c r="J15" s="51"/>
    </row>
    <row r="16" spans="1:10" ht="39.9" customHeight="1" x14ac:dyDescent="0.3">
      <c r="A16" s="11"/>
      <c r="B16" s="41" t="s">
        <v>187</v>
      </c>
      <c r="C16" s="42"/>
      <c r="D16" s="42"/>
      <c r="E16" s="9">
        <v>5</v>
      </c>
      <c r="F16" s="27">
        <v>3.5</v>
      </c>
      <c r="G16" s="30">
        <f t="shared" si="0"/>
        <v>0.7</v>
      </c>
      <c r="H16" s="31" t="str">
        <f t="shared" si="1"/>
        <v>جيد</v>
      </c>
      <c r="I16" s="50"/>
      <c r="J16" s="51"/>
    </row>
    <row r="17" spans="1:10" ht="59.25" customHeight="1" x14ac:dyDescent="0.3">
      <c r="A17" s="11"/>
      <c r="B17" s="41" t="s">
        <v>188</v>
      </c>
      <c r="C17" s="42"/>
      <c r="D17" s="42"/>
      <c r="E17" s="9">
        <v>0</v>
      </c>
      <c r="F17" s="27" t="s">
        <v>17</v>
      </c>
      <c r="G17" s="30" t="str">
        <f t="shared" si="0"/>
        <v/>
      </c>
      <c r="H17" s="31" t="str">
        <f t="shared" si="1"/>
        <v>تم الإلغاء</v>
      </c>
      <c r="I17" s="50"/>
      <c r="J17" s="51"/>
    </row>
    <row r="18" spans="1:10" ht="39.9" customHeight="1" x14ac:dyDescent="0.3">
      <c r="A18" s="11"/>
      <c r="B18" s="41" t="s">
        <v>189</v>
      </c>
      <c r="C18" s="42"/>
      <c r="D18" s="42"/>
      <c r="E18" s="9">
        <v>5</v>
      </c>
      <c r="F18" s="27">
        <v>3.75</v>
      </c>
      <c r="G18" s="30">
        <f t="shared" si="0"/>
        <v>0.75</v>
      </c>
      <c r="H18" s="31" t="str">
        <f t="shared" si="1"/>
        <v>جيد</v>
      </c>
      <c r="I18" s="50"/>
      <c r="J18" s="51"/>
    </row>
    <row r="19" spans="1:10" ht="56.25" customHeight="1" x14ac:dyDescent="0.3">
      <c r="A19" s="11"/>
      <c r="B19" s="41" t="s">
        <v>190</v>
      </c>
      <c r="C19" s="42"/>
      <c r="D19" s="42"/>
      <c r="E19" s="9">
        <v>5</v>
      </c>
      <c r="F19" s="27">
        <v>3.75</v>
      </c>
      <c r="G19" s="30">
        <f t="shared" si="0"/>
        <v>0.75</v>
      </c>
      <c r="H19" s="31" t="str">
        <f t="shared" si="1"/>
        <v>جيد</v>
      </c>
      <c r="I19" s="50"/>
      <c r="J19" s="51"/>
    </row>
    <row r="20" spans="1:10" ht="39.9" customHeight="1" x14ac:dyDescent="0.3">
      <c r="A20" s="11"/>
      <c r="B20" s="41" t="s">
        <v>191</v>
      </c>
      <c r="C20" s="42"/>
      <c r="D20" s="42"/>
      <c r="E20" s="9">
        <v>5</v>
      </c>
      <c r="F20" s="27">
        <v>3.75</v>
      </c>
      <c r="G20" s="30">
        <f t="shared" si="0"/>
        <v>0.75</v>
      </c>
      <c r="H20" s="31" t="str">
        <f t="shared" si="1"/>
        <v>جيد</v>
      </c>
      <c r="I20" s="50"/>
      <c r="J20" s="51"/>
    </row>
    <row r="21" spans="1:10" ht="39.9" customHeight="1" x14ac:dyDescent="0.3">
      <c r="A21" s="11"/>
      <c r="B21" s="41" t="s">
        <v>192</v>
      </c>
      <c r="C21" s="42"/>
      <c r="D21" s="42"/>
      <c r="E21" s="9">
        <v>5</v>
      </c>
      <c r="F21" s="27">
        <v>4</v>
      </c>
      <c r="G21" s="30">
        <f t="shared" si="0"/>
        <v>0.8</v>
      </c>
      <c r="H21" s="31" t="str">
        <f t="shared" si="1"/>
        <v>جيد جداً</v>
      </c>
      <c r="I21" s="50"/>
      <c r="J21" s="51"/>
    </row>
    <row r="22" spans="1:10" ht="63" customHeight="1" x14ac:dyDescent="0.3">
      <c r="A22" s="11"/>
      <c r="B22" s="41" t="s">
        <v>193</v>
      </c>
      <c r="C22" s="42"/>
      <c r="D22" s="42"/>
      <c r="E22" s="9">
        <v>5</v>
      </c>
      <c r="F22" s="27">
        <v>3.75</v>
      </c>
      <c r="G22" s="30">
        <f t="shared" si="0"/>
        <v>0.75</v>
      </c>
      <c r="H22" s="31" t="str">
        <f t="shared" si="1"/>
        <v>جيد</v>
      </c>
      <c r="I22" s="50"/>
      <c r="J22" s="51"/>
    </row>
    <row r="23" spans="1:10" ht="39.9" customHeight="1" x14ac:dyDescent="0.3">
      <c r="A23" s="11"/>
      <c r="B23" s="41" t="s">
        <v>194</v>
      </c>
      <c r="C23" s="42"/>
      <c r="D23" s="42"/>
      <c r="E23" s="9">
        <v>5</v>
      </c>
      <c r="F23" s="27">
        <v>3.75</v>
      </c>
      <c r="G23" s="30">
        <f t="shared" si="0"/>
        <v>0.75</v>
      </c>
      <c r="H23" s="31" t="str">
        <f t="shared" si="1"/>
        <v>جيد</v>
      </c>
      <c r="I23" s="50"/>
      <c r="J23" s="51"/>
    </row>
    <row r="24" spans="1:10" ht="39.9" customHeight="1" x14ac:dyDescent="0.3">
      <c r="A24" s="11"/>
      <c r="B24" s="41" t="s">
        <v>195</v>
      </c>
      <c r="C24" s="42"/>
      <c r="D24" s="42"/>
      <c r="E24" s="9">
        <v>5</v>
      </c>
      <c r="F24" s="27">
        <v>3.75</v>
      </c>
      <c r="G24" s="30">
        <f t="shared" si="0"/>
        <v>0.75</v>
      </c>
      <c r="H24" s="31" t="str">
        <f t="shared" si="1"/>
        <v>جيد</v>
      </c>
      <c r="I24" s="50"/>
      <c r="J24" s="51"/>
    </row>
    <row r="25" spans="1:10" ht="43.5" customHeight="1" x14ac:dyDescent="0.3">
      <c r="A25" s="11"/>
      <c r="B25" s="41" t="s">
        <v>196</v>
      </c>
      <c r="C25" s="42"/>
      <c r="D25" s="42"/>
      <c r="E25" s="9">
        <v>5</v>
      </c>
      <c r="F25" s="27">
        <v>3.75</v>
      </c>
      <c r="G25" s="30">
        <f t="shared" si="0"/>
        <v>0.75</v>
      </c>
      <c r="H25" s="31" t="str">
        <f t="shared" si="1"/>
        <v>جيد</v>
      </c>
      <c r="I25" s="50"/>
      <c r="J25" s="51"/>
    </row>
    <row r="26" spans="1:10" ht="51" customHeight="1" x14ac:dyDescent="0.3">
      <c r="A26" s="11"/>
      <c r="B26" s="41" t="s">
        <v>197</v>
      </c>
      <c r="C26" s="42"/>
      <c r="D26" s="42"/>
      <c r="E26" s="9">
        <v>5</v>
      </c>
      <c r="F26" s="27">
        <v>4</v>
      </c>
      <c r="G26" s="30">
        <f t="shared" si="0"/>
        <v>0.8</v>
      </c>
      <c r="H26" s="31" t="str">
        <f t="shared" si="1"/>
        <v>جيد جداً</v>
      </c>
      <c r="I26" s="50"/>
      <c r="J26" s="51"/>
    </row>
    <row r="27" spans="1:10" ht="39.9" customHeight="1" x14ac:dyDescent="0.3">
      <c r="A27" s="11"/>
      <c r="B27" s="41" t="s">
        <v>198</v>
      </c>
      <c r="C27" s="42"/>
      <c r="D27" s="42"/>
      <c r="E27" s="9"/>
      <c r="F27" s="27"/>
      <c r="G27" s="30"/>
      <c r="H27" s="31"/>
      <c r="I27" s="50"/>
      <c r="J27" s="51"/>
    </row>
    <row r="28" spans="1:10" ht="39.9" customHeight="1" x14ac:dyDescent="0.3">
      <c r="A28" s="11"/>
      <c r="B28" s="43" t="s">
        <v>176</v>
      </c>
      <c r="C28" s="44"/>
      <c r="D28" s="44"/>
      <c r="E28" s="9">
        <v>5</v>
      </c>
      <c r="F28" s="27">
        <v>4</v>
      </c>
      <c r="G28" s="30">
        <f t="shared" si="0"/>
        <v>0.8</v>
      </c>
      <c r="H28" s="31" t="str">
        <f t="shared" si="1"/>
        <v>جيد جداً</v>
      </c>
      <c r="I28" s="50"/>
      <c r="J28" s="51"/>
    </row>
    <row r="29" spans="1:10" ht="39.9" customHeight="1" x14ac:dyDescent="0.3">
      <c r="A29" s="11"/>
      <c r="B29" s="43" t="s">
        <v>177</v>
      </c>
      <c r="C29" s="44"/>
      <c r="D29" s="44"/>
      <c r="E29" s="9">
        <v>5</v>
      </c>
      <c r="F29" s="27">
        <v>3.75</v>
      </c>
      <c r="G29" s="30">
        <f t="shared" si="0"/>
        <v>0.75</v>
      </c>
      <c r="H29" s="31" t="str">
        <f t="shared" si="1"/>
        <v>جيد</v>
      </c>
      <c r="I29" s="50"/>
      <c r="J29" s="51"/>
    </row>
    <row r="30" spans="1:10" ht="39.9" customHeight="1" thickBot="1" x14ac:dyDescent="0.35">
      <c r="A30" s="11"/>
      <c r="B30" s="39" t="s">
        <v>178</v>
      </c>
      <c r="C30" s="40"/>
      <c r="D30" s="40"/>
      <c r="E30" s="36">
        <v>5</v>
      </c>
      <c r="F30" s="28">
        <v>3.75</v>
      </c>
      <c r="G30" s="37">
        <f t="shared" si="0"/>
        <v>0.75</v>
      </c>
      <c r="H30" s="38" t="str">
        <f t="shared" si="1"/>
        <v>جيد</v>
      </c>
      <c r="I30" s="63"/>
      <c r="J30" s="64"/>
    </row>
    <row r="31" spans="1:10" ht="30" customHeight="1" thickBot="1" x14ac:dyDescent="0.35">
      <c r="A31" s="4"/>
      <c r="B31" s="81" t="s">
        <v>5</v>
      </c>
      <c r="C31" s="82"/>
      <c r="D31" s="82"/>
      <c r="E31" s="10">
        <f>SUM(E8:E30)</f>
        <v>105</v>
      </c>
      <c r="F31" s="10">
        <f>SUM(F8:F30)</f>
        <v>80.5</v>
      </c>
      <c r="G31" s="47"/>
      <c r="H31" s="48"/>
      <c r="I31" s="48"/>
      <c r="J31" s="49"/>
    </row>
    <row r="32" spans="1:10" ht="30" customHeight="1" thickBot="1" x14ac:dyDescent="0.35">
      <c r="A32" s="4"/>
      <c r="B32" s="81" t="s">
        <v>54</v>
      </c>
      <c r="C32" s="82"/>
      <c r="D32" s="82"/>
      <c r="E32" s="52">
        <f>F31/E31/100*100</f>
        <v>0.76666666666666672</v>
      </c>
      <c r="F32" s="52"/>
      <c r="G32" s="52"/>
      <c r="H32" s="52"/>
      <c r="I32" s="52"/>
      <c r="J32" s="53"/>
    </row>
    <row r="33" spans="1:10" ht="30" customHeight="1" thickBot="1" x14ac:dyDescent="0.35">
      <c r="A33" s="4"/>
      <c r="B33" s="81" t="s">
        <v>55</v>
      </c>
      <c r="C33" s="82"/>
      <c r="D33" s="82"/>
      <c r="E33" s="77" t="str">
        <f>_xlfn.IFS(E32&gt;=90%,"ممتاز",E32&gt;=80%,"جيد جداً",E32&gt;=70%,"جيد",E32&gt;=60%,"مقبول",E32&lt;60%,"راسب")</f>
        <v>جيد</v>
      </c>
      <c r="F33" s="77"/>
      <c r="G33" s="77"/>
      <c r="H33" s="77"/>
      <c r="I33" s="77"/>
      <c r="J33" s="78"/>
    </row>
    <row r="34" spans="1:10" ht="42" customHeight="1" x14ac:dyDescent="0.3">
      <c r="B34" s="73" t="s">
        <v>175</v>
      </c>
      <c r="C34" s="73"/>
      <c r="D34" s="73"/>
      <c r="E34" s="45" t="s">
        <v>52</v>
      </c>
      <c r="F34" s="45"/>
      <c r="G34" s="75" t="s">
        <v>136</v>
      </c>
      <c r="H34" s="75"/>
      <c r="I34" s="75"/>
      <c r="J34" s="75"/>
    </row>
    <row r="35" spans="1:10" ht="51" customHeight="1" x14ac:dyDescent="0.3">
      <c r="A35" s="5"/>
      <c r="B35" s="74"/>
      <c r="C35" s="74"/>
      <c r="D35" s="74"/>
      <c r="E35" s="46" t="s">
        <v>53</v>
      </c>
      <c r="F35" s="46"/>
      <c r="G35" s="76"/>
      <c r="H35" s="76"/>
      <c r="I35" s="76"/>
      <c r="J35" s="76"/>
    </row>
  </sheetData>
  <sheetProtection formatCells="0" formatColumns="0" formatRows="0" insertColumns="0" insertRows="0" insertHyperlinks="0" deleteColumns="0" deleteRows="0" selectLockedCells="1" sort="0" autoFilter="0" pivotTables="0"/>
  <mergeCells count="67">
    <mergeCell ref="B34:D35"/>
    <mergeCell ref="G34:J34"/>
    <mergeCell ref="G35:J35"/>
    <mergeCell ref="E33:J33"/>
    <mergeCell ref="I8:J8"/>
    <mergeCell ref="B31:D31"/>
    <mergeCell ref="B32:D32"/>
    <mergeCell ref="B33:D33"/>
    <mergeCell ref="I11:J11"/>
    <mergeCell ref="I12:J12"/>
    <mergeCell ref="I13:J13"/>
    <mergeCell ref="I14:J14"/>
    <mergeCell ref="I15:J15"/>
    <mergeCell ref="I16:J16"/>
    <mergeCell ref="I17:J17"/>
    <mergeCell ref="I18:J18"/>
    <mergeCell ref="B7:D7"/>
    <mergeCell ref="I30:J30"/>
    <mergeCell ref="E5:H5"/>
    <mergeCell ref="I5:J6"/>
    <mergeCell ref="I7:J7"/>
    <mergeCell ref="I10:J10"/>
    <mergeCell ref="I28:J28"/>
    <mergeCell ref="I29:J29"/>
    <mergeCell ref="I9:J9"/>
    <mergeCell ref="B22:D22"/>
    <mergeCell ref="B23:D23"/>
    <mergeCell ref="B24:D24"/>
    <mergeCell ref="B25:D25"/>
    <mergeCell ref="B8:D8"/>
    <mergeCell ref="B9:D9"/>
    <mergeCell ref="B10:D10"/>
    <mergeCell ref="B1:J1"/>
    <mergeCell ref="F2:J2"/>
    <mergeCell ref="B5:D6"/>
    <mergeCell ref="C2:D2"/>
    <mergeCell ref="C3:D3"/>
    <mergeCell ref="F3:J3"/>
    <mergeCell ref="E34:F34"/>
    <mergeCell ref="E35:F35"/>
    <mergeCell ref="G31:J31"/>
    <mergeCell ref="I19:J19"/>
    <mergeCell ref="I20:J20"/>
    <mergeCell ref="I21:J21"/>
    <mergeCell ref="I22:J22"/>
    <mergeCell ref="I23:J23"/>
    <mergeCell ref="I24:J24"/>
    <mergeCell ref="I25:J25"/>
    <mergeCell ref="I26:J26"/>
    <mergeCell ref="I27:J27"/>
    <mergeCell ref="E32:J32"/>
    <mergeCell ref="B11:D11"/>
    <mergeCell ref="B12:D12"/>
    <mergeCell ref="B13:D13"/>
    <mergeCell ref="B14:D14"/>
    <mergeCell ref="B15:D15"/>
    <mergeCell ref="B16:D16"/>
    <mergeCell ref="B17:D17"/>
    <mergeCell ref="B18:D18"/>
    <mergeCell ref="B19:D19"/>
    <mergeCell ref="B20:D20"/>
    <mergeCell ref="B30:D30"/>
    <mergeCell ref="B21:D21"/>
    <mergeCell ref="B26:D26"/>
    <mergeCell ref="B27:D27"/>
    <mergeCell ref="B28:D28"/>
    <mergeCell ref="B29:D29"/>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3">
    <cfRule type="expression" dxfId="14" priority="57">
      <formula>$E33="راسب"</formula>
    </cfRule>
  </conditionalFormatting>
  <conditionalFormatting sqref="E33:J33">
    <cfRule type="expression" dxfId="13" priority="58">
      <formula>$E33="مقبول"</formula>
    </cfRule>
    <cfRule type="expression" dxfId="12" priority="59">
      <formula>$E33="جيد"</formula>
    </cfRule>
    <cfRule type="expression" dxfId="11" priority="60">
      <formula>$E33="جيد جداً"</formula>
    </cfRule>
    <cfRule type="expression" dxfId="10" priority="61">
      <formula>$E33="ممتاز"</formula>
    </cfRule>
  </conditionalFormatting>
  <conditionalFormatting sqref="F8:F30">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4:J34">
    <cfRule type="containsText" dxfId="6" priority="15" operator="containsText" text="أدخل اسم المحكم">
      <formula>NOT(ISERROR(SEARCH("أدخل اسم المحكم",G34)))</formula>
    </cfRule>
  </conditionalFormatting>
  <conditionalFormatting sqref="H8:H30">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F8:F26 F28:F30</xm:sqref>
        </x14:dataValidation>
        <x14:dataValidation type="list" allowBlank="1" showInputMessage="1" showErrorMessage="1" xr:uid="{AE50457C-7424-4A4C-907B-8DC6AA09E7A3}">
          <x14:formula1>
            <xm:f>'بيانات التقييم'!$A$198:$A$285</xm:f>
          </x14:formula1>
          <xm:sqref>G34:J34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2025-10-24T19:41:54Z</dcterms:modified>
</cp:coreProperties>
</file>