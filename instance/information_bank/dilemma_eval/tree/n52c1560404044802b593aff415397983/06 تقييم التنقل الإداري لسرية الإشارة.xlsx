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662C12D-B284-417C-8738-63C99B33E6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/>
  <c r="G12" i="2"/>
  <c r="H12" i="2"/>
  <c r="G13" i="2"/>
  <c r="H13" i="2"/>
  <c r="G14" i="2"/>
  <c r="H14" i="2"/>
  <c r="G15" i="2"/>
  <c r="H15" i="2"/>
  <c r="G16" i="2"/>
  <c r="H16" i="2" s="1"/>
  <c r="G17" i="2"/>
  <c r="H17" i="2" s="1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 s="1"/>
  <c r="G27" i="2"/>
  <c r="H27" i="2" s="1"/>
  <c r="G28" i="2"/>
  <c r="H28" i="2" s="1"/>
  <c r="G29" i="2"/>
  <c r="H29" i="2"/>
  <c r="G31" i="2"/>
  <c r="H31" i="2"/>
  <c r="G32" i="2"/>
  <c r="H32" i="2"/>
  <c r="G34" i="2"/>
  <c r="H34" i="2" s="1"/>
  <c r="G35" i="2"/>
  <c r="H35" i="2"/>
  <c r="G36" i="2"/>
  <c r="H36" i="2" s="1"/>
  <c r="G37" i="2"/>
  <c r="H37" i="2" s="1"/>
  <c r="F38" i="2"/>
  <c r="E38" i="2"/>
  <c r="E39" i="2" l="1"/>
  <c r="E40" i="2" s="1"/>
</calcChain>
</file>

<file path=xl/sharedStrings.xml><?xml version="1.0" encoding="utf-8"?>
<sst xmlns="http://schemas.openxmlformats.org/spreadsheetml/2006/main" count="276" uniqueCount="211">
  <si>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</si>
  <si>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</si>
  <si>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</si>
  <si>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</si>
  <si>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</si>
  <si>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</si>
  <si>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</si>
  <si>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</si>
  <si>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</si>
  <si>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</si>
  <si>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</si>
  <si>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</si>
  <si>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</si>
  <si>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</si>
  <si>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</si>
  <si>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</si>
  <si>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</si>
  <si>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</si>
  <si>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</si>
  <si>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</si>
  <si>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</si>
  <si>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</si>
  <si>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</si>
  <si>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</si>
  <si>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</si>
  <si>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</si>
  <si>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</si>
  <si>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</si>
  <si>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</si>
  <si>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</si>
  <si>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</si>
  <si>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</si>
  <si>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</si>
  <si>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</si>
  <si>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</si>
  <si>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</si>
  <si>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</si>
  <si>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</si>
  <si>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</si>
  <si>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</si>
  <si>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</si>
  <si>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</si>
  <si>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</si>
  <si>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</si>
  <si>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</si>
  <si>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</si>
  <si>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</si>
  <si>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</si>
  <si>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</si>
  <si>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</si>
  <si>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</si>
  <si>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</si>
  <si>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</si>
  <si>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</si>
  <si>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</si>
  <si>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</si>
  <si>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</si>
  <si>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</si>
  <si>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</si>
  <si>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</si>
  <si>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</si>
  <si>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</si>
  <si>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</si>
  <si>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</si>
  <si>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</si>
  <si>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</si>
  <si>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</si>
  <si>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</si>
  <si>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</si>
  <si>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</si>
  <si>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</si>
  <si>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</si>
  <si>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</si>
  <si>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</si>
  <si>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</si>
  <si>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</si>
  <si>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</si>
  <si>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</si>
  <si>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</si>
  <si>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</si>
  <si>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</si>
  <si>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</si>
  <si>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</si>
  <si>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</si>
  <si>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</si>
  <si>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</si>
  <si>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</si>
  <si>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</si>
  <si>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</si>
  <si>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</si>
  <si>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</si>
  <si>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</si>
  <si>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</si>
  <si>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</si>
  <si>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</si>
  <si>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</si>
  <si>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</si>
  <si>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</si>
  <si>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</si>
  <si>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</si>
  <si>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</si>
  <si>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</si>
  <si>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</si>
  <si>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</si>
  <si>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</si>
  <si>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</si>
  <si>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</si>
  <si>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</si>
  <si>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</si>
  <si>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</si>
  <si>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</si>
  <si>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</si>
  <si>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</si>
  <si>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</si>
  <si>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</si>
  <si>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</si>
  <si>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</si>
  <si>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</si>
  <si>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</si>
  <si>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</si>
  <si>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</si>
  <si>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</si>
  <si>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</si>
  <si>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</si>
  <si>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</si>
  <si>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</si>
  <si>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</si>
  <si>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</si>
  <si>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</si>
  <si>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</si>
  <si>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</si>
  <si>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</si>
  <si>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</si>
  <si>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</si>
  <si>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</si>
  <si>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</si>
  <si>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</si>
  <si>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</si>
  <si>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</si>
  <si>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</si>
  <si>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</si>
  <si>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</si>
  <si>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</si>
  <si>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</si>
  <si>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</si>
  <si>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</si>
  <si>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</si>
  <si>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</si>
  <si>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</si>
  <si>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</si>
  <si>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</si>
  <si>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</si>
  <si>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</si>
  <si>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</si>
  <si>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</si>
  <si>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</si>
  <si>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</si>
  <si>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</si>
  <si>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</si>
  <si>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</si>
  <si>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</si>
  <si>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</si>
  <si>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</si>
  <si>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</si>
  <si>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</si>
  <si>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</si>
  <si>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</si>
  <si>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</si>
  <si>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</si>
  <si>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</si>
  <si>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</si>
  <si>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</si>
  <si>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</si>
  <si>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</si>
  <si>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</si>
  <si>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</si>
  <si>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</si>
  <si>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</si>
  <si>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</si>
  <si>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</si>
  <si>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التنقل الإداري لسرية الإشارة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</si>
  <si>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القافلة، وتشمل:</t>
    </r>
  </si>
  <si>
    <r>
      <t xml:space="preserve">أ. </t>
    </r>
    <r>
      <rPr>
        <sz val="12"/>
        <color rgb="FF000000"/>
        <rFont val="Arial"/>
        <family val="2"/>
      </rPr>
      <t xml:space="preserve">وجود </t>
    </r>
    <r>
      <rPr>
        <sz val="12"/>
        <color theme="1"/>
        <rFont val="Arial"/>
        <family val="2"/>
      </rPr>
      <t>الأمر / برقية إعطاء الموافقة بالتحرك من المستوى الأعلـى.</t>
    </r>
  </si>
  <si>
    <t>ب. وجود أمـر التنقل ودقة البيانات الواردة به.</t>
  </si>
  <si>
    <t>جـ. وجود جدول التنقل ودقة البيانات الواردة به.</t>
  </si>
  <si>
    <t>د. وجود يومية التحرك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</si>
  <si>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السيطرة).</t>
    </r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</si>
  <si>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التحرك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</si>
  <si>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جاهزيـة الضباط والأفــراد من حيث.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</si>
  <si>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وجود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</si>
  <si>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</si>
  <si>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الشـرطة العسكرية</t>
    </r>
    <r>
      <rPr>
        <b/>
        <sz val="12"/>
        <color theme="1"/>
        <rFont val="Arial"/>
        <family val="2"/>
      </rPr>
      <t>.</t>
    </r>
  </si>
  <si>
    <t>أ. وجود برقية إخطار الشرطة العسكرية بالتحرك صادرة من المستوى الأعلى.</t>
  </si>
  <si>
    <t>ب. التأكد من التنسيق مع الشرطة المدينة حول التحرك من قبل الشرطة العسكرية.</t>
  </si>
  <si>
    <t>جـ. التأكد من عدم السماح للسيارة المدينة بالدخول بين آليات القافلة العسكرية.</t>
  </si>
  <si>
    <t>د. التأكد من جاهزية الأفراد والآليات من حيث (عدد الأفراد / الآليات، التسليح، الاتصالات، اللباس).</t>
  </si>
  <si>
    <r>
      <t>8.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.</t>
    </r>
  </si>
  <si>
    <t>أ.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</si>
  <si>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الآلية، جدول التحميل / الركوب لكل آلية.</t>
  </si>
  <si>
    <t>جـ. مدى صلاحية وجاهزية الآليات من حيث (الوقود، المياه، الإطار الاحتياطي، غطاء التمويه مع الركائز).</t>
  </si>
  <si>
    <t>د. التأكد من عدم تحميل الآليات أكثر من حمولتها أو وضع حمولة غير مرتبة بحيث توحي بأنها محملة أكثر من حمولتها.</t>
  </si>
  <si>
    <t>هـ. التأكد من تحميل ثلث ذخيرة الخط الأول لجميع الأصناف في صناديق (أثناء التنقل لتنفيذ التمارين الخارجية) مع وجود سند صرف لاستلام الذخائر.</t>
  </si>
  <si>
    <t>و.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</si>
  <si>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عند تحميل أي ذخيرة في القافلة.</t>
    </r>
  </si>
  <si>
    <t>أ. وجود سيارة إطفاء والتأكد من جاهزيتها وصلاحيتها وكفاءة طاقمها.</t>
  </si>
  <si>
    <t>ب. وجود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</si>
  <si>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u/>
        <sz val="12"/>
        <color rgb="FF000000"/>
        <rFont val="Arial"/>
        <family val="2"/>
      </rPr>
      <t>الشؤون الإدارية</t>
    </r>
    <r>
      <rPr>
        <b/>
        <sz val="12"/>
        <color rgb="FF000000"/>
        <rFont val="Arial"/>
        <family val="2"/>
      </rPr>
      <t>.</t>
    </r>
  </si>
  <si>
    <t>أ. توفر الإعاشة أثناء التنقـل.</t>
  </si>
  <si>
    <t>ب. وجود سيارة إسعاف مع طبيب /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</si>
  <si>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</si>
  <si>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وجود آلية قطر احتياط لأليات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</si>
</sst>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sz val="12"/>
      <color theme="1"/>
      <name val="Arial"/>
      <family val="2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351203</xdr:colOff>
      <xdr:row>41</xdr:row>
      <xdr:rowOff>195803</xdr:rowOff>
    </xdr:from>
    <xdr:to>
      <xdr:col>6</xdr:col>
      <xdr:colOff>386123</xdr:colOff>
      <xdr:row>41</xdr:row>
      <xdr:rowOff>524843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325082C-E2B3-49FA-E314-8DD3A42FC3E5}"/>
                </a:ext>
              </a:extLst>
            </xdr14:cNvPr>
            <xdr14:cNvContentPartPr/>
          </xdr14:nvContentPartPr>
          <xdr14:nvPr macro=""/>
          <xdr14:xfrm>
            <a:off x="10400174967" y="20296440"/>
            <a:ext cx="34920" cy="3290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325082C-E2B3-49FA-E314-8DD3A42FC3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0168847" y="20290320"/>
              <a:ext cx="47160" cy="34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348323</xdr:colOff>
      <xdr:row>41</xdr:row>
      <xdr:rowOff>74123</xdr:rowOff>
    </xdr:from>
    <xdr:to>
      <xdr:col>6</xdr:col>
      <xdr:colOff>397283</xdr:colOff>
      <xdr:row>41</xdr:row>
      <xdr:rowOff>188603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AD86B2B-04CF-58EE-5864-25E1149FA120}"/>
                </a:ext>
              </a:extLst>
            </xdr14:cNvPr>
            <xdr14:cNvContentPartPr/>
          </xdr14:nvContentPartPr>
          <xdr14:nvPr macro=""/>
          <xdr14:xfrm>
            <a:off x="10400163807" y="20174760"/>
            <a:ext cx="48960" cy="1144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AD86B2B-04CF-58EE-5864-25E1149FA12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00157687" y="20168640"/>
              <a:ext cx="6120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455963</xdr:colOff>
      <xdr:row>41</xdr:row>
      <xdr:rowOff>299843</xdr:rowOff>
    </xdr:from>
    <xdr:to>
      <xdr:col>7</xdr:col>
      <xdr:colOff>507433</xdr:colOff>
      <xdr:row>41</xdr:row>
      <xdr:rowOff>491723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3A838D12-5C04-5CF3-B235-FFE12A3119DA}"/>
                </a:ext>
              </a:extLst>
            </xdr14:cNvPr>
            <xdr14:cNvContentPartPr/>
          </xdr14:nvContentPartPr>
          <xdr14:nvPr macro=""/>
          <xdr14:xfrm>
            <a:off x="10399395567" y="20400480"/>
            <a:ext cx="709560" cy="1918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3A838D12-5C04-5CF3-B235-FFE12A3119D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389447" y="20394360"/>
              <a:ext cx="72180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583753</xdr:colOff>
      <xdr:row>41</xdr:row>
      <xdr:rowOff>253763</xdr:rowOff>
    </xdr:from>
    <xdr:to>
      <xdr:col>7</xdr:col>
      <xdr:colOff>632713</xdr:colOff>
      <xdr:row>41</xdr:row>
      <xdr:rowOff>505403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3080B703-C08D-8A5D-EB4C-A2C6E7AD3789}"/>
                </a:ext>
              </a:extLst>
            </xdr14:cNvPr>
            <xdr14:cNvContentPartPr/>
          </xdr14:nvContentPartPr>
          <xdr14:nvPr macro=""/>
          <xdr14:xfrm>
            <a:off x="10399270287" y="20354400"/>
            <a:ext cx="48960" cy="2516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3080B703-C08D-8A5D-EB4C-A2C6E7AD378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9264167" y="20348280"/>
              <a:ext cx="6120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250763</xdr:colOff>
      <xdr:row>41</xdr:row>
      <xdr:rowOff>55763</xdr:rowOff>
    </xdr:from>
    <xdr:to>
      <xdr:col>9</xdr:col>
      <xdr:colOff>44092</xdr:colOff>
      <xdr:row>41</xdr:row>
      <xdr:rowOff>469763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F66AD1C2-C75B-97B7-F2B3-1F5481318B67}"/>
                </a:ext>
              </a:extLst>
            </xdr14:cNvPr>
            <xdr14:cNvContentPartPr/>
          </xdr14:nvContentPartPr>
          <xdr14:nvPr macro=""/>
          <xdr14:xfrm>
            <a:off x="10398542727" y="20156400"/>
            <a:ext cx="1767600" cy="4140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F66AD1C2-C75B-97B7-F2B3-1F5481318B6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536607" y="20150280"/>
              <a:ext cx="1779840" cy="426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24:53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42 1280,'0'0'0,"0"0"0,0-4 1192,0-2-200,0-5-248,0 7-255,0 4-489,0-5 232,0 2-88,-2 1-32,-1 0-24,3 2-88,0-1 80,-2-1 16,2 1-16,0 1 24,0 0-104,0 0 120,0 0-32,-2 0 16,2 0 8,0 0-112,0 0 136,0 0 16,0 0 32,0 3 24,0-3-208,0 4 208,0 7 32,4-6 16,-1 10 8,-3-15-264,2 15 296,3 2 56,-2 3 72,1 4 144,-4-24-568,3 27 593,11 3 15,-11 1-40,1 4-160,-4-35-408,3 37 336,2 5-96,7 0-80,-8 4-80,-4-46-80,3 44 24,2 1 0,4 1-32,-9-4-8,0-42 16,5 42-40,-3-1-24,-2-3-8,3-2-64,-3-36 136,0 31-296,0-3-248,0-2-328,0-5-345,0-21 1217,0 19-1472,0-4 192,-3-10 344,-1 9 336,4-14 600,-3 3-593,-2 10-2287,5-13 2880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24:54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18 1704,'0'0'0,"0"-2"1240,0 1-512,0 1-728,0-2 496,5 0-192,-5-1-71,0 1-73,0 2-160,0-1 120,5-1-16,-5 1-40,0 1-8,0 0-56,0-1 40,0 1 0,0 0 0,0 0-8,0 0-32,0 0 32,0 0-16,-3 0-8,1 0 0,2 0-8,0 0 0,-5 4-16,0 7 16,0-6-8,5-5 8,-12 12-8,8-7 24,-11 9-24,13-10 16,2-4-8,-5 16-32,-2-5 8,4 0-48,-2-6 56,5-5 16,-4 15-8,1-10 0,1 7 56,2-7-56,0-5 8,-3 11-8,3-8-16,0 8 32,0-8 8,0-3-16,5 4 40,-2 1 8,1 6-40,1-8-8,-5-3 0,15 3-32,-13 0 16,10-1 24,-7 3 0,-5-5-8,14 2 8,-11 1-16,11 0 0,-9-3-8,-5 0 16,14 0-8,-11 3 0,-1-3-48,10 0 40,-12 0 16,5 0 0,0 3 0,-3-3 48,3 3-56,-5-3 8,0 0 8,0 3-16,0-3 8,0 2 0,0 1 24,-2 1-16,-3 1 24,5-5-32,-3 3 8,-4-1-24,5 3 24,-3-1-16,5-4 8,-5 4 0,0 0 16,1 8-32,-1-12 24,5 0-8,-5 4 0,0-1-32,3 0 8,-3 1-8,5-4 32,-7 3 0,-5 1 0,9 0 0,-9-1 0,12-3 0,-5 5-56,-9-1-16,9 0-120,-4 0-697,9-4 889,-8 5-3048,8-5 3048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24:55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1852 47 2784,'0'0'0,"13"-11"1856,-7 5-1567,-6 6-289,14-14 192,-14 11 96,0-1 96,0 0 24,0 4-408,0-2 328,-7 1-96,2 0-104,-6 1-72,11 0-56,-5 0 96,-12 2-48,6 3-24,-3 7 16,14-12-40,-12 5 0,-1 7 16,-2-7-24,3 9 0,12-14 8,-11 11 16,4-6-32,-3 10 32,8-3-24,2-12 8,-3 4-8,1 11 32,2-10 8,0 9-8,0-14-24,5 3 40,7 8 16,-10-8-16,3 1 16,-5-4-56,16 5 48,-4-1 0,0-1 8,-1 0-48,-11-3-8,12 0 16,0 0-48,1 0-56,2 0-8,-15 0 96,11 0-144,1 0 8,-2 0 8,2-2 40,-12 2 88,3-1-88,9 1 0,-9 0-16,-3 0-40,0 0 144,0 0-160,0 3 56,-10 1 32,-1 10 48,11-14 24,-17 4 32,-1 13 16,-8-4 0,-2 1-16,28-14-32,-30 15 48,-3 0-40,-2-1 8,0-1 0,35-13-16,-35 11 0,6-7 8,1 12-32,5-13 32,23-3-8,-23 11 0,4-8 0,0 1-8,7 1 16,12-5-8,-12 2 8,1 1 0,-1-3 40,7 0-32,5 0-16,-4 0 40,-8 0 24,12 0-40,-2 0 16,2 0-40,-2 0 40,-3-1-8,0-1 0,3 0-40,2 2 8,-5-3 32,0 0-48,5 0-32,-7 2 16,7 1 32,-14-2-96,10 1 40,-11 1 8,2 0-8,13 0 56,-17 3 0,-4 1-16,-3 10 56,-1-11 0,25-3-40,-23 14 0,-8-10 32,3 14-8,0-7-48,28-11 24,-31 13 16,6-2-16,-1-7 0,2 11 40,24-15-40,-20 2 8,-2 3-16,9 6 16,-6-11 8,19 0-16,-15 3 40,4-3-24,-1 0 48,10 0-16,2 0-48,-8 0 72,5 0 40,-2-2-32,0 0 0,5 2-80,-2-5 56,-1 3-40,-2-3-8,3 1-8,2 4 0,-5-4-32,-6-1 0,6 1-24,-7 0-8,12 4 64,-5-4-48,-13 2-16,4 1-8,-1 1 8,15 0 64,-20 0 16,-1 4-24,-1 0 32,2 9-24,20-13 0,-19 3 0,-2 1 8,2 9-8,0-10 0,19-3 0,-19 4-24,6 8-24,-2-12 48,4 4 48,11-4-48,-12 3 16,0-3 0,0 2 8,8-2 8,4 0-32,-12 0 0,5-1 32,-5-3 0,8 0-48,4 4 16,-14-5 64,9-6 8,-5 7-32,6-1-24,4 5-16,-4-11 40,-6 7-16,5-8-16,1 8 32,4 4-40,-10-13 8,6 9-8,-8-2-8,10 2 40,2 4-32,-5-4-40,-7 2-80,7 2 80,-8 0 0,13 0 40,-5 0-40,-13 12 88,3-9-64,1 8 8,14-11 8,-11 4 24,-1 9-24,-3-9 8,2 9-80,13-13 72,-15 3-32,3 10 16,-1-10 32,1 8 0,12-11-16,-12 3 24,-2 1-16,2 0 8,1 1 48,11-5-64,-19 2 16,5 1-80,-2 0 32,-3 0 0,19-3 32,-14 0-56,-5 3-16,3 0-72,-1-1-480,17-2 624,-16 3-608,2-3 72,2 3-25,1-3-703,11 0 1264,-12 0-2480,12 0 2480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24:56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29 123 3920,'0'0'0,"0"-13"664,-2 0-463,-1-1-97,1 1-32,2 13-72,-3-5 136,-1-11 120,1 10 120,-2-8 104,5 14-480,-2-4 544,-3-9-8,5 10 8,0-1-24,0 4-520,0-3 384,0 2-144,0 1-144,0 0-128,0 0 32,0 2-32,3 3 32,1 10 56,1 0 48,-5-15-104,3 17 128,6 2 1,-4 6-1,7 0 0,-12-25-128,2 29 128,10 2 40,-7 0-8,10 5-16,-15-36-144,5 37 152,9 1-64,-9 0-40,9 1-48,-14-39 0,5 35-8,-3 1-56,3-2-72,0-1-56,-5-33 192,2 30-416,1-2-425,-3-2-447,0-5 0,0-21 1288,0 21-1056,0-5 367,0-5 129,0-6-1824,0-5 2384,0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5:24:57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1664 623 4793,'0'0'0,"-4"-4"240,4 4-240,-9-4 240,2-1-32,4 4-72,3 1-40,0 0-96,-2 0 40,2 4 48,0 9 56,0-9 40,0-4-184,0 17 248,0-4 0,2 1 32,10 2 32,-12-16-312,3 16 320,10 1-8,-8 1-24,10 1-40,-15-19-248,3 21 216,7 0-56,-10 2-8,5-2-24,-5-21-128,5 22 80,-1-3-8,-4 1 8,0-1-23,0-19-57,-4 18 72,-8-2-8,9-2-8,-13-2 40,16-12-96,-17 4 120,-1 11-8,-2-10-24,-6 6-40,26-11-48,-29 3 48,-1 1 8,-4 0-16,-4 1 8,38-5-48,-39 3 48,-5-3-24,-1 0 0,4-3 32,41 3-56,-38-6 40,1-5 32,9 5 8,0-10-8,28 16-72,-23-12 80,-1-4-8,1-3 24,0 0-16,23 19-80,-23-22 96,6-1-8,1-2 0,-1-1-24,17 26-64,-11-27 56,7-3-8,-11 2-24,9-2 24,6 30-48,-3-30 32,-1 0 8,4-1-40,0 1-16,0 30 16,13-31 0,-1 1-16,5 3 16,4 0 0,-21 27 0,20-24-8,8 1 16,-2 1-8,6 2 0,-32 20 0,31-19-8,1 2 0,8 0 0,1-1 8,-41 18 0,47-19 8,2-1 0,2 3 0,3-1-24,-54 18 16,58-17 0,3 0 0,4-2 48,4-2 24,-69 21-72,75-20 48,4-2 8,-2 5-40,5 0-8,-82 17-8,88-18-8,3 1 8,2 1 8,4 3-8,-97 13 0,96-5-8,4-8 16,4 9-16,2-1 16,-106 5-8,102-4 24,3 0-32,-3 2-8,-2 2 16,-100 0 0,103 0 0,-8 3-32,0 0-16,-2 9-64,-93-12 112,91 2-112,-5 10 8,3-8-32,-7 12 16,-82-16 120,81 4-168,-7 13 8,-4-6-24,-5 1-24,-65-12 208,63 11-200,-7 0 0,-3 1 16,-6-1 32,-47-11 152,37 4-112,-2 12 8,0-12 23,-7 12 17,-28-16 64,28 4-72,-5 9 40,-4-10-16,-1 10 16,-18-13 32,15 4-56,-2 9 0,2-9-48,-11 7-40,-4-11 144,11 5-152,-11 6-56,3-7 24,-3 8-8,0-12 192,0 4-184,0 9 80,-3-9-16,-1 12 64,4-16 56,-7 11-32,3 0-32,-1 1 56,0-1 0,5-11 8,-12 11-8,10 2-8,-5-1 0,-5 0 8,12-12 8,-2 13-16,-3 0 0,-6 0 8,6-2-8,5-11 16,-12 12-8,10-1 8,-3-7 0,-8 9-16,13-13 16,-3 4 0,-11 8-24,3-10 40,-4 11-32,15-13 16,-15 5-16,-2 7 0,-4-7-16,-2 7 48,23-12-16,-23 5 16,-7-1 16,-3 9-32,-2-10 24,35-3-24,-40 4 40,1 0-8,-6 9-16,-1-10 40,46-3-56,-52 11 40,-1-8 0,-5 8 0,0-8-32,58-3-8,-68 12 24,3-10-16,-9 10 56,1-9-24,73-3-40,-81 11 8,-3-8 0,-4 1-24,0 0 16,88-4 0,-91 12-72,-10-9 64,0-1 8,-5-2-16,106 0 16,-109 3 0,-1 0 16,-1-3-8,-3 3 88,114-3-96,-114 0 184,-7 3-16,2 0 64,1-1 48,118-2-280,-119 3 384,5 0 65,-2 1-25,3 1-72,113-5-352,-114 12 224,1-7-72,-4 10-64,1-3-80,116-12-8,-119 4 16,3 10-32,-1-11 16,8 1 8,109-4-8,-104 12 32,3-12-16,15 0 40,7 3-64,79-3 8,-70 0-40,12 0 16,11 0 0,6 0 40,41 0-16,-33 0-40,5-2 16,9 1-88,8 1-32,11 0 144,-5 0-424,3 0-449,2 0-383,2 0-32,-2 0 1288,14 0-984,5 0 328,4 0-41,0 12-1871,-23-12 2568,0 0 0</inkml:trace>
  <inkml:trace contextRef="#ctx0" brushRef="#br0" timeOffset="1">917 1149 8169,'0'0'0,"0"0"0,-20-17 944,-3 1 33,-3 1-233,-4 10-352,30 5-392,-26-4 184,2 0-64,-6 1 0,2 2-56,28 1-64,-30 0 32,2 0-80,3 2-32,-3 10-112,28-12 192,-21 4-688,0 10-1233,7-11-135,-5 10-3065,19-13 5121,0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D34" zoomScale="130" zoomScaleNormal="100" zoomScaleSheetLayoutView="130" workbookViewId="0">
      <selection activeCell="F20" sqref="F20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11" t="s">
        <v>8</v>
      </c>
      <c r="C2" s="71" t="s">
        <v>44</v>
      </c>
      <c r="D2" s="71"/>
      <c r="E2" s="11" t="s">
        <v>7</v>
      </c>
      <c r="F2" s="66">
        <v>45929</v>
      </c>
      <c r="G2" s="66"/>
      <c r="H2" s="66"/>
      <c r="I2" s="66"/>
      <c r="J2" s="66"/>
    </row>
    <row r="3" spans="1:10" ht="30" customHeight="1" x14ac:dyDescent="0.3">
      <c r="B3" s="11" t="s">
        <v>9</v>
      </c>
      <c r="C3" s="71" t="s">
        <v>85</v>
      </c>
      <c r="D3" s="71"/>
      <c r="E3" s="11" t="s">
        <v>6</v>
      </c>
      <c r="F3" s="71" t="s">
        <v>122</v>
      </c>
      <c r="G3" s="71"/>
      <c r="H3" s="71"/>
      <c r="I3" s="71"/>
      <c r="J3" s="71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9"/>
      <c r="B5" s="67" t="s">
        <v>0</v>
      </c>
      <c r="C5" s="68"/>
      <c r="D5" s="68"/>
      <c r="E5" s="53" t="s">
        <v>1</v>
      </c>
      <c r="F5" s="53"/>
      <c r="G5" s="53"/>
      <c r="H5" s="53"/>
      <c r="I5" s="53" t="s">
        <v>2</v>
      </c>
      <c r="J5" s="54"/>
    </row>
    <row r="6" spans="1:10" ht="24.9" customHeight="1" thickBot="1" x14ac:dyDescent="0.35">
      <c r="A6" s="9"/>
      <c r="B6" s="69"/>
      <c r="C6" s="70"/>
      <c r="D6" s="70"/>
      <c r="E6" s="10" t="s">
        <v>3</v>
      </c>
      <c r="F6" s="10" t="s">
        <v>4</v>
      </c>
      <c r="G6" s="10" t="s">
        <v>23</v>
      </c>
      <c r="H6" s="10" t="s">
        <v>24</v>
      </c>
      <c r="I6" s="55"/>
      <c r="J6" s="56"/>
    </row>
    <row r="7" spans="1:10" ht="24.9" customHeight="1" thickBot="1" x14ac:dyDescent="0.35">
      <c r="A7" s="9"/>
      <c r="B7" s="74" t="s">
        <v>21</v>
      </c>
      <c r="C7" s="75"/>
      <c r="D7" s="75"/>
      <c r="E7" s="28" t="s">
        <v>18</v>
      </c>
      <c r="F7" s="28" t="s">
        <v>19</v>
      </c>
      <c r="G7" s="28" t="s">
        <v>22</v>
      </c>
      <c r="H7" s="28" t="s">
        <v>20</v>
      </c>
      <c r="I7" s="57" t="s">
        <v>25</v>
      </c>
      <c r="J7" s="58"/>
    </row>
    <row r="8" spans="1:10" ht="39.9" customHeight="1" x14ac:dyDescent="0.3">
      <c r="A8" s="9"/>
      <c r="B8" s="90" t="s">
        <v>181</v>
      </c>
      <c r="C8" s="91"/>
      <c r="D8" s="91"/>
      <c r="E8" s="33"/>
      <c r="F8" s="34"/>
      <c r="G8" s="35"/>
      <c r="H8" s="36"/>
      <c r="I8" s="51"/>
      <c r="J8" s="52"/>
    </row>
    <row r="9" spans="1:10" ht="39.9" customHeight="1" x14ac:dyDescent="0.3">
      <c r="A9" s="9"/>
      <c r="B9" s="84" t="s">
        <v>182</v>
      </c>
      <c r="C9" s="85"/>
      <c r="D9" s="85"/>
      <c r="E9" s="32">
        <v>5</v>
      </c>
      <c r="F9" s="25">
        <v>3.75</v>
      </c>
      <c r="G9" s="30">
        <f>IFERROR(F9/E9,"")</f>
        <v>0.75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9"/>
      <c r="J9" s="50"/>
    </row>
    <row r="10" spans="1:10" ht="39.9" customHeight="1" x14ac:dyDescent="0.3">
      <c r="A10" s="9"/>
      <c r="B10" s="84" t="s">
        <v>183</v>
      </c>
      <c r="C10" s="85"/>
      <c r="D10" s="85"/>
      <c r="E10" s="32">
        <v>5</v>
      </c>
      <c r="F10" s="25">
        <v>3.75</v>
      </c>
      <c r="G10" s="30">
        <f t="shared" ref="G10:G37" si="0">IFERROR(F10/E10,"")</f>
        <v>0.75</v>
      </c>
      <c r="H10" s="31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39.9" customHeight="1" x14ac:dyDescent="0.3">
      <c r="A11" s="9"/>
      <c r="B11" s="84" t="s">
        <v>184</v>
      </c>
      <c r="C11" s="85"/>
      <c r="D11" s="85"/>
      <c r="E11" s="32">
        <v>5</v>
      </c>
      <c r="F11" s="25">
        <v>3.75</v>
      </c>
      <c r="G11" s="30">
        <f t="shared" si="0"/>
        <v>0.75</v>
      </c>
      <c r="H11" s="31" t="str">
        <f t="shared" si="1"/>
        <v>جيد</v>
      </c>
      <c r="I11" s="49"/>
      <c r="J11" s="50"/>
    </row>
    <row r="12" spans="1:10" ht="39.9" customHeight="1" thickBot="1" x14ac:dyDescent="0.35">
      <c r="A12" s="9"/>
      <c r="B12" s="92" t="s">
        <v>185</v>
      </c>
      <c r="C12" s="93"/>
      <c r="D12" s="93"/>
      <c r="E12" s="37">
        <v>5</v>
      </c>
      <c r="F12" s="27">
        <v>4</v>
      </c>
      <c r="G12" s="38">
        <f t="shared" si="0"/>
        <v>0.8</v>
      </c>
      <c r="H12" s="39" t="str">
        <f t="shared" si="1"/>
        <v>جيد جداً</v>
      </c>
      <c r="I12" s="76"/>
      <c r="J12" s="77"/>
    </row>
    <row r="13" spans="1:10" ht="39.9" customHeight="1" thickBot="1" x14ac:dyDescent="0.35">
      <c r="A13" s="9"/>
      <c r="B13" s="88" t="s">
        <v>186</v>
      </c>
      <c r="C13" s="89"/>
      <c r="D13" s="89"/>
      <c r="E13" s="40">
        <v>5</v>
      </c>
      <c r="F13" s="41">
        <v>3.75</v>
      </c>
      <c r="G13" s="42">
        <f t="shared" si="0"/>
        <v>0.75</v>
      </c>
      <c r="H13" s="26" t="str">
        <f t="shared" si="1"/>
        <v>جيد</v>
      </c>
      <c r="I13" s="80"/>
      <c r="J13" s="81"/>
    </row>
    <row r="14" spans="1:10" ht="54.75" customHeight="1" thickBot="1" x14ac:dyDescent="0.35">
      <c r="A14" s="9"/>
      <c r="B14" s="88" t="s">
        <v>187</v>
      </c>
      <c r="C14" s="89"/>
      <c r="D14" s="89"/>
      <c r="E14" s="40">
        <v>5</v>
      </c>
      <c r="F14" s="41">
        <v>3.75</v>
      </c>
      <c r="G14" s="42">
        <f t="shared" si="0"/>
        <v>0.75</v>
      </c>
      <c r="H14" s="26" t="str">
        <f t="shared" si="1"/>
        <v>جيد</v>
      </c>
      <c r="I14" s="80"/>
      <c r="J14" s="81"/>
    </row>
    <row r="15" spans="1:10" ht="54.75" customHeight="1" thickBot="1" x14ac:dyDescent="0.35">
      <c r="A15" s="9"/>
      <c r="B15" s="88" t="s">
        <v>188</v>
      </c>
      <c r="C15" s="89"/>
      <c r="D15" s="89"/>
      <c r="E15" s="40">
        <v>5</v>
      </c>
      <c r="F15" s="41">
        <v>4</v>
      </c>
      <c r="G15" s="42">
        <f t="shared" si="0"/>
        <v>0.8</v>
      </c>
      <c r="H15" s="26" t="str">
        <f t="shared" si="1"/>
        <v>جيد جداً</v>
      </c>
      <c r="I15" s="80"/>
      <c r="J15" s="81"/>
    </row>
    <row r="16" spans="1:10" ht="39.9" customHeight="1" thickBot="1" x14ac:dyDescent="0.35">
      <c r="A16" s="9"/>
      <c r="B16" s="88" t="s">
        <v>189</v>
      </c>
      <c r="C16" s="89"/>
      <c r="D16" s="89"/>
      <c r="E16" s="40">
        <v>5</v>
      </c>
      <c r="F16" s="41">
        <v>3.75</v>
      </c>
      <c r="G16" s="42">
        <f t="shared" si="0"/>
        <v>0.75</v>
      </c>
      <c r="H16" s="26" t="str">
        <f t="shared" si="1"/>
        <v>جيد</v>
      </c>
      <c r="I16" s="80"/>
      <c r="J16" s="81"/>
    </row>
    <row r="17" spans="1:10" ht="39.9" customHeight="1" thickBot="1" x14ac:dyDescent="0.35">
      <c r="A17" s="9"/>
      <c r="B17" s="88" t="s">
        <v>190</v>
      </c>
      <c r="C17" s="89"/>
      <c r="D17" s="89"/>
      <c r="E17" s="40">
        <v>5</v>
      </c>
      <c r="F17" s="41">
        <v>3.5</v>
      </c>
      <c r="G17" s="42">
        <f t="shared" si="0"/>
        <v>0.7</v>
      </c>
      <c r="H17" s="26" t="str">
        <f t="shared" si="1"/>
        <v>جيد</v>
      </c>
      <c r="I17" s="80"/>
      <c r="J17" s="81"/>
    </row>
    <row r="18" spans="1:10" ht="39.9" customHeight="1" x14ac:dyDescent="0.3">
      <c r="A18" s="9"/>
      <c r="B18" s="82" t="s">
        <v>191</v>
      </c>
      <c r="C18" s="83"/>
      <c r="D18" s="83"/>
      <c r="E18" s="43"/>
      <c r="F18" s="34"/>
      <c r="G18" s="35"/>
      <c r="H18" s="36"/>
      <c r="I18" s="51"/>
      <c r="J18" s="52"/>
    </row>
    <row r="19" spans="1:10" ht="39.9" customHeight="1" x14ac:dyDescent="0.3">
      <c r="A19" s="9"/>
      <c r="B19" s="84" t="s">
        <v>192</v>
      </c>
      <c r="C19" s="85"/>
      <c r="D19" s="85"/>
      <c r="E19" s="32">
        <v>5</v>
      </c>
      <c r="F19" s="25">
        <v>4</v>
      </c>
      <c r="G19" s="30">
        <f t="shared" si="0"/>
        <v>0.8</v>
      </c>
      <c r="H19" s="31" t="str">
        <f t="shared" si="1"/>
        <v>جيد جداً</v>
      </c>
      <c r="I19" s="49"/>
      <c r="J19" s="50"/>
    </row>
    <row r="20" spans="1:10" ht="39.9" customHeight="1" x14ac:dyDescent="0.3">
      <c r="A20" s="9"/>
      <c r="B20" s="84" t="s">
        <v>193</v>
      </c>
      <c r="C20" s="85"/>
      <c r="D20" s="85"/>
      <c r="E20" s="32">
        <v>5</v>
      </c>
      <c r="F20" s="25">
        <v>3.75</v>
      </c>
      <c r="G20" s="30">
        <f t="shared" si="0"/>
        <v>0.75</v>
      </c>
      <c r="H20" s="31" t="str">
        <f t="shared" si="1"/>
        <v>جيد</v>
      </c>
      <c r="I20" s="49"/>
      <c r="J20" s="50"/>
    </row>
    <row r="21" spans="1:10" ht="39.9" customHeight="1" x14ac:dyDescent="0.3">
      <c r="A21" s="9"/>
      <c r="B21" s="84" t="s">
        <v>194</v>
      </c>
      <c r="C21" s="85"/>
      <c r="D21" s="85"/>
      <c r="E21" s="32">
        <v>5</v>
      </c>
      <c r="F21" s="25">
        <v>4</v>
      </c>
      <c r="G21" s="30">
        <f t="shared" si="0"/>
        <v>0.8</v>
      </c>
      <c r="H21" s="31" t="str">
        <f t="shared" si="1"/>
        <v>جيد جداً</v>
      </c>
      <c r="I21" s="49"/>
      <c r="J21" s="50"/>
    </row>
    <row r="22" spans="1:10" ht="39.9" customHeight="1" thickBot="1" x14ac:dyDescent="0.35">
      <c r="A22" s="9"/>
      <c r="B22" s="92" t="s">
        <v>195</v>
      </c>
      <c r="C22" s="93"/>
      <c r="D22" s="93"/>
      <c r="E22" s="37">
        <v>5</v>
      </c>
      <c r="F22" s="27">
        <v>3.75</v>
      </c>
      <c r="G22" s="38">
        <f t="shared" si="0"/>
        <v>0.75</v>
      </c>
      <c r="H22" s="39" t="str">
        <f t="shared" si="1"/>
        <v>جيد</v>
      </c>
      <c r="I22" s="76"/>
      <c r="J22" s="77"/>
    </row>
    <row r="23" spans="1:10" ht="39.9" customHeight="1" x14ac:dyDescent="0.3">
      <c r="A23" s="9"/>
      <c r="B23" s="82" t="s">
        <v>196</v>
      </c>
      <c r="C23" s="83"/>
      <c r="D23" s="83"/>
      <c r="E23" s="43"/>
      <c r="F23" s="34"/>
      <c r="G23" s="35"/>
      <c r="H23" s="36"/>
      <c r="I23" s="51"/>
      <c r="J23" s="52"/>
    </row>
    <row r="24" spans="1:10" ht="51" customHeight="1" x14ac:dyDescent="0.3">
      <c r="A24" s="9"/>
      <c r="B24" s="84" t="s">
        <v>197</v>
      </c>
      <c r="C24" s="85"/>
      <c r="D24" s="85"/>
      <c r="E24" s="32">
        <v>5</v>
      </c>
      <c r="F24" s="25">
        <v>3.75</v>
      </c>
      <c r="G24" s="30">
        <f t="shared" si="0"/>
        <v>0.75</v>
      </c>
      <c r="H24" s="31" t="str">
        <f t="shared" si="1"/>
        <v>جيد</v>
      </c>
      <c r="I24" s="49"/>
      <c r="J24" s="50"/>
    </row>
    <row r="25" spans="1:10" ht="39.9" customHeight="1" x14ac:dyDescent="0.3">
      <c r="A25" s="9"/>
      <c r="B25" s="84" t="s">
        <v>198</v>
      </c>
      <c r="C25" s="85"/>
      <c r="D25" s="85"/>
      <c r="E25" s="32">
        <v>5</v>
      </c>
      <c r="F25" s="25">
        <v>4</v>
      </c>
      <c r="G25" s="30">
        <f t="shared" si="0"/>
        <v>0.8</v>
      </c>
      <c r="H25" s="31" t="str">
        <f t="shared" si="1"/>
        <v>جيد جداً</v>
      </c>
      <c r="I25" s="49"/>
      <c r="J25" s="50"/>
    </row>
    <row r="26" spans="1:10" ht="39.9" customHeight="1" x14ac:dyDescent="0.3">
      <c r="A26" s="9"/>
      <c r="B26" s="84" t="s">
        <v>199</v>
      </c>
      <c r="C26" s="85"/>
      <c r="D26" s="85"/>
      <c r="E26" s="32">
        <v>0</v>
      </c>
      <c r="F26" s="25" t="s">
        <v>17</v>
      </c>
      <c r="G26" s="30" t="str">
        <f t="shared" si="0"/>
        <v/>
      </c>
      <c r="H26" s="31" t="str">
        <f t="shared" si="1"/>
        <v>تم الإلغاء</v>
      </c>
      <c r="I26" s="49"/>
      <c r="J26" s="50"/>
    </row>
    <row r="27" spans="1:10" ht="39.9" customHeight="1" x14ac:dyDescent="0.3">
      <c r="A27" s="9"/>
      <c r="B27" s="84" t="s">
        <v>200</v>
      </c>
      <c r="C27" s="85"/>
      <c r="D27" s="85"/>
      <c r="E27" s="32">
        <v>0</v>
      </c>
      <c r="F27" s="25" t="s">
        <v>17</v>
      </c>
      <c r="G27" s="30" t="str">
        <f t="shared" si="0"/>
        <v/>
      </c>
      <c r="H27" s="31" t="str">
        <f t="shared" si="1"/>
        <v>تم الإلغاء</v>
      </c>
      <c r="I27" s="49"/>
      <c r="J27" s="50"/>
    </row>
    <row r="28" spans="1:10" ht="39.9" customHeight="1" x14ac:dyDescent="0.3">
      <c r="A28" s="9"/>
      <c r="B28" s="84" t="s">
        <v>201</v>
      </c>
      <c r="C28" s="85"/>
      <c r="D28" s="85"/>
      <c r="E28" s="32">
        <v>0</v>
      </c>
      <c r="F28" s="25" t="s">
        <v>17</v>
      </c>
      <c r="G28" s="30" t="str">
        <f t="shared" si="0"/>
        <v/>
      </c>
      <c r="H28" s="31" t="str">
        <f t="shared" si="1"/>
        <v>تم الإلغاء</v>
      </c>
      <c r="I28" s="49"/>
      <c r="J28" s="50"/>
    </row>
    <row r="29" spans="1:10" ht="39.9" customHeight="1" thickBot="1" x14ac:dyDescent="0.35">
      <c r="A29" s="9"/>
      <c r="B29" s="92" t="s">
        <v>202</v>
      </c>
      <c r="C29" s="93"/>
      <c r="D29" s="93"/>
      <c r="E29" s="37">
        <v>0</v>
      </c>
      <c r="F29" s="27" t="s">
        <v>17</v>
      </c>
      <c r="G29" s="38" t="str">
        <f t="shared" si="0"/>
        <v/>
      </c>
      <c r="H29" s="39" t="str">
        <f t="shared" si="1"/>
        <v>تم الإلغاء</v>
      </c>
      <c r="I29" s="76"/>
      <c r="J29" s="77"/>
    </row>
    <row r="30" spans="1:10" ht="39.9" customHeight="1" x14ac:dyDescent="0.3">
      <c r="A30" s="9"/>
      <c r="B30" s="82" t="s">
        <v>203</v>
      </c>
      <c r="C30" s="83"/>
      <c r="D30" s="83"/>
      <c r="E30" s="43"/>
      <c r="F30" s="34"/>
      <c r="G30" s="35"/>
      <c r="H30" s="36"/>
      <c r="I30" s="51"/>
      <c r="J30" s="52"/>
    </row>
    <row r="31" spans="1:10" ht="39.9" customHeight="1" x14ac:dyDescent="0.3">
      <c r="A31" s="9"/>
      <c r="B31" s="84" t="s">
        <v>204</v>
      </c>
      <c r="C31" s="85"/>
      <c r="D31" s="85"/>
      <c r="E31" s="32">
        <v>0</v>
      </c>
      <c r="F31" s="25" t="s">
        <v>17</v>
      </c>
      <c r="G31" s="30" t="str">
        <f t="shared" si="0"/>
        <v/>
      </c>
      <c r="H31" s="31" t="str">
        <f t="shared" si="1"/>
        <v>تم الإلغاء</v>
      </c>
      <c r="I31" s="49"/>
      <c r="J31" s="50"/>
    </row>
    <row r="32" spans="1:10" ht="39.9" customHeight="1" thickBot="1" x14ac:dyDescent="0.35">
      <c r="A32" s="9"/>
      <c r="B32" s="92" t="s">
        <v>205</v>
      </c>
      <c r="C32" s="93"/>
      <c r="D32" s="93"/>
      <c r="E32" s="37">
        <v>0</v>
      </c>
      <c r="F32" s="27" t="s">
        <v>17</v>
      </c>
      <c r="G32" s="38" t="str">
        <f t="shared" si="0"/>
        <v/>
      </c>
      <c r="H32" s="39" t="str">
        <f t="shared" si="1"/>
        <v>تم الإلغاء</v>
      </c>
      <c r="I32" s="76"/>
      <c r="J32" s="77"/>
    </row>
    <row r="33" spans="1:10" ht="39.9" customHeight="1" x14ac:dyDescent="0.3">
      <c r="A33" s="9"/>
      <c r="B33" s="90" t="s">
        <v>206</v>
      </c>
      <c r="C33" s="91"/>
      <c r="D33" s="91"/>
      <c r="E33" s="43"/>
      <c r="F33" s="34"/>
      <c r="G33" s="35"/>
      <c r="H33" s="36"/>
      <c r="I33" s="51"/>
      <c r="J33" s="52"/>
    </row>
    <row r="34" spans="1:10" ht="39.9" customHeight="1" x14ac:dyDescent="0.3">
      <c r="A34" s="9"/>
      <c r="B34" s="84" t="s">
        <v>207</v>
      </c>
      <c r="C34" s="85"/>
      <c r="D34" s="85"/>
      <c r="E34" s="32">
        <v>0</v>
      </c>
      <c r="F34" s="25" t="s">
        <v>17</v>
      </c>
      <c r="G34" s="30" t="str">
        <f t="shared" si="0"/>
        <v/>
      </c>
      <c r="H34" s="31" t="str">
        <f t="shared" si="1"/>
        <v>تم الإلغاء</v>
      </c>
      <c r="I34" s="49"/>
      <c r="J34" s="50"/>
    </row>
    <row r="35" spans="1:10" ht="39.9" customHeight="1" x14ac:dyDescent="0.3">
      <c r="A35" s="9"/>
      <c r="B35" s="84" t="s">
        <v>208</v>
      </c>
      <c r="C35" s="85"/>
      <c r="D35" s="85"/>
      <c r="E35" s="32">
        <v>5</v>
      </c>
      <c r="F35" s="25">
        <v>3.75</v>
      </c>
      <c r="G35" s="30">
        <f t="shared" si="0"/>
        <v>0.75</v>
      </c>
      <c r="H35" s="31" t="str">
        <f t="shared" si="1"/>
        <v>جيد</v>
      </c>
      <c r="I35" s="49"/>
      <c r="J35" s="50"/>
    </row>
    <row r="36" spans="1:10" ht="39.9" customHeight="1" x14ac:dyDescent="0.3">
      <c r="A36" s="9"/>
      <c r="B36" s="84" t="s">
        <v>209</v>
      </c>
      <c r="C36" s="85"/>
      <c r="D36" s="85"/>
      <c r="E36" s="32">
        <v>0</v>
      </c>
      <c r="F36" s="25" t="s">
        <v>17</v>
      </c>
      <c r="G36" s="30" t="str">
        <f t="shared" si="0"/>
        <v/>
      </c>
      <c r="H36" s="31" t="str">
        <f t="shared" si="1"/>
        <v>تم الإلغاء</v>
      </c>
      <c r="I36" s="49"/>
      <c r="J36" s="50"/>
    </row>
    <row r="37" spans="1:10" ht="39.9" customHeight="1" thickBot="1" x14ac:dyDescent="0.35">
      <c r="A37" s="9"/>
      <c r="B37" s="92" t="s">
        <v>210</v>
      </c>
      <c r="C37" s="93"/>
      <c r="D37" s="93"/>
      <c r="E37" s="37">
        <v>0</v>
      </c>
      <c r="F37" s="27" t="s">
        <v>17</v>
      </c>
      <c r="G37" s="38" t="str">
        <f t="shared" si="0"/>
        <v/>
      </c>
      <c r="H37" s="39" t="str">
        <f t="shared" si="1"/>
        <v>تم الإلغاء</v>
      </c>
      <c r="I37" s="76"/>
      <c r="J37" s="77"/>
    </row>
    <row r="38" spans="1:10" ht="30" customHeight="1" thickBot="1" x14ac:dyDescent="0.35">
      <c r="A38" s="4"/>
      <c r="B38" s="86" t="s">
        <v>5</v>
      </c>
      <c r="C38" s="87"/>
      <c r="D38" s="87"/>
      <c r="E38" s="29">
        <f>SUM(E8:E37)</f>
        <v>80</v>
      </c>
      <c r="F38" s="29">
        <f>SUM(F8:F37)</f>
        <v>61</v>
      </c>
      <c r="G38" s="46"/>
      <c r="H38" s="47"/>
      <c r="I38" s="47"/>
      <c r="J38" s="48"/>
    </row>
    <row r="39" spans="1:10" ht="30" customHeight="1" thickBot="1" x14ac:dyDescent="0.35">
      <c r="A39" s="4"/>
      <c r="B39" s="78" t="s">
        <v>54</v>
      </c>
      <c r="C39" s="79"/>
      <c r="D39" s="79"/>
      <c r="E39" s="72">
        <f>F38/E38/100*100</f>
        <v>0.76249999999999996</v>
      </c>
      <c r="F39" s="72"/>
      <c r="G39" s="72"/>
      <c r="H39" s="72"/>
      <c r="I39" s="72"/>
      <c r="J39" s="73"/>
    </row>
    <row r="40" spans="1:10" ht="30" customHeight="1" thickBot="1" x14ac:dyDescent="0.35">
      <c r="A40" s="4"/>
      <c r="B40" s="78" t="s">
        <v>55</v>
      </c>
      <c r="C40" s="79"/>
      <c r="D40" s="79"/>
      <c r="E40" s="63" t="str">
        <f>_xlfn.IFS(E39&gt;=90%,"ممتاز",E39&gt;=80%,"جيد جداً",E39&gt;=70%,"جيد",E39&gt;=60%,"مقبول",E39&lt;60%,"راسب")</f>
        <v>جيد</v>
      </c>
      <c r="F40" s="63"/>
      <c r="G40" s="63"/>
      <c r="H40" s="63"/>
      <c r="I40" s="63"/>
      <c r="J40" s="64"/>
    </row>
    <row r="41" spans="1:10" ht="42" customHeight="1" x14ac:dyDescent="0.3">
      <c r="B41" s="59" t="s">
        <v>174</v>
      </c>
      <c r="C41" s="59"/>
      <c r="D41" s="59"/>
      <c r="E41" s="44" t="s">
        <v>52</v>
      </c>
      <c r="F41" s="44"/>
      <c r="G41" s="61" t="s">
        <v>122</v>
      </c>
      <c r="H41" s="61"/>
      <c r="I41" s="61"/>
      <c r="J41" s="61"/>
    </row>
    <row r="42" spans="1:10" ht="51" customHeight="1" x14ac:dyDescent="0.3">
      <c r="A42" s="5"/>
      <c r="B42" s="60"/>
      <c r="C42" s="60"/>
      <c r="D42" s="60"/>
      <c r="E42" s="45" t="s">
        <v>53</v>
      </c>
      <c r="F42" s="45"/>
      <c r="G42" s="62"/>
      <c r="H42" s="62"/>
      <c r="I42" s="62"/>
      <c r="J42" s="62"/>
    </row>
  </sheetData>
  <sheetProtection formatCells="0" formatColumns="0" formatRows="0" insertColumns="0" insertRows="0" insertHyperlinks="0" deleteColumns="0" deleteRows="0" selectLockedCells="1" sort="0" autoFilter="0" pivotTables="0"/>
  <mergeCells count="81">
    <mergeCell ref="B33:D33"/>
    <mergeCell ref="B34:D34"/>
    <mergeCell ref="B24:D24"/>
    <mergeCell ref="B25:D25"/>
    <mergeCell ref="B28:D28"/>
    <mergeCell ref="B29:D29"/>
    <mergeCell ref="B30:D30"/>
    <mergeCell ref="B31:D31"/>
    <mergeCell ref="B32:D32"/>
    <mergeCell ref="B8:D8"/>
    <mergeCell ref="B9:D9"/>
    <mergeCell ref="B10:D10"/>
    <mergeCell ref="B11:D11"/>
    <mergeCell ref="B12:D12"/>
    <mergeCell ref="B19:D19"/>
    <mergeCell ref="B20:D20"/>
    <mergeCell ref="B21:D21"/>
    <mergeCell ref="B38:D38"/>
    <mergeCell ref="B13:D13"/>
    <mergeCell ref="B14:D14"/>
    <mergeCell ref="B15:D15"/>
    <mergeCell ref="B16:D16"/>
    <mergeCell ref="B17:D17"/>
    <mergeCell ref="B22:D22"/>
    <mergeCell ref="B23:D23"/>
    <mergeCell ref="B35:D35"/>
    <mergeCell ref="B36:D36"/>
    <mergeCell ref="B37:D37"/>
    <mergeCell ref="B26:D26"/>
    <mergeCell ref="B27:D27"/>
    <mergeCell ref="B39:D39"/>
    <mergeCell ref="B40:D4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1:J21"/>
    <mergeCell ref="I22:J22"/>
    <mergeCell ref="I32:J32"/>
    <mergeCell ref="B18:D18"/>
    <mergeCell ref="B41:D42"/>
    <mergeCell ref="G41:J41"/>
    <mergeCell ref="G42:J42"/>
    <mergeCell ref="E40:J40"/>
    <mergeCell ref="B1:J1"/>
    <mergeCell ref="F2:J2"/>
    <mergeCell ref="B5:D6"/>
    <mergeCell ref="C2:D2"/>
    <mergeCell ref="C3:D3"/>
    <mergeCell ref="F3:J3"/>
    <mergeCell ref="E39:J39"/>
    <mergeCell ref="B7:D7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8:J8"/>
    <mergeCell ref="E41:F41"/>
    <mergeCell ref="E42:F42"/>
    <mergeCell ref="G38:J38"/>
    <mergeCell ref="I9:J9"/>
    <mergeCell ref="I23:J23"/>
    <mergeCell ref="I24:J24"/>
    <mergeCell ref="I25:J25"/>
    <mergeCell ref="I26:J26"/>
    <mergeCell ref="I27:J27"/>
    <mergeCell ref="I33:J33"/>
    <mergeCell ref="I34:J34"/>
    <mergeCell ref="I35:J35"/>
    <mergeCell ref="I36:J3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14" priority="57">
      <formula>$E40="راسب"</formula>
    </cfRule>
  </conditionalFormatting>
  <conditionalFormatting sqref="E40:J40">
    <cfRule type="expression" dxfId="13" priority="58">
      <formula>$E40="مقبول"</formula>
    </cfRule>
    <cfRule type="expression" dxfId="12" priority="59">
      <formula>$E40="جيد"</formula>
    </cfRule>
    <cfRule type="expression" dxfId="11" priority="60">
      <formula>$E40="جيد جداً"</formula>
    </cfRule>
    <cfRule type="expression" dxfId="10" priority="61">
      <formula>$E40="ممتاز"</formula>
    </cfRule>
  </conditionalFormatting>
  <conditionalFormatting sqref="F8:F3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6" priority="15" operator="containsText" text="أدخل اسم المحكم">
      <formula>NOT(ISERROR(SEARCH("أدخل اسم المحكم",G41)))</formula>
    </cfRule>
  </conditionalFormatting>
  <conditionalFormatting sqref="H8:H3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F34:F37 F31:F32 F24:F29 F19:F22 F9:F17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2025-10-08T17:35:56Z</dcterms:modified>
</cp:coreProperties>
</file>