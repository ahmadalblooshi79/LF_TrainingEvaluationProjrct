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A30FFEC3-E246-4C4F-8F15-21CF473C8B92}"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التقييم'!$A$1:$J$22</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8" i="2"/>
  <c r="H8" i="2"/>
  <c r="F18" i="2"/>
  <c r="E18" i="2"/>
  <c r="E19" i="2"/>
  <c r="E20" i="2"/>
</calcChain>
</file>

<file path=xl/sharedStrings.xml><?xml version="1.0" encoding="utf-8"?>
<sst xmlns="http://schemas.openxmlformats.org/spreadsheetml/2006/main" count="243" uniqueCount="187">
  <si>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</si>
  <si>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</si>
  <si>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</si>
  <si>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</si>
  <si>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</si>
  <si>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</si>
  <si>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</si>
  <si>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</si>
  <si>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</si>
  <si>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</si>
  <si>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</si>
  <si>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</si>
  <si>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</si>
  <si>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</si>
  <si>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</si>
  <si>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</si>
  <si>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</si>
  <si>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</si>
  <si>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</si>
  <si>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</si>
  <si>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</si>
  <si>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</si>
  <si>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</si>
  <si>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</si>
  <si>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</si>
  <si>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</si>
  <si>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</si>
  <si>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</si>
  <si>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</si>
  <si>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</si>
  <si>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</si>
  <si>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</si>
  <si>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</si>
  <si>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</si>
  <si>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</si>
  <si>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</si>
  <si>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</si>
  <si>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</si>
  <si>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</si>
  <si>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</si>
  <si>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</si>
  <si>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</si>
  <si>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</si>
  <si>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</si>
  <si>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</si>
  <si>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</si>
  <si>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</si>
  <si>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</si>
  <si>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</si>
  <si>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</si>
  <si>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</si>
  <si>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</si>
  <si>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</si>
  <si>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</si>
  <si>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</si>
  <si>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</si>
  <si>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</si>
  <si>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</si>
  <si>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</si>
  <si>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</si>
  <si>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</si>
  <si>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</si>
  <si>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r>
      <t>ملاحظـــات</t>
    </r>
    <r>
      <rPr>
        <b/>
        <sz val="14"/>
        <color rgb="FF000000"/>
        <rFont val="Arial"/>
        <family val="2"/>
      </rPr>
      <t xml:space="preserve">: 
</t>
    </r>
    <r>
      <rPr>
        <sz val="14"/>
        <color rgb="FF000000"/>
        <rFont val="Arial"/>
        <family val="2"/>
      </rPr>
      <t>1. يعتبر هذا النموذج (سري للغاية) بعد إدخال علامات التقييم.
2. نموذج التقييم قابل للتطوير والتعديل.</t>
    </r>
  </si>
  <si>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</si>
  <si>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</si>
  <si>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</si>
  <si>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</si>
  <si>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</si>
  <si>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</si>
  <si>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</si>
  <si>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</si>
  <si>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</si>
  <si>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</si>
  <si>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</si>
  <si>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</si>
  <si>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</si>
  <si>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</si>
  <si>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</si>
  <si>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</si>
  <si>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</si>
  <si>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</si>
  <si>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</si>
  <si>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</si>
  <si>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</si>
  <si>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</si>
  <si>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</si>
  <si>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</si>
  <si>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</si>
  <si>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</si>
  <si>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</si>
  <si>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</si>
  <si>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</si>
  <si>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</si>
  <si>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</si>
  <si>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</si>
  <si>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</si>
  <si>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</si>
  <si>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</si>
  <si>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</si>
  <si>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</si>
  <si>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</si>
  <si>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</si>
  <si>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</si>
  <si>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</si>
  <si>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</si>
  <si>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</si>
  <si>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</si>
  <si>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</si>
  <si>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</si>
  <si>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</si>
  <si>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</si>
  <si>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</si>
  <si>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</si>
  <si>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</si>
  <si>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</si>
  <si>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</si>
  <si>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</si>
  <si>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</si>
  <si>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</si>
  <si>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</si>
  <si>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</si>
  <si>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</si>
  <si>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</si>
  <si>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</si>
  <si>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</si>
  <si>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</si>
  <si>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</si>
  <si>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</si>
  <si>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</si>
  <si>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</si>
  <si>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</si>
  <si>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</si>
  <si>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</si>
  <si>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</si>
  <si>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</si>
  <si>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</si>
  <si>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</si>
  <si>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</si>
  <si>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</si>
  <si>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</si>
  <si>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</si>
  <si>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</si>
  <si>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</si>
  <si>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</si>
  <si>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</si>
  <si>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</si>
  <si>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</si>
  <si>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</si>
  <si>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</si>
  <si>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</si>
  <si>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</si>
  <si>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</si>
  <si>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</si>
  <si>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</si>
  <si>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</si>
  <si>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</si>
  <si>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</si>
  <si>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</si>
  <si>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</si>
  <si>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</si>
  <si>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</si>
  <si>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</si>
  <si>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</si>
  <si>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</si>
  <si>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</si>
  <si>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</si>
  <si>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</si>
  <si>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</si>
  <si>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</si>
  <si>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</si>
  <si>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</si>
  <si>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</si>
  <si>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</si>
  <si>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</si>
  <si>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</si>
  <si>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</si>
  <si>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10.</t>
    </r>
    <r>
      <rPr>
        <sz val="12"/>
        <color theme="1"/>
        <rFont val="Times New Roman"/>
        <family val="1"/>
      </rPr>
      <t xml:space="preserve">   </t>
    </r>
    <r>
      <rPr>
        <sz val="12"/>
        <color theme="1"/>
        <rFont val="Arial"/>
        <family val="2"/>
      </rPr>
      <t>تقوم الوحدات المرؤوسة بالإشارة الى " وقت بدء الرماية" وفقاً لخطة الإسناد الناري الخاصة بهم.</t>
    </r>
  </si>
  <si>
    <t>1.   تقديم إيجاز عن توزيع عناصر الإسناد الناري للقوات الصديقة والقوات المعادية من حيث مواقعها ومدياتها وقدراتها.</t>
  </si>
  <si>
    <t>2.   الإشارة الى بداية الرماية من قبل عناصر الإسناد الناري للقوات الصديقة، الوحدة التي سترمي، من أين تتم الرماية، نوع الذخيرة، والتأثير المطلوب على الهدف.</t>
  </si>
  <si>
    <t>3.   دمج ومزامنة ملحق الإسناد الناري مع خطة المناورة بحيث تُغطي كل من منطقة معركة العُمق ومنطقة المعركة القريبة (المواقع الرئيسية) والمنطقة الخلفية.</t>
  </si>
  <si>
    <t>4.   التأكد من أن الإمدادات في مكانها المناسب جاهزة للطلب والمتابعة والتأكد كذلك من ضرورة الابلاغ عن تقييم أضرار المعركة للأهداف المُهمة.</t>
  </si>
  <si>
    <t>5.   دمج خطة توضيع وإعادة توضيع وتغيير مواقع مصادر الإسناد الناري واستمكان الأهداف مع عمليات القوة، وتوضيح الحركة المُحتملة للوحدات لاحتلال مواقع جديدة، وادارة المواقع حسب طبيعة الارض للتأكد من عدم وجود أي تضارب.</t>
  </si>
  <si>
    <t>6.   تطبيق اجراءات عدم حدوث اصابات بنيران القوات الصديقة، الدمار الجانبي، والاصابات الناتجة عن العمليات غير القتالية.</t>
  </si>
  <si>
    <t>7.   التأكد من إعداد العمل الممكن لإدامة قدرات مصادر الإسناد الناري على البقاء من خلال تغيير مواقعها بين الفترة والاخرى (مواقع بديلة، ثانوية، ... الخ) لتجنب كشفها من العدو ومهاجمتها.</t>
  </si>
  <si>
    <t>8.   تلبية متطلبات الاتصالات والادامة.</t>
  </si>
  <si>
    <t>9.   دمج التغييرات الناتجة عن التجارب في خطة إسناد ناري مُعدله وتوزيعها على مصادر الاسناد الناري المُساندة ووحدات التعزيز ووحدات الاستمكان بأسرع وقت ممكن.</t>
  </si>
  <si>
    <t>تقييم كتيبة المدفعية في تجارب الأسلحة الموحدة - العمليات التعرضية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</si>
</sst>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theme="1"/>
      <name val="Arial"/>
      <family val="2"/>
    </font>
    <font>
      <sz val="12"/>
      <color theme="1"/>
      <name val="Times New Roman"/>
      <family val="1"/>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15" fillId="0" borderId="0" xfId="0" applyFont="1" applyProtection="1">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263769</xdr:colOff>
      <xdr:row>21</xdr:row>
      <xdr:rowOff>99646</xdr:rowOff>
    </xdr:from>
    <xdr:to>
      <xdr:col>9</xdr:col>
      <xdr:colOff>749018</xdr:colOff>
      <xdr:row>21</xdr:row>
      <xdr:rowOff>589011</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64E8C87-FC68-4A2E-93FE-5E34BA45311D}"/>
                </a:ext>
              </a:extLst>
            </xdr14:cNvPr>
            <xdr14:cNvContentPartPr/>
          </xdr14:nvContentPartPr>
          <xdr14:nvPr macro=""/>
          <xdr14:xfrm>
            <a:off x="10077879151" y="10908323"/>
            <a:ext cx="2401972" cy="489365"/>
          </xdr14:xfrm>
        </xdr:contentPart>
      </mc:Choice>
      <mc:Fallback xmlns="">
        <xdr:pic>
          <xdr:nvPicPr>
            <xdr:cNvPr id="2" name="Ink 1">
              <a:extLst>
                <a:ext uri="{FF2B5EF4-FFF2-40B4-BE49-F238E27FC236}">
                  <a16:creationId xmlns:a16="http://schemas.microsoft.com/office/drawing/2014/main" id="{4F2B5E53-FDC5-3D80-3718-D0798F6894AD}"/>
                </a:ext>
              </a:extLst>
            </xdr:cNvPr>
            <xdr:cNvPicPr/>
          </xdr:nvPicPr>
          <xdr:blipFill>
            <a:blip xmlns:r="http://schemas.openxmlformats.org/officeDocument/2006/relationships" r:embed="rId2"/>
            <a:stretch>
              <a:fillRect/>
            </a:stretch>
          </xdr:blipFill>
          <xdr:spPr>
            <a:xfrm>
              <a:off x="10397769545" y="45787320"/>
              <a:ext cx="2477160" cy="5029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1T02:40:09.241"/>
    </inkml:context>
    <inkml:brush xml:id="br0">
      <inkml:brushProperty name="width" value="0.05" units="cm"/>
      <inkml:brushProperty name="height" value="0.05" units="cm"/>
    </inkml:brush>
  </inkml:definitions>
  <inkml:trace contextRef="#ctx0" brushRef="#br0">6672 470,'0'0,"-16"0,13 0,-9 0,-66-16,63 13,-111 6,-63 13,153-13,-178 10,-99 3,248-13,-231 27,-142 2,349-26,-292 36,-151 7,475-44,-403 71,-57 4,474-73,-430 68,-13 22,444-89,-323 65,5-9,327-58,-248 53,-1 5,257-58,-153 38,53-28,112-15,-53 14,34-15,29 0,-25 0,28-16,0 14,78-12,64-20,-130 32,163-44,45-19,-199 59,224-52,68-7,-281 58,281-66,94-8,-364 72,306-64,74 9,-378 56,333-49,45 9,-383 43,343-39,23-4,-365 43,294-23,25-4,-319 28,232-24,40-4,-278 28,196-9,-43-4,-165 16,80 2,-10-17,-81 14,39 4,-35-2,-14 0,-20-16,-60 16,67 0,-119 0,-58-16,163 14,-185 4,-72-2,244 0,-253 16,-101-16,347 0,-347 32,-95 2,421-30,-369 40,-66 21,434-57,-351 48,-52 9,406-56,-295 62,-1-6,311-56,-216 31,-16 9,242-43,-80 36,10-26,94-14,-32 13,31-15,14 0,51 0,76-33,-108 28,139-6,78-21,-201 27,201-39,95-5,-286 43,289-53,107-5,-379 55,335-47,42-24,-377 68,320-41,90-29,-404 71,353-42,4-12,-365 56,275-30,-20-10,-269 42,179-34,-51 25,-148 14,77-12,-22-19,-68 28,-7 10,-83-21,69 13,-136-10,-57 13,175 0,-211 16,-27-16,229 0,-208 16,-162 17,355-29,-335 24,-20 20,354-42,-270 21,-22 21,299-41,-189 18,-16 8,219-29,-123 24,13-12,123-13,-56-6,28 3,41 0,-3 0,24-16,-13 14,43-12,81-2,-108 14,74-29,64-1,-134 28,191-24,68-5,-242 29,205-24,54-4,-255 27,1213-87,-1256 92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22"/>
  <sheetViews>
    <sheetView rightToLeft="1" tabSelected="1" view="pageBreakPreview" topLeftCell="A18" zoomScale="130" zoomScaleNormal="100" zoomScaleSheetLayoutView="130" workbookViewId="0">
      <selection activeCell="G26" sqref="G2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8" t="s">
        <v>186</v>
      </c>
      <c r="C1" s="58"/>
      <c r="D1" s="58"/>
      <c r="E1" s="58"/>
      <c r="F1" s="58"/>
      <c r="G1" s="58"/>
      <c r="H1" s="58"/>
      <c r="I1" s="58"/>
      <c r="J1" s="58"/>
    </row>
    <row r="2" spans="1:10" ht="30" customHeight="1" x14ac:dyDescent="0.3">
      <c r="B2" s="12" t="s">
        <v>8</v>
      </c>
      <c r="C2" s="64" t="s">
        <v>48</v>
      </c>
      <c r="D2" s="64"/>
      <c r="E2" s="12" t="s">
        <v>7</v>
      </c>
      <c r="F2" s="59">
        <v>45951</v>
      </c>
      <c r="G2" s="59"/>
      <c r="H2" s="59"/>
      <c r="I2" s="59"/>
      <c r="J2" s="59"/>
    </row>
    <row r="3" spans="1:10" ht="30" customHeight="1" x14ac:dyDescent="0.3">
      <c r="B3" s="12" t="s">
        <v>9</v>
      </c>
      <c r="C3" s="64" t="s">
        <v>69</v>
      </c>
      <c r="D3" s="64"/>
      <c r="E3" s="12" t="s">
        <v>6</v>
      </c>
      <c r="F3" s="64" t="s">
        <v>98</v>
      </c>
      <c r="G3" s="64"/>
      <c r="H3" s="64"/>
      <c r="I3" s="64"/>
      <c r="J3" s="64"/>
    </row>
    <row r="4" spans="1:10" ht="30" customHeight="1" thickBot="1" x14ac:dyDescent="0.35">
      <c r="B4" s="6"/>
      <c r="C4" s="7"/>
      <c r="D4" s="7"/>
      <c r="E4" s="6"/>
      <c r="F4" s="7"/>
      <c r="G4" s="7"/>
      <c r="H4" s="8"/>
      <c r="I4" s="7"/>
      <c r="J4" s="7"/>
    </row>
    <row r="5" spans="1:10" ht="24.9" customHeight="1" x14ac:dyDescent="0.3">
      <c r="A5" s="10"/>
      <c r="B5" s="60" t="s">
        <v>0</v>
      </c>
      <c r="C5" s="61"/>
      <c r="D5" s="61"/>
      <c r="E5" s="67" t="s">
        <v>1</v>
      </c>
      <c r="F5" s="67"/>
      <c r="G5" s="67"/>
      <c r="H5" s="67"/>
      <c r="I5" s="67" t="s">
        <v>2</v>
      </c>
      <c r="J5" s="68"/>
    </row>
    <row r="6" spans="1:10" ht="24.9" customHeight="1" thickBot="1" x14ac:dyDescent="0.35">
      <c r="A6" s="10"/>
      <c r="B6" s="62"/>
      <c r="C6" s="63"/>
      <c r="D6" s="63"/>
      <c r="E6" s="11" t="s">
        <v>3</v>
      </c>
      <c r="F6" s="11" t="s">
        <v>4</v>
      </c>
      <c r="G6" s="11" t="s">
        <v>23</v>
      </c>
      <c r="H6" s="11" t="s">
        <v>24</v>
      </c>
      <c r="I6" s="69"/>
      <c r="J6" s="70"/>
    </row>
    <row r="7" spans="1:10" ht="24.9" customHeight="1" thickBot="1" x14ac:dyDescent="0.35">
      <c r="A7" s="10"/>
      <c r="B7" s="65" t="s">
        <v>21</v>
      </c>
      <c r="C7" s="66"/>
      <c r="D7" s="66"/>
      <c r="E7" s="27" t="s">
        <v>18</v>
      </c>
      <c r="F7" s="27" t="s">
        <v>19</v>
      </c>
      <c r="G7" s="27" t="s">
        <v>22</v>
      </c>
      <c r="H7" s="27" t="s">
        <v>20</v>
      </c>
      <c r="I7" s="71" t="s">
        <v>25</v>
      </c>
      <c r="J7" s="72"/>
    </row>
    <row r="8" spans="1:10" s="26" customFormat="1" ht="50.1" customHeight="1" thickBot="1" x14ac:dyDescent="0.35">
      <c r="A8" s="10"/>
      <c r="B8" s="79" t="s">
        <v>177</v>
      </c>
      <c r="C8" s="80"/>
      <c r="D8" s="80"/>
      <c r="E8" s="31">
        <v>5</v>
      </c>
      <c r="F8" s="32">
        <v>3.5</v>
      </c>
      <c r="G8" s="33">
        <f>IFERROR(F8/E8,"")</f>
        <v>0.7</v>
      </c>
      <c r="H8" s="34" t="str">
        <f>_xlfn.IFS(F8="أدخل العلامة","",F8="لا ينطبق","تم الإلغاء",G8&gt;=90%,"ممتاز",G8&gt;=80%,"جيد جداً",G8&gt;=70%,"جيد",G8&gt;=60%,"مقبول",G8&lt;60%,"راسب")</f>
        <v>جيد</v>
      </c>
      <c r="I8" s="73"/>
      <c r="J8" s="74"/>
    </row>
    <row r="9" spans="1:10" s="26" customFormat="1" ht="50.1" customHeight="1" thickBot="1" x14ac:dyDescent="0.35">
      <c r="A9" s="10"/>
      <c r="B9" s="81" t="s">
        <v>178</v>
      </c>
      <c r="C9" s="82"/>
      <c r="D9" s="82"/>
      <c r="E9" s="9">
        <v>5</v>
      </c>
      <c r="F9" s="38">
        <v>3.5</v>
      </c>
      <c r="G9" s="29">
        <f>IFERROR(F9/E9,"")</f>
        <v>0.7</v>
      </c>
      <c r="H9" s="30" t="str">
        <f>_xlfn.IFS(F9="أدخل العلامة","",F9="لا ينطبق","تم الإلغاء",G9&gt;=90%,"ممتاز",G9&gt;=80%,"جيد جداً",G9&gt;=70%,"جيد",G9&gt;=60%,"مقبول",G9&lt;60%,"راسب")</f>
        <v>جيد</v>
      </c>
      <c r="I9" s="44"/>
      <c r="J9" s="45"/>
    </row>
    <row r="10" spans="1:10" s="26" customFormat="1" ht="50.1" customHeight="1" thickBot="1" x14ac:dyDescent="0.35">
      <c r="A10" s="10"/>
      <c r="B10" s="81" t="s">
        <v>179</v>
      </c>
      <c r="C10" s="82"/>
      <c r="D10" s="82"/>
      <c r="E10" s="9">
        <v>5</v>
      </c>
      <c r="F10" s="38">
        <v>4.25</v>
      </c>
      <c r="G10" s="29">
        <f t="shared" ref="G10:G17" si="0">IFERROR(F10/E10,"")</f>
        <v>0.85</v>
      </c>
      <c r="H10" s="30" t="str">
        <f t="shared" ref="H10:H17" si="1">_xlfn.IFS(F10="أدخل العلامة","",F10="لا ينطبق","تم الإلغاء",G10&gt;=90%,"ممتاز",G10&gt;=80%,"جيد جداً",G10&gt;=70%,"جيد",G10&gt;=60%,"مقبول",G10&lt;60%,"راسب")</f>
        <v>جيد جداً</v>
      </c>
      <c r="I10" s="44"/>
      <c r="J10" s="45"/>
    </row>
    <row r="11" spans="1:10" s="26" customFormat="1" ht="50.1" customHeight="1" thickBot="1" x14ac:dyDescent="0.35">
      <c r="A11" s="10"/>
      <c r="B11" s="81" t="s">
        <v>180</v>
      </c>
      <c r="C11" s="82"/>
      <c r="D11" s="82"/>
      <c r="E11" s="9">
        <v>5</v>
      </c>
      <c r="F11" s="38">
        <v>3.5</v>
      </c>
      <c r="G11" s="29">
        <f t="shared" si="0"/>
        <v>0.7</v>
      </c>
      <c r="H11" s="30" t="str">
        <f t="shared" si="1"/>
        <v>جيد</v>
      </c>
      <c r="I11" s="44"/>
      <c r="J11" s="45"/>
    </row>
    <row r="12" spans="1:10" s="26" customFormat="1" ht="62.25" customHeight="1" thickBot="1" x14ac:dyDescent="0.35">
      <c r="A12" s="10"/>
      <c r="B12" s="81" t="s">
        <v>181</v>
      </c>
      <c r="C12" s="82"/>
      <c r="D12" s="82"/>
      <c r="E12" s="9">
        <v>5</v>
      </c>
      <c r="F12" s="38">
        <v>3.5</v>
      </c>
      <c r="G12" s="29">
        <f t="shared" si="0"/>
        <v>0.7</v>
      </c>
      <c r="H12" s="30" t="str">
        <f t="shared" si="1"/>
        <v>جيد</v>
      </c>
      <c r="I12" s="44"/>
      <c r="J12" s="45"/>
    </row>
    <row r="13" spans="1:10" s="26" customFormat="1" ht="50.1" customHeight="1" thickBot="1" x14ac:dyDescent="0.35">
      <c r="A13" s="10"/>
      <c r="B13" s="81" t="s">
        <v>182</v>
      </c>
      <c r="C13" s="82"/>
      <c r="D13" s="82"/>
      <c r="E13" s="9">
        <v>5</v>
      </c>
      <c r="F13" s="38">
        <v>3.5</v>
      </c>
      <c r="G13" s="29">
        <f t="shared" si="0"/>
        <v>0.7</v>
      </c>
      <c r="H13" s="30" t="str">
        <f t="shared" si="1"/>
        <v>جيد</v>
      </c>
      <c r="I13" s="44"/>
      <c r="J13" s="45"/>
    </row>
    <row r="14" spans="1:10" s="26" customFormat="1" ht="50.1" customHeight="1" thickBot="1" x14ac:dyDescent="0.35">
      <c r="A14" s="10"/>
      <c r="B14" s="81" t="s">
        <v>183</v>
      </c>
      <c r="C14" s="82"/>
      <c r="D14" s="82"/>
      <c r="E14" s="9">
        <v>5</v>
      </c>
      <c r="F14" s="38">
        <v>3.5</v>
      </c>
      <c r="G14" s="29">
        <f t="shared" si="0"/>
        <v>0.7</v>
      </c>
      <c r="H14" s="30" t="str">
        <f t="shared" si="1"/>
        <v>جيد</v>
      </c>
      <c r="I14" s="44"/>
      <c r="J14" s="45"/>
    </row>
    <row r="15" spans="1:10" s="26" customFormat="1" ht="50.1" customHeight="1" thickBot="1" x14ac:dyDescent="0.35">
      <c r="A15" s="10"/>
      <c r="B15" s="81" t="s">
        <v>184</v>
      </c>
      <c r="C15" s="82"/>
      <c r="D15" s="82"/>
      <c r="E15" s="9">
        <v>5</v>
      </c>
      <c r="F15" s="38">
        <v>3.5</v>
      </c>
      <c r="G15" s="29">
        <f t="shared" si="0"/>
        <v>0.7</v>
      </c>
      <c r="H15" s="30" t="str">
        <f t="shared" si="1"/>
        <v>جيد</v>
      </c>
      <c r="I15" s="44"/>
      <c r="J15" s="45"/>
    </row>
    <row r="16" spans="1:10" s="26" customFormat="1" ht="50.1" customHeight="1" thickBot="1" x14ac:dyDescent="0.35">
      <c r="A16" s="10"/>
      <c r="B16" s="81" t="s">
        <v>185</v>
      </c>
      <c r="C16" s="82"/>
      <c r="D16" s="82"/>
      <c r="E16" s="9">
        <v>5</v>
      </c>
      <c r="F16" s="38">
        <v>3.5</v>
      </c>
      <c r="G16" s="29">
        <f t="shared" si="0"/>
        <v>0.7</v>
      </c>
      <c r="H16" s="30" t="str">
        <f t="shared" si="1"/>
        <v>جيد</v>
      </c>
      <c r="I16" s="44"/>
      <c r="J16" s="45"/>
    </row>
    <row r="17" spans="1:10" s="26" customFormat="1" ht="50.1" customHeight="1" thickBot="1" x14ac:dyDescent="0.35">
      <c r="A17" s="10"/>
      <c r="B17" s="77" t="s">
        <v>176</v>
      </c>
      <c r="C17" s="78"/>
      <c r="D17" s="78"/>
      <c r="E17" s="35">
        <v>5</v>
      </c>
      <c r="F17" s="38">
        <v>3.5</v>
      </c>
      <c r="G17" s="36">
        <f t="shared" si="0"/>
        <v>0.7</v>
      </c>
      <c r="H17" s="37" t="str">
        <f t="shared" si="1"/>
        <v>جيد</v>
      </c>
      <c r="I17" s="75"/>
      <c r="J17" s="76"/>
    </row>
    <row r="18" spans="1:10" ht="30" customHeight="1" thickBot="1" x14ac:dyDescent="0.35">
      <c r="A18" s="4"/>
      <c r="B18" s="54" t="s">
        <v>5</v>
      </c>
      <c r="C18" s="55"/>
      <c r="D18" s="55"/>
      <c r="E18" s="28">
        <f>SUM(E8:E17)</f>
        <v>50</v>
      </c>
      <c r="F18" s="28">
        <f>SUM(F8:F17)</f>
        <v>35.75</v>
      </c>
      <c r="G18" s="41"/>
      <c r="H18" s="42"/>
      <c r="I18" s="42"/>
      <c r="J18" s="43"/>
    </row>
    <row r="19" spans="1:10" ht="30" customHeight="1" thickBot="1" x14ac:dyDescent="0.35">
      <c r="A19" s="4"/>
      <c r="B19" s="56" t="s">
        <v>54</v>
      </c>
      <c r="C19" s="57"/>
      <c r="D19" s="57"/>
      <c r="E19" s="52">
        <f>F18/E18/100*100</f>
        <v>0.71499999999999997</v>
      </c>
      <c r="F19" s="52"/>
      <c r="G19" s="52"/>
      <c r="H19" s="52"/>
      <c r="I19" s="52"/>
      <c r="J19" s="53"/>
    </row>
    <row r="20" spans="1:10" ht="30" customHeight="1" thickBot="1" x14ac:dyDescent="0.35">
      <c r="A20" s="4"/>
      <c r="B20" s="56" t="s">
        <v>55</v>
      </c>
      <c r="C20" s="57"/>
      <c r="D20" s="57"/>
      <c r="E20" s="50" t="str">
        <f>_xlfn.IFS(E19&gt;=90%,"ممتاز",E19&gt;=80%,"جيد جداً",E19&gt;=70%,"جيد",E19&gt;=60%,"مقبول",E19&lt;60%,"راسب")</f>
        <v>جيد</v>
      </c>
      <c r="F20" s="50"/>
      <c r="G20" s="50"/>
      <c r="H20" s="50"/>
      <c r="I20" s="50"/>
      <c r="J20" s="51"/>
    </row>
    <row r="21" spans="1:10" ht="42" customHeight="1" x14ac:dyDescent="0.3">
      <c r="B21" s="46" t="s">
        <v>62</v>
      </c>
      <c r="C21" s="46"/>
      <c r="D21" s="46"/>
      <c r="E21" s="39" t="s">
        <v>52</v>
      </c>
      <c r="F21" s="39"/>
      <c r="G21" s="48" t="s">
        <v>98</v>
      </c>
      <c r="H21" s="48"/>
      <c r="I21" s="48"/>
      <c r="J21" s="48"/>
    </row>
    <row r="22" spans="1:10" ht="51" customHeight="1" x14ac:dyDescent="0.3">
      <c r="A22" s="5"/>
      <c r="B22" s="47"/>
      <c r="C22" s="47"/>
      <c r="D22" s="47"/>
      <c r="E22" s="40" t="s">
        <v>53</v>
      </c>
      <c r="F22" s="40"/>
      <c r="G22" s="49"/>
      <c r="H22" s="49"/>
      <c r="I22" s="49"/>
      <c r="J22" s="49"/>
    </row>
  </sheetData>
  <sheetProtection sheet="1" formatCells="0" formatColumns="0" formatRows="0" insertColumns="0" insertRows="0" insertHyperlinks="0" deleteColumns="0" deleteRows="0" selectLockedCells="1" sort="0" autoFilter="0" pivotTables="0"/>
  <mergeCells count="41">
    <mergeCell ref="I15:J15"/>
    <mergeCell ref="I16:J16"/>
    <mergeCell ref="I17:J17"/>
    <mergeCell ref="B17:D17"/>
    <mergeCell ref="B8:D8"/>
    <mergeCell ref="B9:D9"/>
    <mergeCell ref="B10:D10"/>
    <mergeCell ref="B11:D11"/>
    <mergeCell ref="B12:D12"/>
    <mergeCell ref="B13:D13"/>
    <mergeCell ref="B14:D14"/>
    <mergeCell ref="B15:D15"/>
    <mergeCell ref="B16:D16"/>
    <mergeCell ref="B7:D7"/>
    <mergeCell ref="E5:H5"/>
    <mergeCell ref="I5:J6"/>
    <mergeCell ref="I7:J7"/>
    <mergeCell ref="I10:J10"/>
    <mergeCell ref="I8:J8"/>
    <mergeCell ref="B1:J1"/>
    <mergeCell ref="F2:J2"/>
    <mergeCell ref="B5:D6"/>
    <mergeCell ref="C2:D2"/>
    <mergeCell ref="C3:D3"/>
    <mergeCell ref="F3:J3"/>
    <mergeCell ref="E21:F21"/>
    <mergeCell ref="E22:F22"/>
    <mergeCell ref="G18:J18"/>
    <mergeCell ref="I9:J9"/>
    <mergeCell ref="B21:D22"/>
    <mergeCell ref="G21:J21"/>
    <mergeCell ref="G22:J22"/>
    <mergeCell ref="E20:J20"/>
    <mergeCell ref="E19:J19"/>
    <mergeCell ref="B18:D18"/>
    <mergeCell ref="B19:D19"/>
    <mergeCell ref="B20:D20"/>
    <mergeCell ref="I11:J11"/>
    <mergeCell ref="I12:J12"/>
    <mergeCell ref="I13:J13"/>
    <mergeCell ref="I14:J1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20">
    <cfRule type="expression" dxfId="14" priority="57">
      <formula>$E20="راسب"</formula>
    </cfRule>
  </conditionalFormatting>
  <conditionalFormatting sqref="E20:J20">
    <cfRule type="expression" dxfId="13" priority="58">
      <formula>$E20="مقبول"</formula>
    </cfRule>
    <cfRule type="expression" dxfId="12" priority="59">
      <formula>$E20="جيد"</formula>
    </cfRule>
    <cfRule type="expression" dxfId="11" priority="60">
      <formula>$E20="جيد جداً"</formula>
    </cfRule>
    <cfRule type="expression" dxfId="10" priority="61">
      <formula>$E20="ممتاز"</formula>
    </cfRule>
  </conditionalFormatting>
  <conditionalFormatting sqref="F8:F17">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21:J21">
    <cfRule type="containsText" dxfId="6" priority="15" operator="containsText" text="أدخل اسم المحكم">
      <formula>NOT(ISERROR(SEARCH("أدخل اسم المحكم",G21)))</formula>
    </cfRule>
  </conditionalFormatting>
  <conditionalFormatting sqref="H8:H17">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F8:F17</xm:sqref>
        </x14:dataValidation>
        <x14:dataValidation type="list" allowBlank="1" showInputMessage="1" showErrorMessage="1" xr:uid="{AE50457C-7424-4A4C-907B-8DC6AA09E7A3}">
          <x14:formula1>
            <xm:f>'بيانات التقييم'!$A$198:$A$286</xm:f>
          </x14:formula1>
          <xm:sqref>G21:J21 F3:J3</xm:sqref>
        </x14:dataValidation>
        <x14:dataValidation type="list" allowBlank="1" showInputMessage="1" showErrorMessage="1" xr:uid="{74512448-CAED-4995-932E-CDA01DC3A5DC}">
          <x14:formula1>
            <xm:f>'بيانات التقييم'!$C$1:$C$29</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1"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63</v>
      </c>
    </row>
    <row r="3" spans="1:3" ht="20.100000000000001" customHeight="1" thickBot="1" x14ac:dyDescent="0.35">
      <c r="A3" s="2" t="s">
        <v>26</v>
      </c>
      <c r="C3" s="19" t="s">
        <v>64</v>
      </c>
    </row>
    <row r="4" spans="1:3" ht="20.100000000000001" customHeight="1" thickBot="1" x14ac:dyDescent="0.35">
      <c r="A4" s="2" t="s">
        <v>36</v>
      </c>
      <c r="C4" s="19" t="s">
        <v>65</v>
      </c>
    </row>
    <row r="5" spans="1:3" ht="20.100000000000001" customHeight="1" thickBot="1" x14ac:dyDescent="0.35">
      <c r="A5" s="2" t="s">
        <v>37</v>
      </c>
      <c r="C5" s="19" t="s">
        <v>66</v>
      </c>
    </row>
    <row r="6" spans="1:3" ht="20.100000000000001" customHeight="1" thickBot="1" x14ac:dyDescent="0.35">
      <c r="A6" s="2" t="s">
        <v>38</v>
      </c>
      <c r="C6" s="19" t="s">
        <v>67</v>
      </c>
    </row>
    <row r="7" spans="1:3" ht="20.100000000000001" customHeight="1" thickBot="1" x14ac:dyDescent="0.35">
      <c r="A7" s="2" t="s">
        <v>39</v>
      </c>
      <c r="C7" s="19" t="s">
        <v>68</v>
      </c>
    </row>
    <row r="8" spans="1:3" ht="20.100000000000001" customHeight="1" thickBot="1" x14ac:dyDescent="0.35">
      <c r="A8" s="2" t="s">
        <v>40</v>
      </c>
      <c r="C8" s="19" t="s">
        <v>69</v>
      </c>
    </row>
    <row r="9" spans="1:3" ht="20.100000000000001" customHeight="1" thickBot="1" x14ac:dyDescent="0.35">
      <c r="A9" s="2" t="s">
        <v>41</v>
      </c>
      <c r="C9" s="19" t="s">
        <v>70</v>
      </c>
    </row>
    <row r="10" spans="1:3" ht="20.100000000000001" customHeight="1" thickBot="1" x14ac:dyDescent="0.35">
      <c r="A10" s="2" t="s">
        <v>42</v>
      </c>
      <c r="C10" s="19" t="s">
        <v>71</v>
      </c>
    </row>
    <row r="11" spans="1:3" ht="20.100000000000001" customHeight="1" thickBot="1" x14ac:dyDescent="0.35">
      <c r="A11" s="2" t="s">
        <v>43</v>
      </c>
      <c r="C11" s="19" t="s">
        <v>72</v>
      </c>
    </row>
    <row r="12" spans="1:3" ht="20.100000000000001" customHeight="1" thickBot="1" x14ac:dyDescent="0.35">
      <c r="A12" s="2" t="s">
        <v>44</v>
      </c>
      <c r="C12" s="19" t="s">
        <v>73</v>
      </c>
    </row>
    <row r="13" spans="1:3" ht="20.100000000000001" customHeight="1" thickBot="1" x14ac:dyDescent="0.35">
      <c r="A13" s="2" t="s">
        <v>45</v>
      </c>
      <c r="C13" s="19" t="s">
        <v>74</v>
      </c>
    </row>
    <row r="14" spans="1:3" ht="20.100000000000001" customHeight="1" thickBot="1" x14ac:dyDescent="0.35">
      <c r="A14" s="2" t="s">
        <v>46</v>
      </c>
      <c r="C14" s="19" t="s">
        <v>75</v>
      </c>
    </row>
    <row r="15" spans="1:3" ht="20.100000000000001" customHeight="1" thickBot="1" x14ac:dyDescent="0.35">
      <c r="A15" s="2" t="s">
        <v>47</v>
      </c>
      <c r="C15" s="19" t="s">
        <v>76</v>
      </c>
    </row>
    <row r="16" spans="1:3" ht="20.100000000000001" customHeight="1" thickBot="1" x14ac:dyDescent="0.35">
      <c r="A16" s="2" t="s">
        <v>10</v>
      </c>
      <c r="C16" s="19" t="s">
        <v>77</v>
      </c>
    </row>
    <row r="17" spans="1:3" ht="20.100000000000001" customHeight="1" thickBot="1" x14ac:dyDescent="0.35">
      <c r="A17" s="2" t="s">
        <v>27</v>
      </c>
      <c r="C17" s="19" t="s">
        <v>78</v>
      </c>
    </row>
    <row r="18" spans="1:3" ht="20.100000000000001" customHeight="1" thickBot="1" x14ac:dyDescent="0.35">
      <c r="A18" s="2" t="s">
        <v>48</v>
      </c>
      <c r="C18" s="19" t="s">
        <v>79</v>
      </c>
    </row>
    <row r="19" spans="1:3" ht="20.100000000000001" customHeight="1" thickBot="1" x14ac:dyDescent="0.35">
      <c r="A19" s="2" t="s">
        <v>49</v>
      </c>
      <c r="C19" s="19" t="s">
        <v>80</v>
      </c>
    </row>
    <row r="20" spans="1:3" ht="20.100000000000001" customHeight="1" thickBot="1" x14ac:dyDescent="0.35">
      <c r="A20" s="2" t="s">
        <v>50</v>
      </c>
      <c r="C20" s="19" t="s">
        <v>81</v>
      </c>
    </row>
    <row r="21" spans="1:3" ht="20.100000000000001" customHeight="1" thickBot="1" x14ac:dyDescent="0.35">
      <c r="A21" s="2" t="s">
        <v>51</v>
      </c>
      <c r="C21" s="19" t="s">
        <v>82</v>
      </c>
    </row>
    <row r="22" spans="1:3" ht="20.100000000000001" customHeight="1" thickBot="1" x14ac:dyDescent="0.35">
      <c r="A22" s="2" t="s">
        <v>11</v>
      </c>
      <c r="C22" s="19" t="s">
        <v>83</v>
      </c>
    </row>
    <row r="23" spans="1:3" ht="20.100000000000001" customHeight="1" thickBot="1" x14ac:dyDescent="0.35">
      <c r="A23" s="2" t="s">
        <v>12</v>
      </c>
      <c r="C23" s="19" t="s">
        <v>84</v>
      </c>
    </row>
    <row r="24" spans="1:3" ht="20.100000000000001" customHeight="1" thickBot="1" x14ac:dyDescent="0.35">
      <c r="A24" s="2" t="s">
        <v>15</v>
      </c>
      <c r="C24" s="19" t="s">
        <v>85</v>
      </c>
    </row>
    <row r="25" spans="1:3" ht="20.100000000000001" customHeight="1" thickBot="1" x14ac:dyDescent="0.35">
      <c r="A25" s="2" t="s">
        <v>28</v>
      </c>
      <c r="C25" s="19" t="s">
        <v>86</v>
      </c>
    </row>
    <row r="26" spans="1:3" ht="20.100000000000001" customHeight="1" thickBot="1" x14ac:dyDescent="0.35">
      <c r="A26" s="2" t="s">
        <v>29</v>
      </c>
      <c r="C26" s="19" t="s">
        <v>87</v>
      </c>
    </row>
    <row r="27" spans="1:3" ht="20.100000000000001" customHeight="1" thickBot="1" x14ac:dyDescent="0.35">
      <c r="A27" s="2" t="s">
        <v>13</v>
      </c>
      <c r="C27" s="19" t="s">
        <v>88</v>
      </c>
    </row>
    <row r="28" spans="1:3" ht="20.100000000000001" customHeight="1" thickBot="1" x14ac:dyDescent="0.35">
      <c r="A28" s="2" t="s">
        <v>30</v>
      </c>
      <c r="C28" s="19" t="s">
        <v>89</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90</v>
      </c>
    </row>
    <row r="200" spans="1:1" ht="20.100000000000001" customHeight="1" x14ac:dyDescent="0.3">
      <c r="A200" s="20" t="s">
        <v>91</v>
      </c>
    </row>
    <row r="201" spans="1:1" ht="20.100000000000001" customHeight="1" x14ac:dyDescent="0.3">
      <c r="A201" s="20" t="s">
        <v>92</v>
      </c>
    </row>
    <row r="202" spans="1:1" ht="20.100000000000001" customHeight="1" x14ac:dyDescent="0.3">
      <c r="A202" s="20" t="s">
        <v>93</v>
      </c>
    </row>
    <row r="203" spans="1:1" ht="20.100000000000001" customHeight="1" x14ac:dyDescent="0.3">
      <c r="A203" s="20" t="s">
        <v>94</v>
      </c>
    </row>
    <row r="204" spans="1:1" ht="20.100000000000001" customHeight="1" x14ac:dyDescent="0.3">
      <c r="A204" s="20" t="s">
        <v>95</v>
      </c>
    </row>
    <row r="205" spans="1:1" ht="20.100000000000001" customHeight="1" x14ac:dyDescent="0.3">
      <c r="A205" s="20" t="s">
        <v>96</v>
      </c>
    </row>
    <row r="206" spans="1:1" ht="20.100000000000001" customHeight="1" x14ac:dyDescent="0.3">
      <c r="A206" s="20" t="s">
        <v>97</v>
      </c>
    </row>
    <row r="207" spans="1:1" ht="20.100000000000001" customHeight="1" x14ac:dyDescent="0.3">
      <c r="A207" s="20" t="s">
        <v>98</v>
      </c>
    </row>
    <row r="208" spans="1:1" ht="20.100000000000001" customHeight="1" x14ac:dyDescent="0.3">
      <c r="A208" s="21" t="s">
        <v>99</v>
      </c>
    </row>
    <row r="209" spans="1:1" ht="20.100000000000001" customHeight="1" x14ac:dyDescent="0.3">
      <c r="A209" s="21" t="s">
        <v>100</v>
      </c>
    </row>
    <row r="210" spans="1:1" ht="20.100000000000001" customHeight="1" x14ac:dyDescent="0.3">
      <c r="A210" s="20" t="s">
        <v>101</v>
      </c>
    </row>
    <row r="211" spans="1:1" ht="20.100000000000001" customHeight="1" x14ac:dyDescent="0.3">
      <c r="A211" s="20" t="s">
        <v>102</v>
      </c>
    </row>
    <row r="212" spans="1:1" ht="20.100000000000001" customHeight="1" x14ac:dyDescent="0.3">
      <c r="A212" s="20" t="s">
        <v>103</v>
      </c>
    </row>
    <row r="213" spans="1:1" ht="20.100000000000001" customHeight="1" x14ac:dyDescent="0.3">
      <c r="A213" s="20" t="s">
        <v>104</v>
      </c>
    </row>
    <row r="214" spans="1:1" ht="20.100000000000001" customHeight="1" x14ac:dyDescent="0.3">
      <c r="A214" s="20" t="s">
        <v>105</v>
      </c>
    </row>
    <row r="215" spans="1:1" ht="20.100000000000001" customHeight="1" x14ac:dyDescent="0.3">
      <c r="A215" s="20" t="s">
        <v>106</v>
      </c>
    </row>
    <row r="216" spans="1:1" ht="20.100000000000001" customHeight="1" x14ac:dyDescent="0.3">
      <c r="A216" s="20" t="s">
        <v>107</v>
      </c>
    </row>
    <row r="217" spans="1:1" ht="20.100000000000001" customHeight="1" x14ac:dyDescent="0.3">
      <c r="A217" s="20" t="s">
        <v>108</v>
      </c>
    </row>
    <row r="218" spans="1:1" ht="20.100000000000001" customHeight="1" x14ac:dyDescent="0.3">
      <c r="A218" s="20" t="s">
        <v>109</v>
      </c>
    </row>
    <row r="219" spans="1:1" ht="20.100000000000001" customHeight="1" x14ac:dyDescent="0.3">
      <c r="A219" s="20" t="s">
        <v>110</v>
      </c>
    </row>
    <row r="220" spans="1:1" ht="20.100000000000001" customHeight="1" x14ac:dyDescent="0.3">
      <c r="A220" s="20" t="s">
        <v>111</v>
      </c>
    </row>
    <row r="221" spans="1:1" ht="20.100000000000001" customHeight="1" x14ac:dyDescent="0.3">
      <c r="A221" s="20" t="s">
        <v>112</v>
      </c>
    </row>
    <row r="222" spans="1:1" ht="20.100000000000001" customHeight="1" x14ac:dyDescent="0.3">
      <c r="A222" s="20" t="s">
        <v>113</v>
      </c>
    </row>
    <row r="223" spans="1:1" ht="20.100000000000001" customHeight="1" x14ac:dyDescent="0.3">
      <c r="A223" s="20" t="s">
        <v>114</v>
      </c>
    </row>
    <row r="224" spans="1:1" ht="20.100000000000001" customHeight="1" x14ac:dyDescent="0.3">
      <c r="A224" s="20" t="s">
        <v>115</v>
      </c>
    </row>
    <row r="225" spans="1:1" ht="20.100000000000001" customHeight="1" x14ac:dyDescent="0.3">
      <c r="A225" s="20" t="s">
        <v>116</v>
      </c>
    </row>
    <row r="226" spans="1:1" ht="20.100000000000001" customHeight="1" x14ac:dyDescent="0.3">
      <c r="A226" s="20" t="s">
        <v>117</v>
      </c>
    </row>
    <row r="227" spans="1:1" ht="20.100000000000001" customHeight="1" x14ac:dyDescent="0.3">
      <c r="A227" s="20" t="s">
        <v>118</v>
      </c>
    </row>
    <row r="228" spans="1:1" ht="20.100000000000001" customHeight="1" x14ac:dyDescent="0.3">
      <c r="A228" s="20" t="s">
        <v>119</v>
      </c>
    </row>
    <row r="229" spans="1:1" ht="20.100000000000001" customHeight="1" x14ac:dyDescent="0.3">
      <c r="A229" s="20" t="s">
        <v>120</v>
      </c>
    </row>
    <row r="230" spans="1:1" ht="20.100000000000001" customHeight="1" x14ac:dyDescent="0.3">
      <c r="A230" s="20" t="s">
        <v>121</v>
      </c>
    </row>
    <row r="231" spans="1:1" ht="20.100000000000001" customHeight="1" x14ac:dyDescent="0.3">
      <c r="A231" s="20" t="s">
        <v>122</v>
      </c>
    </row>
    <row r="232" spans="1:1" ht="20.100000000000001" customHeight="1" x14ac:dyDescent="0.3">
      <c r="A232" s="20" t="s">
        <v>123</v>
      </c>
    </row>
    <row r="233" spans="1:1" ht="20.100000000000001" customHeight="1" x14ac:dyDescent="0.3">
      <c r="A233" s="20" t="s">
        <v>124</v>
      </c>
    </row>
    <row r="234" spans="1:1" ht="20.100000000000001" customHeight="1" x14ac:dyDescent="0.3">
      <c r="A234" s="20" t="s">
        <v>125</v>
      </c>
    </row>
    <row r="235" spans="1:1" ht="20.100000000000001" customHeight="1" x14ac:dyDescent="0.3">
      <c r="A235" s="22" t="s">
        <v>126</v>
      </c>
    </row>
    <row r="236" spans="1:1" ht="20.100000000000001" customHeight="1" x14ac:dyDescent="0.3">
      <c r="A236" s="20" t="s">
        <v>127</v>
      </c>
    </row>
    <row r="237" spans="1:1" ht="20.100000000000001" customHeight="1" x14ac:dyDescent="0.3">
      <c r="A237" s="20" t="s">
        <v>128</v>
      </c>
    </row>
    <row r="238" spans="1:1" ht="20.100000000000001" customHeight="1" x14ac:dyDescent="0.3">
      <c r="A238" s="20" t="s">
        <v>129</v>
      </c>
    </row>
    <row r="239" spans="1:1" ht="20.100000000000001" customHeight="1" x14ac:dyDescent="0.3">
      <c r="A239" s="20" t="s">
        <v>130</v>
      </c>
    </row>
    <row r="240" spans="1:1" ht="20.100000000000001" customHeight="1" x14ac:dyDescent="0.3">
      <c r="A240" s="20" t="s">
        <v>131</v>
      </c>
    </row>
    <row r="241" spans="1:1" ht="20.100000000000001" customHeight="1" x14ac:dyDescent="0.3">
      <c r="A241" s="20" t="s">
        <v>132</v>
      </c>
    </row>
    <row r="242" spans="1:1" ht="20.100000000000001" customHeight="1" x14ac:dyDescent="0.3">
      <c r="A242" s="20" t="s">
        <v>133</v>
      </c>
    </row>
    <row r="243" spans="1:1" ht="20.100000000000001" customHeight="1" x14ac:dyDescent="0.3">
      <c r="A243" s="20" t="s">
        <v>134</v>
      </c>
    </row>
    <row r="244" spans="1:1" ht="20.100000000000001" customHeight="1" x14ac:dyDescent="0.3">
      <c r="A244" s="20" t="s">
        <v>135</v>
      </c>
    </row>
    <row r="245" spans="1:1" ht="20.100000000000001" customHeight="1" x14ac:dyDescent="0.3">
      <c r="A245" s="20" t="s">
        <v>136</v>
      </c>
    </row>
    <row r="246" spans="1:1" ht="20.100000000000001" customHeight="1" x14ac:dyDescent="0.3">
      <c r="A246" s="20" t="s">
        <v>137</v>
      </c>
    </row>
    <row r="247" spans="1:1" ht="20.100000000000001" customHeight="1" x14ac:dyDescent="0.3">
      <c r="A247" s="20" t="s">
        <v>128</v>
      </c>
    </row>
    <row r="248" spans="1:1" ht="20.100000000000001" customHeight="1" x14ac:dyDescent="0.3">
      <c r="A248" s="20" t="s">
        <v>138</v>
      </c>
    </row>
    <row r="249" spans="1:1" ht="20.100000000000001" customHeight="1" x14ac:dyDescent="0.3">
      <c r="A249" s="20" t="s">
        <v>139</v>
      </c>
    </row>
    <row r="250" spans="1:1" ht="20.100000000000001" customHeight="1" x14ac:dyDescent="0.3">
      <c r="A250" s="22" t="s">
        <v>140</v>
      </c>
    </row>
    <row r="251" spans="1:1" ht="20.100000000000001" customHeight="1" x14ac:dyDescent="0.3">
      <c r="A251" s="23" t="s">
        <v>141</v>
      </c>
    </row>
    <row r="252" spans="1:1" ht="20.100000000000001" customHeight="1" x14ac:dyDescent="0.3">
      <c r="A252" s="20" t="s">
        <v>142</v>
      </c>
    </row>
    <row r="253" spans="1:1" ht="20.100000000000001" customHeight="1" x14ac:dyDescent="0.3">
      <c r="A253" s="20" t="s">
        <v>143</v>
      </c>
    </row>
    <row r="254" spans="1:1" ht="20.100000000000001" customHeight="1" x14ac:dyDescent="0.3">
      <c r="A254" s="24" t="s">
        <v>144</v>
      </c>
    </row>
    <row r="255" spans="1:1" ht="20.100000000000001" customHeight="1" x14ac:dyDescent="0.3">
      <c r="A255" s="24" t="s">
        <v>145</v>
      </c>
    </row>
    <row r="256" spans="1:1" ht="20.100000000000001" customHeight="1" x14ac:dyDescent="0.3">
      <c r="A256" s="25" t="s">
        <v>146</v>
      </c>
    </row>
    <row r="257" spans="1:1" ht="20.100000000000001" customHeight="1" x14ac:dyDescent="0.3">
      <c r="A257" s="20" t="s">
        <v>147</v>
      </c>
    </row>
    <row r="258" spans="1:1" ht="20.100000000000001" customHeight="1" x14ac:dyDescent="0.3">
      <c r="A258" s="25" t="s">
        <v>148</v>
      </c>
    </row>
    <row r="259" spans="1:1" ht="20.100000000000001" customHeight="1" x14ac:dyDescent="0.3">
      <c r="A259" s="20" t="s">
        <v>149</v>
      </c>
    </row>
    <row r="260" spans="1:1" ht="20.100000000000001" customHeight="1" x14ac:dyDescent="0.3">
      <c r="A260" s="25" t="s">
        <v>150</v>
      </c>
    </row>
    <row r="261" spans="1:1" ht="20.100000000000001" customHeight="1" x14ac:dyDescent="0.3">
      <c r="A261" s="20" t="s">
        <v>151</v>
      </c>
    </row>
    <row r="262" spans="1:1" ht="20.100000000000001" customHeight="1" x14ac:dyDescent="0.3">
      <c r="A262" s="20" t="s">
        <v>152</v>
      </c>
    </row>
    <row r="263" spans="1:1" ht="20.100000000000001" customHeight="1" x14ac:dyDescent="0.3">
      <c r="A263" s="25" t="s">
        <v>153</v>
      </c>
    </row>
    <row r="264" spans="1:1" ht="20.100000000000001" customHeight="1" x14ac:dyDescent="0.3">
      <c r="A264" s="25" t="s">
        <v>154</v>
      </c>
    </row>
    <row r="265" spans="1:1" ht="20.100000000000001" customHeight="1" x14ac:dyDescent="0.3">
      <c r="A265" s="25" t="s">
        <v>155</v>
      </c>
    </row>
    <row r="266" spans="1:1" ht="20.100000000000001" customHeight="1" x14ac:dyDescent="0.3">
      <c r="A266" s="20" t="s">
        <v>156</v>
      </c>
    </row>
    <row r="267" spans="1:1" ht="20.100000000000001" customHeight="1" x14ac:dyDescent="0.3">
      <c r="A267" s="20" t="s">
        <v>157</v>
      </c>
    </row>
    <row r="268" spans="1:1" ht="20.100000000000001" customHeight="1" x14ac:dyDescent="0.3">
      <c r="A268" s="20" t="s">
        <v>158</v>
      </c>
    </row>
    <row r="269" spans="1:1" ht="20.100000000000001" customHeight="1" x14ac:dyDescent="0.3">
      <c r="A269" s="20" t="s">
        <v>159</v>
      </c>
    </row>
    <row r="270" spans="1:1" ht="20.100000000000001" customHeight="1" x14ac:dyDescent="0.3">
      <c r="A270" s="25" t="s">
        <v>160</v>
      </c>
    </row>
    <row r="271" spans="1:1" ht="20.100000000000001" customHeight="1" x14ac:dyDescent="0.3">
      <c r="A271" s="25" t="s">
        <v>161</v>
      </c>
    </row>
    <row r="272" spans="1:1" ht="20.100000000000001" customHeight="1" x14ac:dyDescent="0.3">
      <c r="A272" s="20" t="s">
        <v>162</v>
      </c>
    </row>
    <row r="273" spans="1:1" ht="20.100000000000001" customHeight="1" x14ac:dyDescent="0.3">
      <c r="A273" s="25" t="s">
        <v>163</v>
      </c>
    </row>
    <row r="274" spans="1:1" ht="20.100000000000001" customHeight="1" x14ac:dyDescent="0.3">
      <c r="A274" s="25" t="s">
        <v>164</v>
      </c>
    </row>
    <row r="275" spans="1:1" ht="20.100000000000001" customHeight="1" x14ac:dyDescent="0.3">
      <c r="A275" s="20" t="s">
        <v>165</v>
      </c>
    </row>
    <row r="276" spans="1:1" ht="20.100000000000001" customHeight="1" x14ac:dyDescent="0.3">
      <c r="A276" s="20" t="s">
        <v>166</v>
      </c>
    </row>
    <row r="277" spans="1:1" ht="20.100000000000001" customHeight="1" x14ac:dyDescent="0.3">
      <c r="A277" s="25" t="s">
        <v>167</v>
      </c>
    </row>
    <row r="278" spans="1:1" ht="20.100000000000001" customHeight="1" x14ac:dyDescent="0.3">
      <c r="A278" s="20" t="s">
        <v>168</v>
      </c>
    </row>
    <row r="279" spans="1:1" ht="20.100000000000001" customHeight="1" x14ac:dyDescent="0.3">
      <c r="A279" s="20" t="s">
        <v>169</v>
      </c>
    </row>
    <row r="280" spans="1:1" ht="20.100000000000001" customHeight="1" x14ac:dyDescent="0.3">
      <c r="A280" s="20" t="s">
        <v>170</v>
      </c>
    </row>
    <row r="281" spans="1:1" ht="20.100000000000001" customHeight="1" x14ac:dyDescent="0.3">
      <c r="A281" s="20" t="s">
        <v>171</v>
      </c>
    </row>
    <row r="282" spans="1:1" ht="20.100000000000001" customHeight="1" x14ac:dyDescent="0.3">
      <c r="A282" s="25" t="s">
        <v>172</v>
      </c>
    </row>
    <row r="283" spans="1:1" ht="20.100000000000001" customHeight="1" x14ac:dyDescent="0.3">
      <c r="A283" s="25" t="s">
        <v>173</v>
      </c>
    </row>
    <row r="284" spans="1:1" ht="20.100000000000001" customHeight="1" x14ac:dyDescent="0.3">
      <c r="A284" s="25" t="s">
        <v>174</v>
      </c>
    </row>
    <row r="285" spans="1:1" ht="20.100000000000001" customHeight="1" thickBot="1" x14ac:dyDescent="0.35">
      <c r="A285" s="20" t="s">
        <v>175</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2025-10-21T02:40:15Z</dcterms:modified>
</cp:coreProperties>
</file>