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F474344-B84B-42CF-9DE5-C822202D2C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8" i="2"/>
  <c r="H8" i="2"/>
  <c r="F14" i="2"/>
  <c r="E14" i="2"/>
  <c r="E15" i="2"/>
  <c r="E16" i="2"/>
</calcChain>
</file>

<file path=xl/sharedStrings.xml><?xml version="1.0" encoding="utf-8"?>
<sst xmlns="http://schemas.openxmlformats.org/spreadsheetml/2006/main" count="243" uniqueCount="187">
  <si>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</si>
  <si>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</si>
  <si>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</si>
  <si>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</si>
  <si>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</si>
  <si>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</si>
  <si>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</si>
  <si>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</si>
  <si>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</si>
  <si>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</si>
  <si>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</si>
  <si>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</si>
  <si>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</si>
  <si>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</si>
  <si>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</si>
  <si>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</si>
  <si>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</si>
  <si>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</si>
  <si>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</si>
  <si>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</si>
  <si>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</si>
  <si>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</si>
  <si>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</si>
  <si>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</si>
  <si>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</si>
  <si>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</si>
  <si>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</si>
  <si>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</si>
  <si>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</si>
  <si>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</si>
  <si>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</si>
  <si>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</si>
  <si>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</si>
  <si>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</si>
  <si>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</si>
  <si>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</si>
  <si>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</si>
  <si>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</si>
  <si>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</si>
  <si>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</si>
  <si>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</si>
  <si>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</si>
  <si>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</si>
  <si>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</si>
  <si>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</si>
  <si>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</si>
  <si>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</si>
  <si>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</si>
  <si>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</si>
  <si>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</si>
  <si>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</si>
  <si>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</si>
  <si>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</si>
  <si>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</si>
  <si>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</si>
  <si>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</si>
  <si>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</si>
  <si>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</si>
  <si>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</si>
  <si>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</si>
  <si>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</si>
  <si>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</si>
  <si>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</si>
  <si>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</si>
  <si>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</si>
  <si>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</si>
  <si>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</si>
  <si>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</si>
  <si>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</si>
  <si>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</si>
  <si>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</si>
  <si>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</si>
  <si>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</si>
  <si>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</si>
  <si>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</si>
  <si>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</si>
  <si>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</si>
  <si>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</si>
  <si>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</si>
  <si>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</si>
  <si>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</si>
  <si>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</si>
  <si>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</si>
  <si>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</si>
  <si>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</si>
  <si>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</si>
  <si>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</si>
  <si>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</si>
  <si>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</si>
  <si>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</si>
  <si>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</si>
  <si>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</si>
  <si>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</si>
  <si>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</si>
  <si>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</si>
  <si>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</si>
  <si>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</si>
  <si>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</si>
  <si>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</si>
  <si>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</si>
  <si>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</si>
  <si>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</si>
  <si>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</si>
  <si>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</si>
  <si>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</si>
  <si>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</si>
  <si>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</si>
  <si>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</si>
  <si>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</si>
  <si>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</si>
  <si>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</si>
  <si>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</si>
  <si>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</si>
  <si>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</si>
  <si>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</si>
  <si>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</si>
  <si>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</si>
  <si>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</si>
  <si>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</si>
  <si>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</si>
  <si>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</si>
  <si>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</si>
  <si>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</si>
  <si>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</si>
  <si>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</si>
  <si>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</si>
  <si>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</si>
  <si>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</si>
  <si>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</si>
  <si>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</si>
  <si>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</si>
  <si>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</si>
  <si>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</si>
  <si>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</si>
  <si>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</si>
  <si>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</si>
  <si>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</si>
  <si>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</si>
  <si>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</si>
  <si>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</si>
  <si>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</si>
  <si>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</si>
  <si>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</si>
  <si>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</si>
  <si>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</si>
  <si>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</si>
  <si>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</si>
  <si>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</si>
  <si>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</si>
  <si>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</si>
  <si>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</si>
  <si>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</si>
  <si>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</si>
  <si>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</si>
  <si>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</si>
  <si>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</si>
  <si>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</si>
  <si>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</si>
  <si>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</si>
  <si>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</si>
  <si>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</si>
  <si>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</si>
  <si>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</si>
  <si>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</si>
  <si>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</si>
  <si>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</si>
  <si>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</si>
  <si>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</si>
  <si>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</si>
  <si>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</si>
  <si>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</si>
  <si>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</si>
  <si>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</si>
  <si>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</si>
  <si>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</si>
  <si>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</si>
  <si>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</si>
  <si>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</si>
  <si>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</si>
  <si>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</si>
  <si>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الاشارة في اسناد الهجوم المدبر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</si>
  <si>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تجهيز الاتصالات السلكية واللاسلكية والبريد العسكري.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</si>
  <si>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نظام القيادة والسيطرة الالي أثناء الهجوم المدبر.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</si>
  <si>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تأمين الاتصالات البديلة في حالة الإعاقة الالكترونية (HF).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</si>
  <si>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إدامة قوة الإشارة والاتصالات.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</si>
  <si>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بالأمن اللاسلكي.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</si>
  <si>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Arial"/>
        <family val="2"/>
      </rPr>
      <t>التقيد بقواعد واصول المخابرة الصحيحة.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</si>
</sst>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right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318517</xdr:colOff>
      <xdr:row>17</xdr:row>
      <xdr:rowOff>183388</xdr:rowOff>
    </xdr:from>
    <xdr:to>
      <xdr:col>6</xdr:col>
      <xdr:colOff>466117</xdr:colOff>
      <xdr:row>17</xdr:row>
      <xdr:rowOff>588388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27D3EDC-2505-F0D2-4AB5-56088F8BA054}"/>
                </a:ext>
              </a:extLst>
            </xdr14:cNvPr>
            <xdr14:cNvContentPartPr/>
          </xdr14:nvContentPartPr>
          <xdr14:nvPr macro=""/>
          <xdr14:xfrm>
            <a:off x="10400094973" y="6810480"/>
            <a:ext cx="147600" cy="405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27D3EDC-2505-F0D2-4AB5-56088F8BA0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088853" y="6804360"/>
              <a:ext cx="159840" cy="41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337597</xdr:colOff>
      <xdr:row>17</xdr:row>
      <xdr:rowOff>102748</xdr:rowOff>
    </xdr:from>
    <xdr:to>
      <xdr:col>6</xdr:col>
      <xdr:colOff>512917</xdr:colOff>
      <xdr:row>17</xdr:row>
      <xdr:rowOff>221188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884A222-AFF7-FBAA-1AA4-C0F7AC63D697}"/>
                </a:ext>
              </a:extLst>
            </xdr14:cNvPr>
            <xdr14:cNvContentPartPr/>
          </xdr14:nvContentPartPr>
          <xdr14:nvPr macro=""/>
          <xdr14:xfrm>
            <a:off x="10400048173" y="6729840"/>
            <a:ext cx="175320" cy="118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884A222-AFF7-FBAA-1AA4-C0F7AC63D697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042053" y="6723720"/>
              <a:ext cx="18756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422197</xdr:colOff>
      <xdr:row>17</xdr:row>
      <xdr:rowOff>341068</xdr:rowOff>
    </xdr:from>
    <xdr:to>
      <xdr:col>8</xdr:col>
      <xdr:colOff>76216</xdr:colOff>
      <xdr:row>17</xdr:row>
      <xdr:rowOff>533308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FB715A1D-FCB5-E1A5-339C-29241AB563EC}"/>
                </a:ext>
              </a:extLst>
            </xdr14:cNvPr>
            <xdr14:cNvContentPartPr/>
          </xdr14:nvContentPartPr>
          <xdr14:nvPr macro=""/>
          <xdr14:xfrm>
            <a:off x="10399168693" y="6968160"/>
            <a:ext cx="970200" cy="1922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FB715A1D-FCB5-E1A5-339C-29241AB563E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162573" y="6962040"/>
              <a:ext cx="98244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200416</xdr:colOff>
      <xdr:row>17</xdr:row>
      <xdr:rowOff>252508</xdr:rowOff>
    </xdr:from>
    <xdr:to>
      <xdr:col>8</xdr:col>
      <xdr:colOff>317056</xdr:colOff>
      <xdr:row>17</xdr:row>
      <xdr:rowOff>527188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3FBD712-5313-AE65-5120-5666A70C6580}"/>
                </a:ext>
              </a:extLst>
            </xdr14:cNvPr>
            <xdr14:cNvContentPartPr/>
          </xdr14:nvContentPartPr>
          <xdr14:nvPr macro=""/>
          <xdr14:xfrm>
            <a:off x="10398927853" y="6879600"/>
            <a:ext cx="116640" cy="2746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3FBD712-5313-AE65-5120-5666A70C658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921733" y="6873480"/>
              <a:ext cx="128880" cy="28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204037</xdr:colOff>
      <xdr:row>17</xdr:row>
      <xdr:rowOff>58108</xdr:rowOff>
    </xdr:from>
    <xdr:to>
      <xdr:col>9</xdr:col>
      <xdr:colOff>479766</xdr:colOff>
      <xdr:row>17</xdr:row>
      <xdr:rowOff>564628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877572C8-BA9E-0149-CF4B-8981FFD0EDBE}"/>
                </a:ext>
              </a:extLst>
            </xdr14:cNvPr>
            <xdr14:cNvContentPartPr/>
          </xdr14:nvContentPartPr>
          <xdr14:nvPr macro=""/>
          <xdr14:xfrm>
            <a:off x="10398107053" y="6685200"/>
            <a:ext cx="2250000" cy="5065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877572C8-BA9E-0149-CF4B-8981FFD0EDB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100933" y="6679080"/>
              <a:ext cx="2262240" cy="51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17886</xdr:colOff>
      <xdr:row>17</xdr:row>
      <xdr:rowOff>520708</xdr:rowOff>
    </xdr:from>
    <xdr:to>
      <xdr:col>9</xdr:col>
      <xdr:colOff>30486</xdr:colOff>
      <xdr:row>17</xdr:row>
      <xdr:rowOff>573268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208AE3D-65A9-D7AF-3878-AA7461792D09}"/>
                </a:ext>
              </a:extLst>
            </xdr14:cNvPr>
            <xdr14:cNvContentPartPr/>
          </xdr14:nvContentPartPr>
          <xdr14:nvPr macro=""/>
          <xdr14:xfrm>
            <a:off x="10398556333" y="7147800"/>
            <a:ext cx="12600" cy="525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208AE3D-65A9-D7AF-3878-AA7461792D0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550213" y="7141680"/>
              <a:ext cx="24840" cy="64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7:59:08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11714,'0'0'0,"0"0"712,0 0-712,0 0 448,2 2-296,13 3-88,-6 10 32,6-3-48,-1 1-48,-2 1 0,0-1-32,-12-13 32,17 14-16,-5 0-16,0-1-8,2 1 8,-14-14 32,10 13 0,2 1-8,-7 0 0,9-1 16,-14-13-8,5 14-40,12 0 56,-15 2 48,15 1 24,-17-17-88,10 17 200,4 2 56,-2 1 56,0 1-7,-12-21-305,15 21 264,-3 2-32,-7 3-56,9-1-24,-14-25-152,5 29 120,12 0-24,-5 3-40,0 2 0,-12-34-56,12 37 56,-10 1-72,10 2 40,-7 0-16,-5-40-8,5 41-8,-3 3 48,3-1-40,0-1-8,-5-42 8,2 42-32,-2-5-64,3-1-40,-3 0-232,0-36 368,0 33-905,-3-2-1519,3-7-377,-2-4-3464,2-20 6265,0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7:59:10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54 4849,'0'0'0,"4"0"104,9 0-56,-11 0-40,-2 0-8,14 3 24,-11-3-72,2 0 32,-3 0-32,-2 0 48,2 0-40,3 0 0,-2-2-32,-3 1 40,0 1 32,2-4-40,-2 1 40,2-1 8,-2-1 16,0 5-24,0-4 8,3 0 16,-3-2 16,0 2 8,0 4-48,5-4 104,-5-1 40,0 3 136,0-1 104,0 3-384,0-2 424,0 1 8,0-1-88,0 1-128,0 1-216,0 0 176,0 0-40,0 0-72,0 0 8,0 0-520,-3 0 928,1 0-440,-1 0-8,1 0 32,2 0-64,-5 0 64,3 0-40,-3 3 24,3 0-24,2-3-24,-8 3-8,6-1 16,-3 3-32,3-1-64,2-4 88,-3 4-48,1 8-16,2-10 16,-2 11 24,2-13 24,0 4-40,-3 12 40,1-12-32,2 13 8,0-17 24,0 13-8,5 0-24,-3 0 16,0 1 32,-2-14-16,20 14-56,-18-1 8,15 0-8,-3-2 0,-14-11 56,12 4-40,5 12 8,-2-12 8,-1 9-32,-14-13 56,17 3-24,-3 8 24,-2-8-32,3 2 48,-15-5-16,14 4 0,1 0-16,1 0-24,-4-1-40,-12-3 80,12 0-72,3 3-24,-1-3 32,1 0-40,-15 0 104,14 0-120,-2 0 64,0 0 16,0-1 56,-12 1-16,12-2 88,-9 1-32,9-2 8,-7 0 72,-5 3-136,2-1 80,3-1 24,0 1-24,-1-1-48,-4 2-32,3-1 24,-3 1-48,0 0 16,0 0 8,0 0 16,0 0 8,-3 3 24,-1 1 0,4-4-48,-5 4 24,0 1-8,-7-1-24,10 7 16,2-11-8,-5 3-56,-7 1 56,7 8 24,-7-9-72,12-3 48,-7 2 40,-10 3 0,2-1 16,-1-1 96,16-3-152,-22 3 64,3-3-32,-3 2-40,0-2-80,22 0 88,-26 0-40,-1 0 0,-1 0 0,1 0 48,27 0-8,-26-1 16,2 0-24,-3-1 72,3 2-48,24 0-16,-19 0-80,0 0-144,4 0-456,10 0-200,5 0 880,-14 0-3985,14 0 3985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7:59:12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2507 0 5801,'0'0'0,"-4"0"656,2 0-160,2 0-496,-8 0 264,6 0-160,-3 3-80,0 0-88,5-3 64,-2 3-56,-4 1 0,1 1 8,3-1 8,2-4 40,-8 11-16,6-8 16,-2 8 16,-1-6 56,5-5-72,-2 15 104,0-10 24,-1 12 8,-2-5 8,5-12-144,0 15 112,0-1-16,0 0-40,0 2 16,0-16-72,5 15 0,7 1-8,-8-2-24,8-1-24,-12-13 56,11 4-48,1 13 0,0-12 8,-11 6-32,-1-11 72,17 0-56,-12 4-32,9-1 40,-10-3-40,-4 0 88,11 0-56,-6 0 40,-2-1-32,6-2 88,-9 3-40,0-4 40,5-2-8,1-6 0,-3 10 32,-3 2-64,2-5 40,-2-6-32,0 10 8,0-4-32,0 5 16,-2-4-40,2 1 24,-5 0-64,-6 2 24,11 1 56,-7 0-72,-7 0 24,9 3 40,-13 1-16,18-4 24,-14 13-88,0-10-96,0 9-168,0-7-232,14-5 584,-12 14-528,-1-10 88,3 9 144,5-10 191,5-3 105,-15 5-56,10-1 8,-11 0 40,6-1 24,10-3-16,-3 0 16,-12 0 8,13-2-16,-3 1 24,5 1-32,-4-4 40,2 1 9,2-1 31,0-1-8,0 5-72,0-4 72,2 1 0,2-1-48,10-1-16,-14 5-8,11-4 16,-8 0-24,14 2 24,-14 1-16,-3 1 0,10 0-8,-5 0 0,-5 0 0,0 4 64,0-4-56,0 5 104,0 8 64,-12-9 8,1 12-24,11-16-152,-17 12 80,1 1-88,-2 0-56,-3 0-80,21-13 144,-20 13-176,-3-1-8,-1 1 40,-1-1 40,25-12 104,-28 4-56,0 10 24,5-11 16,-2 1 16,25-4 0,-26 4 8,1 1 16,4-1 8,1-1 24,20-3-56,-17 3 128,3-3 32,2 0 56,10 0-8,2 0-208,-11 0 184,11 0-32,-7 0-24,4-2-16,3 2-112,-2-3 88,2-1-32,-5 1-48,4 0-16,1 3 8,-5-4 8,0 1-24,-7 2 32,6-1-8,6 2-8,-15 0 24,4 0-16,-3 0 0,-4 0-8,18 0 0,-16 3-24,-3-3 0,0 3-32,3-3 40,16 0 16,-18 3-56,-2-3-16,0 3-24,0-3-88,20 0 184,-19 0-248,1 0-16,-5-3 72,4-1 32,19 4 160,-21-6-56,1-7 56,-1 8 0,9-13 48,12 18-48,-13-11 88,-1-2 88,2 1 40,7-3 80,5 15-296,-13-14 296,8 0 40,-9 3 40,10 5 32,4 6-408,-5-11 488,-7 10-24,8-2 56,-10 3-40,14 0-480,-11 0 449,-1 4-73,-7 8-152,1-7-24,18-5-200,-22 17 40,4-6-40,0 2-24,-3-2-72,21-11 96,-23 13-48,0-2-40,0 1 0,4-8 16,19-4 72,-16 16-64,-2-14 48,0 3 8,1 6 0,17-11 8,-16 0-48,4 0 56,1 0 32,-1 0 8,12 0-48,-14 0 120,0-1-32,10-2 8,-13-1 56,17 4-152,-4-6 112,0-6 56,-8 8-32,7 0-56,5 4-80,-9-13 88,-3 10-64,1-2-40,4-1-8,7 6 24,-14-4 0,10-1-8,-11 4 88,0 1 32,15 0-112,-16 0 264,-4 11 112,-3 1 24,0 0-32,23-12-368,-23 16 264,0 1-184,-2-1-56,-3-1 24,28-15-48,-23 15-80,0-1 32,2-1-56,3-1-144,18-12 248,-18 12-168,-2-8 0,2 10-104,2-11 0,16-3 272,-17 4-320,2 1 16,-1-2 88,-1-3 104,17 0 112,-13 0-24,3 0 0,-3-3 72,0-2 72,13 5-120,-11-5 120,-1-7 80,8 8 136,-7-10 48,11 14-384,-5-6 424,-6-8 72,8 10-40,-1-9 0,4 13-456,-8-4 441,-3-2-113,-1 2-120,1 2-56,11 2-152,-12 0 112,1 0 0,-1 5-40,-4 6-40,16-11-32,-17 4-48,4 9 48,-5-10-64,6 10-56,12-13 120,-11 2-168,1 10-168,5-9 80,-8 0-57,13-3 313,-12 2-344,-2-2 160,-4 0-16,1 0 160,17 0 40,-15 0 8,-1-1 56,-1-3-48,1-1-16,16 5 0,-14-4 0,3 0-88,-4 1-64,2-1-176,13 4 328,-11-4-704,-4-1-576,6 1-793,-5 0 161,14 4 1912,-9-13-3121,-5 10 73,14 3 3048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7:59:12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20 126 7241,'0'0'0,"0"-16"1264,0 16-1264,-3-16 1297,1-2-297,2 2-344,-5 3-280,5 13-376,-5-11 216,3 5-96,2-6-32,-3 9-56,3 3-32,0-4-32,0-1 72,0 1-64,3 3 24,-3 1 0,2 0-8,3 0 0,9 2 48,-11 11 64,-3-13-104,12 12 48,-7 0 24,7 5 0,-7 3-64,-5-20-8,14 22 216,-2 3-40,0 1 48,5-1 16,-17-25-240,14 29 216,-2 1-80,5 0 0,-5 4 25,-12-34-161,19 35 16,-2 1-88,5-1-1,-8 2-55,-14-37 128,17 37-104,-5 0-16,3 2-152,-3-1-368,-12-38 640,5 38-1056,7-1-576,-12-1-473,7-5 257,-7-31 1848,0 28-4537,0-28 4537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7:59:13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1726 586 15979,'0'0'0,"0"0"0,-5 0 712,2 0-128,-2 3-288,5 1-288,0-4-8,0 14 40,5-9-64,10 13-48,-4-1 40,-11-17 32,12 17-152,2 2-40,2-1-24,1 2-80,-17-20 296,18 23-352,1 0 72,2 1 24,3 3 88,-24-27 168,23 27-96,-1-2 56,1 4 88,-3-2-8,-20-27-40,25 25 56,-5 1 24,2-2-32,-6-3 48,-16-21-96,17 20 144,-5-3-56,-10 0 48,9-2-104,-11-15-32,5 12 96,-3 0 40,-2-8-16,0 10 88,0-14-208,0 5 32,-5 6 104,-7-8-48,1 1-24,11-4-64,-17 11 72,-3-11-96,-4 3-8,-4-3-48,28 0 80,-33 0 16,-2 0-48,-2-4 24,-1-2 8,38 6 0,-42-12 32,-3 6 24,0-10-8,-5 3-16,50 13-32,-52-14-8,-3 0-8,0-2 40,-2-1 16,57 17-40,-51-15 0,-1-5 24,3-2 8,2 0 16,47 22-48,-47-27-40,3 1 40,9-1 0,-1-4 16,36 31-16,-30-30 112,4-1-48,3-1-32,1 3-16,9-4 40,13 33-56,-12-30 24,7-1 0,0-1 8,5 1-16,0 31-16,0-31 8,2 0-8,18-2 16,-2 0-32,-18 33 16,21-31-8,5 1 8,-1 2-40,-1-2 8,-24 30 32,28-30 8,7 0-40,0 2 56,5 2 8,-40 26-32,43-23-32,4 1 16,0 0-16,9 2 0,-56 20 32,59-19-24,1 1 0,8 3-24,-68 15 48,68-14-16,3 1 8,6 1 8,7 8 72,5-9-48,-89 13-24,95-2 40,3-3 48,2 0-128,6 0 32,-106 5 8,108-4-24,0 1-48,2 2 112,0-1 40,-110 2-80,117 0 32,3 0 32,-1 0-64,3 0 0,-122 0 0,120 5-16,0-1-8,-2 7 64,2-6-56,-120-5 16,117 12 16,1-7 0,-6 9-32,-2-10-56,-110-4 72,109 17 0,-7-5 8,-1-1-16,0 2-16,-101-13 24,98 12-16,-1 3 32,-6 0-8,1 2 32,-92-17-40,88 19-16,-3-1-64,-8 1 24,-2-1 32,-75-18 24,72 19-16,1 1 32,-4-3-40,-9 0-40,-60-17 64,57 17-32,-6-2 0,-4 0 16,-7-1 32,-40-14-16,37 14-40,-4 0 8,2-1 24,-6 0-40,-29-13 48,28 13-104,-5 1 112,-4 0 16,-3 0-32,-16-14 8,15 16 8,-1-2-144,-3 2-104,-9-2 32,-2-14 208,5 13-216,-5 0 80,0-1 24,-7-7-8,7-5 120,-13 17-72,-2-13 0,-4 10 48,5-9 16,14-5 8,-24 14 16,4-10-16,-6 7-8,-3-8 72,29-3-64,-30 12 112,7-10-64,-3 10 16,0-9-72,26-3 8,-30 11 0,2-8 32,-5 10-32,-5-10 136,38-3-136,-38 4-24,-5 7 56,-7-11-40,-2 3-96,52-3 104,-60 4 32,-2 1-40,-3-3 16,-5 3 64,70-5-72,-78 4 8,-1 7 16,-6-6-16,1 7-24,84-12 16,-87 5-24,-4 9 56,0-10-24,-6 13 8,97-17-16,-95 4-16,-9 13 16,1-4-8,-2 0-16,105-13 24,-108 13 24,-3 2-80,-2 1 88,-4 0-32,117-16 0,-121 17 56,-3 3-24,-10 0-40,-2-1 56,136-19-48,-140 20-80,-4-1 104,4 1-120,-8 0 120,148-20-24,-145 18 104,-4 2 16,2-1 200,-1 0-192,148-19-128,-140 22 120,-1-2-16,0 0 0,1-2 0,140-18-104,-134 17 184,1 0-64,11-1-88,2 1 136,120-17-168,-115 14 8,5 2-32,3-3 40,12-2-64,95-11 48,-90 11-24,7-6 120,11 6-120,3-8 0,69-3 24,-58 3-72,8-1 16,13-2 32,2 3-128,35-3 152,-18 0-264,3 0-528,15 0-584,0 0-833,0 0 2209,5 0-3112,20-3 447,2 2-2616,-27 1 5281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7:59:14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15 8129,'0'0'0,"-2"-5"2193,-1 1-201,3 4-1992,-4-4 1560,4 2-647,-3 2-441,1 3-360,2-3-112,-3 14 40,1-2-48,0 3-56,2 4-24,0-19 88,0 18-432,-3 2-569,-2 0-1815,1 4-3978,4-24 6794,0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8"/>
  <sheetViews>
    <sheetView rightToLeft="1" tabSelected="1" view="pageBreakPreview" topLeftCell="B1" zoomScale="130" zoomScaleNormal="100" zoomScaleSheetLayoutView="130" workbookViewId="0">
      <selection activeCell="F12" sqref="F1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4" t="s">
        <v>180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3">
      <c r="B2" s="19" t="s">
        <v>8</v>
      </c>
      <c r="C2" s="60" t="s">
        <v>15</v>
      </c>
      <c r="D2" s="60"/>
      <c r="E2" s="19" t="s">
        <v>7</v>
      </c>
      <c r="F2" s="55">
        <v>45957</v>
      </c>
      <c r="G2" s="55"/>
      <c r="H2" s="55"/>
      <c r="I2" s="55"/>
      <c r="J2" s="55"/>
    </row>
    <row r="3" spans="1:10" ht="30" customHeight="1" x14ac:dyDescent="0.3">
      <c r="B3" s="19" t="s">
        <v>9</v>
      </c>
      <c r="C3" s="60" t="s">
        <v>75</v>
      </c>
      <c r="D3" s="60"/>
      <c r="E3" s="19" t="s">
        <v>6</v>
      </c>
      <c r="F3" s="60" t="s">
        <v>122</v>
      </c>
      <c r="G3" s="60"/>
      <c r="H3" s="60"/>
      <c r="I3" s="60"/>
      <c r="J3" s="60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6"/>
      <c r="B5" s="56" t="s">
        <v>0</v>
      </c>
      <c r="C5" s="57"/>
      <c r="D5" s="57"/>
      <c r="E5" s="63" t="s">
        <v>1</v>
      </c>
      <c r="F5" s="63"/>
      <c r="G5" s="63"/>
      <c r="H5" s="63"/>
      <c r="I5" s="63" t="s">
        <v>2</v>
      </c>
      <c r="J5" s="64"/>
    </row>
    <row r="6" spans="1:10" ht="24.9" customHeight="1" thickBot="1" x14ac:dyDescent="0.35">
      <c r="A6" s="16"/>
      <c r="B6" s="58"/>
      <c r="C6" s="59"/>
      <c r="D6" s="59"/>
      <c r="E6" s="17" t="s">
        <v>3</v>
      </c>
      <c r="F6" s="17" t="s">
        <v>4</v>
      </c>
      <c r="G6" s="17" t="s">
        <v>23</v>
      </c>
      <c r="H6" s="17" t="s">
        <v>24</v>
      </c>
      <c r="I6" s="65"/>
      <c r="J6" s="66"/>
    </row>
    <row r="7" spans="1:10" ht="24.9" customHeight="1" thickBot="1" x14ac:dyDescent="0.35">
      <c r="A7" s="16"/>
      <c r="B7" s="61" t="s">
        <v>21</v>
      </c>
      <c r="C7" s="62"/>
      <c r="D7" s="62"/>
      <c r="E7" s="18" t="s">
        <v>18</v>
      </c>
      <c r="F7" s="18" t="s">
        <v>19</v>
      </c>
      <c r="G7" s="18" t="s">
        <v>22</v>
      </c>
      <c r="H7" s="18" t="s">
        <v>20</v>
      </c>
      <c r="I7" s="53" t="s">
        <v>25</v>
      </c>
      <c r="J7" s="67"/>
    </row>
    <row r="8" spans="1:10" ht="30" customHeight="1" x14ac:dyDescent="0.3">
      <c r="A8" s="16"/>
      <c r="B8" s="34" t="s">
        <v>181</v>
      </c>
      <c r="C8" s="34"/>
      <c r="D8" s="34"/>
      <c r="E8" s="10">
        <v>10</v>
      </c>
      <c r="F8" s="11">
        <v>8.25</v>
      </c>
      <c r="G8" s="12">
        <f>IFERROR(F8/E8,"")</f>
        <v>0.82499999999999996</v>
      </c>
      <c r="H8" s="9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5"/>
      <c r="J8" s="36"/>
    </row>
    <row r="9" spans="1:10" ht="30" customHeight="1" x14ac:dyDescent="0.3">
      <c r="A9" s="16"/>
      <c r="B9" s="34" t="s">
        <v>182</v>
      </c>
      <c r="C9" s="34"/>
      <c r="D9" s="34"/>
      <c r="E9" s="10">
        <v>10</v>
      </c>
      <c r="F9" s="26">
        <v>8.25</v>
      </c>
      <c r="G9" s="12">
        <f>IFERROR(F9/E9,"")</f>
        <v>0.82499999999999996</v>
      </c>
      <c r="H9" s="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5"/>
      <c r="J9" s="36"/>
    </row>
    <row r="10" spans="1:10" ht="30" customHeight="1" x14ac:dyDescent="0.3">
      <c r="A10" s="16"/>
      <c r="B10" s="34" t="s">
        <v>183</v>
      </c>
      <c r="C10" s="34"/>
      <c r="D10" s="34"/>
      <c r="E10" s="13">
        <v>10</v>
      </c>
      <c r="F10" s="15">
        <v>8</v>
      </c>
      <c r="G10" s="12">
        <f t="shared" ref="G10:G13" si="0">IFERROR(F10/E10,"")</f>
        <v>0.8</v>
      </c>
      <c r="H10" s="9" t="str">
        <f t="shared" ref="H10:H1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8"/>
      <c r="J10" s="39"/>
    </row>
    <row r="11" spans="1:10" ht="30" customHeight="1" x14ac:dyDescent="0.3">
      <c r="A11" s="16"/>
      <c r="B11" s="34" t="s">
        <v>184</v>
      </c>
      <c r="C11" s="34"/>
      <c r="D11" s="34"/>
      <c r="E11" s="10">
        <v>10</v>
      </c>
      <c r="F11" s="15">
        <v>7.5</v>
      </c>
      <c r="G11" s="12">
        <f t="shared" si="0"/>
        <v>0.75</v>
      </c>
      <c r="H11" s="9" t="str">
        <f t="shared" si="1"/>
        <v>جيد</v>
      </c>
      <c r="I11" s="38"/>
      <c r="J11" s="39"/>
    </row>
    <row r="12" spans="1:10" ht="30" customHeight="1" x14ac:dyDescent="0.3">
      <c r="A12" s="16"/>
      <c r="B12" s="34" t="s">
        <v>185</v>
      </c>
      <c r="C12" s="34"/>
      <c r="D12" s="34"/>
      <c r="E12" s="13">
        <v>10</v>
      </c>
      <c r="F12" s="15">
        <v>7.25</v>
      </c>
      <c r="G12" s="12">
        <f t="shared" si="0"/>
        <v>0.72499999999999998</v>
      </c>
      <c r="H12" s="9" t="str">
        <f t="shared" si="1"/>
        <v>جيد</v>
      </c>
      <c r="I12" s="38"/>
      <c r="J12" s="39"/>
    </row>
    <row r="13" spans="1:10" ht="30" customHeight="1" thickBot="1" x14ac:dyDescent="0.35">
      <c r="A13" s="16"/>
      <c r="B13" s="34" t="s">
        <v>186</v>
      </c>
      <c r="C13" s="34"/>
      <c r="D13" s="34"/>
      <c r="E13" s="10">
        <v>10</v>
      </c>
      <c r="F13" s="15">
        <v>7</v>
      </c>
      <c r="G13" s="12">
        <f t="shared" si="0"/>
        <v>0.7</v>
      </c>
      <c r="H13" s="9" t="str">
        <f t="shared" si="1"/>
        <v>جيد</v>
      </c>
      <c r="I13" s="38"/>
      <c r="J13" s="39"/>
    </row>
    <row r="14" spans="1:10" ht="30" customHeight="1" thickBot="1" x14ac:dyDescent="0.35">
      <c r="A14" s="4"/>
      <c r="B14" s="52" t="s">
        <v>5</v>
      </c>
      <c r="C14" s="53"/>
      <c r="D14" s="53"/>
      <c r="E14" s="14">
        <f>SUM(E8:E13)</f>
        <v>60</v>
      </c>
      <c r="F14" s="14">
        <f>SUM(F8:F13)</f>
        <v>46.25</v>
      </c>
      <c r="G14" s="41"/>
      <c r="H14" s="42"/>
      <c r="I14" s="42"/>
      <c r="J14" s="43"/>
    </row>
    <row r="15" spans="1:10" ht="30" customHeight="1" thickBot="1" x14ac:dyDescent="0.35">
      <c r="A15" s="4"/>
      <c r="B15" s="52" t="s">
        <v>54</v>
      </c>
      <c r="C15" s="53"/>
      <c r="D15" s="53"/>
      <c r="E15" s="44">
        <f>F14/E14/100*100</f>
        <v>0.77083333333333337</v>
      </c>
      <c r="F15" s="44"/>
      <c r="G15" s="44"/>
      <c r="H15" s="44"/>
      <c r="I15" s="44"/>
      <c r="J15" s="45"/>
    </row>
    <row r="16" spans="1:10" ht="30" customHeight="1" thickBot="1" x14ac:dyDescent="0.35">
      <c r="A16" s="4"/>
      <c r="B16" s="52" t="s">
        <v>55</v>
      </c>
      <c r="C16" s="53"/>
      <c r="D16" s="53"/>
      <c r="E16" s="50" t="str">
        <f>_xlfn.IFS(E15&gt;=90%,"ممتاز",E15&gt;=80%,"جيد جداً",E15&gt;=70%,"جيد",E15&gt;=60%,"مقبول",E15&lt;60%,"راسب")</f>
        <v>جيد</v>
      </c>
      <c r="F16" s="50"/>
      <c r="G16" s="50"/>
      <c r="H16" s="50"/>
      <c r="I16" s="50"/>
      <c r="J16" s="51"/>
    </row>
    <row r="17" spans="1:10" ht="42" customHeight="1" x14ac:dyDescent="0.3">
      <c r="B17" s="46" t="s">
        <v>174</v>
      </c>
      <c r="C17" s="46"/>
      <c r="D17" s="46"/>
      <c r="E17" s="37" t="s">
        <v>52</v>
      </c>
      <c r="F17" s="37"/>
      <c r="G17" s="48" t="s">
        <v>122</v>
      </c>
      <c r="H17" s="48"/>
      <c r="I17" s="48"/>
      <c r="J17" s="48"/>
    </row>
    <row r="18" spans="1:10" ht="51" customHeight="1" x14ac:dyDescent="0.3">
      <c r="A18" s="5"/>
      <c r="B18" s="47"/>
      <c r="C18" s="47"/>
      <c r="D18" s="47"/>
      <c r="E18" s="40" t="s">
        <v>53</v>
      </c>
      <c r="F18" s="40"/>
      <c r="G18" s="49"/>
      <c r="H18" s="49"/>
      <c r="I18" s="49"/>
      <c r="J18" s="4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3"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:J1"/>
    <mergeCell ref="F2:J2"/>
    <mergeCell ref="B5:D6"/>
    <mergeCell ref="C2:D2"/>
    <mergeCell ref="C3:D3"/>
    <mergeCell ref="F3:J3"/>
    <mergeCell ref="E18:F18"/>
    <mergeCell ref="G14:J14"/>
    <mergeCell ref="E15:J15"/>
    <mergeCell ref="B17:D18"/>
    <mergeCell ref="G17:J17"/>
    <mergeCell ref="G18:J18"/>
    <mergeCell ref="E16:J16"/>
    <mergeCell ref="B14:D14"/>
    <mergeCell ref="B15:D15"/>
    <mergeCell ref="B16:D16"/>
    <mergeCell ref="B11:D11"/>
    <mergeCell ref="B12:D12"/>
    <mergeCell ref="B13:D13"/>
    <mergeCell ref="I9:J9"/>
    <mergeCell ref="E17:F17"/>
    <mergeCell ref="I11:J11"/>
    <mergeCell ref="I12:J12"/>
    <mergeCell ref="I13:J1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6">
    <cfRule type="expression" dxfId="14" priority="57">
      <formula>$E16="راسب"</formula>
    </cfRule>
  </conditionalFormatting>
  <conditionalFormatting sqref="E16:J16">
    <cfRule type="expression" dxfId="13" priority="58">
      <formula>$E16="مقبول"</formula>
    </cfRule>
    <cfRule type="expression" dxfId="12" priority="59">
      <formula>$E16="جيد"</formula>
    </cfRule>
    <cfRule type="expression" dxfId="11" priority="60">
      <formula>$E16="جيد جداً"</formula>
    </cfRule>
    <cfRule type="expression" dxfId="10" priority="61">
      <formula>$E16="ممتاز"</formula>
    </cfRule>
  </conditionalFormatting>
  <conditionalFormatting sqref="F8:F1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7:J17">
    <cfRule type="containsText" dxfId="6" priority="15" operator="containsText" text="أدخل اسم المحكم">
      <formula>NOT(ISERROR(SEARCH("أدخل اسم المحكم",G17)))</formula>
    </cfRule>
  </conditionalFormatting>
  <conditionalFormatting sqref="H8:H1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G17:J17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2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7" t="s">
        <v>62</v>
      </c>
    </row>
    <row r="3" spans="1:3" ht="20.100000000000001" customHeight="1" thickBot="1" x14ac:dyDescent="0.35">
      <c r="A3" s="2" t="s">
        <v>26</v>
      </c>
      <c r="C3" s="27" t="s">
        <v>63</v>
      </c>
    </row>
    <row r="4" spans="1:3" ht="20.100000000000001" customHeight="1" thickBot="1" x14ac:dyDescent="0.35">
      <c r="A4" s="2" t="s">
        <v>36</v>
      </c>
      <c r="C4" s="27" t="s">
        <v>64</v>
      </c>
    </row>
    <row r="5" spans="1:3" ht="20.100000000000001" customHeight="1" thickBot="1" x14ac:dyDescent="0.35">
      <c r="A5" s="2" t="s">
        <v>37</v>
      </c>
      <c r="C5" s="27" t="s">
        <v>65</v>
      </c>
    </row>
    <row r="6" spans="1:3" ht="20.100000000000001" customHeight="1" thickBot="1" x14ac:dyDescent="0.35">
      <c r="A6" s="2" t="s">
        <v>38</v>
      </c>
      <c r="C6" s="27" t="s">
        <v>66</v>
      </c>
    </row>
    <row r="7" spans="1:3" ht="20.100000000000001" customHeight="1" thickBot="1" x14ac:dyDescent="0.35">
      <c r="A7" s="2" t="s">
        <v>39</v>
      </c>
      <c r="C7" s="27" t="s">
        <v>67</v>
      </c>
    </row>
    <row r="8" spans="1:3" ht="20.100000000000001" customHeight="1" thickBot="1" x14ac:dyDescent="0.35">
      <c r="A8" s="2" t="s">
        <v>40</v>
      </c>
      <c r="C8" s="27" t="s">
        <v>68</v>
      </c>
    </row>
    <row r="9" spans="1:3" ht="20.100000000000001" customHeight="1" thickBot="1" x14ac:dyDescent="0.35">
      <c r="A9" s="2" t="s">
        <v>41</v>
      </c>
      <c r="C9" s="27" t="s">
        <v>69</v>
      </c>
    </row>
    <row r="10" spans="1:3" ht="20.100000000000001" customHeight="1" thickBot="1" x14ac:dyDescent="0.35">
      <c r="A10" s="2" t="s">
        <v>42</v>
      </c>
      <c r="C10" s="27" t="s">
        <v>70</v>
      </c>
    </row>
    <row r="11" spans="1:3" ht="20.100000000000001" customHeight="1" thickBot="1" x14ac:dyDescent="0.35">
      <c r="A11" s="2" t="s">
        <v>43</v>
      </c>
      <c r="C11" s="27" t="s">
        <v>71</v>
      </c>
    </row>
    <row r="12" spans="1:3" ht="20.100000000000001" customHeight="1" thickBot="1" x14ac:dyDescent="0.35">
      <c r="A12" s="2" t="s">
        <v>44</v>
      </c>
      <c r="C12" s="27" t="s">
        <v>72</v>
      </c>
    </row>
    <row r="13" spans="1:3" ht="20.100000000000001" customHeight="1" thickBot="1" x14ac:dyDescent="0.35">
      <c r="A13" s="2" t="s">
        <v>45</v>
      </c>
      <c r="C13" s="27" t="s">
        <v>73</v>
      </c>
    </row>
    <row r="14" spans="1:3" ht="20.100000000000001" customHeight="1" thickBot="1" x14ac:dyDescent="0.35">
      <c r="A14" s="2" t="s">
        <v>46</v>
      </c>
      <c r="C14" s="27" t="s">
        <v>74</v>
      </c>
    </row>
    <row r="15" spans="1:3" ht="20.100000000000001" customHeight="1" thickBot="1" x14ac:dyDescent="0.35">
      <c r="A15" s="2" t="s">
        <v>47</v>
      </c>
      <c r="C15" s="27" t="s">
        <v>75</v>
      </c>
    </row>
    <row r="16" spans="1:3" ht="20.100000000000001" customHeight="1" thickBot="1" x14ac:dyDescent="0.35">
      <c r="A16" s="2" t="s">
        <v>10</v>
      </c>
      <c r="C16" s="27" t="s">
        <v>76</v>
      </c>
    </row>
    <row r="17" spans="1:3" ht="20.100000000000001" customHeight="1" thickBot="1" x14ac:dyDescent="0.35">
      <c r="A17" s="2" t="s">
        <v>27</v>
      </c>
      <c r="C17" s="27" t="s">
        <v>77</v>
      </c>
    </row>
    <row r="18" spans="1:3" ht="20.100000000000001" customHeight="1" thickBot="1" x14ac:dyDescent="0.35">
      <c r="A18" s="2" t="s">
        <v>48</v>
      </c>
      <c r="C18" s="27" t="s">
        <v>78</v>
      </c>
    </row>
    <row r="19" spans="1:3" ht="20.100000000000001" customHeight="1" thickBot="1" x14ac:dyDescent="0.35">
      <c r="A19" s="2" t="s">
        <v>49</v>
      </c>
      <c r="C19" s="27" t="s">
        <v>79</v>
      </c>
    </row>
    <row r="20" spans="1:3" ht="20.100000000000001" customHeight="1" thickBot="1" x14ac:dyDescent="0.35">
      <c r="A20" s="2" t="s">
        <v>50</v>
      </c>
      <c r="C20" s="27" t="s">
        <v>80</v>
      </c>
    </row>
    <row r="21" spans="1:3" ht="20.100000000000001" customHeight="1" thickBot="1" x14ac:dyDescent="0.35">
      <c r="A21" s="2" t="s">
        <v>51</v>
      </c>
      <c r="C21" s="27" t="s">
        <v>81</v>
      </c>
    </row>
    <row r="22" spans="1:3" ht="20.100000000000001" customHeight="1" thickBot="1" x14ac:dyDescent="0.35">
      <c r="A22" s="2" t="s">
        <v>11</v>
      </c>
      <c r="C22" s="27" t="s">
        <v>82</v>
      </c>
    </row>
    <row r="23" spans="1:3" ht="20.100000000000001" customHeight="1" thickBot="1" x14ac:dyDescent="0.35">
      <c r="A23" s="2" t="s">
        <v>12</v>
      </c>
      <c r="C23" s="27" t="s">
        <v>83</v>
      </c>
    </row>
    <row r="24" spans="1:3" ht="20.100000000000001" customHeight="1" thickBot="1" x14ac:dyDescent="0.35">
      <c r="A24" s="2" t="s">
        <v>15</v>
      </c>
      <c r="C24" s="27" t="s">
        <v>84</v>
      </c>
    </row>
    <row r="25" spans="1:3" ht="20.100000000000001" customHeight="1" thickBot="1" x14ac:dyDescent="0.35">
      <c r="A25" s="2" t="s">
        <v>28</v>
      </c>
      <c r="C25" s="27" t="s">
        <v>85</v>
      </c>
    </row>
    <row r="26" spans="1:3" ht="20.100000000000001" customHeight="1" thickBot="1" x14ac:dyDescent="0.35">
      <c r="A26" s="2" t="s">
        <v>29</v>
      </c>
      <c r="C26" s="27" t="s">
        <v>86</v>
      </c>
    </row>
    <row r="27" spans="1:3" ht="20.100000000000001" customHeight="1" thickBot="1" x14ac:dyDescent="0.35">
      <c r="A27" s="2" t="s">
        <v>13</v>
      </c>
      <c r="C27" s="27" t="s">
        <v>87</v>
      </c>
    </row>
    <row r="28" spans="1:3" ht="20.100000000000001" customHeight="1" thickBot="1" x14ac:dyDescent="0.35">
      <c r="A28" s="2" t="s">
        <v>30</v>
      </c>
      <c r="C28" s="27" t="s">
        <v>88</v>
      </c>
    </row>
    <row r="29" spans="1:3" ht="20.100000000000001" customHeight="1" thickBot="1" x14ac:dyDescent="0.35">
      <c r="A29" s="2" t="s">
        <v>31</v>
      </c>
      <c r="C29" s="27" t="s">
        <v>177</v>
      </c>
    </row>
    <row r="30" spans="1:3" ht="20.100000000000001" customHeight="1" thickBot="1" x14ac:dyDescent="0.35">
      <c r="A30" s="2" t="s">
        <v>32</v>
      </c>
      <c r="C30" s="27" t="s">
        <v>178</v>
      </c>
    </row>
    <row r="31" spans="1:3" ht="20.100000000000001" customHeight="1" thickBot="1" x14ac:dyDescent="0.35">
      <c r="A31" s="2" t="s">
        <v>33</v>
      </c>
      <c r="C31" s="27" t="s">
        <v>179</v>
      </c>
    </row>
    <row r="32" spans="1:3" ht="20.100000000000001" customHeight="1" thickBot="1" x14ac:dyDescent="0.35">
      <c r="A32" s="2" t="s">
        <v>16</v>
      </c>
      <c r="C32" s="27"/>
    </row>
    <row r="33" spans="1:9" ht="20.100000000000001" customHeight="1" thickBot="1" x14ac:dyDescent="0.35">
      <c r="A33" s="2" t="s">
        <v>14</v>
      </c>
      <c r="C33" s="27"/>
    </row>
    <row r="34" spans="1:9" ht="20.100000000000001" customHeight="1" thickBot="1" x14ac:dyDescent="0.35">
      <c r="A34" s="2" t="s">
        <v>34</v>
      </c>
      <c r="C34" s="27"/>
    </row>
    <row r="35" spans="1:9" ht="20.100000000000001" customHeight="1" x14ac:dyDescent="0.3">
      <c r="A35" s="25"/>
    </row>
    <row r="36" spans="1:9" s="24" customFormat="1" ht="20.100000000000001" customHeight="1" x14ac:dyDescent="0.3">
      <c r="A36" s="22"/>
      <c r="B36" s="23"/>
      <c r="C36" s="23"/>
      <c r="D36" s="23"/>
      <c r="E36" s="23"/>
      <c r="F36" s="23"/>
      <c r="G36" s="23"/>
      <c r="H36" s="23"/>
      <c r="I36" s="2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20">
        <v>45931</v>
      </c>
    </row>
    <row r="40" spans="1:9" ht="20.100000000000001" customHeight="1" thickBot="1" x14ac:dyDescent="0.35">
      <c r="A40" s="20">
        <v>45932</v>
      </c>
    </row>
    <row r="41" spans="1:9" ht="20.100000000000001" customHeight="1" thickBot="1" x14ac:dyDescent="0.35">
      <c r="A41" s="20">
        <v>45933</v>
      </c>
    </row>
    <row r="42" spans="1:9" ht="20.100000000000001" customHeight="1" thickBot="1" x14ac:dyDescent="0.35">
      <c r="A42" s="20">
        <v>45934</v>
      </c>
    </row>
    <row r="43" spans="1:9" ht="20.100000000000001" customHeight="1" thickBot="1" x14ac:dyDescent="0.35">
      <c r="A43" s="20">
        <v>45935</v>
      </c>
    </row>
    <row r="44" spans="1:9" ht="20.100000000000001" customHeight="1" thickBot="1" x14ac:dyDescent="0.35">
      <c r="A44" s="20">
        <v>45936</v>
      </c>
    </row>
    <row r="45" spans="1:9" ht="20.100000000000001" customHeight="1" thickBot="1" x14ac:dyDescent="0.35">
      <c r="A45" s="20">
        <v>45937</v>
      </c>
    </row>
    <row r="46" spans="1:9" ht="20.100000000000001" customHeight="1" thickBot="1" x14ac:dyDescent="0.35">
      <c r="A46" s="20">
        <v>45938</v>
      </c>
    </row>
    <row r="47" spans="1:9" ht="20.100000000000001" customHeight="1" thickBot="1" x14ac:dyDescent="0.35">
      <c r="A47" s="20">
        <v>45939</v>
      </c>
    </row>
    <row r="48" spans="1:9" ht="20.100000000000001" customHeight="1" thickBot="1" x14ac:dyDescent="0.35">
      <c r="A48" s="20">
        <v>45940</v>
      </c>
    </row>
    <row r="49" spans="1:1" ht="20.100000000000001" customHeight="1" thickBot="1" x14ac:dyDescent="0.35">
      <c r="A49" s="20">
        <v>45941</v>
      </c>
    </row>
    <row r="50" spans="1:1" ht="20.100000000000001" customHeight="1" thickBot="1" x14ac:dyDescent="0.35">
      <c r="A50" s="20">
        <v>45942</v>
      </c>
    </row>
    <row r="51" spans="1:1" ht="20.100000000000001" customHeight="1" thickBot="1" x14ac:dyDescent="0.35">
      <c r="A51" s="20">
        <v>45943</v>
      </c>
    </row>
    <row r="52" spans="1:1" ht="20.100000000000001" customHeight="1" thickBot="1" x14ac:dyDescent="0.35">
      <c r="A52" s="20">
        <v>45944</v>
      </c>
    </row>
    <row r="53" spans="1:1" ht="20.100000000000001" customHeight="1" thickBot="1" x14ac:dyDescent="0.35">
      <c r="A53" s="20">
        <v>45945</v>
      </c>
    </row>
    <row r="54" spans="1:1" ht="20.100000000000001" customHeight="1" thickBot="1" x14ac:dyDescent="0.35">
      <c r="A54" s="20">
        <v>45946</v>
      </c>
    </row>
    <row r="55" spans="1:1" ht="20.100000000000001" customHeight="1" thickBot="1" x14ac:dyDescent="0.35">
      <c r="A55" s="20">
        <v>45947</v>
      </c>
    </row>
    <row r="56" spans="1:1" ht="20.100000000000001" customHeight="1" thickBot="1" x14ac:dyDescent="0.35">
      <c r="A56" s="20">
        <v>45948</v>
      </c>
    </row>
    <row r="57" spans="1:1" ht="20.100000000000001" customHeight="1" thickBot="1" x14ac:dyDescent="0.35">
      <c r="A57" s="20">
        <v>45949</v>
      </c>
    </row>
    <row r="58" spans="1:1" ht="20.100000000000001" customHeight="1" thickBot="1" x14ac:dyDescent="0.35">
      <c r="A58" s="20">
        <v>45950</v>
      </c>
    </row>
    <row r="59" spans="1:1" ht="20.100000000000001" customHeight="1" thickBot="1" x14ac:dyDescent="0.35">
      <c r="A59" s="20">
        <v>45951</v>
      </c>
    </row>
    <row r="60" spans="1:1" ht="20.100000000000001" customHeight="1" thickBot="1" x14ac:dyDescent="0.35">
      <c r="A60" s="20">
        <v>45952</v>
      </c>
    </row>
    <row r="61" spans="1:1" ht="20.100000000000001" customHeight="1" thickBot="1" x14ac:dyDescent="0.35">
      <c r="A61" s="20">
        <v>45953</v>
      </c>
    </row>
    <row r="62" spans="1:1" ht="20.100000000000001" customHeight="1" thickBot="1" x14ac:dyDescent="0.35">
      <c r="A62" s="20">
        <v>45954</v>
      </c>
    </row>
    <row r="63" spans="1:1" ht="20.100000000000001" customHeight="1" thickBot="1" x14ac:dyDescent="0.35">
      <c r="A63" s="20">
        <v>45955</v>
      </c>
    </row>
    <row r="64" spans="1:1" ht="20.100000000000001" customHeight="1" thickBot="1" x14ac:dyDescent="0.35">
      <c r="A64" s="20">
        <v>45956</v>
      </c>
    </row>
    <row r="65" spans="1:1" ht="20.100000000000001" customHeight="1" thickBot="1" x14ac:dyDescent="0.35">
      <c r="A65" s="20">
        <v>45957</v>
      </c>
    </row>
    <row r="66" spans="1:1" ht="20.100000000000001" customHeight="1" thickBot="1" x14ac:dyDescent="0.35">
      <c r="A66" s="20">
        <v>45958</v>
      </c>
    </row>
    <row r="67" spans="1:1" ht="20.100000000000001" customHeight="1" thickBot="1" x14ac:dyDescent="0.35">
      <c r="A67" s="20">
        <v>45959</v>
      </c>
    </row>
    <row r="68" spans="1:1" ht="20.100000000000001" customHeight="1" thickBot="1" x14ac:dyDescent="0.35">
      <c r="A68" s="20">
        <v>45960</v>
      </c>
    </row>
    <row r="69" spans="1:1" ht="20.100000000000001" customHeight="1" thickBot="1" x14ac:dyDescent="0.35">
      <c r="A69" s="20">
        <v>45961</v>
      </c>
    </row>
    <row r="70" spans="1:1" ht="20.100000000000001" customHeight="1" thickBot="1" x14ac:dyDescent="0.35">
      <c r="A70" s="20"/>
    </row>
    <row r="71" spans="1:1" ht="20.100000000000001" customHeight="1" thickBot="1" x14ac:dyDescent="0.35">
      <c r="A71" s="20"/>
    </row>
    <row r="72" spans="1:1" ht="20.100000000000001" customHeight="1" thickBot="1" x14ac:dyDescent="0.35">
      <c r="A72" s="20"/>
    </row>
    <row r="73" spans="1:1" ht="20.100000000000001" customHeight="1" thickBot="1" x14ac:dyDescent="0.35">
      <c r="A73" s="20"/>
    </row>
    <row r="74" spans="1:1" ht="20.100000000000001" customHeight="1" thickBot="1" x14ac:dyDescent="0.35">
      <c r="A74" s="20"/>
    </row>
    <row r="75" spans="1:1" ht="20.100000000000001" customHeight="1" thickBot="1" x14ac:dyDescent="0.35">
      <c r="A75" s="20"/>
    </row>
    <row r="76" spans="1:1" ht="20.100000000000001" customHeight="1" thickBot="1" x14ac:dyDescent="0.35">
      <c r="A76" s="20"/>
    </row>
    <row r="77" spans="1:1" ht="20.100000000000001" customHeight="1" thickBot="1" x14ac:dyDescent="0.35">
      <c r="A77" s="20"/>
    </row>
    <row r="78" spans="1:1" ht="20.100000000000001" customHeight="1" thickBot="1" x14ac:dyDescent="0.35">
      <c r="A78" s="20"/>
    </row>
    <row r="79" spans="1:1" ht="20.100000000000001" customHeight="1" thickBot="1" x14ac:dyDescent="0.35">
      <c r="A79" s="20"/>
    </row>
    <row r="80" spans="1:1" ht="20.100000000000001" customHeight="1" thickBot="1" x14ac:dyDescent="0.35">
      <c r="A80" s="20"/>
    </row>
    <row r="81" spans="1:1" ht="20.100000000000001" customHeight="1" thickBot="1" x14ac:dyDescent="0.35">
      <c r="A81" s="20"/>
    </row>
    <row r="82" spans="1:1" ht="20.100000000000001" customHeight="1" thickBot="1" x14ac:dyDescent="0.35">
      <c r="A82" s="20"/>
    </row>
    <row r="83" spans="1:1" ht="20.100000000000001" customHeight="1" thickBot="1" x14ac:dyDescent="0.35">
      <c r="A83" s="20"/>
    </row>
    <row r="84" spans="1:1" ht="20.100000000000001" customHeight="1" thickBot="1" x14ac:dyDescent="0.35">
      <c r="A84" s="20"/>
    </row>
    <row r="85" spans="1:1" ht="20.100000000000001" customHeight="1" thickBot="1" x14ac:dyDescent="0.35">
      <c r="A85" s="20"/>
    </row>
    <row r="86" spans="1:1" ht="20.100000000000001" customHeight="1" thickBot="1" x14ac:dyDescent="0.35">
      <c r="A86" s="20"/>
    </row>
    <row r="87" spans="1:1" ht="20.100000000000001" customHeight="1" thickBot="1" x14ac:dyDescent="0.35">
      <c r="A87" s="20"/>
    </row>
    <row r="88" spans="1:1" ht="20.100000000000001" customHeight="1" thickBot="1" x14ac:dyDescent="0.35">
      <c r="A88" s="20"/>
    </row>
    <row r="89" spans="1:1" ht="20.100000000000001" customHeight="1" thickBot="1" x14ac:dyDescent="0.35">
      <c r="A89" s="20"/>
    </row>
    <row r="90" spans="1:1" ht="20.100000000000001" customHeight="1" thickBot="1" x14ac:dyDescent="0.35">
      <c r="A90" s="20"/>
    </row>
    <row r="91" spans="1:1" ht="20.100000000000001" customHeight="1" thickBot="1" x14ac:dyDescent="0.35">
      <c r="A91" s="20"/>
    </row>
    <row r="92" spans="1:1" ht="20.100000000000001" customHeight="1" thickBot="1" x14ac:dyDescent="0.35">
      <c r="A92" s="20"/>
    </row>
    <row r="93" spans="1:1" ht="20.100000000000001" customHeight="1" thickBot="1" x14ac:dyDescent="0.35">
      <c r="A93" s="20"/>
    </row>
    <row r="94" spans="1:1" ht="20.100000000000001" customHeight="1" thickBot="1" x14ac:dyDescent="0.35">
      <c r="A94" s="20"/>
    </row>
    <row r="95" spans="1:1" ht="20.100000000000001" customHeight="1" thickBot="1" x14ac:dyDescent="0.35">
      <c r="A95" s="20"/>
    </row>
    <row r="96" spans="1:1" ht="20.100000000000001" customHeight="1" thickBot="1" x14ac:dyDescent="0.35">
      <c r="A96" s="20"/>
    </row>
    <row r="97" spans="1:9" ht="20.100000000000001" customHeight="1" thickBot="1" x14ac:dyDescent="0.35">
      <c r="A97" s="20"/>
    </row>
    <row r="98" spans="1:9" ht="20.100000000000001" customHeight="1" thickBot="1" x14ac:dyDescent="0.35">
      <c r="A98" s="20"/>
    </row>
    <row r="99" spans="1:9" ht="20.100000000000001" customHeight="1" thickBot="1" x14ac:dyDescent="0.35">
      <c r="A99" s="20"/>
    </row>
    <row r="100" spans="1:9" ht="20.100000000000001" customHeight="1" thickBot="1" x14ac:dyDescent="0.35">
      <c r="A100" s="20"/>
    </row>
    <row r="101" spans="1:9" ht="20.100000000000001" customHeight="1" thickBot="1" x14ac:dyDescent="0.35">
      <c r="A101" s="20"/>
    </row>
    <row r="102" spans="1:9" ht="20.100000000000001" customHeight="1" thickBot="1" x14ac:dyDescent="0.35">
      <c r="A102" s="20"/>
    </row>
    <row r="103" spans="1:9" ht="20.100000000000001" customHeight="1" thickBot="1" x14ac:dyDescent="0.35">
      <c r="A103" s="20"/>
    </row>
    <row r="104" spans="1:9" ht="20.100000000000001" customHeight="1" thickBot="1" x14ac:dyDescent="0.35">
      <c r="A104" s="20"/>
    </row>
    <row r="105" spans="1:9" ht="20.100000000000001" customHeight="1" thickBot="1" x14ac:dyDescent="0.35">
      <c r="A105" s="20"/>
    </row>
    <row r="106" spans="1:9" ht="20.100000000000001" customHeight="1" thickBot="1" x14ac:dyDescent="0.35">
      <c r="A106" s="20"/>
    </row>
    <row r="107" spans="1:9" ht="20.100000000000001" customHeight="1" x14ac:dyDescent="0.3">
      <c r="A107" s="21"/>
    </row>
    <row r="108" spans="1:9" ht="20.100000000000001" customHeight="1" x14ac:dyDescent="0.3">
      <c r="A108" s="21"/>
    </row>
    <row r="109" spans="1:9" s="24" customFormat="1" ht="20.100000000000001" customHeight="1" x14ac:dyDescent="0.3">
      <c r="A109" s="22"/>
      <c r="B109" s="23"/>
      <c r="C109" s="23"/>
      <c r="D109" s="23"/>
      <c r="E109" s="23"/>
      <c r="F109" s="23"/>
      <c r="G109" s="23"/>
      <c r="H109" s="23"/>
      <c r="I109" s="2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8" t="s">
        <v>89</v>
      </c>
    </row>
    <row r="200" spans="1:1" ht="20.100000000000001" customHeight="1" x14ac:dyDescent="0.3">
      <c r="A200" s="28" t="s">
        <v>90</v>
      </c>
    </row>
    <row r="201" spans="1:1" ht="20.100000000000001" customHeight="1" x14ac:dyDescent="0.3">
      <c r="A201" s="28" t="s">
        <v>91</v>
      </c>
    </row>
    <row r="202" spans="1:1" ht="20.100000000000001" customHeight="1" x14ac:dyDescent="0.3">
      <c r="A202" s="28" t="s">
        <v>92</v>
      </c>
    </row>
    <row r="203" spans="1:1" ht="20.100000000000001" customHeight="1" x14ac:dyDescent="0.3">
      <c r="A203" s="28" t="s">
        <v>93</v>
      </c>
    </row>
    <row r="204" spans="1:1" ht="20.100000000000001" customHeight="1" x14ac:dyDescent="0.3">
      <c r="A204" s="28" t="s">
        <v>94</v>
      </c>
    </row>
    <row r="205" spans="1:1" ht="20.100000000000001" customHeight="1" x14ac:dyDescent="0.3">
      <c r="A205" s="28" t="s">
        <v>95</v>
      </c>
    </row>
    <row r="206" spans="1:1" ht="20.100000000000001" customHeight="1" x14ac:dyDescent="0.3">
      <c r="A206" s="28" t="s">
        <v>96</v>
      </c>
    </row>
    <row r="207" spans="1:1" ht="20.100000000000001" customHeight="1" x14ac:dyDescent="0.3">
      <c r="A207" s="28" t="s">
        <v>97</v>
      </c>
    </row>
    <row r="208" spans="1:1" ht="20.100000000000001" customHeight="1" x14ac:dyDescent="0.3">
      <c r="A208" s="29" t="s">
        <v>98</v>
      </c>
    </row>
    <row r="209" spans="1:1" ht="20.100000000000001" customHeight="1" x14ac:dyDescent="0.3">
      <c r="A209" s="29" t="s">
        <v>99</v>
      </c>
    </row>
    <row r="210" spans="1:1" ht="20.100000000000001" customHeight="1" x14ac:dyDescent="0.3">
      <c r="A210" s="28" t="s">
        <v>100</v>
      </c>
    </row>
    <row r="211" spans="1:1" ht="20.100000000000001" customHeight="1" x14ac:dyDescent="0.3">
      <c r="A211" s="28" t="s">
        <v>101</v>
      </c>
    </row>
    <row r="212" spans="1:1" ht="20.100000000000001" customHeight="1" x14ac:dyDescent="0.3">
      <c r="A212" s="28" t="s">
        <v>175</v>
      </c>
    </row>
    <row r="213" spans="1:1" ht="20.100000000000001" customHeight="1" x14ac:dyDescent="0.3">
      <c r="A213" s="28" t="s">
        <v>102</v>
      </c>
    </row>
    <row r="214" spans="1:1" ht="20.100000000000001" customHeight="1" x14ac:dyDescent="0.3">
      <c r="A214" s="28" t="s">
        <v>103</v>
      </c>
    </row>
    <row r="215" spans="1:1" ht="20.100000000000001" customHeight="1" x14ac:dyDescent="0.3">
      <c r="A215" s="28" t="s">
        <v>104</v>
      </c>
    </row>
    <row r="216" spans="1:1" ht="20.100000000000001" customHeight="1" x14ac:dyDescent="0.3">
      <c r="A216" s="28" t="s">
        <v>105</v>
      </c>
    </row>
    <row r="217" spans="1:1" ht="20.100000000000001" customHeight="1" x14ac:dyDescent="0.3">
      <c r="A217" s="28" t="s">
        <v>106</v>
      </c>
    </row>
    <row r="218" spans="1:1" ht="20.100000000000001" customHeight="1" x14ac:dyDescent="0.3">
      <c r="A218" s="28" t="s">
        <v>107</v>
      </c>
    </row>
    <row r="219" spans="1:1" ht="20.100000000000001" customHeight="1" x14ac:dyDescent="0.3">
      <c r="A219" s="28" t="s">
        <v>108</v>
      </c>
    </row>
    <row r="220" spans="1:1" ht="20.100000000000001" customHeight="1" x14ac:dyDescent="0.3">
      <c r="A220" s="28" t="s">
        <v>109</v>
      </c>
    </row>
    <row r="221" spans="1:1" ht="20.100000000000001" customHeight="1" x14ac:dyDescent="0.3">
      <c r="A221" s="28" t="s">
        <v>110</v>
      </c>
    </row>
    <row r="222" spans="1:1" ht="20.100000000000001" customHeight="1" x14ac:dyDescent="0.3">
      <c r="A222" s="28" t="s">
        <v>111</v>
      </c>
    </row>
    <row r="223" spans="1:1" ht="20.100000000000001" customHeight="1" x14ac:dyDescent="0.3">
      <c r="A223" s="28" t="s">
        <v>112</v>
      </c>
    </row>
    <row r="224" spans="1:1" ht="20.100000000000001" customHeight="1" x14ac:dyDescent="0.3">
      <c r="A224" s="28" t="s">
        <v>176</v>
      </c>
    </row>
    <row r="225" spans="1:1" ht="20.100000000000001" customHeight="1" x14ac:dyDescent="0.3">
      <c r="A225" s="28" t="s">
        <v>113</v>
      </c>
    </row>
    <row r="226" spans="1:1" ht="20.100000000000001" customHeight="1" x14ac:dyDescent="0.3">
      <c r="A226" s="28" t="s">
        <v>114</v>
      </c>
    </row>
    <row r="227" spans="1:1" ht="20.100000000000001" customHeight="1" x14ac:dyDescent="0.3">
      <c r="A227" s="28" t="s">
        <v>115</v>
      </c>
    </row>
    <row r="228" spans="1:1" ht="20.100000000000001" customHeight="1" x14ac:dyDescent="0.3">
      <c r="A228" s="28" t="s">
        <v>116</v>
      </c>
    </row>
    <row r="229" spans="1:1" ht="20.100000000000001" customHeight="1" x14ac:dyDescent="0.3">
      <c r="A229" s="28" t="s">
        <v>117</v>
      </c>
    </row>
    <row r="230" spans="1:1" ht="20.100000000000001" customHeight="1" x14ac:dyDescent="0.3">
      <c r="A230" s="28" t="s">
        <v>118</v>
      </c>
    </row>
    <row r="231" spans="1:1" ht="20.100000000000001" customHeight="1" x14ac:dyDescent="0.3">
      <c r="A231" s="28" t="s">
        <v>119</v>
      </c>
    </row>
    <row r="232" spans="1:1" ht="20.100000000000001" customHeight="1" x14ac:dyDescent="0.3">
      <c r="A232" s="28" t="s">
        <v>120</v>
      </c>
    </row>
    <row r="233" spans="1:1" ht="20.100000000000001" customHeight="1" x14ac:dyDescent="0.3">
      <c r="A233" s="28" t="s">
        <v>121</v>
      </c>
    </row>
    <row r="234" spans="1:1" ht="20.100000000000001" customHeight="1" x14ac:dyDescent="0.3">
      <c r="A234" s="28" t="s">
        <v>122</v>
      </c>
    </row>
    <row r="235" spans="1:1" ht="20.100000000000001" customHeight="1" x14ac:dyDescent="0.3">
      <c r="A235" s="28" t="s">
        <v>123</v>
      </c>
    </row>
    <row r="236" spans="1:1" ht="20.100000000000001" customHeight="1" x14ac:dyDescent="0.3">
      <c r="A236" s="30" t="s">
        <v>124</v>
      </c>
    </row>
    <row r="237" spans="1:1" ht="20.100000000000001" customHeight="1" x14ac:dyDescent="0.3">
      <c r="A237" s="28" t="s">
        <v>125</v>
      </c>
    </row>
    <row r="238" spans="1:1" ht="20.100000000000001" customHeight="1" x14ac:dyDescent="0.3">
      <c r="A238" s="28" t="s">
        <v>126</v>
      </c>
    </row>
    <row r="239" spans="1:1" ht="20.100000000000001" customHeight="1" x14ac:dyDescent="0.3">
      <c r="A239" s="28" t="s">
        <v>127</v>
      </c>
    </row>
    <row r="240" spans="1:1" ht="20.100000000000001" customHeight="1" x14ac:dyDescent="0.3">
      <c r="A240" s="28" t="s">
        <v>128</v>
      </c>
    </row>
    <row r="241" spans="1:1" ht="20.100000000000001" customHeight="1" x14ac:dyDescent="0.3">
      <c r="A241" s="28" t="s">
        <v>129</v>
      </c>
    </row>
    <row r="242" spans="1:1" ht="20.100000000000001" customHeight="1" x14ac:dyDescent="0.3">
      <c r="A242" s="28" t="s">
        <v>130</v>
      </c>
    </row>
    <row r="243" spans="1:1" ht="20.100000000000001" customHeight="1" x14ac:dyDescent="0.3">
      <c r="A243" s="28" t="s">
        <v>131</v>
      </c>
    </row>
    <row r="244" spans="1:1" ht="20.100000000000001" customHeight="1" x14ac:dyDescent="0.3">
      <c r="A244" s="28" t="s">
        <v>132</v>
      </c>
    </row>
    <row r="245" spans="1:1" ht="20.100000000000001" customHeight="1" x14ac:dyDescent="0.3">
      <c r="A245" s="28" t="s">
        <v>133</v>
      </c>
    </row>
    <row r="246" spans="1:1" ht="20.100000000000001" customHeight="1" x14ac:dyDescent="0.3">
      <c r="A246" s="28" t="s">
        <v>134</v>
      </c>
    </row>
    <row r="247" spans="1:1" ht="20.100000000000001" customHeight="1" x14ac:dyDescent="0.3">
      <c r="A247" s="28" t="s">
        <v>135</v>
      </c>
    </row>
    <row r="248" spans="1:1" ht="20.100000000000001" customHeight="1" x14ac:dyDescent="0.3">
      <c r="A248" s="28" t="s">
        <v>126</v>
      </c>
    </row>
    <row r="249" spans="1:1" ht="20.100000000000001" customHeight="1" x14ac:dyDescent="0.3">
      <c r="A249" s="28" t="s">
        <v>136</v>
      </c>
    </row>
    <row r="250" spans="1:1" ht="20.100000000000001" customHeight="1" x14ac:dyDescent="0.3">
      <c r="A250" s="28" t="s">
        <v>137</v>
      </c>
    </row>
    <row r="251" spans="1:1" ht="20.100000000000001" customHeight="1" x14ac:dyDescent="0.3">
      <c r="A251" s="30" t="s">
        <v>138</v>
      </c>
    </row>
    <row r="252" spans="1:1" ht="20.100000000000001" customHeight="1" x14ac:dyDescent="0.3">
      <c r="A252" s="31" t="s">
        <v>139</v>
      </c>
    </row>
    <row r="253" spans="1:1" ht="20.100000000000001" customHeight="1" x14ac:dyDescent="0.3">
      <c r="A253" s="28" t="s">
        <v>140</v>
      </c>
    </row>
    <row r="254" spans="1:1" ht="20.100000000000001" customHeight="1" x14ac:dyDescent="0.3">
      <c r="A254" s="28" t="s">
        <v>141</v>
      </c>
    </row>
    <row r="255" spans="1:1" ht="20.100000000000001" customHeight="1" x14ac:dyDescent="0.3">
      <c r="A255" s="32" t="s">
        <v>142</v>
      </c>
    </row>
    <row r="256" spans="1:1" ht="20.100000000000001" customHeight="1" x14ac:dyDescent="0.3">
      <c r="A256" s="32" t="s">
        <v>143</v>
      </c>
    </row>
    <row r="257" spans="1:1" ht="20.100000000000001" customHeight="1" x14ac:dyDescent="0.3">
      <c r="A257" s="33" t="s">
        <v>144</v>
      </c>
    </row>
    <row r="258" spans="1:1" ht="20.100000000000001" customHeight="1" x14ac:dyDescent="0.3">
      <c r="A258" s="28" t="s">
        <v>145</v>
      </c>
    </row>
    <row r="259" spans="1:1" ht="20.100000000000001" customHeight="1" x14ac:dyDescent="0.3">
      <c r="A259" s="33" t="s">
        <v>146</v>
      </c>
    </row>
    <row r="260" spans="1:1" ht="20.100000000000001" customHeight="1" x14ac:dyDescent="0.3">
      <c r="A260" s="28" t="s">
        <v>147</v>
      </c>
    </row>
    <row r="261" spans="1:1" ht="20.100000000000001" customHeight="1" x14ac:dyDescent="0.3">
      <c r="A261" s="33" t="s">
        <v>148</v>
      </c>
    </row>
    <row r="262" spans="1:1" ht="20.100000000000001" customHeight="1" x14ac:dyDescent="0.3">
      <c r="A262" s="28" t="s">
        <v>149</v>
      </c>
    </row>
    <row r="263" spans="1:1" ht="20.100000000000001" customHeight="1" x14ac:dyDescent="0.3">
      <c r="A263" s="28" t="s">
        <v>150</v>
      </c>
    </row>
    <row r="264" spans="1:1" ht="20.100000000000001" customHeight="1" x14ac:dyDescent="0.3">
      <c r="A264" s="33" t="s">
        <v>151</v>
      </c>
    </row>
    <row r="265" spans="1:1" ht="20.100000000000001" customHeight="1" x14ac:dyDescent="0.3">
      <c r="A265" s="33" t="s">
        <v>152</v>
      </c>
    </row>
    <row r="266" spans="1:1" ht="20.100000000000001" customHeight="1" x14ac:dyDescent="0.3">
      <c r="A266" s="33" t="s">
        <v>153</v>
      </c>
    </row>
    <row r="267" spans="1:1" ht="20.100000000000001" customHeight="1" x14ac:dyDescent="0.3">
      <c r="A267" s="28" t="s">
        <v>154</v>
      </c>
    </row>
    <row r="268" spans="1:1" ht="20.100000000000001" customHeight="1" x14ac:dyDescent="0.3">
      <c r="A268" s="28" t="s">
        <v>155</v>
      </c>
    </row>
    <row r="269" spans="1:1" ht="20.100000000000001" customHeight="1" x14ac:dyDescent="0.3">
      <c r="A269" s="28" t="s">
        <v>156</v>
      </c>
    </row>
    <row r="270" spans="1:1" ht="20.100000000000001" customHeight="1" x14ac:dyDescent="0.3">
      <c r="A270" s="28" t="s">
        <v>157</v>
      </c>
    </row>
    <row r="271" spans="1:1" ht="20.100000000000001" customHeight="1" x14ac:dyDescent="0.3">
      <c r="A271" s="33" t="s">
        <v>158</v>
      </c>
    </row>
    <row r="272" spans="1:1" ht="20.100000000000001" customHeight="1" x14ac:dyDescent="0.3">
      <c r="A272" s="33" t="s">
        <v>159</v>
      </c>
    </row>
    <row r="273" spans="1:1" ht="20.100000000000001" customHeight="1" x14ac:dyDescent="0.3">
      <c r="A273" s="28" t="s">
        <v>160</v>
      </c>
    </row>
    <row r="274" spans="1:1" ht="20.100000000000001" customHeight="1" x14ac:dyDescent="0.3">
      <c r="A274" s="33" t="s">
        <v>161</v>
      </c>
    </row>
    <row r="275" spans="1:1" ht="20.100000000000001" customHeight="1" x14ac:dyDescent="0.3">
      <c r="A275" s="33" t="s">
        <v>162</v>
      </c>
    </row>
    <row r="276" spans="1:1" ht="20.100000000000001" customHeight="1" x14ac:dyDescent="0.3">
      <c r="A276" s="28" t="s">
        <v>163</v>
      </c>
    </row>
    <row r="277" spans="1:1" ht="20.100000000000001" customHeight="1" x14ac:dyDescent="0.3">
      <c r="A277" s="28" t="s">
        <v>164</v>
      </c>
    </row>
    <row r="278" spans="1:1" ht="20.100000000000001" customHeight="1" x14ac:dyDescent="0.3">
      <c r="A278" s="33" t="s">
        <v>165</v>
      </c>
    </row>
    <row r="279" spans="1:1" ht="20.100000000000001" customHeight="1" x14ac:dyDescent="0.3">
      <c r="A279" s="28" t="s">
        <v>166</v>
      </c>
    </row>
    <row r="280" spans="1:1" ht="20.100000000000001" customHeight="1" x14ac:dyDescent="0.3">
      <c r="A280" s="28" t="s">
        <v>167</v>
      </c>
    </row>
    <row r="281" spans="1:1" ht="20.100000000000001" customHeight="1" x14ac:dyDescent="0.3">
      <c r="A281" s="28" t="s">
        <v>168</v>
      </c>
    </row>
    <row r="282" spans="1:1" ht="20.100000000000001" customHeight="1" x14ac:dyDescent="0.3">
      <c r="A282" s="28" t="s">
        <v>169</v>
      </c>
    </row>
    <row r="283" spans="1:1" ht="20.100000000000001" customHeight="1" x14ac:dyDescent="0.3">
      <c r="A283" s="33" t="s">
        <v>170</v>
      </c>
    </row>
    <row r="284" spans="1:1" ht="20.100000000000001" customHeight="1" x14ac:dyDescent="0.3">
      <c r="A284" s="33" t="s">
        <v>171</v>
      </c>
    </row>
    <row r="285" spans="1:1" ht="20.100000000000001" customHeight="1" x14ac:dyDescent="0.3">
      <c r="A285" s="33" t="s">
        <v>172</v>
      </c>
    </row>
    <row r="286" spans="1:1" ht="20.100000000000001" customHeight="1" thickBot="1" x14ac:dyDescent="0.35">
      <c r="A286" s="2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2025-10-27T20:06:20Z</dcterms:modified>
</cp:coreProperties>
</file>