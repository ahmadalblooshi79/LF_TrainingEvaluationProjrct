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026E9B07-211F-4B85-94BE-6E9FF1DD2C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3" i="2"/>
  <c r="H53" i="2"/>
  <c r="G54" i="2"/>
  <c r="H54" i="2"/>
  <c r="G55" i="2"/>
  <c r="H55" i="2"/>
  <c r="G57" i="2"/>
  <c r="H57" i="2"/>
  <c r="G58" i="2"/>
  <c r="H58" i="2"/>
  <c r="G59" i="2"/>
  <c r="H59" i="2"/>
  <c r="F60" i="2"/>
  <c r="E60" i="2"/>
  <c r="E61" i="2"/>
  <c r="E62" i="2"/>
</calcChain>
</file>

<file path=xl/sharedStrings.xml><?xml version="1.0" encoding="utf-8"?>
<sst xmlns="http://schemas.openxmlformats.org/spreadsheetml/2006/main" count="289" uniqueCount="233">
  <si>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</si>
  <si>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</si>
  <si>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</si>
  <si>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</si>
  <si>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</si>
  <si>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</si>
  <si>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</si>
  <si>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</si>
  <si>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</si>
  <si>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</si>
  <si>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</si>
  <si>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</si>
  <si>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</si>
  <si>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</si>
  <si>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</si>
  <si>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</si>
  <si>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</si>
  <si>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</si>
  <si>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</si>
  <si>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</si>
  <si>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</si>
  <si>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</si>
  <si>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</si>
  <si>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</si>
  <si>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</si>
  <si>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</si>
  <si>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</si>
  <si>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</si>
  <si>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</si>
  <si>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</si>
  <si>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</si>
  <si>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</si>
  <si>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</si>
  <si>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</si>
  <si>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</si>
  <si>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</si>
  <si>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</si>
  <si>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</si>
  <si>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</si>
  <si>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</si>
  <si>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</si>
  <si>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</si>
  <si>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</si>
  <si>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</si>
  <si>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</si>
  <si>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</si>
  <si>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</si>
  <si>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</si>
  <si>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</si>
  <si>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</si>
  <si>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</si>
  <si>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</si>
  <si>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</si>
  <si>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</si>
  <si>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</si>
  <si>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</si>
  <si>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</si>
  <si>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</si>
  <si>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</si>
  <si>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</si>
  <si>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</si>
  <si>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</si>
  <si>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</si>
  <si>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</si>
  <si>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</si>
  <si>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</si>
  <si>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</si>
  <si>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</si>
  <si>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</si>
  <si>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</si>
  <si>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</si>
  <si>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</si>
  <si>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</si>
  <si>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</si>
  <si>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</si>
  <si>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</si>
  <si>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</si>
  <si>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</si>
  <si>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</si>
  <si>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</si>
  <si>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</si>
  <si>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</si>
  <si>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</si>
  <si>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</si>
  <si>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</si>
  <si>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</si>
  <si>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</si>
  <si>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</si>
  <si>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</si>
  <si>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</si>
  <si>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</si>
  <si>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</si>
  <si>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</si>
  <si>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</si>
  <si>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</si>
  <si>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</si>
  <si>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</si>
  <si>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</si>
  <si>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</si>
  <si>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</si>
  <si>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</si>
  <si>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</si>
  <si>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</si>
  <si>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</si>
  <si>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</si>
  <si>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</si>
  <si>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</si>
  <si>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</si>
  <si>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</si>
  <si>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</si>
  <si>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</si>
  <si>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</si>
  <si>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</si>
  <si>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</si>
  <si>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</si>
  <si>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</si>
  <si>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</si>
  <si>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</si>
  <si>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</si>
  <si>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</si>
  <si>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</si>
  <si>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</si>
  <si>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</si>
  <si>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</si>
  <si>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</si>
  <si>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</si>
  <si>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</si>
  <si>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</si>
  <si>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</si>
  <si>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</si>
  <si>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</si>
  <si>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</si>
  <si>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</si>
  <si>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</si>
  <si>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</si>
  <si>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</si>
  <si>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</si>
  <si>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</si>
  <si>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</si>
  <si>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</si>
  <si>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</si>
  <si>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</si>
  <si>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</si>
  <si>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</si>
  <si>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</si>
  <si>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</si>
  <si>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</si>
  <si>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</si>
  <si>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</si>
  <si>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</si>
  <si>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</si>
  <si>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</si>
  <si>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</si>
  <si>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</si>
  <si>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</si>
  <si>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</si>
  <si>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</si>
  <si>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</si>
  <si>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</si>
  <si>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</si>
  <si>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</si>
  <si>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</si>
  <si>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</si>
  <si>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</si>
  <si>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</si>
  <si>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</si>
  <si>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</si>
  <si>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</si>
  <si>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</si>
  <si>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</si>
  <si>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</si>
  <si>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</si>
  <si>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</si>
  <si>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</si>
  <si>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</si>
  <si>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</si>
  <si>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</si>
  <si>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</si>
  <si>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</si>
  <si>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</si>
  <si>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theme="1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</si>
  <si>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</si>
  <si>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الطاقم المؤهل بالنسبة لعدد الآليات (السواقين).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</si>
  <si>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كشف معتمد من القائد بالمرتب والموجود ونسبة الصلاحية للآليات.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</si>
  <si>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العهدة.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</si>
  <si>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ملف لحفظ سندات الصرف والاستلام للآليات والعـدة.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</si>
  <si>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الحركة.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</si>
  <si>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الحوادث.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</si>
  <si>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تسليم واستلام الآليات.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</si>
  <si>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الدخول والخروج من الورشة / المشاغل / مراكز الإصلاح.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</si>
  <si>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تعليمات وإجراءات الصيانة الدورية واللوحات الإرشادية.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</si>
  <si>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التقيد بالتعليمات والإجراءات لإدخال الآليات لمراكز الإصلاح.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</si>
  <si>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إدامة السجلات الخاصة بكل آلية بواسطة الطاقم وتصديق الضابط المسؤول.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</si>
  <si>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معرفة السائق بالآلية وإلمامه بالتعليمات والصيانة.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</si>
  <si>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إلمام ضابط النقليات بمهامه وواجباته.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</si>
  <si>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ملف لحفظ نماذج شطب الآليات.</t>
    </r>
  </si>
  <si>
    <r>
      <t>مجموعـة الجسم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</si>
  <si>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النظافة.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</si>
  <si>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وجود أي نواقص.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</si>
  <si>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الضرر.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</si>
  <si>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حالة الصبغ.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</si>
  <si>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فحص الإطارات.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</si>
  <si>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صندوق العدة ومحتوياته.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</si>
  <si>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مقاعد غرفة القيادة والركاب.</t>
    </r>
  </si>
  <si>
    <r>
      <t>الزيـوت / السوائـل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</si>
  <si>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مستـوى الزيـت / المياه (المحرك ، نظـام ناقل الحركة ، الفرامل ، مبرد المياه (الراديتر).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</si>
  <si>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تسرّب الزيت / المياه من أجزاء الآلية.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</si>
  <si>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التقيد بتوقيتات تغيير الزيت.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</si>
  <si>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التشحيــم.</t>
    </r>
  </si>
  <si>
    <r>
      <t>مجموعة القـوى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</si>
  <si>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</si>
  <si>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الوقود.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</si>
  <si>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ناقل الحركة.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</si>
  <si>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التبريد.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</si>
  <si>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الفرامل.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</si>
  <si>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التوجيه.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</si>
  <si>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إطفاء الحريق (طفاية الحريق وصلاحيتها).</t>
    </r>
  </si>
  <si>
    <r>
      <t>الأنظمة الكهربائية والإلكترونية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</si>
  <si>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البطاريات.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</si>
  <si>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التشغيل.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</si>
  <si>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المولــــد.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</si>
  <si>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الداخلية.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</si>
  <si>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</si>
  <si>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لوحات العرض.</t>
    </r>
  </si>
  <si>
    <t>فحص الآلية أثناء السير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</si>
  <si>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السير على الطريق.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</si>
  <si>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أنظمة الآلية (الميكانيكية والكهربائية).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</si>
  <si>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التكييف / نظام التهوية.</t>
    </r>
  </si>
  <si>
    <t>المهمـات الإضافية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</si>
  <si>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مستــودع الـعــــدة وأغطيـــة التمويه وأعمدة التثبيت.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</si>
  <si>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مستودع قطع الغيار.</t>
    </r>
  </si>
  <si>
    <t>مدى توفر المواقف المغطاة المخصصة للآليات ونظافتها ووجود وصلاحية طفايات الحريق بها.</t>
  </si>
  <si>
    <t>تقييم الحالة الفنية للآليات (ب)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</si>
</sst>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b/>
      <u/>
      <sz val="12"/>
      <color theme="1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0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7" fillId="0" borderId="23" xfId="0" applyFont="1" applyBorder="1" applyAlignment="1">
      <alignment horizontal="right" vertical="center" wrapText="1" readingOrder="2"/>
    </xf>
    <xf numFmtId="0" fontId="17" fillId="0" borderId="3" xfId="0" applyFont="1" applyBorder="1" applyAlignment="1">
      <alignment horizontal="right" vertical="center" wrapText="1" readingOrder="2"/>
    </xf>
    <xf numFmtId="0" fontId="17" fillId="0" borderId="11" xfId="0" applyFont="1" applyBorder="1" applyAlignment="1">
      <alignment horizontal="right" vertical="center" wrapText="1" readingOrder="2"/>
    </xf>
    <xf numFmtId="0" fontId="17" fillId="0" borderId="12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6.xml"/><Relationship Id="rId18" Type="http://schemas.openxmlformats.org/officeDocument/2006/relationships/image" Target="../media/image9.png"/><Relationship Id="rId3" Type="http://schemas.openxmlformats.org/officeDocument/2006/relationships/customXml" Target="../ink/ink2.xml"/><Relationship Id="rId12" Type="http://schemas.openxmlformats.org/officeDocument/2006/relationships/image" Target="../media/image6.png"/><Relationship Id="rId17" Type="http://schemas.openxmlformats.org/officeDocument/2006/relationships/customXml" Target="../ink/ink8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1" Type="http://schemas.openxmlformats.org/officeDocument/2006/relationships/customXml" Target="../ink/ink1.xml"/><Relationship Id="rId11" Type="http://schemas.openxmlformats.org/officeDocument/2006/relationships/customXml" Target="../ink/ink5.xml"/><Relationship Id="rId5" Type="http://schemas.openxmlformats.org/officeDocument/2006/relationships/customXml" Target="../ink/ink3.xml"/><Relationship Id="rId15" Type="http://schemas.openxmlformats.org/officeDocument/2006/relationships/customXml" Target="../ink/ink7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4.xml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344306</xdr:colOff>
      <xdr:row>63</xdr:row>
      <xdr:rowOff>164228</xdr:rowOff>
    </xdr:from>
    <xdr:to>
      <xdr:col>8</xdr:col>
      <xdr:colOff>463445</xdr:colOff>
      <xdr:row>63</xdr:row>
      <xdr:rowOff>545828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2F68088-62D5-3C39-1344-2D0C70A87C12}"/>
                </a:ext>
              </a:extLst>
            </xdr14:cNvPr>
            <xdr14:cNvContentPartPr/>
          </xdr14:nvContentPartPr>
          <xdr14:nvPr macro=""/>
          <xdr14:xfrm>
            <a:off x="10398781464" y="24952320"/>
            <a:ext cx="1435320" cy="3816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2F68088-62D5-3C39-1344-2D0C70A87C1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772824" y="24943320"/>
              <a:ext cx="1452960" cy="39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192016</xdr:colOff>
      <xdr:row>63</xdr:row>
      <xdr:rowOff>108428</xdr:rowOff>
    </xdr:from>
    <xdr:to>
      <xdr:col>9</xdr:col>
      <xdr:colOff>1915</xdr:colOff>
      <xdr:row>63</xdr:row>
      <xdr:rowOff>618908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1529B70-E71E-B243-D930-9A6325F89A1B}"/>
                </a:ext>
              </a:extLst>
            </xdr14:cNvPr>
            <xdr14:cNvContentPartPr/>
          </xdr14:nvContentPartPr>
          <xdr14:nvPr macro=""/>
          <xdr14:xfrm>
            <a:off x="10398584904" y="24896520"/>
            <a:ext cx="1126080" cy="5104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1529B70-E71E-B243-D930-9A6325F89A1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576264" y="24887880"/>
              <a:ext cx="1143720" cy="52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341798</xdr:colOff>
      <xdr:row>1</xdr:row>
      <xdr:rowOff>162900</xdr:rowOff>
    </xdr:from>
    <xdr:to>
      <xdr:col>5</xdr:col>
      <xdr:colOff>353318</xdr:colOff>
      <xdr:row>1</xdr:row>
      <xdr:rowOff>184140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D3B471D-BC8C-6B48-05A7-C372B7FDB021}"/>
                </a:ext>
              </a:extLst>
            </xdr14:cNvPr>
            <xdr14:cNvContentPartPr/>
          </xdr14:nvContentPartPr>
          <xdr14:nvPr macro=""/>
          <xdr14:xfrm>
            <a:off x="10400865864" y="734400"/>
            <a:ext cx="11520" cy="212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D3B471D-BC8C-6B48-05A7-C372B7FDB02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400856864" y="725760"/>
              <a:ext cx="29160" cy="3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532970</xdr:colOff>
      <xdr:row>1</xdr:row>
      <xdr:rowOff>184860</xdr:rowOff>
    </xdr:from>
    <xdr:to>
      <xdr:col>4</xdr:col>
      <xdr:colOff>547370</xdr:colOff>
      <xdr:row>1</xdr:row>
      <xdr:rowOff>215460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9E6472A-CEDB-7F35-7208-913BA4895D42}"/>
                </a:ext>
              </a:extLst>
            </xdr14:cNvPr>
            <xdr14:cNvContentPartPr/>
          </xdr14:nvContentPartPr>
          <xdr14:nvPr macro=""/>
          <xdr14:xfrm>
            <a:off x="10401329904" y="756360"/>
            <a:ext cx="14400" cy="3060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79E6472A-CEDB-7F35-7208-913BA4895D42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401320904" y="747720"/>
              <a:ext cx="32040" cy="4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506330</xdr:colOff>
      <xdr:row>1</xdr:row>
      <xdr:rowOff>191700</xdr:rowOff>
    </xdr:from>
    <xdr:to>
      <xdr:col>4</xdr:col>
      <xdr:colOff>513530</xdr:colOff>
      <xdr:row>1</xdr:row>
      <xdr:rowOff>199620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E09663FF-D7F4-AA1D-8BB7-B8EF8B8196C7}"/>
                </a:ext>
              </a:extLst>
            </xdr14:cNvPr>
            <xdr14:cNvContentPartPr/>
          </xdr14:nvContentPartPr>
          <xdr14:nvPr macro=""/>
          <xdr14:xfrm>
            <a:off x="10401363744" y="763200"/>
            <a:ext cx="7200" cy="79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E09663FF-D7F4-AA1D-8BB7-B8EF8B8196C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401354744" y="754200"/>
              <a:ext cx="2484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463838</xdr:colOff>
      <xdr:row>1</xdr:row>
      <xdr:rowOff>169740</xdr:rowOff>
    </xdr:from>
    <xdr:to>
      <xdr:col>5</xdr:col>
      <xdr:colOff>476438</xdr:colOff>
      <xdr:row>1</xdr:row>
      <xdr:rowOff>175860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76691821-10A5-CFFC-C972-4561CE5E9A3D}"/>
                </a:ext>
              </a:extLst>
            </xdr14:cNvPr>
            <xdr14:cNvContentPartPr/>
          </xdr14:nvContentPartPr>
          <xdr14:nvPr macro=""/>
          <xdr14:xfrm>
            <a:off x="10400742744" y="741240"/>
            <a:ext cx="12600" cy="61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76691821-10A5-CFFC-C972-4561CE5E9A3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0400734104" y="732240"/>
              <a:ext cx="3024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123626</xdr:colOff>
      <xdr:row>1</xdr:row>
      <xdr:rowOff>237060</xdr:rowOff>
    </xdr:from>
    <xdr:to>
      <xdr:col>6</xdr:col>
      <xdr:colOff>143066</xdr:colOff>
      <xdr:row>1</xdr:row>
      <xdr:rowOff>259020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49343E20-66BF-065B-FC2C-E3075177A0F2}"/>
                </a:ext>
              </a:extLst>
            </xdr14:cNvPr>
            <xdr14:cNvContentPartPr/>
          </xdr14:nvContentPartPr>
          <xdr14:nvPr macro=""/>
          <xdr14:xfrm>
            <a:off x="10400418024" y="808560"/>
            <a:ext cx="19440" cy="219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49343E20-66BF-065B-FC2C-E3075177A0F2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0400409384" y="799920"/>
              <a:ext cx="37080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440810</xdr:colOff>
      <xdr:row>1</xdr:row>
      <xdr:rowOff>289260</xdr:rowOff>
    </xdr:from>
    <xdr:to>
      <xdr:col>4</xdr:col>
      <xdr:colOff>454850</xdr:colOff>
      <xdr:row>1</xdr:row>
      <xdr:rowOff>310500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43461348-B727-B8A1-6C17-4CBA7E0C7B4B}"/>
                </a:ext>
              </a:extLst>
            </xdr14:cNvPr>
            <xdr14:cNvContentPartPr/>
          </xdr14:nvContentPartPr>
          <xdr14:nvPr macro=""/>
          <xdr14:xfrm>
            <a:off x="10401422424" y="860760"/>
            <a:ext cx="14040" cy="212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43461348-B727-B8A1-6C17-4CBA7E0C7B4B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0401413784" y="852120"/>
              <a:ext cx="31680" cy="38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24.8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3881 192 5329,'0'0'0,"0"0"696,0-2-688,0-1-208,0 3 200,0-3-256,0 3 24,0-3 32,0 3 88,0 0 112,-2 0-56,-1 0 56,3 0 8,0 0 0,0 0-8,-2 0-24,-3 0-64,3 0-32,-1 0-1,3 0 121,-11 1-88,9 1 8,-10 1 40,7 0 8,5-3 32,-13 4-16,10 0 8,-14 0-8,13 1 0,4-5 16,-14 4-32,9-1 16,-7 0-8,10-1-16,2-2 40,-5 3-64,3-1-16,-1-1-40,-1-1-24,4 0 144,-2 0-184,2 0-80,0 0 8,0-3 8,0 3 248,0-3-200,2 1 56,-2-1 24,4-2 40,-4 5 80,3-11-72,-1 8 8,5-1 0,-4 0 24,-3 4 40,2-5-16,3-6 40,0 11 16,-3-4-16,-2 4-24,3-4-16,1-1-24,0 1-88,-1 1-48,-3 3 176,4-3-152,-1 0 8,2 1 88,-3 2 16,-2 0 40,2 0 0,-2 0 0,3 0 24,-3 0-24,0 0 24,0 0 16,2 0 16,-2 1 16,0-1-72,0 1 96,0 2 24,0 0 16,0 0 32,0-3-168,0 4 160,0 1-16,0-1 8,-2 0-56,2-4-96,-3 6 88,-1-1-48,-1 1 48,-5 0 8,10-6-96,-4 5 104,2 1 40,-3-2-80,3 1 40,2-5-104,-5 4 80,0-3-8,0 2 8,3-1-16,2-2-64,-5 1 32,5-1 40,0 0-8,0 0 64,0 0-128,0 0 56,0 0-128,0 0-144,0-3-120,0 3 336,3-3-280,1 1 56,-1-3 112,-1 1 40,-2 4 72,0-4-88,5-1 72,0-6 32,-3 8 32,-2 3-48,0-4 104,5 0 56,-3-1 40,0 1 56,-2 4-256,2-4 344,-2 1-40,0 0 8,0 3-7,0 0-305,0-3 208,0 3-40,0 0-120,0 0-8,0 0-40,0 0 16,0 0-48,0 0-24,0 0 128,0 0-184,0 0 144,0 0 24,0 2 16,0-2-72,0 0 64,0 1-96,0-1 24,0 2-16,0-2 24,0 1-24,0 1 48,-4 0-56,2 3 24,2-5 8,0 4-56,-5 7 32,5-5-16,-2 8 16,2-14 24,-5 13-16,3 0-8,-1 1 24,-2 0-48,5-14 48,-4 14-56,1 1 8,-8-1-8,6 1 32,5-15 24,-14 16-80,9 0 63,-11 1 34,4 0-34,12-17 17,-17 17 41,4 0-82,-4 0-23,-1 2 16,18-19 48,-22 18-48,2 2 24,-4-2 32,-2 1 8,26-19-16,-25 15 32,1 1-32,0-2 8,-6 1 56,30-15-64,-28 14 48,-2-1 33,-1-2-9,-2 0-40,33-11-32,-35 6 8,0 7 16,-3-9 0,-1 2-8,39-6-16,-40 4 56,2-1-8,1-2-8,-1-1-8,38 0-32,-32-3 72,-1-8 16,0 7 8,3-13 112,30 17-208,-28-13 224,4-3-72,1-1-24,0-3-208,23 20 80,-22-21-280,4-3 40,-1-3 96,8 0 48,11 27 96,-12-30-152,0 0-289,9-1-167,3-3 8,0 34 600,0-33-384,3 0 216,9 2 120,0 3 80,-12 28-32,6-27 16,11 1-16,-3 0-40,2-1-80,-16 27 120,19-27-504,2 3-120,-3 2 368,-1 7 344,-17 15-88,19-11 408,-8 7 304,-1-8-256,4 12-344,-14 0-112,14-3 72,-2 3-8,-7 0-16,6 3-8,-11-3-40,7 5 40,7 7 64,-11-6-16,10 10-48,-13-16-40,7 14 56,-4 2-32,6 2 16,-6 1 16,-3-19-56,2 18 72,-2 0 0,0 0 32,-2-3-24,2-15-80,-3 17 96,1 0 16,-12-1-40,9 0 112,5-16-184,-14 14 153,12 0-25,-17 0 8,5 0-8,14-14-128,-12 15 112,0 0-8,-4-2 40,-1 1-96,17-14-48,-15 13 96,-2-2-32,3 1-24,0-7 16,14-5-56,-14 13 56,-2-8-24,4 6 24,0-8-8,12-3-48,-14 4 64,5 0 16,-3 1 8,8-1-16,4-4-72,-12 1 88,12 1 32,-8-1-56,4 1 40,4-2-104,-3 0 16,1 0-32,-3 0-48,3 0-24,2 0 88,0 0-152,-4 0 8,1 0 16,3-3 24,0 3 104,-4 0-64,4-3 16,-5 3 48,2 0-32,3 0 32,-2 0 16,0 0 0,-1 0 16,-2 0 32,5 0-64,-4 0 80,-7 0 64,8 0-16,-2 0 136,5 0-264,-17 0 184,15 0 0,-19 1-8,9 4-24,12-5-152,-18 4 184,-3 0-8,-7 7-8,0-6-80,28-5-88,-35 14 120,-5-1 56,0-1 48,-7 3 8,47-15-232,-46 14 304,-6 0 40,-6 0-15,-1 3 55,59-17-384,-66 16 392,-2 1 16,3 0 40,-1 0-72,66-17-376,-70 19 304,-10 1-120,-4-1-72,-5 4-24,89-23-88,-93 23 48,-4 0-32,-3 2-64,-6-1-32,106-24 80,-103 26-72,0 0 0,5-4 104,-3 0-24,101-22-8,-94 21 0,8-2 0,6-5 0,12 0-80,68-14 80,-68 13-112,12-2-208,-1-5-456,9 9-240,48-15 1016,-45 5-1353,3 0-311,7 1-617,0-5-831,35-1 3112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25.8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3022 1 15491,'0'0'0,"-27"0"2376,-1 0-2288,28 0-88,-45 2-104,6 13-56,-3 0 40,-9 5 24,51-20 96,-56 24-24,-12 3-112,-6 5 32,-4 0 0,78-32 104,-81 37-176,-4 0 152,-3 2-24,-5-2 8,93-37 40,-98 35-16,-8-1 8,-3 2-104,-8-1 8,117-35 104,-116 36-104,2-1 0,-2 4 72,0-4 32,116-35 0,-114 34-112,2 0 24,7-4-216,8-3-16,97-27 320,-86 26-408,4-5-160,13-1-1,11-3-207,58-17 776,-54 14-944,14-9-400,5 6-385,10-8-183,25-3 1912,-21 1-2008,5 1 39,16-2 41,0 0 1928</inkml:trace>
  <inkml:trace contextRef="#ctx0" brushRef="#br0" timeOffset="1">1819 146 2168,'0'0'0,"0"0"0,4 1 824,3 3 0,-5 0 369,-2 9 287,0-13-1480,-2 2 1632,-19 3-271,0 10-593,-9-3-440,30-12-328,-42 20-16,-7 4-48,-9 2-48,-7 2 48,65-28 64,-65 27 0,-5 0 0,-9 2 8,-4 1-16,83-30 8,-89 30-8,-4 1 0,-2-1-56,0 0-32,95-30 96,-100 28-128,4-4 16,6-1-16,6-2 128,84-21 0,-82 17-16,8-2 48,4-4-24,6-5-80,64-6 72,-56 11-72,7-10-40,7 1 80,12-2-32,30 0 64,-23-3-177,13-1-7,6-11-312,4 4-456,0 11 952,4-16-1168,15-2 8,6-5 295,10-5 433,-35 28 432,40-30-208,6-3 104,3 3-24,6 2 32,-55 28 96,61-28-8,4-1 8,5 1 8,0-1 16,-70 29-24,77-28 32,-1 1-8,3 1 120,2 6-16,-81 20-128,83-15 152,0 10 64,3-6-56,-5 11 16,-81 0-176,84 0 169,-3 4-17,-5 15 8,4-2 8,-80-17-168,74 23 224,-1 1-24,-2 3 8,-1 0-24,-70-27-184,65 31 88,-2 3 8,0 6-48,-5 3 16,-58-43-64,56 45 40,-6 5-24,2 1 24,-10 2-32,-42-53-8,44 55 56,-2 1-16,-5-2 0,4 1 0,-41-55-40,38 51 24,-1 0-32,2-2-8,-1-4 104,-38-45-88,40 46 72,1-4-16,4-2-16,-2-3-192,-43-37 152,48 33-312,0-3-200,3-2-312,0 0-457,-51-28 1281,60 22-2064,-60-22 2064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46.0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31 14891,'0'0'0,"-3"-5"80,3-12-936,0 17 856,0-4-1225,0 0-319,3 4 128,1 4 39,-4-4 1377,3 13-1440,2 1-272,7-1-489,-8 1-207,-4-14 2408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47.2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29 11 17899,'0'0'0,"-14"-5"176,14 5-176,-3-2-496,-9-1-208,12 3-112,0 0 48,0 0 768,3 0-688,-1 1 264,-2 2 135,3 0 89,-3-3 200,2 1-104,0 2 0,1 1 40,-1 1 0,-2-5 64,0 4-56,0 0-16,3 0 0,-3-1 32,0-3 40,0 3 8,0-1-24,2-1 16,-2 2 0,0-3 0,0 1-40,0 1 24,0-1-8,2 1 0,-2-2 24,0 1-64,0 0-120,3 2-176,-1 0-312,-2-3 672,0 3-952,3 0-328,-1 1-425,3 0-447,-5-4 2152,0 12-3329,0-12 3329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48.4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 22 16235,'0'0'0,"-4"-3"872,1-9-832,3 10-120,0 2 80,0-3-104,0 3 64,0 0-24,0 0 48,0 0 16,0 0 8,0 0 0,0 0-24,0 0 0,0 0 32,0 0-112,0 0-16,0 0 96,0 0 56,0 0 144,0 0-288,0 0 248,-5 0 64,5 1 16,0-1-224,0 0 256,0 2 24,0-2-64,0 1 56,0-1-272,0 0 232,0 0-7,0 0-25,0 0-24,0 0-176,0 0 200,-4 0-48,4 0-16,0 0 72,0 0-208,-3 0 160,3 0 32,0 0-8,0 0-128,0 0-56,0 0 112,0 0-64,0 0 32,0 0-320,0 0 440,0 0-216,0 0 56,0 0-264,3 0 464,-3 0-256,0 0-56,0 0-8,0 0 80,0-3-160,0 3-80,0 0-136,0 0-256,0 0 632,0 0-889,0 0-303,0 0-280,0 0-393,0 0 7283,0-3-13140,0 3 4705,0 0-1216,0 0 585,0 0 3648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49.0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 16 14307,'0'0'0,"-17"-12"7017,13 12-6953,-8-4-320,12 4 256,0 0-408,0 0-96,0 0 24,0 0 24,0 0 2304,0 0-3936,0 0 2016,0 0 56,0 0 104,0 0 2000,0 0-4152,0 0 2072,0 0-16,0 0 88,0 0 1904,0 0-3864,0 0 2088,0 0 112,0 0 8,0 0 696,0 0-1696,0 0 936,0 0-24,0 0-112,0 0-88,0 0 64,0 0 16,0 0-72,0 0 16,0 0-400,0 0 696,0 0-328,0 0-24,0 0 16,0 0-448,0 0 840,0 0-416,0 0-24,0 0-8,0 0 48,0 0-40,0 0 88,0 0-144,0 0 40,0 0-24,0 0 248,0 0-448,0 0 240,0 2-48,0-2-32,0 0 104,0 0-192,0 0-240,0 0-256,0 0-312,0 0 3312,0 0-5945,0 0 1969,0 0-409,2 0-599,-2 0 2672,0 1-3665,0 0-1088,0-1 4753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50.2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 60 22332,'0'0'0,"0"0"0,-5-18 224,-5 4-328,6-3-136,4 12-112,0 5 352,0-2-496,0-1-16,0 3 0,2 0 176,-2 0 336,2 0-248,3 0 24,-2 0-120,1 0-169,-4 0 513,5 0-696,-2 0-136,1 0-48,4 0 24,-8 0 856,2 0-752,5 0 39,-4 0 105,-3 0-32,0 0 640,2 0-688,1 0-112,-3 0-272,0 1-337,0-1 1409,0 2-1720,0-1-224,0 0-521,0-1 401,0 0 2064,0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53.5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39 59 20644,'0'0'0,"-17"-17"504,17 17-504,-7-16-440,-7 2-376,14 3-288,0 11 7,0 0 1097,0 0-1000,0 0 256,0 1 264,0-1 152,0 0 328,0 0-248,0 0-80,0 0-152,2 0-201,-2 0 681,0 0-872,0 0-48,0 0 40,0 0 120,0 0 4192,0 0-7505,0 0 3513,0 0-48,0 0-192,0 0 6841,0 0-13322,0 0 5632,0 0-743,0 0 416,0 0 1976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4"/>
  <sheetViews>
    <sheetView rightToLeft="1" tabSelected="1" view="pageBreakPreview" zoomScale="130" zoomScaleNormal="100" zoomScaleSheetLayoutView="130" workbookViewId="0">
      <selection activeCell="F2" sqref="F2:J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9" t="s">
        <v>232</v>
      </c>
      <c r="C1" s="79"/>
      <c r="D1" s="79"/>
      <c r="E1" s="79"/>
      <c r="F1" s="79"/>
      <c r="G1" s="79"/>
      <c r="H1" s="79"/>
      <c r="I1" s="79"/>
      <c r="J1" s="79"/>
    </row>
    <row r="2" spans="1:10" ht="30" customHeight="1" x14ac:dyDescent="0.3">
      <c r="B2" s="13" t="s">
        <v>8</v>
      </c>
      <c r="C2" s="85" t="s">
        <v>44</v>
      </c>
      <c r="D2" s="85"/>
      <c r="E2" s="13" t="s">
        <v>7</v>
      </c>
      <c r="F2" s="80">
        <v>45929</v>
      </c>
      <c r="G2" s="80"/>
      <c r="H2" s="80"/>
      <c r="I2" s="80"/>
      <c r="J2" s="80"/>
    </row>
    <row r="3" spans="1:10" ht="30" customHeight="1" x14ac:dyDescent="0.3">
      <c r="B3" s="13" t="s">
        <v>9</v>
      </c>
      <c r="C3" s="85" t="s">
        <v>85</v>
      </c>
      <c r="D3" s="85"/>
      <c r="E3" s="13" t="s">
        <v>6</v>
      </c>
      <c r="F3" s="85" t="s">
        <v>100</v>
      </c>
      <c r="G3" s="85"/>
      <c r="H3" s="85"/>
      <c r="I3" s="85"/>
      <c r="J3" s="8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81" t="s">
        <v>0</v>
      </c>
      <c r="C5" s="82"/>
      <c r="D5" s="82"/>
      <c r="E5" s="90" t="s">
        <v>1</v>
      </c>
      <c r="F5" s="90"/>
      <c r="G5" s="90"/>
      <c r="H5" s="90"/>
      <c r="I5" s="90" t="s">
        <v>2</v>
      </c>
      <c r="J5" s="91"/>
    </row>
    <row r="6" spans="1:10" ht="24.9" customHeight="1" thickBot="1" x14ac:dyDescent="0.35">
      <c r="A6" s="11"/>
      <c r="B6" s="83"/>
      <c r="C6" s="84"/>
      <c r="D6" s="84"/>
      <c r="E6" s="12" t="s">
        <v>3</v>
      </c>
      <c r="F6" s="12" t="s">
        <v>4</v>
      </c>
      <c r="G6" s="12" t="s">
        <v>23</v>
      </c>
      <c r="H6" s="12" t="s">
        <v>24</v>
      </c>
      <c r="I6" s="92"/>
      <c r="J6" s="93"/>
    </row>
    <row r="7" spans="1:10" ht="24.9" customHeight="1" thickBot="1" x14ac:dyDescent="0.35">
      <c r="A7" s="11"/>
      <c r="B7" s="88" t="s">
        <v>21</v>
      </c>
      <c r="C7" s="89"/>
      <c r="D7" s="89"/>
      <c r="E7" s="33" t="s">
        <v>18</v>
      </c>
      <c r="F7" s="33" t="s">
        <v>19</v>
      </c>
      <c r="G7" s="33" t="s">
        <v>22</v>
      </c>
      <c r="H7" s="33" t="s">
        <v>20</v>
      </c>
      <c r="I7" s="94" t="s">
        <v>25</v>
      </c>
      <c r="J7" s="95"/>
    </row>
    <row r="8" spans="1:10" ht="30" customHeight="1" x14ac:dyDescent="0.3">
      <c r="A8" s="11"/>
      <c r="B8" s="48" t="s">
        <v>180</v>
      </c>
      <c r="C8" s="49"/>
      <c r="D8" s="49"/>
      <c r="E8" s="30"/>
      <c r="F8" s="37"/>
      <c r="G8" s="38"/>
      <c r="H8" s="39"/>
      <c r="I8" s="65"/>
      <c r="J8" s="66"/>
    </row>
    <row r="9" spans="1:10" ht="30" customHeight="1" x14ac:dyDescent="0.3">
      <c r="A9" s="11"/>
      <c r="B9" s="44" t="s">
        <v>181</v>
      </c>
      <c r="C9" s="45"/>
      <c r="D9" s="45"/>
      <c r="E9" s="31">
        <v>10</v>
      </c>
      <c r="F9" s="27">
        <v>7.75</v>
      </c>
      <c r="G9" s="35">
        <f>IFERROR(F9/E9,"")</f>
        <v>0.77500000000000002</v>
      </c>
      <c r="H9" s="36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6"/>
      <c r="J9" s="57"/>
    </row>
    <row r="10" spans="1:10" ht="30" customHeight="1" x14ac:dyDescent="0.3">
      <c r="A10" s="11"/>
      <c r="B10" s="44" t="s">
        <v>182</v>
      </c>
      <c r="C10" s="45"/>
      <c r="D10" s="45"/>
      <c r="E10" s="9">
        <v>10</v>
      </c>
      <c r="F10" s="27">
        <v>7.25</v>
      </c>
      <c r="G10" s="35">
        <f t="shared" ref="G10:G59" si="0">IFERROR(F10/E10,"")</f>
        <v>0.72499999999999998</v>
      </c>
      <c r="H10" s="36" t="str">
        <f t="shared" ref="H10:H59" si="1">_xlfn.IFS(F10="أدخل العلامة","",F10="لا ينطبق","تم الإلغاء",G10&gt;=90%,"ممتاز",G10&gt;=80%,"جيد جداً",G10&gt;=70%,"جيد",G10&gt;=60%,"مقبول",G10&lt;60%,"راسب")</f>
        <v>جيد</v>
      </c>
      <c r="I10" s="56"/>
      <c r="J10" s="57"/>
    </row>
    <row r="11" spans="1:10" ht="39.9" customHeight="1" x14ac:dyDescent="0.3">
      <c r="A11" s="11"/>
      <c r="B11" s="44" t="s">
        <v>183</v>
      </c>
      <c r="C11" s="45"/>
      <c r="D11" s="45"/>
      <c r="E11" s="9">
        <v>8</v>
      </c>
      <c r="F11" s="27">
        <v>6.5</v>
      </c>
      <c r="G11" s="35">
        <f t="shared" si="0"/>
        <v>0.8125</v>
      </c>
      <c r="H11" s="36" t="str">
        <f t="shared" si="1"/>
        <v>جيد جداً</v>
      </c>
      <c r="I11" s="56"/>
      <c r="J11" s="57"/>
    </row>
    <row r="12" spans="1:10" ht="30" customHeight="1" x14ac:dyDescent="0.3">
      <c r="A12" s="11"/>
      <c r="B12" s="44" t="s">
        <v>184</v>
      </c>
      <c r="C12" s="45"/>
      <c r="D12" s="45"/>
      <c r="E12" s="9">
        <v>8</v>
      </c>
      <c r="F12" s="27">
        <v>6</v>
      </c>
      <c r="G12" s="35">
        <f t="shared" si="0"/>
        <v>0.75</v>
      </c>
      <c r="H12" s="36" t="str">
        <f t="shared" si="1"/>
        <v>جيد</v>
      </c>
      <c r="I12" s="56"/>
      <c r="J12" s="57"/>
    </row>
    <row r="13" spans="1:10" ht="30" customHeight="1" x14ac:dyDescent="0.3">
      <c r="A13" s="11"/>
      <c r="B13" s="44" t="s">
        <v>185</v>
      </c>
      <c r="C13" s="45"/>
      <c r="D13" s="45"/>
      <c r="E13" s="9">
        <v>5</v>
      </c>
      <c r="F13" s="27">
        <v>3.75</v>
      </c>
      <c r="G13" s="35">
        <f t="shared" si="0"/>
        <v>0.75</v>
      </c>
      <c r="H13" s="36" t="str">
        <f t="shared" si="1"/>
        <v>جيد</v>
      </c>
      <c r="I13" s="56"/>
      <c r="J13" s="57"/>
    </row>
    <row r="14" spans="1:10" ht="30" customHeight="1" x14ac:dyDescent="0.3">
      <c r="A14" s="11"/>
      <c r="B14" s="44" t="s">
        <v>186</v>
      </c>
      <c r="C14" s="45"/>
      <c r="D14" s="45"/>
      <c r="E14" s="9">
        <v>8</v>
      </c>
      <c r="F14" s="27">
        <v>6.25</v>
      </c>
      <c r="G14" s="35">
        <f t="shared" si="0"/>
        <v>0.78125</v>
      </c>
      <c r="H14" s="36" t="str">
        <f t="shared" si="1"/>
        <v>جيد</v>
      </c>
      <c r="I14" s="56"/>
      <c r="J14" s="57"/>
    </row>
    <row r="15" spans="1:10" ht="30" customHeight="1" x14ac:dyDescent="0.3">
      <c r="A15" s="11"/>
      <c r="B15" s="44" t="s">
        <v>187</v>
      </c>
      <c r="C15" s="45"/>
      <c r="D15" s="45"/>
      <c r="E15" s="9">
        <v>7</v>
      </c>
      <c r="F15" s="27">
        <v>5.5</v>
      </c>
      <c r="G15" s="35">
        <f t="shared" si="0"/>
        <v>0.7857142857142857</v>
      </c>
      <c r="H15" s="36" t="str">
        <f t="shared" si="1"/>
        <v>جيد</v>
      </c>
      <c r="I15" s="56"/>
      <c r="J15" s="57"/>
    </row>
    <row r="16" spans="1:10" ht="30" customHeight="1" x14ac:dyDescent="0.3">
      <c r="A16" s="11"/>
      <c r="B16" s="44" t="s">
        <v>188</v>
      </c>
      <c r="C16" s="45"/>
      <c r="D16" s="45"/>
      <c r="E16" s="9">
        <v>8</v>
      </c>
      <c r="F16" s="27">
        <v>6.25</v>
      </c>
      <c r="G16" s="35">
        <f t="shared" si="0"/>
        <v>0.78125</v>
      </c>
      <c r="H16" s="36" t="str">
        <f t="shared" si="1"/>
        <v>جيد</v>
      </c>
      <c r="I16" s="56"/>
      <c r="J16" s="57"/>
    </row>
    <row r="17" spans="1:10" ht="39.9" customHeight="1" x14ac:dyDescent="0.3">
      <c r="A17" s="11"/>
      <c r="B17" s="44" t="s">
        <v>189</v>
      </c>
      <c r="C17" s="45"/>
      <c r="D17" s="45"/>
      <c r="E17" s="9">
        <v>5</v>
      </c>
      <c r="F17" s="27">
        <v>3.5</v>
      </c>
      <c r="G17" s="35">
        <f t="shared" si="0"/>
        <v>0.7</v>
      </c>
      <c r="H17" s="36" t="str">
        <f t="shared" si="1"/>
        <v>جيد</v>
      </c>
      <c r="I17" s="56"/>
      <c r="J17" s="57"/>
    </row>
    <row r="18" spans="1:10" ht="30" customHeight="1" x14ac:dyDescent="0.3">
      <c r="A18" s="11"/>
      <c r="B18" s="60" t="s">
        <v>190</v>
      </c>
      <c r="C18" s="61"/>
      <c r="D18" s="61"/>
      <c r="E18" s="9">
        <v>5</v>
      </c>
      <c r="F18" s="27">
        <v>4</v>
      </c>
      <c r="G18" s="35">
        <f t="shared" si="0"/>
        <v>0.8</v>
      </c>
      <c r="H18" s="36" t="str">
        <f t="shared" si="1"/>
        <v>جيد جداً</v>
      </c>
      <c r="I18" s="56"/>
      <c r="J18" s="57"/>
    </row>
    <row r="19" spans="1:10" ht="30" customHeight="1" x14ac:dyDescent="0.3">
      <c r="A19" s="11"/>
      <c r="B19" s="60" t="s">
        <v>191</v>
      </c>
      <c r="C19" s="61"/>
      <c r="D19" s="61"/>
      <c r="E19" s="9">
        <v>5</v>
      </c>
      <c r="F19" s="27">
        <v>4</v>
      </c>
      <c r="G19" s="35">
        <f t="shared" si="0"/>
        <v>0.8</v>
      </c>
      <c r="H19" s="36" t="str">
        <f t="shared" si="1"/>
        <v>جيد جداً</v>
      </c>
      <c r="I19" s="56"/>
      <c r="J19" s="57"/>
    </row>
    <row r="20" spans="1:10" ht="39.9" customHeight="1" x14ac:dyDescent="0.3">
      <c r="A20" s="11"/>
      <c r="B20" s="60" t="s">
        <v>192</v>
      </c>
      <c r="C20" s="61"/>
      <c r="D20" s="61"/>
      <c r="E20" s="9">
        <v>10</v>
      </c>
      <c r="F20" s="27">
        <v>7.75</v>
      </c>
      <c r="G20" s="35">
        <f t="shared" si="0"/>
        <v>0.77500000000000002</v>
      </c>
      <c r="H20" s="36" t="str">
        <f t="shared" si="1"/>
        <v>جيد</v>
      </c>
      <c r="I20" s="56"/>
      <c r="J20" s="57"/>
    </row>
    <row r="21" spans="1:10" ht="30" customHeight="1" x14ac:dyDescent="0.3">
      <c r="A21" s="11"/>
      <c r="B21" s="60" t="s">
        <v>193</v>
      </c>
      <c r="C21" s="61"/>
      <c r="D21" s="61"/>
      <c r="E21" s="9">
        <v>5</v>
      </c>
      <c r="F21" s="27">
        <v>3.75</v>
      </c>
      <c r="G21" s="35">
        <f t="shared" si="0"/>
        <v>0.75</v>
      </c>
      <c r="H21" s="36" t="str">
        <f t="shared" si="1"/>
        <v>جيد</v>
      </c>
      <c r="I21" s="56"/>
      <c r="J21" s="57"/>
    </row>
    <row r="22" spans="1:10" ht="30" customHeight="1" x14ac:dyDescent="0.3">
      <c r="A22" s="11"/>
      <c r="B22" s="60" t="s">
        <v>194</v>
      </c>
      <c r="C22" s="61"/>
      <c r="D22" s="61"/>
      <c r="E22" s="9">
        <v>5</v>
      </c>
      <c r="F22" s="27">
        <v>4</v>
      </c>
      <c r="G22" s="35">
        <f t="shared" si="0"/>
        <v>0.8</v>
      </c>
      <c r="H22" s="36" t="str">
        <f t="shared" si="1"/>
        <v>جيد جداً</v>
      </c>
      <c r="I22" s="56"/>
      <c r="J22" s="57"/>
    </row>
    <row r="23" spans="1:10" ht="30" customHeight="1" thickBot="1" x14ac:dyDescent="0.35">
      <c r="A23" s="11"/>
      <c r="B23" s="62" t="s">
        <v>195</v>
      </c>
      <c r="C23" s="63"/>
      <c r="D23" s="63"/>
      <c r="E23" s="32">
        <v>5</v>
      </c>
      <c r="F23" s="29">
        <v>3.75</v>
      </c>
      <c r="G23" s="40">
        <f t="shared" si="0"/>
        <v>0.75</v>
      </c>
      <c r="H23" s="41" t="str">
        <f t="shared" si="1"/>
        <v>جيد</v>
      </c>
      <c r="I23" s="67"/>
      <c r="J23" s="68"/>
    </row>
    <row r="24" spans="1:10" ht="30" customHeight="1" x14ac:dyDescent="0.3">
      <c r="A24" s="11"/>
      <c r="B24" s="52" t="s">
        <v>196</v>
      </c>
      <c r="C24" s="53"/>
      <c r="D24" s="53"/>
      <c r="E24" s="30"/>
      <c r="F24" s="37"/>
      <c r="G24" s="38"/>
      <c r="H24" s="39"/>
      <c r="I24" s="65"/>
      <c r="J24" s="66"/>
    </row>
    <row r="25" spans="1:10" ht="30" customHeight="1" x14ac:dyDescent="0.3">
      <c r="A25" s="11"/>
      <c r="B25" s="44" t="s">
        <v>197</v>
      </c>
      <c r="C25" s="45"/>
      <c r="D25" s="45"/>
      <c r="E25" s="9">
        <v>6</v>
      </c>
      <c r="F25" s="27">
        <v>4.75</v>
      </c>
      <c r="G25" s="35">
        <f t="shared" si="0"/>
        <v>0.79166666666666663</v>
      </c>
      <c r="H25" s="36" t="str">
        <f t="shared" si="1"/>
        <v>جيد</v>
      </c>
      <c r="I25" s="56"/>
      <c r="J25" s="57"/>
    </row>
    <row r="26" spans="1:10" ht="30" customHeight="1" x14ac:dyDescent="0.3">
      <c r="A26" s="11"/>
      <c r="B26" s="44" t="s">
        <v>198</v>
      </c>
      <c r="C26" s="45"/>
      <c r="D26" s="45"/>
      <c r="E26" s="9">
        <v>5</v>
      </c>
      <c r="F26" s="27">
        <v>3.5</v>
      </c>
      <c r="G26" s="35">
        <f t="shared" si="0"/>
        <v>0.7</v>
      </c>
      <c r="H26" s="36" t="str">
        <f t="shared" si="1"/>
        <v>جيد</v>
      </c>
      <c r="I26" s="56"/>
      <c r="J26" s="57"/>
    </row>
    <row r="27" spans="1:10" ht="30" customHeight="1" x14ac:dyDescent="0.3">
      <c r="A27" s="11"/>
      <c r="B27" s="44" t="s">
        <v>199</v>
      </c>
      <c r="C27" s="45"/>
      <c r="D27" s="45"/>
      <c r="E27" s="9">
        <v>5</v>
      </c>
      <c r="F27" s="27">
        <v>3.75</v>
      </c>
      <c r="G27" s="35">
        <f t="shared" si="0"/>
        <v>0.75</v>
      </c>
      <c r="H27" s="36" t="str">
        <f t="shared" si="1"/>
        <v>جيد</v>
      </c>
      <c r="I27" s="56"/>
      <c r="J27" s="57"/>
    </row>
    <row r="28" spans="1:10" ht="30" customHeight="1" x14ac:dyDescent="0.3">
      <c r="A28" s="11"/>
      <c r="B28" s="44" t="s">
        <v>200</v>
      </c>
      <c r="C28" s="45"/>
      <c r="D28" s="45"/>
      <c r="E28" s="9">
        <v>5</v>
      </c>
      <c r="F28" s="27">
        <v>3.75</v>
      </c>
      <c r="G28" s="35">
        <f t="shared" si="0"/>
        <v>0.75</v>
      </c>
      <c r="H28" s="36" t="str">
        <f t="shared" si="1"/>
        <v>جيد</v>
      </c>
      <c r="I28" s="56"/>
      <c r="J28" s="57"/>
    </row>
    <row r="29" spans="1:10" ht="30" customHeight="1" x14ac:dyDescent="0.3">
      <c r="A29" s="11"/>
      <c r="B29" s="44" t="s">
        <v>201</v>
      </c>
      <c r="C29" s="45"/>
      <c r="D29" s="45"/>
      <c r="E29" s="9">
        <v>5</v>
      </c>
      <c r="F29" s="27">
        <v>3.75</v>
      </c>
      <c r="G29" s="35">
        <f t="shared" si="0"/>
        <v>0.75</v>
      </c>
      <c r="H29" s="36" t="str">
        <f t="shared" si="1"/>
        <v>جيد</v>
      </c>
      <c r="I29" s="56"/>
      <c r="J29" s="57"/>
    </row>
    <row r="30" spans="1:10" ht="30" customHeight="1" x14ac:dyDescent="0.3">
      <c r="A30" s="11"/>
      <c r="B30" s="44" t="s">
        <v>202</v>
      </c>
      <c r="C30" s="45"/>
      <c r="D30" s="45"/>
      <c r="E30" s="9">
        <v>5</v>
      </c>
      <c r="F30" s="27">
        <v>3.5</v>
      </c>
      <c r="G30" s="35">
        <f t="shared" si="0"/>
        <v>0.7</v>
      </c>
      <c r="H30" s="36" t="str">
        <f t="shared" si="1"/>
        <v>جيد</v>
      </c>
      <c r="I30" s="56"/>
      <c r="J30" s="57"/>
    </row>
    <row r="31" spans="1:10" ht="30" customHeight="1" thickBot="1" x14ac:dyDescent="0.35">
      <c r="A31" s="11"/>
      <c r="B31" s="46" t="s">
        <v>203</v>
      </c>
      <c r="C31" s="47"/>
      <c r="D31" s="47"/>
      <c r="E31" s="32">
        <v>5</v>
      </c>
      <c r="F31" s="29">
        <v>3.5</v>
      </c>
      <c r="G31" s="40">
        <f t="shared" si="0"/>
        <v>0.7</v>
      </c>
      <c r="H31" s="41" t="str">
        <f t="shared" si="1"/>
        <v>جيد</v>
      </c>
      <c r="I31" s="67"/>
      <c r="J31" s="68"/>
    </row>
    <row r="32" spans="1:10" ht="30" customHeight="1" x14ac:dyDescent="0.3">
      <c r="A32" s="11"/>
      <c r="B32" s="52" t="s">
        <v>204</v>
      </c>
      <c r="C32" s="53"/>
      <c r="D32" s="53"/>
      <c r="E32" s="30"/>
      <c r="F32" s="37"/>
      <c r="G32" s="38"/>
      <c r="H32" s="39"/>
      <c r="I32" s="65"/>
      <c r="J32" s="66"/>
    </row>
    <row r="33" spans="1:10" ht="39.9" customHeight="1" x14ac:dyDescent="0.3">
      <c r="A33" s="11"/>
      <c r="B33" s="44" t="s">
        <v>205</v>
      </c>
      <c r="C33" s="45"/>
      <c r="D33" s="45"/>
      <c r="E33" s="31">
        <v>6</v>
      </c>
      <c r="F33" s="27">
        <v>4.5</v>
      </c>
      <c r="G33" s="35">
        <f t="shared" si="0"/>
        <v>0.75</v>
      </c>
      <c r="H33" s="36" t="str">
        <f t="shared" si="1"/>
        <v>جيد</v>
      </c>
      <c r="I33" s="56"/>
      <c r="J33" s="57"/>
    </row>
    <row r="34" spans="1:10" ht="30" customHeight="1" x14ac:dyDescent="0.3">
      <c r="A34" s="11"/>
      <c r="B34" s="44" t="s">
        <v>206</v>
      </c>
      <c r="C34" s="45"/>
      <c r="D34" s="45"/>
      <c r="E34" s="9">
        <v>5</v>
      </c>
      <c r="F34" s="27">
        <v>3.75</v>
      </c>
      <c r="G34" s="35">
        <f t="shared" si="0"/>
        <v>0.75</v>
      </c>
      <c r="H34" s="36" t="str">
        <f t="shared" si="1"/>
        <v>جيد</v>
      </c>
      <c r="I34" s="56"/>
      <c r="J34" s="57"/>
    </row>
    <row r="35" spans="1:10" ht="30" customHeight="1" x14ac:dyDescent="0.3">
      <c r="A35" s="11"/>
      <c r="B35" s="44" t="s">
        <v>207</v>
      </c>
      <c r="C35" s="45"/>
      <c r="D35" s="45"/>
      <c r="E35" s="9">
        <v>5</v>
      </c>
      <c r="F35" s="27">
        <v>3.75</v>
      </c>
      <c r="G35" s="35">
        <f t="shared" si="0"/>
        <v>0.75</v>
      </c>
      <c r="H35" s="36" t="str">
        <f t="shared" si="1"/>
        <v>جيد</v>
      </c>
      <c r="I35" s="56"/>
      <c r="J35" s="57"/>
    </row>
    <row r="36" spans="1:10" ht="30" customHeight="1" thickBot="1" x14ac:dyDescent="0.35">
      <c r="A36" s="11"/>
      <c r="B36" s="46" t="s">
        <v>208</v>
      </c>
      <c r="C36" s="47"/>
      <c r="D36" s="47"/>
      <c r="E36" s="32">
        <v>5</v>
      </c>
      <c r="F36" s="29">
        <v>3.75</v>
      </c>
      <c r="G36" s="40">
        <f t="shared" si="0"/>
        <v>0.75</v>
      </c>
      <c r="H36" s="41" t="str">
        <f t="shared" si="1"/>
        <v>جيد</v>
      </c>
      <c r="I36" s="67"/>
      <c r="J36" s="68"/>
    </row>
    <row r="37" spans="1:10" ht="30" customHeight="1" x14ac:dyDescent="0.3">
      <c r="A37" s="11"/>
      <c r="B37" s="48" t="s">
        <v>209</v>
      </c>
      <c r="C37" s="49"/>
      <c r="D37" s="49"/>
      <c r="E37" s="30"/>
      <c r="F37" s="37"/>
      <c r="G37" s="38"/>
      <c r="H37" s="39"/>
      <c r="I37" s="65"/>
      <c r="J37" s="66"/>
    </row>
    <row r="38" spans="1:10" ht="30" customHeight="1" x14ac:dyDescent="0.3">
      <c r="A38" s="11"/>
      <c r="B38" s="44" t="s">
        <v>210</v>
      </c>
      <c r="C38" s="45"/>
      <c r="D38" s="45"/>
      <c r="E38" s="9">
        <v>6</v>
      </c>
      <c r="F38" s="27">
        <v>4.5</v>
      </c>
      <c r="G38" s="35">
        <f t="shared" si="0"/>
        <v>0.75</v>
      </c>
      <c r="H38" s="36" t="str">
        <f t="shared" si="1"/>
        <v>جيد</v>
      </c>
      <c r="I38" s="56"/>
      <c r="J38" s="57"/>
    </row>
    <row r="39" spans="1:10" ht="30" customHeight="1" x14ac:dyDescent="0.3">
      <c r="A39" s="11"/>
      <c r="B39" s="44" t="s">
        <v>211</v>
      </c>
      <c r="C39" s="45"/>
      <c r="D39" s="45"/>
      <c r="E39" s="9">
        <v>5</v>
      </c>
      <c r="F39" s="27">
        <v>3.75</v>
      </c>
      <c r="G39" s="35">
        <f t="shared" si="0"/>
        <v>0.75</v>
      </c>
      <c r="H39" s="36" t="str">
        <f t="shared" si="1"/>
        <v>جيد</v>
      </c>
      <c r="I39" s="56"/>
      <c r="J39" s="57"/>
    </row>
    <row r="40" spans="1:10" ht="30" customHeight="1" x14ac:dyDescent="0.3">
      <c r="A40" s="11"/>
      <c r="B40" s="44" t="s">
        <v>212</v>
      </c>
      <c r="C40" s="45"/>
      <c r="D40" s="45"/>
      <c r="E40" s="9">
        <v>5</v>
      </c>
      <c r="F40" s="27">
        <v>3.75</v>
      </c>
      <c r="G40" s="35">
        <f t="shared" si="0"/>
        <v>0.75</v>
      </c>
      <c r="H40" s="36" t="str">
        <f t="shared" si="1"/>
        <v>جيد</v>
      </c>
      <c r="I40" s="56"/>
      <c r="J40" s="57"/>
    </row>
    <row r="41" spans="1:10" ht="30" customHeight="1" x14ac:dyDescent="0.3">
      <c r="A41" s="11"/>
      <c r="B41" s="44" t="s">
        <v>213</v>
      </c>
      <c r="C41" s="45"/>
      <c r="D41" s="45"/>
      <c r="E41" s="9">
        <v>5</v>
      </c>
      <c r="F41" s="27">
        <v>3.75</v>
      </c>
      <c r="G41" s="35">
        <f t="shared" si="0"/>
        <v>0.75</v>
      </c>
      <c r="H41" s="36" t="str">
        <f t="shared" si="1"/>
        <v>جيد</v>
      </c>
      <c r="I41" s="56"/>
      <c r="J41" s="57"/>
    </row>
    <row r="42" spans="1:10" ht="30" customHeight="1" x14ac:dyDescent="0.3">
      <c r="A42" s="11"/>
      <c r="B42" s="44" t="s">
        <v>214</v>
      </c>
      <c r="C42" s="45"/>
      <c r="D42" s="45"/>
      <c r="E42" s="9">
        <v>5</v>
      </c>
      <c r="F42" s="27">
        <v>3.75</v>
      </c>
      <c r="G42" s="35">
        <f t="shared" si="0"/>
        <v>0.75</v>
      </c>
      <c r="H42" s="36" t="str">
        <f t="shared" si="1"/>
        <v>جيد</v>
      </c>
      <c r="I42" s="56"/>
      <c r="J42" s="57"/>
    </row>
    <row r="43" spans="1:10" ht="30" customHeight="1" x14ac:dyDescent="0.3">
      <c r="A43" s="11"/>
      <c r="B43" s="44" t="s">
        <v>215</v>
      </c>
      <c r="C43" s="45"/>
      <c r="D43" s="45"/>
      <c r="E43" s="9">
        <v>5</v>
      </c>
      <c r="F43" s="27">
        <v>4</v>
      </c>
      <c r="G43" s="35">
        <f t="shared" si="0"/>
        <v>0.8</v>
      </c>
      <c r="H43" s="36" t="str">
        <f t="shared" si="1"/>
        <v>جيد جداً</v>
      </c>
      <c r="I43" s="56"/>
      <c r="J43" s="57"/>
    </row>
    <row r="44" spans="1:10" ht="30" customHeight="1" thickBot="1" x14ac:dyDescent="0.35">
      <c r="A44" s="11"/>
      <c r="B44" s="46" t="s">
        <v>216</v>
      </c>
      <c r="C44" s="47"/>
      <c r="D44" s="47"/>
      <c r="E44" s="32">
        <v>5</v>
      </c>
      <c r="F44" s="29">
        <v>3.75</v>
      </c>
      <c r="G44" s="40">
        <f t="shared" si="0"/>
        <v>0.75</v>
      </c>
      <c r="H44" s="41" t="str">
        <f t="shared" si="1"/>
        <v>جيد</v>
      </c>
      <c r="I44" s="67"/>
      <c r="J44" s="68"/>
    </row>
    <row r="45" spans="1:10" ht="30" customHeight="1" x14ac:dyDescent="0.3">
      <c r="A45" s="11"/>
      <c r="B45" s="52" t="s">
        <v>217</v>
      </c>
      <c r="C45" s="53"/>
      <c r="D45" s="53"/>
      <c r="E45" s="30"/>
      <c r="F45" s="37"/>
      <c r="G45" s="38"/>
      <c r="H45" s="39"/>
      <c r="I45" s="65"/>
      <c r="J45" s="66"/>
    </row>
    <row r="46" spans="1:10" ht="30" customHeight="1" x14ac:dyDescent="0.3">
      <c r="A46" s="11"/>
      <c r="B46" s="44" t="s">
        <v>218</v>
      </c>
      <c r="C46" s="45"/>
      <c r="D46" s="45"/>
      <c r="E46" s="9">
        <v>5</v>
      </c>
      <c r="F46" s="27">
        <v>4</v>
      </c>
      <c r="G46" s="35">
        <f t="shared" si="0"/>
        <v>0.8</v>
      </c>
      <c r="H46" s="36" t="str">
        <f t="shared" si="1"/>
        <v>جيد جداً</v>
      </c>
      <c r="I46" s="56"/>
      <c r="J46" s="57"/>
    </row>
    <row r="47" spans="1:10" ht="30" customHeight="1" x14ac:dyDescent="0.3">
      <c r="A47" s="11"/>
      <c r="B47" s="44" t="s">
        <v>219</v>
      </c>
      <c r="C47" s="45"/>
      <c r="D47" s="45"/>
      <c r="E47" s="9">
        <v>8</v>
      </c>
      <c r="F47" s="27">
        <v>6.25</v>
      </c>
      <c r="G47" s="35">
        <f t="shared" si="0"/>
        <v>0.78125</v>
      </c>
      <c r="H47" s="36" t="str">
        <f t="shared" si="1"/>
        <v>جيد</v>
      </c>
      <c r="I47" s="56"/>
      <c r="J47" s="57"/>
    </row>
    <row r="48" spans="1:10" ht="30" customHeight="1" x14ac:dyDescent="0.3">
      <c r="A48" s="11"/>
      <c r="B48" s="44" t="s">
        <v>220</v>
      </c>
      <c r="C48" s="45"/>
      <c r="D48" s="45"/>
      <c r="E48" s="9">
        <v>5</v>
      </c>
      <c r="F48" s="27">
        <v>3.75</v>
      </c>
      <c r="G48" s="35">
        <f t="shared" si="0"/>
        <v>0.75</v>
      </c>
      <c r="H48" s="36" t="str">
        <f t="shared" si="1"/>
        <v>جيد</v>
      </c>
      <c r="I48" s="56"/>
      <c r="J48" s="57"/>
    </row>
    <row r="49" spans="1:10" ht="30" customHeight="1" x14ac:dyDescent="0.3">
      <c r="A49" s="11"/>
      <c r="B49" s="44" t="s">
        <v>221</v>
      </c>
      <c r="C49" s="45"/>
      <c r="D49" s="45"/>
      <c r="E49" s="9">
        <v>5</v>
      </c>
      <c r="F49" s="27">
        <v>3.75</v>
      </c>
      <c r="G49" s="35">
        <f t="shared" si="0"/>
        <v>0.75</v>
      </c>
      <c r="H49" s="36" t="str">
        <f t="shared" si="1"/>
        <v>جيد</v>
      </c>
      <c r="I49" s="56"/>
      <c r="J49" s="57"/>
    </row>
    <row r="50" spans="1:10" ht="30" customHeight="1" x14ac:dyDescent="0.3">
      <c r="A50" s="11"/>
      <c r="B50" s="44" t="s">
        <v>222</v>
      </c>
      <c r="C50" s="45"/>
      <c r="D50" s="45"/>
      <c r="E50" s="9">
        <v>5</v>
      </c>
      <c r="F50" s="27">
        <v>3.75</v>
      </c>
      <c r="G50" s="35">
        <f t="shared" si="0"/>
        <v>0.75</v>
      </c>
      <c r="H50" s="36" t="str">
        <f t="shared" si="1"/>
        <v>جيد</v>
      </c>
      <c r="I50" s="56"/>
      <c r="J50" s="57"/>
    </row>
    <row r="51" spans="1:10" ht="30" customHeight="1" thickBot="1" x14ac:dyDescent="0.35">
      <c r="A51" s="11"/>
      <c r="B51" s="46" t="s">
        <v>223</v>
      </c>
      <c r="C51" s="47"/>
      <c r="D51" s="47"/>
      <c r="E51" s="32">
        <v>5</v>
      </c>
      <c r="F51" s="29">
        <v>3.75</v>
      </c>
      <c r="G51" s="40">
        <f t="shared" si="0"/>
        <v>0.75</v>
      </c>
      <c r="H51" s="41" t="str">
        <f t="shared" si="1"/>
        <v>جيد</v>
      </c>
      <c r="I51" s="67"/>
      <c r="J51" s="68"/>
    </row>
    <row r="52" spans="1:10" ht="30" customHeight="1" x14ac:dyDescent="0.3">
      <c r="A52" s="11"/>
      <c r="B52" s="48" t="s">
        <v>224</v>
      </c>
      <c r="C52" s="49"/>
      <c r="D52" s="49"/>
      <c r="E52" s="30"/>
      <c r="F52" s="37"/>
      <c r="G52" s="38"/>
      <c r="H52" s="39"/>
      <c r="I52" s="65"/>
      <c r="J52" s="66"/>
    </row>
    <row r="53" spans="1:10" ht="30" customHeight="1" x14ac:dyDescent="0.3">
      <c r="A53" s="11"/>
      <c r="B53" s="44" t="s">
        <v>225</v>
      </c>
      <c r="C53" s="45"/>
      <c r="D53" s="45"/>
      <c r="E53" s="9">
        <v>10</v>
      </c>
      <c r="F53" s="27">
        <v>7.25</v>
      </c>
      <c r="G53" s="35">
        <f t="shared" si="0"/>
        <v>0.72499999999999998</v>
      </c>
      <c r="H53" s="36" t="str">
        <f t="shared" si="1"/>
        <v>جيد</v>
      </c>
      <c r="I53" s="56"/>
      <c r="J53" s="57"/>
    </row>
    <row r="54" spans="1:10" ht="30" customHeight="1" x14ac:dyDescent="0.3">
      <c r="A54" s="11"/>
      <c r="B54" s="44" t="s">
        <v>226</v>
      </c>
      <c r="C54" s="45"/>
      <c r="D54" s="45"/>
      <c r="E54" s="9">
        <v>10</v>
      </c>
      <c r="F54" s="27">
        <v>7.25</v>
      </c>
      <c r="G54" s="35">
        <f t="shared" si="0"/>
        <v>0.72499999999999998</v>
      </c>
      <c r="H54" s="36" t="str">
        <f t="shared" si="1"/>
        <v>جيد</v>
      </c>
      <c r="I54" s="56"/>
      <c r="J54" s="57"/>
    </row>
    <row r="55" spans="1:10" ht="30" customHeight="1" thickBot="1" x14ac:dyDescent="0.35">
      <c r="A55" s="11"/>
      <c r="B55" s="46" t="s">
        <v>227</v>
      </c>
      <c r="C55" s="47"/>
      <c r="D55" s="47"/>
      <c r="E55" s="32">
        <v>5</v>
      </c>
      <c r="F55" s="29">
        <v>3.75</v>
      </c>
      <c r="G55" s="40">
        <f t="shared" si="0"/>
        <v>0.75</v>
      </c>
      <c r="H55" s="41" t="str">
        <f t="shared" si="1"/>
        <v>جيد</v>
      </c>
      <c r="I55" s="67"/>
      <c r="J55" s="68"/>
    </row>
    <row r="56" spans="1:10" ht="30" customHeight="1" x14ac:dyDescent="0.3">
      <c r="A56" s="11"/>
      <c r="B56" s="48" t="s">
        <v>228</v>
      </c>
      <c r="C56" s="49"/>
      <c r="D56" s="49"/>
      <c r="E56" s="30"/>
      <c r="F56" s="37"/>
      <c r="G56" s="38"/>
      <c r="H56" s="39"/>
      <c r="I56" s="65"/>
      <c r="J56" s="66"/>
    </row>
    <row r="57" spans="1:10" ht="30" customHeight="1" x14ac:dyDescent="0.3">
      <c r="A57" s="11"/>
      <c r="B57" s="44" t="s">
        <v>229</v>
      </c>
      <c r="C57" s="45"/>
      <c r="D57" s="45"/>
      <c r="E57" s="9">
        <v>5</v>
      </c>
      <c r="F57" s="27">
        <v>4</v>
      </c>
      <c r="G57" s="35">
        <f t="shared" si="0"/>
        <v>0.8</v>
      </c>
      <c r="H57" s="36" t="str">
        <f t="shared" si="1"/>
        <v>جيد جداً</v>
      </c>
      <c r="I57" s="56"/>
      <c r="J57" s="57"/>
    </row>
    <row r="58" spans="1:10" ht="30" customHeight="1" thickBot="1" x14ac:dyDescent="0.35">
      <c r="A58" s="11"/>
      <c r="B58" s="46" t="s">
        <v>230</v>
      </c>
      <c r="C58" s="47"/>
      <c r="D58" s="47"/>
      <c r="E58" s="32">
        <v>5</v>
      </c>
      <c r="F58" s="29">
        <v>3.75</v>
      </c>
      <c r="G58" s="40">
        <f t="shared" si="0"/>
        <v>0.75</v>
      </c>
      <c r="H58" s="41" t="str">
        <f t="shared" si="1"/>
        <v>جيد</v>
      </c>
      <c r="I58" s="67"/>
      <c r="J58" s="68"/>
    </row>
    <row r="59" spans="1:10" ht="39.9" customHeight="1" thickBot="1" x14ac:dyDescent="0.35">
      <c r="A59" s="11"/>
      <c r="B59" s="50" t="s">
        <v>231</v>
      </c>
      <c r="C59" s="51"/>
      <c r="D59" s="51"/>
      <c r="E59" s="10">
        <v>5</v>
      </c>
      <c r="F59" s="42">
        <v>3.75</v>
      </c>
      <c r="G59" s="43">
        <f t="shared" si="0"/>
        <v>0.75</v>
      </c>
      <c r="H59" s="28" t="str">
        <f t="shared" si="1"/>
        <v>جيد</v>
      </c>
      <c r="I59" s="58"/>
      <c r="J59" s="59"/>
    </row>
    <row r="60" spans="1:10" ht="30" customHeight="1" thickBot="1" x14ac:dyDescent="0.35">
      <c r="A60" s="4"/>
      <c r="B60" s="96" t="s">
        <v>5</v>
      </c>
      <c r="C60" s="97"/>
      <c r="D60" s="97"/>
      <c r="E60" s="34">
        <f>SUM(E8:E59)</f>
        <v>270</v>
      </c>
      <c r="F60" s="34">
        <f>SUM(F8:F59)</f>
        <v>204.5</v>
      </c>
      <c r="G60" s="76"/>
      <c r="H60" s="77"/>
      <c r="I60" s="77"/>
      <c r="J60" s="78"/>
    </row>
    <row r="61" spans="1:10" ht="30" customHeight="1" thickBot="1" x14ac:dyDescent="0.35">
      <c r="A61" s="4"/>
      <c r="B61" s="54" t="s">
        <v>54</v>
      </c>
      <c r="C61" s="55"/>
      <c r="D61" s="55"/>
      <c r="E61" s="86">
        <f>F60/E60/100*100</f>
        <v>0.75740740740740742</v>
      </c>
      <c r="F61" s="86"/>
      <c r="G61" s="86"/>
      <c r="H61" s="86"/>
      <c r="I61" s="86"/>
      <c r="J61" s="87"/>
    </row>
    <row r="62" spans="1:10" ht="30" customHeight="1" thickBot="1" x14ac:dyDescent="0.35">
      <c r="A62" s="4"/>
      <c r="B62" s="54" t="s">
        <v>55</v>
      </c>
      <c r="C62" s="55"/>
      <c r="D62" s="55"/>
      <c r="E62" s="73" t="str">
        <f>_xlfn.IFS(E61&gt;=90%,"ممتاز",E61&gt;=80%,"جيد جداً",E61&gt;=70%,"جيد",E61&gt;=60%,"مقبول",E61&lt;60%,"راسب")</f>
        <v>جيد</v>
      </c>
      <c r="F62" s="73"/>
      <c r="G62" s="73"/>
      <c r="H62" s="73"/>
      <c r="I62" s="73"/>
      <c r="J62" s="74"/>
    </row>
    <row r="63" spans="1:10" ht="42" customHeight="1" x14ac:dyDescent="0.3">
      <c r="B63" s="69" t="s">
        <v>174</v>
      </c>
      <c r="C63" s="69"/>
      <c r="D63" s="69"/>
      <c r="E63" s="64" t="s">
        <v>52</v>
      </c>
      <c r="F63" s="64"/>
      <c r="G63" s="71" t="s">
        <v>100</v>
      </c>
      <c r="H63" s="71"/>
      <c r="I63" s="71"/>
      <c r="J63" s="71"/>
    </row>
    <row r="64" spans="1:10" ht="51" customHeight="1" x14ac:dyDescent="0.3">
      <c r="A64" s="5"/>
      <c r="B64" s="70"/>
      <c r="C64" s="70"/>
      <c r="D64" s="70"/>
      <c r="E64" s="75" t="s">
        <v>53</v>
      </c>
      <c r="F64" s="75"/>
      <c r="G64" s="72"/>
      <c r="H64" s="72"/>
      <c r="I64" s="72"/>
      <c r="J64" s="7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25">
    <mergeCell ref="B1:J1"/>
    <mergeCell ref="F2:J2"/>
    <mergeCell ref="B5:D6"/>
    <mergeCell ref="C2:D2"/>
    <mergeCell ref="C3:D3"/>
    <mergeCell ref="F3:J3"/>
    <mergeCell ref="E61:J61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48:J48"/>
    <mergeCell ref="B60:D60"/>
    <mergeCell ref="B61:D61"/>
    <mergeCell ref="B63:D64"/>
    <mergeCell ref="G63:J63"/>
    <mergeCell ref="G64:J64"/>
    <mergeCell ref="E62:J62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E64:F64"/>
    <mergeCell ref="G60:J60"/>
    <mergeCell ref="I47:J47"/>
    <mergeCell ref="E63:F63"/>
    <mergeCell ref="I32:J32"/>
    <mergeCell ref="I33:J33"/>
    <mergeCell ref="I34:J34"/>
    <mergeCell ref="I35:J35"/>
    <mergeCell ref="I36:J36"/>
    <mergeCell ref="I8:J8"/>
    <mergeCell ref="I23:J23"/>
    <mergeCell ref="I24:J24"/>
    <mergeCell ref="I25:J25"/>
    <mergeCell ref="I9:J9"/>
    <mergeCell ref="B62:D62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26:J26"/>
    <mergeCell ref="I27:J27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53:D53"/>
    <mergeCell ref="B54:D54"/>
    <mergeCell ref="B55:D55"/>
    <mergeCell ref="B56:D56"/>
    <mergeCell ref="B57:D57"/>
    <mergeCell ref="B58:D58"/>
    <mergeCell ref="B59:D59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2">
    <cfRule type="expression" dxfId="14" priority="57">
      <formula>$E62="راسب"</formula>
    </cfRule>
  </conditionalFormatting>
  <conditionalFormatting sqref="E62:J62">
    <cfRule type="expression" dxfId="13" priority="58">
      <formula>$E62="مقبول"</formula>
    </cfRule>
    <cfRule type="expression" dxfId="12" priority="59">
      <formula>$E62="جيد"</formula>
    </cfRule>
    <cfRule type="expression" dxfId="11" priority="60">
      <formula>$E62="جيد جداً"</formula>
    </cfRule>
    <cfRule type="expression" dxfId="10" priority="61">
      <formula>$E62="ممتاز"</formula>
    </cfRule>
  </conditionalFormatting>
  <conditionalFormatting sqref="F8:F5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3:J63">
    <cfRule type="containsText" dxfId="6" priority="15" operator="containsText" text="أدخل اسم المحكم">
      <formula>NOT(ISERROR(SEARCH("أدخل اسم المحكم",G63)))</formula>
    </cfRule>
  </conditionalFormatting>
  <conditionalFormatting sqref="H8:H5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F55 F34:F36 F39:F44 F13 F48:F51 F57:F59 F21:F23 F46 F17:F19 F26:F31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G63:J63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D3765AD8-38E9-4D95-8B43-1EC54C6FE078}">
          <x14:formula1>
            <xm:f>'بيانات التقييم'!$A$111:$A$153</xm:f>
          </x14:formula1>
          <xm:sqref>F9 F10 F20 F53 F54</xm:sqref>
        </x14:dataValidation>
        <x14:dataValidation type="list" allowBlank="1" showInputMessage="1" showErrorMessage="1" xr:uid="{CC9803AA-C47A-4931-BC5C-30841294FC77}">
          <x14:formula1>
            <xm:f>'بيانات التقييم'!$A$111:$A$145</xm:f>
          </x14:formula1>
          <xm:sqref>F11 F12 F14 F16 F47</xm:sqref>
        </x14:dataValidation>
        <x14:dataValidation type="list" allowBlank="1" showInputMessage="1" showErrorMessage="1" xr:uid="{A33B5F11-B3BC-41C7-9952-337F6DB82F3C}">
          <x14:formula1>
            <xm:f>'بيانات التقييم'!$A$111:$A$141</xm:f>
          </x14:formula1>
          <xm:sqref>F15</xm:sqref>
        </x14:dataValidation>
        <x14:dataValidation type="list" allowBlank="1" showInputMessage="1" showErrorMessage="1" xr:uid="{07F39051-9254-4F84-B294-CE9D0A7AC44B}">
          <x14:formula1>
            <xm:f>'بيانات التقييم'!$A$111:$A$137</xm:f>
          </x14:formula1>
          <xm:sqref>F25 F33 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2025-10-08T15:53:38Z</dcterms:modified>
</cp:coreProperties>
</file>