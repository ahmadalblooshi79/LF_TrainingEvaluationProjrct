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68F1ADEB-B7FC-44C5-AFC8-0AD9EC3986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 s="1"/>
  <c r="G9" i="2"/>
  <c r="H9" i="2"/>
  <c r="G15" i="2"/>
  <c r="H15" i="2" s="1"/>
  <c r="G14" i="2"/>
  <c r="H14" i="2" s="1"/>
  <c r="G10" i="2"/>
  <c r="H10" i="2"/>
  <c r="G12" i="2"/>
  <c r="H12" i="2" s="1"/>
  <c r="G11" i="2"/>
  <c r="H11" i="2" s="1"/>
  <c r="G13" i="2"/>
  <c r="H13" i="2" s="1"/>
  <c r="G16" i="2"/>
  <c r="H16" i="2" s="1"/>
  <c r="G18" i="2"/>
  <c r="H18" i="2"/>
  <c r="G8" i="2"/>
  <c r="H8" i="2"/>
  <c r="F19" i="2"/>
  <c r="E20" i="2" s="1"/>
  <c r="E21" i="2" s="1"/>
  <c r="E19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<sst xmlns="http://schemas.openxmlformats.org/spreadsheetml/2006/main" count="247" uniqueCount="191">
  <si>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</si>
  <si>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</si>
  <si>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</si>
  <si>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</si>
  <si>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</si>
  <si>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</si>
  <si>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</si>
  <si>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</si>
  <si>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</si>
  <si>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</si>
  <si>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</si>
  <si>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</si>
  <si>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</si>
  <si>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</si>
  <si>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</si>
  <si>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</si>
  <si>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</si>
  <si>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</si>
  <si>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</si>
  <si>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</si>
  <si>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</si>
  <si>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</si>
  <si>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</si>
  <si>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</si>
  <si>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</si>
  <si>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</si>
  <si>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</si>
  <si>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</si>
  <si>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</si>
  <si>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</si>
  <si>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</si>
  <si>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</si>
  <si>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</si>
  <si>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</si>
  <si>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</si>
  <si>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</si>
  <si>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</si>
  <si>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</si>
  <si>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</si>
  <si>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</si>
  <si>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</si>
  <si>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</si>
  <si>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</si>
  <si>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</si>
  <si>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</si>
  <si>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</si>
  <si>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</si>
  <si>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</si>
  <si>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</si>
  <si>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</si>
  <si>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</si>
  <si>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</si>
  <si>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</si>
  <si>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</si>
  <si>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</si>
  <si>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</si>
  <si>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</si>
  <si>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</si>
  <si>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</si>
  <si>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</si>
  <si>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</si>
  <si>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</si>
  <si>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</si>
  <si>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</si>
  <si>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</si>
  <si>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</si>
  <si>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</si>
  <si>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</si>
  <si>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</si>
  <si>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</si>
  <si>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</si>
  <si>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</si>
  <si>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</si>
  <si>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</si>
  <si>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</si>
  <si>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</si>
  <si>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</si>
  <si>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</si>
  <si>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</si>
  <si>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</si>
  <si>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</si>
  <si>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</si>
  <si>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</si>
  <si>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</si>
  <si>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</si>
  <si>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</si>
  <si>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</si>
  <si>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</si>
  <si>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</si>
  <si>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</si>
  <si>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</si>
  <si>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</si>
  <si>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</si>
  <si>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</si>
  <si>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</si>
  <si>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</si>
  <si>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</si>
  <si>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</si>
  <si>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</si>
  <si>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</si>
  <si>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</si>
  <si>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</si>
  <si>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</si>
  <si>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</si>
  <si>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</si>
  <si>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</si>
  <si>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</si>
  <si>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</si>
  <si>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</si>
  <si>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</si>
  <si>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</si>
  <si>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</si>
  <si>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</si>
  <si>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</si>
  <si>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</si>
  <si>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</si>
  <si>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</si>
  <si>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</si>
  <si>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</si>
  <si>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</si>
  <si>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</si>
  <si>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</si>
  <si>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</si>
  <si>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</si>
  <si>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</si>
  <si>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</si>
  <si>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</si>
  <si>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</si>
  <si>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</si>
  <si>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</si>
  <si>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</si>
  <si>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</si>
  <si>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</si>
  <si>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</si>
  <si>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</si>
  <si>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</si>
  <si>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</si>
  <si>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</si>
  <si>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</si>
  <si>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</si>
  <si>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</si>
  <si>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</si>
  <si>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</si>
  <si>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</si>
  <si>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</si>
  <si>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</si>
  <si>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</si>
  <si>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</si>
  <si>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</si>
  <si>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</si>
  <si>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</si>
  <si>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</si>
  <si>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</si>
  <si>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</si>
  <si>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</si>
  <si>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</si>
  <si>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</si>
  <si>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</si>
  <si>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</si>
  <si>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</si>
  <si>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</si>
  <si>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</si>
  <si>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</si>
  <si>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</si>
  <si>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</si>
  <si>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</si>
  <si>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</si>
  <si>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</si>
  <si>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</si>
  <si>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</si>
  <si>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</si>
  <si>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</si>
  <si>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</si>
  <si>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</si>
  <si>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</si>
  <si>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</si>
  <si>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</si>
  <si>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</si>
  <si>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</si>
  <si>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</si>
  <si>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</si>
  <si>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</si>
  <si>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</si>
  <si>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</si>
  <si>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</si>
  <si>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</si>
  <si>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</si>
  <si>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</si>
  <si>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</si>
  <si>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</si>
  <si>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اليوم/1 - تقييم معضلة/6 -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</si>
</sst>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142814</xdr:colOff>
      <xdr:row>22</xdr:row>
      <xdr:rowOff>131075</xdr:rowOff>
    </xdr:from>
    <xdr:to>
      <xdr:col>8</xdr:col>
      <xdr:colOff>505391</xdr:colOff>
      <xdr:row>22</xdr:row>
      <xdr:rowOff>525635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CF25C29-6AA1-9357-D882-6F64DA924B65}"/>
                </a:ext>
              </a:extLst>
            </xdr14:cNvPr>
            <xdr14:cNvContentPartPr/>
          </xdr14:nvContentPartPr>
          <xdr14:nvPr macro=""/>
          <xdr14:xfrm>
            <a:off x="10423197409" y="10427040"/>
            <a:ext cx="1017000" cy="394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CF25C29-6AA1-9357-D882-6F64DA924B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188409" y="10418040"/>
              <a:ext cx="1034640" cy="41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498854</xdr:colOff>
      <xdr:row>22</xdr:row>
      <xdr:rowOff>235115</xdr:rowOff>
    </xdr:from>
    <xdr:to>
      <xdr:col>8</xdr:col>
      <xdr:colOff>559751</xdr:colOff>
      <xdr:row>22</xdr:row>
      <xdr:rowOff>589355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3D5BAD4-61AD-D7C0-9456-F8BBB9DEC683}"/>
                </a:ext>
              </a:extLst>
            </xdr14:cNvPr>
            <xdr14:cNvContentPartPr/>
          </xdr14:nvContentPartPr>
          <xdr14:nvPr macro=""/>
          <xdr14:xfrm>
            <a:off x="10423143049" y="10531080"/>
            <a:ext cx="715320" cy="354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3D5BAD4-61AD-D7C0-9456-F8BBB9DEC68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34049" y="10522080"/>
              <a:ext cx="732960" cy="37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11:25.7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2113 590 3360,'0'0'0,"-10"-2"880,10 2-880,-5-5 921,-8-5-449,8 7-264,-4-1-136,5-1-8,1 2-72,3 3 8,-4-4 64,1 2-56,1-1 0,0 1 64,0 1-24,0-2 152,2 3-200,-2-1 184,1 0-8,1-1-16,0 0-72,0 0-8,0 1 24,0 1-104,0-1 192,0 1-56,0-2 24,0 1 56,0 0-184,0 0 64,0 1-96,0-1 72,0-1-112,2 0 56,1 0-72,0-1-96,1 0 104,-4 3 48,9-4-128,-6 0-16,9 1 96,-9-2-8,12 0-32,-4 0 80,-11 5 8,13-9-56,1 6-48,2-1 120,0-6-40,3 8-40,3-8 8,-22 10 56,24-4 0,0-6-8,-2 6 104,-1-7-24,4 8-104,2-7 8,-27 10 24,27-3-8,2-2-16,-3 0 40,0 0 0,0 2-56,0-1 16,-26 4 24,29-1-24,-2 0 8,-2 1 56,-3 0-56,0 2-16,0 0-8,-22-2 40,20 10-88,-1-8 48,-2 10 0,0-8 8,-3 12 48,0-5-64,-14-11 48,15 14-56,-4-2 48,-2 1-8,-5 1 16,7 2 0,-9 1-40,-2-17 40,3 16-88,1 0 80,-1 1-32,-3-1-48,0 1-24,0 0-64,0-17 176,-2 17-136,-3 0 72,-8-1 72,3 0-104,-4 0 40,0-1-40,14-15 96,-17 16-152,-3-2 184,-2 0-80,0 1-32,-4-3 16,1-3-64,25-9 128,-24 10-88,-2-6 32,1 8 32,1-10-24,0 0 8,1 1 0,23-3 40,-23 0-40,1 0 24,-1 0-8,0-4-24,0-8-97,0 3-119,23 9 264,-25-11-360,0-2-72,0-1-8,-2-1 88,0-2 104,-2 0 88,29 17 160,-31-16-72,-1-2 64,2 0-16,-1-2 8,-1 2 8,1 3-16,31 15 24,-32-12 16,-2 2 24,2 5 0,-1-5 16,2 6 56,-1-1 40,32 5-152,-32-4 192,-1 0 0,0 2-24,-1 0-40,2 2-16,1 0-8,31 0-104,-31 0 104,1 4-24,1-2 0,3 2-24,-2 0 8,2-1-8,26-3-56,-26 3 72,2 0 16,3-1 0,3 1-8,0-3 8,1 2-16,17-2-72,-16 0 96,5 0 9,0 0-17,0 0 40,6-2 48,-6-1 64,11 3-240,-3-3 336,-1-7 32,-1 7-40,2-7-40,2 1-144,-1-1-104,2 10-40,0-12-40,0-1-64,0 0-16,4-3 16,8-1 40,-8-1 0,-4 18 64,13-20-56,-4-4-96,2 1-40,1 0-48,1 2 24,1-1 64,-14 22 152,15-21-104,1 2 64,0 1 40,1 1 0,1 1 32,2 1 32,-20 15-64,21-16 72,1 2 48,-1-1-8,2 2-24,0-1-16,1 2-24,-24 12-48,26-13 16,1-1-8,2 2 8,2 0-24,1-1 8,2 2-16,-34 11 16,35-10-32,1 0 8,1 5-16,0-6 0,2 8 32,-2-2 0,-37 5 8,37-4-8,-1 1-8,1 2 8,-1-1-8,2 2 8,-1 0 0,-37 0 8,36 0-64,0 3 16,-2 0-40,-3 1-24,-1 0 8,0-1-64,-30-3 168,29 12-136,-1-9 0,-2 7 7,-2-6 49,-1 7-16,-3-8 64,-20-3 32,19 15-80,-1-4 24,-1-1 0,-2 1-24,-3 1 40,-1 0 24,-11-12 16,10 12-40,-7 2 0,7 0 8,-10 1-24,2 2 40,-2 0 16,0-17 0,-1 17-8,-4 1 16,-5 0 0,-1 1 8,-2 1 16,-4-1 16,17-19-48,-18 19 64,-3 2 32,0-1 16,-3 1 16,-6-2 64,-1 1-15,31-20-177,-35 20 184,-3 1-8,-2-2 8,-2 3 8,-7-1 64,-4 0-8,53-21-248,-55 21 280,0 1-64,-1-1-32,-2 2 8,-3-1 56,-4-1-112,65-21-136,-67 21 168,0 0-24,-2 1-168,-2-2 216,-1 0-104,-1 2-40,73-22-48,-73 22 40,0-2-48,0-2 16,1-1 56,2-1 88,2 0-56,68-16-96,-68 16 72,2-2-16,0 0-72,1 0 48,3-1 16,1-1-24,61-12-24,-60 11 24,6-1-24,2 0-8,2-1 16,6-5 24,1 6-56,43-10 24,-40 2 16,4 2-8,2-1-56,3 1 16,3-1-128,3 0-96,25-3 256,-22 0-432,2 0-280,5 0-256,-1 0-313,3 0 217,2-4 312,11 4 752,-9-9-480,4-1-1584,5 10 2064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11:26.7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1986 23 11810,'0'0'0,"-4"-4"2689,-1-6-2089,-6 6-328,1 0-128,10 4-144,-10-1 72,1 1-80,-3 0 0,-1 4 8,-2 7-40,-2-8 24,17-3 16,-18 13-24,-1-3 24,-2 1 0,-2 3-8,-2 1 8,-2 0-16,27-15 16,-28 17-32,-3 0 8,-3-1-8,-2 2-40,-2 0 24,-3 2 8,41-20 40,-41 19-64,0 0 8,1 1-24,-2 2-40,-2-3-24,2 0-48,42-19 192,-41 19-272,0-1-17,0 0-103,4-1-64,0-2-80,1-2-168,36-13 704,-32 12-960,3-1-248,4-8-137,2 9 1,2-10 128,5 1 152,16-3 1064,-16 2-945,4-2 281,1 0 224,2-1 200,5-3 160,-7-6 0,11 10 80,-2-4-2056,2 4 2056</inkml:trace>
  <inkml:trace contextRef="#ctx0" brushRef="#br0" timeOffset="1">832 360 1256,'0'0'0,"-5"0"1456,-7 2-1264,1 1 0,0-1-16,1 0-56,10-2-120,-12 4 96,0 6-8,-1-8 8,-1 2 0,0 8 32,1-10 16,13-2-144,-15 4 152,2-1 8,0 7-24,1-10-16,-1 3-7,1 0-17,12-3-96,-12 2 104,1 1-24,0-1-24,2-2-16,4 0-24,-7 0 8,12 0-24,-10 0 48,5 0 16,-6 0-24,1 0-24,5 0-88,-8-2-56,13 2 128,-10-3-152,1 0-56,-2-1-9,0 0-15,-2 1-8,3-1 48,10 4 192,-11-5-128,0 2 32,-1-1 16,-1 2 0,-2 1-8,1-1 32,14 2 56,-17 0-56,0 0 24,0 0 8,1 0 16,-2 3 40,0 0 8,18-3-40,-21 3 80,3 0 40,-1 0 32,1-1 32,0 1-8,0-1 48,18-2-224,-16 2 240,-1 1-15,0-3 31,1 2 0,2-2 40,-2 0 32,16 0-328,-13 0 272,2 0 40,1 0-16,6-1-8,-6-1 144,7-1 0,3 3-432,-4-3 448,2-1-16,-1-6-152,2 7-176,0-7-104,1 5-168,0 5 168,0-14-256,2 2 0,8-1-104,-6-2 24,10 0 24,-3-2-8,-11 17 320,12-17-216,1 1 64,0-2 40,1 0 96,1 3 8,-1 0 8,-14 15 0,17-15 56,1 2-16,0 0-24,0 0 64,2 1 8,1 0-8,-21 12-80,20-10 96,0 1-48,1 5-48,-2-1 0,0 2 8,0 0-8,-19 3 0,17-1 0,-1 1-8,-2 2-48,-2 9-16,0-7 0,-8 11-32,-4-15 104,13 12-96,-11 4 0,2 1-56,-1 2 80,0 1 16,-3 2 8,0-22 48,0 25 16,0 0-32,-1 3-24,-2 0 72,0 2-32,-7 0 16,10-30-16,-2 33 40,-3-1-40,-5 0 0,7 4 16,-8 0-8,9-1-8,2-35 0,-10 36 24,6-2 16,0-2 0,0 2 48,0-5 32,4 1 32,0-30-152,0 27 240,3-2 48,7-1 80,1-4 136,1 1 40,5-3 57,-17-18-601,20 14 592,6 0-32,2-3-48,7-1-104,5-7-40,3 7-104,-43-10-264,48 0 240,7 0 16,4 0-48,4-4-128,4-6-224,2 0-432,-69 10 576,71-11-1224,4-2-529,3-3-479,3-1 216,2-4 647,3 0 545,-86 21 824,90-26-2400,-90 26 2400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D3" zoomScale="130" zoomScaleNormal="100" zoomScaleSheetLayoutView="130" workbookViewId="0">
      <selection activeCell="F11" sqref="F1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9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1" t="s">
        <v>8</v>
      </c>
      <c r="C2" s="60" t="s">
        <v>41</v>
      </c>
      <c r="D2" s="60"/>
      <c r="E2" s="11" t="s">
        <v>7</v>
      </c>
      <c r="F2" s="55">
        <v>45943</v>
      </c>
      <c r="G2" s="55"/>
      <c r="H2" s="55"/>
      <c r="I2" s="55"/>
      <c r="J2" s="55"/>
    </row>
    <row r="3" spans="1:10" ht="30" customHeight="1" x14ac:dyDescent="0.3">
      <c r="B3" s="11" t="s">
        <v>9</v>
      </c>
      <c r="C3" s="60" t="s">
        <v>82</v>
      </c>
      <c r="D3" s="60"/>
      <c r="E3" s="11" t="s">
        <v>6</v>
      </c>
      <c r="F3" s="60" t="s">
        <v>92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" customHeight="1" thickBot="1" x14ac:dyDescent="0.35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" customHeight="1" x14ac:dyDescent="0.3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 x14ac:dyDescent="0.3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" customHeight="1" x14ac:dyDescent="0.3">
      <c r="A9" s="9"/>
      <c r="B9" s="39" t="s">
        <v>180</v>
      </c>
      <c r="C9" s="39"/>
      <c r="D9" s="39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0"/>
    </row>
    <row r="10" spans="1:10" ht="39.9" customHeight="1" x14ac:dyDescent="0.3">
      <c r="A10" s="9"/>
      <c r="B10" s="39" t="s">
        <v>182</v>
      </c>
      <c r="C10" s="41"/>
      <c r="D10" s="41"/>
      <c r="E10" s="32">
        <v>3</v>
      </c>
      <c r="F10" s="25">
        <v>2.25</v>
      </c>
      <c r="G10" s="33">
        <f t="shared" ref="G10" si="2">IFERROR(F10/E10,"")</f>
        <v>0.75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0"/>
      <c r="J10" s="40"/>
    </row>
    <row r="11" spans="1:10" ht="30" customHeight="1" x14ac:dyDescent="0.3">
      <c r="A11" s="9"/>
      <c r="B11" s="39" t="s">
        <v>178</v>
      </c>
      <c r="C11" s="39"/>
      <c r="D11" s="39"/>
      <c r="E11" s="32">
        <v>3</v>
      </c>
      <c r="F11" s="25">
        <v>2.25</v>
      </c>
      <c r="G11" s="33">
        <f>IFERROR(F11/E11,"")</f>
        <v>0.75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</v>
      </c>
      <c r="I11" s="40"/>
      <c r="J11" s="40"/>
    </row>
    <row r="12" spans="1:10" ht="30" customHeight="1" x14ac:dyDescent="0.3">
      <c r="A12" s="9"/>
      <c r="B12" s="39" t="s">
        <v>179</v>
      </c>
      <c r="C12" s="39"/>
      <c r="D12" s="39"/>
      <c r="E12" s="32">
        <v>3</v>
      </c>
      <c r="F12" s="25">
        <v>2.25</v>
      </c>
      <c r="G12" s="33">
        <f>IFERROR(F12/E12,"")</f>
        <v>0.75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جيد</v>
      </c>
      <c r="I12" s="40"/>
      <c r="J12" s="40"/>
    </row>
    <row r="13" spans="1:10" ht="39.9" customHeight="1" x14ac:dyDescent="0.3">
      <c r="A13" s="9"/>
      <c r="B13" s="39" t="s">
        <v>189</v>
      </c>
      <c r="C13" s="39"/>
      <c r="D13" s="39"/>
      <c r="E13" s="32">
        <v>3</v>
      </c>
      <c r="F13" s="25">
        <v>2.25</v>
      </c>
      <c r="G13" s="33">
        <f t="shared" ref="G13:G18" si="4">IFERROR(F13/E13,"")</f>
        <v>0.75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جيد</v>
      </c>
      <c r="I13" s="40"/>
      <c r="J13" s="40"/>
    </row>
    <row r="14" spans="1:10" ht="30" customHeight="1" x14ac:dyDescent="0.3">
      <c r="A14" s="9"/>
      <c r="B14" s="39" t="s">
        <v>183</v>
      </c>
      <c r="C14" s="39"/>
      <c r="D14" s="39"/>
      <c r="E14" s="32">
        <v>3</v>
      </c>
      <c r="F14" s="25">
        <v>2.25</v>
      </c>
      <c r="G14" s="33">
        <f t="shared" ref="G14" si="6">IFERROR(F14/E14,"")</f>
        <v>0.75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جيد</v>
      </c>
      <c r="I14" s="40"/>
      <c r="J14" s="40"/>
    </row>
    <row r="15" spans="1:10" ht="39.9" customHeight="1" x14ac:dyDescent="0.3">
      <c r="A15" s="9"/>
      <c r="B15" s="39" t="s">
        <v>184</v>
      </c>
      <c r="C15" s="39"/>
      <c r="D15" s="39"/>
      <c r="E15" s="32">
        <v>3</v>
      </c>
      <c r="F15" s="25">
        <v>2</v>
      </c>
      <c r="G15" s="33">
        <f t="shared" ref="G15" si="8">IFERROR(F15/E15,"")</f>
        <v>0.66666666666666663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مقبول</v>
      </c>
      <c r="I15" s="40"/>
      <c r="J15" s="40"/>
    </row>
    <row r="16" spans="1:10" ht="60" customHeight="1" x14ac:dyDescent="0.3">
      <c r="A16" s="9"/>
      <c r="B16" s="47" t="s">
        <v>185</v>
      </c>
      <c r="C16" s="48"/>
      <c r="D16" s="49"/>
      <c r="E16" s="32">
        <v>3</v>
      </c>
      <c r="F16" s="25">
        <v>2</v>
      </c>
      <c r="G16" s="33">
        <f t="shared" si="4"/>
        <v>0.66666666666666663</v>
      </c>
      <c r="H16" s="34" t="str">
        <f t="shared" si="5"/>
        <v>مقبول</v>
      </c>
      <c r="I16" s="40"/>
      <c r="J16" s="40"/>
    </row>
    <row r="17" spans="1:10" ht="39.9" customHeight="1" x14ac:dyDescent="0.3">
      <c r="A17" s="9"/>
      <c r="B17" s="39" t="s">
        <v>186</v>
      </c>
      <c r="C17" s="41"/>
      <c r="D17" s="41"/>
      <c r="E17" s="32">
        <v>3</v>
      </c>
      <c r="F17" s="29">
        <v>2</v>
      </c>
      <c r="G17" s="33">
        <f>IFERROR(F17/E17,"")</f>
        <v>0.66666666666666663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مقبول</v>
      </c>
      <c r="I17" s="40"/>
      <c r="J17" s="40"/>
    </row>
    <row r="18" spans="1:10" ht="60" customHeight="1" x14ac:dyDescent="0.3">
      <c r="A18" s="9"/>
      <c r="B18" s="39" t="s">
        <v>181</v>
      </c>
      <c r="C18" s="39"/>
      <c r="D18" s="3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0"/>
      <c r="J18" s="40"/>
    </row>
    <row r="19" spans="1:10" ht="30" customHeight="1" thickBot="1" x14ac:dyDescent="0.35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24</v>
      </c>
      <c r="G19" s="42"/>
      <c r="H19" s="43"/>
      <c r="I19" s="43"/>
      <c r="J19" s="44"/>
    </row>
    <row r="20" spans="1:10" ht="30" customHeight="1" thickBot="1" x14ac:dyDescent="0.35">
      <c r="A20" s="4"/>
      <c r="B20" s="75" t="s">
        <v>54</v>
      </c>
      <c r="C20" s="76"/>
      <c r="D20" s="76"/>
      <c r="E20" s="45">
        <f>F19/E19/100*100</f>
        <v>0.72727272727272729</v>
      </c>
      <c r="F20" s="45"/>
      <c r="G20" s="45"/>
      <c r="H20" s="45"/>
      <c r="I20" s="45"/>
      <c r="J20" s="46"/>
    </row>
    <row r="21" spans="1:10" ht="30" customHeight="1" thickBot="1" x14ac:dyDescent="0.35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جيد</v>
      </c>
      <c r="F21" s="65"/>
      <c r="G21" s="65"/>
      <c r="H21" s="65"/>
      <c r="I21" s="65"/>
      <c r="J21" s="66"/>
    </row>
    <row r="22" spans="1:10" ht="42" customHeight="1" x14ac:dyDescent="0.3">
      <c r="B22" s="35" t="s">
        <v>187</v>
      </c>
      <c r="C22" s="35"/>
      <c r="D22" s="35"/>
      <c r="E22" s="77" t="s">
        <v>52</v>
      </c>
      <c r="F22" s="77"/>
      <c r="G22" s="37" t="s">
        <v>92</v>
      </c>
      <c r="H22" s="37"/>
      <c r="I22" s="37"/>
      <c r="J22" s="37"/>
    </row>
    <row r="23" spans="1:10" ht="51" customHeight="1" x14ac:dyDescent="0.3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 ht="15.6" x14ac:dyDescent="0.3">
      <c r="A24" s="26">
        <v>3</v>
      </c>
      <c r="B24" s="67" t="s">
        <v>175</v>
      </c>
      <c r="C24" s="68"/>
    </row>
    <row r="25" spans="1:10" ht="15.6" x14ac:dyDescent="0.3">
      <c r="A25" s="27">
        <v>2</v>
      </c>
      <c r="B25" s="69" t="s">
        <v>176</v>
      </c>
      <c r="C25" s="70"/>
    </row>
    <row r="26" spans="1:10" ht="15.6" x14ac:dyDescent="0.3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2025-10-15T17:03:11Z</dcterms:modified>
</cp:coreProperties>
</file>