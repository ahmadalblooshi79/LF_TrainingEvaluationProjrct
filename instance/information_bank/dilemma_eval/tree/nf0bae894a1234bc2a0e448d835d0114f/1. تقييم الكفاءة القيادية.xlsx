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ink/ink1.xml" ContentType="application/inkml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103"/>
  <workbookPr filterPrivacy="1" codeName="ThisWorkbook"/>
  <xr:revisionPtr revIDLastSave="0" documentId="13_ncr:1_{461AEFF6-C8E1-411D-93C5-03E3DDDE873B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قائمة التقييم" sheetId="2" r:id="rId1"/>
    <sheet name="بيانات التقييم" sheetId="4" r:id="rId2"/>
  </sheets>
  <definedNames>
    <definedName name="_Hlk189049083" localSheetId="0">'قائمة التقييم'!#REF!</definedName>
    <definedName name="_Hlk189049123" localSheetId="0">'قائمة التقييم'!$B$3</definedName>
    <definedName name="_xlnm.Print_Area" localSheetId="0">'قائمة التقييم'!$A$1:$J$22</definedName>
    <definedName name="_xlnm.Print_Titles" localSheetId="0">'قائمة التقييم'!$7:$7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9" i="2" l="1"/>
  <c r="H9" i="2"/>
  <c r="G10" i="2"/>
  <c r="H10" i="2"/>
  <c r="G11" i="2"/>
  <c r="H11" i="2"/>
  <c r="G12" i="2"/>
  <c r="H12" i="2"/>
  <c r="G13" i="2"/>
  <c r="H13" i="2"/>
  <c r="G14" i="2"/>
  <c r="H14" i="2"/>
  <c r="G15" i="2"/>
  <c r="H15" i="2"/>
  <c r="G16" i="2"/>
  <c r="H16" i="2"/>
  <c r="G17" i="2"/>
  <c r="H17" i="2"/>
  <c r="G8" i="2"/>
  <c r="H8" i="2"/>
  <c r="F18" i="2"/>
  <c r="E18" i="2"/>
  <c r="E19" i="2"/>
  <c r="E20" i="2"/>
</calcChain>
</file>

<file path=xl/sharedStrings.xml><?xml version="1.0" encoding="utf-8"?>
<sst xmlns="http://schemas.openxmlformats.org/spreadsheetml/2006/main" count="114" uniqueCount="111">
  <si>
    <t>عناصــــــر التقييـــــم</t>
  </si>
  <si>
    <t>العلامـــــــات</t>
  </si>
  <si>
    <t>ملاحظــــــات</t>
  </si>
  <si>
    <t>القصوى</t>
  </si>
  <si>
    <t>المكتسبة</t>
  </si>
  <si>
    <t>إجمالي العلامـــــات</t>
  </si>
  <si>
    <t xml:space="preserve">المحكــم: </t>
  </si>
  <si>
    <t xml:space="preserve">التاريــخ: </t>
  </si>
  <si>
    <t xml:space="preserve">الوحـــــــدة: </t>
  </si>
  <si>
    <t xml:space="preserve">قائد الوحدة: </t>
  </si>
  <si>
    <t>سرية الاستطلاع</t>
  </si>
  <si>
    <t>سرية الهاون</t>
  </si>
  <si>
    <t>سرية الهندسة</t>
  </si>
  <si>
    <t>سرية الدفاع الكيميائي</t>
  </si>
  <si>
    <t>سرية الحرب الإلكترونية</t>
  </si>
  <si>
    <t>سرية الإشارة</t>
  </si>
  <si>
    <t>فصيل الشرطة العسكرية</t>
  </si>
  <si>
    <t>لا ينطبق</t>
  </si>
  <si>
    <t>(ب)</t>
  </si>
  <si>
    <t>(جـ)</t>
  </si>
  <si>
    <t>(هـ)</t>
  </si>
  <si>
    <t>( أ )</t>
  </si>
  <si>
    <t>( د )</t>
  </si>
  <si>
    <t>النسبة</t>
  </si>
  <si>
    <t>النتيجة</t>
  </si>
  <si>
    <t>( و )</t>
  </si>
  <si>
    <t>هيئة ركن مجموعة اللواء</t>
  </si>
  <si>
    <t>سرية الـ م/د</t>
  </si>
  <si>
    <t>القيادة والسيطرة</t>
  </si>
  <si>
    <t>سرية الدفاع الجوي</t>
  </si>
  <si>
    <t>كتيبة الإسناد الإداري</t>
  </si>
  <si>
    <t>السرية الطبية</t>
  </si>
  <si>
    <t>سرية الصيانة</t>
  </si>
  <si>
    <t>سرية التزويد والنقل</t>
  </si>
  <si>
    <t>ضباط الصف</t>
  </si>
  <si>
    <t>قيادة مجموعة لواء الإمارات/1</t>
  </si>
  <si>
    <t>قيادة كتيبة المشاة الآلية/12</t>
  </si>
  <si>
    <t>كتيبة المشاة الآلية/12 - السرية/1</t>
  </si>
  <si>
    <t>كتيبة المشاة الآلية/12 - السرية/2</t>
  </si>
  <si>
    <t>كتيبة المشاة الآلية/12 - السرية/3</t>
  </si>
  <si>
    <t>قيادة كتيبة المشاة الآلية/13</t>
  </si>
  <si>
    <t>كتيبة المشاة الآلية/13 - السرية/1</t>
  </si>
  <si>
    <t>كتيبة المشاة الآلية/13 - السرية/2</t>
  </si>
  <si>
    <t>كتيبة المشاة الآلية/13 - السرية/3</t>
  </si>
  <si>
    <t>قيادة كتيبة الدبابات/14</t>
  </si>
  <si>
    <t>كتيبة الدبابات/14 - السرية/1</t>
  </si>
  <si>
    <t>كتيبة الدبابات/14 - السرية/2</t>
  </si>
  <si>
    <t>كتيبة الدبابات/14 - السرية/3</t>
  </si>
  <si>
    <t>قيادة كتيبة المدفعية/72</t>
  </si>
  <si>
    <t>قيادة كتيبة المدفعية/72 - السرية/1</t>
  </si>
  <si>
    <t>قيادة كتيبة المدفعية/72 - السرية/2</t>
  </si>
  <si>
    <t>قيادة كتيبة المدفعية/72 - السرية/3</t>
  </si>
  <si>
    <t>المحكـــــــــم:</t>
  </si>
  <si>
    <t>التوقيــــــــع:</t>
  </si>
  <si>
    <t>النسبــــة العامــــــة</t>
  </si>
  <si>
    <t>التقديــــر العــــــام</t>
  </si>
  <si>
    <t>أدخل التاريخ</t>
  </si>
  <si>
    <t>أدخل الوحدة الخاضعة للتقييم</t>
  </si>
  <si>
    <t>أدخل اسم المحكم</t>
  </si>
  <si>
    <t>أدخل اسم قائد الوحدة الخاضعة للتقييم</t>
  </si>
  <si>
    <t>أدخل العلامة</t>
  </si>
  <si>
    <r>
      <t>ملاحظـــات:</t>
    </r>
    <r>
      <rPr>
        <sz val="12"/>
        <color rgb="FF000000"/>
        <rFont val="Arial"/>
        <family val="2"/>
      </rPr>
      <t xml:space="preserve"> 
1. تقييم مستوى الوحدة من خلال مراقبة الآداء أو طرح الأسئلة.
2. يعتبر هذا النموذج (سري للغاية) بعد إدخال علامات التقييم.
3. نموذج التقييم قابل للتطوير والتعديل.</t>
    </r>
  </si>
  <si>
    <t>كتيبة المشاة الآلية/12 - السرية/1 - الفصيل/1</t>
  </si>
  <si>
    <t>كتيبة المشاة الآلية/12 - السرية/1 - الفصيل/2</t>
  </si>
  <si>
    <t>كتيبة المشاة الآلية/12 - السرية/1 - الفصيل/3</t>
  </si>
  <si>
    <t>كتيبة المشاة الآلية/12 - السرية/2 - الفصيل/1</t>
  </si>
  <si>
    <t>كتيبة المشاة الآلية/12 - السرية/2 - الفصيل/2</t>
  </si>
  <si>
    <t>كتيبة المشاة الآلية/12 - السرية/2 - الفصيل/3</t>
  </si>
  <si>
    <t>كتيبة المشاة الآلية/12 - السرية/3 - الفصيل/1</t>
  </si>
  <si>
    <t>كتيبة المشاة الآلية/12 - السرية/3 - الفصيل/2</t>
  </si>
  <si>
    <t>كتيبة المشاة الآلية/12 - السرية/3 - الفصيل/3</t>
  </si>
  <si>
    <t>كتيبة المشاة الآلية/13 - السرية/1 - الفصيل/1</t>
  </si>
  <si>
    <t>كتيبة المشاة الآلية/13 - السرية/1 - الفصيل/2</t>
  </si>
  <si>
    <t>كتيبة المشاة الآلية/13 - السرية/1 - الفصيل/3</t>
  </si>
  <si>
    <t>كتيبة المشاة الآلية/13 - السرية/2 - الفصيل/1</t>
  </si>
  <si>
    <t>كتيبة المشاة الآلية/13 - السرية/2 - الفصيل/2</t>
  </si>
  <si>
    <t>كتيبة المشاة الآلية/13 - السرية/2 - الفصيل/3</t>
  </si>
  <si>
    <t>كتيبة المشاة الآلية/13 - السرية/3 - الفصيل/1</t>
  </si>
  <si>
    <t>كتيبة المشاة الآلية/13 - السرية/3 - الفصيل/2</t>
  </si>
  <si>
    <t>كتيبة المشاة الآلية/13 - السرية/3 - الفصيل/3</t>
  </si>
  <si>
    <t>كتيبة الدبابات/14 - السرية/1 - الفصيل/1</t>
  </si>
  <si>
    <t>كتيبة الدبابات/14 - السرية/1 - الفصيل/2</t>
  </si>
  <si>
    <t>كتيبة الدبابات/14 - السرية/1 - الفصيل/3</t>
  </si>
  <si>
    <t>كتيبة المشاة الآلية/12 - السرية/1 - الفصيل/4</t>
  </si>
  <si>
    <t>كتيبة المشاة الآلية/12 - السرية/2 - الفصيل/4</t>
  </si>
  <si>
    <t>كتيبة المشاة الآلية/12 - السرية/3 - الفصيل/4</t>
  </si>
  <si>
    <t>كتيبة المشاة الآلية/13 - السرية/1 - الفصيل/4</t>
  </si>
  <si>
    <t>كتيبة المشاة الآلية/13 - السرية/2 - الفصيل/4</t>
  </si>
  <si>
    <t>كتيبة المشاة الآلية/13 - السرية/3 - الفصيل/4</t>
  </si>
  <si>
    <t>كتيبة الدبابات/14 - السرية/1 - الفصيل/4</t>
  </si>
  <si>
    <t>كتيبة الدبابات/14 - السرية/2 - الفصيل/1</t>
  </si>
  <si>
    <t>كتيبة الدبابات/14 - السرية/2 - الفصيل/2</t>
  </si>
  <si>
    <t>كتيبة الدبابات/14 - السرية/2 - الفصيل/3</t>
  </si>
  <si>
    <t>كتيبة الدبابات/14 - السرية/2 - الفصيل/4</t>
  </si>
  <si>
    <t>كتيبة الدبابات/14 - السرية/3 - الفصيل/1</t>
  </si>
  <si>
    <t>كتيبة الدبابات/14 - السرية/3 - الفصيل/2</t>
  </si>
  <si>
    <t>كتيبة الدبابات/14 - السرية/3 - الفصيل/3</t>
  </si>
  <si>
    <t>كتيبة الدبابات/14 - السرية/3 - الفصيل/4</t>
  </si>
  <si>
    <r>
      <t>1.</t>
    </r>
    <r>
      <rPr>
        <sz val="7"/>
        <color theme="1"/>
        <rFont val="Times New Roman"/>
        <family val="1"/>
      </rPr>
      <t xml:space="preserve">     </t>
    </r>
    <r>
      <rPr>
        <sz val="14"/>
        <color theme="1"/>
        <rFont val="Arial"/>
        <family val="2"/>
      </rPr>
      <t>الثقة بالنفس</t>
    </r>
    <r>
      <rPr>
        <sz val="14"/>
        <color theme="1"/>
        <rFont val="Calibri"/>
        <family val="2"/>
      </rPr>
      <t xml:space="preserve"> </t>
    </r>
  </si>
  <si>
    <r>
      <t>2.</t>
    </r>
    <r>
      <rPr>
        <sz val="7"/>
        <color theme="1"/>
        <rFont val="Times New Roman"/>
        <family val="1"/>
      </rPr>
      <t xml:space="preserve">     </t>
    </r>
    <r>
      <rPr>
        <sz val="14"/>
        <color theme="1"/>
        <rFont val="Arial"/>
        <family val="2"/>
      </rPr>
      <t>الصوت</t>
    </r>
    <r>
      <rPr>
        <sz val="14"/>
        <color theme="1"/>
        <rFont val="Calibri"/>
        <family val="2"/>
      </rPr>
      <t xml:space="preserve"> </t>
    </r>
  </si>
  <si>
    <r>
      <t>3.</t>
    </r>
    <r>
      <rPr>
        <sz val="7"/>
        <color theme="1"/>
        <rFont val="Times New Roman"/>
        <family val="1"/>
      </rPr>
      <t xml:space="preserve">     </t>
    </r>
    <r>
      <rPr>
        <sz val="14"/>
        <color theme="1"/>
        <rFont val="Arial"/>
        <family val="2"/>
      </rPr>
      <t>استيعاب المهام الموكلة إليه</t>
    </r>
    <r>
      <rPr>
        <sz val="14"/>
        <color theme="1"/>
        <rFont val="Calibri"/>
        <family val="2"/>
      </rPr>
      <t xml:space="preserve"> </t>
    </r>
  </si>
  <si>
    <r>
      <t>4.</t>
    </r>
    <r>
      <rPr>
        <sz val="7"/>
        <color theme="1"/>
        <rFont val="Times New Roman"/>
        <family val="1"/>
      </rPr>
      <t xml:space="preserve">     </t>
    </r>
    <r>
      <rPr>
        <sz val="14"/>
        <color theme="1"/>
        <rFont val="Arial"/>
        <family val="2"/>
      </rPr>
      <t>إيصال المعلومة والأوامر إلى مرؤوسيه</t>
    </r>
    <r>
      <rPr>
        <sz val="14"/>
        <color theme="1"/>
        <rFont val="Calibri"/>
        <family val="2"/>
      </rPr>
      <t xml:space="preserve"> </t>
    </r>
  </si>
  <si>
    <r>
      <t>5.</t>
    </r>
    <r>
      <rPr>
        <sz val="7"/>
        <color theme="1"/>
        <rFont val="Times New Roman"/>
        <family val="1"/>
      </rPr>
      <t xml:space="preserve">     </t>
    </r>
    <r>
      <rPr>
        <sz val="14"/>
        <color theme="1"/>
        <rFont val="Arial"/>
        <family val="2"/>
      </rPr>
      <t>درجة الإبداع والمخاطرة</t>
    </r>
    <r>
      <rPr>
        <sz val="14"/>
        <color theme="1"/>
        <rFont val="Calibri"/>
        <family val="2"/>
      </rPr>
      <t xml:space="preserve"> </t>
    </r>
  </si>
  <si>
    <r>
      <t>6.</t>
    </r>
    <r>
      <rPr>
        <sz val="7"/>
        <color theme="1"/>
        <rFont val="Times New Roman"/>
        <family val="1"/>
      </rPr>
      <t xml:space="preserve">     </t>
    </r>
    <r>
      <rPr>
        <sz val="14"/>
        <color theme="1"/>
        <rFont val="Arial"/>
        <family val="2"/>
      </rPr>
      <t>رد الفعل والاستجابة السريعة للمواقف الطارئة (المرونة)</t>
    </r>
    <r>
      <rPr>
        <sz val="14"/>
        <color theme="1"/>
        <rFont val="Calibri"/>
        <family val="2"/>
      </rPr>
      <t xml:space="preserve"> </t>
    </r>
  </si>
  <si>
    <r>
      <t>7.</t>
    </r>
    <r>
      <rPr>
        <sz val="7"/>
        <color theme="1"/>
        <rFont val="Times New Roman"/>
        <family val="1"/>
      </rPr>
      <t xml:space="preserve">     </t>
    </r>
    <r>
      <rPr>
        <sz val="14"/>
        <color theme="1"/>
        <rFont val="Arial"/>
        <family val="2"/>
      </rPr>
      <t>إظهار روح المبادرة والجرأة</t>
    </r>
    <r>
      <rPr>
        <sz val="14"/>
        <color theme="1"/>
        <rFont val="Calibri"/>
        <family val="2"/>
      </rPr>
      <t xml:space="preserve"> </t>
    </r>
  </si>
  <si>
    <r>
      <t>8.</t>
    </r>
    <r>
      <rPr>
        <sz val="7"/>
        <color theme="1"/>
        <rFont val="Times New Roman"/>
        <family val="1"/>
      </rPr>
      <t xml:space="preserve">     </t>
    </r>
    <r>
      <rPr>
        <sz val="14"/>
        <color theme="1"/>
        <rFont val="Arial"/>
        <family val="2"/>
      </rPr>
      <t>المهارة باستخدام سلاحه ومعداته الشخصية</t>
    </r>
    <r>
      <rPr>
        <sz val="14"/>
        <color theme="1"/>
        <rFont val="Calibri"/>
        <family val="2"/>
      </rPr>
      <t xml:space="preserve"> </t>
    </r>
  </si>
  <si>
    <r>
      <t>9.</t>
    </r>
    <r>
      <rPr>
        <sz val="7"/>
        <color theme="1"/>
        <rFont val="Times New Roman"/>
        <family val="1"/>
      </rPr>
      <t xml:space="preserve">     </t>
    </r>
    <r>
      <rPr>
        <sz val="14"/>
        <color theme="1"/>
        <rFont val="Arial"/>
        <family val="2"/>
      </rPr>
      <t>القدرة على السيطرة على من دونه من المرؤوسين</t>
    </r>
    <r>
      <rPr>
        <sz val="14"/>
        <color theme="1"/>
        <rFont val="Calibri"/>
        <family val="2"/>
      </rPr>
      <t xml:space="preserve"> </t>
    </r>
  </si>
  <si>
    <r>
      <t>10.</t>
    </r>
    <r>
      <rPr>
        <sz val="7"/>
        <color theme="1"/>
        <rFont val="Times New Roman"/>
        <family val="1"/>
      </rPr>
      <t>   </t>
    </r>
    <r>
      <rPr>
        <sz val="14"/>
        <color theme="1"/>
        <rFont val="Arial"/>
        <family val="2"/>
      </rPr>
      <t>الصبر والتحمل</t>
    </r>
    <r>
      <rPr>
        <sz val="14"/>
        <color theme="1"/>
        <rFont val="Calibri"/>
        <family val="2"/>
      </rPr>
      <t xml:space="preserve"> </t>
    </r>
  </si>
  <si>
    <r>
      <rPr>
        <b/>
        <sz val="14"/>
        <color rgb="FF000000"/>
        <rFont val="Arial"/>
        <family val="2"/>
      </rPr>
      <t>تقييم الكفاءة القيادية للقادة الأصاغر (فصيل مشاة راجل)</t>
    </r>
    <r>
      <rPr>
        <b/>
        <u/>
        <sz val="14"/>
        <color rgb="FF000000"/>
        <rFont val="Arial"/>
        <family val="2"/>
      </rPr>
      <t xml:space="preserve">
تمرين جاهزية مجموعة لواء الإمارات/1 (جندي الصحراء 2025/20)</t>
    </r>
  </si>
  <si>
    <t>ملازم/1 حمد هلال الكتبي</t>
  </si>
  <si>
    <t>ملازم/1 خالد محمد العامري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</si>
</sst>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10C0000]d\ mmmm\ yyyy;@"/>
  </numFmts>
  <fonts count="12" x14ac:knownFonts="1">
    <font>
      <sz val="11"/>
      <color theme="1"/>
      <name val="Calibri"/>
      <family val="2"/>
      <scheme val="minor"/>
    </font>
    <font>
      <b/>
      <u/>
      <sz val="12"/>
      <color rgb="FF000000"/>
      <name val="Arial"/>
      <family val="2"/>
    </font>
    <font>
      <b/>
      <sz val="12"/>
      <color rgb="FF000000"/>
      <name val="Arial"/>
      <family val="2"/>
    </font>
    <font>
      <b/>
      <sz val="12"/>
      <color theme="1"/>
      <name val="Arial"/>
      <family val="2"/>
    </font>
    <font>
      <sz val="14"/>
      <color rgb="FF000000"/>
      <name val="Calibri"/>
      <family val="2"/>
      <scheme val="minor"/>
    </font>
    <font>
      <b/>
      <u/>
      <sz val="14"/>
      <color rgb="FF000000"/>
      <name val="Arial"/>
      <family val="2"/>
    </font>
    <font>
      <b/>
      <sz val="14"/>
      <color rgb="FF000000"/>
      <name val="Arial"/>
      <family val="2"/>
    </font>
    <font>
      <b/>
      <sz val="14"/>
      <color theme="1"/>
      <name val="Arial"/>
      <family val="2"/>
    </font>
    <font>
      <sz val="12"/>
      <color rgb="FF000000"/>
      <name val="Arial"/>
      <family val="2"/>
    </font>
    <font>
      <sz val="14"/>
      <color theme="1"/>
      <name val="Arial"/>
      <family val="2"/>
    </font>
    <font>
      <sz val="14"/>
      <color theme="1"/>
      <name val="Calibri"/>
      <family val="2"/>
    </font>
    <font>
      <sz val="7"/>
      <color theme="1"/>
      <name val="Times New Roman"/>
      <family val="1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59999389629810485"/>
        <bgColor indexed="64"/>
      </patternFill>
    </fill>
  </fills>
  <borders count="22">
    <border>
      <left/>
      <right/>
      <top/>
      <bottom/>
      <diagonal/>
    </border>
    <border>
      <left/>
      <right/>
      <top style="medium">
        <color indexed="64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75">
    <xf numFmtId="0" fontId="0" fillId="0" borderId="0" xfId="0"/>
    <xf numFmtId="0" fontId="0" fillId="0" borderId="0" xfId="0" applyProtection="1">
      <protection locked="0"/>
    </xf>
    <xf numFmtId="0" fontId="4" fillId="0" borderId="2" xfId="0" applyFont="1" applyBorder="1" applyAlignment="1" applyProtection="1">
      <alignment horizontal="center" vertical="center" wrapText="1" readingOrder="2"/>
      <protection locked="0"/>
    </xf>
    <xf numFmtId="0" fontId="0" fillId="0" borderId="0" xfId="0" applyAlignment="1" applyProtection="1">
      <alignment horizontal="center"/>
      <protection locked="0"/>
    </xf>
    <xf numFmtId="0" fontId="2" fillId="2" borderId="0" xfId="0" applyFont="1" applyFill="1" applyBorder="1" applyAlignment="1" applyProtection="1">
      <alignment vertical="center" wrapText="1" readingOrder="2"/>
      <protection locked="0"/>
    </xf>
    <xf numFmtId="0" fontId="1" fillId="0" borderId="0" xfId="0" applyFont="1" applyBorder="1" applyAlignment="1" applyProtection="1">
      <alignment vertical="top" wrapText="1" readingOrder="2"/>
      <protection locked="0"/>
    </xf>
    <xf numFmtId="0" fontId="6" fillId="0" borderId="0" xfId="0" applyFont="1" applyAlignment="1" applyProtection="1">
      <alignment vertical="center" wrapText="1" readingOrder="2"/>
      <protection locked="0"/>
    </xf>
    <xf numFmtId="0" fontId="6" fillId="0" borderId="0" xfId="0" applyFont="1" applyAlignment="1" applyProtection="1">
      <alignment horizontal="right" vertical="center" wrapText="1" readingOrder="2"/>
      <protection locked="0"/>
    </xf>
    <xf numFmtId="0" fontId="2" fillId="0" borderId="3" xfId="0" applyFont="1" applyBorder="1" applyAlignment="1">
      <alignment horizontal="center" vertical="center" wrapText="1" readingOrder="2"/>
    </xf>
    <xf numFmtId="0" fontId="2" fillId="0" borderId="9" xfId="0" applyFont="1" applyBorder="1" applyAlignment="1">
      <alignment horizontal="center" vertical="center" wrapText="1" readingOrder="2"/>
    </xf>
    <xf numFmtId="0" fontId="3" fillId="2" borderId="0" xfId="0" applyFont="1" applyFill="1" applyBorder="1" applyAlignment="1" applyProtection="1">
      <alignment vertical="center" wrapText="1" readingOrder="2"/>
      <protection locked="0"/>
    </xf>
    <xf numFmtId="0" fontId="6" fillId="4" borderId="12" xfId="0" applyFont="1" applyFill="1" applyBorder="1" applyAlignment="1" applyProtection="1">
      <alignment horizontal="center" vertical="center" wrapText="1" readingOrder="2"/>
      <protection locked="0"/>
    </xf>
    <xf numFmtId="0" fontId="6" fillId="4" borderId="3" xfId="0" applyFont="1" applyFill="1" applyBorder="1" applyAlignment="1" applyProtection="1">
      <alignment vertical="center" wrapText="1" readingOrder="2"/>
      <protection locked="0"/>
    </xf>
    <xf numFmtId="164" fontId="4" fillId="0" borderId="2" xfId="0" applyNumberFormat="1" applyFont="1" applyBorder="1" applyAlignment="1" applyProtection="1">
      <alignment horizontal="center" vertical="center" wrapText="1" readingOrder="2"/>
      <protection locked="0"/>
    </xf>
    <xf numFmtId="164" fontId="4" fillId="0" borderId="0" xfId="0" applyNumberFormat="1" applyFont="1" applyBorder="1" applyAlignment="1" applyProtection="1">
      <alignment horizontal="center" vertical="center" wrapText="1" readingOrder="2"/>
      <protection locked="0"/>
    </xf>
    <xf numFmtId="164" fontId="4" fillId="3" borderId="0" xfId="0" applyNumberFormat="1" applyFont="1" applyFill="1" applyBorder="1" applyAlignment="1" applyProtection="1">
      <alignment horizontal="center" vertical="center" wrapText="1" readingOrder="2"/>
      <protection locked="0"/>
    </xf>
    <xf numFmtId="0" fontId="0" fillId="3" borderId="0" xfId="0" applyFill="1" applyProtection="1">
      <protection locked="0"/>
    </xf>
    <xf numFmtId="0" fontId="0" fillId="3" borderId="0" xfId="0" applyFill="1"/>
    <xf numFmtId="0" fontId="4" fillId="0" borderId="0" xfId="0" applyFont="1" applyBorder="1" applyAlignment="1" applyProtection="1">
      <alignment horizontal="center" vertical="center" wrapText="1" readingOrder="2"/>
      <protection locked="0"/>
    </xf>
    <xf numFmtId="0" fontId="3" fillId="0" borderId="3" xfId="0" applyFont="1" applyBorder="1" applyAlignment="1" applyProtection="1">
      <alignment horizontal="center" vertical="center" wrapText="1" readingOrder="2"/>
      <protection locked="0"/>
    </xf>
    <xf numFmtId="0" fontId="3" fillId="0" borderId="12" xfId="0" applyFont="1" applyBorder="1" applyAlignment="1" applyProtection="1">
      <alignment horizontal="center" vertical="center" wrapText="1" readingOrder="2"/>
      <protection locked="0"/>
    </xf>
    <xf numFmtId="0" fontId="6" fillId="4" borderId="18" xfId="0" applyFont="1" applyFill="1" applyBorder="1" applyAlignment="1" applyProtection="1">
      <alignment horizontal="center" vertical="center" wrapText="1" readingOrder="2"/>
      <protection locked="0"/>
    </xf>
    <xf numFmtId="9" fontId="3" fillId="0" borderId="3" xfId="0" applyNumberFormat="1" applyFont="1" applyBorder="1" applyAlignment="1">
      <alignment horizontal="center" vertical="center" wrapText="1" readingOrder="2"/>
    </xf>
    <xf numFmtId="0" fontId="2" fillId="0" borderId="3" xfId="0" applyFont="1" applyBorder="1" applyAlignment="1">
      <alignment horizontal="center" vertical="center" wrapText="1" readingOrder="1"/>
    </xf>
    <xf numFmtId="0" fontId="2" fillId="0" borderId="4" xfId="0" applyFont="1" applyBorder="1" applyAlignment="1">
      <alignment horizontal="center" vertical="center" wrapText="1" readingOrder="2"/>
    </xf>
    <xf numFmtId="0" fontId="3" fillId="0" borderId="4" xfId="0" applyFont="1" applyBorder="1" applyAlignment="1" applyProtection="1">
      <alignment horizontal="center" vertical="center" wrapText="1" readingOrder="2"/>
      <protection locked="0"/>
    </xf>
    <xf numFmtId="9" fontId="3" fillId="0" borderId="4" xfId="0" applyNumberFormat="1" applyFont="1" applyBorder="1" applyAlignment="1">
      <alignment horizontal="center" vertical="center" wrapText="1" readingOrder="2"/>
    </xf>
    <xf numFmtId="0" fontId="2" fillId="0" borderId="4" xfId="0" applyFont="1" applyBorder="1" applyAlignment="1">
      <alignment horizontal="center" vertical="center" wrapText="1" readingOrder="1"/>
    </xf>
    <xf numFmtId="0" fontId="2" fillId="0" borderId="12" xfId="0" applyFont="1" applyBorder="1" applyAlignment="1">
      <alignment horizontal="center" vertical="center" wrapText="1" readingOrder="2"/>
    </xf>
    <xf numFmtId="9" fontId="3" fillId="0" borderId="12" xfId="0" applyNumberFormat="1" applyFont="1" applyBorder="1" applyAlignment="1">
      <alignment horizontal="center" vertical="center" wrapText="1" readingOrder="2"/>
    </xf>
    <xf numFmtId="0" fontId="2" fillId="0" borderId="12" xfId="0" applyFont="1" applyBorder="1" applyAlignment="1">
      <alignment horizontal="center" vertical="center" wrapText="1" readingOrder="1"/>
    </xf>
    <xf numFmtId="0" fontId="10" fillId="0" borderId="20" xfId="0" applyFont="1" applyBorder="1" applyAlignment="1">
      <alignment horizontal="right" vertical="center" wrapText="1" readingOrder="2"/>
    </xf>
    <xf numFmtId="0" fontId="10" fillId="0" borderId="3" xfId="0" applyFont="1" applyBorder="1" applyAlignment="1">
      <alignment horizontal="right" vertical="center" wrapText="1" readingOrder="2"/>
    </xf>
    <xf numFmtId="0" fontId="10" fillId="0" borderId="5" xfId="0" applyFont="1" applyBorder="1" applyAlignment="1">
      <alignment horizontal="right" vertical="center" wrapText="1" readingOrder="2"/>
    </xf>
    <xf numFmtId="0" fontId="10" fillId="0" borderId="4" xfId="0" applyFont="1" applyBorder="1" applyAlignment="1">
      <alignment horizontal="right" vertical="center" wrapText="1" readingOrder="2"/>
    </xf>
    <xf numFmtId="0" fontId="6" fillId="0" borderId="1" xfId="0" applyFont="1" applyBorder="1" applyAlignment="1" applyProtection="1">
      <alignment horizontal="left" vertical="center" wrapText="1" readingOrder="2"/>
      <protection locked="0"/>
    </xf>
    <xf numFmtId="0" fontId="6" fillId="0" borderId="0" xfId="0" applyFont="1" applyAlignment="1" applyProtection="1">
      <alignment horizontal="left" vertical="center" wrapText="1" readingOrder="2"/>
      <protection locked="0"/>
    </xf>
    <xf numFmtId="0" fontId="2" fillId="0" borderId="14" xfId="0" applyFont="1" applyBorder="1" applyAlignment="1">
      <alignment horizontal="center" vertical="center" wrapText="1" readingOrder="2"/>
    </xf>
    <xf numFmtId="0" fontId="2" fillId="0" borderId="15" xfId="0" applyFont="1" applyBorder="1" applyAlignment="1">
      <alignment horizontal="center" vertical="center" wrapText="1" readingOrder="2"/>
    </xf>
    <xf numFmtId="0" fontId="2" fillId="0" borderId="16" xfId="0" applyFont="1" applyBorder="1" applyAlignment="1">
      <alignment horizontal="center" vertical="center" wrapText="1" readingOrder="2"/>
    </xf>
    <xf numFmtId="49" fontId="5" fillId="0" borderId="0" xfId="0" applyNumberFormat="1" applyFont="1" applyAlignment="1" applyProtection="1">
      <alignment horizontal="center" vertical="top" wrapText="1" readingOrder="2"/>
      <protection locked="0"/>
    </xf>
    <xf numFmtId="164" fontId="6" fillId="0" borderId="3" xfId="0" applyNumberFormat="1" applyFont="1" applyBorder="1" applyAlignment="1" applyProtection="1">
      <alignment horizontal="right" vertical="center" wrapText="1" readingOrder="2"/>
      <protection locked="0"/>
    </xf>
    <xf numFmtId="0" fontId="7" fillId="4" borderId="5" xfId="0" applyFont="1" applyFill="1" applyBorder="1" applyAlignment="1" applyProtection="1">
      <alignment horizontal="center" vertical="center" wrapText="1" readingOrder="2"/>
      <protection locked="0"/>
    </xf>
    <xf numFmtId="0" fontId="7" fillId="4" borderId="4" xfId="0" applyFont="1" applyFill="1" applyBorder="1" applyAlignment="1" applyProtection="1">
      <alignment horizontal="center" vertical="center" wrapText="1" readingOrder="2"/>
      <protection locked="0"/>
    </xf>
    <xf numFmtId="0" fontId="7" fillId="4" borderId="11" xfId="0" applyFont="1" applyFill="1" applyBorder="1" applyAlignment="1" applyProtection="1">
      <alignment horizontal="center" vertical="center" wrapText="1" readingOrder="2"/>
      <protection locked="0"/>
    </xf>
    <xf numFmtId="0" fontId="7" fillId="4" borderId="12" xfId="0" applyFont="1" applyFill="1" applyBorder="1" applyAlignment="1" applyProtection="1">
      <alignment horizontal="center" vertical="center" wrapText="1" readingOrder="2"/>
      <protection locked="0"/>
    </xf>
    <xf numFmtId="0" fontId="6" fillId="0" borderId="3" xfId="0" applyFont="1" applyBorder="1" applyAlignment="1" applyProtection="1">
      <alignment horizontal="right" vertical="center" wrapText="1" readingOrder="2"/>
      <protection locked="0"/>
    </xf>
    <xf numFmtId="10" fontId="2" fillId="0" borderId="9" xfId="0" applyNumberFormat="1" applyFont="1" applyBorder="1" applyAlignment="1">
      <alignment horizontal="center" vertical="center" wrapText="1" readingOrder="2"/>
    </xf>
    <xf numFmtId="10" fontId="2" fillId="0" borderId="10" xfId="0" applyNumberFormat="1" applyFont="1" applyBorder="1" applyAlignment="1">
      <alignment horizontal="center" vertical="center" wrapText="1" readingOrder="2"/>
    </xf>
    <xf numFmtId="0" fontId="7" fillId="4" borderId="17" xfId="0" applyFont="1" applyFill="1" applyBorder="1" applyAlignment="1" applyProtection="1">
      <alignment horizontal="center" vertical="center" wrapText="1" readingOrder="2"/>
      <protection locked="0"/>
    </xf>
    <xf numFmtId="0" fontId="7" fillId="4" borderId="18" xfId="0" applyFont="1" applyFill="1" applyBorder="1" applyAlignment="1" applyProtection="1">
      <alignment horizontal="center" vertical="center" wrapText="1" readingOrder="2"/>
      <protection locked="0"/>
    </xf>
    <xf numFmtId="0" fontId="6" fillId="4" borderId="4" xfId="0" applyFont="1" applyFill="1" applyBorder="1" applyAlignment="1" applyProtection="1">
      <alignment horizontal="center" vertical="center" wrapText="1" readingOrder="2"/>
      <protection locked="0"/>
    </xf>
    <xf numFmtId="0" fontId="6" fillId="4" borderId="6" xfId="0" applyFont="1" applyFill="1" applyBorder="1" applyAlignment="1" applyProtection="1">
      <alignment horizontal="center" vertical="center" wrapText="1" readingOrder="2"/>
      <protection locked="0"/>
    </xf>
    <xf numFmtId="0" fontId="6" fillId="4" borderId="12" xfId="0" applyFont="1" applyFill="1" applyBorder="1" applyAlignment="1" applyProtection="1">
      <alignment horizontal="center" vertical="center" wrapText="1" readingOrder="2"/>
      <protection locked="0"/>
    </xf>
    <xf numFmtId="0" fontId="6" fillId="4" borderId="13" xfId="0" applyFont="1" applyFill="1" applyBorder="1" applyAlignment="1" applyProtection="1">
      <alignment horizontal="center" vertical="center" wrapText="1" readingOrder="2"/>
      <protection locked="0"/>
    </xf>
    <xf numFmtId="0" fontId="6" fillId="4" borderId="18" xfId="0" applyFont="1" applyFill="1" applyBorder="1" applyAlignment="1" applyProtection="1">
      <alignment horizontal="center" vertical="center" wrapText="1" readingOrder="2"/>
      <protection locked="0"/>
    </xf>
    <xf numFmtId="0" fontId="6" fillId="4" borderId="19" xfId="0" applyFont="1" applyFill="1" applyBorder="1" applyAlignment="1" applyProtection="1">
      <alignment horizontal="center" vertical="center" wrapText="1" readingOrder="2"/>
      <protection locked="0"/>
    </xf>
    <xf numFmtId="0" fontId="3" fillId="0" borderId="3" xfId="0" applyFont="1" applyBorder="1" applyAlignment="1" applyProtection="1">
      <alignment horizontal="center" vertical="center" wrapText="1" readingOrder="2"/>
      <protection locked="0"/>
    </xf>
    <xf numFmtId="0" fontId="3" fillId="0" borderId="7" xfId="0" applyFont="1" applyBorder="1" applyAlignment="1" applyProtection="1">
      <alignment horizontal="center" vertical="center" wrapText="1" readingOrder="2"/>
      <protection locked="0"/>
    </xf>
    <xf numFmtId="0" fontId="10" fillId="0" borderId="11" xfId="0" applyFont="1" applyBorder="1" applyAlignment="1">
      <alignment horizontal="right" vertical="center" wrapText="1" readingOrder="2"/>
    </xf>
    <xf numFmtId="0" fontId="10" fillId="0" borderId="12" xfId="0" applyFont="1" applyBorder="1" applyAlignment="1">
      <alignment horizontal="right" vertical="center" wrapText="1" readingOrder="2"/>
    </xf>
    <xf numFmtId="0" fontId="1" fillId="0" borderId="1" xfId="0" applyFont="1" applyBorder="1" applyAlignment="1" applyProtection="1">
      <alignment vertical="top" wrapText="1" readingOrder="2"/>
      <protection locked="0"/>
    </xf>
    <xf numFmtId="0" fontId="1" fillId="0" borderId="0" xfId="0" applyFont="1" applyBorder="1" applyAlignment="1" applyProtection="1">
      <alignment vertical="top" wrapText="1" readingOrder="2"/>
      <protection locked="0"/>
    </xf>
    <xf numFmtId="0" fontId="6" fillId="0" borderId="0" xfId="0" applyFont="1" applyBorder="1" applyAlignment="1" applyProtection="1">
      <alignment horizontal="right" vertical="center" wrapText="1" readingOrder="2"/>
      <protection locked="0"/>
    </xf>
    <xf numFmtId="0" fontId="6" fillId="0" borderId="0" xfId="0" applyFont="1" applyAlignment="1" applyProtection="1">
      <alignment horizontal="center" vertical="center" wrapText="1" readingOrder="2"/>
      <protection locked="0"/>
    </xf>
    <xf numFmtId="0" fontId="2" fillId="0" borderId="9" xfId="0" applyFont="1" applyBorder="1" applyAlignment="1">
      <alignment horizontal="center" vertical="center" wrapText="1" readingOrder="1"/>
    </xf>
    <xf numFmtId="0" fontId="2" fillId="0" borderId="10" xfId="0" applyFont="1" applyBorder="1" applyAlignment="1">
      <alignment horizontal="center" vertical="center" wrapText="1" readingOrder="1"/>
    </xf>
    <xf numFmtId="0" fontId="3" fillId="0" borderId="4" xfId="0" applyFont="1" applyBorder="1" applyAlignment="1" applyProtection="1">
      <alignment horizontal="center" vertical="center" wrapText="1" readingOrder="2"/>
      <protection locked="0"/>
    </xf>
    <xf numFmtId="0" fontId="3" fillId="0" borderId="6" xfId="0" applyFont="1" applyBorder="1" applyAlignment="1" applyProtection="1">
      <alignment horizontal="center" vertical="center" wrapText="1" readingOrder="2"/>
      <protection locked="0"/>
    </xf>
    <xf numFmtId="0" fontId="6" fillId="4" borderId="8" xfId="0" applyFont="1" applyFill="1" applyBorder="1" applyAlignment="1" applyProtection="1">
      <alignment horizontal="center" vertical="center" wrapText="1" readingOrder="2"/>
      <protection locked="0"/>
    </xf>
    <xf numFmtId="0" fontId="6" fillId="4" borderId="9" xfId="0" applyFont="1" applyFill="1" applyBorder="1" applyAlignment="1" applyProtection="1">
      <alignment horizontal="center" vertical="center" wrapText="1" readingOrder="2"/>
      <protection locked="0"/>
    </xf>
    <xf numFmtId="0" fontId="3" fillId="0" borderId="12" xfId="0" applyFont="1" applyBorder="1" applyAlignment="1" applyProtection="1">
      <alignment horizontal="center" vertical="center" wrapText="1" readingOrder="2"/>
      <protection locked="0"/>
    </xf>
    <xf numFmtId="0" fontId="3" fillId="0" borderId="13" xfId="0" applyFont="1" applyBorder="1" applyAlignment="1" applyProtection="1">
      <alignment horizontal="center" vertical="center" wrapText="1" readingOrder="2"/>
      <protection locked="0"/>
    </xf>
    <xf numFmtId="0" fontId="6" fillId="0" borderId="21" xfId="0" applyFont="1" applyBorder="1" applyAlignment="1" applyProtection="1">
      <alignment horizontal="center" vertical="center" wrapText="1" readingOrder="2"/>
      <protection locked="0"/>
    </xf>
    <xf numFmtId="0" fontId="6" fillId="0" borderId="21" xfId="0" applyFont="1" applyBorder="1" applyAlignment="1" applyProtection="1">
      <alignment horizontal="right" vertical="center" wrapText="1" readingOrder="2"/>
      <protection locked="0"/>
    </xf>
  </cellXfs>
  <cellStyles count="1">
    <cellStyle name="Normal" xfId="0" builtinId="0"/>
  </cellStyles>
  <dxfs count="17">
    <dxf>
      <font>
        <color theme="0"/>
      </font>
      <fill>
        <patternFill>
          <bgColor rgb="FFFF0000"/>
        </patternFill>
      </fill>
    </dxf>
    <dxf>
      <fill>
        <patternFill>
          <bgColor theme="5" tint="0.39994506668294322"/>
        </patternFill>
      </fill>
    </dxf>
    <dxf>
      <fill>
        <patternFill>
          <bgColor rgb="FFFFFF00"/>
        </patternFill>
      </fill>
    </dxf>
    <dxf>
      <fill>
        <patternFill>
          <bgColor rgb="FF00CC00"/>
        </patternFill>
      </fill>
    </dxf>
    <dxf>
      <font>
        <color theme="1"/>
      </font>
      <fill>
        <patternFill>
          <bgColor rgb="FF00B0F0"/>
        </patternFill>
      </fill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theme="0"/>
      </font>
      <fill>
        <patternFill>
          <bgColor theme="8"/>
        </patternFill>
      </fill>
    </dxf>
    <dxf>
      <font>
        <b/>
        <i val="0"/>
        <color theme="0"/>
      </font>
      <fill>
        <patternFill>
          <bgColor rgb="FF339933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bgColor rgb="FFFF9933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color rgb="FFFF0000"/>
      </font>
    </dxf>
    <dxf>
      <font>
        <color rgb="FFFF0000"/>
      </font>
    </dxf>
  </dxfs>
  <tableStyles count="0" defaultTableStyle="TableStyleMedium2" defaultPivotStyle="PivotStyleLight16"/>
  <colors>
    <mruColors>
      <color rgb="FFFF9933"/>
      <color rgb="FF00CC00"/>
      <color rgb="FF339933"/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customXml" Target="../ink/ink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329259</xdr:colOff>
      <xdr:row>20</xdr:row>
      <xdr:rowOff>377040</xdr:rowOff>
    </xdr:from>
    <xdr:to>
      <xdr:col>8</xdr:col>
      <xdr:colOff>577278</xdr:colOff>
      <xdr:row>21</xdr:row>
      <xdr:rowOff>572788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">
          <xdr14:nvContentPartPr>
            <xdr14:cNvPr id="6" name="Ink 5">
              <a:extLst>
                <a:ext uri="{FF2B5EF4-FFF2-40B4-BE49-F238E27FC236}">
                  <a16:creationId xmlns:a16="http://schemas.microsoft.com/office/drawing/2014/main" id="{20CA66C5-258E-7E5D-3632-C05C88FA48CB}"/>
                </a:ext>
              </a:extLst>
            </xdr14:cNvPr>
            <xdr14:cNvContentPartPr/>
          </xdr14:nvContentPartPr>
          <xdr14:nvPr macro=""/>
          <xdr14:xfrm>
            <a:off x="10398667631" y="7997040"/>
            <a:ext cx="1564200" cy="726840"/>
          </xdr14:xfrm>
        </xdr:contentPart>
      </mc:Choice>
      <mc:Fallback xmlns="">
        <xdr:pic>
          <xdr:nvPicPr>
            <xdr:cNvPr id="6" name="Ink 5">
              <a:extLst>
                <a:ext uri="{FF2B5EF4-FFF2-40B4-BE49-F238E27FC236}">
                  <a16:creationId xmlns:a16="http://schemas.microsoft.com/office/drawing/2014/main" id="{20CA66C5-258E-7E5D-3632-C05C88FA48CB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10398658631" y="7988400"/>
              <a:ext cx="1581840" cy="744480"/>
            </a:xfrm>
            <a:prstGeom prst="rect">
              <a:avLst/>
            </a:prstGeom>
          </xdr:spPr>
        </xdr:pic>
      </mc:Fallback>
    </mc:AlternateContent>
    <xdr:clientData/>
  </xdr:twoCellAnchor>
</xdr:wsDr>
</file>

<file path=xl/ink/ink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5-10-09T08:11:58.046"/>
    </inkml:context>
    <inkml:brush xml:id="br0">
      <inkml:brushProperty name="width" value="0.05" units="cm"/>
      <inkml:brushProperty name="height" value="0.05" units="cm"/>
    </inkml:brush>
  </inkml:definitions>
  <inkml:trace contextRef="#ctx0" brushRef="#br0">3832 1301,'0'0,"0"0,0 0,0 0,0 0,0 0,0 0,0 0,0 0,0 0,0 0,0 0,0 0,0 0,0 0,-16 17,14-14,-10 26,-5-13,12-13,-20 42,-23 3,40-38,-16 28,-37 27,52-55,-29 29,-9 9,40-42,-19 20,-21 6,42-28,-37 8,12 4,25-14,-20-4,-9 2,33 0,-11 0,-5-16,14 14,-10-12,-2-18,13 28,-12-8,14-20,0 28,-16-8,16-20,0 28,-15-9,15-3,0 14,-16-12,16-2,0 14,-16-12,16-3,0 16,-15 2,-1-1,14 0,-12 0,0 17,12-15,-13 12,-15 2,25-15,-7 14,-18 18,25-29,-23 8,14 20,11-28,-27 8,16 4,11-14,-10 12,-4 2,17-14,-14 12,-2-14,13 0,-11 0,7 0,0 0,7-16,0 14,-16-12,16-18,0 27,0-38,0-6,0 42,0-34,0-24,0 56,0-30,0-25,0 55,16-31,-16-8,0 41,0-34,0 9,0 27,0-22,0-5,0 27,0-6,0 9,-16 4,-1 14,17-14,-14 12,-18 18,29-28,-9 24,-20 20,29-41,-42 34,15 8,25-42,-37 34,-5 23,40-54,-16 28,-24 11,37-42,-28 18,-9 24,39-42,-16 2,-23 23,39-27,-15 6,-24 5,40-14,-16-4,-24 18,37-14,-13-4,-7-14,25 14,-7-12,-18-2,25 13,-7-26,-1-3,10 27,-11-23,-2-4,16 27,0-39,0 12,0 27,-15-6,15-21,0 28,0-8,0-4,0 14,0-12,0 13,-16 18,8-9,0 0,-7 8,13-13,-13 10,0 3,15-13,-15 26,-1-13,14-13,-12 27,-1-30,13 0,-12 16,7-8,14 0,-24-8,17 0,-13 0,13 16,0-14,-17-4,0 18,17-13,-13 11,-4 2,15-14,-12 12,0-14,11 0,-11 16,-2 0,16-14,-14 12,-2-14,13 0,-11 16,0-32,11 13,-10-10,10 12,6-14,-3-33,0 40,0-33,16-40,-14 69,27-56,17-61,-39 109,33-72,7-4,-40 81,33-52,-9-13,-24 67,18-22,-10 19,-13 13,-4-26,17 13,-12 13,-21 6,3-3,13 0,-12 32,-33 16,40-40,-33 48,-37 24,65-66,-56 86,-9 12,65-95,-71 79,6 16,63-93,-35 43,2 3,40-55,-16 28,-11 10,30-40,-22 16,10-8,16-13,-31 26,15-13,16-13,0 10,-15-13,13 0,19-16,-17 0,0 14,16-28,1-2,-15 27,10-38,21 11,-31 27,9-22,6-6,-15 28,13-6,-15-5,0 13,0-10,0 29,0-14,-17 12,0 18,17-27,-30 23,14 4,16-27,-31 38,0-11,27-27,-24 22,-3 5,27-27,-22 6,-7 21,28-27,-21 6,-4-11,25 0,-37 16,-5-16,37 0,-27 0,-26 0,53 0,-58 0,5 0,54 0,-60 0,-11 0,69 0,-55 0,3 0,53 0,-42 0,-11 17,54-14,-12-6,-11 3,27 0,-5 0,25 0,-13 0,42-17,130-15,-149 28,184-24,120-4,-280 27,291-54,116 11,-391 41,369-50,5 8,-373 41,258-16,4-9,-276 28,117-6,-29-5,-118 14,35 4,-41-2,-14 0,-20 16,-46 0,54-13,-121 27,-70 18,167-41,-201 35,-92 22,280-54,-282 44,-47 10,315-53,-206 42,-29-4,249-41,-157 33,33-9,145-28,-75 8,24-12,65 0,-7 0,3-16,13 13,22-43,58-51,-65 83,101-116,91-31,-174 135,191-157,108-26,-280 177,261-162,34 18,-292 148,240-106,22-11,-266 122,199-98,52 25,-248 79,179-64,35 1,-218 67,-94 26</inkml:trace>
</inkml: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1D0DF2-5DCE-4624-B909-68D4EC5F2664}">
  <sheetPr codeName="Sheet1">
    <pageSetUpPr fitToPage="1"/>
  </sheetPr>
  <dimension ref="A1:J22"/>
  <sheetViews>
    <sheetView rightToLeft="1" tabSelected="1" view="pageBreakPreview" zoomScale="130" zoomScaleNormal="100" zoomScaleSheetLayoutView="130" workbookViewId="0">
      <selection activeCell="C4" sqref="C4:D4"/>
    </sheetView>
  </sheetViews>
  <sheetFormatPr defaultColWidth="9" defaultRowHeight="14.4" x14ac:dyDescent="0.3"/>
  <cols>
    <col min="1" max="1" width="5.109375" style="1" customWidth="1"/>
    <col min="2" max="2" width="12.109375" style="1" customWidth="1"/>
    <col min="3" max="3" width="9" style="1"/>
    <col min="4" max="4" width="28.109375" style="1" customWidth="1"/>
    <col min="5" max="7" width="9.33203125" style="1" customWidth="1"/>
    <col min="8" max="8" width="9.33203125" style="3" customWidth="1"/>
    <col min="9" max="9" width="9.33203125" style="1" customWidth="1"/>
    <col min="10" max="10" width="15.44140625" style="1" customWidth="1"/>
    <col min="11" max="16384" width="9" style="1"/>
  </cols>
  <sheetData>
    <row r="1" spans="1:10" ht="45" customHeight="1" x14ac:dyDescent="0.3">
      <c r="B1" s="40" t="s">
        <v>108</v>
      </c>
      <c r="C1" s="40"/>
      <c r="D1" s="40"/>
      <c r="E1" s="40"/>
      <c r="F1" s="40"/>
      <c r="G1" s="40"/>
      <c r="H1" s="40"/>
      <c r="I1" s="40"/>
      <c r="J1" s="40"/>
    </row>
    <row r="2" spans="1:10" ht="30" customHeight="1" x14ac:dyDescent="0.3">
      <c r="B2" s="12" t="s">
        <v>8</v>
      </c>
      <c r="C2" s="46" t="s">
        <v>62</v>
      </c>
      <c r="D2" s="46"/>
      <c r="E2" s="12" t="s">
        <v>7</v>
      </c>
      <c r="F2" s="41">
        <v>45939</v>
      </c>
      <c r="G2" s="41"/>
      <c r="H2" s="41"/>
      <c r="I2" s="41"/>
      <c r="J2" s="41"/>
    </row>
    <row r="3" spans="1:10" ht="30" customHeight="1" x14ac:dyDescent="0.3">
      <c r="B3" s="12" t="s">
        <v>9</v>
      </c>
      <c r="C3" s="46" t="s">
        <v>59</v>
      </c>
      <c r="D3" s="46"/>
      <c r="E3" s="12" t="s">
        <v>6</v>
      </c>
      <c r="F3" s="46" t="s">
        <v>58</v>
      </c>
      <c r="G3" s="46"/>
      <c r="H3" s="46"/>
      <c r="I3" s="46"/>
      <c r="J3" s="46"/>
    </row>
    <row r="4" spans="1:10" ht="30" customHeight="1" thickBot="1" x14ac:dyDescent="0.35">
      <c r="B4" s="6"/>
      <c r="C4" s="73" t="s">
        <v>110</v>
      </c>
      <c r="D4" s="73"/>
      <c r="E4" s="6"/>
      <c r="F4" s="7"/>
      <c r="G4" s="74" t="s">
        <v>109</v>
      </c>
      <c r="H4" s="74"/>
      <c r="I4" s="74"/>
      <c r="J4" s="74"/>
    </row>
    <row r="5" spans="1:10" ht="24.9" customHeight="1" x14ac:dyDescent="0.3">
      <c r="A5" s="10"/>
      <c r="B5" s="42" t="s">
        <v>0</v>
      </c>
      <c r="C5" s="43"/>
      <c r="D5" s="43"/>
      <c r="E5" s="51" t="s">
        <v>1</v>
      </c>
      <c r="F5" s="51"/>
      <c r="G5" s="51"/>
      <c r="H5" s="51"/>
      <c r="I5" s="51" t="s">
        <v>2</v>
      </c>
      <c r="J5" s="52"/>
    </row>
    <row r="6" spans="1:10" ht="24.9" customHeight="1" thickBot="1" x14ac:dyDescent="0.35">
      <c r="A6" s="10"/>
      <c r="B6" s="44"/>
      <c r="C6" s="45"/>
      <c r="D6" s="45"/>
      <c r="E6" s="11" t="s">
        <v>3</v>
      </c>
      <c r="F6" s="11" t="s">
        <v>4</v>
      </c>
      <c r="G6" s="11" t="s">
        <v>23</v>
      </c>
      <c r="H6" s="11" t="s">
        <v>24</v>
      </c>
      <c r="I6" s="53"/>
      <c r="J6" s="54"/>
    </row>
    <row r="7" spans="1:10" ht="24.9" customHeight="1" thickBot="1" x14ac:dyDescent="0.35">
      <c r="A7" s="10"/>
      <c r="B7" s="49" t="s">
        <v>21</v>
      </c>
      <c r="C7" s="50"/>
      <c r="D7" s="50"/>
      <c r="E7" s="21" t="s">
        <v>18</v>
      </c>
      <c r="F7" s="21" t="s">
        <v>19</v>
      </c>
      <c r="G7" s="21" t="s">
        <v>22</v>
      </c>
      <c r="H7" s="21" t="s">
        <v>20</v>
      </c>
      <c r="I7" s="55" t="s">
        <v>25</v>
      </c>
      <c r="J7" s="56"/>
    </row>
    <row r="8" spans="1:10" ht="30" customHeight="1" x14ac:dyDescent="0.3">
      <c r="A8" s="10"/>
      <c r="B8" s="33" t="s">
        <v>98</v>
      </c>
      <c r="C8" s="34"/>
      <c r="D8" s="34"/>
      <c r="E8" s="24">
        <v>5</v>
      </c>
      <c r="F8" s="25">
        <v>4</v>
      </c>
      <c r="G8" s="26">
        <f>IFERROR(F8/E8,"")</f>
        <v>0.8</v>
      </c>
      <c r="H8" s="27" t="str">
        <f>_xlfn.IFS(F8="أدخل العلامة","",F8="لا ينطبق","تم الإلغاء",G8&gt;=90%,"ممتاز",G8&gt;=80%,"جيد جداً",G8&gt;=70%,"جيد",G8&gt;=60%,"مقبول",G8&lt;60%,"راسب")</f>
        <v>جيد جداً</v>
      </c>
      <c r="I8" s="67"/>
      <c r="J8" s="68"/>
    </row>
    <row r="9" spans="1:10" ht="30" customHeight="1" x14ac:dyDescent="0.3">
      <c r="A9" s="10"/>
      <c r="B9" s="31" t="s">
        <v>99</v>
      </c>
      <c r="C9" s="32"/>
      <c r="D9" s="32"/>
      <c r="E9" s="8">
        <v>5</v>
      </c>
      <c r="F9" s="19">
        <v>3.75</v>
      </c>
      <c r="G9" s="22">
        <f>IFERROR(F9/E9,"")</f>
        <v>0.75</v>
      </c>
      <c r="H9" s="23" t="str">
        <f>_xlfn.IFS(F9="أدخل العلامة","",F9="لا ينطبق","تم الإلغاء",G9&gt;=90%,"ممتاز",G9&gt;=80%,"جيد جداً",G9&gt;=70%,"جيد",G9&gt;=60%,"مقبول",G9&lt;60%,"راسب")</f>
        <v>جيد</v>
      </c>
      <c r="I9" s="57"/>
      <c r="J9" s="58"/>
    </row>
    <row r="10" spans="1:10" ht="30" customHeight="1" x14ac:dyDescent="0.3">
      <c r="A10" s="10"/>
      <c r="B10" s="31" t="s">
        <v>100</v>
      </c>
      <c r="C10" s="32"/>
      <c r="D10" s="32"/>
      <c r="E10" s="8">
        <v>5</v>
      </c>
      <c r="F10" s="19">
        <v>3.75</v>
      </c>
      <c r="G10" s="22">
        <f t="shared" ref="G10:G17" si="0">IFERROR(F10/E10,"")</f>
        <v>0.75</v>
      </c>
      <c r="H10" s="23" t="str">
        <f t="shared" ref="H10:H17" si="1">_xlfn.IFS(F10="أدخل العلامة","",F10="لا ينطبق","تم الإلغاء",G10&gt;=90%,"ممتاز",G10&gt;=80%,"جيد جداً",G10&gt;=70%,"جيد",G10&gt;=60%,"مقبول",G10&lt;60%,"راسب")</f>
        <v>جيد</v>
      </c>
      <c r="I10" s="57"/>
      <c r="J10" s="58"/>
    </row>
    <row r="11" spans="1:10" ht="30" customHeight="1" x14ac:dyDescent="0.3">
      <c r="A11" s="10"/>
      <c r="B11" s="31" t="s">
        <v>101</v>
      </c>
      <c r="C11" s="32"/>
      <c r="D11" s="32"/>
      <c r="E11" s="8">
        <v>5</v>
      </c>
      <c r="F11" s="19">
        <v>3.5</v>
      </c>
      <c r="G11" s="22">
        <f t="shared" si="0"/>
        <v>0.7</v>
      </c>
      <c r="H11" s="23" t="str">
        <f t="shared" si="1"/>
        <v>جيد</v>
      </c>
      <c r="I11" s="57"/>
      <c r="J11" s="58"/>
    </row>
    <row r="12" spans="1:10" ht="30" customHeight="1" x14ac:dyDescent="0.3">
      <c r="A12" s="10"/>
      <c r="B12" s="31" t="s">
        <v>102</v>
      </c>
      <c r="C12" s="32"/>
      <c r="D12" s="32"/>
      <c r="E12" s="8">
        <v>5</v>
      </c>
      <c r="F12" s="19">
        <v>3.5</v>
      </c>
      <c r="G12" s="22">
        <f t="shared" si="0"/>
        <v>0.7</v>
      </c>
      <c r="H12" s="23" t="str">
        <f t="shared" si="1"/>
        <v>جيد</v>
      </c>
      <c r="I12" s="57"/>
      <c r="J12" s="58"/>
    </row>
    <row r="13" spans="1:10" ht="30" customHeight="1" x14ac:dyDescent="0.3">
      <c r="A13" s="10"/>
      <c r="B13" s="31" t="s">
        <v>103</v>
      </c>
      <c r="C13" s="32"/>
      <c r="D13" s="32"/>
      <c r="E13" s="8">
        <v>5</v>
      </c>
      <c r="F13" s="19">
        <v>3.75</v>
      </c>
      <c r="G13" s="22">
        <f t="shared" si="0"/>
        <v>0.75</v>
      </c>
      <c r="H13" s="23" t="str">
        <f t="shared" si="1"/>
        <v>جيد</v>
      </c>
      <c r="I13" s="57"/>
      <c r="J13" s="58"/>
    </row>
    <row r="14" spans="1:10" ht="30" customHeight="1" x14ac:dyDescent="0.3">
      <c r="A14" s="10"/>
      <c r="B14" s="31" t="s">
        <v>104</v>
      </c>
      <c r="C14" s="32"/>
      <c r="D14" s="32"/>
      <c r="E14" s="8">
        <v>5</v>
      </c>
      <c r="F14" s="19">
        <v>3.75</v>
      </c>
      <c r="G14" s="22">
        <f t="shared" si="0"/>
        <v>0.75</v>
      </c>
      <c r="H14" s="23" t="str">
        <f t="shared" si="1"/>
        <v>جيد</v>
      </c>
      <c r="I14" s="57"/>
      <c r="J14" s="58"/>
    </row>
    <row r="15" spans="1:10" ht="30" customHeight="1" x14ac:dyDescent="0.3">
      <c r="A15" s="10"/>
      <c r="B15" s="31" t="s">
        <v>105</v>
      </c>
      <c r="C15" s="32"/>
      <c r="D15" s="32"/>
      <c r="E15" s="8">
        <v>5</v>
      </c>
      <c r="F15" s="19">
        <v>3.5</v>
      </c>
      <c r="G15" s="22">
        <f t="shared" si="0"/>
        <v>0.7</v>
      </c>
      <c r="H15" s="23" t="str">
        <f t="shared" si="1"/>
        <v>جيد</v>
      </c>
      <c r="I15" s="57"/>
      <c r="J15" s="58"/>
    </row>
    <row r="16" spans="1:10" ht="30" customHeight="1" x14ac:dyDescent="0.3">
      <c r="A16" s="10"/>
      <c r="B16" s="31" t="s">
        <v>106</v>
      </c>
      <c r="C16" s="32"/>
      <c r="D16" s="32"/>
      <c r="E16" s="8">
        <v>5</v>
      </c>
      <c r="F16" s="19">
        <v>3.75</v>
      </c>
      <c r="G16" s="22">
        <f t="shared" si="0"/>
        <v>0.75</v>
      </c>
      <c r="H16" s="23" t="str">
        <f t="shared" si="1"/>
        <v>جيد</v>
      </c>
      <c r="I16" s="57"/>
      <c r="J16" s="58"/>
    </row>
    <row r="17" spans="1:10" ht="30" customHeight="1" thickBot="1" x14ac:dyDescent="0.35">
      <c r="A17" s="10"/>
      <c r="B17" s="59" t="s">
        <v>107</v>
      </c>
      <c r="C17" s="60"/>
      <c r="D17" s="60"/>
      <c r="E17" s="28">
        <v>5</v>
      </c>
      <c r="F17" s="20">
        <v>3.75</v>
      </c>
      <c r="G17" s="29">
        <f t="shared" si="0"/>
        <v>0.75</v>
      </c>
      <c r="H17" s="30" t="str">
        <f t="shared" si="1"/>
        <v>جيد</v>
      </c>
      <c r="I17" s="71"/>
      <c r="J17" s="72"/>
    </row>
    <row r="18" spans="1:10" ht="30" customHeight="1" thickBot="1" x14ac:dyDescent="0.35">
      <c r="A18" s="4"/>
      <c r="B18" s="69" t="s">
        <v>5</v>
      </c>
      <c r="C18" s="70"/>
      <c r="D18" s="70"/>
      <c r="E18" s="9">
        <f>SUM(E8:E17)</f>
        <v>50</v>
      </c>
      <c r="F18" s="9">
        <f>SUM(F8:F17)</f>
        <v>37</v>
      </c>
      <c r="G18" s="37"/>
      <c r="H18" s="38"/>
      <c r="I18" s="38"/>
      <c r="J18" s="39"/>
    </row>
    <row r="19" spans="1:10" ht="30" customHeight="1" thickBot="1" x14ac:dyDescent="0.35">
      <c r="A19" s="4"/>
      <c r="B19" s="69" t="s">
        <v>54</v>
      </c>
      <c r="C19" s="70"/>
      <c r="D19" s="70"/>
      <c r="E19" s="47">
        <f>F18/E18/100*100</f>
        <v>0.74</v>
      </c>
      <c r="F19" s="47"/>
      <c r="G19" s="47"/>
      <c r="H19" s="47"/>
      <c r="I19" s="47"/>
      <c r="J19" s="48"/>
    </row>
    <row r="20" spans="1:10" ht="30" customHeight="1" thickBot="1" x14ac:dyDescent="0.35">
      <c r="A20" s="4"/>
      <c r="B20" s="69" t="s">
        <v>55</v>
      </c>
      <c r="C20" s="70"/>
      <c r="D20" s="70"/>
      <c r="E20" s="65" t="str">
        <f>_xlfn.IFS(E19&gt;=90%,"ممتاز",E19&gt;=80%,"جيد جداً",E19&gt;=70%,"جيد",E19&gt;=60%,"مقبول",E19&lt;60%,"راسب")</f>
        <v>جيد</v>
      </c>
      <c r="F20" s="65"/>
      <c r="G20" s="65"/>
      <c r="H20" s="65"/>
      <c r="I20" s="65"/>
      <c r="J20" s="66"/>
    </row>
    <row r="21" spans="1:10" ht="42" customHeight="1" x14ac:dyDescent="0.3">
      <c r="B21" s="61" t="s">
        <v>61</v>
      </c>
      <c r="C21" s="61"/>
      <c r="D21" s="61"/>
      <c r="E21" s="35" t="s">
        <v>52</v>
      </c>
      <c r="F21" s="35"/>
      <c r="G21" s="63" t="s">
        <v>58</v>
      </c>
      <c r="H21" s="63"/>
      <c r="I21" s="63"/>
      <c r="J21" s="63"/>
    </row>
    <row r="22" spans="1:10" ht="51" customHeight="1" x14ac:dyDescent="0.3">
      <c r="A22" s="5"/>
      <c r="B22" s="62"/>
      <c r="C22" s="62"/>
      <c r="D22" s="62"/>
      <c r="E22" s="36" t="s">
        <v>53</v>
      </c>
      <c r="F22" s="36"/>
      <c r="G22" s="64"/>
      <c r="H22" s="64"/>
      <c r="I22" s="64"/>
      <c r="J22" s="64"/>
    </row>
  </sheetData>
  <sheetProtection formatCells="0" formatColumns="0" formatRows="0" insertColumns="0" insertRows="0" insertHyperlinks="0" deleteColumns="0" deleteRows="0" selectLockedCells="1" sort="0" autoFilter="0" pivotTables="0"/>
  <mergeCells count="43">
    <mergeCell ref="G4:J4"/>
    <mergeCell ref="C4:D4"/>
    <mergeCell ref="B21:D22"/>
    <mergeCell ref="G21:J21"/>
    <mergeCell ref="G22:J22"/>
    <mergeCell ref="E20:J20"/>
    <mergeCell ref="I8:J8"/>
    <mergeCell ref="B18:D18"/>
    <mergeCell ref="B19:D19"/>
    <mergeCell ref="B20:D20"/>
    <mergeCell ref="I11:J11"/>
    <mergeCell ref="I12:J12"/>
    <mergeCell ref="I13:J13"/>
    <mergeCell ref="I14:J14"/>
    <mergeCell ref="I15:J15"/>
    <mergeCell ref="I16:J16"/>
    <mergeCell ref="I17:J17"/>
    <mergeCell ref="I9:J9"/>
    <mergeCell ref="E21:F21"/>
    <mergeCell ref="E22:F22"/>
    <mergeCell ref="G18:J18"/>
    <mergeCell ref="B1:J1"/>
    <mergeCell ref="F2:J2"/>
    <mergeCell ref="B5:D6"/>
    <mergeCell ref="C2:D2"/>
    <mergeCell ref="C3:D3"/>
    <mergeCell ref="F3:J3"/>
    <mergeCell ref="E19:J19"/>
    <mergeCell ref="B7:D7"/>
    <mergeCell ref="E5:H5"/>
    <mergeCell ref="I5:J6"/>
    <mergeCell ref="I7:J7"/>
    <mergeCell ref="I10:J10"/>
    <mergeCell ref="B17:D17"/>
    <mergeCell ref="B13:D13"/>
    <mergeCell ref="B14:D14"/>
    <mergeCell ref="B15:D15"/>
    <mergeCell ref="B16:D16"/>
    <mergeCell ref="B8:D8"/>
    <mergeCell ref="B9:D9"/>
    <mergeCell ref="B10:D10"/>
    <mergeCell ref="B11:D11"/>
    <mergeCell ref="B12:D12"/>
  </mergeCells>
  <conditionalFormatting sqref="C2:D2">
    <cfRule type="containsText" dxfId="16" priority="18" operator="containsText" text="أدخل الوحدة الخاضعة للتقييم">
      <formula>NOT(ISERROR(SEARCH("أدخل الوحدة الخاضعة للتقييم",C2)))</formula>
    </cfRule>
  </conditionalFormatting>
  <conditionalFormatting sqref="C3:D3">
    <cfRule type="containsText" dxfId="15" priority="17" operator="containsText" text="أدخل أسم قائد الوحدة الخاضعة للتقييم">
      <formula>NOT(ISERROR(SEARCH("أدخل أسم قائد الوحدة الخاضعة للتقييم",C3)))</formula>
    </cfRule>
  </conditionalFormatting>
  <conditionalFormatting sqref="E20">
    <cfRule type="expression" dxfId="14" priority="57">
      <formula>$E20="راسب"</formula>
    </cfRule>
  </conditionalFormatting>
  <conditionalFormatting sqref="E20:J20">
    <cfRule type="expression" dxfId="13" priority="58">
      <formula>$E20="مقبول"</formula>
    </cfRule>
    <cfRule type="expression" dxfId="12" priority="59">
      <formula>$E20="جيد"</formula>
    </cfRule>
    <cfRule type="expression" dxfId="11" priority="60">
      <formula>$E20="جيد جداً"</formula>
    </cfRule>
    <cfRule type="expression" dxfId="10" priority="61">
      <formula>$E20="ممتاز"</formula>
    </cfRule>
  </conditionalFormatting>
  <conditionalFormatting sqref="F8:F17">
    <cfRule type="containsText" dxfId="9" priority="4" operator="containsText" text="أدخل العلامة">
      <formula>NOT(ISERROR(SEARCH("أدخل العلامة",F8)))</formula>
    </cfRule>
  </conditionalFormatting>
  <conditionalFormatting sqref="F2:J2">
    <cfRule type="containsText" dxfId="8" priority="19" operator="containsText" text="أدخل التاريخ">
      <formula>NOT(ISERROR(SEARCH("أدخل التاريخ",F2)))</formula>
    </cfRule>
  </conditionalFormatting>
  <conditionalFormatting sqref="F3:J3">
    <cfRule type="containsText" dxfId="7" priority="16" operator="containsText" text="أدخل أسم المحكم">
      <formula>NOT(ISERROR(SEARCH("أدخل أسم المحكم",F3)))</formula>
    </cfRule>
  </conditionalFormatting>
  <conditionalFormatting sqref="G21:J21">
    <cfRule type="containsText" dxfId="6" priority="15" operator="containsText" text="أدخل اسم المحكم">
      <formula>NOT(ISERROR(SEARCH("أدخل اسم المحكم",G21)))</formula>
    </cfRule>
  </conditionalFormatting>
  <conditionalFormatting sqref="H8:H17">
    <cfRule type="containsText" dxfId="5" priority="5" operator="containsText" text="أدخل العلامة">
      <formula>NOT(ISERROR(SEARCH("أدخل العلامة",H8)))</formula>
    </cfRule>
    <cfRule type="containsText" dxfId="4" priority="6" operator="containsText" text="ممتاز">
      <formula>NOT(ISERROR(SEARCH("ممتاز",H8)))</formula>
    </cfRule>
    <cfRule type="containsText" dxfId="3" priority="7" operator="containsText" text="جيد جداً">
      <formula>NOT(ISERROR(SEARCH("جيد جداً",H8)))</formula>
    </cfRule>
    <cfRule type="containsText" dxfId="2" priority="8" operator="containsText" text="جيد">
      <formula>NOT(ISERROR(SEARCH("جيد",H8)))</formula>
    </cfRule>
    <cfRule type="containsText" dxfId="1" priority="9" operator="containsText" text="مقبول">
      <formula>NOT(ISERROR(SEARCH("مقبول",H8)))</formula>
    </cfRule>
    <cfRule type="containsText" dxfId="0" priority="10" operator="containsText" text="راسب">
      <formula>NOT(ISERROR(SEARCH("راسب",H8)))</formula>
    </cfRule>
  </conditionalFormatting>
  <printOptions horizontalCentered="1"/>
  <pageMargins left="0.70866141732283472" right="0.70866141732283472" top="0.74803149606299213" bottom="0.74803149606299213" header="0.31496062992125984" footer="0.31496062992125984"/>
  <pageSetup paperSize="9" scale="74" fitToHeight="0" orientation="portrait" r:id="rId1"/>
  <headerFooter>
    <oddHeader>&amp;C&amp;"-,Bold"&amp;12&amp;Uسري للغاية</oddHeader>
    <oddFooter>&amp;C&amp;"-,Bold"&amp;P&amp;"-,Regular"
&amp;"-,Bold"&amp;Uسري للغاية</oddFooter>
  </headerFooter>
  <drawing r:id="rId2"/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InputMessage="1" showErrorMessage="1" xr:uid="{FF63B6DE-AA59-4C03-B91E-0E4266CD5498}">
          <x14:formula1>
            <xm:f>'بيانات التقييم'!$A$110:$A$132</xm:f>
          </x14:formula1>
          <xm:sqref>F8:F17</xm:sqref>
        </x14:dataValidation>
        <x14:dataValidation type="list" allowBlank="1" showInputMessage="1" showErrorMessage="1" xr:uid="{44A70599-D520-475C-AC59-F3BB48DF1527}">
          <x14:formula1>
            <xm:f>'بيانات التقييم'!$A$1:$A$70</xm:f>
          </x14:formula1>
          <xm:sqref>C2:D2</xm:sqref>
        </x14:dataValidation>
        <x14:dataValidation type="list" allowBlank="1" showInputMessage="1" showErrorMessage="1" xr:uid="{752BAE0F-E3DD-4976-92E4-009EDD5C72FE}">
          <x14:formula1>
            <xm:f>'بيانات التقييم'!$A$74:$A$105</xm:f>
          </x14:formula1>
          <xm:sqref>F2:J2</xm:sqref>
        </x14:dataValidation>
        <x14:dataValidation type="list" allowBlank="1" showInputMessage="1" showErrorMessage="1" xr:uid="{B1A9A504-F7F9-4975-BDDF-3CE5BBED544A}">
          <x14:formula1>
            <xm:f>'بيانات التقييم'!$A$197:$A$197</xm:f>
          </x14:formula1>
          <xm:sqref>G21:J21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E0E097-B5B4-4A62-8BA3-2420E658D743}">
  <sheetPr codeName="Sheet3"/>
  <dimension ref="A1:H197"/>
  <sheetViews>
    <sheetView rightToLeft="1" topLeftCell="A97" workbookViewId="0">
      <selection activeCell="A110" sqref="A110:XFD110"/>
    </sheetView>
  </sheetViews>
  <sheetFormatPr defaultRowHeight="20.100000000000001" customHeight="1" x14ac:dyDescent="0.3"/>
  <cols>
    <col min="1" max="1" width="42.5546875" style="1" customWidth="1"/>
    <col min="2" max="2" width="24.88671875" style="1" customWidth="1"/>
    <col min="3" max="8" width="9" style="1"/>
  </cols>
  <sheetData>
    <row r="1" spans="1:1" ht="20.100000000000001" customHeight="1" thickBot="1" x14ac:dyDescent="0.35">
      <c r="A1" s="2" t="s">
        <v>57</v>
      </c>
    </row>
    <row r="2" spans="1:1" ht="20.100000000000001" customHeight="1" thickBot="1" x14ac:dyDescent="0.35">
      <c r="A2" s="2" t="s">
        <v>35</v>
      </c>
    </row>
    <row r="3" spans="1:1" ht="20.100000000000001" customHeight="1" thickBot="1" x14ac:dyDescent="0.35">
      <c r="A3" s="2" t="s">
        <v>26</v>
      </c>
    </row>
    <row r="4" spans="1:1" ht="20.100000000000001" customHeight="1" thickBot="1" x14ac:dyDescent="0.35">
      <c r="A4" s="2" t="s">
        <v>36</v>
      </c>
    </row>
    <row r="5" spans="1:1" ht="20.100000000000001" customHeight="1" thickBot="1" x14ac:dyDescent="0.35">
      <c r="A5" s="2" t="s">
        <v>37</v>
      </c>
    </row>
    <row r="6" spans="1:1" ht="20.100000000000001" customHeight="1" thickBot="1" x14ac:dyDescent="0.35">
      <c r="A6" s="2" t="s">
        <v>62</v>
      </c>
    </row>
    <row r="7" spans="1:1" ht="20.100000000000001" customHeight="1" thickBot="1" x14ac:dyDescent="0.35">
      <c r="A7" s="2" t="s">
        <v>63</v>
      </c>
    </row>
    <row r="8" spans="1:1" ht="20.100000000000001" customHeight="1" thickBot="1" x14ac:dyDescent="0.35">
      <c r="A8" s="2" t="s">
        <v>64</v>
      </c>
    </row>
    <row r="9" spans="1:1" ht="20.100000000000001" customHeight="1" thickBot="1" x14ac:dyDescent="0.35">
      <c r="A9" s="2" t="s">
        <v>83</v>
      </c>
    </row>
    <row r="10" spans="1:1" ht="20.100000000000001" customHeight="1" thickBot="1" x14ac:dyDescent="0.35">
      <c r="A10" s="2" t="s">
        <v>38</v>
      </c>
    </row>
    <row r="11" spans="1:1" ht="20.100000000000001" customHeight="1" thickBot="1" x14ac:dyDescent="0.35">
      <c r="A11" s="2" t="s">
        <v>65</v>
      </c>
    </row>
    <row r="12" spans="1:1" ht="20.100000000000001" customHeight="1" thickBot="1" x14ac:dyDescent="0.35">
      <c r="A12" s="2" t="s">
        <v>66</v>
      </c>
    </row>
    <row r="13" spans="1:1" ht="20.100000000000001" customHeight="1" thickBot="1" x14ac:dyDescent="0.35">
      <c r="A13" s="2" t="s">
        <v>67</v>
      </c>
    </row>
    <row r="14" spans="1:1" ht="20.100000000000001" customHeight="1" thickBot="1" x14ac:dyDescent="0.35">
      <c r="A14" s="2" t="s">
        <v>84</v>
      </c>
    </row>
    <row r="15" spans="1:1" ht="20.100000000000001" customHeight="1" thickBot="1" x14ac:dyDescent="0.35">
      <c r="A15" s="2" t="s">
        <v>39</v>
      </c>
    </row>
    <row r="16" spans="1:1" ht="20.100000000000001" customHeight="1" thickBot="1" x14ac:dyDescent="0.35">
      <c r="A16" s="2" t="s">
        <v>68</v>
      </c>
    </row>
    <row r="17" spans="1:1" ht="20.100000000000001" customHeight="1" thickBot="1" x14ac:dyDescent="0.35">
      <c r="A17" s="2" t="s">
        <v>69</v>
      </c>
    </row>
    <row r="18" spans="1:1" ht="20.100000000000001" customHeight="1" thickBot="1" x14ac:dyDescent="0.35">
      <c r="A18" s="2" t="s">
        <v>70</v>
      </c>
    </row>
    <row r="19" spans="1:1" ht="20.100000000000001" customHeight="1" thickBot="1" x14ac:dyDescent="0.35">
      <c r="A19" s="2" t="s">
        <v>85</v>
      </c>
    </row>
    <row r="20" spans="1:1" ht="20.100000000000001" customHeight="1" thickBot="1" x14ac:dyDescent="0.35">
      <c r="A20" s="2" t="s">
        <v>40</v>
      </c>
    </row>
    <row r="21" spans="1:1" ht="20.100000000000001" customHeight="1" thickBot="1" x14ac:dyDescent="0.35">
      <c r="A21" s="2" t="s">
        <v>41</v>
      </c>
    </row>
    <row r="22" spans="1:1" ht="20.100000000000001" customHeight="1" thickBot="1" x14ac:dyDescent="0.35">
      <c r="A22" s="2" t="s">
        <v>71</v>
      </c>
    </row>
    <row r="23" spans="1:1" ht="20.100000000000001" customHeight="1" thickBot="1" x14ac:dyDescent="0.35">
      <c r="A23" s="2" t="s">
        <v>72</v>
      </c>
    </row>
    <row r="24" spans="1:1" ht="20.100000000000001" customHeight="1" thickBot="1" x14ac:dyDescent="0.35">
      <c r="A24" s="2" t="s">
        <v>73</v>
      </c>
    </row>
    <row r="25" spans="1:1" ht="20.100000000000001" customHeight="1" thickBot="1" x14ac:dyDescent="0.35">
      <c r="A25" s="2" t="s">
        <v>86</v>
      </c>
    </row>
    <row r="26" spans="1:1" ht="20.100000000000001" customHeight="1" thickBot="1" x14ac:dyDescent="0.35">
      <c r="A26" s="2" t="s">
        <v>42</v>
      </c>
    </row>
    <row r="27" spans="1:1" ht="20.100000000000001" customHeight="1" thickBot="1" x14ac:dyDescent="0.35">
      <c r="A27" s="2" t="s">
        <v>74</v>
      </c>
    </row>
    <row r="28" spans="1:1" ht="20.100000000000001" customHeight="1" thickBot="1" x14ac:dyDescent="0.35">
      <c r="A28" s="2" t="s">
        <v>75</v>
      </c>
    </row>
    <row r="29" spans="1:1" ht="20.100000000000001" customHeight="1" thickBot="1" x14ac:dyDescent="0.35">
      <c r="A29" s="2" t="s">
        <v>76</v>
      </c>
    </row>
    <row r="30" spans="1:1" ht="20.100000000000001" customHeight="1" thickBot="1" x14ac:dyDescent="0.35">
      <c r="A30" s="2" t="s">
        <v>87</v>
      </c>
    </row>
    <row r="31" spans="1:1" ht="20.100000000000001" customHeight="1" thickBot="1" x14ac:dyDescent="0.35">
      <c r="A31" s="2" t="s">
        <v>43</v>
      </c>
    </row>
    <row r="32" spans="1:1" ht="20.100000000000001" customHeight="1" thickBot="1" x14ac:dyDescent="0.35">
      <c r="A32" s="2" t="s">
        <v>77</v>
      </c>
    </row>
    <row r="33" spans="1:1" ht="20.100000000000001" customHeight="1" thickBot="1" x14ac:dyDescent="0.35">
      <c r="A33" s="2" t="s">
        <v>78</v>
      </c>
    </row>
    <row r="34" spans="1:1" ht="20.100000000000001" customHeight="1" thickBot="1" x14ac:dyDescent="0.35">
      <c r="A34" s="2" t="s">
        <v>79</v>
      </c>
    </row>
    <row r="35" spans="1:1" ht="20.100000000000001" customHeight="1" thickBot="1" x14ac:dyDescent="0.35">
      <c r="A35" s="2" t="s">
        <v>88</v>
      </c>
    </row>
    <row r="36" spans="1:1" ht="20.100000000000001" customHeight="1" thickBot="1" x14ac:dyDescent="0.35">
      <c r="A36" s="2" t="s">
        <v>44</v>
      </c>
    </row>
    <row r="37" spans="1:1" ht="20.100000000000001" customHeight="1" thickBot="1" x14ac:dyDescent="0.35">
      <c r="A37" s="2" t="s">
        <v>45</v>
      </c>
    </row>
    <row r="38" spans="1:1" ht="20.100000000000001" customHeight="1" thickBot="1" x14ac:dyDescent="0.35">
      <c r="A38" s="2" t="s">
        <v>80</v>
      </c>
    </row>
    <row r="39" spans="1:1" ht="20.100000000000001" customHeight="1" thickBot="1" x14ac:dyDescent="0.35">
      <c r="A39" s="2" t="s">
        <v>81</v>
      </c>
    </row>
    <row r="40" spans="1:1" ht="20.100000000000001" customHeight="1" thickBot="1" x14ac:dyDescent="0.35">
      <c r="A40" s="2" t="s">
        <v>82</v>
      </c>
    </row>
    <row r="41" spans="1:1" ht="20.100000000000001" customHeight="1" thickBot="1" x14ac:dyDescent="0.35">
      <c r="A41" s="2" t="s">
        <v>89</v>
      </c>
    </row>
    <row r="42" spans="1:1" ht="20.100000000000001" customHeight="1" thickBot="1" x14ac:dyDescent="0.35">
      <c r="A42" s="2" t="s">
        <v>46</v>
      </c>
    </row>
    <row r="43" spans="1:1" ht="20.100000000000001" customHeight="1" thickBot="1" x14ac:dyDescent="0.35">
      <c r="A43" s="2" t="s">
        <v>90</v>
      </c>
    </row>
    <row r="44" spans="1:1" ht="20.100000000000001" customHeight="1" thickBot="1" x14ac:dyDescent="0.35">
      <c r="A44" s="2" t="s">
        <v>91</v>
      </c>
    </row>
    <row r="45" spans="1:1" ht="20.100000000000001" customHeight="1" thickBot="1" x14ac:dyDescent="0.35">
      <c r="A45" s="2" t="s">
        <v>92</v>
      </c>
    </row>
    <row r="46" spans="1:1" ht="20.100000000000001" customHeight="1" thickBot="1" x14ac:dyDescent="0.35">
      <c r="A46" s="2" t="s">
        <v>93</v>
      </c>
    </row>
    <row r="47" spans="1:1" ht="20.100000000000001" customHeight="1" thickBot="1" x14ac:dyDescent="0.35">
      <c r="A47" s="2" t="s">
        <v>47</v>
      </c>
    </row>
    <row r="48" spans="1:1" ht="20.100000000000001" customHeight="1" thickBot="1" x14ac:dyDescent="0.35">
      <c r="A48" s="2" t="s">
        <v>94</v>
      </c>
    </row>
    <row r="49" spans="1:1" ht="20.100000000000001" customHeight="1" thickBot="1" x14ac:dyDescent="0.35">
      <c r="A49" s="2" t="s">
        <v>95</v>
      </c>
    </row>
    <row r="50" spans="1:1" ht="20.100000000000001" customHeight="1" thickBot="1" x14ac:dyDescent="0.35">
      <c r="A50" s="2" t="s">
        <v>96</v>
      </c>
    </row>
    <row r="51" spans="1:1" ht="20.100000000000001" customHeight="1" thickBot="1" x14ac:dyDescent="0.35">
      <c r="A51" s="2" t="s">
        <v>97</v>
      </c>
    </row>
    <row r="52" spans="1:1" ht="20.100000000000001" customHeight="1" thickBot="1" x14ac:dyDescent="0.35">
      <c r="A52" s="2" t="s">
        <v>10</v>
      </c>
    </row>
    <row r="53" spans="1:1" ht="20.100000000000001" customHeight="1" thickBot="1" x14ac:dyDescent="0.35">
      <c r="A53" s="2" t="s">
        <v>27</v>
      </c>
    </row>
    <row r="54" spans="1:1" ht="20.100000000000001" customHeight="1" thickBot="1" x14ac:dyDescent="0.35">
      <c r="A54" s="2" t="s">
        <v>48</v>
      </c>
    </row>
    <row r="55" spans="1:1" ht="20.100000000000001" customHeight="1" thickBot="1" x14ac:dyDescent="0.35">
      <c r="A55" s="2" t="s">
        <v>49</v>
      </c>
    </row>
    <row r="56" spans="1:1" ht="20.100000000000001" customHeight="1" thickBot="1" x14ac:dyDescent="0.35">
      <c r="A56" s="2" t="s">
        <v>50</v>
      </c>
    </row>
    <row r="57" spans="1:1" ht="20.100000000000001" customHeight="1" thickBot="1" x14ac:dyDescent="0.35">
      <c r="A57" s="2" t="s">
        <v>51</v>
      </c>
    </row>
    <row r="58" spans="1:1" ht="20.100000000000001" customHeight="1" thickBot="1" x14ac:dyDescent="0.35">
      <c r="A58" s="2" t="s">
        <v>11</v>
      </c>
    </row>
    <row r="59" spans="1:1" ht="20.100000000000001" customHeight="1" thickBot="1" x14ac:dyDescent="0.35">
      <c r="A59" s="2" t="s">
        <v>12</v>
      </c>
    </row>
    <row r="60" spans="1:1" ht="20.100000000000001" customHeight="1" thickBot="1" x14ac:dyDescent="0.35">
      <c r="A60" s="2" t="s">
        <v>15</v>
      </c>
    </row>
    <row r="61" spans="1:1" ht="20.100000000000001" customHeight="1" thickBot="1" x14ac:dyDescent="0.35">
      <c r="A61" s="2" t="s">
        <v>28</v>
      </c>
    </row>
    <row r="62" spans="1:1" ht="20.100000000000001" customHeight="1" thickBot="1" x14ac:dyDescent="0.35">
      <c r="A62" s="2" t="s">
        <v>29</v>
      </c>
    </row>
    <row r="63" spans="1:1" ht="20.100000000000001" customHeight="1" thickBot="1" x14ac:dyDescent="0.35">
      <c r="A63" s="2" t="s">
        <v>13</v>
      </c>
    </row>
    <row r="64" spans="1:1" ht="20.100000000000001" customHeight="1" thickBot="1" x14ac:dyDescent="0.35">
      <c r="A64" s="2" t="s">
        <v>30</v>
      </c>
    </row>
    <row r="65" spans="1:8" ht="20.100000000000001" customHeight="1" thickBot="1" x14ac:dyDescent="0.35">
      <c r="A65" s="2" t="s">
        <v>31</v>
      </c>
    </row>
    <row r="66" spans="1:8" ht="20.100000000000001" customHeight="1" thickBot="1" x14ac:dyDescent="0.35">
      <c r="A66" s="2" t="s">
        <v>32</v>
      </c>
    </row>
    <row r="67" spans="1:8" ht="20.100000000000001" customHeight="1" thickBot="1" x14ac:dyDescent="0.35">
      <c r="A67" s="2" t="s">
        <v>33</v>
      </c>
    </row>
    <row r="68" spans="1:8" ht="20.100000000000001" customHeight="1" thickBot="1" x14ac:dyDescent="0.35">
      <c r="A68" s="2" t="s">
        <v>16</v>
      </c>
    </row>
    <row r="69" spans="1:8" ht="20.100000000000001" customHeight="1" thickBot="1" x14ac:dyDescent="0.35">
      <c r="A69" s="2" t="s">
        <v>14</v>
      </c>
    </row>
    <row r="70" spans="1:8" ht="20.100000000000001" customHeight="1" thickBot="1" x14ac:dyDescent="0.35">
      <c r="A70" s="2" t="s">
        <v>34</v>
      </c>
    </row>
    <row r="71" spans="1:8" ht="20.100000000000001" customHeight="1" x14ac:dyDescent="0.3">
      <c r="A71" s="18"/>
    </row>
    <row r="72" spans="1:8" s="17" customFormat="1" ht="20.100000000000001" customHeight="1" x14ac:dyDescent="0.3">
      <c r="A72" s="15"/>
      <c r="B72" s="16"/>
      <c r="C72" s="16"/>
      <c r="D72" s="16"/>
      <c r="E72" s="16"/>
      <c r="F72" s="16"/>
      <c r="G72" s="16"/>
      <c r="H72" s="16"/>
    </row>
    <row r="73" spans="1:8" ht="20.100000000000001" customHeight="1" thickBot="1" x14ac:dyDescent="0.35"/>
    <row r="74" spans="1:8" ht="20.100000000000001" customHeight="1" thickBot="1" x14ac:dyDescent="0.35">
      <c r="A74" s="2" t="s">
        <v>56</v>
      </c>
    </row>
    <row r="75" spans="1:8" ht="20.100000000000001" customHeight="1" thickBot="1" x14ac:dyDescent="0.35">
      <c r="A75" s="13">
        <v>45931</v>
      </c>
    </row>
    <row r="76" spans="1:8" ht="20.100000000000001" customHeight="1" thickBot="1" x14ac:dyDescent="0.35">
      <c r="A76" s="13">
        <v>45932</v>
      </c>
    </row>
    <row r="77" spans="1:8" ht="20.100000000000001" customHeight="1" thickBot="1" x14ac:dyDescent="0.35">
      <c r="A77" s="13">
        <v>45933</v>
      </c>
    </row>
    <row r="78" spans="1:8" ht="20.100000000000001" customHeight="1" thickBot="1" x14ac:dyDescent="0.35">
      <c r="A78" s="13">
        <v>45934</v>
      </c>
    </row>
    <row r="79" spans="1:8" ht="20.100000000000001" customHeight="1" thickBot="1" x14ac:dyDescent="0.35">
      <c r="A79" s="13">
        <v>45935</v>
      </c>
    </row>
    <row r="80" spans="1:8" ht="20.100000000000001" customHeight="1" thickBot="1" x14ac:dyDescent="0.35">
      <c r="A80" s="13">
        <v>45936</v>
      </c>
    </row>
    <row r="81" spans="1:1" ht="20.100000000000001" customHeight="1" thickBot="1" x14ac:dyDescent="0.35">
      <c r="A81" s="13">
        <v>45937</v>
      </c>
    </row>
    <row r="82" spans="1:1" ht="20.100000000000001" customHeight="1" thickBot="1" x14ac:dyDescent="0.35">
      <c r="A82" s="13">
        <v>45938</v>
      </c>
    </row>
    <row r="83" spans="1:1" ht="20.100000000000001" customHeight="1" thickBot="1" x14ac:dyDescent="0.35">
      <c r="A83" s="13">
        <v>45939</v>
      </c>
    </row>
    <row r="84" spans="1:1" ht="20.100000000000001" customHeight="1" thickBot="1" x14ac:dyDescent="0.35">
      <c r="A84" s="13">
        <v>45940</v>
      </c>
    </row>
    <row r="85" spans="1:1" ht="20.100000000000001" customHeight="1" thickBot="1" x14ac:dyDescent="0.35">
      <c r="A85" s="13">
        <v>45941</v>
      </c>
    </row>
    <row r="86" spans="1:1" ht="20.100000000000001" customHeight="1" thickBot="1" x14ac:dyDescent="0.35">
      <c r="A86" s="13">
        <v>45942</v>
      </c>
    </row>
    <row r="87" spans="1:1" ht="20.100000000000001" customHeight="1" thickBot="1" x14ac:dyDescent="0.35">
      <c r="A87" s="13">
        <v>45943</v>
      </c>
    </row>
    <row r="88" spans="1:1" ht="20.100000000000001" customHeight="1" thickBot="1" x14ac:dyDescent="0.35">
      <c r="A88" s="13">
        <v>45944</v>
      </c>
    </row>
    <row r="89" spans="1:1" ht="20.100000000000001" customHeight="1" thickBot="1" x14ac:dyDescent="0.35">
      <c r="A89" s="13">
        <v>45945</v>
      </c>
    </row>
    <row r="90" spans="1:1" ht="20.100000000000001" customHeight="1" thickBot="1" x14ac:dyDescent="0.35">
      <c r="A90" s="13">
        <v>45946</v>
      </c>
    </row>
    <row r="91" spans="1:1" ht="20.100000000000001" customHeight="1" thickBot="1" x14ac:dyDescent="0.35">
      <c r="A91" s="13">
        <v>45947</v>
      </c>
    </row>
    <row r="92" spans="1:1" ht="20.100000000000001" customHeight="1" thickBot="1" x14ac:dyDescent="0.35">
      <c r="A92" s="13">
        <v>45948</v>
      </c>
    </row>
    <row r="93" spans="1:1" ht="20.100000000000001" customHeight="1" thickBot="1" x14ac:dyDescent="0.35">
      <c r="A93" s="13">
        <v>45949</v>
      </c>
    </row>
    <row r="94" spans="1:1" ht="20.100000000000001" customHeight="1" thickBot="1" x14ac:dyDescent="0.35">
      <c r="A94" s="13">
        <v>45950</v>
      </c>
    </row>
    <row r="95" spans="1:1" ht="20.100000000000001" customHeight="1" thickBot="1" x14ac:dyDescent="0.35">
      <c r="A95" s="13">
        <v>45951</v>
      </c>
    </row>
    <row r="96" spans="1:1" ht="20.100000000000001" customHeight="1" thickBot="1" x14ac:dyDescent="0.35">
      <c r="A96" s="13">
        <v>45952</v>
      </c>
    </row>
    <row r="97" spans="1:8" ht="20.100000000000001" customHeight="1" thickBot="1" x14ac:dyDescent="0.35">
      <c r="A97" s="13">
        <v>45953</v>
      </c>
    </row>
    <row r="98" spans="1:8" ht="20.100000000000001" customHeight="1" thickBot="1" x14ac:dyDescent="0.35">
      <c r="A98" s="13">
        <v>45954</v>
      </c>
    </row>
    <row r="99" spans="1:8" ht="20.100000000000001" customHeight="1" thickBot="1" x14ac:dyDescent="0.35">
      <c r="A99" s="13">
        <v>45955</v>
      </c>
    </row>
    <row r="100" spans="1:8" ht="20.100000000000001" customHeight="1" thickBot="1" x14ac:dyDescent="0.35">
      <c r="A100" s="13">
        <v>45956</v>
      </c>
    </row>
    <row r="101" spans="1:8" ht="20.100000000000001" customHeight="1" thickBot="1" x14ac:dyDescent="0.35">
      <c r="A101" s="13">
        <v>45957</v>
      </c>
    </row>
    <row r="102" spans="1:8" ht="20.100000000000001" customHeight="1" thickBot="1" x14ac:dyDescent="0.35">
      <c r="A102" s="13">
        <v>45958</v>
      </c>
    </row>
    <row r="103" spans="1:8" ht="20.100000000000001" customHeight="1" thickBot="1" x14ac:dyDescent="0.35">
      <c r="A103" s="13">
        <v>45959</v>
      </c>
    </row>
    <row r="104" spans="1:8" ht="20.100000000000001" customHeight="1" thickBot="1" x14ac:dyDescent="0.35">
      <c r="A104" s="13">
        <v>45960</v>
      </c>
    </row>
    <row r="105" spans="1:8" ht="20.100000000000001" customHeight="1" thickBot="1" x14ac:dyDescent="0.35">
      <c r="A105" s="13">
        <v>45961</v>
      </c>
    </row>
    <row r="106" spans="1:8" ht="20.100000000000001" customHeight="1" x14ac:dyDescent="0.3">
      <c r="A106" s="14"/>
    </row>
    <row r="107" spans="1:8" ht="20.100000000000001" customHeight="1" x14ac:dyDescent="0.3">
      <c r="A107" s="14"/>
    </row>
    <row r="108" spans="1:8" s="17" customFormat="1" ht="20.100000000000001" customHeight="1" x14ac:dyDescent="0.3">
      <c r="A108" s="15"/>
      <c r="B108" s="16"/>
      <c r="C108" s="16"/>
      <c r="D108" s="16"/>
      <c r="E108" s="16"/>
      <c r="F108" s="16"/>
      <c r="G108" s="16"/>
      <c r="H108" s="16"/>
    </row>
    <row r="109" spans="1:8" ht="20.100000000000001" customHeight="1" thickBot="1" x14ac:dyDescent="0.35"/>
    <row r="110" spans="1:8" ht="20.100000000000001" customHeight="1" thickBot="1" x14ac:dyDescent="0.35">
      <c r="A110" s="2" t="s">
        <v>60</v>
      </c>
    </row>
    <row r="111" spans="1:8" ht="20.100000000000001" customHeight="1" thickBot="1" x14ac:dyDescent="0.35">
      <c r="A111" s="2" t="s">
        <v>17</v>
      </c>
    </row>
    <row r="112" spans="1:8" ht="20.100000000000001" customHeight="1" thickBot="1" x14ac:dyDescent="0.35">
      <c r="A112" s="2">
        <v>0</v>
      </c>
    </row>
    <row r="113" spans="1:1" ht="20.100000000000001" customHeight="1" thickBot="1" x14ac:dyDescent="0.35">
      <c r="A113" s="2">
        <v>0.25</v>
      </c>
    </row>
    <row r="114" spans="1:1" ht="20.100000000000001" customHeight="1" thickBot="1" x14ac:dyDescent="0.35">
      <c r="A114" s="2">
        <v>0.5</v>
      </c>
    </row>
    <row r="115" spans="1:1" ht="20.100000000000001" customHeight="1" thickBot="1" x14ac:dyDescent="0.35">
      <c r="A115" s="2">
        <v>0.75</v>
      </c>
    </row>
    <row r="116" spans="1:1" ht="20.100000000000001" customHeight="1" thickBot="1" x14ac:dyDescent="0.35">
      <c r="A116" s="2">
        <v>1</v>
      </c>
    </row>
    <row r="117" spans="1:1" ht="20.100000000000001" customHeight="1" thickBot="1" x14ac:dyDescent="0.35">
      <c r="A117" s="2">
        <v>1.25</v>
      </c>
    </row>
    <row r="118" spans="1:1" ht="20.100000000000001" customHeight="1" thickBot="1" x14ac:dyDescent="0.35">
      <c r="A118" s="2">
        <v>1.5</v>
      </c>
    </row>
    <row r="119" spans="1:1" ht="20.100000000000001" customHeight="1" thickBot="1" x14ac:dyDescent="0.35">
      <c r="A119" s="2">
        <v>1.75</v>
      </c>
    </row>
    <row r="120" spans="1:1" ht="20.100000000000001" customHeight="1" thickBot="1" x14ac:dyDescent="0.35">
      <c r="A120" s="2">
        <v>2</v>
      </c>
    </row>
    <row r="121" spans="1:1" ht="20.100000000000001" customHeight="1" thickBot="1" x14ac:dyDescent="0.35">
      <c r="A121" s="2">
        <v>2.25</v>
      </c>
    </row>
    <row r="122" spans="1:1" ht="20.100000000000001" customHeight="1" thickBot="1" x14ac:dyDescent="0.35">
      <c r="A122" s="2">
        <v>2.5</v>
      </c>
    </row>
    <row r="123" spans="1:1" ht="20.100000000000001" customHeight="1" thickBot="1" x14ac:dyDescent="0.35">
      <c r="A123" s="2">
        <v>2.75</v>
      </c>
    </row>
    <row r="124" spans="1:1" ht="20.100000000000001" customHeight="1" thickBot="1" x14ac:dyDescent="0.35">
      <c r="A124" s="2">
        <v>3</v>
      </c>
    </row>
    <row r="125" spans="1:1" ht="20.100000000000001" customHeight="1" thickBot="1" x14ac:dyDescent="0.35">
      <c r="A125" s="2">
        <v>3.25</v>
      </c>
    </row>
    <row r="126" spans="1:1" ht="20.100000000000001" customHeight="1" thickBot="1" x14ac:dyDescent="0.35">
      <c r="A126" s="2">
        <v>3.5</v>
      </c>
    </row>
    <row r="127" spans="1:1" ht="20.100000000000001" customHeight="1" thickBot="1" x14ac:dyDescent="0.35">
      <c r="A127" s="2">
        <v>3.75</v>
      </c>
    </row>
    <row r="128" spans="1:1" ht="20.100000000000001" customHeight="1" thickBot="1" x14ac:dyDescent="0.35">
      <c r="A128" s="2">
        <v>4</v>
      </c>
    </row>
    <row r="129" spans="1:1" ht="20.100000000000001" customHeight="1" thickBot="1" x14ac:dyDescent="0.35">
      <c r="A129" s="2">
        <v>4.25</v>
      </c>
    </row>
    <row r="130" spans="1:1" ht="20.100000000000001" customHeight="1" thickBot="1" x14ac:dyDescent="0.35">
      <c r="A130" s="2">
        <v>4.5</v>
      </c>
    </row>
    <row r="131" spans="1:1" ht="20.100000000000001" customHeight="1" thickBot="1" x14ac:dyDescent="0.35">
      <c r="A131" s="2">
        <v>4.75</v>
      </c>
    </row>
    <row r="132" spans="1:1" ht="20.100000000000001" customHeight="1" thickBot="1" x14ac:dyDescent="0.35">
      <c r="A132" s="2">
        <v>5</v>
      </c>
    </row>
    <row r="133" spans="1:1" ht="20.100000000000001" customHeight="1" thickBot="1" x14ac:dyDescent="0.35">
      <c r="A133" s="2">
        <v>5.25</v>
      </c>
    </row>
    <row r="134" spans="1:1" ht="20.100000000000001" customHeight="1" thickBot="1" x14ac:dyDescent="0.35">
      <c r="A134" s="2">
        <v>5.5</v>
      </c>
    </row>
    <row r="135" spans="1:1" ht="20.100000000000001" customHeight="1" thickBot="1" x14ac:dyDescent="0.35">
      <c r="A135" s="2">
        <v>5.75</v>
      </c>
    </row>
    <row r="136" spans="1:1" ht="20.100000000000001" customHeight="1" thickBot="1" x14ac:dyDescent="0.35">
      <c r="A136" s="2">
        <v>6</v>
      </c>
    </row>
    <row r="137" spans="1:1" ht="20.100000000000001" customHeight="1" thickBot="1" x14ac:dyDescent="0.35">
      <c r="A137" s="2">
        <v>6.25</v>
      </c>
    </row>
    <row r="138" spans="1:1" ht="20.100000000000001" customHeight="1" thickBot="1" x14ac:dyDescent="0.35">
      <c r="A138" s="2">
        <v>6.5</v>
      </c>
    </row>
    <row r="139" spans="1:1" ht="20.100000000000001" customHeight="1" thickBot="1" x14ac:dyDescent="0.35">
      <c r="A139" s="2">
        <v>6.75</v>
      </c>
    </row>
    <row r="140" spans="1:1" ht="20.100000000000001" customHeight="1" thickBot="1" x14ac:dyDescent="0.35">
      <c r="A140" s="2">
        <v>7</v>
      </c>
    </row>
    <row r="141" spans="1:1" ht="20.100000000000001" customHeight="1" thickBot="1" x14ac:dyDescent="0.35">
      <c r="A141" s="2">
        <v>7.25</v>
      </c>
    </row>
    <row r="142" spans="1:1" ht="20.100000000000001" customHeight="1" thickBot="1" x14ac:dyDescent="0.35">
      <c r="A142" s="2">
        <v>7.5</v>
      </c>
    </row>
    <row r="143" spans="1:1" ht="20.100000000000001" customHeight="1" thickBot="1" x14ac:dyDescent="0.35">
      <c r="A143" s="2">
        <v>7.75</v>
      </c>
    </row>
    <row r="144" spans="1:1" ht="20.100000000000001" customHeight="1" thickBot="1" x14ac:dyDescent="0.35">
      <c r="A144" s="2">
        <v>8</v>
      </c>
    </row>
    <row r="145" spans="1:1" ht="20.100000000000001" customHeight="1" thickBot="1" x14ac:dyDescent="0.35">
      <c r="A145" s="2">
        <v>8.25</v>
      </c>
    </row>
    <row r="146" spans="1:1" ht="20.100000000000001" customHeight="1" thickBot="1" x14ac:dyDescent="0.35">
      <c r="A146" s="2">
        <v>8.5</v>
      </c>
    </row>
    <row r="147" spans="1:1" ht="20.100000000000001" customHeight="1" thickBot="1" x14ac:dyDescent="0.35">
      <c r="A147" s="2">
        <v>8.75</v>
      </c>
    </row>
    <row r="148" spans="1:1" ht="20.100000000000001" customHeight="1" thickBot="1" x14ac:dyDescent="0.35">
      <c r="A148" s="2">
        <v>9</v>
      </c>
    </row>
    <row r="149" spans="1:1" ht="20.100000000000001" customHeight="1" thickBot="1" x14ac:dyDescent="0.35">
      <c r="A149" s="2">
        <v>9.25</v>
      </c>
    </row>
    <row r="150" spans="1:1" ht="20.100000000000001" customHeight="1" thickBot="1" x14ac:dyDescent="0.35">
      <c r="A150" s="2">
        <v>9.5</v>
      </c>
    </row>
    <row r="151" spans="1:1" ht="20.100000000000001" customHeight="1" thickBot="1" x14ac:dyDescent="0.35">
      <c r="A151" s="2">
        <v>9.75</v>
      </c>
    </row>
    <row r="152" spans="1:1" ht="20.100000000000001" customHeight="1" thickBot="1" x14ac:dyDescent="0.35">
      <c r="A152" s="2">
        <v>10</v>
      </c>
    </row>
    <row r="153" spans="1:1" ht="20.100000000000001" customHeight="1" thickBot="1" x14ac:dyDescent="0.35">
      <c r="A153" s="2">
        <v>10.25</v>
      </c>
    </row>
    <row r="154" spans="1:1" ht="20.100000000000001" customHeight="1" thickBot="1" x14ac:dyDescent="0.35">
      <c r="A154" s="2">
        <v>10.5</v>
      </c>
    </row>
    <row r="155" spans="1:1" ht="20.100000000000001" customHeight="1" thickBot="1" x14ac:dyDescent="0.35">
      <c r="A155" s="2">
        <v>10.75</v>
      </c>
    </row>
    <row r="156" spans="1:1" ht="20.100000000000001" customHeight="1" thickBot="1" x14ac:dyDescent="0.35">
      <c r="A156" s="2">
        <v>11</v>
      </c>
    </row>
    <row r="157" spans="1:1" ht="20.100000000000001" customHeight="1" thickBot="1" x14ac:dyDescent="0.35">
      <c r="A157" s="2">
        <v>11.25</v>
      </c>
    </row>
    <row r="158" spans="1:1" ht="20.100000000000001" customHeight="1" thickBot="1" x14ac:dyDescent="0.35">
      <c r="A158" s="2">
        <v>11.5</v>
      </c>
    </row>
    <row r="159" spans="1:1" ht="20.100000000000001" customHeight="1" thickBot="1" x14ac:dyDescent="0.35">
      <c r="A159" s="2">
        <v>11.75</v>
      </c>
    </row>
    <row r="160" spans="1:1" ht="20.100000000000001" customHeight="1" thickBot="1" x14ac:dyDescent="0.35">
      <c r="A160" s="2">
        <v>12</v>
      </c>
    </row>
    <row r="161" spans="1:1" ht="20.100000000000001" customHeight="1" thickBot="1" x14ac:dyDescent="0.35">
      <c r="A161" s="2">
        <v>12.25</v>
      </c>
    </row>
    <row r="162" spans="1:1" ht="20.100000000000001" customHeight="1" thickBot="1" x14ac:dyDescent="0.35">
      <c r="A162" s="2">
        <v>12.5</v>
      </c>
    </row>
    <row r="163" spans="1:1" ht="20.100000000000001" customHeight="1" thickBot="1" x14ac:dyDescent="0.35">
      <c r="A163" s="2">
        <v>12.75</v>
      </c>
    </row>
    <row r="164" spans="1:1" ht="20.100000000000001" customHeight="1" thickBot="1" x14ac:dyDescent="0.35">
      <c r="A164" s="2">
        <v>13</v>
      </c>
    </row>
    <row r="165" spans="1:1" ht="20.100000000000001" customHeight="1" thickBot="1" x14ac:dyDescent="0.35">
      <c r="A165" s="2">
        <v>13.25</v>
      </c>
    </row>
    <row r="166" spans="1:1" ht="20.100000000000001" customHeight="1" thickBot="1" x14ac:dyDescent="0.35">
      <c r="A166" s="2">
        <v>13.5</v>
      </c>
    </row>
    <row r="167" spans="1:1" ht="20.100000000000001" customHeight="1" thickBot="1" x14ac:dyDescent="0.35">
      <c r="A167" s="2">
        <v>13.75</v>
      </c>
    </row>
    <row r="168" spans="1:1" ht="20.100000000000001" customHeight="1" thickBot="1" x14ac:dyDescent="0.35">
      <c r="A168" s="2">
        <v>14</v>
      </c>
    </row>
    <row r="169" spans="1:1" ht="20.100000000000001" customHeight="1" thickBot="1" x14ac:dyDescent="0.35">
      <c r="A169" s="2">
        <v>14.25</v>
      </c>
    </row>
    <row r="170" spans="1:1" ht="20.100000000000001" customHeight="1" thickBot="1" x14ac:dyDescent="0.35">
      <c r="A170" s="2">
        <v>14.5</v>
      </c>
    </row>
    <row r="171" spans="1:1" ht="20.100000000000001" customHeight="1" thickBot="1" x14ac:dyDescent="0.35">
      <c r="A171" s="2">
        <v>14.75</v>
      </c>
    </row>
    <row r="172" spans="1:1" ht="20.100000000000001" customHeight="1" thickBot="1" x14ac:dyDescent="0.35">
      <c r="A172" s="2">
        <v>15</v>
      </c>
    </row>
    <row r="173" spans="1:1" ht="20.100000000000001" customHeight="1" thickBot="1" x14ac:dyDescent="0.35">
      <c r="A173" s="2">
        <v>15.25</v>
      </c>
    </row>
    <row r="174" spans="1:1" ht="20.100000000000001" customHeight="1" thickBot="1" x14ac:dyDescent="0.35">
      <c r="A174" s="2">
        <v>15.5</v>
      </c>
    </row>
    <row r="175" spans="1:1" ht="20.100000000000001" customHeight="1" thickBot="1" x14ac:dyDescent="0.35">
      <c r="A175" s="2">
        <v>15.75</v>
      </c>
    </row>
    <row r="176" spans="1:1" ht="20.100000000000001" customHeight="1" thickBot="1" x14ac:dyDescent="0.35">
      <c r="A176" s="2">
        <v>16</v>
      </c>
    </row>
    <row r="177" spans="1:1" ht="20.100000000000001" customHeight="1" thickBot="1" x14ac:dyDescent="0.35">
      <c r="A177" s="2">
        <v>16.25</v>
      </c>
    </row>
    <row r="178" spans="1:1" ht="20.100000000000001" customHeight="1" thickBot="1" x14ac:dyDescent="0.35">
      <c r="A178" s="2">
        <v>16.5</v>
      </c>
    </row>
    <row r="179" spans="1:1" ht="20.100000000000001" customHeight="1" thickBot="1" x14ac:dyDescent="0.35">
      <c r="A179" s="2">
        <v>16.75</v>
      </c>
    </row>
    <row r="180" spans="1:1" ht="20.100000000000001" customHeight="1" thickBot="1" x14ac:dyDescent="0.35">
      <c r="A180" s="2">
        <v>17</v>
      </c>
    </row>
    <row r="181" spans="1:1" ht="20.100000000000001" customHeight="1" thickBot="1" x14ac:dyDescent="0.35">
      <c r="A181" s="2">
        <v>17.25</v>
      </c>
    </row>
    <row r="182" spans="1:1" ht="20.100000000000001" customHeight="1" thickBot="1" x14ac:dyDescent="0.35">
      <c r="A182" s="2">
        <v>17.5</v>
      </c>
    </row>
    <row r="183" spans="1:1" ht="20.100000000000001" customHeight="1" thickBot="1" x14ac:dyDescent="0.35">
      <c r="A183" s="2">
        <v>17.75</v>
      </c>
    </row>
    <row r="184" spans="1:1" ht="20.100000000000001" customHeight="1" thickBot="1" x14ac:dyDescent="0.35">
      <c r="A184" s="2">
        <v>18</v>
      </c>
    </row>
    <row r="185" spans="1:1" ht="20.100000000000001" customHeight="1" thickBot="1" x14ac:dyDescent="0.35">
      <c r="A185" s="2">
        <v>18.25</v>
      </c>
    </row>
    <row r="186" spans="1:1" ht="20.100000000000001" customHeight="1" thickBot="1" x14ac:dyDescent="0.35">
      <c r="A186" s="2">
        <v>18.5</v>
      </c>
    </row>
    <row r="187" spans="1:1" ht="20.100000000000001" customHeight="1" thickBot="1" x14ac:dyDescent="0.35">
      <c r="A187" s="2">
        <v>18.75</v>
      </c>
    </row>
    <row r="188" spans="1:1" ht="20.100000000000001" customHeight="1" thickBot="1" x14ac:dyDescent="0.35">
      <c r="A188" s="2">
        <v>19</v>
      </c>
    </row>
    <row r="189" spans="1:1" ht="20.100000000000001" customHeight="1" thickBot="1" x14ac:dyDescent="0.35">
      <c r="A189" s="2">
        <v>19.25</v>
      </c>
    </row>
    <row r="190" spans="1:1" ht="20.100000000000001" customHeight="1" thickBot="1" x14ac:dyDescent="0.35">
      <c r="A190" s="2">
        <v>19.5</v>
      </c>
    </row>
    <row r="191" spans="1:1" ht="20.100000000000001" customHeight="1" thickBot="1" x14ac:dyDescent="0.35">
      <c r="A191" s="2">
        <v>19.75</v>
      </c>
    </row>
    <row r="192" spans="1:1" ht="20.100000000000001" customHeight="1" thickBot="1" x14ac:dyDescent="0.35">
      <c r="A192" s="2">
        <v>20</v>
      </c>
    </row>
    <row r="196" spans="1:1" ht="20.100000000000001" customHeight="1" thickBot="1" x14ac:dyDescent="0.35"/>
    <row r="197" spans="1:1" ht="20.100000000000001" customHeight="1" thickBot="1" x14ac:dyDescent="0.35">
      <c r="A197" s="2" t="s">
        <v>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3</vt:i4>
      </vt:variant>
    </vt:vector>
  </HeadingPairs>
  <TitlesOfParts>
    <vt:vector size="5" baseType="lpstr">
      <vt:lpstr>قائمة التقييم</vt:lpstr>
      <vt:lpstr>بيانات التقييم</vt:lpstr>
      <vt:lpstr>'قائمة التقييم'!_Hlk189049123</vt:lpstr>
      <vt:lpstr>'قائمة التقييم'!Print_Area</vt:lpstr>
      <vt:lpstr>'قائمة التقييم'!Print_Titles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2025-10-09T20:24:14Z</dcterms:modified>
</cp:coreProperties>
</file>