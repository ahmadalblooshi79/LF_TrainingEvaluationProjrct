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69CC44BD-8977-455A-8129-B525D6484A17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8" i="2" l="1"/>
  <c r="H8" i="2" s="1"/>
  <c r="F34" i="2" l="1"/>
  <c r="E34" i="2" l="1"/>
  <c r="E35" i="2" l="1"/>
  <c r="E36" i="2" s="1"/>
</calcChain>
</file>

<file path=xl/sharedStrings.xml><?xml version="1.0" encoding="utf-8"?>
<sst xmlns="http://schemas.openxmlformats.org/spreadsheetml/2006/main" count="290" uniqueCount="207">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</sst>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I8" sqref="I8:J8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38" t="s">
        <v>206</v>
      </c>
      <c r="C1" s="38"/>
      <c r="D1" s="38"/>
      <c r="E1" s="38"/>
      <c r="F1" s="38"/>
      <c r="G1" s="38"/>
      <c r="H1" s="38"/>
      <c r="I1" s="38"/>
      <c r="J1" s="38"/>
    </row>
    <row r="2" spans="1:10" ht="30" customHeight="1" x14ac:dyDescent="0.2">
      <c r="B2" s="12" t="s">
        <v>8</v>
      </c>
      <c r="C2" s="44" t="s">
        <v>57</v>
      </c>
      <c r="D2" s="44"/>
      <c r="E2" s="12" t="s">
        <v>7</v>
      </c>
      <c r="F2" s="39" t="s">
        <v>56</v>
      </c>
      <c r="G2" s="39"/>
      <c r="H2" s="39"/>
      <c r="I2" s="39"/>
      <c r="J2" s="39"/>
    </row>
    <row r="3" spans="1:10" ht="30" customHeight="1" x14ac:dyDescent="0.2">
      <c r="B3" s="12" t="s">
        <v>9</v>
      </c>
      <c r="C3" s="44" t="s">
        <v>60</v>
      </c>
      <c r="D3" s="44"/>
      <c r="E3" s="12" t="s">
        <v>6</v>
      </c>
      <c r="F3" s="44" t="s">
        <v>59</v>
      </c>
      <c r="G3" s="44"/>
      <c r="H3" s="44"/>
      <c r="I3" s="44"/>
      <c r="J3" s="4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40" t="s">
        <v>0</v>
      </c>
      <c r="C5" s="41"/>
      <c r="D5" s="41"/>
      <c r="E5" s="47" t="s">
        <v>1</v>
      </c>
      <c r="F5" s="47"/>
      <c r="G5" s="47"/>
      <c r="H5" s="47"/>
      <c r="I5" s="47" t="s">
        <v>2</v>
      </c>
      <c r="J5" s="48"/>
    </row>
    <row r="6" spans="1:10" ht="24.95" customHeight="1" thickBot="1" x14ac:dyDescent="0.25">
      <c r="A6" s="10"/>
      <c r="B6" s="42"/>
      <c r="C6" s="43"/>
      <c r="D6" s="43"/>
      <c r="E6" s="11" t="s">
        <v>3</v>
      </c>
      <c r="F6" s="11" t="s">
        <v>4</v>
      </c>
      <c r="G6" s="11" t="s">
        <v>23</v>
      </c>
      <c r="H6" s="11" t="s">
        <v>24</v>
      </c>
      <c r="I6" s="49"/>
      <c r="J6" s="50"/>
    </row>
    <row r="7" spans="1:10" ht="24.95" customHeight="1" thickBot="1" x14ac:dyDescent="0.25">
      <c r="A7" s="10"/>
      <c r="B7" s="55" t="s">
        <v>21</v>
      </c>
      <c r="C7" s="56"/>
      <c r="D7" s="56"/>
      <c r="E7" s="57" t="s">
        <v>18</v>
      </c>
      <c r="F7" s="57" t="s">
        <v>19</v>
      </c>
      <c r="G7" s="57" t="s">
        <v>22</v>
      </c>
      <c r="H7" s="57" t="s">
        <v>20</v>
      </c>
      <c r="I7" s="58" t="s">
        <v>25</v>
      </c>
      <c r="J7" s="59"/>
    </row>
    <row r="8" spans="1:10" ht="39.950000000000003" customHeight="1" x14ac:dyDescent="0.2">
      <c r="A8" s="10"/>
      <c r="B8" s="70" t="s">
        <v>180</v>
      </c>
      <c r="C8" s="71"/>
      <c r="D8" s="71"/>
      <c r="E8" s="72">
        <v>5</v>
      </c>
      <c r="F8" s="73" t="s">
        <v>61</v>
      </c>
      <c r="G8" s="74" t="str">
        <f>IFERROR(F8/E8,"")</f>
        <v/>
      </c>
      <c r="H8" s="75" t="str">
        <f>_xlfn.IFS(F8="أدخل العلامة","",F8="لا ينطبق","تم الإلغاء",G8&gt;=90%,"ممتاز",G8&gt;=80%,"جيد جداً",G8&gt;=70%,"جيد",G8&gt;=60%,"مقبول",G8&lt;60%,"راسب")</f>
        <v/>
      </c>
      <c r="I8" s="76"/>
      <c r="J8" s="77"/>
    </row>
    <row r="9" spans="1:10" ht="39.950000000000003" customHeight="1" x14ac:dyDescent="0.2">
      <c r="A9" s="10"/>
      <c r="B9" s="78" t="s">
        <v>181</v>
      </c>
      <c r="C9" s="66"/>
      <c r="D9" s="66"/>
      <c r="E9" s="9">
        <v>5</v>
      </c>
      <c r="F9" s="26" t="s">
        <v>61</v>
      </c>
      <c r="G9" s="67" t="str">
        <f>IFERROR(F9/E9,"")</f>
        <v/>
      </c>
      <c r="H9" s="68" t="str">
        <f>_xlfn.IFS(F9="أدخل العلامة","",F9="لا ينطبق","تم الإلغاء",G9&gt;=90%,"ممتاز",G9&gt;=80%,"جيد جداً",G9&gt;=70%,"جيد",G9&gt;=60%,"مقبول",G9&lt;60%,"راسب")</f>
        <v/>
      </c>
      <c r="I9" s="28"/>
      <c r="J9" s="29"/>
    </row>
    <row r="10" spans="1:10" ht="39.950000000000003" customHeight="1" x14ac:dyDescent="0.2">
      <c r="A10" s="10"/>
      <c r="B10" s="78" t="s">
        <v>182</v>
      </c>
      <c r="C10" s="66"/>
      <c r="D10" s="66"/>
      <c r="E10" s="9">
        <v>5</v>
      </c>
      <c r="F10" s="26" t="s">
        <v>61</v>
      </c>
      <c r="G10" s="67" t="str">
        <f t="shared" ref="G10:G33" si="0">IFERROR(F10/E10,"")</f>
        <v/>
      </c>
      <c r="H10" s="68" t="str">
        <f t="shared" ref="H10:H33" si="1">_xlfn.IFS(F10="أدخل العلامة","",F10="لا ينطبق","تم الإلغاء",G10&gt;=90%,"ممتاز",G10&gt;=80%,"جيد جداً",G10&gt;=70%,"جيد",G10&gt;=60%,"مقبول",G10&lt;60%,"راسب")</f>
        <v/>
      </c>
      <c r="I10" s="28"/>
      <c r="J10" s="29"/>
    </row>
    <row r="11" spans="1:10" ht="39.950000000000003" customHeight="1" x14ac:dyDescent="0.2">
      <c r="A11" s="10"/>
      <c r="B11" s="78" t="s">
        <v>183</v>
      </c>
      <c r="C11" s="66"/>
      <c r="D11" s="66"/>
      <c r="E11" s="9">
        <v>5</v>
      </c>
      <c r="F11" s="26" t="s">
        <v>61</v>
      </c>
      <c r="G11" s="67" t="str">
        <f t="shared" si="0"/>
        <v/>
      </c>
      <c r="H11" s="68" t="str">
        <f t="shared" si="1"/>
        <v/>
      </c>
      <c r="I11" s="28"/>
      <c r="J11" s="29"/>
    </row>
    <row r="12" spans="1:10" ht="39.950000000000003" customHeight="1" x14ac:dyDescent="0.2">
      <c r="A12" s="10"/>
      <c r="B12" s="78" t="s">
        <v>184</v>
      </c>
      <c r="C12" s="66"/>
      <c r="D12" s="66"/>
      <c r="E12" s="9">
        <v>5</v>
      </c>
      <c r="F12" s="26" t="s">
        <v>61</v>
      </c>
      <c r="G12" s="67" t="str">
        <f t="shared" si="0"/>
        <v/>
      </c>
      <c r="H12" s="68" t="str">
        <f t="shared" si="1"/>
        <v/>
      </c>
      <c r="I12" s="28"/>
      <c r="J12" s="29"/>
    </row>
    <row r="13" spans="1:10" ht="39.950000000000003" customHeight="1" x14ac:dyDescent="0.2">
      <c r="A13" s="10"/>
      <c r="B13" s="78" t="s">
        <v>185</v>
      </c>
      <c r="C13" s="66"/>
      <c r="D13" s="66"/>
      <c r="E13" s="9">
        <v>5</v>
      </c>
      <c r="F13" s="26" t="s">
        <v>61</v>
      </c>
      <c r="G13" s="67" t="str">
        <f t="shared" si="0"/>
        <v/>
      </c>
      <c r="H13" s="68" t="str">
        <f t="shared" si="1"/>
        <v/>
      </c>
      <c r="I13" s="28"/>
      <c r="J13" s="29"/>
    </row>
    <row r="14" spans="1:10" ht="39.950000000000003" customHeight="1" x14ac:dyDescent="0.2">
      <c r="A14" s="10"/>
      <c r="B14" s="78" t="s">
        <v>186</v>
      </c>
      <c r="C14" s="66"/>
      <c r="D14" s="66"/>
      <c r="E14" s="9">
        <v>5</v>
      </c>
      <c r="F14" s="26" t="s">
        <v>61</v>
      </c>
      <c r="G14" s="67" t="str">
        <f t="shared" si="0"/>
        <v/>
      </c>
      <c r="H14" s="68" t="str">
        <f t="shared" si="1"/>
        <v/>
      </c>
      <c r="I14" s="28"/>
      <c r="J14" s="29"/>
    </row>
    <row r="15" spans="1:10" ht="39.950000000000003" customHeight="1" x14ac:dyDescent="0.2">
      <c r="A15" s="10"/>
      <c r="B15" s="78" t="s">
        <v>187</v>
      </c>
      <c r="C15" s="66"/>
      <c r="D15" s="66"/>
      <c r="E15" s="9">
        <v>5</v>
      </c>
      <c r="F15" s="26" t="s">
        <v>61</v>
      </c>
      <c r="G15" s="67" t="str">
        <f t="shared" si="0"/>
        <v/>
      </c>
      <c r="H15" s="68" t="str">
        <f t="shared" si="1"/>
        <v/>
      </c>
      <c r="I15" s="28"/>
      <c r="J15" s="29"/>
    </row>
    <row r="16" spans="1:10" ht="39.950000000000003" customHeight="1" x14ac:dyDescent="0.2">
      <c r="A16" s="10"/>
      <c r="B16" s="78" t="s">
        <v>188</v>
      </c>
      <c r="C16" s="66"/>
      <c r="D16" s="66"/>
      <c r="E16" s="9">
        <v>5</v>
      </c>
      <c r="F16" s="26" t="s">
        <v>61</v>
      </c>
      <c r="G16" s="67" t="str">
        <f t="shared" si="0"/>
        <v/>
      </c>
      <c r="H16" s="68" t="str">
        <f t="shared" si="1"/>
        <v/>
      </c>
      <c r="I16" s="28"/>
      <c r="J16" s="29"/>
    </row>
    <row r="17" spans="1:10" ht="39.950000000000003" customHeight="1" x14ac:dyDescent="0.2">
      <c r="A17" s="10"/>
      <c r="B17" s="78" t="s">
        <v>189</v>
      </c>
      <c r="C17" s="66"/>
      <c r="D17" s="66"/>
      <c r="E17" s="9">
        <v>5</v>
      </c>
      <c r="F17" s="26" t="s">
        <v>61</v>
      </c>
      <c r="G17" s="67" t="str">
        <f t="shared" si="0"/>
        <v/>
      </c>
      <c r="H17" s="68" t="str">
        <f t="shared" si="1"/>
        <v/>
      </c>
      <c r="I17" s="28"/>
      <c r="J17" s="29"/>
    </row>
    <row r="18" spans="1:10" ht="39.950000000000003" customHeight="1" x14ac:dyDescent="0.2">
      <c r="A18" s="10"/>
      <c r="B18" s="78" t="s">
        <v>190</v>
      </c>
      <c r="C18" s="66"/>
      <c r="D18" s="66"/>
      <c r="E18" s="9">
        <v>5</v>
      </c>
      <c r="F18" s="26" t="s">
        <v>61</v>
      </c>
      <c r="G18" s="67" t="str">
        <f t="shared" si="0"/>
        <v/>
      </c>
      <c r="H18" s="68" t="str">
        <f t="shared" si="1"/>
        <v/>
      </c>
      <c r="I18" s="28"/>
      <c r="J18" s="29"/>
    </row>
    <row r="19" spans="1:10" ht="39.950000000000003" customHeight="1" x14ac:dyDescent="0.2">
      <c r="A19" s="10"/>
      <c r="B19" s="78" t="s">
        <v>191</v>
      </c>
      <c r="C19" s="66"/>
      <c r="D19" s="66"/>
      <c r="E19" s="9">
        <v>5</v>
      </c>
      <c r="F19" s="26" t="s">
        <v>61</v>
      </c>
      <c r="G19" s="67" t="str">
        <f t="shared" si="0"/>
        <v/>
      </c>
      <c r="H19" s="68" t="str">
        <f t="shared" si="1"/>
        <v/>
      </c>
      <c r="I19" s="28"/>
      <c r="J19" s="29"/>
    </row>
    <row r="20" spans="1:10" ht="39.950000000000003" customHeight="1" x14ac:dyDescent="0.2">
      <c r="A20" s="10"/>
      <c r="B20" s="78" t="s">
        <v>192</v>
      </c>
      <c r="C20" s="66"/>
      <c r="D20" s="66"/>
      <c r="E20" s="9">
        <v>5</v>
      </c>
      <c r="F20" s="26" t="s">
        <v>61</v>
      </c>
      <c r="G20" s="67" t="str">
        <f t="shared" si="0"/>
        <v/>
      </c>
      <c r="H20" s="68" t="str">
        <f t="shared" si="1"/>
        <v/>
      </c>
      <c r="I20" s="28"/>
      <c r="J20" s="29"/>
    </row>
    <row r="21" spans="1:10" ht="39.950000000000003" customHeight="1" x14ac:dyDescent="0.2">
      <c r="A21" s="10"/>
      <c r="B21" s="79" t="s">
        <v>193</v>
      </c>
      <c r="C21" s="69"/>
      <c r="D21" s="69"/>
      <c r="E21" s="9">
        <v>5</v>
      </c>
      <c r="F21" s="26" t="s">
        <v>61</v>
      </c>
      <c r="G21" s="67" t="str">
        <f t="shared" si="0"/>
        <v/>
      </c>
      <c r="H21" s="68" t="str">
        <f t="shared" si="1"/>
        <v/>
      </c>
      <c r="I21" s="28"/>
      <c r="J21" s="29"/>
    </row>
    <row r="22" spans="1:10" ht="39.950000000000003" customHeight="1" x14ac:dyDescent="0.2">
      <c r="A22" s="10"/>
      <c r="B22" s="79" t="s">
        <v>194</v>
      </c>
      <c r="C22" s="69"/>
      <c r="D22" s="69"/>
      <c r="E22" s="9">
        <v>5</v>
      </c>
      <c r="F22" s="26" t="s">
        <v>61</v>
      </c>
      <c r="G22" s="67" t="str">
        <f t="shared" si="0"/>
        <v/>
      </c>
      <c r="H22" s="68" t="str">
        <f t="shared" si="1"/>
        <v/>
      </c>
      <c r="I22" s="28"/>
      <c r="J22" s="29"/>
    </row>
    <row r="23" spans="1:10" ht="39.950000000000003" customHeight="1" x14ac:dyDescent="0.2">
      <c r="A23" s="10"/>
      <c r="B23" s="79" t="s">
        <v>195</v>
      </c>
      <c r="C23" s="69"/>
      <c r="D23" s="69"/>
      <c r="E23" s="9">
        <v>5</v>
      </c>
      <c r="F23" s="26" t="s">
        <v>61</v>
      </c>
      <c r="G23" s="67" t="str">
        <f t="shared" si="0"/>
        <v/>
      </c>
      <c r="H23" s="68" t="str">
        <f t="shared" si="1"/>
        <v/>
      </c>
      <c r="I23" s="28"/>
      <c r="J23" s="29"/>
    </row>
    <row r="24" spans="1:10" ht="39.950000000000003" customHeight="1" x14ac:dyDescent="0.2">
      <c r="A24" s="10"/>
      <c r="B24" s="79" t="s">
        <v>196</v>
      </c>
      <c r="C24" s="69"/>
      <c r="D24" s="69"/>
      <c r="E24" s="9">
        <v>5</v>
      </c>
      <c r="F24" s="26" t="s">
        <v>61</v>
      </c>
      <c r="G24" s="67" t="str">
        <f t="shared" si="0"/>
        <v/>
      </c>
      <c r="H24" s="68" t="str">
        <f t="shared" si="1"/>
        <v/>
      </c>
      <c r="I24" s="28"/>
      <c r="J24" s="29"/>
    </row>
    <row r="25" spans="1:10" ht="39.950000000000003" customHeight="1" x14ac:dyDescent="0.2">
      <c r="A25" s="10"/>
      <c r="B25" s="79" t="s">
        <v>197</v>
      </c>
      <c r="C25" s="69"/>
      <c r="D25" s="69"/>
      <c r="E25" s="9">
        <v>5</v>
      </c>
      <c r="F25" s="26" t="s">
        <v>61</v>
      </c>
      <c r="G25" s="67" t="str">
        <f t="shared" si="0"/>
        <v/>
      </c>
      <c r="H25" s="68" t="str">
        <f t="shared" si="1"/>
        <v/>
      </c>
      <c r="I25" s="28"/>
      <c r="J25" s="29"/>
    </row>
    <row r="26" spans="1:10" ht="39.950000000000003" customHeight="1" x14ac:dyDescent="0.2">
      <c r="A26" s="10"/>
      <c r="B26" s="79" t="s">
        <v>198</v>
      </c>
      <c r="C26" s="69"/>
      <c r="D26" s="69"/>
      <c r="E26" s="9">
        <v>5</v>
      </c>
      <c r="F26" s="26" t="s">
        <v>61</v>
      </c>
      <c r="G26" s="67" t="str">
        <f t="shared" si="0"/>
        <v/>
      </c>
      <c r="H26" s="68" t="str">
        <f t="shared" si="1"/>
        <v/>
      </c>
      <c r="I26" s="28"/>
      <c r="J26" s="29"/>
    </row>
    <row r="27" spans="1:10" ht="39.950000000000003" customHeight="1" x14ac:dyDescent="0.2">
      <c r="A27" s="10"/>
      <c r="B27" s="79" t="s">
        <v>199</v>
      </c>
      <c r="C27" s="69"/>
      <c r="D27" s="69"/>
      <c r="E27" s="9">
        <v>5</v>
      </c>
      <c r="F27" s="26" t="s">
        <v>61</v>
      </c>
      <c r="G27" s="67" t="str">
        <f t="shared" si="0"/>
        <v/>
      </c>
      <c r="H27" s="68" t="str">
        <f t="shared" si="1"/>
        <v/>
      </c>
      <c r="I27" s="28"/>
      <c r="J27" s="29"/>
    </row>
    <row r="28" spans="1:10" ht="39.950000000000003" customHeight="1" x14ac:dyDescent="0.2">
      <c r="A28" s="10"/>
      <c r="B28" s="79" t="s">
        <v>200</v>
      </c>
      <c r="C28" s="69"/>
      <c r="D28" s="69"/>
      <c r="E28" s="9">
        <v>5</v>
      </c>
      <c r="F28" s="26" t="s">
        <v>61</v>
      </c>
      <c r="G28" s="67" t="str">
        <f t="shared" si="0"/>
        <v/>
      </c>
      <c r="H28" s="68" t="str">
        <f t="shared" si="1"/>
        <v/>
      </c>
      <c r="I28" s="28"/>
      <c r="J28" s="29"/>
    </row>
    <row r="29" spans="1:10" ht="39.950000000000003" customHeight="1" x14ac:dyDescent="0.2">
      <c r="A29" s="10"/>
      <c r="B29" s="79" t="s">
        <v>201</v>
      </c>
      <c r="C29" s="69"/>
      <c r="D29" s="69"/>
      <c r="E29" s="9">
        <v>5</v>
      </c>
      <c r="F29" s="26" t="s">
        <v>61</v>
      </c>
      <c r="G29" s="67" t="str">
        <f t="shared" si="0"/>
        <v/>
      </c>
      <c r="H29" s="68" t="str">
        <f t="shared" si="1"/>
        <v/>
      </c>
      <c r="I29" s="28"/>
      <c r="J29" s="29"/>
    </row>
    <row r="30" spans="1:10" ht="39.950000000000003" customHeight="1" x14ac:dyDescent="0.2">
      <c r="A30" s="10"/>
      <c r="B30" s="79" t="s">
        <v>202</v>
      </c>
      <c r="C30" s="69"/>
      <c r="D30" s="69"/>
      <c r="E30" s="9">
        <v>5</v>
      </c>
      <c r="F30" s="26" t="s">
        <v>61</v>
      </c>
      <c r="G30" s="67" t="str">
        <f t="shared" si="0"/>
        <v/>
      </c>
      <c r="H30" s="68" t="str">
        <f t="shared" si="1"/>
        <v/>
      </c>
      <c r="I30" s="28"/>
      <c r="J30" s="29"/>
    </row>
    <row r="31" spans="1:10" ht="39.950000000000003" customHeight="1" x14ac:dyDescent="0.2">
      <c r="A31" s="10"/>
      <c r="B31" s="79" t="s">
        <v>203</v>
      </c>
      <c r="C31" s="69"/>
      <c r="D31" s="69"/>
      <c r="E31" s="9">
        <v>5</v>
      </c>
      <c r="F31" s="26" t="s">
        <v>61</v>
      </c>
      <c r="G31" s="67" t="str">
        <f t="shared" si="0"/>
        <v/>
      </c>
      <c r="H31" s="68" t="str">
        <f t="shared" si="1"/>
        <v/>
      </c>
      <c r="I31" s="28"/>
      <c r="J31" s="29"/>
    </row>
    <row r="32" spans="1:10" ht="39.950000000000003" customHeight="1" x14ac:dyDescent="0.2">
      <c r="A32" s="10"/>
      <c r="B32" s="79" t="s">
        <v>204</v>
      </c>
      <c r="C32" s="69"/>
      <c r="D32" s="69"/>
      <c r="E32" s="9">
        <v>5</v>
      </c>
      <c r="F32" s="26" t="s">
        <v>61</v>
      </c>
      <c r="G32" s="67" t="str">
        <f t="shared" si="0"/>
        <v/>
      </c>
      <c r="H32" s="68" t="str">
        <f t="shared" si="1"/>
        <v/>
      </c>
      <c r="I32" s="28"/>
      <c r="J32" s="29"/>
    </row>
    <row r="33" spans="1:10" ht="39.950000000000003" customHeight="1" thickBot="1" x14ac:dyDescent="0.25">
      <c r="A33" s="10"/>
      <c r="B33" s="80" t="s">
        <v>205</v>
      </c>
      <c r="C33" s="81"/>
      <c r="D33" s="81"/>
      <c r="E33" s="82">
        <v>5</v>
      </c>
      <c r="F33" s="27" t="s">
        <v>61</v>
      </c>
      <c r="G33" s="83" t="str">
        <f t="shared" si="0"/>
        <v/>
      </c>
      <c r="H33" s="84" t="str">
        <f t="shared" si="1"/>
        <v/>
      </c>
      <c r="I33" s="53"/>
      <c r="J33" s="54"/>
    </row>
    <row r="34" spans="1:10" ht="30" customHeight="1" thickBot="1" x14ac:dyDescent="0.25">
      <c r="A34" s="4"/>
      <c r="B34" s="60" t="s">
        <v>5</v>
      </c>
      <c r="C34" s="61"/>
      <c r="D34" s="61"/>
      <c r="E34" s="62">
        <f>SUM(E8:E33)</f>
        <v>130</v>
      </c>
      <c r="F34" s="62">
        <f>SUM(F8:F33)</f>
        <v>0</v>
      </c>
      <c r="G34" s="63"/>
      <c r="H34" s="64"/>
      <c r="I34" s="64"/>
      <c r="J34" s="65"/>
    </row>
    <row r="35" spans="1:10" ht="30" customHeight="1" thickBot="1" x14ac:dyDescent="0.25">
      <c r="A35" s="4"/>
      <c r="B35" s="30" t="s">
        <v>54</v>
      </c>
      <c r="C35" s="31"/>
      <c r="D35" s="31"/>
      <c r="E35" s="45">
        <f>F34/E34/100*100</f>
        <v>0</v>
      </c>
      <c r="F35" s="45"/>
      <c r="G35" s="45"/>
      <c r="H35" s="45"/>
      <c r="I35" s="45"/>
      <c r="J35" s="46"/>
    </row>
    <row r="36" spans="1:10" ht="30" customHeight="1" thickBot="1" x14ac:dyDescent="0.25">
      <c r="A36" s="4"/>
      <c r="B36" s="30" t="s">
        <v>55</v>
      </c>
      <c r="C36" s="31"/>
      <c r="D36" s="31"/>
      <c r="E36" s="36" t="str">
        <f>_xlfn.IFS(E35&gt;=90%,"ممتاز",E35&gt;=80%,"جيد جداً",E35&gt;=70%,"جيد",E35&gt;=60%,"مقبول",E35&lt;60%,"راسب")</f>
        <v>راسب</v>
      </c>
      <c r="F36" s="36"/>
      <c r="G36" s="36"/>
      <c r="H36" s="36"/>
      <c r="I36" s="36"/>
      <c r="J36" s="37"/>
    </row>
    <row r="37" spans="1:10" ht="42" customHeight="1" x14ac:dyDescent="0.2">
      <c r="B37" s="32" t="s">
        <v>174</v>
      </c>
      <c r="C37" s="32"/>
      <c r="D37" s="32"/>
      <c r="E37" s="51" t="s">
        <v>52</v>
      </c>
      <c r="F37" s="51"/>
      <c r="G37" s="34" t="s">
        <v>59</v>
      </c>
      <c r="H37" s="34"/>
      <c r="I37" s="34"/>
      <c r="J37" s="34"/>
    </row>
    <row r="38" spans="1:10" ht="51" customHeight="1" x14ac:dyDescent="0.2">
      <c r="A38" s="5"/>
      <c r="B38" s="33"/>
      <c r="C38" s="33"/>
      <c r="D38" s="33"/>
      <c r="E38" s="52" t="s">
        <v>53</v>
      </c>
      <c r="F38" s="52"/>
      <c r="G38" s="35"/>
      <c r="H38" s="35"/>
      <c r="I38" s="35"/>
      <c r="J38" s="3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28:D28"/>
    <mergeCell ref="B29:D29"/>
    <mergeCell ref="B30:D30"/>
    <mergeCell ref="B31:D31"/>
    <mergeCell ref="B32:D32"/>
    <mergeCell ref="B33:D33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  <mergeCell ref="B27:D27"/>
    <mergeCell ref="B26:D26"/>
    <mergeCell ref="B17:D17"/>
    <mergeCell ref="B8:D8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I7:J7"/>
    <mergeCell ref="I10:J10"/>
    <mergeCell ref="B37:D38"/>
    <mergeCell ref="G37:J37"/>
    <mergeCell ref="G38:J38"/>
    <mergeCell ref="E36:J36"/>
    <mergeCell ref="I32:J32"/>
    <mergeCell ref="I33:J33"/>
    <mergeCell ref="I8:J8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</mergeCells>
  <conditionalFormatting sqref="E36">
    <cfRule type="expression" dxfId="23" priority="57">
      <formula>$E36="راسب"</formula>
    </cfRule>
  </conditionalFormatting>
  <conditionalFormatting sqref="E36:J36">
    <cfRule type="expression" dxfId="22" priority="58">
      <formula>$E36="مقبول"</formula>
    </cfRule>
    <cfRule type="expression" dxfId="21" priority="59">
      <formula>$E36="جيد"</formula>
    </cfRule>
    <cfRule type="expression" dxfId="20" priority="60">
      <formula>$E36="جيد جداً"</formula>
    </cfRule>
    <cfRule type="expression" dxfId="19" priority="61">
      <formula>$E36="ممتاز"</formula>
    </cfRule>
  </conditionalFormatting>
  <conditionalFormatting sqref="H8 H10:H33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33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8" priority="15" operator="containsText" text="أدخل اسم المحكم">
      <formula>NOT(ISERROR(SEARCH("أدخل اسم المحكم",G37)))</formula>
    </cfRule>
  </conditionalFormatting>
  <conditionalFormatting sqref="F8 F10:F33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 t="s">
        <v>177</v>
      </c>
    </row>
    <row r="30" spans="1:3" ht="20.100000000000001" customHeight="1" thickBot="1" x14ac:dyDescent="0.25">
      <c r="A30" s="2" t="s">
        <v>32</v>
      </c>
      <c r="C30" s="19" t="s">
        <v>178</v>
      </c>
    </row>
    <row r="31" spans="1:3" ht="20.100000000000001" customHeight="1" thickBot="1" x14ac:dyDescent="0.25">
      <c r="A31" s="2" t="s">
        <v>33</v>
      </c>
      <c r="C31" s="19" t="s">
        <v>179</v>
      </c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1" ht="20.100000000000001" customHeight="1" thickBot="1" x14ac:dyDescent="0.25">
      <c r="A65" s="13">
        <v>45957</v>
      </c>
    </row>
    <row r="66" spans="1:1" ht="20.100000000000001" customHeight="1" thickBot="1" x14ac:dyDescent="0.25">
      <c r="A66" s="13">
        <v>45958</v>
      </c>
    </row>
    <row r="67" spans="1:1" ht="20.100000000000001" customHeight="1" thickBot="1" x14ac:dyDescent="0.25">
      <c r="A67" s="13">
        <v>45959</v>
      </c>
    </row>
    <row r="68" spans="1:1" ht="20.100000000000001" customHeight="1" thickBot="1" x14ac:dyDescent="0.25">
      <c r="A68" s="13">
        <v>45960</v>
      </c>
    </row>
    <row r="69" spans="1:1" ht="20.100000000000001" customHeight="1" thickBot="1" x14ac:dyDescent="0.25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25">
      <c r="A111" s="2" t="s">
        <v>61</v>
      </c>
    </row>
    <row r="112" spans="1:9" ht="20.100000000000001" customHeight="1" thickBot="1" x14ac:dyDescent="0.25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