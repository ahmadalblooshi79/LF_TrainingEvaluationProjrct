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A8E2C11A-C5A2-3B4D-8682-541A3CB72380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8" i="2"/>
  <c r="H8" i="2"/>
  <c r="F15" i="2"/>
  <c r="E15" i="2"/>
  <c r="E16" i="2"/>
  <c r="E17" i="2"/>
</calcChain>
</file>

<file path=xl/sharedStrings.xml><?xml version="1.0" encoding="utf-8"?>
<sst xmlns="http://schemas.openxmlformats.org/spreadsheetml/2006/main" count="244" uniqueCount="188">
  <si>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</si>
  <si>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</si>
  <si>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</si>
  <si>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</si>
  <si>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</si>
  <si>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</si>
  <si>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</si>
  <si>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</si>
  <si>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</si>
  <si>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</si>
  <si>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</si>
  <si>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</si>
  <si>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</si>
  <si>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</si>
  <si>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</si>
  <si>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</si>
  <si>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</si>
  <si>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</si>
  <si>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</si>
  <si>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</si>
  <si>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</si>
  <si>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</si>
  <si>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</si>
  <si>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</si>
  <si>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</si>
  <si>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</si>
  <si>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</si>
  <si>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</si>
  <si>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</si>
  <si>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</si>
  <si>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</si>
  <si>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</si>
  <si>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</si>
  <si>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</si>
  <si>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</si>
  <si>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</si>
  <si>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</si>
  <si>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</si>
  <si>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</si>
  <si>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</si>
  <si>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</si>
  <si>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</si>
  <si>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</si>
  <si>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</si>
  <si>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</si>
  <si>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</si>
  <si>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</si>
  <si>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</si>
  <si>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</si>
  <si>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</si>
  <si>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</si>
  <si>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</si>
  <si>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</si>
  <si>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</si>
  <si>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</si>
  <si>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</si>
  <si>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</si>
  <si>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</si>
  <si>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</si>
  <si>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</si>
  <si>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</si>
  <si>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</si>
  <si>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</si>
  <si>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</si>
  <si>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</si>
  <si>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</si>
  <si>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</si>
  <si>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</si>
  <si>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</si>
  <si>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</si>
  <si>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</si>
  <si>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</si>
  <si>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</si>
  <si>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</si>
  <si>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</si>
  <si>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</si>
  <si>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</si>
  <si>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</si>
  <si>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</si>
  <si>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</si>
  <si>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</si>
  <si>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</si>
  <si>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</si>
  <si>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</si>
  <si>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</si>
  <si>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</si>
  <si>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</si>
  <si>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</si>
  <si>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</si>
  <si>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</si>
  <si>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</si>
  <si>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</si>
  <si>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</si>
  <si>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</si>
  <si>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</si>
  <si>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</si>
  <si>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</si>
  <si>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</si>
  <si>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</si>
  <si>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</si>
  <si>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</si>
  <si>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</si>
  <si>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</si>
  <si>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</si>
  <si>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</si>
  <si>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</si>
  <si>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</si>
  <si>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</si>
  <si>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</si>
  <si>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</si>
  <si>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</si>
  <si>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</si>
  <si>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</si>
  <si>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</si>
  <si>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</si>
  <si>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</si>
  <si>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</si>
  <si>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</si>
  <si>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</si>
  <si>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</si>
  <si>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</si>
  <si>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</si>
  <si>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</si>
  <si>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</si>
  <si>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</si>
  <si>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</si>
  <si>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</si>
  <si>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</si>
  <si>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</si>
  <si>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</si>
  <si>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</si>
  <si>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</si>
  <si>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</si>
  <si>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</si>
  <si>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</si>
  <si>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</si>
  <si>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</si>
  <si>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</si>
  <si>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</si>
  <si>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</si>
  <si>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</si>
  <si>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</si>
  <si>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</si>
  <si>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</si>
  <si>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</si>
  <si>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</si>
  <si>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</si>
  <si>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</si>
  <si>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</si>
  <si>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</si>
  <si>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</si>
  <si>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</si>
  <si>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</si>
  <si>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</si>
  <si>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</si>
  <si>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</si>
  <si>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</si>
  <si>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</si>
  <si>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</si>
  <si>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</si>
  <si>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</si>
  <si>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</si>
  <si>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</si>
  <si>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</si>
  <si>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</si>
  <si>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</si>
  <si>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</si>
  <si>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</si>
  <si>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</si>
  <si>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</si>
  <si>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</si>
  <si>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</si>
  <si>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</si>
  <si>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</si>
  <si>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</si>
  <si>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</si>
  <si>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</si>
  <si>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</si>
  <si>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</si>
  <si>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</si>
  <si>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7.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صلاحية مكان المبيت.</t>
    </r>
  </si>
  <si>
    <r>
      <t>5.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أقواس الرمي.</t>
    </r>
  </si>
  <si>
    <r>
      <t>4.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توزيع الفصيلة على شكل دائري.</t>
    </r>
  </si>
  <si>
    <r>
      <t>3.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كلمة السر.</t>
    </r>
  </si>
  <si>
    <r>
      <t>2.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الخفارة وإجراءات الخفير.</t>
    </r>
  </si>
  <si>
    <r>
      <t>1.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الضبط والسيطرة.</t>
    </r>
  </si>
  <si>
    <r>
      <rPr>
        <b/>
        <sz val="14"/>
        <color rgb="FF000000"/>
        <rFont val="Arial"/>
        <family val="2"/>
      </rPr>
      <t>تقييم سرية مشاة راجلة في المبيت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</si>
  <si>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6.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مكان قائد السرية (في الوسط).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</si>
</sst>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312945</xdr:colOff>
      <xdr:row>17</xdr:row>
      <xdr:rowOff>520680</xdr:rowOff>
    </xdr:from>
    <xdr:to>
      <xdr:col>9</xdr:col>
      <xdr:colOff>62354</xdr:colOff>
      <xdr:row>18</xdr:row>
      <xdr:rowOff>594388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27CDBC6-1F8D-77D4-0C12-D62AE8760D4B}"/>
                </a:ext>
              </a:extLst>
            </xdr14:cNvPr>
            <xdr14:cNvContentPartPr/>
          </xdr14:nvContentPartPr>
          <xdr14:nvPr macro=""/>
          <xdr14:xfrm>
            <a:off x="10398524465" y="6997680"/>
            <a:ext cx="1723680" cy="6048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27CDBC6-1F8D-77D4-0C12-D62AE8760D4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515825" y="6989040"/>
              <a:ext cx="1741320" cy="62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83255</xdr:colOff>
      <xdr:row>18</xdr:row>
      <xdr:rowOff>532828</xdr:rowOff>
    </xdr:from>
    <xdr:to>
      <xdr:col>7</xdr:col>
      <xdr:colOff>100175</xdr:colOff>
      <xdr:row>18</xdr:row>
      <xdr:rowOff>574588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B7E4537-2D0A-FEFD-A364-14FC1832A34C}"/>
                </a:ext>
              </a:extLst>
            </xdr14:cNvPr>
            <xdr14:cNvContentPartPr/>
          </xdr14:nvContentPartPr>
          <xdr14:nvPr macro=""/>
          <xdr14:xfrm>
            <a:off x="10399802825" y="7540920"/>
            <a:ext cx="16920" cy="417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7E4537-2D0A-FEFD-A364-14FC1832A34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793825" y="7531920"/>
              <a:ext cx="34560" cy="59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7:40:11.6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4434 324 10242,'0'0'0,"0"-20"992,0 20-992,-5-19 704,3-1 248,-1 3 96,3 13-55,0 4-993,-5-13 1000,5 10-184,-2-1-192,2 1-216,0 3-408,0-1 312,0-1-136,0 1-128,0 1-152,0 0 104,0 0-88,0 0 16,2 3 40,15 1 152,-17-4-120,12 14 0,5-1-24,-5 3 8,5 2-8,-17-18 24,19 20-32,0 4 8,6 3-16,-4 2-8,-21-29 48,24 28 0,0 1-16,-2-1 24,4 0-8,-26-28 0,22 30 24,0-1 0,-3-2 24,-2 1-24,-17-28-24,12 27 48,0 0 48,-10-1-64,3-3 152,-5-23-184,2 24 176,-2-2 17,0 1 103,-4-1 104,4-22-400,-15 18 424,1 2 104,-8-3 32,-4 1-96,26-18-464,-34 17 456,-4-2-88,-11-1-120,1-1 16,48-13-264,-57 4 216,-4 9 24,-4-10 49,1-3-153,64 0-136,-63 0 200,5 0 24,5-5-72,0-9 192,53 14-344,-45-14 232,4-3-176,5-2 56,7 1-152,29 18 40,-24-20 16,0 3 40,9 4-32,-1 2 64,16 11-88,-10-3 0,3 0-16,-10 2-120,5 1 32,12 0 104,-19 3-192,-3 12 192,-5 1 96,-6 4-120,33-20 24,-31 21 40,-6 2-24,4-1-160,-1-2 176,34-20-32,-41 20-32,0-3-32,3-1 168,-3-3-152,41-13 48,-39 11-56,1-7 56,0 11 0,-3-13-16,41-2 16,-44 3 40,-4-3-56,0 0-8,-10 0 80,58 0-56,-62 0 0,-10 0 40,-12 0-24,-10 0-48,94 0 32,-106 5-56,-7 9 0,-7 0 56,-10 4-40,130-18 40,-133 20 56,-1 2 16,-6-2 96,5 0-56,135-20-112,-122 15 80,2-2 8,4-10-160,10 1 128,106-4-56,-106 0 16,1 0 24,6-1-16,0-5-24,99 6 0,-91-14 112,4 1 16,8 0 0,4-1 56,75 14-184,-65-13 72,5-1-56,5 1 8,5 7 24,50 6-48,-46-14 64,0 10 8,8-7 56,6 8-24,32 3-104,-29-5 56,8 1 16,2 3 0,2-1-40,17 2-32,-15 0-16,13 0 16,-10 0 0,12 0-128,0 0 128,0 0-72,0 0-48,0 3-32,5 1 40,-5-4 112,5 13-88,11-10-16,6 1 40,4 1 128,-26-5-64,39 2 16,9-2 32,10-4-24,16-19 8,-74 23-32,82-25 40,19-8-72,12-7 8,19-7-32,-132 47 56,140-49-16,12-7 104,-1-2-32,8-3-72,-159 61 16,161-63 0,10-1-40,4 2-48,-4-1 104,-171 63-16,166-61-48,-7 0 80,-12 4 64,-8 5-32,-139 52-64,120-49 24,-16 7-24,-25 5 88,-19 5-32,-60 32-56,41-24 72,-14 7 56,-15 11-56,-12 2 40,0 4-112,0-3 192,-12 2-48,-3 1-72,-6 0 40,21 0-112,-32 4 88,-6 13-128,-8 0 152,0 5-96,46-22-16,-48 27-72,3 2 160,1 6-32,1 4 0,43-39-56,-36 44 64,7 5 32,5 5-96,2 1 32,22-55-32,-14 56 136,2-1-136,9 2 112,1 0-40,2-57-72,-5 58 64,3 0 56,2-4-48,0-1-400,0-53 328,0 50 88,5-2 0,-1 0-56,-1-2 457,-3-46-489,2 44 48,3-1-16,-3-2 8,1-1 32,-3-40-72,7 37-8,-2-2-40,-5-1 48,5-4 0,-5-30 0,5 27 72,-1 0-24,8-1-112,-9-2-168,-3-24 232,17 26-489,-3-1-303,3 4-288,2 0-504,-19-29 1584,22 30-2385,2 2-1064,5-5-1088,4-3 857,-33-24 3680,39 14-2841,2-11-2704,-41-3 5545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7:40:12.0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7 115 21044,'0'0'0,"0"0"0,0-11 4105,-2 5-3833,0-9-8,2 9-320,0 6 56,-3-4 88,3-1-88,0 0 72,0 0-288,0 5 216,0-11-728,0 8-969,0-1-1823,12-7-1353,-12 11 4873,15-13-4289,4-3-3313,-19 16 7602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9"/>
  <sheetViews>
    <sheetView rightToLeft="1" tabSelected="1" view="pageBreakPreview" topLeftCell="C1" zoomScale="130" zoomScaleNormal="100" zoomScaleSheetLayoutView="130" workbookViewId="0">
      <selection activeCell="G19" sqref="G19:J19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48" t="s">
        <v>186</v>
      </c>
      <c r="C1" s="48"/>
      <c r="D1" s="48"/>
      <c r="E1" s="48"/>
      <c r="F1" s="48"/>
      <c r="G1" s="48"/>
      <c r="H1" s="48"/>
      <c r="I1" s="48"/>
      <c r="J1" s="48"/>
    </row>
    <row r="2" spans="1:10" ht="30" customHeight="1" x14ac:dyDescent="0.2">
      <c r="B2" s="12" t="s">
        <v>8</v>
      </c>
      <c r="C2" s="54" t="s">
        <v>37</v>
      </c>
      <c r="D2" s="54"/>
      <c r="E2" s="12" t="s">
        <v>7</v>
      </c>
      <c r="F2" s="49">
        <v>45913</v>
      </c>
      <c r="G2" s="49"/>
      <c r="H2" s="49"/>
      <c r="I2" s="49"/>
      <c r="J2" s="49"/>
    </row>
    <row r="3" spans="1:10" ht="30" customHeight="1" x14ac:dyDescent="0.2">
      <c r="B3" s="12" t="s">
        <v>9</v>
      </c>
      <c r="C3" s="54" t="s">
        <v>78</v>
      </c>
      <c r="D3" s="54"/>
      <c r="E3" s="12" t="s">
        <v>6</v>
      </c>
      <c r="F3" s="54" t="s">
        <v>133</v>
      </c>
      <c r="G3" s="54"/>
      <c r="H3" s="54"/>
      <c r="I3" s="54"/>
      <c r="J3" s="54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0" t="s">
        <v>0</v>
      </c>
      <c r="C5" s="51"/>
      <c r="D5" s="51"/>
      <c r="E5" s="57" t="s">
        <v>1</v>
      </c>
      <c r="F5" s="57"/>
      <c r="G5" s="57"/>
      <c r="H5" s="57"/>
      <c r="I5" s="57" t="s">
        <v>2</v>
      </c>
      <c r="J5" s="58"/>
    </row>
    <row r="6" spans="1:10" ht="24.95" customHeight="1" thickBot="1" x14ac:dyDescent="0.25">
      <c r="A6" s="10"/>
      <c r="B6" s="52"/>
      <c r="C6" s="53"/>
      <c r="D6" s="53"/>
      <c r="E6" s="11" t="s">
        <v>3</v>
      </c>
      <c r="F6" s="11" t="s">
        <v>4</v>
      </c>
      <c r="G6" s="11" t="s">
        <v>23</v>
      </c>
      <c r="H6" s="11" t="s">
        <v>24</v>
      </c>
      <c r="I6" s="59"/>
      <c r="J6" s="60"/>
    </row>
    <row r="7" spans="1:10" ht="24.95" customHeight="1" x14ac:dyDescent="0.2">
      <c r="A7" s="10"/>
      <c r="B7" s="55" t="s">
        <v>21</v>
      </c>
      <c r="C7" s="56"/>
      <c r="D7" s="56"/>
      <c r="E7" s="27" t="s">
        <v>18</v>
      </c>
      <c r="F7" s="27" t="s">
        <v>19</v>
      </c>
      <c r="G7" s="27" t="s">
        <v>22</v>
      </c>
      <c r="H7" s="27" t="s">
        <v>20</v>
      </c>
      <c r="I7" s="61" t="s">
        <v>25</v>
      </c>
      <c r="J7" s="62"/>
    </row>
    <row r="8" spans="1:10" ht="30" customHeight="1" x14ac:dyDescent="0.2">
      <c r="A8" s="10"/>
      <c r="B8" s="47" t="s">
        <v>185</v>
      </c>
      <c r="C8" s="47"/>
      <c r="D8" s="47"/>
      <c r="E8" s="9">
        <v>5</v>
      </c>
      <c r="F8" s="26">
        <v>3.75</v>
      </c>
      <c r="G8" s="29">
        <f>IFERROR(F8/E8,"")</f>
        <v>0.75</v>
      </c>
      <c r="H8" s="30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36"/>
      <c r="J8" s="36"/>
    </row>
    <row r="9" spans="1:10" ht="30" customHeight="1" x14ac:dyDescent="0.2">
      <c r="A9" s="10"/>
      <c r="B9" s="47" t="s">
        <v>184</v>
      </c>
      <c r="C9" s="47"/>
      <c r="D9" s="47"/>
      <c r="E9" s="9">
        <v>5</v>
      </c>
      <c r="F9" s="26">
        <v>3.75</v>
      </c>
      <c r="G9" s="29">
        <f>IFERROR(F9/E9,"")</f>
        <v>0.75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6"/>
      <c r="J9" s="36"/>
    </row>
    <row r="10" spans="1:10" ht="30" customHeight="1" x14ac:dyDescent="0.2">
      <c r="A10" s="10"/>
      <c r="B10" s="47" t="s">
        <v>183</v>
      </c>
      <c r="C10" s="47"/>
      <c r="D10" s="47"/>
      <c r="E10" s="9">
        <v>5</v>
      </c>
      <c r="F10" s="26">
        <v>3.75</v>
      </c>
      <c r="G10" s="29">
        <f t="shared" ref="G10:G14" si="0">IFERROR(F10/E10,"")</f>
        <v>0.75</v>
      </c>
      <c r="H10" s="30" t="str">
        <f t="shared" ref="H10:H14" si="1">_xlfn.IFS(F10="أدخل العلامة","",F10="لا ينطبق","تم الإلغاء",G10&gt;=90%,"ممتاز",G10&gt;=80%,"جيد جداً",G10&gt;=70%,"جيد",G10&gt;=60%,"مقبول",G10&lt;60%,"راسب")</f>
        <v>جيد</v>
      </c>
      <c r="I10" s="36"/>
      <c r="J10" s="36"/>
    </row>
    <row r="11" spans="1:10" ht="30" customHeight="1" x14ac:dyDescent="0.2">
      <c r="A11" s="10"/>
      <c r="B11" s="47" t="s">
        <v>182</v>
      </c>
      <c r="C11" s="47"/>
      <c r="D11" s="47"/>
      <c r="E11" s="9">
        <v>5</v>
      </c>
      <c r="F11" s="26">
        <v>3.25</v>
      </c>
      <c r="G11" s="29">
        <f t="shared" si="0"/>
        <v>0.65</v>
      </c>
      <c r="H11" s="30" t="str">
        <f t="shared" si="1"/>
        <v>مقبول</v>
      </c>
      <c r="I11" s="36"/>
      <c r="J11" s="36"/>
    </row>
    <row r="12" spans="1:10" ht="30" customHeight="1" x14ac:dyDescent="0.2">
      <c r="A12" s="10"/>
      <c r="B12" s="47" t="s">
        <v>181</v>
      </c>
      <c r="C12" s="47"/>
      <c r="D12" s="47"/>
      <c r="E12" s="9">
        <v>5</v>
      </c>
      <c r="F12" s="26">
        <v>3</v>
      </c>
      <c r="G12" s="29">
        <f t="shared" si="0"/>
        <v>0.6</v>
      </c>
      <c r="H12" s="30" t="str">
        <f t="shared" si="1"/>
        <v>مقبول</v>
      </c>
      <c r="I12" s="36"/>
      <c r="J12" s="36"/>
    </row>
    <row r="13" spans="1:10" ht="30" customHeight="1" x14ac:dyDescent="0.2">
      <c r="A13" s="10"/>
      <c r="B13" s="47" t="s">
        <v>187</v>
      </c>
      <c r="C13" s="47"/>
      <c r="D13" s="47"/>
      <c r="E13" s="9">
        <v>5</v>
      </c>
      <c r="F13" s="26">
        <v>3.5</v>
      </c>
      <c r="G13" s="29">
        <f t="shared" si="0"/>
        <v>0.7</v>
      </c>
      <c r="H13" s="30" t="str">
        <f t="shared" si="1"/>
        <v>جيد</v>
      </c>
      <c r="I13" s="36"/>
      <c r="J13" s="36"/>
    </row>
    <row r="14" spans="1:10" ht="30" customHeight="1" x14ac:dyDescent="0.2">
      <c r="A14" s="10"/>
      <c r="B14" s="47" t="s">
        <v>180</v>
      </c>
      <c r="C14" s="47"/>
      <c r="D14" s="47"/>
      <c r="E14" s="9">
        <v>5</v>
      </c>
      <c r="F14" s="26">
        <v>3.75</v>
      </c>
      <c r="G14" s="29">
        <f t="shared" si="0"/>
        <v>0.75</v>
      </c>
      <c r="H14" s="30" t="str">
        <f t="shared" si="1"/>
        <v>جيد</v>
      </c>
      <c r="I14" s="36"/>
      <c r="J14" s="36"/>
    </row>
    <row r="15" spans="1:10" ht="30" customHeight="1" thickBot="1" x14ac:dyDescent="0.25">
      <c r="A15" s="4"/>
      <c r="B15" s="63" t="s">
        <v>5</v>
      </c>
      <c r="C15" s="64"/>
      <c r="D15" s="64"/>
      <c r="E15" s="28">
        <f>SUM(E8:E14)</f>
        <v>35</v>
      </c>
      <c r="F15" s="28">
        <f>SUM(F8:F14)</f>
        <v>24.75</v>
      </c>
      <c r="G15" s="33"/>
      <c r="H15" s="34"/>
      <c r="I15" s="34"/>
      <c r="J15" s="35"/>
    </row>
    <row r="16" spans="1:10" ht="30" customHeight="1" thickBot="1" x14ac:dyDescent="0.25">
      <c r="A16" s="4"/>
      <c r="B16" s="45" t="s">
        <v>54</v>
      </c>
      <c r="C16" s="46"/>
      <c r="D16" s="46"/>
      <c r="E16" s="43">
        <f>F15/E15/100*100</f>
        <v>0.70714285714285718</v>
      </c>
      <c r="F16" s="43"/>
      <c r="G16" s="43"/>
      <c r="H16" s="43"/>
      <c r="I16" s="43"/>
      <c r="J16" s="44"/>
    </row>
    <row r="17" spans="1:10" ht="30" customHeight="1" thickBot="1" x14ac:dyDescent="0.25">
      <c r="A17" s="4"/>
      <c r="B17" s="45" t="s">
        <v>55</v>
      </c>
      <c r="C17" s="46"/>
      <c r="D17" s="46"/>
      <c r="E17" s="41" t="str">
        <f>_xlfn.IFS(E16&gt;=90%,"ممتاز",E16&gt;=80%,"جيد جداً",E16&gt;=70%,"جيد",E16&gt;=60%,"مقبول",E16&lt;60%,"راسب")</f>
        <v>جيد</v>
      </c>
      <c r="F17" s="41"/>
      <c r="G17" s="41"/>
      <c r="H17" s="41"/>
      <c r="I17" s="41"/>
      <c r="J17" s="42"/>
    </row>
    <row r="18" spans="1:10" ht="42" customHeight="1" x14ac:dyDescent="0.2">
      <c r="B18" s="37" t="s">
        <v>174</v>
      </c>
      <c r="C18" s="37"/>
      <c r="D18" s="37"/>
      <c r="E18" s="31" t="s">
        <v>52</v>
      </c>
      <c r="F18" s="31"/>
      <c r="G18" s="39" t="s">
        <v>133</v>
      </c>
      <c r="H18" s="39"/>
      <c r="I18" s="39"/>
      <c r="J18" s="39"/>
    </row>
    <row r="19" spans="1:10" ht="51" customHeight="1" x14ac:dyDescent="0.2">
      <c r="A19" s="5"/>
      <c r="B19" s="38"/>
      <c r="C19" s="38"/>
      <c r="D19" s="38"/>
      <c r="E19" s="32" t="s">
        <v>53</v>
      </c>
      <c r="F19" s="32"/>
      <c r="G19" s="40"/>
      <c r="H19" s="40"/>
      <c r="I19" s="40"/>
      <c r="J19" s="4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5">
    <mergeCell ref="B15:D15"/>
    <mergeCell ref="B16:D16"/>
    <mergeCell ref="B8:D8"/>
    <mergeCell ref="B9:D9"/>
    <mergeCell ref="B10:D10"/>
    <mergeCell ref="B11:D11"/>
    <mergeCell ref="B12:D12"/>
    <mergeCell ref="B7:D7"/>
    <mergeCell ref="E5:H5"/>
    <mergeCell ref="I5:J6"/>
    <mergeCell ref="I7:J7"/>
    <mergeCell ref="I10:J10"/>
    <mergeCell ref="I8:J8"/>
    <mergeCell ref="B1:J1"/>
    <mergeCell ref="F2:J2"/>
    <mergeCell ref="B5:D6"/>
    <mergeCell ref="C2:D2"/>
    <mergeCell ref="C3:D3"/>
    <mergeCell ref="F3:J3"/>
    <mergeCell ref="E18:F18"/>
    <mergeCell ref="E19:F19"/>
    <mergeCell ref="G15:J15"/>
    <mergeCell ref="I9:J9"/>
    <mergeCell ref="B18:D19"/>
    <mergeCell ref="G18:J18"/>
    <mergeCell ref="G19:J19"/>
    <mergeCell ref="E17:J17"/>
    <mergeCell ref="E16:J16"/>
    <mergeCell ref="B17:D17"/>
    <mergeCell ref="I11:J11"/>
    <mergeCell ref="I12:J12"/>
    <mergeCell ref="I13:J13"/>
    <mergeCell ref="I14:J14"/>
    <mergeCell ref="B13:D13"/>
    <mergeCell ref="B14:D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57">
      <formula>$E17="راسب"</formula>
    </cfRule>
  </conditionalFormatting>
  <conditionalFormatting sqref="E17:J17">
    <cfRule type="expression" dxfId="13" priority="60">
      <formula>$E17="جيد جداً"</formula>
    </cfRule>
    <cfRule type="expression" dxfId="12" priority="59">
      <formula>$E17="جيد"</formula>
    </cfRule>
    <cfRule type="expression" dxfId="11" priority="58">
      <formula>$E17="مقبول"</formula>
    </cfRule>
    <cfRule type="expression" dxfId="10" priority="61">
      <formula>$E17="ممتاز"</formula>
    </cfRule>
  </conditionalFormatting>
  <conditionalFormatting sqref="F8:F14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8:J18">
    <cfRule type="containsText" dxfId="6" priority="15" operator="containsText" text="أدخل اسم المحكم">
      <formula>NOT(ISERROR(SEARCH("أدخل اسم المحكم",G18)))</formula>
    </cfRule>
  </conditionalFormatting>
  <conditionalFormatting sqref="H8:H14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G18:J18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2025-10-08T15:03:11Z</dcterms:modified>
</cp:coreProperties>
</file>