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9BB777F9-A4F9-2746-B063-C23B86071A28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التقييم'!$A$1:$J$17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8" i="2"/>
  <c r="H8" i="2"/>
  <c r="F13" i="2"/>
  <c r="E13" i="2"/>
  <c r="E14" i="2"/>
  <c r="E15" i="2"/>
</calcChain>
</file>

<file path=xl/sharedStrings.xml><?xml version="1.0" encoding="utf-8"?>
<sst xmlns="http://schemas.openxmlformats.org/spreadsheetml/2006/main" count="242" uniqueCount="186">
  <si>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</si>
  <si>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</si>
  <si>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</si>
  <si>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</si>
  <si>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</si>
  <si>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</si>
  <si>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</si>
  <si>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</si>
  <si>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</si>
  <si>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</si>
  <si>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</si>
  <si>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</si>
  <si>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</si>
  <si>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</si>
  <si>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</si>
  <si>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</si>
  <si>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</si>
  <si>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</si>
  <si>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</si>
  <si>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</si>
  <si>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</si>
  <si>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</si>
  <si>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</si>
  <si>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</si>
  <si>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</si>
  <si>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</si>
  <si>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</si>
  <si>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</si>
  <si>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</si>
  <si>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</si>
  <si>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</si>
  <si>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</si>
  <si>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</si>
  <si>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</si>
  <si>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</si>
  <si>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</si>
  <si>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</si>
  <si>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</si>
  <si>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</si>
  <si>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</si>
  <si>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</si>
  <si>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</si>
  <si>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</si>
  <si>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</si>
  <si>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</si>
  <si>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</si>
  <si>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</si>
  <si>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</si>
  <si>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</si>
  <si>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</si>
  <si>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</si>
  <si>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</si>
  <si>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</si>
  <si>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</si>
  <si>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</si>
  <si>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</si>
  <si>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</si>
  <si>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</si>
  <si>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</si>
  <si>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</si>
  <si>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</si>
  <si>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</si>
  <si>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</si>
  <si>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</si>
  <si>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</si>
  <si>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</si>
  <si>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</si>
  <si>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</si>
  <si>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</si>
  <si>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</si>
  <si>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</si>
  <si>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</si>
  <si>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</si>
  <si>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</si>
  <si>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</si>
  <si>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</si>
  <si>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</si>
  <si>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</si>
  <si>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</si>
  <si>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</si>
  <si>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</si>
  <si>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</si>
  <si>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</si>
  <si>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</si>
  <si>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</si>
  <si>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</si>
  <si>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</si>
  <si>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</si>
  <si>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</si>
  <si>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</si>
  <si>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</si>
  <si>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</si>
  <si>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</si>
  <si>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</si>
  <si>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</si>
  <si>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</si>
  <si>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</si>
  <si>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</si>
  <si>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</si>
  <si>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</si>
  <si>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</si>
  <si>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</si>
  <si>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</si>
  <si>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</si>
  <si>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</si>
  <si>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</si>
  <si>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</si>
  <si>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</si>
  <si>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</si>
  <si>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</si>
  <si>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</si>
  <si>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</si>
  <si>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</si>
  <si>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</si>
  <si>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</si>
  <si>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</si>
  <si>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</si>
  <si>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</si>
  <si>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</si>
  <si>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</si>
  <si>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</si>
  <si>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</si>
  <si>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</si>
  <si>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</si>
  <si>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</si>
  <si>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</si>
  <si>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</si>
  <si>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</si>
  <si>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</si>
  <si>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</si>
  <si>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</si>
  <si>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</si>
  <si>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</si>
  <si>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</si>
  <si>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</si>
  <si>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</si>
  <si>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</si>
  <si>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</si>
  <si>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</si>
  <si>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</si>
  <si>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</si>
  <si>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</si>
  <si>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</si>
  <si>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</si>
  <si>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</si>
  <si>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</si>
  <si>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</si>
  <si>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</si>
  <si>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</si>
  <si>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</si>
  <si>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</si>
  <si>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</si>
  <si>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</si>
  <si>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</si>
  <si>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</si>
  <si>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</si>
  <si>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</si>
  <si>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</si>
  <si>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</si>
  <si>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</si>
  <si>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</si>
  <si>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</si>
  <si>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</si>
  <si>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</si>
  <si>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</si>
  <si>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</si>
  <si>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</si>
  <si>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</si>
  <si>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</si>
  <si>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</si>
  <si>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</si>
  <si>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</si>
  <si>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</si>
  <si>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</si>
  <si>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</si>
  <si>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</si>
  <si>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</si>
  <si>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</si>
  <si>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</si>
  <si>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</si>
  <si>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الحالة العامة لأجهزة.</t>
    </r>
  </si>
  <si>
    <r>
      <t>2.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كفاءة وجاهزية الأجهزة الكيميائية.</t>
    </r>
  </si>
  <si>
    <r>
      <t>3.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توفر الكتب والمراجع الفنية للأجهزة.</t>
    </r>
  </si>
  <si>
    <r>
      <t>4.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تأهيل الطاقم (فنيين / مشغليين).</t>
    </r>
  </si>
  <si>
    <r>
      <t>5.</t>
    </r>
    <r>
      <rPr>
        <b/>
        <sz val="7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مدى الإلمام بالأنظمة (الأجهزة والمعدات).</t>
    </r>
  </si>
  <si>
    <t>تقييم أجهزة سرية الدفاع الكيميائي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</si>
</sst>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7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23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2" fillId="0" borderId="11" xfId="0" applyFont="1" applyBorder="1" applyAlignment="1">
      <alignment horizontal="right" vertical="center" wrapText="1" readingOrder="2"/>
    </xf>
    <xf numFmtId="0" fontId="2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551495</xdr:colOff>
      <xdr:row>16</xdr:row>
      <xdr:rowOff>12908</xdr:rowOff>
    </xdr:from>
    <xdr:to>
      <xdr:col>8</xdr:col>
      <xdr:colOff>155474</xdr:colOff>
      <xdr:row>16</xdr:row>
      <xdr:rowOff>488828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FDD20601-22D3-7E33-6780-BB30D60DD024}"/>
                </a:ext>
              </a:extLst>
            </xdr14:cNvPr>
            <xdr14:cNvContentPartPr/>
          </xdr14:nvContentPartPr>
          <xdr14:nvPr macro=""/>
          <xdr14:xfrm>
            <a:off x="10399089435" y="6894000"/>
            <a:ext cx="920160" cy="4759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FDD20601-22D3-7E33-6780-BB30D60DD02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083315" y="6887880"/>
              <a:ext cx="932400" cy="488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3:53:39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450 1321 2792,'0'0'0,"0"-6"760,0 6-760,-2-13 192,0 2-152,-1 0 32,3 8 112,0 3-184,0-4 312,-2-1 97,-1 1 55,1 0 104,2 4-568,0-3 560,0 2 16,0-1-24,0 2-24,0 0-528,0 0 472,0 0 48,0 0-23,0 0-161,0 0-2161,0 0 3858,5 0-1849,-3-1 0,10-1-64,-12 2-120,12-3 128,7-1-96,1 0-24,13-2 32,-33 6-40,34-13 96,5 8-48,1-8-8,4 7-8,-44 6-32,48-14 48,2 8-24,3-8 16,0 10 32,-53 4-72,48-14 48,3 9 24,-8 1 40,-9 0-24,-34 4-88,29-4 32,-8 2-24,-6 1 16,-10-1-24,-5 2 0,4 0 80,-1 0-24,-3 0 40,0 0-8,0 0-88,0 0 120,-3 0 32,-6 0-48,-3-1 40,12 1-144,-15-1 104,-2-2-104,-4 0 120,-1-1-112,22 4-8,-24-5 56,-2 2 32,-1-1-96,-4 3 56,31 1-48,-34-2 16,-2 1 8,-2 0 72,-1 1-48,39 0-48,-41 0 64,3 0 0,-3 4-40,2 0-8,39-4-16,-36 11 56,7-11 0,1 3-16,8 0 24,20-3-64,-2 3 32,-10-3 8,10 0 24,2 0 8,0 0-72,0 0 72,0 0-24,4 0 8,11-4-8,-15 4-48,21-13 0,13 0 32,7-1-32,5 0 32,-46 14-32,43-15 24,7 1-8,1 0 24,2 0-8,-53 14-32,55-13 64,1 2-72,-8 6 81,-3-7 39,-45 12-112,44-3 48,-6-2 48,1 1-88,-8 0-32,-31 4 24,24-3 24,-2 2 0,-10 1-24,-10 0 8,-2 0-8,2 0 24,-2 0 8,0 0 16,0 0 40,0 0-88,0 3 96,-4-1-24,-16 1 40,-6 0-72,26-3-40,-27 3 0,-6 0 64,-3 0-48,-8-3 0,44 0-16,-40 0 0,-4 0 16,3 0-16,3 0 0,38 0 0,-41 0-16,5 0 40,2 0-88,5-2 88,29 2-24,-19-1 32,2 1-48,5 0 80,10-2-72,2 2 8,-3 0 72,-1 0-56,1 0 40,3 0-72,0 0 16,0 0-56,5-1 48,12-1 0,5-2 24,-22 4-16,26-4 16,10-9 8,7 7-64,10-8 32,-53 14 8,56-11 32,6-1-32,5 1 56,-2 5-32,-65 6-24,65-17 8,-5 12 0,-2-10-8,-5 11 16,-53 4-16,51-11 8,-10 8-8,-5-1 64,-8-1-40,-28 5-24,20-4 16,-6 3 0,-9 1-32,0 0 0,-5 0 16,2 0-8,-2 0 32,0 0-16,0 0 48,0 0-56,0 0 40,0 0 8,-2 3-8,-5-3 8,7 0-48,-17 0 24,0 0-40,-2 0 40,-5 0 40,24 0-64,-32 0 16,-1 0 0,-11-2 8,-4-2-32,48 4 8,-48-4 32,-7-2-8,-1-5-56,-1 5-72,57 6 104,-63-16-56,5 2 24,-4-2 8,4-1 72,58 17-48,-57-17 40,6 0-16,3-1 40,7-1-72,41 19 8,-36-18 48,7-3-8,3 1-8,9 0 152,17 20-184,-17-22 0,7 1 0,5-3-16,3 0 32,2 24-16,-5-24-24,5-5-24,5 1 80,12-1-200,-17 29 168,22-30-64,2 2-24,9-3 56,6-2 24,-39 33 8,55-33 8,10-1 72,7 3-120,12 1 80,-84 30-40,92-27 16,-1 3 8,8 3 0,2 4-88,-101 17 64,98-13 0,-4 7-80,-2 2 32,-8 2 40,-84 2 8,79 0-32,-2 16 88,-2-3-56,-5 4 56,-70-17-56,69 18 40,-4 5-40,-5 1 48,-4 5-40,-56-29-8,55 28 24,-5 2-16,-9 1-8,-5 2-112,-36-33 112,29 31-16,-5 0-16,-9 1 32,-10-2 128,-5-30-128,2 29 24,-4 1 8,-15-1-56,-7 1-16,24-30 40,-34 29 24,-14 3-24,-7 0 48,-13 1-56,68-33 8,-72 31-40,-2 1 48,-8-4-32,-2 0 56,84-28-32,-92 28 24,-4 0 8,2-1-56,-14 0 16,108-27 8,-108 28-32,-8 1 0,-2-2 72,5-2-96,113-25 56,-118 25 40,1-1-56,6-2 40,-4-2 64,115-20-88,-109 19-24,8-3 80,5-4-96,12 0-88,84-12 128,-72 3 88,9 8-8,13-11-56,11 3 144,39-3-168,-29 3-24,10-3 0,2 0 64,15 0-32,2 0-8,-5 0 32,3 0-112,2 0-8,0 0-32,0 0 120,0 2-112,2 1 64,3 9-48,9-8-16,-14-4 112,5 17-232,9-6-136,-1 4-216,-1-3-457,-12-12 1041,16 15-2224,4-4-545,4-8 401,-3-3 519,-21 0 1849,20-5-976,-1-22 496,-5-4 48,-2-6-200,-12 37 632,15-41-568,-10-3 200,14-3-32,-19 47 400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17"/>
  <sheetViews>
    <sheetView rightToLeft="1" tabSelected="1" view="pageBreakPreview" topLeftCell="D1" zoomScale="130" zoomScaleNormal="100" zoomScaleSheetLayoutView="130" workbookViewId="0">
      <selection activeCell="G17" sqref="G17:J17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3" t="s">
        <v>185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2">
      <c r="B2" s="11" t="s">
        <v>8</v>
      </c>
      <c r="C2" s="59" t="s">
        <v>13</v>
      </c>
      <c r="D2" s="59"/>
      <c r="E2" s="11" t="s">
        <v>7</v>
      </c>
      <c r="F2" s="54">
        <v>45929</v>
      </c>
      <c r="G2" s="54"/>
      <c r="H2" s="54"/>
      <c r="I2" s="54"/>
      <c r="J2" s="54"/>
    </row>
    <row r="3" spans="1:10" ht="30" customHeight="1" x14ac:dyDescent="0.2">
      <c r="B3" s="11" t="s">
        <v>9</v>
      </c>
      <c r="C3" s="59" t="s">
        <v>71</v>
      </c>
      <c r="D3" s="59"/>
      <c r="E3" s="11" t="s">
        <v>6</v>
      </c>
      <c r="F3" s="59" t="s">
        <v>135</v>
      </c>
      <c r="G3" s="59"/>
      <c r="H3" s="59"/>
      <c r="I3" s="59"/>
      <c r="J3" s="59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5" t="s">
        <v>0</v>
      </c>
      <c r="C5" s="56"/>
      <c r="D5" s="56"/>
      <c r="E5" s="39" t="s">
        <v>1</v>
      </c>
      <c r="F5" s="39"/>
      <c r="G5" s="39"/>
      <c r="H5" s="39"/>
      <c r="I5" s="39" t="s">
        <v>2</v>
      </c>
      <c r="J5" s="40"/>
    </row>
    <row r="6" spans="1:10" ht="24.95" customHeight="1" thickBot="1" x14ac:dyDescent="0.25">
      <c r="A6" s="9"/>
      <c r="B6" s="57"/>
      <c r="C6" s="58"/>
      <c r="D6" s="58"/>
      <c r="E6" s="10" t="s">
        <v>3</v>
      </c>
      <c r="F6" s="10" t="s">
        <v>4</v>
      </c>
      <c r="G6" s="10" t="s">
        <v>23</v>
      </c>
      <c r="H6" s="10" t="s">
        <v>24</v>
      </c>
      <c r="I6" s="41"/>
      <c r="J6" s="42"/>
    </row>
    <row r="7" spans="1:10" ht="24.95" customHeight="1" thickBot="1" x14ac:dyDescent="0.25">
      <c r="A7" s="9"/>
      <c r="B7" s="37" t="s">
        <v>21</v>
      </c>
      <c r="C7" s="38"/>
      <c r="D7" s="38"/>
      <c r="E7" s="27" t="s">
        <v>18</v>
      </c>
      <c r="F7" s="27" t="s">
        <v>19</v>
      </c>
      <c r="G7" s="27" t="s">
        <v>22</v>
      </c>
      <c r="H7" s="27" t="s">
        <v>20</v>
      </c>
      <c r="I7" s="43" t="s">
        <v>25</v>
      </c>
      <c r="J7" s="44"/>
    </row>
    <row r="8" spans="1:10" ht="39.950000000000003" customHeight="1" thickBot="1" x14ac:dyDescent="0.25">
      <c r="A8" s="9"/>
      <c r="B8" s="49" t="s">
        <v>180</v>
      </c>
      <c r="C8" s="50"/>
      <c r="D8" s="50"/>
      <c r="E8" s="31">
        <v>10</v>
      </c>
      <c r="F8" s="32">
        <v>7.75</v>
      </c>
      <c r="G8" s="33">
        <f>IFERROR(F8/E8,"")</f>
        <v>0.77500000000000002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7"/>
      <c r="J8" s="48"/>
    </row>
    <row r="9" spans="1:10" ht="39.950000000000003" customHeight="1" thickBot="1" x14ac:dyDescent="0.25">
      <c r="A9" s="9"/>
      <c r="B9" s="51" t="s">
        <v>181</v>
      </c>
      <c r="C9" s="52"/>
      <c r="D9" s="52"/>
      <c r="E9" s="31">
        <v>10</v>
      </c>
      <c r="F9" s="25">
        <v>7.75</v>
      </c>
      <c r="G9" s="29">
        <f>IFERROR(F9/E9,"")</f>
        <v>0.77500000000000002</v>
      </c>
      <c r="H9" s="30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5"/>
      <c r="J9" s="46"/>
    </row>
    <row r="10" spans="1:10" ht="39.950000000000003" customHeight="1" thickBot="1" x14ac:dyDescent="0.25">
      <c r="A10" s="9"/>
      <c r="B10" s="51" t="s">
        <v>182</v>
      </c>
      <c r="C10" s="52"/>
      <c r="D10" s="52"/>
      <c r="E10" s="31">
        <v>10</v>
      </c>
      <c r="F10" s="25">
        <v>7.75</v>
      </c>
      <c r="G10" s="29">
        <f t="shared" ref="G10:G12" si="0">IFERROR(F10/E10,"")</f>
        <v>0.77500000000000002</v>
      </c>
      <c r="H10" s="30" t="str">
        <f t="shared" ref="H10:H12" si="1">_xlfn.IFS(F10="أدخل العلامة","",F10="لا ينطبق","تم الإلغاء",G10&gt;=90%,"ممتاز",G10&gt;=80%,"جيد جداً",G10&gt;=70%,"جيد",G10&gt;=60%,"مقبول",G10&lt;60%,"راسب")</f>
        <v>جيد</v>
      </c>
      <c r="I10" s="45"/>
      <c r="J10" s="46"/>
    </row>
    <row r="11" spans="1:10" ht="39.950000000000003" customHeight="1" thickBot="1" x14ac:dyDescent="0.25">
      <c r="A11" s="9"/>
      <c r="B11" s="51" t="s">
        <v>183</v>
      </c>
      <c r="C11" s="52"/>
      <c r="D11" s="52"/>
      <c r="E11" s="31">
        <v>10</v>
      </c>
      <c r="F11" s="25">
        <v>7</v>
      </c>
      <c r="G11" s="29">
        <f t="shared" si="0"/>
        <v>0.7</v>
      </c>
      <c r="H11" s="30" t="str">
        <f t="shared" si="1"/>
        <v>جيد</v>
      </c>
      <c r="I11" s="45"/>
      <c r="J11" s="46"/>
    </row>
    <row r="12" spans="1:10" ht="39.950000000000003" customHeight="1" thickBot="1" x14ac:dyDescent="0.25">
      <c r="A12" s="9"/>
      <c r="B12" s="79" t="s">
        <v>184</v>
      </c>
      <c r="C12" s="80"/>
      <c r="D12" s="80"/>
      <c r="E12" s="31">
        <v>10</v>
      </c>
      <c r="F12" s="26">
        <v>7.5</v>
      </c>
      <c r="G12" s="35">
        <f t="shared" si="0"/>
        <v>0.75</v>
      </c>
      <c r="H12" s="36" t="str">
        <f t="shared" si="1"/>
        <v>جيد</v>
      </c>
      <c r="I12" s="77"/>
      <c r="J12" s="78"/>
    </row>
    <row r="13" spans="1:10" ht="30" customHeight="1" thickBot="1" x14ac:dyDescent="0.25">
      <c r="A13" s="4"/>
      <c r="B13" s="73" t="s">
        <v>5</v>
      </c>
      <c r="C13" s="74"/>
      <c r="D13" s="74"/>
      <c r="E13" s="28">
        <f>SUM(E8:E12)</f>
        <v>50</v>
      </c>
      <c r="F13" s="28">
        <f>SUM(F8:F12)</f>
        <v>37.75</v>
      </c>
      <c r="G13" s="62"/>
      <c r="H13" s="63"/>
      <c r="I13" s="63"/>
      <c r="J13" s="64"/>
    </row>
    <row r="14" spans="1:10" ht="30" customHeight="1" thickBot="1" x14ac:dyDescent="0.25">
      <c r="A14" s="4"/>
      <c r="B14" s="75" t="s">
        <v>54</v>
      </c>
      <c r="C14" s="76"/>
      <c r="D14" s="76"/>
      <c r="E14" s="71">
        <f>F13/E13/100*100</f>
        <v>0.755</v>
      </c>
      <c r="F14" s="71"/>
      <c r="G14" s="71"/>
      <c r="H14" s="71"/>
      <c r="I14" s="71"/>
      <c r="J14" s="72"/>
    </row>
    <row r="15" spans="1:10" ht="30" customHeight="1" thickBot="1" x14ac:dyDescent="0.25">
      <c r="A15" s="4"/>
      <c r="B15" s="75" t="s">
        <v>55</v>
      </c>
      <c r="C15" s="76"/>
      <c r="D15" s="76"/>
      <c r="E15" s="69" t="str">
        <f>_xlfn.IFS(E14&gt;=90%,"ممتاز",E14&gt;=80%,"جيد جداً",E14&gt;=70%,"جيد",E14&gt;=60%,"مقبول",E14&lt;60%,"راسب")</f>
        <v>جيد</v>
      </c>
      <c r="F15" s="69"/>
      <c r="G15" s="69"/>
      <c r="H15" s="69"/>
      <c r="I15" s="69"/>
      <c r="J15" s="70"/>
    </row>
    <row r="16" spans="1:10" ht="42" customHeight="1" x14ac:dyDescent="0.2">
      <c r="B16" s="65" t="s">
        <v>174</v>
      </c>
      <c r="C16" s="65"/>
      <c r="D16" s="65"/>
      <c r="E16" s="60" t="s">
        <v>52</v>
      </c>
      <c r="F16" s="60"/>
      <c r="G16" s="67" t="s">
        <v>135</v>
      </c>
      <c r="H16" s="67"/>
      <c r="I16" s="67"/>
      <c r="J16" s="67"/>
    </row>
    <row r="17" spans="1:10" ht="51" customHeight="1" x14ac:dyDescent="0.2">
      <c r="A17" s="5"/>
      <c r="B17" s="66"/>
      <c r="C17" s="66"/>
      <c r="D17" s="66"/>
      <c r="E17" s="61" t="s">
        <v>53</v>
      </c>
      <c r="F17" s="61"/>
      <c r="G17" s="68"/>
      <c r="H17" s="68"/>
      <c r="I17" s="68"/>
      <c r="J17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1">
    <mergeCell ref="E16:F16"/>
    <mergeCell ref="E17:F17"/>
    <mergeCell ref="G13:J13"/>
    <mergeCell ref="I9:J9"/>
    <mergeCell ref="B16:D17"/>
    <mergeCell ref="G16:J16"/>
    <mergeCell ref="G17:J17"/>
    <mergeCell ref="E15:J15"/>
    <mergeCell ref="E14:J14"/>
    <mergeCell ref="B13:D13"/>
    <mergeCell ref="B14:D14"/>
    <mergeCell ref="B15:D15"/>
    <mergeCell ref="I11:J11"/>
    <mergeCell ref="I12:J12"/>
    <mergeCell ref="B11:D11"/>
    <mergeCell ref="B12:D12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5">
    <cfRule type="expression" dxfId="14" priority="57">
      <formula>$E15="راسب"</formula>
    </cfRule>
  </conditionalFormatting>
  <conditionalFormatting sqref="E15:J15">
    <cfRule type="expression" dxfId="13" priority="58">
      <formula>$E15="مقبول"</formula>
    </cfRule>
    <cfRule type="expression" dxfId="12" priority="59">
      <formula>$E15="جيد"</formula>
    </cfRule>
    <cfRule type="expression" dxfId="11" priority="60">
      <formula>$E15="جيد جداً"</formula>
    </cfRule>
    <cfRule type="expression" dxfId="10" priority="61">
      <formula>$E15="ممتاز"</formula>
    </cfRule>
  </conditionalFormatting>
  <conditionalFormatting sqref="F8:F1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16:J16">
    <cfRule type="containsText" dxfId="6" priority="15" operator="containsText" text="أدخل اسم المحكم">
      <formula>NOT(ISERROR(SEARCH("أدخل اسم المحكم",G16)))</formula>
    </cfRule>
  </conditionalFormatting>
  <conditionalFormatting sqref="H8:H1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G16:J16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7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18" t="s">
        <v>177</v>
      </c>
    </row>
    <row r="30" spans="1:3" ht="20.100000000000001" customHeight="1" thickBot="1" x14ac:dyDescent="0.3">
      <c r="A30" s="2" t="s">
        <v>32</v>
      </c>
      <c r="C30" s="18" t="s">
        <v>178</v>
      </c>
    </row>
    <row r="31" spans="1:3" ht="20.100000000000001" customHeight="1" thickBot="1" x14ac:dyDescent="0.3">
      <c r="A31" s="2" t="s">
        <v>33</v>
      </c>
      <c r="C31" s="18" t="s">
        <v>179</v>
      </c>
    </row>
    <row r="32" spans="1:3" ht="20.100000000000001" customHeight="1" thickBot="1" x14ac:dyDescent="0.3">
      <c r="A32" s="2" t="s">
        <v>16</v>
      </c>
      <c r="C32" s="18"/>
    </row>
    <row r="33" spans="1:9" ht="20.100000000000001" customHeight="1" thickBot="1" x14ac:dyDescent="0.3">
      <c r="A33" s="2" t="s">
        <v>14</v>
      </c>
      <c r="C33" s="18"/>
    </row>
    <row r="34" spans="1:9" ht="20.100000000000001" customHeight="1" thickBot="1" x14ac:dyDescent="0.3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175</v>
      </c>
    </row>
    <row r="213" spans="1:1" ht="20.100000000000001" customHeight="1" x14ac:dyDescent="0.2">
      <c r="A213" s="19" t="s">
        <v>102</v>
      </c>
    </row>
    <row r="214" spans="1:1" ht="20.100000000000001" customHeight="1" x14ac:dyDescent="0.2">
      <c r="A214" s="19" t="s">
        <v>103</v>
      </c>
    </row>
    <row r="215" spans="1:1" ht="20.100000000000001" customHeight="1" x14ac:dyDescent="0.2">
      <c r="A215" s="19" t="s">
        <v>104</v>
      </c>
    </row>
    <row r="216" spans="1:1" ht="20.100000000000001" customHeight="1" x14ac:dyDescent="0.2">
      <c r="A216" s="19" t="s">
        <v>105</v>
      </c>
    </row>
    <row r="217" spans="1:1" ht="20.100000000000001" customHeight="1" x14ac:dyDescent="0.2">
      <c r="A217" s="19" t="s">
        <v>106</v>
      </c>
    </row>
    <row r="218" spans="1:1" ht="20.100000000000001" customHeight="1" x14ac:dyDescent="0.2">
      <c r="A218" s="19" t="s">
        <v>107</v>
      </c>
    </row>
    <row r="219" spans="1:1" ht="20.100000000000001" customHeight="1" x14ac:dyDescent="0.2">
      <c r="A219" s="19" t="s">
        <v>108</v>
      </c>
    </row>
    <row r="220" spans="1:1" ht="20.100000000000001" customHeight="1" x14ac:dyDescent="0.2">
      <c r="A220" s="19" t="s">
        <v>109</v>
      </c>
    </row>
    <row r="221" spans="1:1" ht="20.100000000000001" customHeight="1" x14ac:dyDescent="0.2">
      <c r="A221" s="19" t="s">
        <v>110</v>
      </c>
    </row>
    <row r="222" spans="1:1" ht="20.100000000000001" customHeight="1" x14ac:dyDescent="0.2">
      <c r="A222" s="19" t="s">
        <v>111</v>
      </c>
    </row>
    <row r="223" spans="1:1" ht="20.100000000000001" customHeight="1" x14ac:dyDescent="0.2">
      <c r="A223" s="19" t="s">
        <v>112</v>
      </c>
    </row>
    <row r="224" spans="1:1" ht="20.100000000000001" customHeight="1" x14ac:dyDescent="0.2">
      <c r="A224" s="19" t="s">
        <v>176</v>
      </c>
    </row>
    <row r="225" spans="1:1" ht="20.100000000000001" customHeight="1" x14ac:dyDescent="0.2">
      <c r="A225" s="19" t="s">
        <v>113</v>
      </c>
    </row>
    <row r="226" spans="1:1" ht="20.100000000000001" customHeight="1" x14ac:dyDescent="0.2">
      <c r="A226" s="19" t="s">
        <v>114</v>
      </c>
    </row>
    <row r="227" spans="1:1" ht="20.100000000000001" customHeight="1" x14ac:dyDescent="0.2">
      <c r="A227" s="19" t="s">
        <v>115</v>
      </c>
    </row>
    <row r="228" spans="1:1" ht="20.100000000000001" customHeight="1" x14ac:dyDescent="0.2">
      <c r="A228" s="19" t="s">
        <v>116</v>
      </c>
    </row>
    <row r="229" spans="1:1" ht="20.100000000000001" customHeight="1" x14ac:dyDescent="0.2">
      <c r="A229" s="19" t="s">
        <v>117</v>
      </c>
    </row>
    <row r="230" spans="1:1" ht="20.100000000000001" customHeight="1" x14ac:dyDescent="0.2">
      <c r="A230" s="19" t="s">
        <v>118</v>
      </c>
    </row>
    <row r="231" spans="1:1" ht="20.100000000000001" customHeight="1" x14ac:dyDescent="0.2">
      <c r="A231" s="19" t="s">
        <v>119</v>
      </c>
    </row>
    <row r="232" spans="1:1" ht="20.100000000000001" customHeight="1" x14ac:dyDescent="0.2">
      <c r="A232" s="19" t="s">
        <v>120</v>
      </c>
    </row>
    <row r="233" spans="1:1" ht="20.100000000000001" customHeight="1" x14ac:dyDescent="0.2">
      <c r="A233" s="19" t="s">
        <v>121</v>
      </c>
    </row>
    <row r="234" spans="1:1" ht="20.100000000000001" customHeight="1" x14ac:dyDescent="0.2">
      <c r="A234" s="19" t="s">
        <v>122</v>
      </c>
    </row>
    <row r="235" spans="1:1" ht="20.100000000000001" customHeight="1" x14ac:dyDescent="0.2">
      <c r="A235" s="19" t="s">
        <v>123</v>
      </c>
    </row>
    <row r="236" spans="1:1" ht="20.100000000000001" customHeight="1" x14ac:dyDescent="0.2">
      <c r="A236" s="21" t="s">
        <v>124</v>
      </c>
    </row>
    <row r="237" spans="1:1" ht="20.100000000000001" customHeight="1" x14ac:dyDescent="0.2">
      <c r="A237" s="19" t="s">
        <v>125</v>
      </c>
    </row>
    <row r="238" spans="1:1" ht="20.100000000000001" customHeight="1" x14ac:dyDescent="0.2">
      <c r="A238" s="19" t="s">
        <v>126</v>
      </c>
    </row>
    <row r="239" spans="1:1" ht="20.100000000000001" customHeight="1" x14ac:dyDescent="0.2">
      <c r="A239" s="19" t="s">
        <v>127</v>
      </c>
    </row>
    <row r="240" spans="1:1" ht="20.100000000000001" customHeight="1" x14ac:dyDescent="0.2">
      <c r="A240" s="19" t="s">
        <v>128</v>
      </c>
    </row>
    <row r="241" spans="1:1" ht="20.100000000000001" customHeight="1" x14ac:dyDescent="0.2">
      <c r="A241" s="19" t="s">
        <v>129</v>
      </c>
    </row>
    <row r="242" spans="1:1" ht="20.100000000000001" customHeight="1" x14ac:dyDescent="0.2">
      <c r="A242" s="19" t="s">
        <v>130</v>
      </c>
    </row>
    <row r="243" spans="1:1" ht="20.100000000000001" customHeight="1" x14ac:dyDescent="0.2">
      <c r="A243" s="19" t="s">
        <v>131</v>
      </c>
    </row>
    <row r="244" spans="1:1" ht="20.100000000000001" customHeight="1" x14ac:dyDescent="0.2">
      <c r="A244" s="19" t="s">
        <v>132</v>
      </c>
    </row>
    <row r="245" spans="1:1" ht="20.100000000000001" customHeight="1" x14ac:dyDescent="0.2">
      <c r="A245" s="19" t="s">
        <v>133</v>
      </c>
    </row>
    <row r="246" spans="1:1" ht="20.100000000000001" customHeight="1" x14ac:dyDescent="0.2">
      <c r="A246" s="19" t="s">
        <v>134</v>
      </c>
    </row>
    <row r="247" spans="1:1" ht="20.100000000000001" customHeight="1" x14ac:dyDescent="0.2">
      <c r="A247" s="19" t="s">
        <v>135</v>
      </c>
    </row>
    <row r="248" spans="1:1" ht="20.100000000000001" customHeight="1" x14ac:dyDescent="0.2">
      <c r="A248" s="19" t="s">
        <v>126</v>
      </c>
    </row>
    <row r="249" spans="1:1" ht="20.100000000000001" customHeight="1" x14ac:dyDescent="0.2">
      <c r="A249" s="19" t="s">
        <v>136</v>
      </c>
    </row>
    <row r="250" spans="1:1" ht="20.100000000000001" customHeight="1" x14ac:dyDescent="0.2">
      <c r="A250" s="19" t="s">
        <v>137</v>
      </c>
    </row>
    <row r="251" spans="1:1" ht="20.100000000000001" customHeight="1" x14ac:dyDescent="0.2">
      <c r="A251" s="21" t="s">
        <v>138</v>
      </c>
    </row>
    <row r="252" spans="1:1" ht="20.100000000000001" customHeight="1" x14ac:dyDescent="0.2">
      <c r="A252" s="22" t="s">
        <v>139</v>
      </c>
    </row>
    <row r="253" spans="1:1" ht="20.100000000000001" customHeight="1" x14ac:dyDescent="0.2">
      <c r="A253" s="19" t="s">
        <v>140</v>
      </c>
    </row>
    <row r="254" spans="1:1" ht="20.100000000000001" customHeight="1" x14ac:dyDescent="0.2">
      <c r="A254" s="19" t="s">
        <v>141</v>
      </c>
    </row>
    <row r="255" spans="1:1" ht="20.100000000000001" customHeight="1" x14ac:dyDescent="0.2">
      <c r="A255" s="23" t="s">
        <v>142</v>
      </c>
    </row>
    <row r="256" spans="1:1" ht="20.100000000000001" customHeight="1" x14ac:dyDescent="0.2">
      <c r="A256" s="23" t="s">
        <v>143</v>
      </c>
    </row>
    <row r="257" spans="1:1" ht="20.100000000000001" customHeight="1" x14ac:dyDescent="0.2">
      <c r="A257" s="24" t="s">
        <v>144</v>
      </c>
    </row>
    <row r="258" spans="1:1" ht="20.100000000000001" customHeight="1" x14ac:dyDescent="0.2">
      <c r="A258" s="19" t="s">
        <v>145</v>
      </c>
    </row>
    <row r="259" spans="1:1" ht="20.100000000000001" customHeight="1" x14ac:dyDescent="0.2">
      <c r="A259" s="24" t="s">
        <v>146</v>
      </c>
    </row>
    <row r="260" spans="1:1" ht="20.100000000000001" customHeight="1" x14ac:dyDescent="0.2">
      <c r="A260" s="19" t="s">
        <v>147</v>
      </c>
    </row>
    <row r="261" spans="1:1" ht="20.100000000000001" customHeight="1" x14ac:dyDescent="0.2">
      <c r="A261" s="24" t="s">
        <v>148</v>
      </c>
    </row>
    <row r="262" spans="1:1" ht="20.100000000000001" customHeight="1" x14ac:dyDescent="0.2">
      <c r="A262" s="19" t="s">
        <v>149</v>
      </c>
    </row>
    <row r="263" spans="1:1" ht="20.100000000000001" customHeight="1" x14ac:dyDescent="0.2">
      <c r="A263" s="19" t="s">
        <v>150</v>
      </c>
    </row>
    <row r="264" spans="1:1" ht="20.100000000000001" customHeight="1" x14ac:dyDescent="0.2">
      <c r="A264" s="24" t="s">
        <v>151</v>
      </c>
    </row>
    <row r="265" spans="1:1" ht="20.100000000000001" customHeight="1" x14ac:dyDescent="0.2">
      <c r="A265" s="24" t="s">
        <v>152</v>
      </c>
    </row>
    <row r="266" spans="1:1" ht="20.100000000000001" customHeight="1" x14ac:dyDescent="0.2">
      <c r="A266" s="24" t="s">
        <v>153</v>
      </c>
    </row>
    <row r="267" spans="1:1" ht="20.100000000000001" customHeight="1" x14ac:dyDescent="0.2">
      <c r="A267" s="19" t="s">
        <v>154</v>
      </c>
    </row>
    <row r="268" spans="1:1" ht="20.100000000000001" customHeight="1" x14ac:dyDescent="0.2">
      <c r="A268" s="19" t="s">
        <v>155</v>
      </c>
    </row>
    <row r="269" spans="1:1" ht="20.100000000000001" customHeight="1" x14ac:dyDescent="0.2">
      <c r="A269" s="19" t="s">
        <v>156</v>
      </c>
    </row>
    <row r="270" spans="1:1" ht="20.100000000000001" customHeight="1" x14ac:dyDescent="0.2">
      <c r="A270" s="19" t="s">
        <v>157</v>
      </c>
    </row>
    <row r="271" spans="1:1" ht="20.100000000000001" customHeight="1" x14ac:dyDescent="0.2">
      <c r="A271" s="24" t="s">
        <v>158</v>
      </c>
    </row>
    <row r="272" spans="1:1" ht="20.100000000000001" customHeight="1" x14ac:dyDescent="0.2">
      <c r="A272" s="24" t="s">
        <v>159</v>
      </c>
    </row>
    <row r="273" spans="1:1" ht="20.100000000000001" customHeight="1" x14ac:dyDescent="0.2">
      <c r="A273" s="19" t="s">
        <v>160</v>
      </c>
    </row>
    <row r="274" spans="1:1" ht="20.100000000000001" customHeight="1" x14ac:dyDescent="0.2">
      <c r="A274" s="24" t="s">
        <v>161</v>
      </c>
    </row>
    <row r="275" spans="1:1" ht="20.100000000000001" customHeight="1" x14ac:dyDescent="0.2">
      <c r="A275" s="24" t="s">
        <v>162</v>
      </c>
    </row>
    <row r="276" spans="1:1" ht="20.100000000000001" customHeight="1" x14ac:dyDescent="0.2">
      <c r="A276" s="19" t="s">
        <v>163</v>
      </c>
    </row>
    <row r="277" spans="1:1" ht="20.100000000000001" customHeight="1" x14ac:dyDescent="0.2">
      <c r="A277" s="19" t="s">
        <v>164</v>
      </c>
    </row>
    <row r="278" spans="1:1" ht="20.100000000000001" customHeight="1" x14ac:dyDescent="0.2">
      <c r="A278" s="24" t="s">
        <v>165</v>
      </c>
    </row>
    <row r="279" spans="1:1" ht="20.100000000000001" customHeight="1" x14ac:dyDescent="0.2">
      <c r="A279" s="19" t="s">
        <v>166</v>
      </c>
    </row>
    <row r="280" spans="1:1" ht="20.100000000000001" customHeight="1" x14ac:dyDescent="0.2">
      <c r="A280" s="19" t="s">
        <v>167</v>
      </c>
    </row>
    <row r="281" spans="1:1" ht="20.100000000000001" customHeight="1" x14ac:dyDescent="0.2">
      <c r="A281" s="19" t="s">
        <v>168</v>
      </c>
    </row>
    <row r="282" spans="1:1" ht="20.100000000000001" customHeight="1" x14ac:dyDescent="0.2">
      <c r="A282" s="19" t="s">
        <v>169</v>
      </c>
    </row>
    <row r="283" spans="1:1" ht="20.100000000000001" customHeight="1" x14ac:dyDescent="0.2">
      <c r="A283" s="24" t="s">
        <v>170</v>
      </c>
    </row>
    <row r="284" spans="1:1" ht="20.100000000000001" customHeight="1" x14ac:dyDescent="0.2">
      <c r="A284" s="24" t="s">
        <v>171</v>
      </c>
    </row>
    <row r="285" spans="1:1" ht="20.100000000000001" customHeight="1" x14ac:dyDescent="0.2">
      <c r="A285" s="24" t="s">
        <v>172</v>
      </c>
    </row>
    <row r="286" spans="1:1" ht="20.100000000000001" customHeight="1" thickBot="1" x14ac:dyDescent="0.25">
      <c r="A286" s="19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2025-09-25T11:02:07Z</dcterms:modified>
</cp:coreProperties>
</file>