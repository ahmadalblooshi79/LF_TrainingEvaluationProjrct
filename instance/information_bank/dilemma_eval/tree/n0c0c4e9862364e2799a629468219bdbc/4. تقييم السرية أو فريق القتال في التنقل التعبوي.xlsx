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3" i="2"/>
  <c r="H13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0" i="2"/>
  <c r="H30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5" i="2"/>
  <c r="H45" i="2" s="1"/>
  <c r="G46" i="2"/>
  <c r="H46" i="2" s="1"/>
  <c r="G47" i="2"/>
  <c r="H47" i="2" s="1"/>
  <c r="G48" i="2"/>
  <c r="H48" i="2" s="1"/>
  <c r="F49" i="2" l="1"/>
  <c r="E49" i="2" l="1"/>
  <c r="E50" i="2" l="1"/>
  <c r="E51" i="2" s="1"/>
</calcChain>
</file>

<file path=xl/sharedStrings.xml><?xml version="1.0" encoding="utf-8"?>
<sst xmlns="http://schemas.openxmlformats.org/spreadsheetml/2006/main" count="105" uniqueCount="70">
  <si>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</si>
  <si>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</si>
  <si>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</si>
  <si>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</si>
  <si>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</si>
  <si>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</si>
  <si>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</si>
  <si>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</si>
  <si>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</si>
  <si>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</si>
  <si>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</si>
  <si>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</si>
  <si>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</si>
  <si>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</si>
  <si>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</si>
  <si>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</si>
  <si>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</si>
  <si>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</si>
  <si>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</si>
  <si>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</si>
  <si>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</si>
  <si>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</si>
  <si>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</si>
  <si>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</si>
  <si>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</si>
  <si>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</si>
  <si>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</si>
  <si>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</si>
  <si>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تهيئة وتحضير القوة للحركة وإصدار امر التنقل.</t>
  </si>
  <si>
    <t>أ. ينفذ القائد إجراءات قيادة القوات.</t>
  </si>
  <si>
    <t>ب. يعين القائد قائد القافلة / ويحدد تسلسل القيادة.</t>
  </si>
  <si>
    <t>جـ. يقوم قائد القافلة بتحليل المهمة وتجهيز الأمر.</t>
  </si>
  <si>
    <t>د. يعين قائد القافلة قوة الطليعة ويحدد توقيت الحركة.</t>
  </si>
  <si>
    <t>أ. نشاطات العدو المعروفة / المشتبه بها على خط المسير.</t>
  </si>
  <si>
    <t>ب. الأخطار / المناطق الحرجة.</t>
  </si>
  <si>
    <t>جـ. خط المسير التعبوي ونقاط التفقد.</t>
  </si>
  <si>
    <t>د. خط المسير البديل.</t>
  </si>
  <si>
    <t>هـ. موقع نقطة التجمع عند الوصول.</t>
  </si>
  <si>
    <t>و. توقيتات الحركة.</t>
  </si>
  <si>
    <t>ز. تنظيم القافلة.</t>
  </si>
  <si>
    <t>ح. سرعة القافلة.</t>
  </si>
  <si>
    <t>ط. المسافات الفاصلة بين الآليات.</t>
  </si>
  <si>
    <t>ي. الإمداد / التوقف للاستراحة.</t>
  </si>
  <si>
    <t>ك. الخطط الاحتياطية في حالة (تعطل آلية - فقدان آلية - حصول حادث مع آلية - انفصال آلية عن الرتل - عمل من قبل العدو).</t>
  </si>
  <si>
    <t>تنظيم جماعة المقدمة للحركة وأسلوب الحركة والتشكيل.</t>
  </si>
  <si>
    <t>حركة الجسم الرئيسي وجماعة الطليعة.</t>
  </si>
  <si>
    <t>أ. مرونة مناورة الوحدات الفرعية.</t>
  </si>
  <si>
    <t>ب. المرونة لاستغلال طبيعة الأرض.</t>
  </si>
  <si>
    <t>جـ. القدرة على عبور مناطق الخطر.</t>
  </si>
  <si>
    <t>د. القدرة على التنقل على خط المسير المحدد.</t>
  </si>
  <si>
    <t>الوصول إلى نقاط التوزيع.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</si>
  <si>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التخطيط</t>
    </r>
    <r>
      <rPr>
        <sz val="12"/>
        <color rgb="FF000000"/>
        <rFont val="Arial"/>
        <family val="2"/>
      </rPr>
      <t>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</si>
  <si>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إصدار</t>
    </r>
    <r>
      <rPr>
        <u/>
        <sz val="12"/>
        <color rgb="FF000000"/>
        <rFont val="Arial"/>
        <family val="2"/>
      </rPr>
      <t xml:space="preserve"> </t>
    </r>
    <r>
      <rPr>
        <b/>
        <u/>
        <sz val="12"/>
        <color rgb="FF000000"/>
        <rFont val="Arial"/>
        <family val="2"/>
      </rPr>
      <t>أمر التنقل</t>
    </r>
    <r>
      <rPr>
        <b/>
        <sz val="12"/>
        <color rgb="FF000000"/>
        <rFont val="Arial"/>
        <family val="2"/>
      </rPr>
      <t>.</t>
    </r>
    <r>
      <rPr>
        <sz val="12"/>
        <color rgb="FF000000"/>
        <rFont val="Arial"/>
        <family val="2"/>
      </rPr>
      <t xml:space="preserve"> مشابه لأمر العمليات إلا أنه يحتوي أيضاً على ما يلي: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</si>
  <si>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يوزع القائد الواجبات وينظم قواته حسب تحليل المهمة وطبيعة الأرض وموقف العدو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</si>
  <si>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ينظم الوحدة في التشكيل المناسب (الرتل/ السهم/ الخط/ الخط المائل).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</si>
  <si>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تحديد طريقة الحركة المناسبة.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</si>
  <si>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إلى الهدف.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</si>
  <si>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يُنظم القائد قواته حسب تحليل المهمة وطبيعة الأرض وموقف العدو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</si>
  <si>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انتخاب أسلوب الحركة مناسب يوفر ما يلي: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</si>
  <si>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العمل مع قوة الاستطلاع الأمامي للتعرف على العدو/الموانع.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</si>
  <si>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نيران المدفعية / الهاون على محور التقدم.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</si>
  <si>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تجهيز خطط احتياطية.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</si>
  <si>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عبور نقطة البدء على التوقيت المحدد.</t>
    </r>
  </si>
  <si>
    <r>
      <t>7.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الحفاظ على السرعة المحددة.</t>
    </r>
  </si>
  <si>
    <r>
      <t>8.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الحفاظ على المسافات الفاصلة.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</si>
  <si>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أن المنطقة آمنة وجاهزة لاحتلالها من قبل الجسم الرئيسي.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</si>
  <si>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تأمين الحماية للقوات بالمصادر المتوفرة.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</si>
  <si>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دخول جماعات المقدمة إلى منطقة التجمع التعبوية الأمامية.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</si>
  <si>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احتلال الجسم الرئيسي للمنطقة.</t>
    </r>
  </si>
  <si>
    <t>تقييم السرية/فريق القتال في التنقل التعبوي من منطقة الحشد الى منطقة التجمع التعبوية الأمامية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</si>
</sst>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8" fillId="0" borderId="21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1" fillId="0" borderId="22" xfId="0" applyFont="1" applyBorder="1" applyAlignment="1">
      <alignment horizontal="right" vertical="center" wrapText="1" readingOrder="2"/>
    </xf>
    <xf numFmtId="0" fontId="1" fillId="0" borderId="23" xfId="0" applyFont="1" applyBorder="1" applyAlignment="1">
      <alignment horizontal="right" vertical="center" wrapText="1" readingOrder="2"/>
    </xf>
    <xf numFmtId="0" fontId="1" fillId="0" borderId="24" xfId="0" applyFont="1" applyBorder="1" applyAlignment="1">
      <alignment horizontal="right" vertical="center" wrapText="1" readingOrder="2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6" fillId="3" borderId="13" xfId="0" applyFont="1" applyFill="1" applyBorder="1" applyAlignment="1" applyProtection="1">
      <alignment horizontal="center" vertical="center" wrapText="1" readingOrder="2"/>
      <protection locked="0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10" fillId="0" borderId="22" xfId="0" applyFont="1" applyBorder="1" applyAlignment="1">
      <alignment horizontal="right" vertical="center" wrapText="1" readingOrder="2"/>
    </xf>
    <xf numFmtId="0" fontId="10" fillId="0" borderId="23" xfId="0" applyFont="1" applyBorder="1" applyAlignment="1">
      <alignment horizontal="right" vertical="center" wrapText="1" readingOrder="2"/>
    </xf>
    <xf numFmtId="0" fontId="10" fillId="0" borderId="24" xfId="0" applyFont="1" applyBorder="1" applyAlignment="1">
      <alignment horizontal="right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3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0" t="s">
        <v>69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5">
      <c r="B2" s="11" t="s">
        <v>8</v>
      </c>
      <c r="C2" s="58" t="s">
        <v>23</v>
      </c>
      <c r="D2" s="58"/>
      <c r="E2" s="11" t="s">
        <v>7</v>
      </c>
      <c r="F2" s="53" t="s">
        <v>22</v>
      </c>
      <c r="G2" s="53"/>
      <c r="H2" s="53"/>
      <c r="I2" s="53"/>
      <c r="J2" s="53"/>
    </row>
    <row r="3" spans="1:10" ht="30" customHeight="1" x14ac:dyDescent="0.25">
      <c r="B3" s="11" t="s">
        <v>9</v>
      </c>
      <c r="C3" s="58" t="s">
        <v>25</v>
      </c>
      <c r="D3" s="58"/>
      <c r="E3" s="11" t="s">
        <v>6</v>
      </c>
      <c r="F3" s="58" t="s">
        <v>24</v>
      </c>
      <c r="G3" s="58"/>
      <c r="H3" s="58"/>
      <c r="I3" s="58"/>
      <c r="J3" s="58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4" t="s">
        <v>0</v>
      </c>
      <c r="C5" s="55"/>
      <c r="D5" s="55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3">
      <c r="A6" s="9"/>
      <c r="B6" s="56"/>
      <c r="C6" s="57"/>
      <c r="D6" s="57"/>
      <c r="E6" s="10" t="s">
        <v>3</v>
      </c>
      <c r="F6" s="10" t="s">
        <v>4</v>
      </c>
      <c r="G6" s="10" t="s">
        <v>15</v>
      </c>
      <c r="H6" s="10" t="s">
        <v>16</v>
      </c>
      <c r="I6" s="61"/>
      <c r="J6" s="62"/>
    </row>
    <row r="7" spans="1:10" ht="24.95" customHeight="1" thickBot="1" x14ac:dyDescent="0.3">
      <c r="A7" s="9"/>
      <c r="B7" s="65" t="s">
        <v>13</v>
      </c>
      <c r="C7" s="66"/>
      <c r="D7" s="66"/>
      <c r="E7" s="14" t="s">
        <v>10</v>
      </c>
      <c r="F7" s="14" t="s">
        <v>11</v>
      </c>
      <c r="G7" s="14" t="s">
        <v>14</v>
      </c>
      <c r="H7" s="14" t="s">
        <v>12</v>
      </c>
      <c r="I7" s="63" t="s">
        <v>17</v>
      </c>
      <c r="J7" s="64"/>
    </row>
    <row r="8" spans="1:10" ht="30" customHeight="1" x14ac:dyDescent="0.25">
      <c r="A8" s="9"/>
      <c r="B8" s="67" t="s">
        <v>28</v>
      </c>
      <c r="C8" s="68"/>
      <c r="D8" s="68"/>
      <c r="E8" s="68"/>
      <c r="F8" s="68"/>
      <c r="G8" s="68"/>
      <c r="H8" s="68"/>
      <c r="I8" s="68"/>
      <c r="J8" s="69"/>
    </row>
    <row r="9" spans="1:10" ht="30" customHeight="1" x14ac:dyDescent="0.25">
      <c r="A9" s="9"/>
      <c r="B9" s="23" t="s">
        <v>51</v>
      </c>
      <c r="C9" s="24"/>
      <c r="D9" s="24"/>
      <c r="E9" s="8"/>
      <c r="F9" s="12"/>
      <c r="G9" s="16"/>
      <c r="H9" s="17"/>
      <c r="I9" s="36"/>
      <c r="J9" s="37"/>
    </row>
    <row r="10" spans="1:10" ht="30" customHeight="1" x14ac:dyDescent="0.25">
      <c r="A10" s="9"/>
      <c r="B10" s="25" t="s">
        <v>29</v>
      </c>
      <c r="C10" s="26"/>
      <c r="D10" s="26"/>
      <c r="E10" s="8">
        <v>5</v>
      </c>
      <c r="F10" s="12" t="s">
        <v>26</v>
      </c>
      <c r="G10" s="16" t="str">
        <f t="shared" ref="G10:G48" si="0">IFERROR(F10/E10,"")</f>
        <v/>
      </c>
      <c r="H10" s="17" t="str">
        <f t="shared" ref="H10:H48" si="1">_xlfn.IFS(F10="أدخل العلامة","",F10="لا ينطبق","تم الإلغاء",G10&gt;=90%,"ممتاز",G10&gt;=80%,"جيد جداً",G10&gt;=70%,"جيد",G10&gt;=60%,"مقبول",G10&lt;60%,"راسب")</f>
        <v/>
      </c>
      <c r="I10" s="36"/>
      <c r="J10" s="37"/>
    </row>
    <row r="11" spans="1:10" ht="30" customHeight="1" x14ac:dyDescent="0.25">
      <c r="A11" s="9"/>
      <c r="B11" s="25" t="s">
        <v>30</v>
      </c>
      <c r="C11" s="26"/>
      <c r="D11" s="26"/>
      <c r="E11" s="8">
        <v>5</v>
      </c>
      <c r="F11" s="12" t="s">
        <v>26</v>
      </c>
      <c r="G11" s="16" t="str">
        <f t="shared" si="0"/>
        <v/>
      </c>
      <c r="H11" s="17" t="str">
        <f t="shared" si="1"/>
        <v/>
      </c>
      <c r="I11" s="36"/>
      <c r="J11" s="37"/>
    </row>
    <row r="12" spans="1:10" ht="30" customHeight="1" x14ac:dyDescent="0.25">
      <c r="A12" s="9"/>
      <c r="B12" s="25" t="s">
        <v>31</v>
      </c>
      <c r="C12" s="26"/>
      <c r="D12" s="26"/>
      <c r="E12" s="8">
        <v>5</v>
      </c>
      <c r="F12" s="12" t="s">
        <v>26</v>
      </c>
      <c r="G12" s="16" t="str">
        <f t="shared" si="0"/>
        <v/>
      </c>
      <c r="H12" s="17" t="str">
        <f t="shared" si="1"/>
        <v/>
      </c>
      <c r="I12" s="36"/>
      <c r="J12" s="37"/>
    </row>
    <row r="13" spans="1:10" ht="30" customHeight="1" x14ac:dyDescent="0.25">
      <c r="A13" s="9"/>
      <c r="B13" s="25" t="s">
        <v>32</v>
      </c>
      <c r="C13" s="26"/>
      <c r="D13" s="26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36"/>
      <c r="J13" s="37"/>
    </row>
    <row r="14" spans="1:10" ht="39.950000000000003" customHeight="1" x14ac:dyDescent="0.25">
      <c r="A14" s="9"/>
      <c r="B14" s="23" t="s">
        <v>52</v>
      </c>
      <c r="C14" s="24"/>
      <c r="D14" s="24"/>
      <c r="E14" s="8"/>
      <c r="F14" s="12"/>
      <c r="G14" s="16"/>
      <c r="H14" s="17"/>
      <c r="I14" s="36"/>
      <c r="J14" s="37"/>
    </row>
    <row r="15" spans="1:10" ht="30" customHeight="1" x14ac:dyDescent="0.25">
      <c r="A15" s="9"/>
      <c r="B15" s="25" t="s">
        <v>33</v>
      </c>
      <c r="C15" s="26"/>
      <c r="D15" s="26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36"/>
      <c r="J15" s="37"/>
    </row>
    <row r="16" spans="1:10" ht="30" customHeight="1" x14ac:dyDescent="0.25">
      <c r="A16" s="9"/>
      <c r="B16" s="25" t="s">
        <v>34</v>
      </c>
      <c r="C16" s="26"/>
      <c r="D16" s="26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36"/>
      <c r="J16" s="37"/>
    </row>
    <row r="17" spans="1:10" ht="30" customHeight="1" x14ac:dyDescent="0.25">
      <c r="A17" s="9"/>
      <c r="B17" s="25" t="s">
        <v>35</v>
      </c>
      <c r="C17" s="26"/>
      <c r="D17" s="26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36"/>
      <c r="J17" s="37"/>
    </row>
    <row r="18" spans="1:10" ht="30" customHeight="1" x14ac:dyDescent="0.25">
      <c r="A18" s="9"/>
      <c r="B18" s="25" t="s">
        <v>36</v>
      </c>
      <c r="C18" s="26"/>
      <c r="D18" s="26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36"/>
      <c r="J18" s="37"/>
    </row>
    <row r="19" spans="1:10" ht="30" customHeight="1" x14ac:dyDescent="0.25">
      <c r="A19" s="9"/>
      <c r="B19" s="25" t="s">
        <v>37</v>
      </c>
      <c r="C19" s="26"/>
      <c r="D19" s="26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36"/>
      <c r="J19" s="37"/>
    </row>
    <row r="20" spans="1:10" ht="30" customHeight="1" x14ac:dyDescent="0.25">
      <c r="A20" s="9"/>
      <c r="B20" s="25" t="s">
        <v>38</v>
      </c>
      <c r="C20" s="26"/>
      <c r="D20" s="26"/>
      <c r="E20" s="8">
        <v>5</v>
      </c>
      <c r="F20" s="12" t="s">
        <v>26</v>
      </c>
      <c r="G20" s="16" t="str">
        <f t="shared" si="0"/>
        <v/>
      </c>
      <c r="H20" s="17" t="str">
        <f t="shared" si="1"/>
        <v/>
      </c>
      <c r="I20" s="36"/>
      <c r="J20" s="37"/>
    </row>
    <row r="21" spans="1:10" ht="30" customHeight="1" x14ac:dyDescent="0.25">
      <c r="A21" s="9"/>
      <c r="B21" s="25" t="s">
        <v>39</v>
      </c>
      <c r="C21" s="26"/>
      <c r="D21" s="26"/>
      <c r="E21" s="8">
        <v>5</v>
      </c>
      <c r="F21" s="12" t="s">
        <v>26</v>
      </c>
      <c r="G21" s="16" t="str">
        <f t="shared" si="0"/>
        <v/>
      </c>
      <c r="H21" s="17" t="str">
        <f t="shared" si="1"/>
        <v/>
      </c>
      <c r="I21" s="36"/>
      <c r="J21" s="37"/>
    </row>
    <row r="22" spans="1:10" ht="30" customHeight="1" x14ac:dyDescent="0.25">
      <c r="A22" s="9"/>
      <c r="B22" s="25" t="s">
        <v>40</v>
      </c>
      <c r="C22" s="26"/>
      <c r="D22" s="26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6"/>
      <c r="J22" s="37"/>
    </row>
    <row r="23" spans="1:10" ht="30" customHeight="1" x14ac:dyDescent="0.25">
      <c r="A23" s="9"/>
      <c r="B23" s="25" t="s">
        <v>41</v>
      </c>
      <c r="C23" s="26"/>
      <c r="D23" s="26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6"/>
      <c r="J23" s="37"/>
    </row>
    <row r="24" spans="1:10" ht="30" customHeight="1" x14ac:dyDescent="0.25">
      <c r="A24" s="9"/>
      <c r="B24" s="25" t="s">
        <v>42</v>
      </c>
      <c r="C24" s="26"/>
      <c r="D24" s="26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6"/>
      <c r="J24" s="37"/>
    </row>
    <row r="25" spans="1:10" ht="39.950000000000003" customHeight="1" thickBot="1" x14ac:dyDescent="0.3">
      <c r="A25" s="9"/>
      <c r="B25" s="21" t="s">
        <v>43</v>
      </c>
      <c r="C25" s="22"/>
      <c r="D25" s="22"/>
      <c r="E25" s="18">
        <v>10</v>
      </c>
      <c r="F25" s="13" t="s">
        <v>26</v>
      </c>
      <c r="G25" s="19" t="str">
        <f t="shared" si="0"/>
        <v/>
      </c>
      <c r="H25" s="20" t="str">
        <f t="shared" si="1"/>
        <v/>
      </c>
      <c r="I25" s="44"/>
      <c r="J25" s="45"/>
    </row>
    <row r="26" spans="1:10" ht="30" customHeight="1" x14ac:dyDescent="0.25">
      <c r="A26" s="9"/>
      <c r="B26" s="29" t="s">
        <v>44</v>
      </c>
      <c r="C26" s="30"/>
      <c r="D26" s="30"/>
      <c r="E26" s="30"/>
      <c r="F26" s="30"/>
      <c r="G26" s="30"/>
      <c r="H26" s="30"/>
      <c r="I26" s="30"/>
      <c r="J26" s="31"/>
    </row>
    <row r="27" spans="1:10" ht="39.950000000000003" customHeight="1" x14ac:dyDescent="0.25">
      <c r="A27" s="9"/>
      <c r="B27" s="23" t="s">
        <v>53</v>
      </c>
      <c r="C27" s="24"/>
      <c r="D27" s="24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36"/>
      <c r="J27" s="37"/>
    </row>
    <row r="28" spans="1:10" ht="30" customHeight="1" x14ac:dyDescent="0.25">
      <c r="A28" s="9"/>
      <c r="B28" s="23" t="s">
        <v>54</v>
      </c>
      <c r="C28" s="24"/>
      <c r="D28" s="24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6"/>
      <c r="J28" s="37"/>
    </row>
    <row r="29" spans="1:10" ht="30" customHeight="1" x14ac:dyDescent="0.25">
      <c r="A29" s="9"/>
      <c r="B29" s="23" t="s">
        <v>55</v>
      </c>
      <c r="C29" s="24"/>
      <c r="D29" s="24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6"/>
      <c r="J29" s="37"/>
    </row>
    <row r="30" spans="1:10" ht="30" customHeight="1" thickBot="1" x14ac:dyDescent="0.3">
      <c r="A30" s="9"/>
      <c r="B30" s="27" t="s">
        <v>56</v>
      </c>
      <c r="C30" s="28"/>
      <c r="D30" s="28"/>
      <c r="E30" s="18">
        <v>5</v>
      </c>
      <c r="F30" s="13" t="s">
        <v>26</v>
      </c>
      <c r="G30" s="19" t="str">
        <f t="shared" si="0"/>
        <v/>
      </c>
      <c r="H30" s="20" t="str">
        <f t="shared" si="1"/>
        <v/>
      </c>
      <c r="I30" s="44"/>
      <c r="J30" s="45"/>
    </row>
    <row r="31" spans="1:10" ht="30" customHeight="1" x14ac:dyDescent="0.25">
      <c r="A31" s="9"/>
      <c r="B31" s="29" t="s">
        <v>45</v>
      </c>
      <c r="C31" s="30"/>
      <c r="D31" s="30"/>
      <c r="E31" s="30"/>
      <c r="F31" s="30"/>
      <c r="G31" s="30"/>
      <c r="H31" s="30"/>
      <c r="I31" s="30"/>
      <c r="J31" s="31"/>
    </row>
    <row r="32" spans="1:10" ht="30" customHeight="1" x14ac:dyDescent="0.25">
      <c r="A32" s="9"/>
      <c r="B32" s="23" t="s">
        <v>57</v>
      </c>
      <c r="C32" s="24"/>
      <c r="D32" s="24"/>
      <c r="E32" s="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36"/>
      <c r="J32" s="37"/>
    </row>
    <row r="33" spans="1:10" ht="30" customHeight="1" x14ac:dyDescent="0.25">
      <c r="A33" s="9"/>
      <c r="B33" s="23" t="s">
        <v>58</v>
      </c>
      <c r="C33" s="24"/>
      <c r="D33" s="24"/>
      <c r="E33" s="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36"/>
      <c r="J33" s="37"/>
    </row>
    <row r="34" spans="1:10" ht="30" customHeight="1" x14ac:dyDescent="0.25">
      <c r="A34" s="9"/>
      <c r="B34" s="25" t="s">
        <v>46</v>
      </c>
      <c r="C34" s="26"/>
      <c r="D34" s="26"/>
      <c r="E34" s="8">
        <v>5</v>
      </c>
      <c r="F34" s="12" t="s">
        <v>26</v>
      </c>
      <c r="G34" s="16" t="str">
        <f t="shared" si="0"/>
        <v/>
      </c>
      <c r="H34" s="17" t="str">
        <f t="shared" si="1"/>
        <v/>
      </c>
      <c r="I34" s="36"/>
      <c r="J34" s="37"/>
    </row>
    <row r="35" spans="1:10" ht="30" customHeight="1" x14ac:dyDescent="0.25">
      <c r="A35" s="9"/>
      <c r="B35" s="25" t="s">
        <v>47</v>
      </c>
      <c r="C35" s="26"/>
      <c r="D35" s="26"/>
      <c r="E35" s="8">
        <v>5</v>
      </c>
      <c r="F35" s="12" t="s">
        <v>26</v>
      </c>
      <c r="G35" s="16" t="str">
        <f t="shared" si="0"/>
        <v/>
      </c>
      <c r="H35" s="17" t="str">
        <f t="shared" si="1"/>
        <v/>
      </c>
      <c r="I35" s="36"/>
      <c r="J35" s="37"/>
    </row>
    <row r="36" spans="1:10" ht="30" customHeight="1" x14ac:dyDescent="0.25">
      <c r="A36" s="9"/>
      <c r="B36" s="25" t="s">
        <v>48</v>
      </c>
      <c r="C36" s="26"/>
      <c r="D36" s="26"/>
      <c r="E36" s="8">
        <v>5</v>
      </c>
      <c r="F36" s="12" t="s">
        <v>26</v>
      </c>
      <c r="G36" s="16" t="str">
        <f t="shared" si="0"/>
        <v/>
      </c>
      <c r="H36" s="17" t="str">
        <f t="shared" si="1"/>
        <v/>
      </c>
      <c r="I36" s="36"/>
      <c r="J36" s="37"/>
    </row>
    <row r="37" spans="1:10" ht="30" customHeight="1" x14ac:dyDescent="0.25">
      <c r="A37" s="9"/>
      <c r="B37" s="25" t="s">
        <v>49</v>
      </c>
      <c r="C37" s="26"/>
      <c r="D37" s="26"/>
      <c r="E37" s="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36"/>
      <c r="J37" s="37"/>
    </row>
    <row r="38" spans="1:10" ht="30" customHeight="1" x14ac:dyDescent="0.25">
      <c r="A38" s="9"/>
      <c r="B38" s="23" t="s">
        <v>59</v>
      </c>
      <c r="C38" s="24"/>
      <c r="D38" s="24"/>
      <c r="E38" s="8">
        <v>5</v>
      </c>
      <c r="F38" s="12" t="s">
        <v>26</v>
      </c>
      <c r="G38" s="16" t="str">
        <f t="shared" si="0"/>
        <v/>
      </c>
      <c r="H38" s="17" t="str">
        <f t="shared" si="1"/>
        <v/>
      </c>
      <c r="I38" s="36"/>
      <c r="J38" s="37"/>
    </row>
    <row r="39" spans="1:10" ht="30" customHeight="1" x14ac:dyDescent="0.25">
      <c r="A39" s="9"/>
      <c r="B39" s="23" t="s">
        <v>60</v>
      </c>
      <c r="C39" s="24"/>
      <c r="D39" s="24"/>
      <c r="E39" s="8">
        <v>5</v>
      </c>
      <c r="F39" s="12" t="s">
        <v>26</v>
      </c>
      <c r="G39" s="16" t="str">
        <f t="shared" si="0"/>
        <v/>
      </c>
      <c r="H39" s="17" t="str">
        <f t="shared" si="1"/>
        <v/>
      </c>
      <c r="I39" s="36"/>
      <c r="J39" s="37"/>
    </row>
    <row r="40" spans="1:10" ht="30" customHeight="1" x14ac:dyDescent="0.25">
      <c r="A40" s="9"/>
      <c r="B40" s="23" t="s">
        <v>61</v>
      </c>
      <c r="C40" s="24"/>
      <c r="D40" s="24"/>
      <c r="E40" s="8">
        <v>5</v>
      </c>
      <c r="F40" s="12" t="s">
        <v>26</v>
      </c>
      <c r="G40" s="16" t="str">
        <f t="shared" si="0"/>
        <v/>
      </c>
      <c r="H40" s="17" t="str">
        <f t="shared" si="1"/>
        <v/>
      </c>
      <c r="I40" s="36"/>
      <c r="J40" s="37"/>
    </row>
    <row r="41" spans="1:10" ht="30" customHeight="1" x14ac:dyDescent="0.25">
      <c r="A41" s="9"/>
      <c r="B41" s="23" t="s">
        <v>62</v>
      </c>
      <c r="C41" s="24"/>
      <c r="D41" s="24"/>
      <c r="E41" s="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36"/>
      <c r="J41" s="37"/>
    </row>
    <row r="42" spans="1:10" ht="30" customHeight="1" x14ac:dyDescent="0.25">
      <c r="A42" s="9"/>
      <c r="B42" s="23" t="s">
        <v>63</v>
      </c>
      <c r="C42" s="24"/>
      <c r="D42" s="24"/>
      <c r="E42" s="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36"/>
      <c r="J42" s="37"/>
    </row>
    <row r="43" spans="1:10" ht="30" customHeight="1" thickBot="1" x14ac:dyDescent="0.3">
      <c r="A43" s="9"/>
      <c r="B43" s="27" t="s">
        <v>64</v>
      </c>
      <c r="C43" s="28"/>
      <c r="D43" s="28"/>
      <c r="E43" s="18">
        <v>5</v>
      </c>
      <c r="F43" s="13" t="s">
        <v>26</v>
      </c>
      <c r="G43" s="19" t="str">
        <f t="shared" si="0"/>
        <v/>
      </c>
      <c r="H43" s="20" t="str">
        <f t="shared" si="1"/>
        <v/>
      </c>
      <c r="I43" s="44"/>
      <c r="J43" s="45"/>
    </row>
    <row r="44" spans="1:10" ht="30" customHeight="1" x14ac:dyDescent="0.25">
      <c r="A44" s="9"/>
      <c r="B44" s="29" t="s">
        <v>50</v>
      </c>
      <c r="C44" s="30"/>
      <c r="D44" s="30"/>
      <c r="E44" s="30"/>
      <c r="F44" s="30"/>
      <c r="G44" s="30"/>
      <c r="H44" s="30"/>
      <c r="I44" s="30"/>
      <c r="J44" s="31"/>
    </row>
    <row r="45" spans="1:10" ht="30" customHeight="1" x14ac:dyDescent="0.25">
      <c r="A45" s="9"/>
      <c r="B45" s="23" t="s">
        <v>67</v>
      </c>
      <c r="C45" s="24"/>
      <c r="D45" s="24"/>
      <c r="E45" s="8">
        <v>5</v>
      </c>
      <c r="F45" s="12" t="s">
        <v>26</v>
      </c>
      <c r="G45" s="16" t="str">
        <f t="shared" si="0"/>
        <v/>
      </c>
      <c r="H45" s="17" t="str">
        <f t="shared" si="1"/>
        <v/>
      </c>
      <c r="I45" s="36"/>
      <c r="J45" s="37"/>
    </row>
    <row r="46" spans="1:10" ht="30" customHeight="1" x14ac:dyDescent="0.25">
      <c r="A46" s="9"/>
      <c r="B46" s="23" t="s">
        <v>65</v>
      </c>
      <c r="C46" s="24"/>
      <c r="D46" s="24"/>
      <c r="E46" s="8">
        <v>5</v>
      </c>
      <c r="F46" s="12" t="s">
        <v>26</v>
      </c>
      <c r="G46" s="16" t="str">
        <f t="shared" si="0"/>
        <v/>
      </c>
      <c r="H46" s="17" t="str">
        <f t="shared" si="1"/>
        <v/>
      </c>
      <c r="I46" s="36"/>
      <c r="J46" s="37"/>
    </row>
    <row r="47" spans="1:10" ht="30" customHeight="1" x14ac:dyDescent="0.25">
      <c r="A47" s="9"/>
      <c r="B47" s="23" t="s">
        <v>66</v>
      </c>
      <c r="C47" s="24"/>
      <c r="D47" s="24"/>
      <c r="E47" s="8">
        <v>5</v>
      </c>
      <c r="F47" s="12" t="s">
        <v>26</v>
      </c>
      <c r="G47" s="16" t="str">
        <f t="shared" si="0"/>
        <v/>
      </c>
      <c r="H47" s="17" t="str">
        <f t="shared" si="1"/>
        <v/>
      </c>
      <c r="I47" s="36"/>
      <c r="J47" s="37"/>
    </row>
    <row r="48" spans="1:10" ht="30" customHeight="1" thickBot="1" x14ac:dyDescent="0.3">
      <c r="A48" s="9"/>
      <c r="B48" s="27" t="s">
        <v>68</v>
      </c>
      <c r="C48" s="28"/>
      <c r="D48" s="28"/>
      <c r="E48" s="18">
        <v>5</v>
      </c>
      <c r="F48" s="13" t="s">
        <v>26</v>
      </c>
      <c r="G48" s="19" t="str">
        <f t="shared" si="0"/>
        <v/>
      </c>
      <c r="H48" s="20" t="str">
        <f t="shared" si="1"/>
        <v/>
      </c>
      <c r="I48" s="44"/>
      <c r="J48" s="45"/>
    </row>
    <row r="49" spans="1:10" ht="30" customHeight="1" thickBot="1" x14ac:dyDescent="0.3">
      <c r="A49" s="3"/>
      <c r="B49" s="32" t="s">
        <v>5</v>
      </c>
      <c r="C49" s="33"/>
      <c r="D49" s="33"/>
      <c r="E49" s="15">
        <f>SUM(E8:E48)</f>
        <v>180</v>
      </c>
      <c r="F49" s="15">
        <f>SUM(F8:F48)</f>
        <v>0</v>
      </c>
      <c r="G49" s="50"/>
      <c r="H49" s="51"/>
      <c r="I49" s="51"/>
      <c r="J49" s="52"/>
    </row>
    <row r="50" spans="1:10" ht="30" customHeight="1" thickBot="1" x14ac:dyDescent="0.3">
      <c r="A50" s="3"/>
      <c r="B50" s="34" t="s">
        <v>20</v>
      </c>
      <c r="C50" s="35"/>
      <c r="D50" s="35"/>
      <c r="E50" s="46">
        <f>F49/E49/100*100</f>
        <v>0</v>
      </c>
      <c r="F50" s="46"/>
      <c r="G50" s="46"/>
      <c r="H50" s="46"/>
      <c r="I50" s="46"/>
      <c r="J50" s="47"/>
    </row>
    <row r="51" spans="1:10" ht="30" customHeight="1" thickBot="1" x14ac:dyDescent="0.3">
      <c r="A51" s="3"/>
      <c r="B51" s="34" t="s">
        <v>21</v>
      </c>
      <c r="C51" s="35"/>
      <c r="D51" s="35"/>
      <c r="E51" s="42" t="str">
        <f>_xlfn.IFS(E50&gt;=90%,"ممتاز",E50&gt;=80%,"جيد جداً",E50&gt;=70%,"جيد",E50&gt;=60%,"مقبول",E50&lt;60%,"راسب")</f>
        <v>راسب</v>
      </c>
      <c r="F51" s="42"/>
      <c r="G51" s="42"/>
      <c r="H51" s="42"/>
      <c r="I51" s="42"/>
      <c r="J51" s="43"/>
    </row>
    <row r="52" spans="1:10" ht="42" customHeight="1" x14ac:dyDescent="0.25">
      <c r="B52" s="38" t="s">
        <v>27</v>
      </c>
      <c r="C52" s="38"/>
      <c r="D52" s="38"/>
      <c r="E52" s="48" t="s">
        <v>18</v>
      </c>
      <c r="F52" s="48"/>
      <c r="G52" s="40" t="s">
        <v>24</v>
      </c>
      <c r="H52" s="40"/>
      <c r="I52" s="40"/>
      <c r="J52" s="40"/>
    </row>
    <row r="53" spans="1:10" ht="51" customHeight="1" x14ac:dyDescent="0.25">
      <c r="A53" s="4"/>
      <c r="B53" s="39"/>
      <c r="C53" s="39"/>
      <c r="D53" s="39"/>
      <c r="E53" s="49" t="s">
        <v>19</v>
      </c>
      <c r="F53" s="49"/>
      <c r="G53" s="41"/>
      <c r="H53" s="41"/>
      <c r="I53" s="41"/>
      <c r="J53" s="4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9">
    <mergeCell ref="B7:D7"/>
    <mergeCell ref="I38:J38"/>
    <mergeCell ref="I39:J39"/>
    <mergeCell ref="I30:J30"/>
    <mergeCell ref="B11:D11"/>
    <mergeCell ref="B12:D12"/>
    <mergeCell ref="B13:D13"/>
    <mergeCell ref="B14:D14"/>
    <mergeCell ref="B15:D15"/>
    <mergeCell ref="B26:J26"/>
    <mergeCell ref="B8:J8"/>
    <mergeCell ref="B36:D36"/>
    <mergeCell ref="B17:D17"/>
    <mergeCell ref="B18:D18"/>
    <mergeCell ref="B19:D19"/>
    <mergeCell ref="I23:J23"/>
    <mergeCell ref="I24:J24"/>
    <mergeCell ref="I25:J25"/>
    <mergeCell ref="I36:J36"/>
    <mergeCell ref="I33:J33"/>
    <mergeCell ref="I34:J34"/>
    <mergeCell ref="I35:J35"/>
    <mergeCell ref="I7:J7"/>
    <mergeCell ref="I10:J10"/>
    <mergeCell ref="I19:J19"/>
    <mergeCell ref="I20:J20"/>
    <mergeCell ref="I21:J21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52:D53"/>
    <mergeCell ref="G52:J52"/>
    <mergeCell ref="G53:J53"/>
    <mergeCell ref="E51:J51"/>
    <mergeCell ref="I40:J40"/>
    <mergeCell ref="I41:J41"/>
    <mergeCell ref="I42:J42"/>
    <mergeCell ref="I43:J43"/>
    <mergeCell ref="E50:J50"/>
    <mergeCell ref="I45:J45"/>
    <mergeCell ref="I46:J46"/>
    <mergeCell ref="I47:J47"/>
    <mergeCell ref="I48:J48"/>
    <mergeCell ref="E52:F52"/>
    <mergeCell ref="E53:F53"/>
    <mergeCell ref="G49:J49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6:D16"/>
    <mergeCell ref="I32:J32"/>
    <mergeCell ref="I37:J37"/>
    <mergeCell ref="I22:J22"/>
    <mergeCell ref="B49:D49"/>
    <mergeCell ref="B50:D50"/>
    <mergeCell ref="B34:D34"/>
    <mergeCell ref="B37:D37"/>
    <mergeCell ref="B38:D38"/>
    <mergeCell ref="B39:D39"/>
    <mergeCell ref="B40:D40"/>
    <mergeCell ref="B47:D47"/>
    <mergeCell ref="B48:D48"/>
    <mergeCell ref="B44:J44"/>
    <mergeCell ref="B32:D32"/>
    <mergeCell ref="B33:D33"/>
    <mergeCell ref="B41:D41"/>
    <mergeCell ref="B31:J31"/>
    <mergeCell ref="B35:D35"/>
    <mergeCell ref="B25:D25"/>
    <mergeCell ref="B9:D9"/>
    <mergeCell ref="B10:D10"/>
    <mergeCell ref="B45:D45"/>
    <mergeCell ref="B46:D46"/>
    <mergeCell ref="B20:D20"/>
    <mergeCell ref="B21:D21"/>
    <mergeCell ref="B22:D22"/>
    <mergeCell ref="B23:D23"/>
    <mergeCell ref="B24:D24"/>
    <mergeCell ref="B42:D42"/>
    <mergeCell ref="B43:D43"/>
    <mergeCell ref="B27:D27"/>
    <mergeCell ref="B28:D28"/>
    <mergeCell ref="B29:D29"/>
    <mergeCell ref="B30:D30"/>
  </mergeCells>
  <conditionalFormatting sqref="E51">
    <cfRule type="expression" dxfId="23" priority="57">
      <formula>$E51="راسب"</formula>
    </cfRule>
  </conditionalFormatting>
  <conditionalFormatting sqref="E51:J51">
    <cfRule type="expression" dxfId="22" priority="58">
      <formula>$E51="مقبول"</formula>
    </cfRule>
    <cfRule type="expression" dxfId="21" priority="59">
      <formula>$E51="جيد"</formula>
    </cfRule>
    <cfRule type="expression" dxfId="20" priority="60">
      <formula>$E51="جيد جداً"</formula>
    </cfRule>
    <cfRule type="expression" dxfId="19" priority="61">
      <formula>$E51="ممتاز"</formula>
    </cfRule>
  </conditionalFormatting>
  <conditionalFormatting sqref="H10:H25 H45:H48 H32:H43 H27:H30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25 H45:H48 H32:H43 H27:H30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8" priority="15" operator="containsText" text="أدخل اسم المحكم">
      <formula>NOT(ISERROR(SEARCH("أدخل اسم المحكم",G52)))</formula>
    </cfRule>
  </conditionalFormatting>
  <conditionalFormatting sqref="F10:F25 F45:F48 F32:F43 F27:F30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F15:F24 F45:F48 F32:F43 F27:F30 F10:F13</xm:sqref>
        </x14:dataValidation>
        <x14:dataValidation type="list" allowBlank="1" showInputMessage="1" showErrorMessage="1">
          <x14:formula1>
            <xm:f>#REF!</xm:f>
          </x14:formula1>
          <xm:sqref>G52:J52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  <x14:dataValidation type="list" allowBlank="1" showInputMessage="1" showErrorMessage="1">
          <x14:formula1>
            <xm:f>#REF!</xm:f>
          </x14:formula1>
          <xm:sqref>F25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2026-08-30T05:00:21Z</dcterms:modified>
</cp:coreProperties>
</file>