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FB94923C-C1F5-47D5-B87A-8A4BA8B1E5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 s="1"/>
  <c r="G10" i="2"/>
  <c r="H10" i="2" s="1"/>
  <c r="G11" i="2"/>
  <c r="H11" i="2"/>
  <c r="G12" i="2"/>
  <c r="H12" i="2" s="1"/>
  <c r="G13" i="2"/>
  <c r="H13" i="2" s="1"/>
  <c r="G14" i="2"/>
  <c r="H14" i="2" s="1"/>
  <c r="G15" i="2"/>
  <c r="H15" i="2"/>
  <c r="G16" i="2"/>
  <c r="H16" i="2" s="1"/>
  <c r="G17" i="2"/>
  <c r="H17" i="2"/>
  <c r="G18" i="2"/>
  <c r="H18" i="2" s="1"/>
  <c r="G19" i="2"/>
  <c r="H19" i="2" s="1"/>
  <c r="G20" i="2"/>
  <c r="H20" i="2"/>
  <c r="G8" i="2"/>
  <c r="H8" i="2"/>
  <c r="F21" i="2"/>
  <c r="E22" i="2" s="1"/>
  <c r="E23" i="2" s="1"/>
  <c r="E21" i="2"/>
</calcChain>
</file>

<file path=xl/sharedStrings.xml><?xml version="1.0" encoding="utf-8"?>
<sst xmlns="http://schemas.openxmlformats.org/spreadsheetml/2006/main" count="250" uniqueCount="195">
  <si>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</si>
  <si>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</si>
  <si>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</si>
  <si>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</si>
  <si>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</si>
  <si>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</si>
  <si>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</si>
  <si>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</si>
  <si>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</si>
  <si>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</si>
  <si>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</si>
  <si>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</si>
  <si>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</si>
  <si>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</si>
  <si>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</si>
  <si>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</si>
  <si>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</si>
  <si>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</si>
  <si>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</si>
  <si>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</si>
  <si>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</si>
  <si>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</si>
  <si>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</si>
  <si>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</si>
  <si>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</si>
  <si>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</si>
  <si>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</si>
  <si>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</si>
  <si>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</si>
  <si>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</si>
  <si>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</si>
  <si>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</si>
  <si>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</si>
  <si>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</si>
  <si>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</si>
  <si>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</si>
  <si>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</si>
  <si>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</si>
  <si>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</si>
  <si>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</si>
  <si>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</si>
  <si>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</si>
  <si>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</si>
  <si>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</si>
  <si>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</si>
  <si>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</si>
  <si>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</si>
  <si>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</si>
  <si>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</si>
  <si>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</si>
  <si>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</si>
  <si>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</si>
  <si>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</si>
  <si>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</si>
  <si>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</si>
  <si>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</si>
  <si>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</si>
  <si>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</si>
  <si>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</si>
  <si>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</si>
  <si>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</si>
  <si>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</si>
  <si>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</si>
  <si>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</si>
  <si>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</si>
  <si>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</si>
  <si>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</si>
  <si>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</si>
  <si>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</si>
  <si>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</si>
  <si>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</si>
  <si>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</si>
  <si>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</si>
  <si>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</si>
  <si>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</si>
  <si>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</si>
  <si>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</si>
  <si>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</si>
  <si>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</si>
  <si>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</si>
  <si>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</si>
  <si>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</si>
  <si>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</si>
  <si>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</si>
  <si>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</si>
  <si>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</si>
  <si>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</si>
  <si>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</si>
  <si>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</si>
  <si>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</si>
  <si>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</si>
  <si>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</si>
  <si>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</si>
  <si>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</si>
  <si>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</si>
  <si>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</si>
  <si>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</si>
  <si>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</si>
  <si>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</si>
  <si>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</si>
  <si>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</si>
  <si>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</si>
  <si>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</si>
  <si>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</si>
  <si>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</si>
  <si>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</si>
  <si>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</si>
  <si>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</si>
  <si>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</si>
  <si>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</si>
  <si>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</si>
  <si>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</si>
  <si>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</si>
  <si>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</si>
  <si>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</si>
  <si>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</si>
  <si>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</si>
  <si>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</si>
  <si>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</si>
  <si>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</si>
  <si>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</si>
  <si>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</si>
  <si>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</si>
  <si>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</si>
  <si>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</si>
  <si>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</si>
  <si>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</si>
  <si>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</si>
  <si>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</si>
  <si>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</si>
  <si>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</si>
  <si>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</si>
  <si>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</si>
  <si>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</si>
  <si>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</si>
  <si>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</si>
  <si>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</si>
  <si>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</si>
  <si>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</si>
  <si>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</si>
  <si>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</si>
  <si>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</si>
  <si>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</si>
  <si>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</si>
  <si>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</si>
  <si>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</si>
  <si>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</si>
  <si>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</si>
  <si>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</si>
  <si>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</si>
  <si>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</si>
  <si>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</si>
  <si>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</si>
  <si>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</si>
  <si>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</si>
  <si>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</si>
  <si>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</si>
  <si>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</si>
  <si>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</si>
  <si>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</si>
  <si>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</si>
  <si>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</si>
  <si>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</si>
  <si>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</si>
  <si>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</si>
  <si>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</si>
  <si>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</si>
  <si>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</si>
  <si>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</si>
  <si>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</si>
  <si>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</si>
  <si>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</si>
  <si>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</si>
  <si>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</si>
  <si>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</si>
  <si>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</si>
  <si>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</si>
  <si>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</si>
  <si>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الوحــــــــــــــــــدة: </t>
  </si>
  <si>
    <t xml:space="preserve">اسم ضابط الصف: </t>
  </si>
  <si>
    <r>
      <rPr>
        <b/>
        <sz val="14"/>
        <color rgb="FF000000"/>
        <rFont val="Arial"/>
        <family val="2"/>
      </rPr>
      <t>تقييم وكيل السرية في إعادة التزويد القتالي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</si>
  <si>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تنظيم عناصر إعادة التزويد لتوفير الاسناد المباشر في الميدان.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</si>
  <si>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تأسيس الاتصال مع وحدات الإمداد.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</si>
  <si>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تنسيق الاسناد الاداري وإسناد الامداد.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</si>
  <si>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الاشراف على توضيع اقسام عناصر إعادة التزويد المختلفة. 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</si>
  <si>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الاشراف على حركة الامداد من حيث ملاءمتها لخطة التنقل للوحدات المقاتلة أثناء العمليات الدفاعية. 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</si>
  <si>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استخدام اجراءات قياسية موحدة لإعادة التسليح وإعادة التزود بالوقود وتجهيز الوحدات المقاتلة بالسرعة الممكنة لإدامة العمليات القتالية.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</si>
  <si>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قيام المرؤوسين بالإشراف على التزويد والوضع العام لصيانة وحداتهم وتمرير التقارير وحسب الأوامر المستدامة للعمليات.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</si>
  <si>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قيام المرؤوسين بتمرير التقارير عن الوضع العام للأفراد والقوى البشرية وطلب البدلاء وحسب الأوامر المستدامة للعمليات.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</si>
  <si>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توحيد وتجميع تقارير المرؤوسين.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</si>
  <si>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 xml:space="preserve">الحركة إلى نقطة إعادة التزويد للاتصال بعنصر التزويد. 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</si>
  <si>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تحديد أسلوب إعادة التزويد.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</si>
  <si>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توجيه  حركة عناصر إعادة التزويد أثناء العمليات.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</si>
  <si>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رفع التقارير الموحدة إلى نائب القائد.</t>
    </r>
  </si>
  <si>
    <t>وكيل/ عيسى راشد ثاني الشميلي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</si>
</sst>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297243</xdr:colOff>
      <xdr:row>24</xdr:row>
      <xdr:rowOff>199788</xdr:rowOff>
    </xdr:from>
    <xdr:to>
      <xdr:col>7</xdr:col>
      <xdr:colOff>200751</xdr:colOff>
      <xdr:row>24</xdr:row>
      <xdr:rowOff>460788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4DF626B-9965-55BD-F6EC-31654D2E7F6B}"/>
                </a:ext>
              </a:extLst>
            </xdr14:cNvPr>
            <xdr14:cNvContentPartPr/>
          </xdr14:nvContentPartPr>
          <xdr14:nvPr macro=""/>
          <xdr14:xfrm>
            <a:off x="10399702249" y="11144880"/>
            <a:ext cx="561600" cy="2610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4DF626B-9965-55BD-F6EC-31654D2E7F6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696129" y="11138760"/>
              <a:ext cx="573840" cy="27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557883</xdr:colOff>
      <xdr:row>24</xdr:row>
      <xdr:rowOff>12948</xdr:rowOff>
    </xdr:from>
    <xdr:to>
      <xdr:col>9</xdr:col>
      <xdr:colOff>547049</xdr:colOff>
      <xdr:row>24</xdr:row>
      <xdr:rowOff>502548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5E213A4-BC1C-4A90-6FC4-878658D10987}"/>
                </a:ext>
              </a:extLst>
            </xdr14:cNvPr>
            <xdr14:cNvContentPartPr/>
          </xdr14:nvContentPartPr>
          <xdr14:nvPr macro=""/>
          <xdr14:xfrm>
            <a:off x="10398039769" y="10958040"/>
            <a:ext cx="1963440" cy="4896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5E213A4-BC1C-4A90-6FC4-878658D1098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033649" y="10951920"/>
              <a:ext cx="1975680" cy="501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5T08:12:52.7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1443 247 8,'0'0'0,"0"0"8,5 0 24,11 4 16,-16-4-48,2 4 80,1 1 32,9-3 80,-12-2 288,0 0-480,4 0 816,-1-1 248,-1-3 128,-2-1-447,0 5-745,0-1 400,0 0-160,0-1-112,0 1-120,0 1-8,0 0-56,0 0 8,0 0-16,0 0 0,0 0 296,0 0-480,-5 0 232,1 0 32,1 0 8,3 0-24,-5 0 40,-2 0 24,5 0 16,-9 0 48,11 0-128,-5 0 112,-7 0 8,8 0-16,-13 0-32,17 0-72,-16 0 72,0 0-24,-5 0-16,5-2 0,16 2-32,-19-3 48,-2-1-24,8 0-8,-4 0-8,17 4-8,-16-6 8,2-5 8,0 6 8,-3 0 0,17 5-24,-11-13 64,-1 7 8,8-7 48,-7 8 16,11 5-136,-5-14 96,0 9 16,3-9 8,-1 10 32,3 4-152,-2-14 112,2 1 0,0 1-32,2 0 32,-2 12-112,3-12 136,9 1-8,-9-1-16,9 7-24,-12 5-88,3-13 152,2 9-16,6-1-40,-4 0-40,-7 5-56,9-4 16,-4 1-16,9 1 40,-12 1-16,-2 1-24,15 0-8,-12 0-8,12 0-24,-6 0 16,-9 0 24,11 3-48,-8 1 8,14 0-8,-9 0-8,-8-4 56,8 12-32,4-9 0,-10 1 24,9 9-32,-11-13 40,12 4-16,-7 9-16,8-9-32,-8 12 56,-5-16 8,14 12-64,-12 1 32,10-1 24,-7 0-32,-5-12 40,8 13-24,-3 1-16,-2 2-48,9 1 32,-12-17 56,4 17-24,0 2 8,8-1 40,-9 1-16,-3-19-8,7 18 0,4 2 0,-11 0-32,2-2-40,-2-18 72,5 19-80,-5-2-16,0-2 40,0-1 48,0-14 8,0 15-48,-2 0 32,-1-2 0,-8 0 32,11-13-16,-12 11 64,7-7 8,-13 14-16,4-14 40,14-4-96,-16 15 112,-2-10 32,-6 7 32,-4-7-48,28-5-128,-28 11 160,-2-8-24,-2 1-8,-1 8 0,33-12-128,-37 0 112,-3 4-32,-1 0 48,-2 0-48,43-4-80,-46 12 56,0-12-24,-6 4-48,-1 0 40,53-4-24,-53 3-32,-1 1 32,-1 8-8,4-9-72,51-3 80,-54 11-56,5-7-144,-2 10-96,5-9 0,46-5 296,-47 13-344,5-9-32,0 10-176,6-10-464,36-4 1016,-40 16-1865,7-12 209,0 10 464,-1-14 480,34 0 712,-32 0-248,-1 0 104,0-12 32,1-1 40,32 13 72,-24-16-24,24 16 24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5T08:12:55.6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4241 672 24,'0'0'0,"0"0"72,0 3 360,-2-3 648,2 0-1080,-2 0 1936,2-2 737,0 0-993,0 0-864,0 2-816,0 0 208,4 0-240,-4 0-104,3 0-88,-3 0 224,4 0-304,8 0-136,-8 3-112,15-3 96,-19 0 456,12 0-384,2 0 184,0 0 208,-2-4 24,-12 4-32,11-12 16,1 7 80,2-8 48,-3 7 32,-11 6-176,12-16 208,0 5 8,-1-2-48,1 1 32,-12 12-200,15-16 264,-2 0-96,-1 1 64,-1-1-88,-11 16-144,12-17 88,-7 0-24,11-3-8,-4 1 16,-12 19-72,14-21 64,0 1 16,0 0-72,-3-1 0,-11 21-8,12-18 0,0-2 32,-1 0 16,1 1-24,-12 19-24,12-18 24,2-1 32,-2 2-8,0 0 40,-12 17-88,4-17 160,12-1-24,-13 1 57,10-2-9,-13 19-184,5-17 160,9 1 8,-14 2 24,5 0 16,-5 14-208,5-14 232,-3 1 8,2 2-40,1-1 16,-5 12-216,3-4 216,-3-7-104,0 9-16,2 1-24,-2 1-72,0-2 8,0 2-112,0 0-80,0 0 184,0 0-128,-2 3-8,2 0 56,-3 1 16,3-4 64,-5 13-144,1-10 128,4 10 16,-4-9 16,4-4-16,-3 16 24,1-5-56,-1 0 32,-1 1 16,4-12-16,-5 13-8,2-1 72,-1 1-72,0 3 0,4-16 8,-3 14 8,-1 0 0,-1-1-16,2 1 0,3-14 8,-4 13-8,-1 1 8,0 2 24,3-2-24,2-14 0,-2 16-8,2 1-8,-2 0 0,-1 1-8,3-18 24,0 19 8,0 1 32,0 1-40,0 3 8,0-24-8,0 24-16,0 0-16,3 2 0,-3 0 32,0-26 0,0 27-16,-3 0-8,3-2 16,0 2-48,0-27 56,-2 26-24,0 2-16,-6 1 40,8-1 32,0-28-32,-5 29 24,1-1-16,1 0-8,-8 1 32,11-29-32,-5 28 0,-9-1-16,9-1 16,-11-2-40,16-24 40,-7 26-24,-6-2-8,1 1 40,0 0-8,12-25 0,-11 22 48,3 1-8,-6-3 0,3-2-8,11-18-32,-10 19 0,-4-1 0,3-2 8,-1 0-16,12-16 8,-12 15-16,-6 0 16,1-1 16,-2-3 24,19-11-40,-16 13 64,2-2-40,-5-6 0,6 10-16,13-15-8,-20 4 32,7 8 16,-2-9-48,7 1 24,8-4-24,-5 11 0,-7-11 0,7 5 64,0-3-64,5-2 0,-2 3-8,0 0 0,0-3-56,-3 3 48,5-3 16,0 0 16,0 0 0,-2 0 40,0 0 24,2 0-80,-5 0 112,2 0-32,-9 0 8,8 0-40,4 0-48,-9-1 8,2-2 8,-8-2 0,9 0-16,6 5 0,-17-12 32,15 10 32,-9-4-24,6-7 56,5 13-96,-5-4 144,3-9-56,-1 7 64,-2-5 32,5 11-184,0-6 152,0-7 40,0 9-8,0-9-16,0 13-168,0-5 56,5-8-40,-2 7-16,-1-8-32,-2 14 32,5-4 16,1-9-8,-6 9-56,5-9 24,-5 13 24,5-3-8,-3-3 16,3 1 0,0-1-48,-5 6 40,2-6 0,3 2 32,-1 0 0,-2-1-24,-2 5-8,3-4 24,1 1-80,-4 2 48,3 0 56,-3 1-48,0-2-56,0 2-104,0 0 16,0 0-64,0 0 208,0 0-200,0 0 80,-3 4-24,3 1-16,0-5 160,-4 4-72,1 7 48,1-8-16,-4 9-56,6-12 96,-10 2-48,5 10-16,-7-9-24,6 8 40,6-11 48,-15 4-56,6 0 0,5 8-8,-15-12 88,19 0-24,-12 4-48,1-1-32,6 0 88,-9 0-8,14-3 0,-5 0 16,-6 0 64,6 0 0,2 0-24,3 0-56,-7-2 136,7-1-8,-2-1-8,2-7-8,0 11-112,0-6 112,2-8-64,15 8-120,-1-9 72,-16 15 0,22-6-168,1-10 80,7 5 32,0-1-32,-30 12 88,28-11-24,2 0 0,-1-2 16,1 0-24,-30 13 32,28-13 24,0 8-8,-5-10-40,1 11 8,-24 4 16,18-6 40,-2-5-48,-1 10 24,-13-2 96,-2 3-112,5-3-80,-3 2 16,-2-1 16,-4 2-24,4 0 72,-15 0-48,-3 0 32,-8 3 16,-9 1-40,35-4 40,-40 3 48,-4 0 64,-5 0-64,-7 0 0,56-3-48,-61 4 72,-7 0 32,-2 8 72,-1-10-16,71-2-160,-80 5 216,-5 6-32,-3-7 0,-5 10 24,93-14-208,-98 5 192,-13 9-120,1-10 0,-1 10-32,111-14-40,-117 5 24,5 10 16,-7-10-40,-3 10-32,122-15 32,-121 5-16,-3 12-8,3-13 16,1 11 0,120-15 8,-118 5-32,1 9-8,0-10 16,-2 8-24,119-12 48,-117 2-40,3 3-40,4-2-64,10-1 80,100-2 64,-98 0-88,55 0 72,-10-1 24,1-2-16,52 3 8,-53-4 40,6-2-56,-7-7 32,12 9-32,42 4 16,-45-14-24,13 3 40,6-1-72,15-2-64,11 14 120,-2-14-192,4-2-24,21 0 72,8-2 48,-31 18 96,53-20-64,55-15-8,15 5-16,-1 5 80,-122 25 8,101-17 0,15 0 32,1 0 32,19 2 8,-136 15-72,144-16 96,6 3 40,8-1-24,13-2-24,-171 16-88,175-12 32,12 0 8,1 8-8,9-7-24,-197 11-8,200-2 88,1 1-88,0-1 8,-6 2-48,-195 0 40,193 3-8,-9 1-40,-3 1-80,-11 8 40,-170-13 88,154 2-168,-21 3 88,-13-3 64,-19 1 24,-101-3-8,90 0 96,-20 0 24,-19 0 16,-14 0-24,-37 0-112,24 0 96,-15 0-120,-9 0 16,-2 0-24,-21 3 32,23-3 0,-35 3 72,-13 0-32,-19-3 8,-14 0-16,81 0-32,-90-3 32,-14 0 56,-6-1-32,-10 0 0,120 4-56,-128-5 40,-12 1-16,-2 3 0,-13-1-8,155 2-16,-158 0 16,-8 0-48,-12 3 32,-6 1-8,184-4 8,-186 15 16,-7-11-24,2 16-24,-3-6-24,194-14 56,-191 16-32,-2 1-8,8 1 8,3 2 0,182-20 32,-178 21-104,3 2 16,2-2-8,92-9 72,81-12 24,-101 13-24,5-1 24,-11 3-8,2-3-88,105-12 96,-117 16-120,12-2 0,-15 0-40,13 1 16,107-15 144,-96 12-136,10 0-16,51-12 200,0 4 8,35-4-56,-30 4 240,2-1 40,-12 1-320,10-1 0,30-3 40,-3 0-176,6 0-16,34-4 192,12-7 64,-49 11-64,65-6 56,22-11 80,13 1 0,12 1-88,-112 15-48,147-20-40,108-17-112,-7 3-184,-24 2-80,-224 32 416,170-22-464,13 0-32,-4 2 136,-8 2 168,-171 18 192,175-17-120,-17 1 88,-6-1 136,-12 2 40,-140 15-144,126-16 264,-21 2 48,-7 8-32,-16-5-96,-82 11-184,75-3 144,-12 0-80,-7 2-24,-14 1 8,-42 0-48,31 0 0,-11 0 8,-17 0-40,-1 0-24,-2 0 56,0 0 56,-11 2 40,-15 1 88,-12 1-8,38-4-176,-60 3 160,-13-3-16,-11 3-8,-11-3 48,95 0-184,-101 0 136,-11-1-8,-4-2-72,-6-1 72,122 4-128,-129-5 56,3 0-24,-4-7 8,4 9-56,126 3 16,-127-4-16,3-1-24,3-7 56,-1 9-48,122 3 32,-116-5-8,6-7 16,7 8-8,15-7-32,88 11 32,-42-2 48,-5-2 32,10 0-8,-8-2-40,45 6-32,-30-6 48,0 1-24,7-7-160,6 8-56,17 4 192,-3-14-248,8 2-8,45-8 8,20 2 152,-70 18 96,88-14-224,-2 8 16,7-8 32,6 8-80,-99 6 256,102-15-224,8 3-32,-2-2-8,-3-2 56,-105 16 208,101-15-152,-3-4 32,-3 1 32,-4-2 16,-91 20 72,93-20-121,-1-4-7,-6-2 32,0-1 32,-86 27 64,78-30-40,-8 0 104,-7-1 16,-9 0 40,-54 31-120,46-31 209,-11-2 63,-12 0 88,-6 5 8,-17 28-368,5-26 376,-3 5-104,3 4-48,-7 1-8,2 16-216,-12-11 96,-3-1-16,-8 10-112,0-3-32,23 5 64,-30-1-48,-3 4 0,0 12 24,1 5 24,32-20 0,-38 27-56,6 9 0,1 5-8,3 5-16,28-46 80,-21 48-40,7 3-16,2 2-40,5 4-40,7-57 136,-5 62-184,5 4-160,0 2-208,15 3-529,-15-71 1081,20 72-2720,4 4 215,11 0 657,2 3 792,-37-79 1056,40 74-280,-5-3 152,-2-6 40,-3-10 16,-30-55 72,25 52-48,-5-11 24,-20-41 24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5"/>
  <sheetViews>
    <sheetView rightToLeft="1" tabSelected="1" view="pageBreakPreview" topLeftCell="B1" zoomScale="130" zoomScaleNormal="100" zoomScaleSheetLayoutView="130" workbookViewId="0">
      <selection activeCell="F19" sqref="F19"/>
    </sheetView>
  </sheetViews>
  <sheetFormatPr defaultColWidth="9" defaultRowHeight="14.4" x14ac:dyDescent="0.3"/>
  <cols>
    <col min="1" max="1" width="5.109375" style="1" customWidth="1"/>
    <col min="2" max="2" width="16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9" t="s">
        <v>180</v>
      </c>
      <c r="C1" s="59"/>
      <c r="D1" s="59"/>
      <c r="E1" s="59"/>
      <c r="F1" s="59"/>
      <c r="G1" s="59"/>
      <c r="H1" s="59"/>
      <c r="I1" s="59"/>
      <c r="J1" s="59"/>
    </row>
    <row r="2" spans="1:10" ht="30" customHeight="1" x14ac:dyDescent="0.3">
      <c r="B2" s="12" t="s">
        <v>178</v>
      </c>
      <c r="C2" s="65" t="s">
        <v>40</v>
      </c>
      <c r="D2" s="65"/>
      <c r="E2" s="12" t="s">
        <v>7</v>
      </c>
      <c r="F2" s="60">
        <v>45945</v>
      </c>
      <c r="G2" s="60"/>
      <c r="H2" s="60"/>
      <c r="I2" s="60"/>
      <c r="J2" s="60"/>
    </row>
    <row r="3" spans="1:10" ht="30" customHeight="1" x14ac:dyDescent="0.3">
      <c r="B3" s="12" t="s">
        <v>179</v>
      </c>
      <c r="C3" s="65" t="s">
        <v>194</v>
      </c>
      <c r="D3" s="65"/>
      <c r="E3" s="12" t="s">
        <v>6</v>
      </c>
      <c r="F3" s="65" t="s">
        <v>160</v>
      </c>
      <c r="G3" s="65"/>
      <c r="H3" s="65"/>
      <c r="I3" s="65"/>
      <c r="J3" s="6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1" t="s">
        <v>0</v>
      </c>
      <c r="C5" s="62"/>
      <c r="D5" s="62"/>
      <c r="E5" s="49" t="s">
        <v>1</v>
      </c>
      <c r="F5" s="49"/>
      <c r="G5" s="49"/>
      <c r="H5" s="49"/>
      <c r="I5" s="49" t="s">
        <v>2</v>
      </c>
      <c r="J5" s="50"/>
    </row>
    <row r="6" spans="1:10" ht="24.9" customHeight="1" thickBot="1" x14ac:dyDescent="0.35">
      <c r="A6" s="10"/>
      <c r="B6" s="63"/>
      <c r="C6" s="64"/>
      <c r="D6" s="64"/>
      <c r="E6" s="11" t="s">
        <v>3</v>
      </c>
      <c r="F6" s="11" t="s">
        <v>4</v>
      </c>
      <c r="G6" s="11" t="s">
        <v>21</v>
      </c>
      <c r="H6" s="11" t="s">
        <v>22</v>
      </c>
      <c r="I6" s="51"/>
      <c r="J6" s="52"/>
    </row>
    <row r="7" spans="1:10" ht="24.9" customHeight="1" thickBot="1" x14ac:dyDescent="0.35">
      <c r="A7" s="10"/>
      <c r="B7" s="47" t="s">
        <v>19</v>
      </c>
      <c r="C7" s="48"/>
      <c r="D7" s="48"/>
      <c r="E7" s="28" t="s">
        <v>16</v>
      </c>
      <c r="F7" s="28" t="s">
        <v>17</v>
      </c>
      <c r="G7" s="28" t="s">
        <v>20</v>
      </c>
      <c r="H7" s="28" t="s">
        <v>18</v>
      </c>
      <c r="I7" s="53" t="s">
        <v>23</v>
      </c>
      <c r="J7" s="54"/>
    </row>
    <row r="8" spans="1:10" ht="39.9" customHeight="1" x14ac:dyDescent="0.3">
      <c r="A8" s="10"/>
      <c r="B8" s="57" t="s">
        <v>181</v>
      </c>
      <c r="C8" s="58"/>
      <c r="D8" s="58"/>
      <c r="E8" s="32">
        <v>5</v>
      </c>
      <c r="F8" s="33">
        <v>4</v>
      </c>
      <c r="G8" s="34">
        <f>IFERROR(F8/E8,"")</f>
        <v>0.8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55"/>
      <c r="J8" s="56"/>
    </row>
    <row r="9" spans="1:10" ht="39.9" customHeight="1" x14ac:dyDescent="0.3">
      <c r="A9" s="10"/>
      <c r="B9" s="39" t="s">
        <v>182</v>
      </c>
      <c r="C9" s="40"/>
      <c r="D9" s="40"/>
      <c r="E9" s="9">
        <v>5</v>
      </c>
      <c r="F9" s="26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9.9" customHeight="1" x14ac:dyDescent="0.3">
      <c r="A10" s="10"/>
      <c r="B10" s="39" t="s">
        <v>183</v>
      </c>
      <c r="C10" s="40"/>
      <c r="D10" s="40"/>
      <c r="E10" s="9">
        <v>5</v>
      </c>
      <c r="F10" s="26">
        <v>3.75</v>
      </c>
      <c r="G10" s="30">
        <f t="shared" ref="G10:G20" si="0">IFERROR(F10/E10,"")</f>
        <v>0.75</v>
      </c>
      <c r="H10" s="31" t="str">
        <f t="shared" ref="H10:H20" si="1">_xlfn.IFS(F10="أدخل العلامة","",F10="لا ينطبق","تم الإلغاء",G10&gt;=90%,"ممتاز",G10&gt;=80%,"جيد جداً",G10&gt;=70%,"جيد",G10&gt;=60%,"مقبول",G10&lt;60%,"راسب")</f>
        <v>جيد</v>
      </c>
      <c r="I10" s="45"/>
      <c r="J10" s="46"/>
    </row>
    <row r="11" spans="1:10" ht="39.9" customHeight="1" x14ac:dyDescent="0.3">
      <c r="A11" s="10"/>
      <c r="B11" s="39" t="s">
        <v>184</v>
      </c>
      <c r="C11" s="40"/>
      <c r="D11" s="40"/>
      <c r="E11" s="9">
        <v>5</v>
      </c>
      <c r="F11" s="26">
        <v>3.75</v>
      </c>
      <c r="G11" s="30">
        <f t="shared" si="0"/>
        <v>0.75</v>
      </c>
      <c r="H11" s="31" t="str">
        <f t="shared" si="1"/>
        <v>جيد</v>
      </c>
      <c r="I11" s="45"/>
      <c r="J11" s="46"/>
    </row>
    <row r="12" spans="1:10" ht="39.9" customHeight="1" x14ac:dyDescent="0.3">
      <c r="A12" s="10"/>
      <c r="B12" s="39" t="s">
        <v>185</v>
      </c>
      <c r="C12" s="40"/>
      <c r="D12" s="40"/>
      <c r="E12" s="9">
        <v>5</v>
      </c>
      <c r="F12" s="26">
        <v>3.5</v>
      </c>
      <c r="G12" s="30">
        <f t="shared" si="0"/>
        <v>0.7</v>
      </c>
      <c r="H12" s="31" t="str">
        <f t="shared" si="1"/>
        <v>جيد</v>
      </c>
      <c r="I12" s="45"/>
      <c r="J12" s="46"/>
    </row>
    <row r="13" spans="1:10" ht="39.9" customHeight="1" x14ac:dyDescent="0.3">
      <c r="A13" s="10"/>
      <c r="B13" s="39" t="s">
        <v>186</v>
      </c>
      <c r="C13" s="40"/>
      <c r="D13" s="40"/>
      <c r="E13" s="9">
        <v>5</v>
      </c>
      <c r="F13" s="26">
        <v>3.5</v>
      </c>
      <c r="G13" s="30">
        <f t="shared" si="0"/>
        <v>0.7</v>
      </c>
      <c r="H13" s="31" t="str">
        <f t="shared" si="1"/>
        <v>جيد</v>
      </c>
      <c r="I13" s="45"/>
      <c r="J13" s="46"/>
    </row>
    <row r="14" spans="1:10" ht="39.9" customHeight="1" x14ac:dyDescent="0.3">
      <c r="A14" s="10"/>
      <c r="B14" s="39" t="s">
        <v>187</v>
      </c>
      <c r="C14" s="40"/>
      <c r="D14" s="40"/>
      <c r="E14" s="9">
        <v>5</v>
      </c>
      <c r="F14" s="26">
        <v>3.75</v>
      </c>
      <c r="G14" s="30">
        <f t="shared" si="0"/>
        <v>0.75</v>
      </c>
      <c r="H14" s="31" t="str">
        <f t="shared" si="1"/>
        <v>جيد</v>
      </c>
      <c r="I14" s="45"/>
      <c r="J14" s="46"/>
    </row>
    <row r="15" spans="1:10" ht="39.9" customHeight="1" x14ac:dyDescent="0.3">
      <c r="A15" s="10"/>
      <c r="B15" s="39" t="s">
        <v>188</v>
      </c>
      <c r="C15" s="40"/>
      <c r="D15" s="40"/>
      <c r="E15" s="9">
        <v>5</v>
      </c>
      <c r="F15" s="26">
        <v>4</v>
      </c>
      <c r="G15" s="30">
        <f t="shared" si="0"/>
        <v>0.8</v>
      </c>
      <c r="H15" s="31" t="str">
        <f t="shared" si="1"/>
        <v>جيد جداً</v>
      </c>
      <c r="I15" s="45"/>
      <c r="J15" s="46"/>
    </row>
    <row r="16" spans="1:10" ht="39.9" customHeight="1" x14ac:dyDescent="0.3">
      <c r="A16" s="10"/>
      <c r="B16" s="39" t="s">
        <v>189</v>
      </c>
      <c r="C16" s="40"/>
      <c r="D16" s="40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45"/>
      <c r="J16" s="46"/>
    </row>
    <row r="17" spans="1:10" ht="39.9" customHeight="1" x14ac:dyDescent="0.3">
      <c r="A17" s="10"/>
      <c r="B17" s="39" t="s">
        <v>193</v>
      </c>
      <c r="C17" s="40"/>
      <c r="D17" s="40"/>
      <c r="E17" s="9">
        <v>5</v>
      </c>
      <c r="F17" s="26">
        <v>3.5</v>
      </c>
      <c r="G17" s="30">
        <f t="shared" si="0"/>
        <v>0.7</v>
      </c>
      <c r="H17" s="31" t="str">
        <f t="shared" si="1"/>
        <v>جيد</v>
      </c>
      <c r="I17" s="45"/>
      <c r="J17" s="46"/>
    </row>
    <row r="18" spans="1:10" ht="39.9" customHeight="1" x14ac:dyDescent="0.3">
      <c r="A18" s="10"/>
      <c r="B18" s="39" t="s">
        <v>190</v>
      </c>
      <c r="C18" s="40"/>
      <c r="D18" s="40"/>
      <c r="E18" s="9">
        <v>5</v>
      </c>
      <c r="F18" s="26">
        <v>3.5</v>
      </c>
      <c r="G18" s="30">
        <f t="shared" si="0"/>
        <v>0.7</v>
      </c>
      <c r="H18" s="31" t="str">
        <f t="shared" si="1"/>
        <v>جيد</v>
      </c>
      <c r="I18" s="45"/>
      <c r="J18" s="46"/>
    </row>
    <row r="19" spans="1:10" ht="39.9" customHeight="1" x14ac:dyDescent="0.3">
      <c r="A19" s="10"/>
      <c r="B19" s="39" t="s">
        <v>191</v>
      </c>
      <c r="C19" s="40"/>
      <c r="D19" s="40"/>
      <c r="E19" s="9">
        <v>5</v>
      </c>
      <c r="F19" s="26">
        <v>3.75</v>
      </c>
      <c r="G19" s="30">
        <f t="shared" si="0"/>
        <v>0.75</v>
      </c>
      <c r="H19" s="31" t="str">
        <f t="shared" si="1"/>
        <v>جيد</v>
      </c>
      <c r="I19" s="45"/>
      <c r="J19" s="46"/>
    </row>
    <row r="20" spans="1:10" ht="39.9" customHeight="1" thickBot="1" x14ac:dyDescent="0.35">
      <c r="A20" s="10"/>
      <c r="B20" s="43" t="s">
        <v>192</v>
      </c>
      <c r="C20" s="44"/>
      <c r="D20" s="44"/>
      <c r="E20" s="36">
        <v>5</v>
      </c>
      <c r="F20" s="27">
        <v>4</v>
      </c>
      <c r="G20" s="37">
        <f t="shared" si="0"/>
        <v>0.8</v>
      </c>
      <c r="H20" s="38" t="str">
        <f t="shared" si="1"/>
        <v>جيد جداً</v>
      </c>
      <c r="I20" s="41"/>
      <c r="J20" s="42"/>
    </row>
    <row r="21" spans="1:10" ht="30" customHeight="1" thickBot="1" x14ac:dyDescent="0.35">
      <c r="A21" s="4"/>
      <c r="B21" s="79" t="s">
        <v>5</v>
      </c>
      <c r="C21" s="80"/>
      <c r="D21" s="80"/>
      <c r="E21" s="29">
        <f>SUM(E8:E20)</f>
        <v>65</v>
      </c>
      <c r="F21" s="29">
        <f>SUM(F8:F20)</f>
        <v>48.5</v>
      </c>
      <c r="G21" s="68"/>
      <c r="H21" s="69"/>
      <c r="I21" s="69"/>
      <c r="J21" s="70"/>
    </row>
    <row r="22" spans="1:10" ht="30" customHeight="1" thickBot="1" x14ac:dyDescent="0.35">
      <c r="A22" s="4"/>
      <c r="B22" s="81" t="s">
        <v>52</v>
      </c>
      <c r="C22" s="82"/>
      <c r="D22" s="82"/>
      <c r="E22" s="77">
        <f>F21/E21/100*100</f>
        <v>0.74615384615384617</v>
      </c>
      <c r="F22" s="77"/>
      <c r="G22" s="77"/>
      <c r="H22" s="77"/>
      <c r="I22" s="77"/>
      <c r="J22" s="78"/>
    </row>
    <row r="23" spans="1:10" ht="30" customHeight="1" thickBot="1" x14ac:dyDescent="0.35">
      <c r="A23" s="4"/>
      <c r="B23" s="81" t="s">
        <v>53</v>
      </c>
      <c r="C23" s="82"/>
      <c r="D23" s="82"/>
      <c r="E23" s="75" t="str">
        <f>_xlfn.IFS(E22&gt;=90%,"ممتاز",E22&gt;=80%,"جيد جداً",E22&gt;=70%,"جيد",E22&gt;=60%,"مقبول",E22&lt;60%,"راسب")</f>
        <v>جيد</v>
      </c>
      <c r="F23" s="75"/>
      <c r="G23" s="75"/>
      <c r="H23" s="75"/>
      <c r="I23" s="75"/>
      <c r="J23" s="76"/>
    </row>
    <row r="24" spans="1:10" ht="42" customHeight="1" x14ac:dyDescent="0.3">
      <c r="B24" s="71" t="s">
        <v>172</v>
      </c>
      <c r="C24" s="71"/>
      <c r="D24" s="71"/>
      <c r="E24" s="66" t="s">
        <v>50</v>
      </c>
      <c r="F24" s="66"/>
      <c r="G24" s="73" t="s">
        <v>160</v>
      </c>
      <c r="H24" s="73"/>
      <c r="I24" s="73"/>
      <c r="J24" s="73"/>
    </row>
    <row r="25" spans="1:10" ht="51" customHeight="1" x14ac:dyDescent="0.3">
      <c r="A25" s="5"/>
      <c r="B25" s="72"/>
      <c r="C25" s="72"/>
      <c r="D25" s="72"/>
      <c r="E25" s="67" t="s">
        <v>51</v>
      </c>
      <c r="F25" s="67"/>
      <c r="G25" s="74"/>
      <c r="H25" s="74"/>
      <c r="I25" s="74"/>
      <c r="J25" s="7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7">
    <mergeCell ref="E24:F24"/>
    <mergeCell ref="E25:F25"/>
    <mergeCell ref="G21:J21"/>
    <mergeCell ref="I9:J9"/>
    <mergeCell ref="B24:D25"/>
    <mergeCell ref="G24:J24"/>
    <mergeCell ref="G25:J25"/>
    <mergeCell ref="E23:J23"/>
    <mergeCell ref="E22:J22"/>
    <mergeCell ref="B21:D21"/>
    <mergeCell ref="B22:D22"/>
    <mergeCell ref="B23:D23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I15:J15"/>
    <mergeCell ref="I16:J16"/>
    <mergeCell ref="I17:J17"/>
    <mergeCell ref="I18:J18"/>
    <mergeCell ref="I19:J19"/>
    <mergeCell ref="I20:J20"/>
    <mergeCell ref="B17:D17"/>
    <mergeCell ref="B18:D18"/>
    <mergeCell ref="B19:D19"/>
    <mergeCell ref="B20:D20"/>
    <mergeCell ref="B16:D16"/>
    <mergeCell ref="B11:D11"/>
    <mergeCell ref="B12:D12"/>
    <mergeCell ref="B13:D13"/>
    <mergeCell ref="B14:D14"/>
    <mergeCell ref="B15:D1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3">
    <cfRule type="expression" dxfId="14" priority="57">
      <formula>$E23="راسب"</formula>
    </cfRule>
  </conditionalFormatting>
  <conditionalFormatting sqref="E23:J23">
    <cfRule type="expression" dxfId="13" priority="58">
      <formula>$E23="مقبول"</formula>
    </cfRule>
    <cfRule type="expression" dxfId="12" priority="59">
      <formula>$E23="جيد"</formula>
    </cfRule>
    <cfRule type="expression" dxfId="11" priority="60">
      <formula>$E23="جيد جداً"</formula>
    </cfRule>
    <cfRule type="expression" dxfId="10" priority="61">
      <formula>$E23="ممتاز"</formula>
    </cfRule>
  </conditionalFormatting>
  <conditionalFormatting sqref="F8:F2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4:J24">
    <cfRule type="containsText" dxfId="6" priority="15" operator="containsText" text="أدخل اسم المحكم">
      <formula>NOT(ISERROR(SEARCH("أدخل اسم المحكم",G24)))</formula>
    </cfRule>
  </conditionalFormatting>
  <conditionalFormatting sqref="H8:H20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F8:F20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G24:J24 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55</v>
      </c>
      <c r="C1" s="2" t="s">
        <v>58</v>
      </c>
    </row>
    <row r="2" spans="1:3" ht="20.100000000000001" customHeight="1" thickBot="1" x14ac:dyDescent="0.35">
      <c r="A2" s="2" t="s">
        <v>33</v>
      </c>
      <c r="C2" s="19" t="s">
        <v>60</v>
      </c>
    </row>
    <row r="3" spans="1:3" ht="20.100000000000001" customHeight="1" thickBot="1" x14ac:dyDescent="0.35">
      <c r="A3" s="2" t="s">
        <v>24</v>
      </c>
      <c r="C3" s="19" t="s">
        <v>61</v>
      </c>
    </row>
    <row r="4" spans="1:3" ht="20.100000000000001" customHeight="1" thickBot="1" x14ac:dyDescent="0.35">
      <c r="A4" s="2" t="s">
        <v>34</v>
      </c>
      <c r="C4" s="19" t="s">
        <v>62</v>
      </c>
    </row>
    <row r="5" spans="1:3" ht="20.100000000000001" customHeight="1" thickBot="1" x14ac:dyDescent="0.35">
      <c r="A5" s="2" t="s">
        <v>35</v>
      </c>
      <c r="C5" s="19" t="s">
        <v>63</v>
      </c>
    </row>
    <row r="6" spans="1:3" ht="20.100000000000001" customHeight="1" thickBot="1" x14ac:dyDescent="0.35">
      <c r="A6" s="2" t="s">
        <v>36</v>
      </c>
      <c r="C6" s="19" t="s">
        <v>64</v>
      </c>
    </row>
    <row r="7" spans="1:3" ht="20.100000000000001" customHeight="1" thickBot="1" x14ac:dyDescent="0.35">
      <c r="A7" s="2" t="s">
        <v>37</v>
      </c>
      <c r="C7" s="19" t="s">
        <v>65</v>
      </c>
    </row>
    <row r="8" spans="1:3" ht="20.100000000000001" customHeight="1" thickBot="1" x14ac:dyDescent="0.35">
      <c r="A8" s="2" t="s">
        <v>38</v>
      </c>
      <c r="C8" s="19" t="s">
        <v>66</v>
      </c>
    </row>
    <row r="9" spans="1:3" ht="20.100000000000001" customHeight="1" thickBot="1" x14ac:dyDescent="0.35">
      <c r="A9" s="2" t="s">
        <v>39</v>
      </c>
      <c r="C9" s="19" t="s">
        <v>67</v>
      </c>
    </row>
    <row r="10" spans="1:3" ht="20.100000000000001" customHeight="1" thickBot="1" x14ac:dyDescent="0.35">
      <c r="A10" s="2" t="s">
        <v>40</v>
      </c>
      <c r="C10" s="19" t="s">
        <v>68</v>
      </c>
    </row>
    <row r="11" spans="1:3" ht="20.100000000000001" customHeight="1" thickBot="1" x14ac:dyDescent="0.35">
      <c r="A11" s="2" t="s">
        <v>41</v>
      </c>
      <c r="C11" s="19" t="s">
        <v>69</v>
      </c>
    </row>
    <row r="12" spans="1:3" ht="20.100000000000001" customHeight="1" thickBot="1" x14ac:dyDescent="0.35">
      <c r="A12" s="2" t="s">
        <v>42</v>
      </c>
      <c r="C12" s="19" t="s">
        <v>70</v>
      </c>
    </row>
    <row r="13" spans="1:3" ht="20.100000000000001" customHeight="1" thickBot="1" x14ac:dyDescent="0.35">
      <c r="A13" s="2" t="s">
        <v>43</v>
      </c>
      <c r="C13" s="19" t="s">
        <v>71</v>
      </c>
    </row>
    <row r="14" spans="1:3" ht="20.100000000000001" customHeight="1" thickBot="1" x14ac:dyDescent="0.35">
      <c r="A14" s="2" t="s">
        <v>44</v>
      </c>
      <c r="C14" s="19" t="s">
        <v>72</v>
      </c>
    </row>
    <row r="15" spans="1:3" ht="20.100000000000001" customHeight="1" thickBot="1" x14ac:dyDescent="0.35">
      <c r="A15" s="2" t="s">
        <v>45</v>
      </c>
      <c r="C15" s="19" t="s">
        <v>73</v>
      </c>
    </row>
    <row r="16" spans="1:3" ht="20.100000000000001" customHeight="1" thickBot="1" x14ac:dyDescent="0.35">
      <c r="A16" s="2" t="s">
        <v>8</v>
      </c>
      <c r="C16" s="19" t="s">
        <v>74</v>
      </c>
    </row>
    <row r="17" spans="1:3" ht="20.100000000000001" customHeight="1" thickBot="1" x14ac:dyDescent="0.35">
      <c r="A17" s="2" t="s">
        <v>25</v>
      </c>
      <c r="C17" s="19" t="s">
        <v>75</v>
      </c>
    </row>
    <row r="18" spans="1:3" ht="20.100000000000001" customHeight="1" thickBot="1" x14ac:dyDescent="0.35">
      <c r="A18" s="2" t="s">
        <v>46</v>
      </c>
      <c r="C18" s="19" t="s">
        <v>76</v>
      </c>
    </row>
    <row r="19" spans="1:3" ht="20.100000000000001" customHeight="1" thickBot="1" x14ac:dyDescent="0.35">
      <c r="A19" s="2" t="s">
        <v>47</v>
      </c>
      <c r="C19" s="19" t="s">
        <v>77</v>
      </c>
    </row>
    <row r="20" spans="1:3" ht="20.100000000000001" customHeight="1" thickBot="1" x14ac:dyDescent="0.35">
      <c r="A20" s="2" t="s">
        <v>48</v>
      </c>
      <c r="C20" s="19" t="s">
        <v>78</v>
      </c>
    </row>
    <row r="21" spans="1:3" ht="20.100000000000001" customHeight="1" thickBot="1" x14ac:dyDescent="0.35">
      <c r="A21" s="2" t="s">
        <v>49</v>
      </c>
      <c r="C21" s="19" t="s">
        <v>79</v>
      </c>
    </row>
    <row r="22" spans="1:3" ht="20.100000000000001" customHeight="1" thickBot="1" x14ac:dyDescent="0.35">
      <c r="A22" s="2" t="s">
        <v>9</v>
      </c>
      <c r="C22" s="19" t="s">
        <v>80</v>
      </c>
    </row>
    <row r="23" spans="1:3" ht="20.100000000000001" customHeight="1" thickBot="1" x14ac:dyDescent="0.35">
      <c r="A23" s="2" t="s">
        <v>10</v>
      </c>
      <c r="C23" s="19" t="s">
        <v>81</v>
      </c>
    </row>
    <row r="24" spans="1:3" ht="20.100000000000001" customHeight="1" thickBot="1" x14ac:dyDescent="0.35">
      <c r="A24" s="2" t="s">
        <v>13</v>
      </c>
      <c r="C24" s="19" t="s">
        <v>82</v>
      </c>
    </row>
    <row r="25" spans="1:3" ht="20.100000000000001" customHeight="1" thickBot="1" x14ac:dyDescent="0.35">
      <c r="A25" s="2" t="s">
        <v>26</v>
      </c>
      <c r="C25" s="19" t="s">
        <v>83</v>
      </c>
    </row>
    <row r="26" spans="1:3" ht="20.100000000000001" customHeight="1" thickBot="1" x14ac:dyDescent="0.35">
      <c r="A26" s="2" t="s">
        <v>27</v>
      </c>
      <c r="C26" s="19" t="s">
        <v>84</v>
      </c>
    </row>
    <row r="27" spans="1:3" ht="20.100000000000001" customHeight="1" thickBot="1" x14ac:dyDescent="0.35">
      <c r="A27" s="2" t="s">
        <v>11</v>
      </c>
      <c r="C27" s="19" t="s">
        <v>85</v>
      </c>
    </row>
    <row r="28" spans="1:3" ht="20.100000000000001" customHeight="1" thickBot="1" x14ac:dyDescent="0.35">
      <c r="A28" s="2" t="s">
        <v>28</v>
      </c>
      <c r="C28" s="19" t="s">
        <v>86</v>
      </c>
    </row>
    <row r="29" spans="1:3" ht="20.100000000000001" customHeight="1" thickBot="1" x14ac:dyDescent="0.35">
      <c r="A29" s="2" t="s">
        <v>29</v>
      </c>
      <c r="C29" s="19" t="s">
        <v>175</v>
      </c>
    </row>
    <row r="30" spans="1:3" ht="20.100000000000001" customHeight="1" thickBot="1" x14ac:dyDescent="0.35">
      <c r="A30" s="2" t="s">
        <v>30</v>
      </c>
      <c r="C30" s="19" t="s">
        <v>176</v>
      </c>
    </row>
    <row r="31" spans="1:3" ht="20.100000000000001" customHeight="1" thickBot="1" x14ac:dyDescent="0.35">
      <c r="A31" s="2" t="s">
        <v>31</v>
      </c>
      <c r="C31" s="19" t="s">
        <v>177</v>
      </c>
    </row>
    <row r="32" spans="1:3" ht="20.100000000000001" customHeight="1" thickBot="1" x14ac:dyDescent="0.35">
      <c r="A32" s="2" t="s">
        <v>14</v>
      </c>
      <c r="C32" s="19"/>
    </row>
    <row r="33" spans="1:9" ht="20.100000000000001" customHeight="1" thickBot="1" x14ac:dyDescent="0.35">
      <c r="A33" s="2" t="s">
        <v>12</v>
      </c>
      <c r="C33" s="19"/>
    </row>
    <row r="34" spans="1:9" ht="20.100000000000001" customHeight="1" thickBot="1" x14ac:dyDescent="0.35">
      <c r="A34" s="2" t="s">
        <v>32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54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59</v>
      </c>
    </row>
    <row r="112" spans="1:9" ht="20.100000000000001" customHeight="1" thickBot="1" x14ac:dyDescent="0.35">
      <c r="A112" s="2" t="s">
        <v>15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57</v>
      </c>
    </row>
    <row r="199" spans="1:1" ht="20.100000000000001" customHeight="1" x14ac:dyDescent="0.3">
      <c r="A199" s="20" t="s">
        <v>87</v>
      </c>
    </row>
    <row r="200" spans="1:1" ht="20.100000000000001" customHeight="1" x14ac:dyDescent="0.3">
      <c r="A200" s="20" t="s">
        <v>88</v>
      </c>
    </row>
    <row r="201" spans="1:1" ht="20.100000000000001" customHeight="1" x14ac:dyDescent="0.3">
      <c r="A201" s="20" t="s">
        <v>89</v>
      </c>
    </row>
    <row r="202" spans="1:1" ht="20.100000000000001" customHeight="1" x14ac:dyDescent="0.3">
      <c r="A202" s="20" t="s">
        <v>90</v>
      </c>
    </row>
    <row r="203" spans="1:1" ht="20.100000000000001" customHeight="1" x14ac:dyDescent="0.3">
      <c r="A203" s="20" t="s">
        <v>91</v>
      </c>
    </row>
    <row r="204" spans="1:1" ht="20.100000000000001" customHeight="1" x14ac:dyDescent="0.3">
      <c r="A204" s="20" t="s">
        <v>92</v>
      </c>
    </row>
    <row r="205" spans="1:1" ht="20.100000000000001" customHeight="1" x14ac:dyDescent="0.3">
      <c r="A205" s="20" t="s">
        <v>93</v>
      </c>
    </row>
    <row r="206" spans="1:1" ht="20.100000000000001" customHeight="1" x14ac:dyDescent="0.3">
      <c r="A206" s="20" t="s">
        <v>94</v>
      </c>
    </row>
    <row r="207" spans="1:1" ht="20.100000000000001" customHeight="1" x14ac:dyDescent="0.3">
      <c r="A207" s="20" t="s">
        <v>95</v>
      </c>
    </row>
    <row r="208" spans="1:1" ht="20.100000000000001" customHeight="1" x14ac:dyDescent="0.3">
      <c r="A208" s="21" t="s">
        <v>96</v>
      </c>
    </row>
    <row r="209" spans="1:1" ht="20.100000000000001" customHeight="1" x14ac:dyDescent="0.3">
      <c r="A209" s="21" t="s">
        <v>97</v>
      </c>
    </row>
    <row r="210" spans="1:1" ht="20.100000000000001" customHeight="1" x14ac:dyDescent="0.3">
      <c r="A210" s="20" t="s">
        <v>98</v>
      </c>
    </row>
    <row r="211" spans="1:1" ht="20.100000000000001" customHeight="1" x14ac:dyDescent="0.3">
      <c r="A211" s="20" t="s">
        <v>99</v>
      </c>
    </row>
    <row r="212" spans="1:1" ht="20.100000000000001" customHeight="1" x14ac:dyDescent="0.3">
      <c r="A212" s="20" t="s">
        <v>173</v>
      </c>
    </row>
    <row r="213" spans="1:1" ht="20.100000000000001" customHeight="1" x14ac:dyDescent="0.3">
      <c r="A213" s="20" t="s">
        <v>100</v>
      </c>
    </row>
    <row r="214" spans="1:1" ht="20.100000000000001" customHeight="1" x14ac:dyDescent="0.3">
      <c r="A214" s="20" t="s">
        <v>101</v>
      </c>
    </row>
    <row r="215" spans="1:1" ht="20.100000000000001" customHeight="1" x14ac:dyDescent="0.3">
      <c r="A215" s="20" t="s">
        <v>102</v>
      </c>
    </row>
    <row r="216" spans="1:1" ht="20.100000000000001" customHeight="1" x14ac:dyDescent="0.3">
      <c r="A216" s="20" t="s">
        <v>103</v>
      </c>
    </row>
    <row r="217" spans="1:1" ht="20.100000000000001" customHeight="1" x14ac:dyDescent="0.3">
      <c r="A217" s="20" t="s">
        <v>104</v>
      </c>
    </row>
    <row r="218" spans="1:1" ht="20.100000000000001" customHeight="1" x14ac:dyDescent="0.3">
      <c r="A218" s="20" t="s">
        <v>105</v>
      </c>
    </row>
    <row r="219" spans="1:1" ht="20.100000000000001" customHeight="1" x14ac:dyDescent="0.3">
      <c r="A219" s="20" t="s">
        <v>106</v>
      </c>
    </row>
    <row r="220" spans="1:1" ht="20.100000000000001" customHeight="1" x14ac:dyDescent="0.3">
      <c r="A220" s="20" t="s">
        <v>107</v>
      </c>
    </row>
    <row r="221" spans="1:1" ht="20.100000000000001" customHeight="1" x14ac:dyDescent="0.3">
      <c r="A221" s="20" t="s">
        <v>108</v>
      </c>
    </row>
    <row r="222" spans="1:1" ht="20.100000000000001" customHeight="1" x14ac:dyDescent="0.3">
      <c r="A222" s="20" t="s">
        <v>109</v>
      </c>
    </row>
    <row r="223" spans="1:1" ht="20.100000000000001" customHeight="1" x14ac:dyDescent="0.3">
      <c r="A223" s="20" t="s">
        <v>110</v>
      </c>
    </row>
    <row r="224" spans="1:1" ht="20.100000000000001" customHeight="1" x14ac:dyDescent="0.3">
      <c r="A224" s="20" t="s">
        <v>174</v>
      </c>
    </row>
    <row r="225" spans="1:1" ht="20.100000000000001" customHeight="1" x14ac:dyDescent="0.3">
      <c r="A225" s="20" t="s">
        <v>111</v>
      </c>
    </row>
    <row r="226" spans="1:1" ht="20.100000000000001" customHeight="1" x14ac:dyDescent="0.3">
      <c r="A226" s="20" t="s">
        <v>112</v>
      </c>
    </row>
    <row r="227" spans="1:1" ht="20.100000000000001" customHeight="1" x14ac:dyDescent="0.3">
      <c r="A227" s="20" t="s">
        <v>113</v>
      </c>
    </row>
    <row r="228" spans="1:1" ht="20.100000000000001" customHeight="1" x14ac:dyDescent="0.3">
      <c r="A228" s="20" t="s">
        <v>114</v>
      </c>
    </row>
    <row r="229" spans="1:1" ht="20.100000000000001" customHeight="1" x14ac:dyDescent="0.3">
      <c r="A229" s="20" t="s">
        <v>115</v>
      </c>
    </row>
    <row r="230" spans="1:1" ht="20.100000000000001" customHeight="1" x14ac:dyDescent="0.3">
      <c r="A230" s="20" t="s">
        <v>116</v>
      </c>
    </row>
    <row r="231" spans="1:1" ht="20.100000000000001" customHeight="1" x14ac:dyDescent="0.3">
      <c r="A231" s="20" t="s">
        <v>117</v>
      </c>
    </row>
    <row r="232" spans="1:1" ht="20.100000000000001" customHeight="1" x14ac:dyDescent="0.3">
      <c r="A232" s="20" t="s">
        <v>118</v>
      </c>
    </row>
    <row r="233" spans="1:1" ht="20.100000000000001" customHeight="1" x14ac:dyDescent="0.3">
      <c r="A233" s="20" t="s">
        <v>119</v>
      </c>
    </row>
    <row r="234" spans="1:1" ht="20.100000000000001" customHeight="1" x14ac:dyDescent="0.3">
      <c r="A234" s="20" t="s">
        <v>120</v>
      </c>
    </row>
    <row r="235" spans="1:1" ht="20.100000000000001" customHeight="1" x14ac:dyDescent="0.3">
      <c r="A235" s="20" t="s">
        <v>121</v>
      </c>
    </row>
    <row r="236" spans="1:1" ht="20.100000000000001" customHeight="1" x14ac:dyDescent="0.3">
      <c r="A236" s="22" t="s">
        <v>122</v>
      </c>
    </row>
    <row r="237" spans="1:1" ht="20.100000000000001" customHeight="1" x14ac:dyDescent="0.3">
      <c r="A237" s="20" t="s">
        <v>123</v>
      </c>
    </row>
    <row r="238" spans="1:1" ht="20.100000000000001" customHeight="1" x14ac:dyDescent="0.3">
      <c r="A238" s="20" t="s">
        <v>124</v>
      </c>
    </row>
    <row r="239" spans="1:1" ht="20.100000000000001" customHeight="1" x14ac:dyDescent="0.3">
      <c r="A239" s="20" t="s">
        <v>125</v>
      </c>
    </row>
    <row r="240" spans="1:1" ht="20.100000000000001" customHeight="1" x14ac:dyDescent="0.3">
      <c r="A240" s="20" t="s">
        <v>126</v>
      </c>
    </row>
    <row r="241" spans="1:1" ht="20.100000000000001" customHeight="1" x14ac:dyDescent="0.3">
      <c r="A241" s="20" t="s">
        <v>127</v>
      </c>
    </row>
    <row r="242" spans="1:1" ht="20.100000000000001" customHeight="1" x14ac:dyDescent="0.3">
      <c r="A242" s="20" t="s">
        <v>128</v>
      </c>
    </row>
    <row r="243" spans="1:1" ht="20.100000000000001" customHeight="1" x14ac:dyDescent="0.3">
      <c r="A243" s="20" t="s">
        <v>129</v>
      </c>
    </row>
    <row r="244" spans="1:1" ht="20.100000000000001" customHeight="1" x14ac:dyDescent="0.3">
      <c r="A244" s="20" t="s">
        <v>130</v>
      </c>
    </row>
    <row r="245" spans="1:1" ht="20.100000000000001" customHeight="1" x14ac:dyDescent="0.3">
      <c r="A245" s="20" t="s">
        <v>131</v>
      </c>
    </row>
    <row r="246" spans="1:1" ht="20.100000000000001" customHeight="1" x14ac:dyDescent="0.3">
      <c r="A246" s="20" t="s">
        <v>132</v>
      </c>
    </row>
    <row r="247" spans="1:1" ht="20.100000000000001" customHeight="1" x14ac:dyDescent="0.3">
      <c r="A247" s="20" t="s">
        <v>133</v>
      </c>
    </row>
    <row r="248" spans="1:1" ht="20.100000000000001" customHeight="1" x14ac:dyDescent="0.3">
      <c r="A248" s="20" t="s">
        <v>124</v>
      </c>
    </row>
    <row r="249" spans="1:1" ht="20.100000000000001" customHeight="1" x14ac:dyDescent="0.3">
      <c r="A249" s="20" t="s">
        <v>134</v>
      </c>
    </row>
    <row r="250" spans="1:1" ht="20.100000000000001" customHeight="1" x14ac:dyDescent="0.3">
      <c r="A250" s="20" t="s">
        <v>135</v>
      </c>
    </row>
    <row r="251" spans="1:1" ht="20.100000000000001" customHeight="1" x14ac:dyDescent="0.3">
      <c r="A251" s="22" t="s">
        <v>136</v>
      </c>
    </row>
    <row r="252" spans="1:1" ht="20.100000000000001" customHeight="1" x14ac:dyDescent="0.3">
      <c r="A252" s="23" t="s">
        <v>137</v>
      </c>
    </row>
    <row r="253" spans="1:1" ht="20.100000000000001" customHeight="1" x14ac:dyDescent="0.3">
      <c r="A253" s="20" t="s">
        <v>138</v>
      </c>
    </row>
    <row r="254" spans="1:1" ht="20.100000000000001" customHeight="1" x14ac:dyDescent="0.3">
      <c r="A254" s="20" t="s">
        <v>139</v>
      </c>
    </row>
    <row r="255" spans="1:1" ht="20.100000000000001" customHeight="1" x14ac:dyDescent="0.3">
      <c r="A255" s="24" t="s">
        <v>140</v>
      </c>
    </row>
    <row r="256" spans="1:1" ht="20.100000000000001" customHeight="1" x14ac:dyDescent="0.3">
      <c r="A256" s="24" t="s">
        <v>141</v>
      </c>
    </row>
    <row r="257" spans="1:1" ht="20.100000000000001" customHeight="1" x14ac:dyDescent="0.3">
      <c r="A257" s="25" t="s">
        <v>142</v>
      </c>
    </row>
    <row r="258" spans="1:1" ht="20.100000000000001" customHeight="1" x14ac:dyDescent="0.3">
      <c r="A258" s="20" t="s">
        <v>143</v>
      </c>
    </row>
    <row r="259" spans="1:1" ht="20.100000000000001" customHeight="1" x14ac:dyDescent="0.3">
      <c r="A259" s="25" t="s">
        <v>144</v>
      </c>
    </row>
    <row r="260" spans="1:1" ht="20.100000000000001" customHeight="1" x14ac:dyDescent="0.3">
      <c r="A260" s="20" t="s">
        <v>145</v>
      </c>
    </row>
    <row r="261" spans="1:1" ht="20.100000000000001" customHeight="1" x14ac:dyDescent="0.3">
      <c r="A261" s="25" t="s">
        <v>146</v>
      </c>
    </row>
    <row r="262" spans="1:1" ht="20.100000000000001" customHeight="1" x14ac:dyDescent="0.3">
      <c r="A262" s="20" t="s">
        <v>147</v>
      </c>
    </row>
    <row r="263" spans="1:1" ht="20.100000000000001" customHeight="1" x14ac:dyDescent="0.3">
      <c r="A263" s="20" t="s">
        <v>148</v>
      </c>
    </row>
    <row r="264" spans="1:1" ht="20.100000000000001" customHeight="1" x14ac:dyDescent="0.3">
      <c r="A264" s="25" t="s">
        <v>149</v>
      </c>
    </row>
    <row r="265" spans="1:1" ht="20.100000000000001" customHeight="1" x14ac:dyDescent="0.3">
      <c r="A265" s="25" t="s">
        <v>150</v>
      </c>
    </row>
    <row r="266" spans="1:1" ht="20.100000000000001" customHeight="1" x14ac:dyDescent="0.3">
      <c r="A266" s="25" t="s">
        <v>151</v>
      </c>
    </row>
    <row r="267" spans="1:1" ht="20.100000000000001" customHeight="1" x14ac:dyDescent="0.3">
      <c r="A267" s="20" t="s">
        <v>152</v>
      </c>
    </row>
    <row r="268" spans="1:1" ht="20.100000000000001" customHeight="1" x14ac:dyDescent="0.3">
      <c r="A268" s="20" t="s">
        <v>153</v>
      </c>
    </row>
    <row r="269" spans="1:1" ht="20.100000000000001" customHeight="1" x14ac:dyDescent="0.3">
      <c r="A269" s="20" t="s">
        <v>154</v>
      </c>
    </row>
    <row r="270" spans="1:1" ht="20.100000000000001" customHeight="1" x14ac:dyDescent="0.3">
      <c r="A270" s="20" t="s">
        <v>155</v>
      </c>
    </row>
    <row r="271" spans="1:1" ht="20.100000000000001" customHeight="1" x14ac:dyDescent="0.3">
      <c r="A271" s="25" t="s">
        <v>156</v>
      </c>
    </row>
    <row r="272" spans="1:1" ht="20.100000000000001" customHeight="1" x14ac:dyDescent="0.3">
      <c r="A272" s="25" t="s">
        <v>157</v>
      </c>
    </row>
    <row r="273" spans="1:1" ht="20.100000000000001" customHeight="1" x14ac:dyDescent="0.3">
      <c r="A273" s="20" t="s">
        <v>158</v>
      </c>
    </row>
    <row r="274" spans="1:1" ht="20.100000000000001" customHeight="1" x14ac:dyDescent="0.3">
      <c r="A274" s="25" t="s">
        <v>159</v>
      </c>
    </row>
    <row r="275" spans="1:1" ht="20.100000000000001" customHeight="1" x14ac:dyDescent="0.3">
      <c r="A275" s="25" t="s">
        <v>160</v>
      </c>
    </row>
    <row r="276" spans="1:1" ht="20.100000000000001" customHeight="1" x14ac:dyDescent="0.3">
      <c r="A276" s="20" t="s">
        <v>161</v>
      </c>
    </row>
    <row r="277" spans="1:1" ht="20.100000000000001" customHeight="1" x14ac:dyDescent="0.3">
      <c r="A277" s="20" t="s">
        <v>162</v>
      </c>
    </row>
    <row r="278" spans="1:1" ht="20.100000000000001" customHeight="1" x14ac:dyDescent="0.3">
      <c r="A278" s="25" t="s">
        <v>163</v>
      </c>
    </row>
    <row r="279" spans="1:1" ht="20.100000000000001" customHeight="1" x14ac:dyDescent="0.3">
      <c r="A279" s="20" t="s">
        <v>164</v>
      </c>
    </row>
    <row r="280" spans="1:1" ht="20.100000000000001" customHeight="1" x14ac:dyDescent="0.3">
      <c r="A280" s="20" t="s">
        <v>165</v>
      </c>
    </row>
    <row r="281" spans="1:1" ht="20.100000000000001" customHeight="1" x14ac:dyDescent="0.3">
      <c r="A281" s="20" t="s">
        <v>166</v>
      </c>
    </row>
    <row r="282" spans="1:1" ht="20.100000000000001" customHeight="1" x14ac:dyDescent="0.3">
      <c r="A282" s="20" t="s">
        <v>167</v>
      </c>
    </row>
    <row r="283" spans="1:1" ht="20.100000000000001" customHeight="1" x14ac:dyDescent="0.3">
      <c r="A283" s="25" t="s">
        <v>168</v>
      </c>
    </row>
    <row r="284" spans="1:1" ht="20.100000000000001" customHeight="1" x14ac:dyDescent="0.3">
      <c r="A284" s="25" t="s">
        <v>169</v>
      </c>
    </row>
    <row r="285" spans="1:1" ht="20.100000000000001" customHeight="1" x14ac:dyDescent="0.3">
      <c r="A285" s="25" t="s">
        <v>170</v>
      </c>
    </row>
    <row r="286" spans="1:1" ht="20.100000000000001" customHeight="1" thickBot="1" x14ac:dyDescent="0.35">
      <c r="A286" s="20" t="s">
        <v>171</v>
      </c>
    </row>
    <row r="287" spans="1:1" ht="20.100000000000001" customHeight="1" thickBot="1" x14ac:dyDescent="0.35">
      <c r="A287" s="2" t="s">
        <v>56</v>
      </c>
    </row>
    <row r="288" spans="1:1" ht="20.100000000000001" customHeight="1" thickBot="1" x14ac:dyDescent="0.35">
      <c r="A288" s="2" t="s">
        <v>56</v>
      </c>
    </row>
    <row r="289" spans="1:1" ht="20.100000000000001" customHeight="1" thickBot="1" x14ac:dyDescent="0.35">
      <c r="A289" s="2" t="s">
        <v>56</v>
      </c>
    </row>
    <row r="290" spans="1:1" ht="20.100000000000001" customHeight="1" thickBot="1" x14ac:dyDescent="0.35">
      <c r="A290" s="2" t="s">
        <v>56</v>
      </c>
    </row>
    <row r="291" spans="1:1" ht="20.100000000000001" customHeight="1" thickBot="1" x14ac:dyDescent="0.35">
      <c r="A291" s="2" t="s">
        <v>56</v>
      </c>
    </row>
    <row r="292" spans="1:1" ht="20.100000000000001" customHeight="1" thickBot="1" x14ac:dyDescent="0.35">
      <c r="A292" s="2" t="s">
        <v>56</v>
      </c>
    </row>
    <row r="293" spans="1:1" ht="20.100000000000001" customHeight="1" thickBot="1" x14ac:dyDescent="0.35">
      <c r="A293" s="2" t="s">
        <v>56</v>
      </c>
    </row>
    <row r="294" spans="1:1" ht="20.100000000000001" customHeight="1" thickBot="1" x14ac:dyDescent="0.35">
      <c r="A294" s="2" t="s">
        <v>56</v>
      </c>
    </row>
    <row r="295" spans="1:1" ht="20.100000000000001" customHeight="1" thickBot="1" x14ac:dyDescent="0.35">
      <c r="A295" s="2" t="s">
        <v>56</v>
      </c>
    </row>
    <row r="296" spans="1:1" ht="20.100000000000001" customHeight="1" thickBot="1" x14ac:dyDescent="0.35">
      <c r="A296" s="2" t="s">
        <v>56</v>
      </c>
    </row>
    <row r="297" spans="1:1" ht="20.100000000000001" customHeight="1" thickBot="1" x14ac:dyDescent="0.35">
      <c r="A297" s="2" t="s">
        <v>56</v>
      </c>
    </row>
    <row r="298" spans="1:1" ht="20.100000000000001" customHeight="1" thickBot="1" x14ac:dyDescent="0.35">
      <c r="A298" s="2" t="s">
        <v>56</v>
      </c>
    </row>
    <row r="299" spans="1:1" ht="20.100000000000001" customHeight="1" thickBot="1" x14ac:dyDescent="0.35">
      <c r="A299" s="2" t="s">
        <v>56</v>
      </c>
    </row>
    <row r="300" spans="1:1" ht="20.100000000000001" customHeight="1" thickBot="1" x14ac:dyDescent="0.35">
      <c r="A300" s="2" t="s">
        <v>56</v>
      </c>
    </row>
    <row r="301" spans="1:1" ht="20.100000000000001" customHeight="1" thickBot="1" x14ac:dyDescent="0.35">
      <c r="A301" s="2" t="s">
        <v>56</v>
      </c>
    </row>
    <row r="302" spans="1:1" ht="20.100000000000001" customHeight="1" thickBot="1" x14ac:dyDescent="0.35">
      <c r="A302" s="2" t="s">
        <v>56</v>
      </c>
    </row>
    <row r="303" spans="1:1" ht="20.100000000000001" customHeight="1" thickBot="1" x14ac:dyDescent="0.35">
      <c r="A303" s="2" t="s">
        <v>56</v>
      </c>
    </row>
    <row r="304" spans="1:1" ht="20.100000000000001" customHeight="1" thickBot="1" x14ac:dyDescent="0.35">
      <c r="A304" s="2" t="s">
        <v>56</v>
      </c>
    </row>
    <row r="305" spans="1:1" ht="20.100000000000001" customHeight="1" thickBot="1" x14ac:dyDescent="0.35">
      <c r="A305" s="2" t="s">
        <v>56</v>
      </c>
    </row>
    <row r="306" spans="1:1" ht="20.100000000000001" customHeight="1" thickBot="1" x14ac:dyDescent="0.35">
      <c r="A306" s="2" t="s">
        <v>56</v>
      </c>
    </row>
    <row r="307" spans="1:1" ht="20.100000000000001" customHeight="1" thickBot="1" x14ac:dyDescent="0.35">
      <c r="A307" s="2" t="s">
        <v>56</v>
      </c>
    </row>
    <row r="308" spans="1:1" ht="20.100000000000001" customHeight="1" thickBot="1" x14ac:dyDescent="0.35">
      <c r="A308" s="2" t="s">
        <v>56</v>
      </c>
    </row>
    <row r="309" spans="1:1" ht="20.100000000000001" customHeight="1" thickBot="1" x14ac:dyDescent="0.35">
      <c r="A309" s="2" t="s">
        <v>56</v>
      </c>
    </row>
    <row r="310" spans="1:1" ht="20.100000000000001" customHeight="1" thickBot="1" x14ac:dyDescent="0.35">
      <c r="A310" s="2" t="s">
        <v>56</v>
      </c>
    </row>
    <row r="311" spans="1:1" ht="20.100000000000001" customHeight="1" thickBot="1" x14ac:dyDescent="0.35">
      <c r="A311" s="2" t="s">
        <v>56</v>
      </c>
    </row>
    <row r="312" spans="1:1" ht="20.100000000000001" customHeight="1" thickBot="1" x14ac:dyDescent="0.35">
      <c r="A312" s="2" t="s">
        <v>56</v>
      </c>
    </row>
    <row r="313" spans="1:1" ht="20.100000000000001" customHeight="1" thickBot="1" x14ac:dyDescent="0.35">
      <c r="A313" s="2" t="s">
        <v>56</v>
      </c>
    </row>
    <row r="314" spans="1:1" ht="20.100000000000001" customHeight="1" thickBot="1" x14ac:dyDescent="0.35">
      <c r="A314" s="2" t="s">
        <v>56</v>
      </c>
    </row>
    <row r="315" spans="1:1" ht="20.100000000000001" customHeight="1" thickBot="1" x14ac:dyDescent="0.35">
      <c r="A315" s="2" t="s">
        <v>56</v>
      </c>
    </row>
    <row r="316" spans="1:1" ht="20.100000000000001" customHeight="1" thickBot="1" x14ac:dyDescent="0.35">
      <c r="A316" s="2" t="s">
        <v>56</v>
      </c>
    </row>
    <row r="317" spans="1:1" ht="20.100000000000001" customHeight="1" thickBot="1" x14ac:dyDescent="0.35">
      <c r="A317" s="2" t="s">
        <v>56</v>
      </c>
    </row>
    <row r="318" spans="1:1" ht="20.100000000000001" customHeight="1" thickBot="1" x14ac:dyDescent="0.35">
      <c r="A318" s="2" t="s">
        <v>56</v>
      </c>
    </row>
    <row r="319" spans="1:1" ht="20.100000000000001" customHeight="1" thickBot="1" x14ac:dyDescent="0.35">
      <c r="A319" s="2" t="s">
        <v>56</v>
      </c>
    </row>
    <row r="320" spans="1:1" ht="20.100000000000001" customHeight="1" thickBot="1" x14ac:dyDescent="0.35">
      <c r="A320" s="2" t="s">
        <v>56</v>
      </c>
    </row>
    <row r="321" spans="1:1" ht="20.100000000000001" customHeight="1" thickBot="1" x14ac:dyDescent="0.35">
      <c r="A321" s="2" t="s">
        <v>56</v>
      </c>
    </row>
    <row r="322" spans="1:1" ht="20.100000000000001" customHeight="1" thickBot="1" x14ac:dyDescent="0.35">
      <c r="A322" s="2" t="s">
        <v>56</v>
      </c>
    </row>
    <row r="323" spans="1:1" ht="20.100000000000001" customHeight="1" thickBot="1" x14ac:dyDescent="0.35">
      <c r="A323" s="2" t="s">
        <v>56</v>
      </c>
    </row>
    <row r="324" spans="1:1" ht="20.100000000000001" customHeight="1" thickBot="1" x14ac:dyDescent="0.35">
      <c r="A324" s="2" t="s">
        <v>56</v>
      </c>
    </row>
    <row r="325" spans="1:1" ht="20.100000000000001" customHeight="1" thickBot="1" x14ac:dyDescent="0.35">
      <c r="A325" s="2" t="s">
        <v>56</v>
      </c>
    </row>
    <row r="326" spans="1:1" ht="20.100000000000001" customHeight="1" thickBot="1" x14ac:dyDescent="0.35">
      <c r="A326" s="2" t="s">
        <v>56</v>
      </c>
    </row>
    <row r="327" spans="1:1" ht="20.100000000000001" customHeight="1" thickBot="1" x14ac:dyDescent="0.35">
      <c r="A327" s="2" t="s">
        <v>56</v>
      </c>
    </row>
    <row r="328" spans="1:1" ht="20.100000000000001" customHeight="1" thickBot="1" x14ac:dyDescent="0.35">
      <c r="A328" s="2" t="s">
        <v>56</v>
      </c>
    </row>
    <row r="329" spans="1:1" ht="20.100000000000001" customHeight="1" thickBot="1" x14ac:dyDescent="0.35">
      <c r="A329" s="2" t="s">
        <v>56</v>
      </c>
    </row>
    <row r="330" spans="1:1" ht="20.100000000000001" customHeight="1" thickBot="1" x14ac:dyDescent="0.35">
      <c r="A330" s="2" t="s">
        <v>56</v>
      </c>
    </row>
    <row r="331" spans="1:1" ht="20.100000000000001" customHeight="1" thickBot="1" x14ac:dyDescent="0.35">
      <c r="A331" s="2" t="s">
        <v>56</v>
      </c>
    </row>
    <row r="332" spans="1:1" ht="20.100000000000001" customHeight="1" thickBot="1" x14ac:dyDescent="0.35">
      <c r="A332" s="2" t="s">
        <v>56</v>
      </c>
    </row>
    <row r="333" spans="1:1" ht="20.100000000000001" customHeight="1" thickBot="1" x14ac:dyDescent="0.35">
      <c r="A333" s="2" t="s">
        <v>56</v>
      </c>
    </row>
    <row r="334" spans="1:1" ht="20.100000000000001" customHeight="1" thickBot="1" x14ac:dyDescent="0.35">
      <c r="A334" s="2" t="s">
        <v>56</v>
      </c>
    </row>
    <row r="335" spans="1:1" ht="20.100000000000001" customHeight="1" thickBot="1" x14ac:dyDescent="0.35">
      <c r="A335" s="2" t="s">
        <v>56</v>
      </c>
    </row>
    <row r="336" spans="1:1" ht="20.100000000000001" customHeight="1" thickBot="1" x14ac:dyDescent="0.35">
      <c r="A336" s="2" t="s">
        <v>56</v>
      </c>
    </row>
    <row r="337" spans="1:1" ht="20.100000000000001" customHeight="1" thickBot="1" x14ac:dyDescent="0.35">
      <c r="A337" s="2" t="s">
        <v>56</v>
      </c>
    </row>
    <row r="338" spans="1:1" ht="20.100000000000001" customHeight="1" thickBot="1" x14ac:dyDescent="0.35">
      <c r="A338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2025-10-15T21:47:09Z</dcterms:modified>
</cp:coreProperties>
</file>