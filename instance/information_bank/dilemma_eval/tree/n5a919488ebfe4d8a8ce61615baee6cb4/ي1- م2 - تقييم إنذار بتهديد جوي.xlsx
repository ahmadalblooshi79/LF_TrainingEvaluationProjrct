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50B2DBD-03CC-4054-85CA-0B2E4C75B6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 s="1"/>
  <c r="G9" i="2"/>
  <c r="H9" i="2"/>
  <c r="G15" i="2"/>
  <c r="H15" i="2" s="1"/>
  <c r="G14" i="2"/>
  <c r="H14" i="2" s="1"/>
  <c r="G10" i="2"/>
  <c r="H10" i="2"/>
  <c r="G12" i="2"/>
  <c r="H12" i="2"/>
  <c r="G11" i="2"/>
  <c r="H11" i="2"/>
  <c r="G13" i="2"/>
  <c r="H13" i="2" s="1"/>
  <c r="G16" i="2"/>
  <c r="H16" i="2" s="1"/>
  <c r="G18" i="2"/>
  <c r="H18" i="2" s="1"/>
  <c r="G8" i="2"/>
  <c r="H8" i="2" s="1"/>
  <c r="F19" i="2"/>
  <c r="E20" i="2" s="1"/>
  <c r="E21" i="2" s="1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<sst xmlns="http://schemas.openxmlformats.org/spreadsheetml/2006/main" count="247" uniqueCount="191">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</sst>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71618</xdr:colOff>
      <xdr:row>22</xdr:row>
      <xdr:rowOff>20915</xdr:rowOff>
    </xdr:from>
    <xdr:to>
      <xdr:col>8</xdr:col>
      <xdr:colOff>261395</xdr:colOff>
      <xdr:row>22</xdr:row>
      <xdr:rowOff>365075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DD8CF6-A41C-7449-F0C6-5D77DF3C5914}"/>
                </a:ext>
              </a:extLst>
            </xdr14:cNvPr>
            <xdr14:cNvContentPartPr/>
          </xdr14:nvContentPartPr>
          <xdr14:nvPr macro=""/>
          <xdr14:xfrm>
            <a:off x="10423441405" y="10316880"/>
            <a:ext cx="844200" cy="344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8DD8CF6-A41C-7449-F0C6-5D77DF3C59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32765" y="10307880"/>
              <a:ext cx="86184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475898</xdr:colOff>
      <xdr:row>22</xdr:row>
      <xdr:rowOff>141875</xdr:rowOff>
    </xdr:from>
    <xdr:to>
      <xdr:col>8</xdr:col>
      <xdr:colOff>509795</xdr:colOff>
      <xdr:row>23</xdr:row>
      <xdr:rowOff>45253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4471714-D6BC-D414-E54E-B12F4A538D11}"/>
                </a:ext>
              </a:extLst>
            </xdr14:cNvPr>
            <xdr14:cNvContentPartPr/>
          </xdr14:nvContentPartPr>
          <xdr14:nvPr macro=""/>
          <xdr14:xfrm>
            <a:off x="10423193005" y="10437840"/>
            <a:ext cx="688320" cy="553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4471714-D6BC-D414-E54E-B12F4A538D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84005" y="10428840"/>
              <a:ext cx="705960" cy="570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1:28.1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1619 790 4520,'0'0'0,"0"-2"1585,0 2-1585,0-4 1256,0 1-672,0-1-264,0 0-128,1 1-56,0-1-64,-1 4-72,1-2 32,2-1-24,0 0 0,1-1-16,-1 1 16,1-1 8,-4 4-16,5-3 24,4-1 24,-6-1-8,2 2 8,-1-2-24,7 1-16,-11 4-8,4-5 16,7 2-40,-8-7 0,10 8-8,-3-2-8,-1-1 40,-9 5 0,10-4 24,1-1-24,0 1 8,1-1-32,1-4-40,0 8 16,-13 1 48,13-4 8,2 0-32,0 1 0,1-1 0,-1 1-64,1-1 48,-16 4 40,17-4-8,0 1-32,-2 0 8,1 2-8,-1 0-32,1 0 64,-16 1 8,17-1-16,-2 1-16,2 0 0,-1 0-48,0 0 16,1 0 80,-17 0-16,16 2-64,0 0 32,0 1-8,0-1-72,-2 2 112,0-1 0,-14-3 0,15 10-24,-2-10-24,-1 4-32,1 5-32,-2-6 56,1 7-8,-12-10 64,11 3-128,0 6 0,-2-5-32,1 7-8,-1-8 96,-4 9-8,-5-12 80,12 4-96,-8 9 32,0-3-24,6-7-16,-8 13 72,2-7 40,-4-9-8,2 4-32,1 10-16,-2-4-24,-1-6 16,0 10 24,0-10 0,0-4 32,-2 13-8,-2-10-16,-6 11 8,7-11 56,-8 9 40,7-8 16,4-4-96,-13 9 56,4-5-16,-2 5-40,0-6-40,-1 6 80,0-6 0,12-3-40,-12 2-8,-1 2 16,1-1-24,-2 1-32,-1-2 40,-2 1-16,17-3 24,-16 2-32,-2-2-16,-1 3-8,-2-3-40,2-2 24,-1 0 16,20 2 56,-20-4-24,0 0 16,1-1-32,-2-7 40,2 8 40,-1-6 0,20 10-40,-22-5 80,1-7 8,-2 2-32,1 1 168,1-1 32,-2 5 16,23 5-272,-21-12 344,0 1-80,1 1 40,1-1 72,-1 1 0,-1 7-16,21 3-360,-21-14 328,1 10-87,0-8-1,0 8-56,1-7-32,-2 8-8,21 3-144,-19-10 88,-2 8 16,0-2 0,-1 1-32,0 0-16,0 2-8,22 1-48,-24-1 8,0 1-24,-1 0 32,-2 0-8,1 0 0,0 2 24,26-2-32,-27 3 0,1-1-64,-1 2 48,1-1 16,-3 1-16,1-1 72,28-3-56,-29 4 24,0 0 8,0-1-32,2 1 16,0-2 0,1 0-16,26-2 0,-25 0 24,-2 0-24,1 0 48,1 0 8,2 0 8,-2-1 24,25 1-88,-23-3 56,2-7 16,-2 7-48,4-8-8,-3 1-40,3-1-88,19 11 112,-19-12-144,0-1-64,-1 0-32,0-3-8,1 1-40,1-1-8,18 16 296,-16-17-353,2 0-79,2-1-56,2-3-8,-3 1 8,10-1 80,3 21 408,-15-19-336,12-1 72,-1 1 72,0-2 40,2 3 32,2-1 32,0 19 88,0-17-72,0 1-8,2-1-16,3 1 8,6-1-24,-1 1 0,-10 16 112,9-17-128,2 0-8,3 0 0,1-1-8,4 0-9,1 2 33,-20 16 120,19-17-120,3 2 40,0 0 40,-2 2 0,3 0 40,-2-1-24,-21 14 24,23-10-16,2-1 0,0 1 0,2 1 0,0-1 0,1 5 8,-28 5 8,30-12-8,1 7-8,0-5-8,3 6 0,-1 0 8,1 1 16,-34 3 0,33-4-8,0 2 0,-1 1-16,2-1-8,-2 2 0,0 0 8,-32 0 24,34 0-24,0 4 8,0 0-8,-3 5-8,-1-6-8,-2 0 16,-28-3 24,25 10-32,-1-8 8,0 10 8,-1-8-8,-2 8 16,1-9 16,-22-3-8,20 12 24,1-2-8,-3 1 0,0 1 0,-2 0 0,1 1 16,-17-13-32,15 12 64,-3 1 8,0 1 0,-3 1 24,1 2 0,-7-1-16,-3-16-80,10 17 88,-8-1 16,2-2 0,-1 1 41,-1-2 15,-1 1 8,-1-14-168,1 14 264,-1 0-24,-2 0 24,-8 0 32,7 1-48,-8 0 64,11-15-312,-10 16 304,-2 0-16,-1-1 0,-4 1-16,-2-1 32,-1 2 64,20-17-368,-21 14 328,-1 2-72,-1 0-8,-1-2-71,0 2-25,-1-1 96,25-15-248,-27 14 256,1 1-56,-1-2 32,-2 0-72,-1 0-56,-3 2 112,33-15-216,-35 13 216,1-1-24,0 2 24,0-2-72,-2 2-8,-3-1-8,39-13-128,-39 13 224,-3 0-120,0 1 8,-1-2 16,-2 2-176,2-4 256,43-10-208,-45 11 168,0 0-48,1 0 32,-1 0-136,1-1-32,0 0 112,44-10-96,-45 11 32,2-8 24,1 10 32,4-9-40,0 7-8,2-9 64,36-2-104,-35 10 0,0-8-32,3 2 32,2-1-248,2 0 8,2-1-208,26-2 448,-24 0-680,1 3-224,3-3-424,1 0-529,2 0-239,1-3 351,16 3 1745,-14-3-1168,2-2 568,0-7 384,2 2 152,1-2-1808,9 12 1872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1:29.1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1911 0 2896,'0'0'0,"0"0"488,0 0-56,0 2-272,0 1-24,0-3-136,-3 3 160,3 1 104,-2 7 121,0-8 63,-1 11 72,-6-4-8,9-10-512,-4 15 440,-9-1-24,2 2-88,-3 2-48,-3 1-32,-2 0-40,19-19-208,-21 20 200,0 1 24,-2-1-8,0 1-16,-2-2-40,2 0-15,-2 0-25,25-19-120,-25 18 112,1 0-8,-2-1 8,3-2-40,-1 1 8,3-2-40,21-14-40,-21 14 24,-1-3-32,6 1-152,-5-1-168,6-1-201,0-7-239,15-3 768,-15 11-992,0-8-160,1 0-104,1 1 119,0-1 353,1-3 296,12 0 488,-12 0-216,0 0 168,0-1 16,-2-2 0,2-7 16,1 6-8,11 4 24,-14-10-16,3 5 8,2-7 0,-3 7 16,1-5 0,0 7 16,11 3-24,-12-5 32,3 2 16,-1-1 8,1 2 32,-1 0 72,-1 1 56,11 1-216,-12-1 272,0 0 40,0 0-24,-2 1-8,1 0-32,-3 0-16,16 0-232,-15 0 208,0 3-7,-2 1-17,2-1-24,-2 8-16,-1-9-32,18-2-112,-17 4 88,2 7-24,0-9-24,0 2-8,0 7-16,15-11-16,-15 2 24,-1 2 32,4 5-16,-3-9 8,3 4 8,0-1 8,12-3-64,-13 4 80,2-2-8,-1 1 0,1-1-16,-1-2-24,1 3-40,11-3 8,-12 0-56,-1 0-80,2 0-128,-2 0-160,1 0-176,0 0-33,12 0 633,-14-2-568,0-1 64,1-1 168,-1 1 88,-3-2 88,0-5 80,17 10 80,-16-3-32,-2-7 8,0 6-8,1-6 16,0 6 8,2-1-8,15 5 16,-15-5 8,2 2-8,0-1 8,1 2-8,1 0 0,0 0 0,11 2 0,-10-2 32,-1 0-32,0-1-8,1 2 8,1-1-32,-1 0 24,10 2 8,-9-2 24,-1 0-16,6-1-8,-10 1 16,10-2-24,-9 2 0,13 2 8,-3-4 32,-8 2-8,8-1-16,0 0 32,-7 0-32,8 0 32,2 3-40,-3-3 56,0 0 40,0-1-16,1 1-8,0-1-8,-1 0-88,3 4 24,0-4-8,0 0-48,0-1-8,0-4 16,2 5-16,0-7 8,-2 11 56,3-3-16,1-7-16,6 6 24,-8 0 0,3-1-24,4-5 40,-9 10-8,4-1 8,1-3-8,4 2 16,-5 0-16,0-1 32,0 2-32,-4 1 0,4 0 40,0 0-8,-1 0-16,0 4 80,-1-1-8,-1 8 104,-1-11-192,1 4 272,0 10 88,-1-2 112,0 2 40,-3 3-87,-7 2-49,10-19-376,-3 21 296,-9 3-104,2 0 88,-1 3-32,-1 1-80,0 1 8,12-29-176,-14 31 160,0 0-40,-2 6 72,2 0-24,-3 0-80,3 3-16,14-40-72,-16 38 72,2 2-8,-1 1 48,1-1 88,-1 2-80,2 1 56,13-43-176,-13 45 192,2-2-64,2 1 144,5-3-80,-6-3-48,10-1 72,0-37-216,0 35 129,0-4 55,2-2 72,7-3 16,3 1-56,3-3-8,-15-24-208,16 24 200,5-1-16,2-3 48,3-3-88,4-2-48,2-3-112,-32-12 16,37 12-80,3-1 0,2-7 0,1 8-72,3-10-16,3 0-40,-49-2 208,51 4-320,2-2-16,2-2-297,2 0-463,1-3-472,3-7-304,-61 10 1872,63-9-1449,4-5 569,2-2 416,0-3-1344,-69 19 1808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zoomScale="130" zoomScaleNormal="100" zoomScaleSheetLayoutView="130" workbookViewId="0">
      <selection activeCell="F13" sqref="F1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9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5" t="s">
        <v>188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1" t="s">
        <v>8</v>
      </c>
      <c r="C2" s="61" t="s">
        <v>41</v>
      </c>
      <c r="D2" s="61"/>
      <c r="E2" s="11" t="s">
        <v>7</v>
      </c>
      <c r="F2" s="56">
        <v>45943</v>
      </c>
      <c r="G2" s="56"/>
      <c r="H2" s="56"/>
      <c r="I2" s="56"/>
      <c r="J2" s="56"/>
    </row>
    <row r="3" spans="1:10" ht="30" customHeight="1" x14ac:dyDescent="0.3">
      <c r="B3" s="11" t="s">
        <v>9</v>
      </c>
      <c r="C3" s="61" t="s">
        <v>82</v>
      </c>
      <c r="D3" s="61"/>
      <c r="E3" s="11" t="s">
        <v>6</v>
      </c>
      <c r="F3" s="61" t="s">
        <v>92</v>
      </c>
      <c r="G3" s="61"/>
      <c r="H3" s="61"/>
      <c r="I3" s="61"/>
      <c r="J3" s="6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57" t="s">
        <v>0</v>
      </c>
      <c r="C5" s="58"/>
      <c r="D5" s="58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9"/>
      <c r="B6" s="59"/>
      <c r="C6" s="60"/>
      <c r="D6" s="60"/>
      <c r="E6" s="10" t="s">
        <v>3</v>
      </c>
      <c r="F6" s="10" t="s">
        <v>4</v>
      </c>
      <c r="G6" s="10" t="s">
        <v>23</v>
      </c>
      <c r="H6" s="10" t="s">
        <v>24</v>
      </c>
      <c r="I6" s="64"/>
      <c r="J6" s="65"/>
    </row>
    <row r="7" spans="1:10" ht="24.9" customHeight="1" x14ac:dyDescent="0.3">
      <c r="A7" s="9"/>
      <c r="B7" s="51" t="s">
        <v>21</v>
      </c>
      <c r="C7" s="52"/>
      <c r="D7" s="52"/>
      <c r="E7" s="30" t="s">
        <v>18</v>
      </c>
      <c r="F7" s="30" t="s">
        <v>19</v>
      </c>
      <c r="G7" s="30" t="s">
        <v>22</v>
      </c>
      <c r="H7" s="30" t="s">
        <v>20</v>
      </c>
      <c r="I7" s="53" t="s">
        <v>25</v>
      </c>
      <c r="J7" s="54"/>
    </row>
    <row r="8" spans="1:10" ht="60" customHeight="1" x14ac:dyDescent="0.3">
      <c r="A8" s="9"/>
      <c r="B8" s="40" t="s">
        <v>189</v>
      </c>
      <c r="C8" s="40"/>
      <c r="D8" s="40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1"/>
      <c r="J8" s="41"/>
    </row>
    <row r="9" spans="1:10" ht="39.9" customHeight="1" x14ac:dyDescent="0.3">
      <c r="A9" s="9"/>
      <c r="B9" s="40" t="s">
        <v>180</v>
      </c>
      <c r="C9" s="40"/>
      <c r="D9" s="40"/>
      <c r="E9" s="32">
        <v>3</v>
      </c>
      <c r="F9" s="2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1"/>
      <c r="J9" s="41"/>
    </row>
    <row r="10" spans="1:10" ht="39.9" customHeight="1" x14ac:dyDescent="0.3">
      <c r="A10" s="9"/>
      <c r="B10" s="40" t="s">
        <v>182</v>
      </c>
      <c r="C10" s="42"/>
      <c r="D10" s="42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1"/>
    </row>
    <row r="11" spans="1:10" ht="30" customHeight="1" x14ac:dyDescent="0.3">
      <c r="A11" s="9"/>
      <c r="B11" s="40" t="s">
        <v>178</v>
      </c>
      <c r="C11" s="40"/>
      <c r="D11" s="40"/>
      <c r="E11" s="32">
        <v>3</v>
      </c>
      <c r="F11" s="25">
        <v>2.5</v>
      </c>
      <c r="G11" s="33">
        <f>IFERROR(F11/E11,"")</f>
        <v>0.83333333333333337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 جداً</v>
      </c>
      <c r="I11" s="41"/>
      <c r="J11" s="41"/>
    </row>
    <row r="12" spans="1:10" ht="30" customHeight="1" x14ac:dyDescent="0.3">
      <c r="A12" s="9"/>
      <c r="B12" s="40" t="s">
        <v>179</v>
      </c>
      <c r="C12" s="40"/>
      <c r="D12" s="40"/>
      <c r="E12" s="32">
        <v>3</v>
      </c>
      <c r="F12" s="25">
        <v>1.75</v>
      </c>
      <c r="G12" s="33">
        <f>IFERROR(F12/E12,"")</f>
        <v>0.58333333333333337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راسب</v>
      </c>
      <c r="I12" s="41"/>
      <c r="J12" s="41"/>
    </row>
    <row r="13" spans="1:10" ht="39.9" customHeight="1" x14ac:dyDescent="0.3">
      <c r="A13" s="9"/>
      <c r="B13" s="40" t="s">
        <v>190</v>
      </c>
      <c r="C13" s="40"/>
      <c r="D13" s="40"/>
      <c r="E13" s="32">
        <v>3</v>
      </c>
      <c r="F13" s="3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1"/>
      <c r="J13" s="41"/>
    </row>
    <row r="14" spans="1:10" ht="30" customHeight="1" x14ac:dyDescent="0.3">
      <c r="A14" s="9"/>
      <c r="B14" s="40" t="s">
        <v>183</v>
      </c>
      <c r="C14" s="40"/>
      <c r="D14" s="40"/>
      <c r="E14" s="32">
        <v>3</v>
      </c>
      <c r="F14" s="3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1"/>
      <c r="J14" s="41"/>
    </row>
    <row r="15" spans="1:10" ht="39.9" customHeight="1" x14ac:dyDescent="0.3">
      <c r="A15" s="9"/>
      <c r="B15" s="40" t="s">
        <v>184</v>
      </c>
      <c r="C15" s="40"/>
      <c r="D15" s="40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1"/>
      <c r="J15" s="41"/>
    </row>
    <row r="16" spans="1:10" ht="60" customHeight="1" x14ac:dyDescent="0.3">
      <c r="A16" s="9"/>
      <c r="B16" s="48" t="s">
        <v>185</v>
      </c>
      <c r="C16" s="49"/>
      <c r="D16" s="50"/>
      <c r="E16" s="32">
        <v>3</v>
      </c>
      <c r="F16" s="25">
        <v>2</v>
      </c>
      <c r="G16" s="33">
        <f t="shared" si="4"/>
        <v>0.66666666666666663</v>
      </c>
      <c r="H16" s="34" t="str">
        <f t="shared" si="5"/>
        <v>مقبول</v>
      </c>
      <c r="I16" s="41"/>
      <c r="J16" s="41"/>
    </row>
    <row r="17" spans="1:10" ht="39.9" customHeight="1" x14ac:dyDescent="0.3">
      <c r="A17" s="9"/>
      <c r="B17" s="40" t="s">
        <v>186</v>
      </c>
      <c r="C17" s="42"/>
      <c r="D17" s="42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1"/>
      <c r="J17" s="41"/>
    </row>
    <row r="18" spans="1:10" ht="60" customHeight="1" x14ac:dyDescent="0.3">
      <c r="A18" s="9"/>
      <c r="B18" s="40" t="s">
        <v>181</v>
      </c>
      <c r="C18" s="40"/>
      <c r="D18" s="40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1"/>
      <c r="J18" s="41"/>
    </row>
    <row r="19" spans="1:10" ht="30" customHeight="1" thickBot="1" x14ac:dyDescent="0.35">
      <c r="A19" s="4"/>
      <c r="B19" s="74" t="s">
        <v>5</v>
      </c>
      <c r="C19" s="75"/>
      <c r="D19" s="75"/>
      <c r="E19" s="31">
        <f>SUM(E8:E18)</f>
        <v>33</v>
      </c>
      <c r="F19" s="31">
        <f>SUM(F8:F18)</f>
        <v>23.25</v>
      </c>
      <c r="G19" s="43"/>
      <c r="H19" s="44"/>
      <c r="I19" s="44"/>
      <c r="J19" s="45"/>
    </row>
    <row r="20" spans="1:10" ht="30" customHeight="1" thickBot="1" x14ac:dyDescent="0.35">
      <c r="A20" s="4"/>
      <c r="B20" s="76" t="s">
        <v>54</v>
      </c>
      <c r="C20" s="77"/>
      <c r="D20" s="77"/>
      <c r="E20" s="46">
        <f>F19/E19/100*100</f>
        <v>0.70454545454545459</v>
      </c>
      <c r="F20" s="46"/>
      <c r="G20" s="46"/>
      <c r="H20" s="46"/>
      <c r="I20" s="46"/>
      <c r="J20" s="47"/>
    </row>
    <row r="21" spans="1:10" ht="30" customHeight="1" thickBot="1" x14ac:dyDescent="0.35">
      <c r="A21" s="4"/>
      <c r="B21" s="76" t="s">
        <v>55</v>
      </c>
      <c r="C21" s="77"/>
      <c r="D21" s="77"/>
      <c r="E21" s="66" t="str">
        <f>_xlfn.IFS(E20&gt;=90%,"ممتاز",E20&gt;=80%,"جيد جداً",E20&gt;=70%,"جيد",E20&gt;=60%,"مقبول",E20&lt;60%,"راسب")</f>
        <v>جيد</v>
      </c>
      <c r="F21" s="66"/>
      <c r="G21" s="66"/>
      <c r="H21" s="66"/>
      <c r="I21" s="66"/>
      <c r="J21" s="67"/>
    </row>
    <row r="22" spans="1:10" ht="42" customHeight="1" x14ac:dyDescent="0.3">
      <c r="B22" s="36" t="s">
        <v>187</v>
      </c>
      <c r="C22" s="36"/>
      <c r="D22" s="36"/>
      <c r="E22" s="78" t="s">
        <v>52</v>
      </c>
      <c r="F22" s="78"/>
      <c r="G22" s="38" t="s">
        <v>92</v>
      </c>
      <c r="H22" s="38"/>
      <c r="I22" s="38"/>
      <c r="J22" s="38"/>
    </row>
    <row r="23" spans="1:10" ht="51" customHeight="1" x14ac:dyDescent="0.3">
      <c r="A23" s="5"/>
      <c r="B23" s="37"/>
      <c r="C23" s="37"/>
      <c r="D23" s="37"/>
      <c r="E23" s="79" t="s">
        <v>53</v>
      </c>
      <c r="F23" s="79"/>
      <c r="G23" s="39"/>
      <c r="H23" s="39"/>
      <c r="I23" s="39"/>
      <c r="J23" s="39"/>
    </row>
    <row r="24" spans="1:10" ht="15.6" x14ac:dyDescent="0.3">
      <c r="A24" s="26">
        <v>3</v>
      </c>
      <c r="B24" s="68" t="s">
        <v>175</v>
      </c>
      <c r="C24" s="69"/>
    </row>
    <row r="25" spans="1:10" ht="15.6" x14ac:dyDescent="0.3">
      <c r="A25" s="27">
        <v>2</v>
      </c>
      <c r="B25" s="70" t="s">
        <v>176</v>
      </c>
      <c r="C25" s="71"/>
    </row>
    <row r="26" spans="1:10" ht="15.6" x14ac:dyDescent="0.3">
      <c r="A26" s="28">
        <v>1</v>
      </c>
      <c r="B26" s="72" t="s">
        <v>177</v>
      </c>
      <c r="C26" s="73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07">
      <formula>$E21="مقبول"</formula>
    </cfRule>
    <cfRule type="expression" dxfId="12" priority="108">
      <formula>$E21="جيد"</formula>
    </cfRule>
    <cfRule type="expression" dxfId="11" priority="109">
      <formula>$E21="جيد جداً"</formula>
    </cfRule>
    <cfRule type="expression" dxfId="10" priority="110">
      <formula>$E21="ممتاز"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2025-10-15T17:10:51Z</dcterms:modified>
</cp:coreProperties>
</file>