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33F1756C-042D-4F41-80D3-DC6B4FDE63E4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6" i="2"/>
  <c r="H26" i="2"/>
  <c r="G27" i="2"/>
  <c r="H27" i="2"/>
  <c r="G28" i="2"/>
  <c r="H28" i="2"/>
  <c r="G30" i="2"/>
  <c r="H30" i="2"/>
  <c r="G31" i="2"/>
  <c r="H31" i="2"/>
  <c r="G32" i="2"/>
  <c r="H32" i="2"/>
  <c r="G33" i="2"/>
  <c r="H33" i="2"/>
  <c r="G34" i="2"/>
  <c r="H34" i="2"/>
  <c r="G37" i="2"/>
  <c r="H37" i="2"/>
  <c r="G38" i="2"/>
  <c r="H38" i="2"/>
  <c r="G39" i="2"/>
  <c r="H39" i="2"/>
  <c r="G40" i="2"/>
  <c r="H40" i="2"/>
  <c r="G41" i="2"/>
  <c r="H41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F53" i="2"/>
  <c r="E53" i="2"/>
  <c r="E54" i="2"/>
  <c r="E55" i="2"/>
</calcChain>
</file>

<file path=xl/sharedStrings.xml><?xml version="1.0" encoding="utf-8"?>
<sst xmlns="http://schemas.openxmlformats.org/spreadsheetml/2006/main" count="282" uniqueCount="226">
  <si>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</si>
  <si>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</si>
  <si>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</si>
  <si>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</si>
  <si>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</si>
  <si>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</si>
  <si>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</si>
  <si>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</si>
  <si>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</si>
  <si>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</si>
  <si>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</si>
  <si>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</si>
  <si>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</si>
  <si>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</si>
  <si>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</si>
  <si>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</si>
  <si>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</si>
  <si>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</si>
  <si>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</si>
  <si>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</si>
  <si>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</si>
  <si>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</si>
  <si>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</si>
  <si>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</si>
  <si>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</si>
  <si>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</si>
  <si>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</si>
  <si>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</si>
  <si>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</si>
  <si>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</si>
  <si>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</si>
  <si>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</si>
  <si>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</si>
  <si>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</si>
  <si>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</si>
  <si>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</si>
  <si>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</si>
  <si>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</si>
  <si>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</si>
  <si>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</si>
  <si>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</si>
  <si>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</si>
  <si>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</si>
  <si>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</si>
  <si>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</si>
  <si>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</si>
  <si>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</si>
  <si>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</si>
  <si>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</si>
  <si>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</si>
  <si>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</si>
  <si>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</si>
  <si>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</si>
  <si>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</si>
  <si>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</si>
  <si>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</si>
  <si>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</si>
  <si>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</si>
  <si>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</si>
  <si>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</si>
  <si>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</si>
  <si>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</si>
  <si>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</si>
  <si>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</si>
  <si>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</si>
  <si>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</si>
  <si>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</si>
  <si>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</si>
  <si>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</si>
  <si>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</si>
  <si>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</si>
  <si>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</si>
  <si>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</si>
  <si>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</si>
  <si>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</si>
  <si>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</si>
  <si>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</si>
  <si>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</si>
  <si>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</si>
  <si>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</si>
  <si>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</si>
  <si>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</si>
  <si>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</si>
  <si>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</si>
  <si>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</si>
  <si>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</si>
  <si>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</si>
  <si>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</si>
  <si>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</si>
  <si>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</si>
  <si>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</si>
  <si>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</si>
  <si>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</si>
  <si>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</si>
  <si>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</si>
  <si>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</si>
  <si>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</si>
  <si>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</si>
  <si>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</si>
  <si>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</si>
  <si>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</si>
  <si>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</si>
  <si>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</si>
  <si>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</si>
  <si>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</si>
  <si>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</si>
  <si>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</si>
  <si>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</si>
  <si>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</si>
  <si>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</si>
  <si>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</si>
  <si>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</si>
  <si>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</si>
  <si>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</si>
  <si>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</si>
  <si>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</si>
  <si>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</si>
  <si>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</si>
  <si>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</si>
  <si>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</si>
  <si>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</si>
  <si>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</si>
  <si>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</si>
  <si>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</si>
  <si>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</si>
  <si>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</si>
  <si>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</si>
  <si>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</si>
  <si>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</si>
  <si>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</si>
  <si>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</si>
  <si>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</si>
  <si>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</si>
  <si>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</si>
  <si>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</si>
  <si>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</si>
  <si>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</si>
  <si>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</si>
  <si>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</si>
  <si>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</si>
  <si>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</si>
  <si>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</si>
  <si>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</si>
  <si>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</si>
  <si>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</si>
  <si>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</si>
  <si>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</si>
  <si>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</si>
  <si>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</si>
  <si>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</si>
  <si>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</si>
  <si>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</si>
  <si>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</si>
  <si>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</si>
  <si>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</si>
  <si>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</si>
  <si>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</si>
  <si>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</si>
  <si>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</si>
  <si>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</si>
  <si>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</si>
  <si>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</si>
  <si>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</si>
  <si>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</si>
  <si>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</si>
  <si>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</si>
  <si>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</si>
  <si>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</si>
  <si>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</si>
  <si>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</si>
  <si>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</si>
  <si>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</si>
  <si>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</si>
  <si>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</si>
  <si>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</si>
  <si>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</si>
  <si>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</si>
  <si>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</si>
  <si>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</si>
  <si>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</si>
  <si>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التخطيط</t>
  </si>
  <si>
    <t>1.   تستلم السرية الأمر من المستوى الأعلى لتنفيذ التقدم للتماس وتقوم بما يلي:</t>
  </si>
  <si>
    <t>أ. البدء بالتخطيط من خلال إجراءات المعركة الثمانية (استلام المهمة - إصدار الأمر الإنذاري - عمل خطة أولية - بدء الحركة – الاستطلاع - إكمال الخطة - إصدار الأمر – الإشراف والمراقبة).</t>
  </si>
  <si>
    <t>ب. تنفيذ الاستطلاع من الخارطة.</t>
  </si>
  <si>
    <t>جـ.   إعداد وتطوير خطة المناورة لتشمل ما يلي:</t>
  </si>
  <si>
    <t>(2)  استخدام أحد الفصائل للعمل كقوة استطلاع إذا لم يكن هناك استطلاع تخصصي امام السرية.</t>
  </si>
  <si>
    <t>(3)  استخدام تشكيلة الحركة التي تُمكِّن من الانفتاح بسرعة والهجوم من أي اتجاه، وأن تكون الوحدات ضمن مسافات إسناد بعضها البعض لتسهيل رد الفعل.</t>
  </si>
  <si>
    <t xml:space="preserve">(4)  الحصول على التماس مع العدو بأصغر قوة ممكنة والمحافظة على حماية القوة لجميع الجهات. </t>
  </si>
  <si>
    <t>(5)  المحافظة على إمكانية حشد النيران بسرعة من أي اتجاه.</t>
  </si>
  <si>
    <t xml:space="preserve">د. مراجعة إجراءات السيطرة الموضوعة من قبل الكتيبة/ مجموعة القتال وإضافة أي إجراءات سيطرة ضرورية على مستوى السرية. </t>
  </si>
  <si>
    <t>هـ. تنسيق ومزامنة الوظائف القتالية التالية بناءً على متغيرات المهمة:</t>
  </si>
  <si>
    <t>(1) إسناد النيران غير المباشرة.</t>
  </si>
  <si>
    <t>(2) الإسناد الهندسي مع خطة المناورة.</t>
  </si>
  <si>
    <t>(3) الإسناد الإداري قبل وأثناء العملية.</t>
  </si>
  <si>
    <t>2.   إصدار أمر العمليات للوحدات المرؤوسة.</t>
  </si>
  <si>
    <t>إجراءات التحضير</t>
  </si>
  <si>
    <t>1.   تنفذ قيادة السرية الإجراءات التالية:</t>
  </si>
  <si>
    <t>أ. تنقيح الخطة بناءً على التحديث المستمر للمعلومات الاستخبارية.</t>
  </si>
  <si>
    <t>ب. تنفيذ تفقدات وتفتيشات ما قبل القتال.</t>
  </si>
  <si>
    <t>جـ. التنسيق مع الوحدات المجاورة حسب الحاجة.</t>
  </si>
  <si>
    <t>2.   إجراء التجارب على تنفيذ المهمة لتشمل ما يلي:</t>
  </si>
  <si>
    <t>أ. أسلوب الحركة والتشكيلات.</t>
  </si>
  <si>
    <t>ب. الإجراءات عند التماس.</t>
  </si>
  <si>
    <t>جـ.  التعامل مع الموانع.</t>
  </si>
  <si>
    <t>د. إجراءات التحول للهجوم عند التماس مع العدو.</t>
  </si>
  <si>
    <t>3.   توضيع القوات حسب دورها في الخطة استعداداً لبدء الحركة.</t>
  </si>
  <si>
    <t>إجراءات التنفيذ</t>
  </si>
  <si>
    <t>1.   الحركة من منطقة التجمع حسب أولوية الحركة والخطة الموضوعة:</t>
  </si>
  <si>
    <t>أ. بدء حركة العناصر الأمامية حسب التوقيتات المذكورة في أمر العمليات.</t>
  </si>
  <si>
    <t>ب. تحرك الجسم الرئيسي حسب خطة المناورة (التشكيلة وأسلوب الحركة والطرق).</t>
  </si>
  <si>
    <t>جـ. حركة عناصر الإسناد الناري حسب الخطة.</t>
  </si>
  <si>
    <t>د. حركة عناصر الإسناد الإداري.</t>
  </si>
  <si>
    <t>2.   إرسال المعلومات للمستوى الأعلى وحسب الأوامر التعبوية المستديمة .</t>
  </si>
  <si>
    <t>3.   تطبيق إجراءات العمل عند التماس مع العدو وكما يلي:</t>
  </si>
  <si>
    <t>أ. الرد على العدو.</t>
  </si>
  <si>
    <t>ب. إبلاغ المستوى الأعلى بحصول التماس.</t>
  </si>
  <si>
    <t>جـ. تطوير الموقف.</t>
  </si>
  <si>
    <t xml:space="preserve">د. ارسال تقرير مفصل بالموقف للمستوى الأعلى. </t>
  </si>
  <si>
    <t xml:space="preserve">(1) الهجوم السريع إذا كانت قوة العدو ضمن إمكانيات السرية . </t>
  </si>
  <si>
    <t>(2) الدفاع وتثبيت العدو إذا كانت قوة العدو خارج إمكانيات السرية وإسناد العمل الممكن الذي يقرره المستوى الأعلى .</t>
  </si>
  <si>
    <t>(3) تجاوز قوة العدو إذا كانت الأوامر تسمح بذلك، وإبلاغ المستوى الأعلى .</t>
  </si>
  <si>
    <t>و. تنفيذ المناورة المناسبة لتنفيذ العمل الممكن.</t>
  </si>
  <si>
    <t>4.   ارسال تقرير بالموقف.</t>
  </si>
  <si>
    <r>
      <rPr>
        <b/>
        <sz val="14"/>
        <color rgb="FF000000"/>
        <rFont val="Arial"/>
        <family val="2"/>
      </rPr>
      <t>تقييم سرية مشاة راجلة في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</si>
  <si>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(1)  التجميع للواجب بما يتلائم مع المهمة (حسب الواجب الرئيسي للسرية والذي قد يكون العمل كحرس مقدمة أو كجزء من الجسم الرئيسي أو احتياط للكتيبة/ مجموعة القتال).</t>
  </si>
  <si>
    <t>هـ. اتخاذ القرار للتعامل مع قوات العدو حسب الخيارات المتوفرة: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</si>
</sst>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6" borderId="15" xfId="0" applyFont="1" applyFill="1" applyBorder="1" applyAlignment="1">
      <alignment horizontal="right" vertical="center" wrapText="1" indent="2" readingOrder="2"/>
    </xf>
    <xf numFmtId="0" fontId="13" fillId="6" borderId="3" xfId="0" applyFont="1" applyFill="1" applyBorder="1" applyAlignment="1">
      <alignment horizontal="right" vertical="center" wrapText="1" indent="2" readingOrder="2"/>
    </xf>
    <xf numFmtId="0" fontId="13" fillId="6" borderId="15" xfId="0" applyFont="1" applyFill="1" applyBorder="1" applyAlignment="1">
      <alignment horizontal="right" vertical="center" wrapText="1" indent="4" readingOrder="2"/>
    </xf>
    <xf numFmtId="0" fontId="13" fillId="6" borderId="3" xfId="0" applyFont="1" applyFill="1" applyBorder="1" applyAlignment="1">
      <alignment horizontal="right" vertical="center" wrapText="1" indent="4" readingOrder="2"/>
    </xf>
    <xf numFmtId="0" fontId="13" fillId="6" borderId="11" xfId="0" applyFont="1" applyFill="1" applyBorder="1" applyAlignment="1">
      <alignment horizontal="right" vertical="center" wrapText="1" readingOrder="2"/>
    </xf>
    <xf numFmtId="0" fontId="13" fillId="6" borderId="12" xfId="0" applyFont="1" applyFill="1" applyBorder="1" applyAlignment="1">
      <alignment horizontal="right" vertical="center" wrapText="1" readingOrder="2"/>
    </xf>
    <xf numFmtId="0" fontId="13" fillId="6" borderId="15" xfId="0" applyFont="1" applyFill="1" applyBorder="1" applyAlignment="1">
      <alignment horizontal="right" vertical="center" wrapText="1" readingOrder="2"/>
    </xf>
    <xf numFmtId="0" fontId="13" fillId="6" borderId="3" xfId="0" applyFont="1" applyFill="1" applyBorder="1" applyAlignment="1">
      <alignment horizontal="right" vertical="center" wrapText="1" readingOrder="2"/>
    </xf>
    <xf numFmtId="0" fontId="6" fillId="5" borderId="5" xfId="0" applyFont="1" applyFill="1" applyBorder="1" applyAlignment="1">
      <alignment horizontal="right" vertical="center" wrapText="1" readingOrder="2"/>
    </xf>
    <xf numFmtId="0" fontId="6" fillId="5" borderId="4" xfId="0" applyFont="1" applyFill="1" applyBorder="1" applyAlignment="1">
      <alignment horizontal="right" vertical="center" wrapText="1" readingOrder="2"/>
    </xf>
    <xf numFmtId="0" fontId="6" fillId="5" borderId="6" xfId="0" applyFont="1" applyFill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414825</xdr:colOff>
      <xdr:row>56</xdr:row>
      <xdr:rowOff>75672</xdr:rowOff>
    </xdr:from>
    <xdr:to>
      <xdr:col>8</xdr:col>
      <xdr:colOff>535764</xdr:colOff>
      <xdr:row>56</xdr:row>
      <xdr:rowOff>547272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0685713-D89D-36E4-BF6F-98A1CF1BD4FA}"/>
                </a:ext>
              </a:extLst>
            </xdr14:cNvPr>
            <xdr14:cNvContentPartPr/>
          </xdr14:nvContentPartPr>
          <xdr14:nvPr macro=""/>
          <xdr14:xfrm>
            <a:off x="10398709145" y="25516080"/>
            <a:ext cx="1437120" cy="4716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0685713-D89D-36E4-BF6F-98A1CF1BD4F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700145" y="25507440"/>
              <a:ext cx="1454760" cy="48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59855</xdr:colOff>
      <xdr:row>56</xdr:row>
      <xdr:rowOff>358272</xdr:rowOff>
    </xdr:from>
    <xdr:to>
      <xdr:col>7</xdr:col>
      <xdr:colOff>68135</xdr:colOff>
      <xdr:row>56</xdr:row>
      <xdr:rowOff>404712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57EEA22-4471-48A0-8142-BB9BD3F5FE52}"/>
                </a:ext>
              </a:extLst>
            </xdr14:cNvPr>
            <xdr14:cNvContentPartPr/>
          </xdr14:nvContentPartPr>
          <xdr14:nvPr macro=""/>
          <xdr14:xfrm>
            <a:off x="10399834865" y="25798680"/>
            <a:ext cx="8280" cy="464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57EEA22-4471-48A0-8142-BB9BD3F5FE5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825865" y="25789680"/>
              <a:ext cx="25920" cy="64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5:42:39.5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3649 76 14283,'0'0'0,"0"0"0,2-18 448,3 1-352,7-1-184,-7 7-304,-5 11 392,10 0-681,2 0 81,0 0 128,5 3 96,-17-3 376,16 4-216,-1 8-24,2-8 56,0 13 168,-17-17 16,19 14 176,5 5-64,-2 0-8,-6 6 32,-16-25-136,17 25 136,-2 4 120,-1 2-144,-12 2 8,-2-33-120,15 35 40,-13 2-40,10 3 128,-7-2-40,-5-38-88,10 39 80,-8-5 0,3-4 48,0-3-112,-5-27-16,2 21 8,3-5 48,0-5-80,-3-7 56,-2-4-32,3 5 136,-3-3-24,0-2 136,-3 3 57,3-3-305,-2 3 232,-13 1-40,-4 8-184,-5-8-48,24-4 40,-31 14-64,-3-1-72,-2-9 40,-7 9-64,43-13 160,-41 0 8,-2 3-48,-6-3 144,6-2-8,43 2-96,-48-4 56,5-7 56,2 7-16,2-9 0,39 13-96,-38-4-32,4-8 96,5 9-72,-2-1 16,31 4-8,-22-11 24,3 8-112,7-1 16,7-2 16,5 6 56,-12-4-8,10-2 32,0 0 24,2 1 8,0 5-56,-3-5 64,3 0-24,-2 0 88,-1 2 80,3 3-208,-4-2 224,-9 0-80,11 2-120,-10 0-88,12 0 64,-17 4-120,-4 9 160,-1-1-24,-5 0 56,27-12-72,-31 15 96,-2-1-144,-4 0 136,-3 0-40,40-14-48,-39 15 96,-2-4 48,0-7-40,0 8 24,41-12-128,-43 0 112,-7 2 64,-6 1 32,-4-3-48,60 0-160,-65 0 240,-12 0 80,0 0-24,-9 0 56,86 0-352,-92 3 256,-6 1-120,-8 12-8,-7 0-64,113-16-64,-113 19 8,0 6 64,-5 3-48,-5 2 40,123-30-64,-120 31 24,2 0-96,5-1 8,10-3-8,103-27 72,-97 25-56,6-7 176,12-5-48,2-10 24,77-3-96,-75 2 105,5-2-41,5-1 32,5-10 48,60 11-144,-60-6 136,7-11 40,5 11-240,5-9 160,43 15-96,-36-6 128,9-8-72,3 9 144,2 1-200,22 4 0,-14-3-48,7 0 8,-3 1-32,10 0-88,0 2 160,3-1-280,1-1-88,16-2 87,6-2 41,-26 6 240,39-18-8,18-2 8,20-10 56,20-7 16,-97 37-72,113-44-24,14-4 48,15-3-56,10-2-8,-152 53 40,158-53 24,6-1-32,4-4 16,-2-2 8,-166 60-16,169-59-64,-6 2 88,-9 7-24,-5 8 40,-149 42-40,135-36 80,-15 6-112,-9 6 16,-17 5-16,-94 19 32,81-15-96,-13 9 80,-15-7-64,-12 12 56,-41 1 24,26-4 104,-12 2-8,-14 1 96,0-1 17,0 2-209,0 0 216,-4-1 88,-1 0-176,-14-1-104,19 2-24,-17-1-64,-10 1-48,-6 0 80,-4 13 64,37-13-32,-48 14-8,-7 4-32,2 2 40,-2 3-8,55-23 8,-53 24 32,5 0-56,-3 0 48,6 2 16,45-26-40,-41 24-24,0 0 8,10-1 56,-1-2-88,32-21 48,-31 20-16,2 2 56,5 2 8,0 4-24,24-28-24,-22 34 16,1 5-72,1 6 48,6 1-32,14-46 40,-12 49-8,7 3 16,3-1-96,-3-2-104,5-49 192,0 49-184,2-7-33,10 0-79,-9-1 40,-3-41 256,19 38-184,-7 2-8,3 0 144,-1-2-160,-14-38 208,14 39-232,3-4-88,0 1-200,5-2 16,-22-34 504,17 35-1176,4-2-1321,3-3-5185,-24-30 7682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5:42:40.0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22 128 21028,'0'0'0,"-3"-42"624,1 10-536,-3 0-32,5 32-56,0-19-56,-5 18 8,5-1-88,0 2-40,0 0 176,-2 0-504,0 3-488,2 2-152,-3 10-377,3-15 1521,0 16-2576,5-3-1145,-3 6-3705,-2-19 7426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7"/>
  <sheetViews>
    <sheetView rightToLeft="1" tabSelected="1" view="pageBreakPreview" topLeftCell="C49" zoomScale="130" zoomScaleNormal="100" zoomScaleSheetLayoutView="130" workbookViewId="0">
      <selection activeCell="G57" sqref="G57:J57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5" t="s">
        <v>223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2">
      <c r="B2" s="12" t="s">
        <v>8</v>
      </c>
      <c r="C2" s="71" t="s">
        <v>37</v>
      </c>
      <c r="D2" s="71"/>
      <c r="E2" s="12" t="s">
        <v>7</v>
      </c>
      <c r="F2" s="66">
        <v>45942</v>
      </c>
      <c r="G2" s="66"/>
      <c r="H2" s="66"/>
      <c r="I2" s="66"/>
      <c r="J2" s="66"/>
    </row>
    <row r="3" spans="1:10" ht="30" customHeight="1" x14ac:dyDescent="0.2">
      <c r="B3" s="12" t="s">
        <v>9</v>
      </c>
      <c r="C3" s="71" t="s">
        <v>78</v>
      </c>
      <c r="D3" s="71"/>
      <c r="E3" s="12" t="s">
        <v>6</v>
      </c>
      <c r="F3" s="71" t="s">
        <v>133</v>
      </c>
      <c r="G3" s="71"/>
      <c r="H3" s="71"/>
      <c r="I3" s="71"/>
      <c r="J3" s="7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67" t="s">
        <v>0</v>
      </c>
      <c r="C5" s="68"/>
      <c r="D5" s="68"/>
      <c r="E5" s="76" t="s">
        <v>1</v>
      </c>
      <c r="F5" s="76"/>
      <c r="G5" s="76"/>
      <c r="H5" s="76"/>
      <c r="I5" s="76" t="s">
        <v>2</v>
      </c>
      <c r="J5" s="77"/>
    </row>
    <row r="6" spans="1:10" ht="24.95" customHeight="1" thickBot="1" x14ac:dyDescent="0.25">
      <c r="A6" s="10"/>
      <c r="B6" s="69"/>
      <c r="C6" s="70"/>
      <c r="D6" s="70"/>
      <c r="E6" s="11" t="s">
        <v>3</v>
      </c>
      <c r="F6" s="11" t="s">
        <v>4</v>
      </c>
      <c r="G6" s="11" t="s">
        <v>23</v>
      </c>
      <c r="H6" s="11" t="s">
        <v>24</v>
      </c>
      <c r="I6" s="78"/>
      <c r="J6" s="79"/>
    </row>
    <row r="7" spans="1:10" ht="24.95" customHeight="1" thickBot="1" x14ac:dyDescent="0.25">
      <c r="A7" s="10"/>
      <c r="B7" s="74" t="s">
        <v>21</v>
      </c>
      <c r="C7" s="75"/>
      <c r="D7" s="75"/>
      <c r="E7" s="28" t="s">
        <v>18</v>
      </c>
      <c r="F7" s="28" t="s">
        <v>19</v>
      </c>
      <c r="G7" s="28" t="s">
        <v>22</v>
      </c>
      <c r="H7" s="28" t="s">
        <v>20</v>
      </c>
      <c r="I7" s="80" t="s">
        <v>25</v>
      </c>
      <c r="J7" s="81"/>
    </row>
    <row r="8" spans="1:10" ht="30" customHeight="1" x14ac:dyDescent="0.2">
      <c r="A8" s="10"/>
      <c r="B8" s="43" t="s">
        <v>180</v>
      </c>
      <c r="C8" s="44"/>
      <c r="D8" s="44"/>
      <c r="E8" s="44"/>
      <c r="F8" s="44"/>
      <c r="G8" s="44"/>
      <c r="H8" s="44"/>
      <c r="I8" s="44"/>
      <c r="J8" s="45"/>
    </row>
    <row r="9" spans="1:10" ht="39.950000000000003" customHeight="1" x14ac:dyDescent="0.2">
      <c r="A9" s="10"/>
      <c r="B9" s="41" t="s">
        <v>181</v>
      </c>
      <c r="C9" s="42"/>
      <c r="D9" s="42"/>
      <c r="E9" s="9"/>
      <c r="F9" s="26"/>
      <c r="G9" s="30"/>
      <c r="H9" s="31"/>
      <c r="I9" s="46"/>
      <c r="J9" s="47"/>
    </row>
    <row r="10" spans="1:10" ht="72" customHeight="1" x14ac:dyDescent="0.2">
      <c r="A10" s="10"/>
      <c r="B10" s="35" t="s">
        <v>182</v>
      </c>
      <c r="C10" s="36"/>
      <c r="D10" s="36"/>
      <c r="E10" s="9">
        <v>5</v>
      </c>
      <c r="F10" s="26">
        <v>3.5</v>
      </c>
      <c r="G10" s="30">
        <f t="shared" ref="G10:G52" si="0">IFERROR(F10/E10,"")</f>
        <v>0.7</v>
      </c>
      <c r="H10" s="31" t="str">
        <f t="shared" ref="H10:H52" si="1">_xlfn.IFS(F10="أدخل العلامة","",F10="لا ينطبق","تم الإلغاء",G10&gt;=90%,"ممتاز",G10&gt;=80%,"جيد جداً",G10&gt;=70%,"جيد",G10&gt;=60%,"مقبول",G10&lt;60%,"راسب")</f>
        <v>جيد</v>
      </c>
      <c r="I10" s="46"/>
      <c r="J10" s="47"/>
    </row>
    <row r="11" spans="1:10" ht="30" customHeight="1" x14ac:dyDescent="0.2">
      <c r="A11" s="10"/>
      <c r="B11" s="35" t="s">
        <v>183</v>
      </c>
      <c r="C11" s="36"/>
      <c r="D11" s="36"/>
      <c r="E11" s="9">
        <v>5</v>
      </c>
      <c r="F11" s="26">
        <v>3.5</v>
      </c>
      <c r="G11" s="30">
        <f t="shared" si="0"/>
        <v>0.7</v>
      </c>
      <c r="H11" s="31" t="str">
        <f t="shared" si="1"/>
        <v>جيد</v>
      </c>
      <c r="I11" s="46"/>
      <c r="J11" s="47"/>
    </row>
    <row r="12" spans="1:10" ht="30" customHeight="1" x14ac:dyDescent="0.2">
      <c r="A12" s="10"/>
      <c r="B12" s="35" t="s">
        <v>184</v>
      </c>
      <c r="C12" s="36"/>
      <c r="D12" s="36"/>
      <c r="E12" s="9"/>
      <c r="F12" s="26"/>
      <c r="G12" s="30"/>
      <c r="H12" s="31"/>
      <c r="I12" s="46"/>
      <c r="J12" s="47"/>
    </row>
    <row r="13" spans="1:10" ht="75" customHeight="1" x14ac:dyDescent="0.2">
      <c r="A13" s="10"/>
      <c r="B13" s="37" t="s">
        <v>224</v>
      </c>
      <c r="C13" s="38"/>
      <c r="D13" s="38"/>
      <c r="E13" s="9">
        <v>5</v>
      </c>
      <c r="F13" s="26">
        <v>3.25</v>
      </c>
      <c r="G13" s="30">
        <f t="shared" si="0"/>
        <v>0.65</v>
      </c>
      <c r="H13" s="31" t="str">
        <f t="shared" si="1"/>
        <v>مقبول</v>
      </c>
      <c r="I13" s="46"/>
      <c r="J13" s="47"/>
    </row>
    <row r="14" spans="1:10" ht="39.950000000000003" customHeight="1" x14ac:dyDescent="0.2">
      <c r="A14" s="10"/>
      <c r="B14" s="37" t="s">
        <v>185</v>
      </c>
      <c r="C14" s="38"/>
      <c r="D14" s="38"/>
      <c r="E14" s="9">
        <v>5</v>
      </c>
      <c r="F14" s="26">
        <v>3.25</v>
      </c>
      <c r="G14" s="30">
        <f t="shared" si="0"/>
        <v>0.65</v>
      </c>
      <c r="H14" s="31" t="str">
        <f t="shared" si="1"/>
        <v>مقبول</v>
      </c>
      <c r="I14" s="46"/>
      <c r="J14" s="47"/>
    </row>
    <row r="15" spans="1:10" ht="62.25" customHeight="1" x14ac:dyDescent="0.2">
      <c r="A15" s="10"/>
      <c r="B15" s="37" t="s">
        <v>186</v>
      </c>
      <c r="C15" s="38"/>
      <c r="D15" s="38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46"/>
      <c r="J15" s="47"/>
    </row>
    <row r="16" spans="1:10" ht="39.950000000000003" customHeight="1" x14ac:dyDescent="0.2">
      <c r="A16" s="10"/>
      <c r="B16" s="37" t="s">
        <v>187</v>
      </c>
      <c r="C16" s="38"/>
      <c r="D16" s="38"/>
      <c r="E16" s="9">
        <v>5</v>
      </c>
      <c r="F16" s="26">
        <v>3.5</v>
      </c>
      <c r="G16" s="30">
        <f t="shared" si="0"/>
        <v>0.7</v>
      </c>
      <c r="H16" s="31" t="str">
        <f t="shared" si="1"/>
        <v>جيد</v>
      </c>
      <c r="I16" s="46"/>
      <c r="J16" s="47"/>
    </row>
    <row r="17" spans="1:10" ht="39.950000000000003" customHeight="1" x14ac:dyDescent="0.2">
      <c r="A17" s="10"/>
      <c r="B17" s="37" t="s">
        <v>188</v>
      </c>
      <c r="C17" s="38"/>
      <c r="D17" s="38"/>
      <c r="E17" s="9">
        <v>5</v>
      </c>
      <c r="F17" s="26">
        <v>3.25</v>
      </c>
      <c r="G17" s="30">
        <f t="shared" si="0"/>
        <v>0.65</v>
      </c>
      <c r="H17" s="31" t="str">
        <f t="shared" si="1"/>
        <v>مقبول</v>
      </c>
      <c r="I17" s="46"/>
      <c r="J17" s="47"/>
    </row>
    <row r="18" spans="1:10" ht="62.25" customHeight="1" x14ac:dyDescent="0.2">
      <c r="A18" s="10"/>
      <c r="B18" s="35" t="s">
        <v>189</v>
      </c>
      <c r="C18" s="36"/>
      <c r="D18" s="36"/>
      <c r="E18" s="9">
        <v>5</v>
      </c>
      <c r="F18" s="26">
        <v>3.5</v>
      </c>
      <c r="G18" s="30">
        <f t="shared" si="0"/>
        <v>0.7</v>
      </c>
      <c r="H18" s="31" t="str">
        <f t="shared" si="1"/>
        <v>جيد</v>
      </c>
      <c r="I18" s="46"/>
      <c r="J18" s="47"/>
    </row>
    <row r="19" spans="1:10" ht="39.950000000000003" customHeight="1" x14ac:dyDescent="0.2">
      <c r="A19" s="10"/>
      <c r="B19" s="35" t="s">
        <v>190</v>
      </c>
      <c r="C19" s="36"/>
      <c r="D19" s="36"/>
      <c r="E19" s="9"/>
      <c r="F19" s="26"/>
      <c r="G19" s="30"/>
      <c r="H19" s="31"/>
      <c r="I19" s="46"/>
      <c r="J19" s="47"/>
    </row>
    <row r="20" spans="1:10" ht="30" customHeight="1" x14ac:dyDescent="0.2">
      <c r="A20" s="10"/>
      <c r="B20" s="37" t="s">
        <v>191</v>
      </c>
      <c r="C20" s="38"/>
      <c r="D20" s="38"/>
      <c r="E20" s="9">
        <v>5</v>
      </c>
      <c r="F20" s="26">
        <v>3.5</v>
      </c>
      <c r="G20" s="30">
        <f t="shared" si="0"/>
        <v>0.7</v>
      </c>
      <c r="H20" s="31" t="str">
        <f t="shared" si="1"/>
        <v>جيد</v>
      </c>
      <c r="I20" s="46"/>
      <c r="J20" s="47"/>
    </row>
    <row r="21" spans="1:10" ht="30" customHeight="1" x14ac:dyDescent="0.2">
      <c r="A21" s="10"/>
      <c r="B21" s="37" t="s">
        <v>192</v>
      </c>
      <c r="C21" s="38"/>
      <c r="D21" s="38"/>
      <c r="E21" s="9">
        <v>5</v>
      </c>
      <c r="F21" s="26">
        <v>3.5</v>
      </c>
      <c r="G21" s="30">
        <f t="shared" si="0"/>
        <v>0.7</v>
      </c>
      <c r="H21" s="31" t="str">
        <f t="shared" si="1"/>
        <v>جيد</v>
      </c>
      <c r="I21" s="46"/>
      <c r="J21" s="47"/>
    </row>
    <row r="22" spans="1:10" ht="30" customHeight="1" x14ac:dyDescent="0.2">
      <c r="A22" s="10"/>
      <c r="B22" s="37" t="s">
        <v>193</v>
      </c>
      <c r="C22" s="38"/>
      <c r="D22" s="38"/>
      <c r="E22" s="9">
        <v>5</v>
      </c>
      <c r="F22" s="26">
        <v>3.5</v>
      </c>
      <c r="G22" s="30">
        <f t="shared" si="0"/>
        <v>0.7</v>
      </c>
      <c r="H22" s="31" t="str">
        <f t="shared" si="1"/>
        <v>جيد</v>
      </c>
      <c r="I22" s="46"/>
      <c r="J22" s="47"/>
    </row>
    <row r="23" spans="1:10" ht="30" customHeight="1" thickBot="1" x14ac:dyDescent="0.25">
      <c r="A23" s="10"/>
      <c r="B23" s="39" t="s">
        <v>194</v>
      </c>
      <c r="C23" s="40"/>
      <c r="D23" s="40"/>
      <c r="E23" s="32">
        <v>5</v>
      </c>
      <c r="F23" s="27">
        <v>3</v>
      </c>
      <c r="G23" s="33">
        <f t="shared" si="0"/>
        <v>0.6</v>
      </c>
      <c r="H23" s="34" t="str">
        <f t="shared" si="1"/>
        <v>مقبول</v>
      </c>
      <c r="I23" s="48"/>
      <c r="J23" s="49"/>
    </row>
    <row r="24" spans="1:10" ht="30" customHeight="1" x14ac:dyDescent="0.2">
      <c r="A24" s="10"/>
      <c r="B24" s="43" t="s">
        <v>195</v>
      </c>
      <c r="C24" s="44"/>
      <c r="D24" s="44"/>
      <c r="E24" s="44"/>
      <c r="F24" s="44"/>
      <c r="G24" s="44"/>
      <c r="H24" s="44"/>
      <c r="I24" s="44"/>
      <c r="J24" s="45"/>
    </row>
    <row r="25" spans="1:10" ht="30" customHeight="1" x14ac:dyDescent="0.2">
      <c r="A25" s="10"/>
      <c r="B25" s="41" t="s">
        <v>196</v>
      </c>
      <c r="C25" s="42"/>
      <c r="D25" s="42"/>
      <c r="E25" s="9"/>
      <c r="F25" s="26"/>
      <c r="G25" s="30"/>
      <c r="H25" s="31"/>
      <c r="I25" s="46"/>
      <c r="J25" s="47"/>
    </row>
    <row r="26" spans="1:10" ht="39.950000000000003" customHeight="1" x14ac:dyDescent="0.2">
      <c r="A26" s="10"/>
      <c r="B26" s="35" t="s">
        <v>197</v>
      </c>
      <c r="C26" s="36"/>
      <c r="D26" s="36"/>
      <c r="E26" s="9">
        <v>5</v>
      </c>
      <c r="F26" s="26">
        <v>3.25</v>
      </c>
      <c r="G26" s="30">
        <f t="shared" si="0"/>
        <v>0.65</v>
      </c>
      <c r="H26" s="31" t="str">
        <f t="shared" si="1"/>
        <v>مقبول</v>
      </c>
      <c r="I26" s="46"/>
      <c r="J26" s="47"/>
    </row>
    <row r="27" spans="1:10" ht="30" customHeight="1" x14ac:dyDescent="0.2">
      <c r="A27" s="10"/>
      <c r="B27" s="35" t="s">
        <v>198</v>
      </c>
      <c r="C27" s="36"/>
      <c r="D27" s="36"/>
      <c r="E27" s="9">
        <v>5</v>
      </c>
      <c r="F27" s="26">
        <v>3.25</v>
      </c>
      <c r="G27" s="30">
        <f t="shared" si="0"/>
        <v>0.65</v>
      </c>
      <c r="H27" s="31" t="str">
        <f t="shared" si="1"/>
        <v>مقبول</v>
      </c>
      <c r="I27" s="46"/>
      <c r="J27" s="47"/>
    </row>
    <row r="28" spans="1:10" ht="30" customHeight="1" x14ac:dyDescent="0.2">
      <c r="A28" s="10"/>
      <c r="B28" s="35" t="s">
        <v>199</v>
      </c>
      <c r="C28" s="36"/>
      <c r="D28" s="36"/>
      <c r="E28" s="9">
        <v>5</v>
      </c>
      <c r="F28" s="26">
        <v>3.25</v>
      </c>
      <c r="G28" s="30">
        <f t="shared" si="0"/>
        <v>0.65</v>
      </c>
      <c r="H28" s="31" t="str">
        <f t="shared" si="1"/>
        <v>مقبول</v>
      </c>
      <c r="I28" s="46"/>
      <c r="J28" s="47"/>
    </row>
    <row r="29" spans="1:10" ht="30" customHeight="1" x14ac:dyDescent="0.2">
      <c r="A29" s="10"/>
      <c r="B29" s="41" t="s">
        <v>200</v>
      </c>
      <c r="C29" s="42"/>
      <c r="D29" s="42"/>
      <c r="E29" s="9"/>
      <c r="F29" s="26"/>
      <c r="G29" s="30"/>
      <c r="H29" s="31"/>
      <c r="I29" s="46"/>
      <c r="J29" s="47"/>
    </row>
    <row r="30" spans="1:10" ht="30" customHeight="1" x14ac:dyDescent="0.2">
      <c r="A30" s="10"/>
      <c r="B30" s="35" t="s">
        <v>201</v>
      </c>
      <c r="C30" s="36"/>
      <c r="D30" s="36"/>
      <c r="E30" s="9">
        <v>5</v>
      </c>
      <c r="F30" s="26">
        <v>3.75</v>
      </c>
      <c r="G30" s="30">
        <f t="shared" si="0"/>
        <v>0.75</v>
      </c>
      <c r="H30" s="31" t="str">
        <f t="shared" si="1"/>
        <v>جيد</v>
      </c>
      <c r="I30" s="46"/>
      <c r="J30" s="47"/>
    </row>
    <row r="31" spans="1:10" ht="30" customHeight="1" x14ac:dyDescent="0.2">
      <c r="A31" s="10"/>
      <c r="B31" s="35" t="s">
        <v>202</v>
      </c>
      <c r="C31" s="36"/>
      <c r="D31" s="36"/>
      <c r="E31" s="9">
        <v>5</v>
      </c>
      <c r="F31" s="26">
        <v>3.5</v>
      </c>
      <c r="G31" s="30">
        <f t="shared" si="0"/>
        <v>0.7</v>
      </c>
      <c r="H31" s="31" t="str">
        <f t="shared" si="1"/>
        <v>جيد</v>
      </c>
      <c r="I31" s="46"/>
      <c r="J31" s="47"/>
    </row>
    <row r="32" spans="1:10" ht="30" customHeight="1" x14ac:dyDescent="0.2">
      <c r="A32" s="10"/>
      <c r="B32" s="35" t="s">
        <v>203</v>
      </c>
      <c r="C32" s="36"/>
      <c r="D32" s="36"/>
      <c r="E32" s="9">
        <v>5</v>
      </c>
      <c r="F32" s="26">
        <v>3.5</v>
      </c>
      <c r="G32" s="30">
        <f t="shared" si="0"/>
        <v>0.7</v>
      </c>
      <c r="H32" s="31" t="str">
        <f t="shared" si="1"/>
        <v>جيد</v>
      </c>
      <c r="I32" s="46"/>
      <c r="J32" s="47"/>
    </row>
    <row r="33" spans="1:10" ht="30" customHeight="1" x14ac:dyDescent="0.2">
      <c r="A33" s="10"/>
      <c r="B33" s="35" t="s">
        <v>204</v>
      </c>
      <c r="C33" s="36"/>
      <c r="D33" s="36"/>
      <c r="E33" s="9">
        <v>5</v>
      </c>
      <c r="F33" s="26">
        <v>3.25</v>
      </c>
      <c r="G33" s="30">
        <f t="shared" si="0"/>
        <v>0.65</v>
      </c>
      <c r="H33" s="31" t="str">
        <f t="shared" si="1"/>
        <v>مقبول</v>
      </c>
      <c r="I33" s="46"/>
      <c r="J33" s="47"/>
    </row>
    <row r="34" spans="1:10" ht="30" customHeight="1" thickBot="1" x14ac:dyDescent="0.25">
      <c r="A34" s="10"/>
      <c r="B34" s="39" t="s">
        <v>205</v>
      </c>
      <c r="C34" s="40"/>
      <c r="D34" s="40"/>
      <c r="E34" s="32">
        <v>5</v>
      </c>
      <c r="F34" s="27">
        <v>3</v>
      </c>
      <c r="G34" s="33">
        <f t="shared" si="0"/>
        <v>0.6</v>
      </c>
      <c r="H34" s="34" t="str">
        <f t="shared" si="1"/>
        <v>مقبول</v>
      </c>
      <c r="I34" s="48"/>
      <c r="J34" s="49"/>
    </row>
    <row r="35" spans="1:10" ht="30" customHeight="1" x14ac:dyDescent="0.2">
      <c r="A35" s="10"/>
      <c r="B35" s="43" t="s">
        <v>206</v>
      </c>
      <c r="C35" s="44"/>
      <c r="D35" s="44"/>
      <c r="E35" s="44"/>
      <c r="F35" s="44"/>
      <c r="G35" s="44"/>
      <c r="H35" s="44"/>
      <c r="I35" s="44"/>
      <c r="J35" s="45"/>
    </row>
    <row r="36" spans="1:10" ht="39.950000000000003" customHeight="1" x14ac:dyDescent="0.2">
      <c r="A36" s="10"/>
      <c r="B36" s="41" t="s">
        <v>207</v>
      </c>
      <c r="C36" s="42"/>
      <c r="D36" s="42"/>
      <c r="E36" s="9"/>
      <c r="F36" s="26"/>
      <c r="G36" s="30"/>
      <c r="H36" s="31"/>
      <c r="I36" s="46"/>
      <c r="J36" s="47"/>
    </row>
    <row r="37" spans="1:10" ht="39.950000000000003" customHeight="1" x14ac:dyDescent="0.2">
      <c r="A37" s="10"/>
      <c r="B37" s="35" t="s">
        <v>208</v>
      </c>
      <c r="C37" s="36"/>
      <c r="D37" s="36"/>
      <c r="E37" s="9">
        <v>5</v>
      </c>
      <c r="F37" s="26">
        <v>3.75</v>
      </c>
      <c r="G37" s="30">
        <f t="shared" si="0"/>
        <v>0.75</v>
      </c>
      <c r="H37" s="31" t="str">
        <f t="shared" si="1"/>
        <v>جيد</v>
      </c>
      <c r="I37" s="46"/>
      <c r="J37" s="47"/>
    </row>
    <row r="38" spans="1:10" ht="39.950000000000003" customHeight="1" x14ac:dyDescent="0.2">
      <c r="A38" s="10"/>
      <c r="B38" s="35" t="s">
        <v>209</v>
      </c>
      <c r="C38" s="36"/>
      <c r="D38" s="36"/>
      <c r="E38" s="9">
        <v>5</v>
      </c>
      <c r="F38" s="26">
        <v>3.75</v>
      </c>
      <c r="G38" s="30">
        <f t="shared" si="0"/>
        <v>0.75</v>
      </c>
      <c r="H38" s="31" t="str">
        <f t="shared" si="1"/>
        <v>جيد</v>
      </c>
      <c r="I38" s="46"/>
      <c r="J38" s="47"/>
    </row>
    <row r="39" spans="1:10" ht="30" customHeight="1" x14ac:dyDescent="0.2">
      <c r="A39" s="10"/>
      <c r="B39" s="35" t="s">
        <v>210</v>
      </c>
      <c r="C39" s="36"/>
      <c r="D39" s="36"/>
      <c r="E39" s="9">
        <v>5</v>
      </c>
      <c r="F39" s="26">
        <v>3.75</v>
      </c>
      <c r="G39" s="30">
        <f t="shared" si="0"/>
        <v>0.75</v>
      </c>
      <c r="H39" s="31" t="str">
        <f t="shared" si="1"/>
        <v>جيد</v>
      </c>
      <c r="I39" s="46"/>
      <c r="J39" s="47"/>
    </row>
    <row r="40" spans="1:10" ht="30" customHeight="1" x14ac:dyDescent="0.2">
      <c r="A40" s="10"/>
      <c r="B40" s="35" t="s">
        <v>211</v>
      </c>
      <c r="C40" s="36"/>
      <c r="D40" s="36"/>
      <c r="E40" s="9">
        <v>5</v>
      </c>
      <c r="F40" s="26">
        <v>3.75</v>
      </c>
      <c r="G40" s="30">
        <f t="shared" si="0"/>
        <v>0.75</v>
      </c>
      <c r="H40" s="31" t="str">
        <f t="shared" si="1"/>
        <v>جيد</v>
      </c>
      <c r="I40" s="46"/>
      <c r="J40" s="47"/>
    </row>
    <row r="41" spans="1:10" ht="39.950000000000003" customHeight="1" x14ac:dyDescent="0.2">
      <c r="A41" s="10"/>
      <c r="B41" s="41" t="s">
        <v>212</v>
      </c>
      <c r="C41" s="42"/>
      <c r="D41" s="42"/>
      <c r="E41" s="9">
        <v>5</v>
      </c>
      <c r="F41" s="26">
        <v>3.75</v>
      </c>
      <c r="G41" s="30">
        <f t="shared" si="0"/>
        <v>0.75</v>
      </c>
      <c r="H41" s="31" t="str">
        <f t="shared" si="1"/>
        <v>جيد</v>
      </c>
      <c r="I41" s="46"/>
      <c r="J41" s="47"/>
    </row>
    <row r="42" spans="1:10" ht="30" customHeight="1" x14ac:dyDescent="0.2">
      <c r="A42" s="10"/>
      <c r="B42" s="41" t="s">
        <v>213</v>
      </c>
      <c r="C42" s="42"/>
      <c r="D42" s="42"/>
      <c r="E42" s="9"/>
      <c r="F42" s="26"/>
      <c r="G42" s="30"/>
      <c r="H42" s="31"/>
      <c r="I42" s="46"/>
      <c r="J42" s="47"/>
    </row>
    <row r="43" spans="1:10" ht="30" customHeight="1" x14ac:dyDescent="0.2">
      <c r="A43" s="10"/>
      <c r="B43" s="35" t="s">
        <v>214</v>
      </c>
      <c r="C43" s="36"/>
      <c r="D43" s="36"/>
      <c r="E43" s="9">
        <v>5</v>
      </c>
      <c r="F43" s="26">
        <v>3.75</v>
      </c>
      <c r="G43" s="30">
        <f t="shared" si="0"/>
        <v>0.75</v>
      </c>
      <c r="H43" s="31" t="str">
        <f t="shared" si="1"/>
        <v>جيد</v>
      </c>
      <c r="I43" s="46"/>
      <c r="J43" s="47"/>
    </row>
    <row r="44" spans="1:10" ht="30" customHeight="1" x14ac:dyDescent="0.2">
      <c r="A44" s="10"/>
      <c r="B44" s="35" t="s">
        <v>215</v>
      </c>
      <c r="C44" s="36"/>
      <c r="D44" s="36"/>
      <c r="E44" s="9">
        <v>5</v>
      </c>
      <c r="F44" s="26">
        <v>3.75</v>
      </c>
      <c r="G44" s="30">
        <f t="shared" si="0"/>
        <v>0.75</v>
      </c>
      <c r="H44" s="31" t="str">
        <f t="shared" si="1"/>
        <v>جيد</v>
      </c>
      <c r="I44" s="46"/>
      <c r="J44" s="47"/>
    </row>
    <row r="45" spans="1:10" ht="30" customHeight="1" x14ac:dyDescent="0.2">
      <c r="A45" s="10"/>
      <c r="B45" s="35" t="s">
        <v>216</v>
      </c>
      <c r="C45" s="36"/>
      <c r="D45" s="36"/>
      <c r="E45" s="9">
        <v>5</v>
      </c>
      <c r="F45" s="26">
        <v>3.75</v>
      </c>
      <c r="G45" s="30">
        <f t="shared" si="0"/>
        <v>0.75</v>
      </c>
      <c r="H45" s="31" t="str">
        <f t="shared" si="1"/>
        <v>جيد</v>
      </c>
      <c r="I45" s="46"/>
      <c r="J45" s="47"/>
    </row>
    <row r="46" spans="1:10" ht="30" customHeight="1" x14ac:dyDescent="0.2">
      <c r="A46" s="10"/>
      <c r="B46" s="35" t="s">
        <v>217</v>
      </c>
      <c r="C46" s="36"/>
      <c r="D46" s="36"/>
      <c r="E46" s="9">
        <v>5</v>
      </c>
      <c r="F46" s="26">
        <v>3.25</v>
      </c>
      <c r="G46" s="30">
        <f t="shared" si="0"/>
        <v>0.65</v>
      </c>
      <c r="H46" s="31" t="str">
        <f t="shared" si="1"/>
        <v>مقبول</v>
      </c>
      <c r="I46" s="46"/>
      <c r="J46" s="47"/>
    </row>
    <row r="47" spans="1:10" ht="39.950000000000003" customHeight="1" x14ac:dyDescent="0.2">
      <c r="A47" s="10"/>
      <c r="B47" s="35" t="s">
        <v>225</v>
      </c>
      <c r="C47" s="36"/>
      <c r="D47" s="36"/>
      <c r="E47" s="9"/>
      <c r="F47" s="26"/>
      <c r="G47" s="30"/>
      <c r="H47" s="31"/>
      <c r="I47" s="46"/>
      <c r="J47" s="47"/>
    </row>
    <row r="48" spans="1:10" ht="39.950000000000003" customHeight="1" x14ac:dyDescent="0.2">
      <c r="A48" s="10"/>
      <c r="B48" s="37" t="s">
        <v>218</v>
      </c>
      <c r="C48" s="38"/>
      <c r="D48" s="38"/>
      <c r="E48" s="9">
        <v>5</v>
      </c>
      <c r="F48" s="26">
        <v>3.25</v>
      </c>
      <c r="G48" s="30">
        <f t="shared" si="0"/>
        <v>0.65</v>
      </c>
      <c r="H48" s="31" t="str">
        <f t="shared" si="1"/>
        <v>مقبول</v>
      </c>
      <c r="I48" s="46"/>
      <c r="J48" s="47"/>
    </row>
    <row r="49" spans="1:10" ht="60" customHeight="1" x14ac:dyDescent="0.2">
      <c r="A49" s="10"/>
      <c r="B49" s="37" t="s">
        <v>219</v>
      </c>
      <c r="C49" s="38"/>
      <c r="D49" s="38"/>
      <c r="E49" s="9">
        <v>5</v>
      </c>
      <c r="F49" s="26">
        <v>3.75</v>
      </c>
      <c r="G49" s="30">
        <f t="shared" si="0"/>
        <v>0.75</v>
      </c>
      <c r="H49" s="31" t="str">
        <f t="shared" si="1"/>
        <v>جيد</v>
      </c>
      <c r="I49" s="46"/>
      <c r="J49" s="47"/>
    </row>
    <row r="50" spans="1:10" ht="39.950000000000003" customHeight="1" x14ac:dyDescent="0.2">
      <c r="A50" s="10"/>
      <c r="B50" s="37" t="s">
        <v>220</v>
      </c>
      <c r="C50" s="38"/>
      <c r="D50" s="38"/>
      <c r="E50" s="9">
        <v>5</v>
      </c>
      <c r="F50" s="26">
        <v>3.75</v>
      </c>
      <c r="G50" s="30">
        <f t="shared" si="0"/>
        <v>0.75</v>
      </c>
      <c r="H50" s="31" t="str">
        <f t="shared" si="1"/>
        <v>جيد</v>
      </c>
      <c r="I50" s="46"/>
      <c r="J50" s="47"/>
    </row>
    <row r="51" spans="1:10" ht="30" customHeight="1" x14ac:dyDescent="0.2">
      <c r="A51" s="10"/>
      <c r="B51" s="35" t="s">
        <v>221</v>
      </c>
      <c r="C51" s="36"/>
      <c r="D51" s="36"/>
      <c r="E51" s="9">
        <v>5</v>
      </c>
      <c r="F51" s="26">
        <v>3.75</v>
      </c>
      <c r="G51" s="30">
        <f t="shared" si="0"/>
        <v>0.75</v>
      </c>
      <c r="H51" s="31" t="str">
        <f t="shared" si="1"/>
        <v>جيد</v>
      </c>
      <c r="I51" s="46"/>
      <c r="J51" s="47"/>
    </row>
    <row r="52" spans="1:10" ht="30" customHeight="1" thickBot="1" x14ac:dyDescent="0.25">
      <c r="A52" s="10"/>
      <c r="B52" s="39" t="s">
        <v>222</v>
      </c>
      <c r="C52" s="40"/>
      <c r="D52" s="40"/>
      <c r="E52" s="32">
        <v>5</v>
      </c>
      <c r="F52" s="27">
        <v>3.75</v>
      </c>
      <c r="G52" s="33">
        <f t="shared" si="0"/>
        <v>0.75</v>
      </c>
      <c r="H52" s="34" t="str">
        <f t="shared" si="1"/>
        <v>جيد</v>
      </c>
      <c r="I52" s="48"/>
      <c r="J52" s="49"/>
    </row>
    <row r="53" spans="1:10" ht="30" customHeight="1" thickBot="1" x14ac:dyDescent="0.25">
      <c r="A53" s="4"/>
      <c r="B53" s="50" t="s">
        <v>5</v>
      </c>
      <c r="C53" s="51"/>
      <c r="D53" s="51"/>
      <c r="E53" s="29">
        <f>SUM(E8:E52)</f>
        <v>170</v>
      </c>
      <c r="F53" s="29">
        <f>SUM(F8:F52)</f>
        <v>119</v>
      </c>
      <c r="G53" s="62"/>
      <c r="H53" s="63"/>
      <c r="I53" s="63"/>
      <c r="J53" s="64"/>
    </row>
    <row r="54" spans="1:10" ht="30" customHeight="1" thickBot="1" x14ac:dyDescent="0.25">
      <c r="A54" s="4"/>
      <c r="B54" s="52" t="s">
        <v>54</v>
      </c>
      <c r="C54" s="53"/>
      <c r="D54" s="53"/>
      <c r="E54" s="72">
        <f>F53/E53/100*100</f>
        <v>0.7</v>
      </c>
      <c r="F54" s="72"/>
      <c r="G54" s="72"/>
      <c r="H54" s="72"/>
      <c r="I54" s="72"/>
      <c r="J54" s="73"/>
    </row>
    <row r="55" spans="1:10" ht="30" customHeight="1" thickBot="1" x14ac:dyDescent="0.25">
      <c r="A55" s="4"/>
      <c r="B55" s="52" t="s">
        <v>55</v>
      </c>
      <c r="C55" s="53"/>
      <c r="D55" s="53"/>
      <c r="E55" s="58" t="str">
        <f>_xlfn.IFS(E54&gt;=90%,"ممتاز",E54&gt;=80%,"جيد جداً",E54&gt;=70%,"جيد",E54&gt;=60%,"مقبول",E54&lt;60%,"راسب")</f>
        <v>جيد</v>
      </c>
      <c r="F55" s="58"/>
      <c r="G55" s="58"/>
      <c r="H55" s="58"/>
      <c r="I55" s="58"/>
      <c r="J55" s="59"/>
    </row>
    <row r="56" spans="1:10" ht="42" customHeight="1" x14ac:dyDescent="0.2">
      <c r="B56" s="54" t="s">
        <v>174</v>
      </c>
      <c r="C56" s="54"/>
      <c r="D56" s="54"/>
      <c r="E56" s="60" t="s">
        <v>52</v>
      </c>
      <c r="F56" s="60"/>
      <c r="G56" s="56" t="s">
        <v>133</v>
      </c>
      <c r="H56" s="56"/>
      <c r="I56" s="56"/>
      <c r="J56" s="56"/>
    </row>
    <row r="57" spans="1:10" ht="51" customHeight="1" x14ac:dyDescent="0.2">
      <c r="A57" s="5"/>
      <c r="B57" s="55"/>
      <c r="C57" s="55"/>
      <c r="D57" s="55"/>
      <c r="E57" s="61" t="s">
        <v>53</v>
      </c>
      <c r="F57" s="61"/>
      <c r="G57" s="57"/>
      <c r="H57" s="57"/>
      <c r="I57" s="57"/>
      <c r="J57" s="5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8">
    <mergeCell ref="B1:J1"/>
    <mergeCell ref="F2:J2"/>
    <mergeCell ref="B5:D6"/>
    <mergeCell ref="C2:D2"/>
    <mergeCell ref="C3:D3"/>
    <mergeCell ref="F3:J3"/>
    <mergeCell ref="E54:J5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5:J25"/>
    <mergeCell ref="I26:J26"/>
    <mergeCell ref="B56:D57"/>
    <mergeCell ref="G56:J56"/>
    <mergeCell ref="G57:J57"/>
    <mergeCell ref="E55:J5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45:J45"/>
    <mergeCell ref="I46:J46"/>
    <mergeCell ref="I47:J47"/>
    <mergeCell ref="I48:J48"/>
    <mergeCell ref="E56:F56"/>
    <mergeCell ref="E57:F57"/>
    <mergeCell ref="G53:J53"/>
    <mergeCell ref="B42:D42"/>
    <mergeCell ref="B43:D43"/>
    <mergeCell ref="B44:D44"/>
    <mergeCell ref="B45:D45"/>
    <mergeCell ref="B53:D53"/>
    <mergeCell ref="B54:D54"/>
    <mergeCell ref="B55:D5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B17:D17"/>
    <mergeCell ref="B18:D18"/>
    <mergeCell ref="B19:D19"/>
    <mergeCell ref="B20:D20"/>
    <mergeCell ref="B21:D21"/>
    <mergeCell ref="B22:D22"/>
    <mergeCell ref="B9:D9"/>
    <mergeCell ref="B10:D10"/>
    <mergeCell ref="B11:D11"/>
    <mergeCell ref="B12:D12"/>
    <mergeCell ref="B13:D13"/>
    <mergeCell ref="B14:D14"/>
    <mergeCell ref="B15:D15"/>
    <mergeCell ref="B16:D16"/>
    <mergeCell ref="B8:J8"/>
    <mergeCell ref="I9:J9"/>
    <mergeCell ref="B23:D23"/>
    <mergeCell ref="B25:D25"/>
    <mergeCell ref="B24:J24"/>
    <mergeCell ref="B26:D26"/>
    <mergeCell ref="B27:D27"/>
    <mergeCell ref="B28:D28"/>
    <mergeCell ref="B29:D29"/>
    <mergeCell ref="B30:D30"/>
    <mergeCell ref="B31:D31"/>
    <mergeCell ref="B46:D46"/>
    <mergeCell ref="B47:D47"/>
    <mergeCell ref="B48:D48"/>
    <mergeCell ref="B49:D49"/>
    <mergeCell ref="B50:D50"/>
    <mergeCell ref="B51:D51"/>
    <mergeCell ref="B52:D52"/>
    <mergeCell ref="B32:D32"/>
    <mergeCell ref="B33:D33"/>
    <mergeCell ref="B34:D34"/>
    <mergeCell ref="B36:D36"/>
    <mergeCell ref="B37:D37"/>
    <mergeCell ref="B38:D38"/>
    <mergeCell ref="B39:D39"/>
    <mergeCell ref="B40:D40"/>
    <mergeCell ref="B41:D41"/>
    <mergeCell ref="B35:J35"/>
    <mergeCell ref="I32:J32"/>
    <mergeCell ref="I33:J33"/>
    <mergeCell ref="I34:J34"/>
    <mergeCell ref="I36:J36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5">
    <cfRule type="expression" dxfId="21" priority="57">
      <formula>$E55="راسب"</formula>
    </cfRule>
  </conditionalFormatting>
  <conditionalFormatting sqref="E55:J55">
    <cfRule type="expression" dxfId="20" priority="60">
      <formula>$E55="جيد جداً"</formula>
    </cfRule>
    <cfRule type="expression" dxfId="19" priority="59">
      <formula>$E55="جيد"</formula>
    </cfRule>
    <cfRule type="expression" dxfId="18" priority="58">
      <formula>$E55="مقبول"</formula>
    </cfRule>
    <cfRule type="expression" dxfId="17" priority="61">
      <formula>$E55="ممتاز"</formula>
    </cfRule>
  </conditionalFormatting>
  <conditionalFormatting sqref="F9:F23">
    <cfRule type="containsText" dxfId="16" priority="4" operator="containsText" text="أدخل العلامة">
      <formula>NOT(ISERROR(SEARCH("أدخل العلامة",F9)))</formula>
    </cfRule>
  </conditionalFormatting>
  <conditionalFormatting sqref="F25:F34 F36:F52">
    <cfRule type="containsText" dxfId="15" priority="14" operator="containsText" text="أدخل العلامة">
      <formula>NOT(ISERROR(SEARCH("أدخل العلامة",F25)))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12" priority="15" operator="containsText" text="أدخل اسم المحكم">
      <formula>NOT(ISERROR(SEARCH("أدخل اسم المحكم",G56)))</formula>
    </cfRule>
  </conditionalFormatting>
  <conditionalFormatting sqref="H9:H23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5:H34 H36:H52">
    <cfRule type="containsText" dxfId="5" priority="38" operator="containsText" text="أدخل العلامة">
      <formula>NOT(ISERROR(SEARCH("أدخل العلامة",H25)))</formula>
    </cfRule>
    <cfRule type="containsText" dxfId="4" priority="39" operator="containsText" text="ممتاز">
      <formula>NOT(ISERROR(SEARCH("ممتاز",H25)))</formula>
    </cfRule>
    <cfRule type="containsText" dxfId="3" priority="40" operator="containsText" text="جيد جداً">
      <formula>NOT(ISERROR(SEARCH("جيد جداً",H25)))</formula>
    </cfRule>
    <cfRule type="containsText" dxfId="2" priority="41" operator="containsText" text="جيد">
      <formula>NOT(ISERROR(SEARCH("جيد",H25)))</formula>
    </cfRule>
    <cfRule type="containsText" dxfId="1" priority="42" operator="containsText" text="مقبول">
      <formula>NOT(ISERROR(SEARCH("مقبول",H25)))</formula>
    </cfRule>
    <cfRule type="containsText" dxfId="0" priority="43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F26:F28 F37:F41 F48:F52 F43:F46 F30:F34 F20:F23 F13:F18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G56:J56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7" workbookViewId="0">
      <selection activeCell="A70" sqref="A70:A106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2025-10-08T15:17:08Z</dcterms:modified>
</cp:coreProperties>
</file>