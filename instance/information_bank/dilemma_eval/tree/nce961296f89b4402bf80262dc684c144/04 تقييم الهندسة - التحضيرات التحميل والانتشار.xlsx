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4EA4529C-5941-465F-985C-58C93E30000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التقييم'!$A$1:$J$30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3" i="2"/>
  <c r="H13" i="2"/>
  <c r="G14" i="2"/>
  <c r="H14" i="2"/>
  <c r="G15" i="2"/>
  <c r="H15" i="2"/>
  <c r="G16" i="2"/>
  <c r="H16" i="2"/>
  <c r="G18" i="2"/>
  <c r="H18" i="2"/>
  <c r="G19" i="2"/>
  <c r="H19" i="2"/>
  <c r="G20" i="2"/>
  <c r="H20" i="2"/>
  <c r="G22" i="2"/>
  <c r="H22" i="2"/>
  <c r="G23" i="2"/>
  <c r="H23" i="2"/>
  <c r="G24" i="2"/>
  <c r="H24" i="2"/>
  <c r="G25" i="2"/>
  <c r="H25" i="2"/>
  <c r="F26" i="2"/>
  <c r="E26" i="2"/>
  <c r="E27" i="2"/>
  <c r="E28" i="2"/>
</calcChain>
</file>

<file path=xl/sharedStrings.xml><?xml version="1.0" encoding="utf-8"?>
<sst xmlns="http://schemas.openxmlformats.org/spreadsheetml/2006/main" count="255" uniqueCount="199">
  <si>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</si>
  <si>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</si>
  <si>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</si>
  <si>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</si>
  <si>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</si>
  <si>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</si>
  <si>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</si>
  <si>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</si>
  <si>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</si>
  <si>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</si>
  <si>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</si>
  <si>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</si>
  <si>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</si>
  <si>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</si>
  <si>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</si>
  <si>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</si>
  <si>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</si>
  <si>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</si>
  <si>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</si>
  <si>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</si>
  <si>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</si>
  <si>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</si>
  <si>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</si>
  <si>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</si>
  <si>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</si>
  <si>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</si>
  <si>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</si>
  <si>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</si>
  <si>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</si>
  <si>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</si>
  <si>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</si>
  <si>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</si>
  <si>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</si>
  <si>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</si>
  <si>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</si>
  <si>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</si>
  <si>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</si>
  <si>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</si>
  <si>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</si>
  <si>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</si>
  <si>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</si>
  <si>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</si>
  <si>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</si>
  <si>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</si>
  <si>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</si>
  <si>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</si>
  <si>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</si>
  <si>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</si>
  <si>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</si>
  <si>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</si>
  <si>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</si>
  <si>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</si>
  <si>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</si>
  <si>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</si>
  <si>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</si>
  <si>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</si>
  <si>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</si>
  <si>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</si>
  <si>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</si>
  <si>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</si>
  <si>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</si>
  <si>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</si>
  <si>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</si>
  <si>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</si>
  <si>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</si>
  <si>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</si>
  <si>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</si>
  <si>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</si>
  <si>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</si>
  <si>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</si>
  <si>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</si>
  <si>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</si>
  <si>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</si>
  <si>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</si>
  <si>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</si>
  <si>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</si>
  <si>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</si>
  <si>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</si>
  <si>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</si>
  <si>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</si>
  <si>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</si>
  <si>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</si>
  <si>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</si>
  <si>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</si>
  <si>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</si>
  <si>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</si>
  <si>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</si>
  <si>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</si>
  <si>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</si>
  <si>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</si>
  <si>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</si>
  <si>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</si>
  <si>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</si>
  <si>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</si>
  <si>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</si>
  <si>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</si>
  <si>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</si>
  <si>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</si>
  <si>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</si>
  <si>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</si>
  <si>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</si>
  <si>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</si>
  <si>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</si>
  <si>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</si>
  <si>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</si>
  <si>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</si>
  <si>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</si>
  <si>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</si>
  <si>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</si>
  <si>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</si>
  <si>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</si>
  <si>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</si>
  <si>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</si>
  <si>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</si>
  <si>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</si>
  <si>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</si>
  <si>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</si>
  <si>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</si>
  <si>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</si>
  <si>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</si>
  <si>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</si>
  <si>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</si>
  <si>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</si>
  <si>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</si>
  <si>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</si>
  <si>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</si>
  <si>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</si>
  <si>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</si>
  <si>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</si>
  <si>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</si>
  <si>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</si>
  <si>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</si>
  <si>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</si>
  <si>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</si>
  <si>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</si>
  <si>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</si>
  <si>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</si>
  <si>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</si>
  <si>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</si>
  <si>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</si>
  <si>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</si>
  <si>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</si>
  <si>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</si>
  <si>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</si>
  <si>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</si>
  <si>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</si>
  <si>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</si>
  <si>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</si>
  <si>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</si>
  <si>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</si>
  <si>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</si>
  <si>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</si>
  <si>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</si>
  <si>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</si>
  <si>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</si>
  <si>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</si>
  <si>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</si>
  <si>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</si>
  <si>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</si>
  <si>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</si>
  <si>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</si>
  <si>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</si>
  <si>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</si>
  <si>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</si>
  <si>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</si>
  <si>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</si>
  <si>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</si>
  <si>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</si>
  <si>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</si>
  <si>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</si>
  <si>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</si>
  <si>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</si>
  <si>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</si>
  <si>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</si>
  <si>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</si>
  <si>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</si>
  <si>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</si>
  <si>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</si>
  <si>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</si>
  <si>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</si>
  <si>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إجراءات القائد قبل بدء التحرك إلى مناطق الانتشار.</t>
  </si>
  <si>
    <t>1.  إبلاغ المرؤوسين بالبدء بتنفيذ خطة التحرك لمناطق الانتشار.</t>
  </si>
  <si>
    <t>2.  إرسال مجموعات للتفتيش وتأمين مناطق الانتشار.</t>
  </si>
  <si>
    <t>3.  تحميل وثائق العمليات.</t>
  </si>
  <si>
    <t>إجراءات القادة والقوات أثناء التحرك لمناطق الانتشار.</t>
  </si>
  <si>
    <t>1.  التقيد بتنفيذ إجراءات التحرك حسب أمر / جدول التنقل.</t>
  </si>
  <si>
    <t xml:space="preserve">2.  ارسال تقارير تطهير منطقة الانتشار. </t>
  </si>
  <si>
    <t>3.  تأمين حركة القوات أثناء التحرك.</t>
  </si>
  <si>
    <t>4.  تحقيـق الاتصال بالمستـوى الأعلى والادنى.</t>
  </si>
  <si>
    <t>إجراءات دخول القوات في مناطق الانتشار وتأمينها.</t>
  </si>
  <si>
    <t>1.  التجهيز الهندسي لمناطق الانتشار (الحماية السواتر الاخفاء والتمويه)</t>
  </si>
  <si>
    <t>2.  تحديد القطاع الخاص بسرية الهندسة.</t>
  </si>
  <si>
    <t>3.  توزيع الآليات على القطاع المخصص.</t>
  </si>
  <si>
    <t>إجراءات الإسناد الإداري.</t>
  </si>
  <si>
    <t>1.  التزويد (الوقود / الأرزاق / المياه، الخ..).</t>
  </si>
  <si>
    <t>2.  معرفة طرق الإخـلاء.</t>
  </si>
  <si>
    <t>3.  تأمين طرق الإنقـاذ.</t>
  </si>
  <si>
    <t>4.  تأمين الطرق الرئيسة والتبادلية المؤديـة وإلى ومن مناطق الانتشــار.</t>
  </si>
  <si>
    <r>
      <rPr>
        <b/>
        <sz val="14"/>
        <color rgb="FF000000"/>
        <rFont val="Arial"/>
        <family val="2"/>
      </rPr>
      <t>تقييم تحضيرات التحميل والتحرك لمناطق انتشار سرية هندسة الميدان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</si>
</sst>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6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u/>
      <sz val="12"/>
      <color theme="1"/>
      <name val="Arial"/>
      <family val="2"/>
    </font>
    <font>
      <sz val="12"/>
      <color theme="1"/>
      <name val="Calibri"/>
      <family val="2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14" fillId="0" borderId="4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 readingOrder="2"/>
    </xf>
    <xf numFmtId="0" fontId="3" fillId="0" borderId="12" xfId="0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2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15" fillId="0" borderId="11" xfId="0" applyFont="1" applyBorder="1" applyAlignment="1">
      <alignment horizontal="right" vertical="center" wrapText="1" readingOrder="2"/>
    </xf>
    <xf numFmtId="0" fontId="15" fillId="0" borderId="12" xfId="0" applyFont="1" applyBorder="1" applyAlignment="1">
      <alignment horizontal="right" vertical="center" wrapText="1" readingOrder="2"/>
    </xf>
    <xf numFmtId="0" fontId="13" fillId="0" borderId="5" xfId="0" applyFont="1" applyBorder="1" applyAlignment="1">
      <alignment horizontal="right" vertical="center" wrapText="1" readingOrder="2"/>
    </xf>
    <xf numFmtId="0" fontId="13" fillId="0" borderId="4" xfId="0" applyFont="1" applyBorder="1" applyAlignment="1">
      <alignment horizontal="right" vertical="center" wrapText="1" readingOrder="2"/>
    </xf>
    <xf numFmtId="0" fontId="15" fillId="0" borderId="23" xfId="0" applyFont="1" applyBorder="1" applyAlignment="1">
      <alignment horizontal="right" vertical="center" wrapText="1" readingOrder="2"/>
    </xf>
    <xf numFmtId="0" fontId="15" fillId="0" borderId="3" xfId="0" applyFont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159092</xdr:colOff>
      <xdr:row>28</xdr:row>
      <xdr:rowOff>375711</xdr:rowOff>
    </xdr:from>
    <xdr:to>
      <xdr:col>8</xdr:col>
      <xdr:colOff>394557</xdr:colOff>
      <xdr:row>29</xdr:row>
      <xdr:rowOff>638734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E727BD48-A4C9-DD90-C127-D7C020C79C94}"/>
                </a:ext>
              </a:extLst>
            </xdr14:cNvPr>
            <xdr14:cNvContentPartPr/>
          </xdr14:nvContentPartPr>
          <xdr14:nvPr macro=""/>
          <xdr14:xfrm>
            <a:off x="10448594248" y="11082600"/>
            <a:ext cx="1548000" cy="7977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727BD48-A4C9-DD90-C127-D7C020C79C9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48588128" y="11076480"/>
              <a:ext cx="1560240" cy="810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30T03:29:28.0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4198 1092 1912,'0'0'0,"0"0"1688,0-4-1176,0-1-408,0 5-104,2-3 80,1 0-64,-3 3 8,0 0-24,0 0 8,0 0 8,0 2 8,0-1 0,0-1-24,0 3 8,0 0 8,0 2 0,0 1-16,0-6 0,0 11 8,0-7 0,0 8 0,0-9-8,0-3 0,0 5 16,0-1 8,0 1 0,-5 7-16,5-12-8,-12 4 8,8 11-40,-15-1 32,2 2-16,17-16 16,-18 18-8,-6 4 40,-2 2-24,-2 2 40,28-26-48,-33 30 48,2 1-40,1-1-8,1-2-8,29-28 8,-32 27-8,1-3 0,0-1 0,-2-2 16,33-21-8,-30 21 16,-3-2 8,5-2-24,0-1 0,28-16 0,-26 14 25,0-3-17,5-5 8,2 0-8,19-6-8,-17 5 8,4-4 8,1-1 40,0 0-8,12 0-48,-3-4 24,-2-12-24,3 4 24,1 0-24,1 12 0,0-14 16,0 1 0,1 1-32,4 7 0,-5 5 16,14-16-16,-9 11 8,9-10-16,-7 11 24,-7 4 0,14-18 0,-7 6 0,10 0 48,-12 0-48,-5 12 0,16-12 16,-4 0-16,-7 0-16,8-3 48,-13 15-32,7-15 0,5 0 16,-5 2-8,-2 8-8,-5 5 0,5-4 0,0 1 8,-4 3-16,2 0 0,-3 0 8,0 0 8,0 0-32,-4 3 24,2 1 16,2-4-16,-15 15-8,3-3 24,0 3-8,-6 2 0,18-17-8,-22 19 0,4-1-8,-4 0 24,2-2-32,20-16 16,-24 18 24,0-3-32,3 2 16,5-2 0,16-15-8,-19 15 16,-2 0-24,-1-2-16,2-1-32,20-12 56,-24 13-80,3 1 32,-3 1 0,1 0 40,23-15 8,-24 12 0,3 1-8,-3-8 16,6 7-8,18-12 0,-22 1-8,4 2 16,1 0-16,5-1 8,12-2 0,-12 0 24,8 0-32,-8 0 40,12-3-40,0 3 8,-2-3-24,2-9 48,0 7-32,2-11 16,-2 16-8,5-14 16,11 1-8,-4-4-24,3 4 24,-15 13-8,13-13 8,1-1-8,1 1 0,-2 1 16,-13 12-16,5-5 16,9-10 0,-11 12-8,4 0-8,-7 3 0,5-3 0,-5 3-16,0 0 32,-2 0-16,2 0 0,-13 0 0,9 2 16,-15 2-16,5 2 8,14-6-8,-19 15 0,-4-3 0,1 0-8,-3 2 16,25-14-8,-24 13 0,0 0 0,1-1 8,2 2-16,21-14 8,-19 6 24,0 7-40,0-8 32,1-1-16,18-4 0,-15 2 0,1-1 16,1 1-32,-2-1 16,15-1 0,-12 0 0,7 0 0,-11 0 32,14 0-8,2 0-24,-12 0-16,10-3 32,-1 3 0,-4-3-8,7 3-8,-2-3 16,2 3-24,0-3 8,0 3 0,0 0 8,0 0 8,0-3-24,0 3 8,0-3 0,0-1-16,4-10 24,1 11-16,-5 3 8,5-12 0,2 9 24,-2-9-8,-3 8 0,-2 4-16,5-13 16,0 10-8,-5-11-8,4 11 0,-4 3 0,0-12 0,5 9 8,-3-9 0,3 9 8,-5 3-16,2-13 24,1 10-16,-3-2 24,0-7-32,0 12 0,0-3 0,-17 3 0,8 0 8,9 0-8,-21 5 8,-7 7 8,-10 1-16,-4 1 0,42-14 0,-47 15 32,-7 1-32,-8 2 32,-8 1-72,70-19 40,-75 24-48,-7 2 16,-5 2 0,-3 2 72,90-30-40,-94 32 40,-5 2 0,-10 5-16,-5 3 40,114-42-64,-120 45-24,0 3-8,0 0 16,2 1-24,118-49 40,-115 47 32,0-5 0,-3-9 24,7-11-56,111-22 0,-51 3 32,-13 2-24,3-5-24,-5 0-8,66 0 24,-59-12-8,-8 7-8,5-17 8,-6 5 24,68 17-16,-61-22-24,6-1 40,9-1-24,8 0 8,38 24 0,-35-25 0,7-2-16,6 0 16,9-1-16,13 28 16,-15-30 40,15-3-8,0-2 48,0-1-48,0 36-32,5-39 16,13-1 16,4-4-40,6-2 48,-28 46-40,31-47 40,9-3 0,5-4-8,7-6-24,-52 60-8,58-61 0,19-17 32,62-57-40,-2 9 88,-137 126-80,139-112 56,-27 31 8,6 0 24,2 3-56,-120 78-32,120-70 40,4 1 32,10 5 8,3-1-16,-137 65-64,139-64 56,-5 1-96,0 3 16,-5 5 0,-129 55 24,125-48 32,-3 6 16,-2 6-16,-10 12 24,-110 24-56,111-18-32,-17 13 0,-7 1 8,-7 1-24,-80 3 48,71 0-8,-1 0-32,-4 1 0,-3 4 32,-63-5 8,62 6-8,-3 6 16,-6-6 0,-3 9-48,-50-15 40,39 12-40,-5 0 32,-1 1-40,-10 4 56,-23-17-8,19 18-40,-7 3 8,-7 4 48,1 2 0,-6-27-16,0 28 32,-13 7-24,-11 4-8,-4 9-40,28-48 40,-35 51 8,-12 3-40,-8 0-8,-6-3-24,61-51 64,-66 49-72,-6 3 16,-4 2-8,-2 3 32,78-57 32,-79 57-72,6 0 32,-3-6 8,6-3 24,70-48 8,-69 43 8,4-6 0,13-2 24,2-9-40,50-26 8,-35 21 8,5-6-8,6-11 0,13 1-16,11-5 16,-5 0 16,0 0-16,5-5 0,3-10-16,-3 15 16,13-15 0,7-1-24,5-3 8,6 0 0,-31 19 16,35-18-32,-2 0 32,2 3-24,0 0 8,-35 15 16,34-5-24,-4-8-16,-6 13 40,-10-3 0,-14 3 0,14 0 8,-14 0-8,0 5 8,-12 11-16,12-16 8,-18 15 8,-4 3 16,-8 1-24,-1 2 8,31-21-8,-31 23 8,-4 0 0,7 2 8,-5-1 0,33-24-16,-28 21 8,2-2-16,0-4 8,3-3 8,23-12-8,-19 5 8,2-1 0,6 1-8,6-2 8,5-3-8,-15 3-64,15-2 88,-4 1-72,4-1 32,0-1 16,0 0 40,0 0-56,0 0 64,4 0-72,-4 0 24,13 0-8,-9 2-24,12-1 0,-9 1 24,-7-2 8,15 3 8,-13-2-16,3 1 0,0 1 16,-5-3-8,2 3-16,1 1 24,-3 1 8,-5 8-16,5-13 0,-5 6 0,-7 12 16,5-4-8,-7 2-32,14-16 24,-12 18 16,0 0-88,-5 1 0,6 1 16,11-20 56,-4 18-96,-11-2 32,13-1-192,2-10-2625,0-5 2881,0 0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0"/>
  <sheetViews>
    <sheetView rightToLeft="1" tabSelected="1" view="pageBreakPreview" zoomScale="130" zoomScaleNormal="100" zoomScaleSheetLayoutView="130" workbookViewId="0">
      <selection activeCell="F14" sqref="F14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68" t="s">
        <v>198</v>
      </c>
      <c r="C1" s="68"/>
      <c r="D1" s="68"/>
      <c r="E1" s="68"/>
      <c r="F1" s="68"/>
      <c r="G1" s="68"/>
      <c r="H1" s="68"/>
      <c r="I1" s="68"/>
      <c r="J1" s="68"/>
    </row>
    <row r="2" spans="1:10" ht="30" customHeight="1" x14ac:dyDescent="0.3">
      <c r="B2" s="12" t="s">
        <v>8</v>
      </c>
      <c r="C2" s="74" t="s">
        <v>12</v>
      </c>
      <c r="D2" s="74"/>
      <c r="E2" s="12" t="s">
        <v>7</v>
      </c>
      <c r="F2" s="69">
        <v>45929</v>
      </c>
      <c r="G2" s="69"/>
      <c r="H2" s="69"/>
      <c r="I2" s="69"/>
      <c r="J2" s="69"/>
    </row>
    <row r="3" spans="1:10" ht="30" customHeight="1" x14ac:dyDescent="0.3">
      <c r="B3" s="12" t="s">
        <v>9</v>
      </c>
      <c r="C3" s="74" t="s">
        <v>73</v>
      </c>
      <c r="D3" s="74"/>
      <c r="E3" s="12" t="s">
        <v>6</v>
      </c>
      <c r="F3" s="74" t="s">
        <v>119</v>
      </c>
      <c r="G3" s="74"/>
      <c r="H3" s="74"/>
      <c r="I3" s="74"/>
      <c r="J3" s="74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70" t="s">
        <v>0</v>
      </c>
      <c r="C5" s="71"/>
      <c r="D5" s="71"/>
      <c r="E5" s="60" t="s">
        <v>1</v>
      </c>
      <c r="F5" s="60"/>
      <c r="G5" s="60"/>
      <c r="H5" s="60"/>
      <c r="I5" s="60" t="s">
        <v>2</v>
      </c>
      <c r="J5" s="61"/>
    </row>
    <row r="6" spans="1:10" ht="24.9" customHeight="1" thickBot="1" x14ac:dyDescent="0.35">
      <c r="A6" s="10"/>
      <c r="B6" s="72"/>
      <c r="C6" s="73"/>
      <c r="D6" s="73"/>
      <c r="E6" s="11" t="s">
        <v>3</v>
      </c>
      <c r="F6" s="11" t="s">
        <v>4</v>
      </c>
      <c r="G6" s="11" t="s">
        <v>23</v>
      </c>
      <c r="H6" s="11" t="s">
        <v>24</v>
      </c>
      <c r="I6" s="62"/>
      <c r="J6" s="63"/>
    </row>
    <row r="7" spans="1:10" ht="24.9" customHeight="1" thickBot="1" x14ac:dyDescent="0.35">
      <c r="A7" s="10"/>
      <c r="B7" s="58" t="s">
        <v>21</v>
      </c>
      <c r="C7" s="59"/>
      <c r="D7" s="59"/>
      <c r="E7" s="33" t="s">
        <v>18</v>
      </c>
      <c r="F7" s="33" t="s">
        <v>19</v>
      </c>
      <c r="G7" s="33" t="s">
        <v>22</v>
      </c>
      <c r="H7" s="33" t="s">
        <v>20</v>
      </c>
      <c r="I7" s="64" t="s">
        <v>25</v>
      </c>
      <c r="J7" s="65"/>
    </row>
    <row r="8" spans="1:10" ht="30" customHeight="1" x14ac:dyDescent="0.3">
      <c r="A8" s="10"/>
      <c r="B8" s="46" t="s">
        <v>180</v>
      </c>
      <c r="C8" s="47"/>
      <c r="D8" s="47"/>
      <c r="E8" s="28"/>
      <c r="F8" s="37"/>
      <c r="G8" s="38"/>
      <c r="H8" s="39"/>
      <c r="I8" s="66"/>
      <c r="J8" s="67"/>
    </row>
    <row r="9" spans="1:10" ht="30" customHeight="1" x14ac:dyDescent="0.3">
      <c r="A9" s="10"/>
      <c r="B9" s="48" t="s">
        <v>181</v>
      </c>
      <c r="C9" s="49"/>
      <c r="D9" s="49"/>
      <c r="E9" s="29">
        <v>6</v>
      </c>
      <c r="F9" s="26">
        <v>4.25</v>
      </c>
      <c r="G9" s="35">
        <f>IFERROR(F9/E9,"")</f>
        <v>0.70833333333333337</v>
      </c>
      <c r="H9" s="36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50"/>
      <c r="J9" s="51"/>
    </row>
    <row r="10" spans="1:10" ht="30" customHeight="1" x14ac:dyDescent="0.3">
      <c r="A10" s="10"/>
      <c r="B10" s="48" t="s">
        <v>182</v>
      </c>
      <c r="C10" s="49"/>
      <c r="D10" s="49"/>
      <c r="E10" s="29">
        <v>6</v>
      </c>
      <c r="F10" s="26">
        <v>4.25</v>
      </c>
      <c r="G10" s="35">
        <f t="shared" ref="G10:G25" si="0">IFERROR(F10/E10,"")</f>
        <v>0.70833333333333337</v>
      </c>
      <c r="H10" s="36" t="str">
        <f t="shared" ref="H10:H25" si="1">_xlfn.IFS(F10="أدخل العلامة","",F10="لا ينطبق","تم الإلغاء",G10&gt;=90%,"ممتاز",G10&gt;=80%,"جيد جداً",G10&gt;=70%,"جيد",G10&gt;=60%,"مقبول",G10&lt;60%,"راسب")</f>
        <v>جيد</v>
      </c>
      <c r="I10" s="50"/>
      <c r="J10" s="51"/>
    </row>
    <row r="11" spans="1:10" ht="30" customHeight="1" thickBot="1" x14ac:dyDescent="0.35">
      <c r="A11" s="10"/>
      <c r="B11" s="44" t="s">
        <v>183</v>
      </c>
      <c r="C11" s="45"/>
      <c r="D11" s="45"/>
      <c r="E11" s="30">
        <v>6</v>
      </c>
      <c r="F11" s="27">
        <v>4.75</v>
      </c>
      <c r="G11" s="40">
        <f t="shared" si="0"/>
        <v>0.79166666666666663</v>
      </c>
      <c r="H11" s="41" t="str">
        <f t="shared" si="1"/>
        <v>جيد</v>
      </c>
      <c r="I11" s="56"/>
      <c r="J11" s="57"/>
    </row>
    <row r="12" spans="1:10" ht="30" customHeight="1" x14ac:dyDescent="0.3">
      <c r="A12" s="10"/>
      <c r="B12" s="46" t="s">
        <v>184</v>
      </c>
      <c r="C12" s="47"/>
      <c r="D12" s="47"/>
      <c r="E12" s="28"/>
      <c r="F12" s="37"/>
      <c r="G12" s="38"/>
      <c r="H12" s="39"/>
      <c r="I12" s="66"/>
      <c r="J12" s="67"/>
    </row>
    <row r="13" spans="1:10" ht="30" customHeight="1" x14ac:dyDescent="0.3">
      <c r="A13" s="10"/>
      <c r="B13" s="48" t="s">
        <v>185</v>
      </c>
      <c r="C13" s="49"/>
      <c r="D13" s="49"/>
      <c r="E13" s="9">
        <v>8</v>
      </c>
      <c r="F13" s="26">
        <v>6</v>
      </c>
      <c r="G13" s="35">
        <f t="shared" si="0"/>
        <v>0.75</v>
      </c>
      <c r="H13" s="36" t="str">
        <f t="shared" si="1"/>
        <v>جيد</v>
      </c>
      <c r="I13" s="50"/>
      <c r="J13" s="51"/>
    </row>
    <row r="14" spans="1:10" ht="30" customHeight="1" x14ac:dyDescent="0.3">
      <c r="A14" s="10"/>
      <c r="B14" s="48" t="s">
        <v>186</v>
      </c>
      <c r="C14" s="49"/>
      <c r="D14" s="49"/>
      <c r="E14" s="9">
        <v>8</v>
      </c>
      <c r="F14" s="26">
        <v>6</v>
      </c>
      <c r="G14" s="35">
        <f t="shared" si="0"/>
        <v>0.75</v>
      </c>
      <c r="H14" s="36" t="str">
        <f t="shared" si="1"/>
        <v>جيد</v>
      </c>
      <c r="I14" s="50"/>
      <c r="J14" s="51"/>
    </row>
    <row r="15" spans="1:10" ht="30" customHeight="1" x14ac:dyDescent="0.3">
      <c r="A15" s="10"/>
      <c r="B15" s="48" t="s">
        <v>187</v>
      </c>
      <c r="C15" s="49"/>
      <c r="D15" s="49"/>
      <c r="E15" s="9">
        <v>8</v>
      </c>
      <c r="F15" s="26">
        <v>6.25</v>
      </c>
      <c r="G15" s="35">
        <f t="shared" si="0"/>
        <v>0.78125</v>
      </c>
      <c r="H15" s="36" t="str">
        <f t="shared" si="1"/>
        <v>جيد</v>
      </c>
      <c r="I15" s="50"/>
      <c r="J15" s="51"/>
    </row>
    <row r="16" spans="1:10" ht="30" customHeight="1" thickBot="1" x14ac:dyDescent="0.35">
      <c r="A16" s="10"/>
      <c r="B16" s="44" t="s">
        <v>188</v>
      </c>
      <c r="C16" s="45"/>
      <c r="D16" s="45"/>
      <c r="E16" s="31">
        <v>8</v>
      </c>
      <c r="F16" s="27">
        <v>6</v>
      </c>
      <c r="G16" s="40">
        <f t="shared" si="0"/>
        <v>0.75</v>
      </c>
      <c r="H16" s="41" t="str">
        <f t="shared" si="1"/>
        <v>جيد</v>
      </c>
      <c r="I16" s="56"/>
      <c r="J16" s="57"/>
    </row>
    <row r="17" spans="1:10" ht="30" customHeight="1" x14ac:dyDescent="0.3">
      <c r="A17" s="10"/>
      <c r="B17" s="46" t="s">
        <v>189</v>
      </c>
      <c r="C17" s="47"/>
      <c r="D17" s="47"/>
      <c r="E17" s="28"/>
      <c r="F17" s="37"/>
      <c r="G17" s="38"/>
      <c r="H17" s="39"/>
      <c r="I17" s="66"/>
      <c r="J17" s="67"/>
    </row>
    <row r="18" spans="1:10" ht="30" customHeight="1" x14ac:dyDescent="0.3">
      <c r="A18" s="10"/>
      <c r="B18" s="48" t="s">
        <v>190</v>
      </c>
      <c r="C18" s="49"/>
      <c r="D18" s="49"/>
      <c r="E18" s="29">
        <v>15</v>
      </c>
      <c r="F18" s="26">
        <v>11</v>
      </c>
      <c r="G18" s="35">
        <f t="shared" si="0"/>
        <v>0.73333333333333328</v>
      </c>
      <c r="H18" s="36" t="str">
        <f t="shared" si="1"/>
        <v>جيد</v>
      </c>
      <c r="I18" s="50"/>
      <c r="J18" s="51"/>
    </row>
    <row r="19" spans="1:10" ht="30" customHeight="1" x14ac:dyDescent="0.3">
      <c r="A19" s="10"/>
      <c r="B19" s="48" t="s">
        <v>191</v>
      </c>
      <c r="C19" s="49"/>
      <c r="D19" s="49"/>
      <c r="E19" s="29">
        <v>8</v>
      </c>
      <c r="F19" s="26">
        <v>6.25</v>
      </c>
      <c r="G19" s="35">
        <f t="shared" si="0"/>
        <v>0.78125</v>
      </c>
      <c r="H19" s="36" t="str">
        <f t="shared" si="1"/>
        <v>جيد</v>
      </c>
      <c r="I19" s="50"/>
      <c r="J19" s="51"/>
    </row>
    <row r="20" spans="1:10" ht="30" customHeight="1" thickBot="1" x14ac:dyDescent="0.35">
      <c r="A20" s="10"/>
      <c r="B20" s="44" t="s">
        <v>192</v>
      </c>
      <c r="C20" s="45"/>
      <c r="D20" s="45"/>
      <c r="E20" s="30">
        <v>7</v>
      </c>
      <c r="F20" s="27">
        <v>5</v>
      </c>
      <c r="G20" s="40">
        <f t="shared" si="0"/>
        <v>0.7142857142857143</v>
      </c>
      <c r="H20" s="41" t="str">
        <f t="shared" si="1"/>
        <v>جيد</v>
      </c>
      <c r="I20" s="56"/>
      <c r="J20" s="57"/>
    </row>
    <row r="21" spans="1:10" ht="30" customHeight="1" x14ac:dyDescent="0.3">
      <c r="A21" s="10"/>
      <c r="B21" s="42" t="s">
        <v>193</v>
      </c>
      <c r="C21" s="43"/>
      <c r="D21" s="43"/>
      <c r="E21" s="32"/>
      <c r="F21" s="37"/>
      <c r="G21" s="38"/>
      <c r="H21" s="39"/>
      <c r="I21" s="66"/>
      <c r="J21" s="67"/>
    </row>
    <row r="22" spans="1:10" ht="30" customHeight="1" x14ac:dyDescent="0.3">
      <c r="A22" s="10"/>
      <c r="B22" s="52" t="s">
        <v>194</v>
      </c>
      <c r="C22" s="53"/>
      <c r="D22" s="53"/>
      <c r="E22" s="9">
        <v>10</v>
      </c>
      <c r="F22" s="26">
        <v>7.5</v>
      </c>
      <c r="G22" s="35">
        <f t="shared" si="0"/>
        <v>0.75</v>
      </c>
      <c r="H22" s="36" t="str">
        <f t="shared" si="1"/>
        <v>جيد</v>
      </c>
      <c r="I22" s="50"/>
      <c r="J22" s="51"/>
    </row>
    <row r="23" spans="1:10" ht="30" customHeight="1" x14ac:dyDescent="0.3">
      <c r="A23" s="10"/>
      <c r="B23" s="52" t="s">
        <v>195</v>
      </c>
      <c r="C23" s="53"/>
      <c r="D23" s="53"/>
      <c r="E23" s="9">
        <v>5</v>
      </c>
      <c r="F23" s="26">
        <v>3.25</v>
      </c>
      <c r="G23" s="35">
        <f t="shared" si="0"/>
        <v>0.65</v>
      </c>
      <c r="H23" s="36" t="str">
        <f t="shared" si="1"/>
        <v>مقبول</v>
      </c>
      <c r="I23" s="50"/>
      <c r="J23" s="51"/>
    </row>
    <row r="24" spans="1:10" ht="30" customHeight="1" x14ac:dyDescent="0.3">
      <c r="A24" s="10"/>
      <c r="B24" s="52" t="s">
        <v>196</v>
      </c>
      <c r="C24" s="53"/>
      <c r="D24" s="53"/>
      <c r="E24" s="9">
        <v>5</v>
      </c>
      <c r="F24" s="26">
        <v>3.5</v>
      </c>
      <c r="G24" s="35">
        <f t="shared" si="0"/>
        <v>0.7</v>
      </c>
      <c r="H24" s="36" t="str">
        <f t="shared" si="1"/>
        <v>جيد</v>
      </c>
      <c r="I24" s="50"/>
      <c r="J24" s="51"/>
    </row>
    <row r="25" spans="1:10" ht="30" customHeight="1" thickBot="1" x14ac:dyDescent="0.35">
      <c r="A25" s="10"/>
      <c r="B25" s="54" t="s">
        <v>197</v>
      </c>
      <c r="C25" s="55"/>
      <c r="D25" s="55"/>
      <c r="E25" s="31">
        <v>5</v>
      </c>
      <c r="F25" s="27">
        <v>3.25</v>
      </c>
      <c r="G25" s="40">
        <f t="shared" si="0"/>
        <v>0.65</v>
      </c>
      <c r="H25" s="41" t="str">
        <f t="shared" si="1"/>
        <v>مقبول</v>
      </c>
      <c r="I25" s="56"/>
      <c r="J25" s="57"/>
    </row>
    <row r="26" spans="1:10" ht="30" customHeight="1" thickBot="1" x14ac:dyDescent="0.35">
      <c r="A26" s="4"/>
      <c r="B26" s="87" t="s">
        <v>5</v>
      </c>
      <c r="C26" s="88"/>
      <c r="D26" s="88"/>
      <c r="E26" s="34">
        <f>SUM(E8:E25)</f>
        <v>105</v>
      </c>
      <c r="F26" s="34">
        <f>SUM(F8:F25)</f>
        <v>77.25</v>
      </c>
      <c r="G26" s="76"/>
      <c r="H26" s="77"/>
      <c r="I26" s="77"/>
      <c r="J26" s="78"/>
    </row>
    <row r="27" spans="1:10" ht="30" customHeight="1" thickBot="1" x14ac:dyDescent="0.35">
      <c r="A27" s="4"/>
      <c r="B27" s="89" t="s">
        <v>54</v>
      </c>
      <c r="C27" s="90"/>
      <c r="D27" s="90"/>
      <c r="E27" s="85">
        <f>F26/E26/100*100</f>
        <v>0.73571428571428577</v>
      </c>
      <c r="F27" s="85"/>
      <c r="G27" s="85"/>
      <c r="H27" s="85"/>
      <c r="I27" s="85"/>
      <c r="J27" s="86"/>
    </row>
    <row r="28" spans="1:10" ht="30" customHeight="1" thickBot="1" x14ac:dyDescent="0.35">
      <c r="A28" s="4"/>
      <c r="B28" s="89" t="s">
        <v>55</v>
      </c>
      <c r="C28" s="90"/>
      <c r="D28" s="90"/>
      <c r="E28" s="83" t="str">
        <f>_xlfn.IFS(E27&gt;=90%,"ممتاز",E27&gt;=80%,"جيد جداً",E27&gt;=70%,"جيد",E27&gt;=60%,"مقبول",E27&lt;60%,"راسب")</f>
        <v>جيد</v>
      </c>
      <c r="F28" s="83"/>
      <c r="G28" s="83"/>
      <c r="H28" s="83"/>
      <c r="I28" s="83"/>
      <c r="J28" s="84"/>
    </row>
    <row r="29" spans="1:10" ht="42" customHeight="1" x14ac:dyDescent="0.3">
      <c r="B29" s="79" t="s">
        <v>174</v>
      </c>
      <c r="C29" s="79"/>
      <c r="D29" s="79"/>
      <c r="E29" s="91" t="s">
        <v>52</v>
      </c>
      <c r="F29" s="91"/>
      <c r="G29" s="81" t="s">
        <v>119</v>
      </c>
      <c r="H29" s="81"/>
      <c r="I29" s="81"/>
      <c r="J29" s="81"/>
    </row>
    <row r="30" spans="1:10" ht="51" customHeight="1" x14ac:dyDescent="0.3">
      <c r="A30" s="5"/>
      <c r="B30" s="80"/>
      <c r="C30" s="80"/>
      <c r="D30" s="80"/>
      <c r="E30" s="75" t="s">
        <v>53</v>
      </c>
      <c r="F30" s="75"/>
      <c r="G30" s="82"/>
      <c r="H30" s="82"/>
      <c r="I30" s="82"/>
      <c r="J30" s="82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57">
    <mergeCell ref="I21:J21"/>
    <mergeCell ref="I16:J16"/>
    <mergeCell ref="I17:J17"/>
    <mergeCell ref="I18:J18"/>
    <mergeCell ref="I19:J19"/>
    <mergeCell ref="I20:J20"/>
    <mergeCell ref="I11:J11"/>
    <mergeCell ref="I12:J12"/>
    <mergeCell ref="I13:J13"/>
    <mergeCell ref="I14:J14"/>
    <mergeCell ref="I15:J15"/>
    <mergeCell ref="E30:F30"/>
    <mergeCell ref="G26:J26"/>
    <mergeCell ref="B29:D30"/>
    <mergeCell ref="G29:J29"/>
    <mergeCell ref="G30:J30"/>
    <mergeCell ref="E28:J28"/>
    <mergeCell ref="E27:J27"/>
    <mergeCell ref="B26:D26"/>
    <mergeCell ref="B27:D27"/>
    <mergeCell ref="B28:D28"/>
    <mergeCell ref="E29:F29"/>
    <mergeCell ref="B1:J1"/>
    <mergeCell ref="F2:J2"/>
    <mergeCell ref="B5:D6"/>
    <mergeCell ref="C2:D2"/>
    <mergeCell ref="C3:D3"/>
    <mergeCell ref="F3:J3"/>
    <mergeCell ref="B7:D7"/>
    <mergeCell ref="E5:H5"/>
    <mergeCell ref="I5:J6"/>
    <mergeCell ref="I7:J7"/>
    <mergeCell ref="I10:J10"/>
    <mergeCell ref="I8:J8"/>
    <mergeCell ref="B8:D8"/>
    <mergeCell ref="B9:D9"/>
    <mergeCell ref="B10:D10"/>
    <mergeCell ref="I9:J9"/>
    <mergeCell ref="I22:J22"/>
    <mergeCell ref="B22:D22"/>
    <mergeCell ref="B23:D23"/>
    <mergeCell ref="B24:D24"/>
    <mergeCell ref="B25:D25"/>
    <mergeCell ref="I23:J23"/>
    <mergeCell ref="I24:J24"/>
    <mergeCell ref="I25:J25"/>
    <mergeCell ref="B11:D11"/>
    <mergeCell ref="B12:D12"/>
    <mergeCell ref="B13:D13"/>
    <mergeCell ref="B14:D14"/>
    <mergeCell ref="B15:D15"/>
    <mergeCell ref="B21:D21"/>
    <mergeCell ref="B16:D16"/>
    <mergeCell ref="B17:D17"/>
    <mergeCell ref="B18:D18"/>
    <mergeCell ref="B19:D19"/>
    <mergeCell ref="B20:D20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8">
    <cfRule type="expression" dxfId="14" priority="57">
      <formula>$E28="راسب"</formula>
    </cfRule>
  </conditionalFormatting>
  <conditionalFormatting sqref="E28:J28">
    <cfRule type="expression" dxfId="13" priority="58">
      <formula>$E28="مقبول"</formula>
    </cfRule>
    <cfRule type="expression" dxfId="12" priority="59">
      <formula>$E28="جيد"</formula>
    </cfRule>
    <cfRule type="expression" dxfId="11" priority="60">
      <formula>$E28="جيد جداً"</formula>
    </cfRule>
    <cfRule type="expression" dxfId="10" priority="61">
      <formula>$E28="ممتاز"</formula>
    </cfRule>
  </conditionalFormatting>
  <conditionalFormatting sqref="F8:F25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9:J29">
    <cfRule type="containsText" dxfId="6" priority="15" operator="containsText" text="أدخل اسم المحكم">
      <formula>NOT(ISERROR(SEARCH("أدخل اسم المحكم",G29)))</formula>
    </cfRule>
  </conditionalFormatting>
  <conditionalFormatting sqref="H8:H25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F20 F23:F25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G29:J29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82C22EA3-C492-457D-A027-29DCD41ED2E0}">
          <x14:formula1>
            <xm:f>'بيانات التقييم'!$A$111:$A$137</xm:f>
          </x14:formula1>
          <xm:sqref>F9:F11</xm:sqref>
        </x14:dataValidation>
        <x14:dataValidation type="list" allowBlank="1" showInputMessage="1" showErrorMessage="1" xr:uid="{E9B3D686-8BB2-4865-8D01-26761598CEF0}">
          <x14:formula1>
            <xm:f>'بيانات التقييم'!$A$111:$A$145</xm:f>
          </x14:formula1>
          <xm:sqref>F13:F16 F19</xm:sqref>
        </x14:dataValidation>
        <x14:dataValidation type="list" allowBlank="1" showInputMessage="1" showErrorMessage="1" xr:uid="{17EDE128-5F6B-4523-AAA4-EDF11A120027}">
          <x14:formula1>
            <xm:f>'بيانات التقييم'!$A$111:$A$173</xm:f>
          </x14:formula1>
          <xm:sqref>F18</xm:sqref>
        </x14:dataValidation>
        <x14:dataValidation type="list" allowBlank="1" showInputMessage="1" showErrorMessage="1" xr:uid="{D1422E47-893D-4103-ACA3-FC65C9073F0F}">
          <x14:formula1>
            <xm:f>'بيانات التقييم'!$A$111:$A$153</xm:f>
          </x14:formula1>
          <xm:sqref>F22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32" workbookViewId="0">
      <selection activeCell="C33" sqref="C33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9" t="s">
        <v>62</v>
      </c>
    </row>
    <row r="3" spans="1:3" ht="20.100000000000001" customHeight="1" thickBot="1" x14ac:dyDescent="0.35">
      <c r="A3" s="2" t="s">
        <v>26</v>
      </c>
      <c r="C3" s="19" t="s">
        <v>63</v>
      </c>
    </row>
    <row r="4" spans="1:3" ht="20.100000000000001" customHeight="1" thickBot="1" x14ac:dyDescent="0.35">
      <c r="A4" s="2" t="s">
        <v>36</v>
      </c>
      <c r="C4" s="19" t="s">
        <v>64</v>
      </c>
    </row>
    <row r="5" spans="1:3" ht="20.100000000000001" customHeight="1" thickBot="1" x14ac:dyDescent="0.35">
      <c r="A5" s="2" t="s">
        <v>37</v>
      </c>
      <c r="C5" s="19" t="s">
        <v>65</v>
      </c>
    </row>
    <row r="6" spans="1:3" ht="20.100000000000001" customHeight="1" thickBot="1" x14ac:dyDescent="0.35">
      <c r="A6" s="2" t="s">
        <v>38</v>
      </c>
      <c r="C6" s="19" t="s">
        <v>66</v>
      </c>
    </row>
    <row r="7" spans="1:3" ht="20.100000000000001" customHeight="1" thickBot="1" x14ac:dyDescent="0.35">
      <c r="A7" s="2" t="s">
        <v>39</v>
      </c>
      <c r="C7" s="19" t="s">
        <v>67</v>
      </c>
    </row>
    <row r="8" spans="1:3" ht="20.100000000000001" customHeight="1" thickBot="1" x14ac:dyDescent="0.35">
      <c r="A8" s="2" t="s">
        <v>40</v>
      </c>
      <c r="C8" s="19" t="s">
        <v>68</v>
      </c>
    </row>
    <row r="9" spans="1:3" ht="20.100000000000001" customHeight="1" thickBot="1" x14ac:dyDescent="0.35">
      <c r="A9" s="2" t="s">
        <v>41</v>
      </c>
      <c r="C9" s="19" t="s">
        <v>69</v>
      </c>
    </row>
    <row r="10" spans="1:3" ht="20.100000000000001" customHeight="1" thickBot="1" x14ac:dyDescent="0.35">
      <c r="A10" s="2" t="s">
        <v>42</v>
      </c>
      <c r="C10" s="19" t="s">
        <v>70</v>
      </c>
    </row>
    <row r="11" spans="1:3" ht="20.100000000000001" customHeight="1" thickBot="1" x14ac:dyDescent="0.35">
      <c r="A11" s="2" t="s">
        <v>43</v>
      </c>
      <c r="C11" s="19" t="s">
        <v>71</v>
      </c>
    </row>
    <row r="12" spans="1:3" ht="20.100000000000001" customHeight="1" thickBot="1" x14ac:dyDescent="0.35">
      <c r="A12" s="2" t="s">
        <v>44</v>
      </c>
      <c r="C12" s="19" t="s">
        <v>72</v>
      </c>
    </row>
    <row r="13" spans="1:3" ht="20.100000000000001" customHeight="1" thickBot="1" x14ac:dyDescent="0.35">
      <c r="A13" s="2" t="s">
        <v>45</v>
      </c>
      <c r="C13" s="19" t="s">
        <v>73</v>
      </c>
    </row>
    <row r="14" spans="1:3" ht="20.100000000000001" customHeight="1" thickBot="1" x14ac:dyDescent="0.35">
      <c r="A14" s="2" t="s">
        <v>46</v>
      </c>
      <c r="C14" s="19" t="s">
        <v>74</v>
      </c>
    </row>
    <row r="15" spans="1:3" ht="20.100000000000001" customHeight="1" thickBot="1" x14ac:dyDescent="0.35">
      <c r="A15" s="2" t="s">
        <v>47</v>
      </c>
      <c r="C15" s="19" t="s">
        <v>75</v>
      </c>
    </row>
    <row r="16" spans="1:3" ht="20.100000000000001" customHeight="1" thickBot="1" x14ac:dyDescent="0.35">
      <c r="A16" s="2" t="s">
        <v>10</v>
      </c>
      <c r="C16" s="19" t="s">
        <v>76</v>
      </c>
    </row>
    <row r="17" spans="1:3" ht="20.100000000000001" customHeight="1" thickBot="1" x14ac:dyDescent="0.35">
      <c r="A17" s="2" t="s">
        <v>27</v>
      </c>
      <c r="C17" s="19" t="s">
        <v>77</v>
      </c>
    </row>
    <row r="18" spans="1:3" ht="20.100000000000001" customHeight="1" thickBot="1" x14ac:dyDescent="0.35">
      <c r="A18" s="2" t="s">
        <v>48</v>
      </c>
      <c r="C18" s="19" t="s">
        <v>78</v>
      </c>
    </row>
    <row r="19" spans="1:3" ht="20.100000000000001" customHeight="1" thickBot="1" x14ac:dyDescent="0.35">
      <c r="A19" s="2" t="s">
        <v>49</v>
      </c>
      <c r="C19" s="19" t="s">
        <v>79</v>
      </c>
    </row>
    <row r="20" spans="1:3" ht="20.100000000000001" customHeight="1" thickBot="1" x14ac:dyDescent="0.35">
      <c r="A20" s="2" t="s">
        <v>50</v>
      </c>
      <c r="C20" s="19" t="s">
        <v>80</v>
      </c>
    </row>
    <row r="21" spans="1:3" ht="20.100000000000001" customHeight="1" thickBot="1" x14ac:dyDescent="0.35">
      <c r="A21" s="2" t="s">
        <v>51</v>
      </c>
      <c r="C21" s="19" t="s">
        <v>81</v>
      </c>
    </row>
    <row r="22" spans="1:3" ht="20.100000000000001" customHeight="1" thickBot="1" x14ac:dyDescent="0.35">
      <c r="A22" s="2" t="s">
        <v>11</v>
      </c>
      <c r="C22" s="19" t="s">
        <v>82</v>
      </c>
    </row>
    <row r="23" spans="1:3" ht="20.100000000000001" customHeight="1" thickBot="1" x14ac:dyDescent="0.35">
      <c r="A23" s="2" t="s">
        <v>12</v>
      </c>
      <c r="C23" s="19" t="s">
        <v>83</v>
      </c>
    </row>
    <row r="24" spans="1:3" ht="20.100000000000001" customHeight="1" thickBot="1" x14ac:dyDescent="0.35">
      <c r="A24" s="2" t="s">
        <v>15</v>
      </c>
      <c r="C24" s="19" t="s">
        <v>84</v>
      </c>
    </row>
    <row r="25" spans="1:3" ht="20.100000000000001" customHeight="1" thickBot="1" x14ac:dyDescent="0.35">
      <c r="A25" s="2" t="s">
        <v>28</v>
      </c>
      <c r="C25" s="19" t="s">
        <v>85</v>
      </c>
    </row>
    <row r="26" spans="1:3" ht="20.100000000000001" customHeight="1" thickBot="1" x14ac:dyDescent="0.35">
      <c r="A26" s="2" t="s">
        <v>29</v>
      </c>
      <c r="C26" s="19" t="s">
        <v>86</v>
      </c>
    </row>
    <row r="27" spans="1:3" ht="20.100000000000001" customHeight="1" thickBot="1" x14ac:dyDescent="0.35">
      <c r="A27" s="2" t="s">
        <v>13</v>
      </c>
      <c r="C27" s="19" t="s">
        <v>87</v>
      </c>
    </row>
    <row r="28" spans="1:3" ht="20.100000000000001" customHeight="1" thickBot="1" x14ac:dyDescent="0.35">
      <c r="A28" s="2" t="s">
        <v>30</v>
      </c>
      <c r="C28" s="19" t="s">
        <v>88</v>
      </c>
    </row>
    <row r="29" spans="1:3" ht="20.100000000000001" customHeight="1" thickBot="1" x14ac:dyDescent="0.35">
      <c r="A29" s="2" t="s">
        <v>31</v>
      </c>
      <c r="C29" s="19" t="s">
        <v>177</v>
      </c>
    </row>
    <row r="30" spans="1:3" ht="20.100000000000001" customHeight="1" thickBot="1" x14ac:dyDescent="0.35">
      <c r="A30" s="2" t="s">
        <v>32</v>
      </c>
      <c r="C30" s="19" t="s">
        <v>178</v>
      </c>
    </row>
    <row r="31" spans="1:3" ht="20.100000000000001" customHeight="1" thickBot="1" x14ac:dyDescent="0.35">
      <c r="A31" s="2" t="s">
        <v>33</v>
      </c>
      <c r="C31" s="19" t="s">
        <v>179</v>
      </c>
    </row>
    <row r="32" spans="1:3" ht="20.100000000000001" customHeight="1" thickBot="1" x14ac:dyDescent="0.35">
      <c r="A32" s="2" t="s">
        <v>16</v>
      </c>
      <c r="C32" s="19"/>
    </row>
    <row r="33" spans="1:9" ht="20.100000000000001" customHeight="1" thickBot="1" x14ac:dyDescent="0.35">
      <c r="A33" s="2" t="s">
        <v>14</v>
      </c>
      <c r="C33" s="19"/>
    </row>
    <row r="34" spans="1:9" ht="20.100000000000001" customHeight="1" thickBot="1" x14ac:dyDescent="0.35">
      <c r="A34" s="2" t="s">
        <v>34</v>
      </c>
      <c r="C34" s="19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3">
        <v>45901</v>
      </c>
    </row>
    <row r="40" spans="1:9" ht="20.100000000000001" customHeight="1" thickBot="1" x14ac:dyDescent="0.35">
      <c r="A40" s="13">
        <v>45902</v>
      </c>
    </row>
    <row r="41" spans="1:9" ht="20.100000000000001" customHeight="1" thickBot="1" x14ac:dyDescent="0.35">
      <c r="A41" s="13">
        <v>45903</v>
      </c>
    </row>
    <row r="42" spans="1:9" ht="20.100000000000001" customHeight="1" thickBot="1" x14ac:dyDescent="0.35">
      <c r="A42" s="13">
        <v>45904</v>
      </c>
    </row>
    <row r="43" spans="1:9" ht="20.100000000000001" customHeight="1" thickBot="1" x14ac:dyDescent="0.35">
      <c r="A43" s="13">
        <v>45905</v>
      </c>
    </row>
    <row r="44" spans="1:9" ht="20.100000000000001" customHeight="1" thickBot="1" x14ac:dyDescent="0.35">
      <c r="A44" s="13">
        <v>45906</v>
      </c>
    </row>
    <row r="45" spans="1:9" ht="20.100000000000001" customHeight="1" thickBot="1" x14ac:dyDescent="0.35">
      <c r="A45" s="13">
        <v>45907</v>
      </c>
    </row>
    <row r="46" spans="1:9" ht="20.100000000000001" customHeight="1" thickBot="1" x14ac:dyDescent="0.35">
      <c r="A46" s="13">
        <v>45908</v>
      </c>
    </row>
    <row r="47" spans="1:9" ht="20.100000000000001" customHeight="1" thickBot="1" x14ac:dyDescent="0.35">
      <c r="A47" s="13">
        <v>45909</v>
      </c>
    </row>
    <row r="48" spans="1:9" ht="20.100000000000001" customHeight="1" thickBot="1" x14ac:dyDescent="0.35">
      <c r="A48" s="13">
        <v>45910</v>
      </c>
    </row>
    <row r="49" spans="1:1" ht="20.100000000000001" customHeight="1" thickBot="1" x14ac:dyDescent="0.35">
      <c r="A49" s="13">
        <v>45911</v>
      </c>
    </row>
    <row r="50" spans="1:1" ht="20.100000000000001" customHeight="1" thickBot="1" x14ac:dyDescent="0.35">
      <c r="A50" s="13">
        <v>45912</v>
      </c>
    </row>
    <row r="51" spans="1:1" ht="20.100000000000001" customHeight="1" thickBot="1" x14ac:dyDescent="0.35">
      <c r="A51" s="13">
        <v>45913</v>
      </c>
    </row>
    <row r="52" spans="1:1" ht="20.100000000000001" customHeight="1" thickBot="1" x14ac:dyDescent="0.35">
      <c r="A52" s="13">
        <v>45914</v>
      </c>
    </row>
    <row r="53" spans="1:1" ht="20.100000000000001" customHeight="1" thickBot="1" x14ac:dyDescent="0.35">
      <c r="A53" s="13">
        <v>45915</v>
      </c>
    </row>
    <row r="54" spans="1:1" ht="20.100000000000001" customHeight="1" thickBot="1" x14ac:dyDescent="0.35">
      <c r="A54" s="13">
        <v>45916</v>
      </c>
    </row>
    <row r="55" spans="1:1" ht="20.100000000000001" customHeight="1" thickBot="1" x14ac:dyDescent="0.35">
      <c r="A55" s="13">
        <v>45917</v>
      </c>
    </row>
    <row r="56" spans="1:1" ht="20.100000000000001" customHeight="1" thickBot="1" x14ac:dyDescent="0.35">
      <c r="A56" s="13">
        <v>45918</v>
      </c>
    </row>
    <row r="57" spans="1:1" ht="20.100000000000001" customHeight="1" thickBot="1" x14ac:dyDescent="0.35">
      <c r="A57" s="13">
        <v>45919</v>
      </c>
    </row>
    <row r="58" spans="1:1" ht="20.100000000000001" customHeight="1" thickBot="1" x14ac:dyDescent="0.35">
      <c r="A58" s="13">
        <v>45920</v>
      </c>
    </row>
    <row r="59" spans="1:1" ht="20.100000000000001" customHeight="1" thickBot="1" x14ac:dyDescent="0.35">
      <c r="A59" s="13">
        <v>45921</v>
      </c>
    </row>
    <row r="60" spans="1:1" ht="20.100000000000001" customHeight="1" thickBot="1" x14ac:dyDescent="0.35">
      <c r="A60" s="13">
        <v>45922</v>
      </c>
    </row>
    <row r="61" spans="1:1" ht="20.100000000000001" customHeight="1" thickBot="1" x14ac:dyDescent="0.35">
      <c r="A61" s="13">
        <v>45923</v>
      </c>
    </row>
    <row r="62" spans="1:1" ht="20.100000000000001" customHeight="1" thickBot="1" x14ac:dyDescent="0.35">
      <c r="A62" s="13">
        <v>45924</v>
      </c>
    </row>
    <row r="63" spans="1:1" ht="20.100000000000001" customHeight="1" thickBot="1" x14ac:dyDescent="0.35">
      <c r="A63" s="13">
        <v>45925</v>
      </c>
    </row>
    <row r="64" spans="1:1" ht="20.100000000000001" customHeight="1" thickBot="1" x14ac:dyDescent="0.35">
      <c r="A64" s="13">
        <v>45926</v>
      </c>
    </row>
    <row r="65" spans="1:1" ht="20.100000000000001" customHeight="1" thickBot="1" x14ac:dyDescent="0.35">
      <c r="A65" s="13">
        <v>45927</v>
      </c>
    </row>
    <row r="66" spans="1:1" ht="20.100000000000001" customHeight="1" thickBot="1" x14ac:dyDescent="0.35">
      <c r="A66" s="13">
        <v>45928</v>
      </c>
    </row>
    <row r="67" spans="1:1" ht="20.100000000000001" customHeight="1" thickBot="1" x14ac:dyDescent="0.35">
      <c r="A67" s="13">
        <v>45929</v>
      </c>
    </row>
    <row r="68" spans="1:1" ht="20.100000000000001" customHeight="1" thickBot="1" x14ac:dyDescent="0.35">
      <c r="A68" s="13">
        <v>45930</v>
      </c>
    </row>
    <row r="69" spans="1:1" ht="20.100000000000001" customHeight="1" thickBot="1" x14ac:dyDescent="0.35">
      <c r="A69" s="13">
        <v>45931</v>
      </c>
    </row>
    <row r="70" spans="1:1" ht="20.100000000000001" customHeight="1" thickBot="1" x14ac:dyDescent="0.35">
      <c r="A70" s="13">
        <v>45932</v>
      </c>
    </row>
    <row r="71" spans="1:1" ht="20.100000000000001" customHeight="1" thickBot="1" x14ac:dyDescent="0.35">
      <c r="A71" s="13">
        <v>45933</v>
      </c>
    </row>
    <row r="72" spans="1:1" ht="20.100000000000001" customHeight="1" thickBot="1" x14ac:dyDescent="0.35">
      <c r="A72" s="13">
        <v>45934</v>
      </c>
    </row>
    <row r="73" spans="1:1" ht="20.100000000000001" customHeight="1" thickBot="1" x14ac:dyDescent="0.35">
      <c r="A73" s="13">
        <v>45935</v>
      </c>
    </row>
    <row r="74" spans="1:1" ht="20.100000000000001" customHeight="1" thickBot="1" x14ac:dyDescent="0.35">
      <c r="A74" s="13">
        <v>45936</v>
      </c>
    </row>
    <row r="75" spans="1:1" ht="20.100000000000001" customHeight="1" thickBot="1" x14ac:dyDescent="0.35">
      <c r="A75" s="13">
        <v>45937</v>
      </c>
    </row>
    <row r="76" spans="1:1" ht="20.100000000000001" customHeight="1" thickBot="1" x14ac:dyDescent="0.35">
      <c r="A76" s="13">
        <v>45938</v>
      </c>
    </row>
    <row r="77" spans="1:1" ht="20.100000000000001" customHeight="1" thickBot="1" x14ac:dyDescent="0.35">
      <c r="A77" s="13">
        <v>45939</v>
      </c>
    </row>
    <row r="78" spans="1:1" ht="20.100000000000001" customHeight="1" thickBot="1" x14ac:dyDescent="0.35">
      <c r="A78" s="13">
        <v>45940</v>
      </c>
    </row>
    <row r="79" spans="1:1" ht="20.100000000000001" customHeight="1" thickBot="1" x14ac:dyDescent="0.35">
      <c r="A79" s="13">
        <v>45941</v>
      </c>
    </row>
    <row r="80" spans="1:1" ht="20.100000000000001" customHeight="1" thickBot="1" x14ac:dyDescent="0.35">
      <c r="A80" s="13">
        <v>45942</v>
      </c>
    </row>
    <row r="81" spans="1:1" ht="20.100000000000001" customHeight="1" thickBot="1" x14ac:dyDescent="0.35">
      <c r="A81" s="13">
        <v>45943</v>
      </c>
    </row>
    <row r="82" spans="1:1" ht="20.100000000000001" customHeight="1" thickBot="1" x14ac:dyDescent="0.35">
      <c r="A82" s="13">
        <v>45944</v>
      </c>
    </row>
    <row r="83" spans="1:1" ht="20.100000000000001" customHeight="1" thickBot="1" x14ac:dyDescent="0.35">
      <c r="A83" s="13">
        <v>45945</v>
      </c>
    </row>
    <row r="84" spans="1:1" ht="20.100000000000001" customHeight="1" thickBot="1" x14ac:dyDescent="0.35">
      <c r="A84" s="13">
        <v>45946</v>
      </c>
    </row>
    <row r="85" spans="1:1" ht="20.100000000000001" customHeight="1" thickBot="1" x14ac:dyDescent="0.35">
      <c r="A85" s="13">
        <v>45947</v>
      </c>
    </row>
    <row r="86" spans="1:1" ht="20.100000000000001" customHeight="1" thickBot="1" x14ac:dyDescent="0.35">
      <c r="A86" s="13">
        <v>45948</v>
      </c>
    </row>
    <row r="87" spans="1:1" ht="20.100000000000001" customHeight="1" thickBot="1" x14ac:dyDescent="0.35">
      <c r="A87" s="13">
        <v>45949</v>
      </c>
    </row>
    <row r="88" spans="1:1" ht="20.100000000000001" customHeight="1" thickBot="1" x14ac:dyDescent="0.35">
      <c r="A88" s="13">
        <v>45950</v>
      </c>
    </row>
    <row r="89" spans="1:1" ht="20.100000000000001" customHeight="1" thickBot="1" x14ac:dyDescent="0.35">
      <c r="A89" s="13">
        <v>45951</v>
      </c>
    </row>
    <row r="90" spans="1:1" ht="20.100000000000001" customHeight="1" thickBot="1" x14ac:dyDescent="0.35">
      <c r="A90" s="13">
        <v>45952</v>
      </c>
    </row>
    <row r="91" spans="1:1" ht="20.100000000000001" customHeight="1" thickBot="1" x14ac:dyDescent="0.35">
      <c r="A91" s="13">
        <v>45953</v>
      </c>
    </row>
    <row r="92" spans="1:1" ht="20.100000000000001" customHeight="1" thickBot="1" x14ac:dyDescent="0.35">
      <c r="A92" s="13">
        <v>45954</v>
      </c>
    </row>
    <row r="93" spans="1:1" ht="20.100000000000001" customHeight="1" thickBot="1" x14ac:dyDescent="0.35">
      <c r="A93" s="13">
        <v>45955</v>
      </c>
    </row>
    <row r="94" spans="1:1" ht="20.100000000000001" customHeight="1" thickBot="1" x14ac:dyDescent="0.35">
      <c r="A94" s="13">
        <v>45956</v>
      </c>
    </row>
    <row r="95" spans="1:1" ht="20.100000000000001" customHeight="1" thickBot="1" x14ac:dyDescent="0.35">
      <c r="A95" s="13">
        <v>45957</v>
      </c>
    </row>
    <row r="96" spans="1:1" ht="20.100000000000001" customHeight="1" thickBot="1" x14ac:dyDescent="0.35">
      <c r="A96" s="13">
        <v>45958</v>
      </c>
    </row>
    <row r="97" spans="1:9" ht="20.100000000000001" customHeight="1" thickBot="1" x14ac:dyDescent="0.35">
      <c r="A97" s="13">
        <v>45959</v>
      </c>
    </row>
    <row r="98" spans="1:9" ht="20.100000000000001" customHeight="1" thickBot="1" x14ac:dyDescent="0.35">
      <c r="A98" s="13">
        <v>45960</v>
      </c>
    </row>
    <row r="99" spans="1:9" ht="20.100000000000001" customHeight="1" thickBot="1" x14ac:dyDescent="0.35">
      <c r="A99" s="13">
        <v>45961</v>
      </c>
    </row>
    <row r="100" spans="1:9" ht="20.100000000000001" customHeight="1" thickBot="1" x14ac:dyDescent="0.35">
      <c r="A100" s="13">
        <v>45962</v>
      </c>
    </row>
    <row r="101" spans="1:9" ht="20.100000000000001" customHeight="1" thickBot="1" x14ac:dyDescent="0.35">
      <c r="A101" s="13">
        <v>45963</v>
      </c>
    </row>
    <row r="102" spans="1:9" ht="20.100000000000001" customHeight="1" thickBot="1" x14ac:dyDescent="0.35">
      <c r="A102" s="13">
        <v>45964</v>
      </c>
    </row>
    <row r="103" spans="1:9" ht="20.100000000000001" customHeight="1" thickBot="1" x14ac:dyDescent="0.35">
      <c r="A103" s="13">
        <v>45965</v>
      </c>
    </row>
    <row r="104" spans="1:9" ht="20.100000000000001" customHeight="1" thickBot="1" x14ac:dyDescent="0.35">
      <c r="A104" s="13">
        <v>45966</v>
      </c>
    </row>
    <row r="105" spans="1:9" ht="20.100000000000001" customHeight="1" thickBot="1" x14ac:dyDescent="0.35">
      <c r="A105" s="13">
        <v>45967</v>
      </c>
    </row>
    <row r="106" spans="1:9" ht="20.100000000000001" customHeight="1" thickBot="1" x14ac:dyDescent="0.35">
      <c r="A106" s="13">
        <v>45968</v>
      </c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0" t="s">
        <v>89</v>
      </c>
    </row>
    <row r="200" spans="1:1" ht="20.100000000000001" customHeight="1" x14ac:dyDescent="0.3">
      <c r="A200" s="20" t="s">
        <v>90</v>
      </c>
    </row>
    <row r="201" spans="1:1" ht="20.100000000000001" customHeight="1" x14ac:dyDescent="0.3">
      <c r="A201" s="20" t="s">
        <v>91</v>
      </c>
    </row>
    <row r="202" spans="1:1" ht="20.100000000000001" customHeight="1" x14ac:dyDescent="0.3">
      <c r="A202" s="20" t="s">
        <v>92</v>
      </c>
    </row>
    <row r="203" spans="1:1" ht="20.100000000000001" customHeight="1" x14ac:dyDescent="0.3">
      <c r="A203" s="20" t="s">
        <v>93</v>
      </c>
    </row>
    <row r="204" spans="1:1" ht="20.100000000000001" customHeight="1" x14ac:dyDescent="0.3">
      <c r="A204" s="20" t="s">
        <v>94</v>
      </c>
    </row>
    <row r="205" spans="1:1" ht="20.100000000000001" customHeight="1" x14ac:dyDescent="0.3">
      <c r="A205" s="20" t="s">
        <v>95</v>
      </c>
    </row>
    <row r="206" spans="1:1" ht="20.100000000000001" customHeight="1" x14ac:dyDescent="0.3">
      <c r="A206" s="20" t="s">
        <v>96</v>
      </c>
    </row>
    <row r="207" spans="1:1" ht="20.100000000000001" customHeight="1" x14ac:dyDescent="0.3">
      <c r="A207" s="20" t="s">
        <v>97</v>
      </c>
    </row>
    <row r="208" spans="1:1" ht="20.100000000000001" customHeight="1" x14ac:dyDescent="0.3">
      <c r="A208" s="21" t="s">
        <v>98</v>
      </c>
    </row>
    <row r="209" spans="1:1" ht="20.100000000000001" customHeight="1" x14ac:dyDescent="0.3">
      <c r="A209" s="21" t="s">
        <v>99</v>
      </c>
    </row>
    <row r="210" spans="1:1" ht="20.100000000000001" customHeight="1" x14ac:dyDescent="0.3">
      <c r="A210" s="20" t="s">
        <v>100</v>
      </c>
    </row>
    <row r="211" spans="1:1" ht="20.100000000000001" customHeight="1" x14ac:dyDescent="0.3">
      <c r="A211" s="20" t="s">
        <v>101</v>
      </c>
    </row>
    <row r="212" spans="1:1" ht="20.100000000000001" customHeight="1" x14ac:dyDescent="0.3">
      <c r="A212" s="20" t="s">
        <v>175</v>
      </c>
    </row>
    <row r="213" spans="1:1" ht="20.100000000000001" customHeight="1" x14ac:dyDescent="0.3">
      <c r="A213" s="20" t="s">
        <v>102</v>
      </c>
    </row>
    <row r="214" spans="1:1" ht="20.100000000000001" customHeight="1" x14ac:dyDescent="0.3">
      <c r="A214" s="20" t="s">
        <v>103</v>
      </c>
    </row>
    <row r="215" spans="1:1" ht="20.100000000000001" customHeight="1" x14ac:dyDescent="0.3">
      <c r="A215" s="20" t="s">
        <v>104</v>
      </c>
    </row>
    <row r="216" spans="1:1" ht="20.100000000000001" customHeight="1" x14ac:dyDescent="0.3">
      <c r="A216" s="20" t="s">
        <v>105</v>
      </c>
    </row>
    <row r="217" spans="1:1" ht="20.100000000000001" customHeight="1" x14ac:dyDescent="0.3">
      <c r="A217" s="20" t="s">
        <v>106</v>
      </c>
    </row>
    <row r="218" spans="1:1" ht="20.100000000000001" customHeight="1" x14ac:dyDescent="0.3">
      <c r="A218" s="20" t="s">
        <v>107</v>
      </c>
    </row>
    <row r="219" spans="1:1" ht="20.100000000000001" customHeight="1" x14ac:dyDescent="0.3">
      <c r="A219" s="20" t="s">
        <v>108</v>
      </c>
    </row>
    <row r="220" spans="1:1" ht="20.100000000000001" customHeight="1" x14ac:dyDescent="0.3">
      <c r="A220" s="20" t="s">
        <v>109</v>
      </c>
    </row>
    <row r="221" spans="1:1" ht="20.100000000000001" customHeight="1" x14ac:dyDescent="0.3">
      <c r="A221" s="20" t="s">
        <v>110</v>
      </c>
    </row>
    <row r="222" spans="1:1" ht="20.100000000000001" customHeight="1" x14ac:dyDescent="0.3">
      <c r="A222" s="20" t="s">
        <v>111</v>
      </c>
    </row>
    <row r="223" spans="1:1" ht="20.100000000000001" customHeight="1" x14ac:dyDescent="0.3">
      <c r="A223" s="20" t="s">
        <v>112</v>
      </c>
    </row>
    <row r="224" spans="1:1" ht="20.100000000000001" customHeight="1" x14ac:dyDescent="0.3">
      <c r="A224" s="20" t="s">
        <v>176</v>
      </c>
    </row>
    <row r="225" spans="1:1" ht="20.100000000000001" customHeight="1" x14ac:dyDescent="0.3">
      <c r="A225" s="20" t="s">
        <v>113</v>
      </c>
    </row>
    <row r="226" spans="1:1" ht="20.100000000000001" customHeight="1" x14ac:dyDescent="0.3">
      <c r="A226" s="20" t="s">
        <v>114</v>
      </c>
    </row>
    <row r="227" spans="1:1" ht="20.100000000000001" customHeight="1" x14ac:dyDescent="0.3">
      <c r="A227" s="20" t="s">
        <v>115</v>
      </c>
    </row>
    <row r="228" spans="1:1" ht="20.100000000000001" customHeight="1" x14ac:dyDescent="0.3">
      <c r="A228" s="20" t="s">
        <v>116</v>
      </c>
    </row>
    <row r="229" spans="1:1" ht="20.100000000000001" customHeight="1" x14ac:dyDescent="0.3">
      <c r="A229" s="20" t="s">
        <v>117</v>
      </c>
    </row>
    <row r="230" spans="1:1" ht="20.100000000000001" customHeight="1" x14ac:dyDescent="0.3">
      <c r="A230" s="20" t="s">
        <v>118</v>
      </c>
    </row>
    <row r="231" spans="1:1" ht="20.100000000000001" customHeight="1" x14ac:dyDescent="0.3">
      <c r="A231" s="20" t="s">
        <v>119</v>
      </c>
    </row>
    <row r="232" spans="1:1" ht="20.100000000000001" customHeight="1" x14ac:dyDescent="0.3">
      <c r="A232" s="20" t="s">
        <v>120</v>
      </c>
    </row>
    <row r="233" spans="1:1" ht="20.100000000000001" customHeight="1" x14ac:dyDescent="0.3">
      <c r="A233" s="20" t="s">
        <v>121</v>
      </c>
    </row>
    <row r="234" spans="1:1" ht="20.100000000000001" customHeight="1" x14ac:dyDescent="0.3">
      <c r="A234" s="20" t="s">
        <v>122</v>
      </c>
    </row>
    <row r="235" spans="1:1" ht="20.100000000000001" customHeight="1" x14ac:dyDescent="0.3">
      <c r="A235" s="20" t="s">
        <v>123</v>
      </c>
    </row>
    <row r="236" spans="1:1" ht="20.100000000000001" customHeight="1" x14ac:dyDescent="0.3">
      <c r="A236" s="22" t="s">
        <v>124</v>
      </c>
    </row>
    <row r="237" spans="1:1" ht="20.100000000000001" customHeight="1" x14ac:dyDescent="0.3">
      <c r="A237" s="20" t="s">
        <v>125</v>
      </c>
    </row>
    <row r="238" spans="1:1" ht="20.100000000000001" customHeight="1" x14ac:dyDescent="0.3">
      <c r="A238" s="20" t="s">
        <v>126</v>
      </c>
    </row>
    <row r="239" spans="1:1" ht="20.100000000000001" customHeight="1" x14ac:dyDescent="0.3">
      <c r="A239" s="20" t="s">
        <v>127</v>
      </c>
    </row>
    <row r="240" spans="1:1" ht="20.100000000000001" customHeight="1" x14ac:dyDescent="0.3">
      <c r="A240" s="20" t="s">
        <v>128</v>
      </c>
    </row>
    <row r="241" spans="1:1" ht="20.100000000000001" customHeight="1" x14ac:dyDescent="0.3">
      <c r="A241" s="20" t="s">
        <v>129</v>
      </c>
    </row>
    <row r="242" spans="1:1" ht="20.100000000000001" customHeight="1" x14ac:dyDescent="0.3">
      <c r="A242" s="20" t="s">
        <v>130</v>
      </c>
    </row>
    <row r="243" spans="1:1" ht="20.100000000000001" customHeight="1" x14ac:dyDescent="0.3">
      <c r="A243" s="20" t="s">
        <v>131</v>
      </c>
    </row>
    <row r="244" spans="1:1" ht="20.100000000000001" customHeight="1" x14ac:dyDescent="0.3">
      <c r="A244" s="20" t="s">
        <v>132</v>
      </c>
    </row>
    <row r="245" spans="1:1" ht="20.100000000000001" customHeight="1" x14ac:dyDescent="0.3">
      <c r="A245" s="20" t="s">
        <v>133</v>
      </c>
    </row>
    <row r="246" spans="1:1" ht="20.100000000000001" customHeight="1" x14ac:dyDescent="0.3">
      <c r="A246" s="20" t="s">
        <v>134</v>
      </c>
    </row>
    <row r="247" spans="1:1" ht="20.100000000000001" customHeight="1" x14ac:dyDescent="0.3">
      <c r="A247" s="20" t="s">
        <v>135</v>
      </c>
    </row>
    <row r="248" spans="1:1" ht="20.100000000000001" customHeight="1" x14ac:dyDescent="0.3">
      <c r="A248" s="20" t="s">
        <v>126</v>
      </c>
    </row>
    <row r="249" spans="1:1" ht="20.100000000000001" customHeight="1" x14ac:dyDescent="0.3">
      <c r="A249" s="20" t="s">
        <v>136</v>
      </c>
    </row>
    <row r="250" spans="1:1" ht="20.100000000000001" customHeight="1" x14ac:dyDescent="0.3">
      <c r="A250" s="20" t="s">
        <v>137</v>
      </c>
    </row>
    <row r="251" spans="1:1" ht="20.100000000000001" customHeight="1" x14ac:dyDescent="0.3">
      <c r="A251" s="22" t="s">
        <v>138</v>
      </c>
    </row>
    <row r="252" spans="1:1" ht="20.100000000000001" customHeight="1" x14ac:dyDescent="0.3">
      <c r="A252" s="23" t="s">
        <v>139</v>
      </c>
    </row>
    <row r="253" spans="1:1" ht="20.100000000000001" customHeight="1" x14ac:dyDescent="0.3">
      <c r="A253" s="20" t="s">
        <v>140</v>
      </c>
    </row>
    <row r="254" spans="1:1" ht="20.100000000000001" customHeight="1" x14ac:dyDescent="0.3">
      <c r="A254" s="20" t="s">
        <v>141</v>
      </c>
    </row>
    <row r="255" spans="1:1" ht="20.100000000000001" customHeight="1" x14ac:dyDescent="0.3">
      <c r="A255" s="24" t="s">
        <v>142</v>
      </c>
    </row>
    <row r="256" spans="1:1" ht="20.100000000000001" customHeight="1" x14ac:dyDescent="0.3">
      <c r="A256" s="24" t="s">
        <v>143</v>
      </c>
    </row>
    <row r="257" spans="1:1" ht="20.100000000000001" customHeight="1" x14ac:dyDescent="0.3">
      <c r="A257" s="25" t="s">
        <v>144</v>
      </c>
    </row>
    <row r="258" spans="1:1" ht="20.100000000000001" customHeight="1" x14ac:dyDescent="0.3">
      <c r="A258" s="20" t="s">
        <v>145</v>
      </c>
    </row>
    <row r="259" spans="1:1" ht="20.100000000000001" customHeight="1" x14ac:dyDescent="0.3">
      <c r="A259" s="25" t="s">
        <v>146</v>
      </c>
    </row>
    <row r="260" spans="1:1" ht="20.100000000000001" customHeight="1" x14ac:dyDescent="0.3">
      <c r="A260" s="20" t="s">
        <v>147</v>
      </c>
    </row>
    <row r="261" spans="1:1" ht="20.100000000000001" customHeight="1" x14ac:dyDescent="0.3">
      <c r="A261" s="25" t="s">
        <v>148</v>
      </c>
    </row>
    <row r="262" spans="1:1" ht="20.100000000000001" customHeight="1" x14ac:dyDescent="0.3">
      <c r="A262" s="20" t="s">
        <v>149</v>
      </c>
    </row>
    <row r="263" spans="1:1" ht="20.100000000000001" customHeight="1" x14ac:dyDescent="0.3">
      <c r="A263" s="20" t="s">
        <v>150</v>
      </c>
    </row>
    <row r="264" spans="1:1" ht="20.100000000000001" customHeight="1" x14ac:dyDescent="0.3">
      <c r="A264" s="25" t="s">
        <v>151</v>
      </c>
    </row>
    <row r="265" spans="1:1" ht="20.100000000000001" customHeight="1" x14ac:dyDescent="0.3">
      <c r="A265" s="25" t="s">
        <v>152</v>
      </c>
    </row>
    <row r="266" spans="1:1" ht="20.100000000000001" customHeight="1" x14ac:dyDescent="0.3">
      <c r="A266" s="25" t="s">
        <v>153</v>
      </c>
    </row>
    <row r="267" spans="1:1" ht="20.100000000000001" customHeight="1" x14ac:dyDescent="0.3">
      <c r="A267" s="20" t="s">
        <v>154</v>
      </c>
    </row>
    <row r="268" spans="1:1" ht="20.100000000000001" customHeight="1" x14ac:dyDescent="0.3">
      <c r="A268" s="20" t="s">
        <v>155</v>
      </c>
    </row>
    <row r="269" spans="1:1" ht="20.100000000000001" customHeight="1" x14ac:dyDescent="0.3">
      <c r="A269" s="20" t="s">
        <v>156</v>
      </c>
    </row>
    <row r="270" spans="1:1" ht="20.100000000000001" customHeight="1" x14ac:dyDescent="0.3">
      <c r="A270" s="20" t="s">
        <v>157</v>
      </c>
    </row>
    <row r="271" spans="1:1" ht="20.100000000000001" customHeight="1" x14ac:dyDescent="0.3">
      <c r="A271" s="25" t="s">
        <v>158</v>
      </c>
    </row>
    <row r="272" spans="1:1" ht="20.100000000000001" customHeight="1" x14ac:dyDescent="0.3">
      <c r="A272" s="25" t="s">
        <v>159</v>
      </c>
    </row>
    <row r="273" spans="1:1" ht="20.100000000000001" customHeight="1" x14ac:dyDescent="0.3">
      <c r="A273" s="20" t="s">
        <v>160</v>
      </c>
    </row>
    <row r="274" spans="1:1" ht="20.100000000000001" customHeight="1" x14ac:dyDescent="0.3">
      <c r="A274" s="25" t="s">
        <v>161</v>
      </c>
    </row>
    <row r="275" spans="1:1" ht="20.100000000000001" customHeight="1" x14ac:dyDescent="0.3">
      <c r="A275" s="25" t="s">
        <v>162</v>
      </c>
    </row>
    <row r="276" spans="1:1" ht="20.100000000000001" customHeight="1" x14ac:dyDescent="0.3">
      <c r="A276" s="20" t="s">
        <v>163</v>
      </c>
    </row>
    <row r="277" spans="1:1" ht="20.100000000000001" customHeight="1" x14ac:dyDescent="0.3">
      <c r="A277" s="20" t="s">
        <v>164</v>
      </c>
    </row>
    <row r="278" spans="1:1" ht="20.100000000000001" customHeight="1" x14ac:dyDescent="0.3">
      <c r="A278" s="25" t="s">
        <v>165</v>
      </c>
    </row>
    <row r="279" spans="1:1" ht="20.100000000000001" customHeight="1" x14ac:dyDescent="0.3">
      <c r="A279" s="20" t="s">
        <v>166</v>
      </c>
    </row>
    <row r="280" spans="1:1" ht="20.100000000000001" customHeight="1" x14ac:dyDescent="0.3">
      <c r="A280" s="20" t="s">
        <v>167</v>
      </c>
    </row>
    <row r="281" spans="1:1" ht="20.100000000000001" customHeight="1" x14ac:dyDescent="0.3">
      <c r="A281" s="20" t="s">
        <v>168</v>
      </c>
    </row>
    <row r="282" spans="1:1" ht="20.100000000000001" customHeight="1" x14ac:dyDescent="0.3">
      <c r="A282" s="20" t="s">
        <v>169</v>
      </c>
    </row>
    <row r="283" spans="1:1" ht="20.100000000000001" customHeight="1" x14ac:dyDescent="0.3">
      <c r="A283" s="25" t="s">
        <v>170</v>
      </c>
    </row>
    <row r="284" spans="1:1" ht="20.100000000000001" customHeight="1" x14ac:dyDescent="0.3">
      <c r="A284" s="25" t="s">
        <v>171</v>
      </c>
    </row>
    <row r="285" spans="1:1" ht="20.100000000000001" customHeight="1" x14ac:dyDescent="0.3">
      <c r="A285" s="25" t="s">
        <v>172</v>
      </c>
    </row>
    <row r="286" spans="1:1" ht="20.100000000000001" customHeight="1" thickBot="1" x14ac:dyDescent="0.35">
      <c r="A286" s="20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2025-10-07T17:54:14Z</dcterms:modified>
</cp:coreProperties>
</file>