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03"/>
  <workbookPr filterPrivacy="1" codeName="ThisWorkbook"/>
  <xr:revisionPtr revIDLastSave="0" documentId="13_ncr:1_{F10C47F7-57DC-4556-8095-523D09DB4D66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قائمة التقييم" sheetId="2" r:id="rId1"/>
    <sheet name="بيانات التقييم" sheetId="4" r:id="rId2"/>
  </sheets>
  <definedNames>
    <definedName name="_Hlk189049083" localSheetId="0">'قائمة التقييم'!#REF!</definedName>
    <definedName name="_Hlk189049123" localSheetId="0">'قائمة التقييم'!$B$3</definedName>
    <definedName name="_xlnm.Print_Area" localSheetId="0">'قائمة التقييم'!$A$1:$J$38</definedName>
    <definedName name="_xlnm.Print_Titles" localSheetId="0">'قائمة التقييم'!$7:$7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" i="2" l="1"/>
  <c r="H9" i="2"/>
  <c r="G10" i="2"/>
  <c r="H10" i="2"/>
  <c r="G11" i="2"/>
  <c r="H11" i="2"/>
  <c r="G12" i="2"/>
  <c r="H12" i="2"/>
  <c r="G13" i="2"/>
  <c r="H13" i="2"/>
  <c r="G14" i="2"/>
  <c r="H14" i="2"/>
  <c r="G15" i="2"/>
  <c r="H15" i="2"/>
  <c r="G16" i="2"/>
  <c r="H16" i="2"/>
  <c r="G17" i="2"/>
  <c r="H17" i="2"/>
  <c r="G18" i="2"/>
  <c r="H18" i="2"/>
  <c r="G19" i="2"/>
  <c r="H19" i="2"/>
  <c r="G20" i="2"/>
  <c r="H20" i="2"/>
  <c r="G21" i="2"/>
  <c r="H21" i="2"/>
  <c r="G22" i="2"/>
  <c r="H22" i="2"/>
  <c r="G23" i="2"/>
  <c r="H23" i="2"/>
  <c r="G24" i="2"/>
  <c r="H24" i="2"/>
  <c r="G25" i="2"/>
  <c r="H25" i="2"/>
  <c r="G26" i="2"/>
  <c r="H26" i="2"/>
  <c r="G27" i="2"/>
  <c r="H27" i="2"/>
  <c r="G28" i="2"/>
  <c r="H28" i="2"/>
  <c r="G29" i="2"/>
  <c r="H29" i="2"/>
  <c r="G30" i="2"/>
  <c r="H30" i="2"/>
  <c r="G31" i="2"/>
  <c r="H31" i="2"/>
  <c r="G32" i="2"/>
  <c r="H32" i="2"/>
  <c r="G33" i="2"/>
  <c r="H33" i="2"/>
  <c r="G8" i="2"/>
  <c r="H8" i="2"/>
  <c r="F34" i="2"/>
  <c r="E34" i="2"/>
  <c r="E35" i="2"/>
  <c r="E36" i="2"/>
</calcChain>
</file>

<file path=xl/sharedStrings.xml><?xml version="1.0" encoding="utf-8"?>
<sst xmlns="http://schemas.openxmlformats.org/spreadsheetml/2006/main" count="263" uniqueCount="207">
  <si>
    <t>عناصــــــر التقييـــــم</t>
  </si>
  <si>
    <t>العلامـــــــات</t>
  </si>
  <si>
    <t>ملاحظــــــات</t>
  </si>
  <si>
    <t>القصوى</t>
  </si>
  <si>
    <t>المكتسبة</t>
  </si>
  <si>
    <t>إجمالي العلامـــــات</t>
  </si>
  <si>
    <t xml:space="preserve">المحكــم: </t>
  </si>
  <si>
    <t xml:space="preserve">التاريــخ: </t>
  </si>
  <si>
    <t xml:space="preserve">الوحـــــــدة: </t>
  </si>
  <si>
    <t xml:space="preserve">قائد الوحدة: </t>
  </si>
  <si>
    <t>سرية الاستطلاع</t>
  </si>
  <si>
    <t>سرية الهاون</t>
  </si>
  <si>
    <t>سرية الهندسة</t>
  </si>
  <si>
    <t>سرية الدفاع الكيميائي</t>
  </si>
  <si>
    <t>سرية الحرب الإلكترونية</t>
  </si>
  <si>
    <t>سرية الإشارة</t>
  </si>
  <si>
    <t>فصيل الشرطة العسكرية</t>
  </si>
  <si>
    <t>لا ينطبق</t>
  </si>
  <si>
    <t>(ب)</t>
  </si>
  <si>
    <t>(جـ)</t>
  </si>
  <si>
    <t>(هـ)</t>
  </si>
  <si>
    <t>( أ )</t>
  </si>
  <si>
    <t>( د )</t>
  </si>
  <si>
    <t>النسبة</t>
  </si>
  <si>
    <t>النتيجة</t>
  </si>
  <si>
    <t>( و )</t>
  </si>
  <si>
    <t>هيئة ركن مجموعة اللواء</t>
  </si>
  <si>
    <t>سرية الـ م/د</t>
  </si>
  <si>
    <t>القيادة والسيطرة</t>
  </si>
  <si>
    <t>سرية الدفاع الجوي</t>
  </si>
  <si>
    <t>كتيبة الإسناد الإداري</t>
  </si>
  <si>
    <t>السرية الطبية</t>
  </si>
  <si>
    <t>سرية الصيانة</t>
  </si>
  <si>
    <t>سرية التزويد والنقل</t>
  </si>
  <si>
    <t>ضباط الصف</t>
  </si>
  <si>
    <t>قيادة مجموعة لواء الإمارات/1</t>
  </si>
  <si>
    <t>قيادة كتيبة المشاة الآلية/12</t>
  </si>
  <si>
    <t>كتيبة المشاة الآلية/12 - السرية/1</t>
  </si>
  <si>
    <t>كتيبة المشاة الآلية/12 - السرية/2</t>
  </si>
  <si>
    <t>كتيبة المشاة الآلية/12 - السرية/3</t>
  </si>
  <si>
    <t>قيادة كتيبة المشاة الآلية/13</t>
  </si>
  <si>
    <t>كتيبة المشاة الآلية/13 - السرية/1</t>
  </si>
  <si>
    <t>كتيبة المشاة الآلية/13 - السرية/2</t>
  </si>
  <si>
    <t>كتيبة المشاة الآلية/13 - السرية/3</t>
  </si>
  <si>
    <t>قيادة كتيبة الدبابات/14</t>
  </si>
  <si>
    <t>كتيبة الدبابات/14 - السرية/1</t>
  </si>
  <si>
    <t>كتيبة الدبابات/14 - السرية/2</t>
  </si>
  <si>
    <t>كتيبة الدبابات/14 - السرية/3</t>
  </si>
  <si>
    <t>قيادة كتيبة المدفعية/72</t>
  </si>
  <si>
    <t>قيادة كتيبة المدفعية/72 - السرية/1</t>
  </si>
  <si>
    <t>قيادة كتيبة المدفعية/72 - السرية/2</t>
  </si>
  <si>
    <t>قيادة كتيبة المدفعية/72 - السرية/3</t>
  </si>
  <si>
    <t>المحكـــــــــم:</t>
  </si>
  <si>
    <t>التوقيــــــــع:</t>
  </si>
  <si>
    <t>النسبــــة العامــــــة</t>
  </si>
  <si>
    <t>التقديــــر العــــــام</t>
  </si>
  <si>
    <t>أدخل التاريخ</t>
  </si>
  <si>
    <t>أدخل الوحدة الخاضعة للتقييم</t>
  </si>
  <si>
    <t>..............................</t>
  </si>
  <si>
    <t>أدخل اسم المحكم</t>
  </si>
  <si>
    <t>أدخل اسم قائد الوحدة الخاضعة للتقييم</t>
  </si>
  <si>
    <t>أدخل العلامة</t>
  </si>
  <si>
    <t>عميد ركن / راشد حمد مفتاح النيادي</t>
  </si>
  <si>
    <t xml:space="preserve"> عقيد ركن / جمعة محمد جمعة الصريدي</t>
  </si>
  <si>
    <t xml:space="preserve"> عقيد ركن / عتيق الزفنة العفاري</t>
  </si>
  <si>
    <t>رائد / أحمد محمد الظهوري</t>
  </si>
  <si>
    <t>مقدم / عبدالله سعيد الشامسي</t>
  </si>
  <si>
    <t xml:space="preserve"> نقيب / سعيد أحمد الشحي</t>
  </si>
  <si>
    <t>عقيد ركن / محمد سعيد الكتبي</t>
  </si>
  <si>
    <t>نقيب / راشد الطيب النعيمي</t>
  </si>
  <si>
    <t>نقيب / حمدان سالمين العامري</t>
  </si>
  <si>
    <t>رائد/ عبدالله سيف الغفلي</t>
  </si>
  <si>
    <t>نقيب / حمد محمد الشامسي</t>
  </si>
  <si>
    <t>رائد/ سعيد مبارك الكتبي</t>
  </si>
  <si>
    <t>ملازم 2 / علي ابراهيم النعيمي</t>
  </si>
  <si>
    <t>رائد/ محمد عمران الكتبي</t>
  </si>
  <si>
    <t>نقيب / محمد سعيد الكعبي</t>
  </si>
  <si>
    <t>عقيد ركن / علي راشد اليماحي</t>
  </si>
  <si>
    <t>نقيب / ماجد عبدالله البلوشي</t>
  </si>
  <si>
    <t>ملازم 1 / حمد طارش الكعبي</t>
  </si>
  <si>
    <t>رائد/ سالم سلطان الكتبي</t>
  </si>
  <si>
    <t>مقدم ركن / محمد عبدالله الشحي</t>
  </si>
  <si>
    <t>رائد/ محمد عبدالرحمن الطنيجي</t>
  </si>
  <si>
    <t>رائد/ محمد راشد المزروعي</t>
  </si>
  <si>
    <t>رائد/ محمد سعيد الظنحاني</t>
  </si>
  <si>
    <t>مقدم ركن / علي حسن الحمادي</t>
  </si>
  <si>
    <t>ملازم 1 / علي ناصر المقدمي</t>
  </si>
  <si>
    <t>نقيب / حمد سعيد الشهياري</t>
  </si>
  <si>
    <t>ملازم 1 / سعود محمد الطياري</t>
  </si>
  <si>
    <t xml:space="preserve">عميد ركن / حمد علي جمعة الشحي </t>
  </si>
  <si>
    <t>عقيد ركن / خليفة بن هويدن الكتبي</t>
  </si>
  <si>
    <t>عقيد ركن / راشد محمد عبيد الظنحاني</t>
  </si>
  <si>
    <t>عقيد ركن / حميد محمد عبيد الدرعي</t>
  </si>
  <si>
    <t>عقيد ركن / سلطان راشد بالرشاد الشامسي</t>
  </si>
  <si>
    <t>عقيد ركن / احمد سليمان علي المعمري</t>
  </si>
  <si>
    <t>عقيد ركن / علي الرضه كمادي المهيري</t>
  </si>
  <si>
    <t>عقيد ركن / خليل احمد سليمان العنتلي</t>
  </si>
  <si>
    <t xml:space="preserve">عقيد ركن / سعود صالح  راشدالظاهري </t>
  </si>
  <si>
    <t>عقيد / سالم محمد سعيد العفاري</t>
  </si>
  <si>
    <t xml:space="preserve">مقدم ركن / خادم سيف المنصوري </t>
  </si>
  <si>
    <t>مقدم ركن / مصبح مفتاح علي الخاطري</t>
  </si>
  <si>
    <t>مقدم ركن / حمد راشد سليمان الزيودي</t>
  </si>
  <si>
    <t>مقدم / محمد عبدالرحمن الرميثي</t>
  </si>
  <si>
    <t xml:space="preserve">مقدم / علي سيف حامد الطنيجي </t>
  </si>
  <si>
    <t>مقدم / خليفة عبدالله سلطان السويدي</t>
  </si>
  <si>
    <t>مقدم / سالم القرين علي العامري</t>
  </si>
  <si>
    <t>مقدم / محمد عبدالرحمن جاسم الرميثي</t>
  </si>
  <si>
    <t xml:space="preserve">مقدم / سعيد محمد سالم  العامري </t>
  </si>
  <si>
    <t xml:space="preserve">مقدم / جابر محمد خاتم الشامسي </t>
  </si>
  <si>
    <t xml:space="preserve">مقدم / مصبح حارب المنصوري </t>
  </si>
  <si>
    <t>مقدم / عبدالله محمد سلطان الحبسي</t>
  </si>
  <si>
    <t>مقدم طبيب / محمد عيسى الرميثي</t>
  </si>
  <si>
    <t>رائد / احمد علي عبدالله الحوسني</t>
  </si>
  <si>
    <t xml:space="preserve">رائد / عبدالله مطر عبيد الكتبي </t>
  </si>
  <si>
    <t xml:space="preserve">رائد / خليفة مصبح الدهماني </t>
  </si>
  <si>
    <t>رائد / أحمد هلال سيف الزعابي</t>
  </si>
  <si>
    <t xml:space="preserve">رائد / سيف حمود محمد الشامسي </t>
  </si>
  <si>
    <t>رائد / عبدالناصر أحمد عبدالله  آل نصور</t>
  </si>
  <si>
    <t>رائد / حمدان محمد الكعبي</t>
  </si>
  <si>
    <t>رائد / سلطان سيف حميد بن سميط</t>
  </si>
  <si>
    <t xml:space="preserve">رائد / هلال سعيد ضبيب الدرعي </t>
  </si>
  <si>
    <t xml:space="preserve">رائد / سعيد إبراهيم المرزوقي </t>
  </si>
  <si>
    <t>رائد / أحمد عبدالكريم محمد</t>
  </si>
  <si>
    <t xml:space="preserve">رائد / جمعة محمد مسعود المزروعي </t>
  </si>
  <si>
    <t xml:space="preserve">رائد / خليفة مصبح علي الدهماني </t>
  </si>
  <si>
    <t xml:space="preserve">رائد / محمد خليفة حميد النعيمي </t>
  </si>
  <si>
    <t xml:space="preserve">نقيب / محمد سعيد الكعبي </t>
  </si>
  <si>
    <t>نقيب / ناصر حمد سليم التميمي</t>
  </si>
  <si>
    <t xml:space="preserve">نقيب / سعيد مصبح  محمد الغفلي </t>
  </si>
  <si>
    <t xml:space="preserve">نقيب / أحمد حمد حمود الدرعي </t>
  </si>
  <si>
    <t>نقيب / سالم جمعة محمد الكتبي</t>
  </si>
  <si>
    <t xml:space="preserve">نقيب / عمران راشد عبيد الكتبي </t>
  </si>
  <si>
    <t>نقيب / محمد جاسم محمد النقبي</t>
  </si>
  <si>
    <t>نقيب / بلاع سالم الدوده العامري</t>
  </si>
  <si>
    <t>نقيب / عبدالله علي سعيد الصريدي</t>
  </si>
  <si>
    <t>نقيب / عبدالله علي سليمان الزعابي</t>
  </si>
  <si>
    <t>نقيب / يوسف خليفه سعيد الكتبي</t>
  </si>
  <si>
    <t>نقيب بحري / سالم محمد جمعة الصريدي</t>
  </si>
  <si>
    <t xml:space="preserve">نقيب طبيب / حميد عبدالله خميس الكندي </t>
  </si>
  <si>
    <t xml:space="preserve">نقيب طيار / ناصر ظافر دشن الاحبابي </t>
  </si>
  <si>
    <t xml:space="preserve">ملازم 1 / مطر احمد الكلباني </t>
  </si>
  <si>
    <t>ملازم 1 / حمد هلال خليفة الكتبي</t>
  </si>
  <si>
    <t>ملازم / مايد عبدالله الزيودي</t>
  </si>
  <si>
    <t>وكيل/1 - خالد عبدالله التميمي</t>
  </si>
  <si>
    <t>وكيل/1 - سعيد راشد عبيد السدراني</t>
  </si>
  <si>
    <t xml:space="preserve">وكيل/1 - سمير إبراهيم المازمي </t>
  </si>
  <si>
    <t>وكيل/1 - فايز سعيد صالح العامري</t>
  </si>
  <si>
    <t xml:space="preserve">وكيل/1 - فهد سبت النعيمي </t>
  </si>
  <si>
    <t xml:space="preserve">وكيل/1 - مرزوق سالم مرزوق الزحمي </t>
  </si>
  <si>
    <t>وكيل/1 - سيف سعيد سالم اليماحي</t>
  </si>
  <si>
    <t xml:space="preserve">وكيل/1 - فيصل علي الاميري </t>
  </si>
  <si>
    <t>وكيل/1 - داوود درويش محمد الشحي</t>
  </si>
  <si>
    <t>وكيل/1 - محمد عبدالله سالم الزيدي</t>
  </si>
  <si>
    <t xml:space="preserve">وكيل/1 - حمد حسن علي القايدي </t>
  </si>
  <si>
    <t xml:space="preserve">وكيل/1 - خالد محمد الشحي </t>
  </si>
  <si>
    <t xml:space="preserve">وكيل/1 - عبدالله سعيد الكلباني </t>
  </si>
  <si>
    <t>وكيل/1 - علي مسلم الكتبي</t>
  </si>
  <si>
    <t xml:space="preserve">وكيل/1 - عمر أحمد مختار </t>
  </si>
  <si>
    <t xml:space="preserve">وكيل/ احمد سالمين سالم الشنيني </t>
  </si>
  <si>
    <t xml:space="preserve">وكيل/ أحمد سعيد حمد الشامسي </t>
  </si>
  <si>
    <t>وكيل/ علي عبدالله الصريدي</t>
  </si>
  <si>
    <t>وكيل/ محمد عمر سالم الخنبشي</t>
  </si>
  <si>
    <t xml:space="preserve">وكيل/ وليد مرزوق مسعود العلوي </t>
  </si>
  <si>
    <t xml:space="preserve">وكيل/ علي محمد عبدالله النقبي </t>
  </si>
  <si>
    <t>وكيل/ فهد علي سليمان الشحي</t>
  </si>
  <si>
    <t>وكيل/ محمد حميد عبيد الزعابي</t>
  </si>
  <si>
    <t xml:space="preserve">وكيل/ محمد علي الحمادي </t>
  </si>
  <si>
    <t>رقيب/1 - حامد سعيد شماريخ</t>
  </si>
  <si>
    <t xml:space="preserve">رقيب/1 - علي حميد علي الكندي </t>
  </si>
  <si>
    <t>رقيب/1 - فايز عيسى عبدالله البلوشي</t>
  </si>
  <si>
    <t xml:space="preserve">رقيب/1 - محمد جمعة محمد المنصوري </t>
  </si>
  <si>
    <t>رقيب/1 - محمد يوسف احمد ال علي</t>
  </si>
  <si>
    <t xml:space="preserve">رقيب / حسن علي سلطان ال علي </t>
  </si>
  <si>
    <t xml:space="preserve">رقيب / عوض محمد الكثيري </t>
  </si>
  <si>
    <r>
      <t>ملاحظـــات:</t>
    </r>
    <r>
      <rPr>
        <sz val="12"/>
        <color rgb="FF000000"/>
        <rFont val="Arial"/>
        <family val="2"/>
      </rPr>
      <t xml:space="preserve"> 
1. تقييم مستوى الوحدة من خلال مراقبة الآداء أو طرح الأسئلة.
2. يعتبر هذا النموذج (سري للغاية) بعد إدخال علامات التقييم.
3. نموذج التقييم قابل للتطوير والتعديل.</t>
    </r>
  </si>
  <si>
    <t>مقدم ركن / عبدالرحمن محمد الطنيجي</t>
  </si>
  <si>
    <t xml:space="preserve">رائد / راشد ضاوي  راشد الطنيجي </t>
  </si>
  <si>
    <t>نقيب / حميد سعيد مسير الظاهري</t>
  </si>
  <si>
    <t>نقيب / يوسف محمد الفلاسي</t>
  </si>
  <si>
    <t>نقيب / سعيد راشد الظنحاني</t>
  </si>
  <si>
    <r>
      <t>1.</t>
    </r>
    <r>
      <rPr>
        <sz val="7"/>
        <color theme="1"/>
        <rFont val="Times New Roman"/>
        <family val="1"/>
      </rPr>
      <t xml:space="preserve">           </t>
    </r>
    <r>
      <rPr>
        <sz val="14"/>
        <color theme="1"/>
        <rFont val="Arial"/>
        <family val="2"/>
      </rPr>
      <t>أصدرا أمراً مجزأً من المستوى الأعلى لتنفيذ الدفاع السريع وتعميمه على المستوى الأدنى.</t>
    </r>
  </si>
  <si>
    <r>
      <t>2.</t>
    </r>
    <r>
      <rPr>
        <sz val="7"/>
        <color theme="1"/>
        <rFont val="Times New Roman"/>
        <family val="1"/>
      </rPr>
      <t xml:space="preserve">           </t>
    </r>
    <r>
      <rPr>
        <sz val="14"/>
        <color theme="1"/>
        <rFont val="Arial"/>
        <family val="2"/>
      </rPr>
      <t>تحديد المهمة الرئيسة للوحدات المرؤوسة في كل المستويات.</t>
    </r>
  </si>
  <si>
    <r>
      <t>3.</t>
    </r>
    <r>
      <rPr>
        <sz val="7"/>
        <color theme="1"/>
        <rFont val="Times New Roman"/>
        <family val="1"/>
      </rPr>
      <t xml:space="preserve">           </t>
    </r>
    <r>
      <rPr>
        <sz val="14"/>
        <color theme="1"/>
        <rFont val="Arial"/>
        <family val="2"/>
      </rPr>
      <t>تحديد مواقع الدفاع السريع للوحدات المرؤوسة.</t>
    </r>
  </si>
  <si>
    <r>
      <t>4.</t>
    </r>
    <r>
      <rPr>
        <sz val="7"/>
        <color theme="1"/>
        <rFont val="Times New Roman"/>
        <family val="1"/>
      </rPr>
      <t xml:space="preserve">           </t>
    </r>
    <r>
      <rPr>
        <sz val="14"/>
        <color theme="1"/>
        <rFont val="Arial"/>
        <family val="2"/>
      </rPr>
      <t>اختيار طبيعة الأرض التي توفر التخفية والتستر وتسمح بتركيز نيران الأسلحة.</t>
    </r>
  </si>
  <si>
    <r>
      <t>5.</t>
    </r>
    <r>
      <rPr>
        <sz val="7"/>
        <color theme="1"/>
        <rFont val="Times New Roman"/>
        <family val="1"/>
      </rPr>
      <t xml:space="preserve">           </t>
    </r>
    <r>
      <rPr>
        <sz val="14"/>
        <color theme="1"/>
        <rFont val="Arial"/>
        <family val="2"/>
      </rPr>
      <t>إبلاغ المستوى الأعلى بإحداثيات مواقع الوحدة.</t>
    </r>
  </si>
  <si>
    <r>
      <t>6.</t>
    </r>
    <r>
      <rPr>
        <sz val="7"/>
        <color theme="1"/>
        <rFont val="Times New Roman"/>
        <family val="1"/>
      </rPr>
      <t xml:space="preserve">           </t>
    </r>
    <r>
      <rPr>
        <sz val="14"/>
        <color theme="1"/>
        <rFont val="Arial"/>
        <family val="2"/>
      </rPr>
      <t>إقامة الحماية المحلية والمراقبة على طول مقتربات العدو المحتملة وتعيين عناصر لتوفر الإنذار المبكر.</t>
    </r>
  </si>
  <si>
    <r>
      <t>7.</t>
    </r>
    <r>
      <rPr>
        <sz val="7"/>
        <color theme="1"/>
        <rFont val="Times New Roman"/>
        <family val="1"/>
      </rPr>
      <t xml:space="preserve">           </t>
    </r>
    <r>
      <rPr>
        <sz val="14"/>
        <color theme="1"/>
        <rFont val="Arial"/>
        <family val="2"/>
      </rPr>
      <t>تحديد نقاط مرجع الهدف من اجل تركيز النيران وتأمين إسناد متبادل.</t>
    </r>
  </si>
  <si>
    <r>
      <t>8.</t>
    </r>
    <r>
      <rPr>
        <sz val="7"/>
        <color theme="1"/>
        <rFont val="Times New Roman"/>
        <family val="1"/>
      </rPr>
      <t xml:space="preserve">           </t>
    </r>
    <r>
      <rPr>
        <sz val="14"/>
        <color theme="1"/>
        <rFont val="Arial"/>
        <family val="2"/>
      </rPr>
      <t>استطلاع منطقة الأهداف من قبل الدوريات وعناصر الكشف للتأكد من خلوها من العدو.</t>
    </r>
  </si>
  <si>
    <r>
      <t>9.</t>
    </r>
    <r>
      <rPr>
        <sz val="7"/>
        <color theme="1"/>
        <rFont val="Times New Roman"/>
        <family val="1"/>
      </rPr>
      <t xml:space="preserve">           </t>
    </r>
    <r>
      <rPr>
        <sz val="14"/>
        <color theme="1"/>
        <rFont val="Arial"/>
        <family val="2"/>
      </rPr>
      <t>توضيع معدات المراقبة في مواقع تساعد على تحديد نقاط مرجع الأهداف ليلاً أو أثناء الرؤية المحددة.</t>
    </r>
  </si>
  <si>
    <r>
      <t>10.</t>
    </r>
    <r>
      <rPr>
        <sz val="7"/>
        <color theme="1"/>
        <rFont val="Times New Roman"/>
        <family val="1"/>
      </rPr>
      <t xml:space="preserve">      </t>
    </r>
    <r>
      <rPr>
        <sz val="14"/>
        <color theme="1"/>
        <rFont val="Arial"/>
        <family val="2"/>
      </rPr>
      <t>تجهيز مواقع ثانوية وبديلة للآليات والأفراد.</t>
    </r>
  </si>
  <si>
    <r>
      <t>11.</t>
    </r>
    <r>
      <rPr>
        <sz val="7"/>
        <color theme="1"/>
        <rFont val="Times New Roman"/>
        <family val="1"/>
      </rPr>
      <t xml:space="preserve">      </t>
    </r>
    <r>
      <rPr>
        <sz val="14"/>
        <color theme="1"/>
        <rFont val="Arial"/>
        <family val="2"/>
      </rPr>
      <t>إعداد بطاقات المدى لأنظمة الرماية المباشرة.</t>
    </r>
  </si>
  <si>
    <r>
      <t>12.</t>
    </r>
    <r>
      <rPr>
        <sz val="7"/>
        <color theme="1"/>
        <rFont val="Times New Roman"/>
        <family val="1"/>
      </rPr>
      <t xml:space="preserve">      </t>
    </r>
    <r>
      <rPr>
        <sz val="14"/>
        <color theme="1"/>
        <rFont val="Arial"/>
        <family val="2"/>
      </rPr>
      <t>تحديد أهداف المدفعية وطلب الإسناد المدفعي عند الحاجة.</t>
    </r>
  </si>
  <si>
    <r>
      <t>13.</t>
    </r>
    <r>
      <rPr>
        <sz val="7"/>
        <color theme="1"/>
        <rFont val="Times New Roman"/>
        <family val="1"/>
      </rPr>
      <t xml:space="preserve">      </t>
    </r>
    <r>
      <rPr>
        <sz val="14"/>
        <color theme="1"/>
        <rFont val="Arial"/>
        <family val="2"/>
      </rPr>
      <t>تفقد قادة الوحدات لمواقع الآليات والأفراد (مواقع رئيسة، ثانوية، بديلة).</t>
    </r>
  </si>
  <si>
    <r>
      <t>14.</t>
    </r>
    <r>
      <rPr>
        <sz val="7"/>
        <color theme="1"/>
        <rFont val="Times New Roman"/>
        <family val="1"/>
      </rPr>
      <t xml:space="preserve">      </t>
    </r>
    <r>
      <rPr>
        <sz val="14"/>
        <color theme="1"/>
        <rFont val="Arial"/>
        <family val="2"/>
      </rPr>
      <t>الحصول على التقارير والمعلومات المحدثَة التي تبين مواقع القوات الأمامية والجانبية (المجاورة) الصديقة وحسب الحاجة.</t>
    </r>
  </si>
  <si>
    <r>
      <t>15.</t>
    </r>
    <r>
      <rPr>
        <sz val="7"/>
        <color theme="1"/>
        <rFont val="Times New Roman"/>
        <family val="1"/>
      </rPr>
      <t xml:space="preserve">      </t>
    </r>
    <r>
      <rPr>
        <sz val="14"/>
        <color theme="1"/>
        <rFont val="Arial"/>
        <family val="2"/>
      </rPr>
      <t xml:space="preserve">الحصول على معلومات محدثَة عن مواقع قوات العدو لمنع الإصابة بالنيران الصديقة وزيادة حماية القوة وحسب الحاجة. </t>
    </r>
  </si>
  <si>
    <r>
      <t>16.</t>
    </r>
    <r>
      <rPr>
        <sz val="7"/>
        <color theme="1"/>
        <rFont val="Times New Roman"/>
        <family val="1"/>
      </rPr>
      <t xml:space="preserve">      </t>
    </r>
    <r>
      <rPr>
        <sz val="14"/>
        <color theme="1"/>
        <rFont val="Arial"/>
        <family val="2"/>
      </rPr>
      <t>توزيع المعلومات الضرورية لجميع الوحدات المرؤوسة لاطلاعهم على آخر مستجدات الموقف.</t>
    </r>
  </si>
  <si>
    <r>
      <t>17.</t>
    </r>
    <r>
      <rPr>
        <sz val="7"/>
        <color theme="1"/>
        <rFont val="Times New Roman"/>
        <family val="1"/>
      </rPr>
      <t xml:space="preserve">      </t>
    </r>
    <r>
      <rPr>
        <sz val="14"/>
        <color theme="1"/>
        <rFont val="Arial"/>
        <family val="2"/>
      </rPr>
      <t>التخطيط للدفاع ضد الهجمات المعاكسة والتأكد من يقظة وجاهزية جميع الأفراد للتعامل معها.</t>
    </r>
  </si>
  <si>
    <r>
      <t>18.</t>
    </r>
    <r>
      <rPr>
        <sz val="7"/>
        <color theme="1"/>
        <rFont val="Times New Roman"/>
        <family val="1"/>
      </rPr>
      <t xml:space="preserve">      </t>
    </r>
    <r>
      <rPr>
        <sz val="14"/>
        <color theme="1"/>
        <rFont val="Arial"/>
        <family val="2"/>
      </rPr>
      <t>التأكد من فعالية الاتصالات بين القيادة ونقاط المراقبة.</t>
    </r>
  </si>
  <si>
    <r>
      <t>19.</t>
    </r>
    <r>
      <rPr>
        <sz val="7"/>
        <color theme="1"/>
        <rFont val="Times New Roman"/>
        <family val="1"/>
      </rPr>
      <t xml:space="preserve">      </t>
    </r>
    <r>
      <rPr>
        <sz val="14"/>
        <color theme="1"/>
        <rFont val="Arial"/>
        <family val="2"/>
      </rPr>
      <t>إعادة تأسيس شبكات الاتصالات.</t>
    </r>
  </si>
  <si>
    <r>
      <t>20.</t>
    </r>
    <r>
      <rPr>
        <sz val="7"/>
        <color theme="1"/>
        <rFont val="Times New Roman"/>
        <family val="1"/>
      </rPr>
      <t xml:space="preserve">      </t>
    </r>
    <r>
      <rPr>
        <sz val="14"/>
        <color theme="1"/>
        <rFont val="Arial"/>
        <family val="2"/>
      </rPr>
      <t>التأكد من تأمين الإسناد المتبادل داخل الوحدة ومع الوحدات الجانبية.</t>
    </r>
  </si>
  <si>
    <r>
      <t>21.</t>
    </r>
    <r>
      <rPr>
        <sz val="7"/>
        <color theme="1"/>
        <rFont val="Times New Roman"/>
        <family val="1"/>
      </rPr>
      <t xml:space="preserve">      </t>
    </r>
    <r>
      <rPr>
        <sz val="14"/>
        <color theme="1"/>
        <rFont val="Arial"/>
        <family val="2"/>
      </rPr>
      <t>إرسال تقارير المرؤوسين حول الذخيرة، الإصابات والمعدات.</t>
    </r>
  </si>
  <si>
    <r>
      <t>22.</t>
    </r>
    <r>
      <rPr>
        <sz val="7"/>
        <color theme="1"/>
        <rFont val="Times New Roman"/>
        <family val="1"/>
      </rPr>
      <t xml:space="preserve">      </t>
    </r>
    <r>
      <rPr>
        <sz val="14"/>
        <color theme="1"/>
        <rFont val="Arial"/>
        <family val="2"/>
      </rPr>
      <t>تنسيق عملية إعادة التزويد وسد النقص من الذخيرة والأرزاق والوقود.</t>
    </r>
  </si>
  <si>
    <r>
      <t>23.</t>
    </r>
    <r>
      <rPr>
        <sz val="7"/>
        <color theme="1"/>
        <rFont val="Times New Roman"/>
        <family val="1"/>
      </rPr>
      <t xml:space="preserve">      </t>
    </r>
    <r>
      <rPr>
        <sz val="14"/>
        <color theme="1"/>
        <rFont val="Arial"/>
        <family val="2"/>
      </rPr>
      <t>إرسال تقرير الموقف الإداري المفصل يشمل (الخسائر في الأفراد والمعدات والذخيرة والوقود).</t>
    </r>
  </si>
  <si>
    <r>
      <t>24.</t>
    </r>
    <r>
      <rPr>
        <sz val="7"/>
        <color theme="1"/>
        <rFont val="Times New Roman"/>
        <family val="1"/>
      </rPr>
      <t xml:space="preserve">      </t>
    </r>
    <r>
      <rPr>
        <sz val="14"/>
        <color theme="1"/>
        <rFont val="Arial"/>
        <family val="2"/>
      </rPr>
      <t>تحديد نقاط تجميع الإصابات والتعامل مع الإصابات وإخلاء الجرحى والشهداء حسب الإجراءات المتبعة.</t>
    </r>
  </si>
  <si>
    <r>
      <t>25.</t>
    </r>
    <r>
      <rPr>
        <sz val="7"/>
        <color theme="1"/>
        <rFont val="Times New Roman"/>
        <family val="1"/>
      </rPr>
      <t xml:space="preserve">      </t>
    </r>
    <r>
      <rPr>
        <sz val="14"/>
        <color theme="1"/>
        <rFont val="Arial"/>
        <family val="2"/>
      </rPr>
      <t>تعويض خسائر القوى البشرية بأسرع ما يمكن.</t>
    </r>
  </si>
  <si>
    <r>
      <t>26.</t>
    </r>
    <r>
      <rPr>
        <sz val="7"/>
        <color theme="1"/>
        <rFont val="Times New Roman"/>
        <family val="1"/>
      </rPr>
      <t xml:space="preserve">      </t>
    </r>
    <r>
      <rPr>
        <sz val="14"/>
        <color theme="1"/>
        <rFont val="Arial"/>
        <family val="2"/>
      </rPr>
      <t>تحديد نقاط تجميع الصيانة واخلاء الآليات والمعدات المعطلة حسب الإجراءات المتبعة.</t>
    </r>
  </si>
  <si>
    <r>
      <rPr>
        <b/>
        <sz val="14"/>
        <color rgb="FF000000"/>
        <rFont val="Arial"/>
        <family val="2"/>
      </rPr>
      <t>تقييم الدفاع السريع (قيادة اللواء - الكتيبة - السرية)</t>
    </r>
    <r>
      <rPr>
        <b/>
        <u/>
        <sz val="14"/>
        <color rgb="FF000000"/>
        <rFont val="Arial"/>
        <family val="2"/>
      </rPr>
      <t xml:space="preserve">
تمرين جاهزية مجموعة لواء الإمارات/1 (جندي الصحراء 2025/20)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</si>
</sst>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000]d\ mmmm\ yyyy;@"/>
  </numFmts>
  <fonts count="15" x14ac:knownFonts="1">
    <font>
      <sz val="11"/>
      <color theme="1"/>
      <name val="Calibri"/>
      <family val="2"/>
      <scheme val="minor"/>
    </font>
    <font>
      <b/>
      <u/>
      <sz val="12"/>
      <color rgb="FF000000"/>
      <name val="Arial"/>
      <family val="2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sz val="14"/>
      <color rgb="FF000000"/>
      <name val="Calibri"/>
      <family val="2"/>
      <scheme val="minor"/>
    </font>
    <font>
      <b/>
      <u/>
      <sz val="14"/>
      <color rgb="FF000000"/>
      <name val="Arial"/>
      <family val="2"/>
    </font>
    <font>
      <b/>
      <sz val="14"/>
      <color rgb="FF000000"/>
      <name val="Arial"/>
      <family val="2"/>
    </font>
    <font>
      <b/>
      <sz val="14"/>
      <color theme="1"/>
      <name val="Arial"/>
      <family val="2"/>
    </font>
    <font>
      <sz val="16"/>
      <color theme="1"/>
      <name val="Arial"/>
      <family val="2"/>
    </font>
    <font>
      <b/>
      <sz val="12"/>
      <color theme="1"/>
      <name val="Calibri"/>
      <family val="2"/>
      <scheme val="minor"/>
    </font>
    <font>
      <b/>
      <sz val="12"/>
      <name val="Arial"/>
      <family val="2"/>
    </font>
    <font>
      <b/>
      <sz val="12"/>
      <name val="Calibri"/>
      <family val="2"/>
      <scheme val="minor"/>
    </font>
    <font>
      <sz val="12"/>
      <color rgb="FF000000"/>
      <name val="Arial"/>
      <family val="2"/>
    </font>
    <font>
      <sz val="14"/>
      <color theme="1"/>
      <name val="Arial"/>
      <family val="2"/>
    </font>
    <font>
      <sz val="7"/>
      <color theme="1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FF"/>
        <bgColor indexed="64"/>
      </patternFill>
    </fill>
  </fills>
  <borders count="24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4">
    <xf numFmtId="0" fontId="0" fillId="0" borderId="0" xfId="0"/>
    <xf numFmtId="0" fontId="0" fillId="0" borderId="0" xfId="0" applyProtection="1">
      <protection locked="0"/>
    </xf>
    <xf numFmtId="0" fontId="4" fillId="0" borderId="2" xfId="0" applyFont="1" applyBorder="1" applyAlignment="1" applyProtection="1">
      <alignment horizontal="center" vertical="center" wrapText="1" readingOrder="2"/>
      <protection locked="0"/>
    </xf>
    <xf numFmtId="0" fontId="0" fillId="0" borderId="0" xfId="0" applyAlignment="1" applyProtection="1">
      <alignment horizontal="center"/>
      <protection locked="0"/>
    </xf>
    <xf numFmtId="0" fontId="2" fillId="2" borderId="0" xfId="0" applyFont="1" applyFill="1" applyBorder="1" applyAlignment="1" applyProtection="1">
      <alignment vertical="center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Alignment="1" applyProtection="1">
      <alignment vertical="center" wrapText="1" readingOrder="2"/>
      <protection locked="0"/>
    </xf>
    <xf numFmtId="0" fontId="6" fillId="0" borderId="0" xfId="0" applyFont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3" xfId="0" applyFont="1" applyBorder="1" applyAlignment="1">
      <alignment horizontal="center" vertical="center" wrapText="1" readingOrder="2"/>
    </xf>
    <xf numFmtId="0" fontId="3" fillId="2" borderId="0" xfId="0" applyFont="1" applyFill="1" applyBorder="1" applyAlignment="1" applyProtection="1">
      <alignment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3" xfId="0" applyFont="1" applyFill="1" applyBorder="1" applyAlignment="1" applyProtection="1">
      <alignment vertical="center" wrapText="1" readingOrder="2"/>
      <protection locked="0"/>
    </xf>
    <xf numFmtId="164" fontId="4" fillId="0" borderId="2" xfId="0" applyNumberFormat="1" applyFont="1" applyBorder="1" applyAlignment="1" applyProtection="1">
      <alignment horizontal="center" vertical="center" wrapText="1" readingOrder="2"/>
      <protection locked="0"/>
    </xf>
    <xf numFmtId="164" fontId="4" fillId="0" borderId="0" xfId="0" applyNumberFormat="1" applyFont="1" applyBorder="1" applyAlignment="1" applyProtection="1">
      <alignment horizontal="center" vertical="center" wrapText="1" readingOrder="2"/>
      <protection locked="0"/>
    </xf>
    <xf numFmtId="164" fontId="4" fillId="3" borderId="0" xfId="0" applyNumberFormat="1" applyFont="1" applyFill="1" applyBorder="1" applyAlignment="1" applyProtection="1">
      <alignment horizontal="center" vertical="center" wrapText="1" readingOrder="2"/>
      <protection locked="0"/>
    </xf>
    <xf numFmtId="0" fontId="0" fillId="3" borderId="0" xfId="0" applyFill="1" applyProtection="1">
      <protection locked="0"/>
    </xf>
    <xf numFmtId="0" fontId="0" fillId="3" borderId="0" xfId="0" applyFill="1"/>
    <xf numFmtId="0" fontId="4" fillId="0" borderId="0" xfId="0" applyFont="1" applyBorder="1" applyAlignment="1" applyProtection="1">
      <alignment horizontal="center" vertical="center" wrapText="1" readingOrder="2"/>
      <protection locked="0"/>
    </xf>
    <xf numFmtId="0" fontId="8" fillId="0" borderId="3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10" fillId="0" borderId="3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6" fillId="4" borderId="16" xfId="0" applyFont="1" applyFill="1" applyBorder="1" applyAlignment="1" applyProtection="1">
      <alignment horizontal="center" vertical="center" wrapText="1" readingOrder="2"/>
      <protection locked="0"/>
    </xf>
    <xf numFmtId="0" fontId="2" fillId="0" borderId="19" xfId="0" applyFont="1" applyBorder="1" applyAlignment="1">
      <alignment horizontal="center" vertical="center" wrapText="1" readingOrder="2"/>
    </xf>
    <xf numFmtId="9" fontId="3" fillId="0" borderId="3" xfId="0" applyNumberFormat="1" applyFont="1" applyBorder="1" applyAlignment="1">
      <alignment horizontal="center" vertical="center" wrapText="1" readingOrder="2"/>
    </xf>
    <xf numFmtId="0" fontId="2" fillId="0" borderId="3" xfId="0" applyFont="1" applyBorder="1" applyAlignment="1">
      <alignment horizontal="center" vertical="center" wrapText="1" readingOrder="1"/>
    </xf>
    <xf numFmtId="0" fontId="2" fillId="0" borderId="4" xfId="0" applyFont="1" applyBorder="1" applyAlignment="1">
      <alignment horizontal="center" vertical="center" wrapText="1" readingOrder="2"/>
    </xf>
    <xf numFmtId="0" fontId="3" fillId="0" borderId="4" xfId="0" applyFont="1" applyBorder="1" applyAlignment="1" applyProtection="1">
      <alignment horizontal="center" vertical="center" wrapText="1" readingOrder="2"/>
      <protection locked="0"/>
    </xf>
    <xf numFmtId="9" fontId="3" fillId="0" borderId="4" xfId="0" applyNumberFormat="1" applyFont="1" applyBorder="1" applyAlignment="1">
      <alignment horizontal="center" vertical="center" wrapText="1" readingOrder="2"/>
    </xf>
    <xf numFmtId="0" fontId="2" fillId="0" borderId="4" xfId="0" applyFont="1" applyBorder="1" applyAlignment="1">
      <alignment horizontal="center" vertical="center" wrapText="1" readingOrder="1"/>
    </xf>
    <xf numFmtId="0" fontId="3" fillId="0" borderId="4" xfId="0" applyFont="1" applyBorder="1" applyAlignment="1" applyProtection="1">
      <alignment horizontal="center" vertical="center" wrapText="1" readingOrder="2"/>
      <protection locked="0"/>
    </xf>
    <xf numFmtId="0" fontId="2" fillId="0" borderId="12" xfId="0" applyFont="1" applyBorder="1" applyAlignment="1">
      <alignment horizontal="center" vertical="center" wrapText="1" readingOrder="2"/>
    </xf>
    <xf numFmtId="9" fontId="3" fillId="0" borderId="12" xfId="0" applyNumberFormat="1" applyFont="1" applyBorder="1" applyAlignment="1">
      <alignment horizontal="center" vertical="center" wrapText="1" readingOrder="2"/>
    </xf>
    <xf numFmtId="0" fontId="2" fillId="0" borderId="12" xfId="0" applyFont="1" applyBorder="1" applyAlignment="1">
      <alignment horizontal="center" vertical="center" wrapText="1" readingOrder="1"/>
    </xf>
    <xf numFmtId="0" fontId="13" fillId="5" borderId="23" xfId="0" applyFont="1" applyFill="1" applyBorder="1" applyAlignment="1">
      <alignment horizontal="right" vertical="center" wrapText="1" readingOrder="2"/>
    </xf>
    <xf numFmtId="0" fontId="13" fillId="5" borderId="3" xfId="0" applyFont="1" applyFill="1" applyBorder="1" applyAlignment="1">
      <alignment horizontal="right" vertical="center" wrapText="1" readingOrder="2"/>
    </xf>
    <xf numFmtId="0" fontId="13" fillId="0" borderId="23" xfId="0" applyFont="1" applyBorder="1" applyAlignment="1">
      <alignment horizontal="right" vertical="center" wrapText="1" readingOrder="2"/>
    </xf>
    <xf numFmtId="0" fontId="13" fillId="0" borderId="3" xfId="0" applyFont="1" applyBorder="1" applyAlignment="1">
      <alignment horizontal="right" vertical="center" wrapText="1" readingOrder="2"/>
    </xf>
    <xf numFmtId="0" fontId="13" fillId="0" borderId="5" xfId="0" applyFont="1" applyBorder="1" applyAlignment="1">
      <alignment horizontal="right" vertical="center" wrapText="1" readingOrder="2"/>
    </xf>
    <xf numFmtId="0" fontId="13" fillId="0" borderId="4" xfId="0" applyFont="1" applyBorder="1" applyAlignment="1">
      <alignment horizontal="right" vertical="center" wrapText="1" readingOrder="2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7" xfId="0" applyFont="1" applyBorder="1" applyAlignment="1" applyProtection="1">
      <alignment horizontal="center" vertical="center" wrapText="1" readingOrder="2"/>
      <protection locked="0"/>
    </xf>
    <xf numFmtId="0" fontId="6" fillId="0" borderId="1" xfId="0" applyFont="1" applyBorder="1" applyAlignment="1" applyProtection="1">
      <alignment horizontal="left" vertical="center" wrapText="1" readingOrder="2"/>
      <protection locked="0"/>
    </xf>
    <xf numFmtId="0" fontId="6" fillId="0" borderId="0" xfId="0" applyFont="1" applyAlignment="1" applyProtection="1">
      <alignment horizontal="left" vertical="center" wrapText="1" readingOrder="2"/>
      <protection locked="0"/>
    </xf>
    <xf numFmtId="0" fontId="2" fillId="0" borderId="20" xfId="0" applyFont="1" applyBorder="1" applyAlignment="1">
      <alignment horizontal="center" vertical="center" wrapText="1" readingOrder="2"/>
    </xf>
    <xf numFmtId="0" fontId="2" fillId="0" borderId="21" xfId="0" applyFont="1" applyBorder="1" applyAlignment="1">
      <alignment horizontal="center" vertical="center" wrapText="1" readingOrder="2"/>
    </xf>
    <xf numFmtId="0" fontId="2" fillId="0" borderId="22" xfId="0" applyFont="1" applyBorder="1" applyAlignment="1">
      <alignment horizontal="center" vertical="center" wrapText="1" readingOrder="2"/>
    </xf>
    <xf numFmtId="10" fontId="2" fillId="0" borderId="9" xfId="0" applyNumberFormat="1" applyFont="1" applyBorder="1" applyAlignment="1">
      <alignment horizontal="center" vertical="center" wrapText="1" readingOrder="2"/>
    </xf>
    <xf numFmtId="10" fontId="2" fillId="0" borderId="10" xfId="0" applyNumberFormat="1" applyFont="1" applyBorder="1" applyAlignment="1">
      <alignment horizontal="center" vertical="center" wrapText="1" readingOrder="2"/>
    </xf>
    <xf numFmtId="49" fontId="5" fillId="0" borderId="0" xfId="0" applyNumberFormat="1" applyFont="1" applyAlignment="1" applyProtection="1">
      <alignment horizontal="center" vertical="top" wrapText="1" readingOrder="2"/>
      <protection locked="0"/>
    </xf>
    <xf numFmtId="164" fontId="6" fillId="0" borderId="3" xfId="0" applyNumberFormat="1" applyFont="1" applyBorder="1" applyAlignment="1" applyProtection="1">
      <alignment horizontal="right" vertical="center" wrapText="1" readingOrder="2"/>
      <protection locked="0"/>
    </xf>
    <xf numFmtId="0" fontId="7" fillId="4" borderId="5" xfId="0" applyFont="1" applyFill="1" applyBorder="1" applyAlignment="1" applyProtection="1">
      <alignment horizontal="center" vertical="center" wrapText="1" readingOrder="2"/>
      <protection locked="0"/>
    </xf>
    <xf numFmtId="0" fontId="7" fillId="4" borderId="4" xfId="0" applyFont="1" applyFill="1" applyBorder="1" applyAlignment="1" applyProtection="1">
      <alignment horizontal="center" vertical="center" wrapText="1" readingOrder="2"/>
      <protection locked="0"/>
    </xf>
    <xf numFmtId="0" fontId="7" fillId="4" borderId="11" xfId="0" applyFont="1" applyFill="1" applyBorder="1" applyAlignment="1" applyProtection="1">
      <alignment horizontal="center" vertical="center" wrapText="1" readingOrder="2"/>
      <protection locked="0"/>
    </xf>
    <xf numFmtId="0" fontId="7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0" borderId="3" xfId="0" applyFont="1" applyBorder="1" applyAlignment="1" applyProtection="1">
      <alignment horizontal="right" vertical="center" wrapText="1" readingOrder="2"/>
      <protection locked="0"/>
    </xf>
    <xf numFmtId="0" fontId="7" fillId="4" borderId="15" xfId="0" applyFont="1" applyFill="1" applyBorder="1" applyAlignment="1" applyProtection="1">
      <alignment horizontal="center" vertical="center" wrapText="1" readingOrder="2"/>
      <protection locked="0"/>
    </xf>
    <xf numFmtId="0" fontId="7" fillId="4" borderId="16" xfId="0" applyFont="1" applyFill="1" applyBorder="1" applyAlignment="1" applyProtection="1">
      <alignment horizontal="center" vertical="center" wrapText="1" readingOrder="2"/>
      <protection locked="0"/>
    </xf>
    <xf numFmtId="0" fontId="6" fillId="4" borderId="4" xfId="0" applyFont="1" applyFill="1" applyBorder="1" applyAlignment="1" applyProtection="1">
      <alignment horizontal="center" vertical="center" wrapText="1" readingOrder="2"/>
      <protection locked="0"/>
    </xf>
    <xf numFmtId="0" fontId="6" fillId="4" borderId="6" xfId="0" applyFont="1" applyFill="1" applyBorder="1" applyAlignment="1" applyProtection="1">
      <alignment horizontal="center"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13" xfId="0" applyFont="1" applyFill="1" applyBorder="1" applyAlignment="1" applyProtection="1">
      <alignment horizontal="center" vertical="center" wrapText="1" readingOrder="2"/>
      <protection locked="0"/>
    </xf>
    <xf numFmtId="0" fontId="6" fillId="4" borderId="16" xfId="0" applyFont="1" applyFill="1" applyBorder="1" applyAlignment="1" applyProtection="1">
      <alignment horizontal="center" vertical="center" wrapText="1" readingOrder="2"/>
      <protection locked="0"/>
    </xf>
    <xf numFmtId="0" fontId="6" fillId="4" borderId="17" xfId="0" applyFont="1" applyFill="1" applyBorder="1" applyAlignment="1" applyProtection="1">
      <alignment horizontal="center" vertical="center" wrapText="1" readingOrder="2"/>
      <protection locked="0"/>
    </xf>
    <xf numFmtId="0" fontId="3" fillId="0" borderId="4" xfId="0" applyFont="1" applyBorder="1" applyAlignment="1" applyProtection="1">
      <alignment horizontal="center" vertical="center" wrapText="1" readingOrder="2"/>
      <protection locked="0"/>
    </xf>
    <xf numFmtId="0" fontId="3" fillId="0" borderId="6" xfId="0" applyFont="1" applyBorder="1" applyAlignment="1" applyProtection="1">
      <alignment horizontal="center" vertical="center" wrapText="1" readingOrder="2"/>
      <protection locked="0"/>
    </xf>
    <xf numFmtId="0" fontId="1" fillId="0" borderId="1" xfId="0" applyFont="1" applyBorder="1" applyAlignment="1" applyProtection="1">
      <alignment vertical="top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Border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9" xfId="0" applyFont="1" applyBorder="1" applyAlignment="1">
      <alignment horizontal="center" vertical="center" wrapText="1" readingOrder="1"/>
    </xf>
    <xf numFmtId="0" fontId="2" fillId="0" borderId="10" xfId="0" applyFont="1" applyBorder="1" applyAlignment="1">
      <alignment horizontal="center" vertical="center" wrapText="1" readingOrder="1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3" fillId="0" borderId="13" xfId="0" applyFont="1" applyBorder="1" applyAlignment="1" applyProtection="1">
      <alignment horizontal="center" vertical="center" wrapText="1" readingOrder="2"/>
      <protection locked="0"/>
    </xf>
    <xf numFmtId="0" fontId="6" fillId="4" borderId="18" xfId="0" applyFont="1" applyFill="1" applyBorder="1" applyAlignment="1" applyProtection="1">
      <alignment horizontal="center" vertical="center" wrapText="1" readingOrder="2"/>
      <protection locked="0"/>
    </xf>
    <xf numFmtId="0" fontId="6" fillId="4" borderId="19" xfId="0" applyFont="1" applyFill="1" applyBorder="1" applyAlignment="1" applyProtection="1">
      <alignment horizontal="center" vertical="center" wrapText="1" readingOrder="2"/>
      <protection locked="0"/>
    </xf>
    <xf numFmtId="0" fontId="6" fillId="4" borderId="8" xfId="0" applyFont="1" applyFill="1" applyBorder="1" applyAlignment="1" applyProtection="1">
      <alignment horizontal="center" vertical="center" wrapText="1" readingOrder="2"/>
      <protection locked="0"/>
    </xf>
    <xf numFmtId="0" fontId="6" fillId="4" borderId="9" xfId="0" applyFont="1" applyFill="1" applyBorder="1" applyAlignment="1" applyProtection="1">
      <alignment horizontal="center" vertical="center" wrapText="1" readingOrder="2"/>
      <protection locked="0"/>
    </xf>
    <xf numFmtId="0" fontId="13" fillId="5" borderId="11" xfId="0" applyFont="1" applyFill="1" applyBorder="1" applyAlignment="1">
      <alignment horizontal="right" vertical="center" wrapText="1" readingOrder="2"/>
    </xf>
    <xf numFmtId="0" fontId="13" fillId="5" borderId="12" xfId="0" applyFont="1" applyFill="1" applyBorder="1" applyAlignment="1">
      <alignment horizontal="right" vertical="center" wrapText="1" readingOrder="2"/>
    </xf>
  </cellXfs>
  <cellStyles count="1">
    <cellStyle name="Normal" xfId="0" builtinId="0"/>
  </cellStyles>
  <dxfs count="17"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theme="8"/>
        </patternFill>
      </fill>
    </dxf>
    <dxf>
      <font>
        <b/>
        <i val="0"/>
        <color theme="0"/>
      </font>
      <fill>
        <patternFill>
          <bgColor rgb="FF339933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9933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colors>
    <mruColors>
      <color rgb="FFFF9933"/>
      <color rgb="FF00CC00"/>
      <color rgb="FF339933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ustomXml" Target="../ink/ink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253905</xdr:colOff>
      <xdr:row>37</xdr:row>
      <xdr:rowOff>92708</xdr:rowOff>
    </xdr:from>
    <xdr:to>
      <xdr:col>8</xdr:col>
      <xdr:colOff>617844</xdr:colOff>
      <xdr:row>37</xdr:row>
      <xdr:rowOff>515348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2" name="Ink 1">
              <a:extLst>
                <a:ext uri="{FF2B5EF4-FFF2-40B4-BE49-F238E27FC236}">
                  <a16:creationId xmlns:a16="http://schemas.microsoft.com/office/drawing/2014/main" id="{0CFFF948-CBC5-78A2-0B16-258FFCA9C4A8}"/>
                </a:ext>
              </a:extLst>
            </xdr14:cNvPr>
            <xdr14:cNvContentPartPr/>
          </xdr14:nvContentPartPr>
          <xdr14:nvPr macro=""/>
          <xdr14:xfrm>
            <a:off x="10398627065" y="17641800"/>
            <a:ext cx="1680120" cy="42264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0CFFF948-CBC5-78A2-0B16-258FFCA9C4A8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0398618425" y="17632800"/>
              <a:ext cx="1697760" cy="44028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5-10-27T08:12:31.029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4561 451,'0'0,"0"0,0 0,0 0,0 0,0 0,0-16,0 14,-16 4,-15-18,25 13,-35-10,-69-19,91 27,-119-6,-65-5,171 13,-171 6,-95-3,253 0,-240 32,-90 0,320-27,-282 38,-39 5,322-41,-268 50,-39 8,305-55,-201 44,-57-6,269-41,-145 34,18-9,147-27,-60 6,6-11,69 0,-10 0,36 0,-14 0,121-48,33 0,-133 41,190-66,21 9,-201 55,232-63,80-8,-302 70,290-76,58 6,-337 69,253-42,38-11,-298 55,204-31,15 8,-229 28,130-24,-42 12,-108 14,60 4,-46-2,-26 0,-25 16,-90 32,98-42,-148 36,-75 39,205-71,-206 60,-47 42,245-97,-253 82,-54 16,297-98,-217 82,-17-1,241-82,-137 52,36-2,122-54,-53 28,26-21,41-15,27 12,73 2,-80-14,129-20,45 18,-161 0,165 0,12 0,-174 0,143 0,32 0,-176 0,98 0,-33 0,-80 0,34 0,0 16,-41-14,-14 12,-8 2,12-14,-11 28,-33 2,41-28,12 8,-6-12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D0DF2-5DCE-4624-B909-68D4EC5F2664}">
  <sheetPr codeName="Sheet1">
    <pageSetUpPr fitToPage="1"/>
  </sheetPr>
  <dimension ref="A1:J38"/>
  <sheetViews>
    <sheetView rightToLeft="1" tabSelected="1" view="pageBreakPreview" topLeftCell="C37" zoomScale="130" zoomScaleNormal="100" zoomScaleSheetLayoutView="130" workbookViewId="0">
      <selection activeCell="C3" sqref="C3:D3"/>
    </sheetView>
  </sheetViews>
  <sheetFormatPr defaultColWidth="9" defaultRowHeight="14.4" x14ac:dyDescent="0.3"/>
  <cols>
    <col min="1" max="1" width="5.109375" style="1" customWidth="1"/>
    <col min="2" max="2" width="12.109375" style="1" customWidth="1"/>
    <col min="3" max="3" width="9" style="1"/>
    <col min="4" max="4" width="28.109375" style="1" customWidth="1"/>
    <col min="5" max="7" width="9.33203125" style="1" customWidth="1"/>
    <col min="8" max="8" width="9.33203125" style="3" customWidth="1"/>
    <col min="9" max="9" width="9.33203125" style="1" customWidth="1"/>
    <col min="10" max="10" width="15.44140625" style="1" customWidth="1"/>
    <col min="11" max="16384" width="9" style="1"/>
  </cols>
  <sheetData>
    <row r="1" spans="1:10" ht="45" customHeight="1" x14ac:dyDescent="0.3">
      <c r="B1" s="53" t="s">
        <v>206</v>
      </c>
      <c r="C1" s="53"/>
      <c r="D1" s="53"/>
      <c r="E1" s="53"/>
      <c r="F1" s="53"/>
      <c r="G1" s="53"/>
      <c r="H1" s="53"/>
      <c r="I1" s="53"/>
      <c r="J1" s="53"/>
    </row>
    <row r="2" spans="1:10" ht="30" customHeight="1" x14ac:dyDescent="0.3">
      <c r="B2" s="12" t="s">
        <v>8</v>
      </c>
      <c r="C2" s="59" t="s">
        <v>43</v>
      </c>
      <c r="D2" s="59"/>
      <c r="E2" s="12" t="s">
        <v>7</v>
      </c>
      <c r="F2" s="54">
        <v>45955</v>
      </c>
      <c r="G2" s="54"/>
      <c r="H2" s="54"/>
      <c r="I2" s="54"/>
      <c r="J2" s="54"/>
    </row>
    <row r="3" spans="1:10" ht="30" customHeight="1" x14ac:dyDescent="0.3">
      <c r="B3" s="12" t="s">
        <v>9</v>
      </c>
      <c r="C3" s="59" t="s">
        <v>87</v>
      </c>
      <c r="D3" s="59"/>
      <c r="E3" s="12" t="s">
        <v>6</v>
      </c>
      <c r="F3" s="59" t="s">
        <v>130</v>
      </c>
      <c r="G3" s="59"/>
      <c r="H3" s="59"/>
      <c r="I3" s="59"/>
      <c r="J3" s="59"/>
    </row>
    <row r="4" spans="1:10" ht="30" customHeight="1" thickBot="1" x14ac:dyDescent="0.35">
      <c r="B4" s="6"/>
      <c r="C4" s="7"/>
      <c r="D4" s="7"/>
      <c r="E4" s="6"/>
      <c r="F4" s="7"/>
      <c r="G4" s="7"/>
      <c r="H4" s="8"/>
      <c r="I4" s="7"/>
      <c r="J4" s="7"/>
    </row>
    <row r="5" spans="1:10" ht="24.9" customHeight="1" x14ac:dyDescent="0.3">
      <c r="A5" s="10"/>
      <c r="B5" s="55" t="s">
        <v>0</v>
      </c>
      <c r="C5" s="56"/>
      <c r="D5" s="56"/>
      <c r="E5" s="62" t="s">
        <v>1</v>
      </c>
      <c r="F5" s="62"/>
      <c r="G5" s="62"/>
      <c r="H5" s="62"/>
      <c r="I5" s="62" t="s">
        <v>2</v>
      </c>
      <c r="J5" s="63"/>
    </row>
    <row r="6" spans="1:10" ht="24.9" customHeight="1" thickBot="1" x14ac:dyDescent="0.35">
      <c r="A6" s="10"/>
      <c r="B6" s="57"/>
      <c r="C6" s="58"/>
      <c r="D6" s="58"/>
      <c r="E6" s="11" t="s">
        <v>3</v>
      </c>
      <c r="F6" s="11" t="s">
        <v>4</v>
      </c>
      <c r="G6" s="11" t="s">
        <v>23</v>
      </c>
      <c r="H6" s="11" t="s">
        <v>24</v>
      </c>
      <c r="I6" s="64"/>
      <c r="J6" s="65"/>
    </row>
    <row r="7" spans="1:10" ht="24.9" customHeight="1" thickBot="1" x14ac:dyDescent="0.35">
      <c r="A7" s="10"/>
      <c r="B7" s="60" t="s">
        <v>21</v>
      </c>
      <c r="C7" s="61"/>
      <c r="D7" s="61"/>
      <c r="E7" s="26" t="s">
        <v>18</v>
      </c>
      <c r="F7" s="26" t="s">
        <v>19</v>
      </c>
      <c r="G7" s="26" t="s">
        <v>22</v>
      </c>
      <c r="H7" s="26" t="s">
        <v>20</v>
      </c>
      <c r="I7" s="66" t="s">
        <v>25</v>
      </c>
      <c r="J7" s="67"/>
    </row>
    <row r="8" spans="1:10" ht="39.9" customHeight="1" thickBot="1" x14ac:dyDescent="0.35">
      <c r="A8" s="10"/>
      <c r="B8" s="42" t="s">
        <v>180</v>
      </c>
      <c r="C8" s="43"/>
      <c r="D8" s="43"/>
      <c r="E8" s="30">
        <v>5</v>
      </c>
      <c r="F8" s="31">
        <v>4</v>
      </c>
      <c r="G8" s="32">
        <f>IFERROR(F8/E8,"")</f>
        <v>0.8</v>
      </c>
      <c r="H8" s="33" t="str">
        <f>_xlfn.IFS(F8="أدخل العلامة","",F8="لا ينطبق","تم الإلغاء",G8&gt;=90%,"ممتاز",G8&gt;=80%,"جيد جداً",G8&gt;=70%,"جيد",G8&gt;=60%,"مقبول",G8&lt;60%,"راسب")</f>
        <v>جيد جداً</v>
      </c>
      <c r="I8" s="68"/>
      <c r="J8" s="69"/>
    </row>
    <row r="9" spans="1:10" ht="39.9" customHeight="1" thickBot="1" x14ac:dyDescent="0.35">
      <c r="A9" s="10"/>
      <c r="B9" s="40" t="s">
        <v>181</v>
      </c>
      <c r="C9" s="41"/>
      <c r="D9" s="41"/>
      <c r="E9" s="9">
        <v>5</v>
      </c>
      <c r="F9" s="34">
        <v>3.75</v>
      </c>
      <c r="G9" s="28">
        <f>IFERROR(F9/E9,"")</f>
        <v>0.75</v>
      </c>
      <c r="H9" s="29" t="str">
        <f>_xlfn.IFS(F9="أدخل العلامة","",F9="لا ينطبق","تم الإلغاء",G9&gt;=90%,"ممتاز",G9&gt;=80%,"جيد جداً",G9&gt;=70%,"جيد",G9&gt;=60%,"مقبول",G9&lt;60%,"راسب")</f>
        <v>جيد</v>
      </c>
      <c r="I9" s="44"/>
      <c r="J9" s="45"/>
    </row>
    <row r="10" spans="1:10" ht="39.9" customHeight="1" thickBot="1" x14ac:dyDescent="0.35">
      <c r="A10" s="10"/>
      <c r="B10" s="40" t="s">
        <v>182</v>
      </c>
      <c r="C10" s="41"/>
      <c r="D10" s="41"/>
      <c r="E10" s="9">
        <v>5</v>
      </c>
      <c r="F10" s="34">
        <v>4</v>
      </c>
      <c r="G10" s="28">
        <f t="shared" ref="G10:G33" si="0">IFERROR(F10/E10,"")</f>
        <v>0.8</v>
      </c>
      <c r="H10" s="29" t="str">
        <f t="shared" ref="H10:H33" si="1">_xlfn.IFS(F10="أدخل العلامة","",F10="لا ينطبق","تم الإلغاء",G10&gt;=90%,"ممتاز",G10&gt;=80%,"جيد جداً",G10&gt;=70%,"جيد",G10&gt;=60%,"مقبول",G10&lt;60%,"راسب")</f>
        <v>جيد جداً</v>
      </c>
      <c r="I10" s="44"/>
      <c r="J10" s="45"/>
    </row>
    <row r="11" spans="1:10" ht="39.9" customHeight="1" thickBot="1" x14ac:dyDescent="0.35">
      <c r="A11" s="10"/>
      <c r="B11" s="40" t="s">
        <v>183</v>
      </c>
      <c r="C11" s="41"/>
      <c r="D11" s="41"/>
      <c r="E11" s="9">
        <v>5</v>
      </c>
      <c r="F11" s="34">
        <v>4</v>
      </c>
      <c r="G11" s="28">
        <f t="shared" si="0"/>
        <v>0.8</v>
      </c>
      <c r="H11" s="29" t="str">
        <f t="shared" si="1"/>
        <v>جيد جداً</v>
      </c>
      <c r="I11" s="44"/>
      <c r="J11" s="45"/>
    </row>
    <row r="12" spans="1:10" ht="39.9" customHeight="1" thickBot="1" x14ac:dyDescent="0.35">
      <c r="A12" s="10"/>
      <c r="B12" s="40" t="s">
        <v>184</v>
      </c>
      <c r="C12" s="41"/>
      <c r="D12" s="41"/>
      <c r="E12" s="9">
        <v>5</v>
      </c>
      <c r="F12" s="34">
        <v>3.75</v>
      </c>
      <c r="G12" s="28">
        <f t="shared" si="0"/>
        <v>0.75</v>
      </c>
      <c r="H12" s="29" t="str">
        <f t="shared" si="1"/>
        <v>جيد</v>
      </c>
      <c r="I12" s="44"/>
      <c r="J12" s="45"/>
    </row>
    <row r="13" spans="1:10" ht="39.9" customHeight="1" thickBot="1" x14ac:dyDescent="0.35">
      <c r="A13" s="10"/>
      <c r="B13" s="40" t="s">
        <v>185</v>
      </c>
      <c r="C13" s="41"/>
      <c r="D13" s="41"/>
      <c r="E13" s="9">
        <v>5</v>
      </c>
      <c r="F13" s="34">
        <v>3.5</v>
      </c>
      <c r="G13" s="28">
        <f t="shared" si="0"/>
        <v>0.7</v>
      </c>
      <c r="H13" s="29" t="str">
        <f t="shared" si="1"/>
        <v>جيد</v>
      </c>
      <c r="I13" s="44"/>
      <c r="J13" s="45"/>
    </row>
    <row r="14" spans="1:10" ht="39.9" customHeight="1" thickBot="1" x14ac:dyDescent="0.35">
      <c r="A14" s="10"/>
      <c r="B14" s="40" t="s">
        <v>186</v>
      </c>
      <c r="C14" s="41"/>
      <c r="D14" s="41"/>
      <c r="E14" s="9">
        <v>5</v>
      </c>
      <c r="F14" s="34">
        <v>3.5</v>
      </c>
      <c r="G14" s="28">
        <f t="shared" si="0"/>
        <v>0.7</v>
      </c>
      <c r="H14" s="29" t="str">
        <f t="shared" si="1"/>
        <v>جيد</v>
      </c>
      <c r="I14" s="44"/>
      <c r="J14" s="45"/>
    </row>
    <row r="15" spans="1:10" ht="39.9" customHeight="1" thickBot="1" x14ac:dyDescent="0.35">
      <c r="A15" s="10"/>
      <c r="B15" s="40" t="s">
        <v>187</v>
      </c>
      <c r="C15" s="41"/>
      <c r="D15" s="41"/>
      <c r="E15" s="9">
        <v>5</v>
      </c>
      <c r="F15" s="34">
        <v>3.5</v>
      </c>
      <c r="G15" s="28">
        <f t="shared" si="0"/>
        <v>0.7</v>
      </c>
      <c r="H15" s="29" t="str">
        <f t="shared" si="1"/>
        <v>جيد</v>
      </c>
      <c r="I15" s="44"/>
      <c r="J15" s="45"/>
    </row>
    <row r="16" spans="1:10" ht="39.9" customHeight="1" thickBot="1" x14ac:dyDescent="0.35">
      <c r="A16" s="10"/>
      <c r="B16" s="40" t="s">
        <v>188</v>
      </c>
      <c r="C16" s="41"/>
      <c r="D16" s="41"/>
      <c r="E16" s="9">
        <v>5</v>
      </c>
      <c r="F16" s="34">
        <v>3.5</v>
      </c>
      <c r="G16" s="28">
        <f t="shared" si="0"/>
        <v>0.7</v>
      </c>
      <c r="H16" s="29" t="str">
        <f t="shared" si="1"/>
        <v>جيد</v>
      </c>
      <c r="I16" s="44"/>
      <c r="J16" s="45"/>
    </row>
    <row r="17" spans="1:10" ht="39.9" customHeight="1" thickBot="1" x14ac:dyDescent="0.35">
      <c r="A17" s="10"/>
      <c r="B17" s="40" t="s">
        <v>189</v>
      </c>
      <c r="C17" s="41"/>
      <c r="D17" s="41"/>
      <c r="E17" s="9">
        <v>5</v>
      </c>
      <c r="F17" s="34">
        <v>3.5</v>
      </c>
      <c r="G17" s="28">
        <f t="shared" si="0"/>
        <v>0.7</v>
      </c>
      <c r="H17" s="29" t="str">
        <f t="shared" si="1"/>
        <v>جيد</v>
      </c>
      <c r="I17" s="44"/>
      <c r="J17" s="45"/>
    </row>
    <row r="18" spans="1:10" ht="39.9" customHeight="1" thickBot="1" x14ac:dyDescent="0.35">
      <c r="A18" s="10"/>
      <c r="B18" s="40" t="s">
        <v>190</v>
      </c>
      <c r="C18" s="41"/>
      <c r="D18" s="41"/>
      <c r="E18" s="9">
        <v>5</v>
      </c>
      <c r="F18" s="34">
        <v>3.5</v>
      </c>
      <c r="G18" s="28">
        <f t="shared" si="0"/>
        <v>0.7</v>
      </c>
      <c r="H18" s="29" t="str">
        <f t="shared" si="1"/>
        <v>جيد</v>
      </c>
      <c r="I18" s="44"/>
      <c r="J18" s="45"/>
    </row>
    <row r="19" spans="1:10" ht="39.9" customHeight="1" thickBot="1" x14ac:dyDescent="0.35">
      <c r="A19" s="10"/>
      <c r="B19" s="40" t="s">
        <v>191</v>
      </c>
      <c r="C19" s="41"/>
      <c r="D19" s="41"/>
      <c r="E19" s="9">
        <v>5</v>
      </c>
      <c r="F19" s="34">
        <v>3.75</v>
      </c>
      <c r="G19" s="28">
        <f t="shared" si="0"/>
        <v>0.75</v>
      </c>
      <c r="H19" s="29" t="str">
        <f t="shared" si="1"/>
        <v>جيد</v>
      </c>
      <c r="I19" s="44"/>
      <c r="J19" s="45"/>
    </row>
    <row r="20" spans="1:10" ht="39.9" customHeight="1" thickBot="1" x14ac:dyDescent="0.35">
      <c r="A20" s="10"/>
      <c r="B20" s="40" t="s">
        <v>192</v>
      </c>
      <c r="C20" s="41"/>
      <c r="D20" s="41"/>
      <c r="E20" s="9">
        <v>5</v>
      </c>
      <c r="F20" s="34">
        <v>3.75</v>
      </c>
      <c r="G20" s="28">
        <f t="shared" si="0"/>
        <v>0.75</v>
      </c>
      <c r="H20" s="29" t="str">
        <f t="shared" si="1"/>
        <v>جيد</v>
      </c>
      <c r="I20" s="44"/>
      <c r="J20" s="45"/>
    </row>
    <row r="21" spans="1:10" ht="39.9" customHeight="1" thickBot="1" x14ac:dyDescent="0.35">
      <c r="A21" s="10"/>
      <c r="B21" s="38" t="s">
        <v>193</v>
      </c>
      <c r="C21" s="39"/>
      <c r="D21" s="39"/>
      <c r="E21" s="9">
        <v>5</v>
      </c>
      <c r="F21" s="34">
        <v>3.75</v>
      </c>
      <c r="G21" s="28">
        <f t="shared" si="0"/>
        <v>0.75</v>
      </c>
      <c r="H21" s="29" t="str">
        <f t="shared" si="1"/>
        <v>جيد</v>
      </c>
      <c r="I21" s="44"/>
      <c r="J21" s="45"/>
    </row>
    <row r="22" spans="1:10" ht="39.9" customHeight="1" thickBot="1" x14ac:dyDescent="0.35">
      <c r="A22" s="10"/>
      <c r="B22" s="38" t="s">
        <v>194</v>
      </c>
      <c r="C22" s="39"/>
      <c r="D22" s="39"/>
      <c r="E22" s="9">
        <v>5</v>
      </c>
      <c r="F22" s="34">
        <v>3.75</v>
      </c>
      <c r="G22" s="28">
        <f t="shared" si="0"/>
        <v>0.75</v>
      </c>
      <c r="H22" s="29" t="str">
        <f t="shared" si="1"/>
        <v>جيد</v>
      </c>
      <c r="I22" s="44"/>
      <c r="J22" s="45"/>
    </row>
    <row r="23" spans="1:10" ht="39.9" customHeight="1" thickBot="1" x14ac:dyDescent="0.35">
      <c r="A23" s="10"/>
      <c r="B23" s="38" t="s">
        <v>195</v>
      </c>
      <c r="C23" s="39"/>
      <c r="D23" s="39"/>
      <c r="E23" s="9">
        <v>5</v>
      </c>
      <c r="F23" s="34">
        <v>3.75</v>
      </c>
      <c r="G23" s="28">
        <f t="shared" si="0"/>
        <v>0.75</v>
      </c>
      <c r="H23" s="29" t="str">
        <f t="shared" si="1"/>
        <v>جيد</v>
      </c>
      <c r="I23" s="44"/>
      <c r="J23" s="45"/>
    </row>
    <row r="24" spans="1:10" ht="39.9" customHeight="1" thickBot="1" x14ac:dyDescent="0.35">
      <c r="A24" s="10"/>
      <c r="B24" s="38" t="s">
        <v>196</v>
      </c>
      <c r="C24" s="39"/>
      <c r="D24" s="39"/>
      <c r="E24" s="9">
        <v>5</v>
      </c>
      <c r="F24" s="34">
        <v>3.75</v>
      </c>
      <c r="G24" s="28">
        <f t="shared" si="0"/>
        <v>0.75</v>
      </c>
      <c r="H24" s="29" t="str">
        <f t="shared" si="1"/>
        <v>جيد</v>
      </c>
      <c r="I24" s="44"/>
      <c r="J24" s="45"/>
    </row>
    <row r="25" spans="1:10" ht="39.9" customHeight="1" thickBot="1" x14ac:dyDescent="0.35">
      <c r="A25" s="10"/>
      <c r="B25" s="38" t="s">
        <v>197</v>
      </c>
      <c r="C25" s="39"/>
      <c r="D25" s="39"/>
      <c r="E25" s="9">
        <v>5</v>
      </c>
      <c r="F25" s="34">
        <v>3.75</v>
      </c>
      <c r="G25" s="28">
        <f t="shared" si="0"/>
        <v>0.75</v>
      </c>
      <c r="H25" s="29" t="str">
        <f t="shared" si="1"/>
        <v>جيد</v>
      </c>
      <c r="I25" s="44"/>
      <c r="J25" s="45"/>
    </row>
    <row r="26" spans="1:10" ht="39.9" customHeight="1" thickBot="1" x14ac:dyDescent="0.35">
      <c r="A26" s="10"/>
      <c r="B26" s="38" t="s">
        <v>198</v>
      </c>
      <c r="C26" s="39"/>
      <c r="D26" s="39"/>
      <c r="E26" s="9">
        <v>5</v>
      </c>
      <c r="F26" s="34">
        <v>3.75</v>
      </c>
      <c r="G26" s="28">
        <f t="shared" si="0"/>
        <v>0.75</v>
      </c>
      <c r="H26" s="29" t="str">
        <f t="shared" si="1"/>
        <v>جيد</v>
      </c>
      <c r="I26" s="44"/>
      <c r="J26" s="45"/>
    </row>
    <row r="27" spans="1:10" ht="39.9" customHeight="1" thickBot="1" x14ac:dyDescent="0.35">
      <c r="A27" s="10"/>
      <c r="B27" s="38" t="s">
        <v>199</v>
      </c>
      <c r="C27" s="39"/>
      <c r="D27" s="39"/>
      <c r="E27" s="9">
        <v>5</v>
      </c>
      <c r="F27" s="34">
        <v>3.75</v>
      </c>
      <c r="G27" s="28">
        <f t="shared" si="0"/>
        <v>0.75</v>
      </c>
      <c r="H27" s="29" t="str">
        <f t="shared" si="1"/>
        <v>جيد</v>
      </c>
      <c r="I27" s="44"/>
      <c r="J27" s="45"/>
    </row>
    <row r="28" spans="1:10" ht="39.9" customHeight="1" thickBot="1" x14ac:dyDescent="0.35">
      <c r="A28" s="10"/>
      <c r="B28" s="38" t="s">
        <v>200</v>
      </c>
      <c r="C28" s="39"/>
      <c r="D28" s="39"/>
      <c r="E28" s="9">
        <v>5</v>
      </c>
      <c r="F28" s="34">
        <v>3.75</v>
      </c>
      <c r="G28" s="28">
        <f t="shared" si="0"/>
        <v>0.75</v>
      </c>
      <c r="H28" s="29" t="str">
        <f t="shared" si="1"/>
        <v>جيد</v>
      </c>
      <c r="I28" s="44"/>
      <c r="J28" s="45"/>
    </row>
    <row r="29" spans="1:10" ht="39.9" customHeight="1" thickBot="1" x14ac:dyDescent="0.35">
      <c r="A29" s="10"/>
      <c r="B29" s="38" t="s">
        <v>201</v>
      </c>
      <c r="C29" s="39"/>
      <c r="D29" s="39"/>
      <c r="E29" s="9">
        <v>5</v>
      </c>
      <c r="F29" s="34">
        <v>3.75</v>
      </c>
      <c r="G29" s="28">
        <f t="shared" si="0"/>
        <v>0.75</v>
      </c>
      <c r="H29" s="29" t="str">
        <f t="shared" si="1"/>
        <v>جيد</v>
      </c>
      <c r="I29" s="44"/>
      <c r="J29" s="45"/>
    </row>
    <row r="30" spans="1:10" ht="39.9" customHeight="1" thickBot="1" x14ac:dyDescent="0.35">
      <c r="A30" s="10"/>
      <c r="B30" s="38" t="s">
        <v>202</v>
      </c>
      <c r="C30" s="39"/>
      <c r="D30" s="39"/>
      <c r="E30" s="9">
        <v>5</v>
      </c>
      <c r="F30" s="34">
        <v>3.75</v>
      </c>
      <c r="G30" s="28">
        <f t="shared" si="0"/>
        <v>0.75</v>
      </c>
      <c r="H30" s="29" t="str">
        <f t="shared" si="1"/>
        <v>جيد</v>
      </c>
      <c r="I30" s="44"/>
      <c r="J30" s="45"/>
    </row>
    <row r="31" spans="1:10" ht="39.9" customHeight="1" thickBot="1" x14ac:dyDescent="0.35">
      <c r="A31" s="10"/>
      <c r="B31" s="38" t="s">
        <v>203</v>
      </c>
      <c r="C31" s="39"/>
      <c r="D31" s="39"/>
      <c r="E31" s="9">
        <v>5</v>
      </c>
      <c r="F31" s="34">
        <v>3.75</v>
      </c>
      <c r="G31" s="28">
        <f t="shared" si="0"/>
        <v>0.75</v>
      </c>
      <c r="H31" s="29" t="str">
        <f t="shared" si="1"/>
        <v>جيد</v>
      </c>
      <c r="I31" s="44"/>
      <c r="J31" s="45"/>
    </row>
    <row r="32" spans="1:10" ht="39.9" customHeight="1" thickBot="1" x14ac:dyDescent="0.35">
      <c r="A32" s="10"/>
      <c r="B32" s="38" t="s">
        <v>204</v>
      </c>
      <c r="C32" s="39"/>
      <c r="D32" s="39"/>
      <c r="E32" s="9">
        <v>5</v>
      </c>
      <c r="F32" s="34">
        <v>3.75</v>
      </c>
      <c r="G32" s="28">
        <f t="shared" si="0"/>
        <v>0.75</v>
      </c>
      <c r="H32" s="29" t="str">
        <f t="shared" si="1"/>
        <v>جيد</v>
      </c>
      <c r="I32" s="44"/>
      <c r="J32" s="45"/>
    </row>
    <row r="33" spans="1:10" ht="39.9" customHeight="1" thickBot="1" x14ac:dyDescent="0.35">
      <c r="A33" s="10"/>
      <c r="B33" s="82" t="s">
        <v>205</v>
      </c>
      <c r="C33" s="83"/>
      <c r="D33" s="83"/>
      <c r="E33" s="35">
        <v>5</v>
      </c>
      <c r="F33" s="34">
        <v>3.75</v>
      </c>
      <c r="G33" s="36">
        <f t="shared" si="0"/>
        <v>0.75</v>
      </c>
      <c r="H33" s="37" t="str">
        <f t="shared" si="1"/>
        <v>جيد</v>
      </c>
      <c r="I33" s="76"/>
      <c r="J33" s="77"/>
    </row>
    <row r="34" spans="1:10" ht="30" customHeight="1" thickBot="1" x14ac:dyDescent="0.35">
      <c r="A34" s="4"/>
      <c r="B34" s="78" t="s">
        <v>5</v>
      </c>
      <c r="C34" s="79"/>
      <c r="D34" s="79"/>
      <c r="E34" s="27">
        <f>SUM(E8:E33)</f>
        <v>130</v>
      </c>
      <c r="F34" s="27">
        <f>SUM(F8:F33)</f>
        <v>96.75</v>
      </c>
      <c r="G34" s="48"/>
      <c r="H34" s="49"/>
      <c r="I34" s="49"/>
      <c r="J34" s="50"/>
    </row>
    <row r="35" spans="1:10" ht="30" customHeight="1" thickBot="1" x14ac:dyDescent="0.35">
      <c r="A35" s="4"/>
      <c r="B35" s="80" t="s">
        <v>54</v>
      </c>
      <c r="C35" s="81"/>
      <c r="D35" s="81"/>
      <c r="E35" s="51">
        <f>F34/E34/100*100</f>
        <v>0.74423076923076925</v>
      </c>
      <c r="F35" s="51"/>
      <c r="G35" s="51"/>
      <c r="H35" s="51"/>
      <c r="I35" s="51"/>
      <c r="J35" s="52"/>
    </row>
    <row r="36" spans="1:10" ht="30" customHeight="1" thickBot="1" x14ac:dyDescent="0.35">
      <c r="A36" s="4"/>
      <c r="B36" s="80" t="s">
        <v>55</v>
      </c>
      <c r="C36" s="81"/>
      <c r="D36" s="81"/>
      <c r="E36" s="74" t="str">
        <f>_xlfn.IFS(E35&gt;=90%,"ممتاز",E35&gt;=80%,"جيد جداً",E35&gt;=70%,"جيد",E35&gt;=60%,"مقبول",E35&lt;60%,"راسب")</f>
        <v>جيد</v>
      </c>
      <c r="F36" s="74"/>
      <c r="G36" s="74"/>
      <c r="H36" s="74"/>
      <c r="I36" s="74"/>
      <c r="J36" s="75"/>
    </row>
    <row r="37" spans="1:10" ht="42" customHeight="1" x14ac:dyDescent="0.3">
      <c r="B37" s="70" t="s">
        <v>174</v>
      </c>
      <c r="C37" s="70"/>
      <c r="D37" s="70"/>
      <c r="E37" s="46" t="s">
        <v>52</v>
      </c>
      <c r="F37" s="46"/>
      <c r="G37" s="72" t="s">
        <v>130</v>
      </c>
      <c r="H37" s="72"/>
      <c r="I37" s="72"/>
      <c r="J37" s="72"/>
    </row>
    <row r="38" spans="1:10" ht="51" customHeight="1" x14ac:dyDescent="0.3">
      <c r="A38" s="5"/>
      <c r="B38" s="71"/>
      <c r="C38" s="71"/>
      <c r="D38" s="71"/>
      <c r="E38" s="47" t="s">
        <v>53</v>
      </c>
      <c r="F38" s="47"/>
      <c r="G38" s="73"/>
      <c r="H38" s="73"/>
      <c r="I38" s="73"/>
      <c r="J38" s="73"/>
    </row>
  </sheetData>
  <sheetProtection sheet="1" formatCells="0" formatColumns="0" formatRows="0" insertColumns="0" insertRows="0" insertHyperlinks="0" deleteColumns="0" deleteRows="0" selectLockedCells="1" sort="0" autoFilter="0" pivotTables="0"/>
  <mergeCells count="73">
    <mergeCell ref="B7:D7"/>
    <mergeCell ref="I30:J30"/>
    <mergeCell ref="I31:J31"/>
    <mergeCell ref="E5:H5"/>
    <mergeCell ref="I5:J6"/>
    <mergeCell ref="I7:J7"/>
    <mergeCell ref="I10:J10"/>
    <mergeCell ref="I8:J8"/>
    <mergeCell ref="I11:J11"/>
    <mergeCell ref="I12:J12"/>
    <mergeCell ref="I13:J13"/>
    <mergeCell ref="I14:J14"/>
    <mergeCell ref="I15:J15"/>
    <mergeCell ref="I16:J16"/>
    <mergeCell ref="I17:J17"/>
    <mergeCell ref="I18:J18"/>
    <mergeCell ref="B1:J1"/>
    <mergeCell ref="F2:J2"/>
    <mergeCell ref="B5:D6"/>
    <mergeCell ref="C2:D2"/>
    <mergeCell ref="C3:D3"/>
    <mergeCell ref="F3:J3"/>
    <mergeCell ref="E38:F38"/>
    <mergeCell ref="G34:J34"/>
    <mergeCell ref="I19:J19"/>
    <mergeCell ref="I20:J20"/>
    <mergeCell ref="I21:J21"/>
    <mergeCell ref="I22:J22"/>
    <mergeCell ref="I23:J23"/>
    <mergeCell ref="I24:J24"/>
    <mergeCell ref="I25:J25"/>
    <mergeCell ref="I26:J26"/>
    <mergeCell ref="I27:J27"/>
    <mergeCell ref="E35:J35"/>
    <mergeCell ref="I28:J28"/>
    <mergeCell ref="I29:J29"/>
    <mergeCell ref="G37:J37"/>
    <mergeCell ref="G38:J38"/>
    <mergeCell ref="B18:D18"/>
    <mergeCell ref="B19:D19"/>
    <mergeCell ref="B20:D20"/>
    <mergeCell ref="I9:J9"/>
    <mergeCell ref="E37:F37"/>
    <mergeCell ref="B37:D38"/>
    <mergeCell ref="E36:J36"/>
    <mergeCell ref="I32:J32"/>
    <mergeCell ref="I33:J33"/>
    <mergeCell ref="B34:D34"/>
    <mergeCell ref="B35:D35"/>
    <mergeCell ref="B36:D36"/>
    <mergeCell ref="B33:D33"/>
    <mergeCell ref="B17:D17"/>
    <mergeCell ref="B8:D8"/>
    <mergeCell ref="B9:D9"/>
    <mergeCell ref="B10:D10"/>
    <mergeCell ref="B11:D11"/>
    <mergeCell ref="B12:D12"/>
    <mergeCell ref="B13:D13"/>
    <mergeCell ref="B14:D14"/>
    <mergeCell ref="B15:D15"/>
    <mergeCell ref="B16:D16"/>
    <mergeCell ref="B29:D29"/>
    <mergeCell ref="B30:D30"/>
    <mergeCell ref="B31:D31"/>
    <mergeCell ref="B32:D32"/>
    <mergeCell ref="B21:D21"/>
    <mergeCell ref="B22:D22"/>
    <mergeCell ref="B23:D23"/>
    <mergeCell ref="B24:D24"/>
    <mergeCell ref="B28:D28"/>
    <mergeCell ref="B25:D25"/>
    <mergeCell ref="B27:D27"/>
    <mergeCell ref="B26:D26"/>
  </mergeCells>
  <conditionalFormatting sqref="C2:D2">
    <cfRule type="containsText" dxfId="16" priority="18" operator="containsText" text="أدخل الوحدة الخاضعة للتقييم">
      <formula>NOT(ISERROR(SEARCH("أدخل الوحدة الخاضعة للتقييم",C2)))</formula>
    </cfRule>
  </conditionalFormatting>
  <conditionalFormatting sqref="C3:D3">
    <cfRule type="containsText" dxfId="15" priority="17" operator="containsText" text="أدخل أسم قائد الوحدة الخاضعة للتقييم">
      <formula>NOT(ISERROR(SEARCH("أدخل أسم قائد الوحدة الخاضعة للتقييم",C3)))</formula>
    </cfRule>
  </conditionalFormatting>
  <conditionalFormatting sqref="E36">
    <cfRule type="expression" dxfId="14" priority="57">
      <formula>$E36="راسب"</formula>
    </cfRule>
  </conditionalFormatting>
  <conditionalFormatting sqref="E36:J36">
    <cfRule type="expression" dxfId="13" priority="58">
      <formula>$E36="مقبول"</formula>
    </cfRule>
    <cfRule type="expression" dxfId="12" priority="59">
      <formula>$E36="جيد"</formula>
    </cfRule>
    <cfRule type="expression" dxfId="11" priority="60">
      <formula>$E36="جيد جداً"</formula>
    </cfRule>
    <cfRule type="expression" dxfId="10" priority="61">
      <formula>$E36="ممتاز"</formula>
    </cfRule>
  </conditionalFormatting>
  <conditionalFormatting sqref="F8:F33">
    <cfRule type="containsText" dxfId="9" priority="4" operator="containsText" text="أدخل العلامة">
      <formula>NOT(ISERROR(SEARCH("أدخل العلامة",F8)))</formula>
    </cfRule>
  </conditionalFormatting>
  <conditionalFormatting sqref="F2:J2">
    <cfRule type="containsText" dxfId="8" priority="19" operator="containsText" text="أدخل التاريخ">
      <formula>NOT(ISERROR(SEARCH("أدخل التاريخ",F2)))</formula>
    </cfRule>
  </conditionalFormatting>
  <conditionalFormatting sqref="F3:J3">
    <cfRule type="containsText" dxfId="7" priority="16" operator="containsText" text="أدخل أسم المحكم">
      <formula>NOT(ISERROR(SEARCH("أدخل أسم المحكم",F3)))</formula>
    </cfRule>
  </conditionalFormatting>
  <conditionalFormatting sqref="G37:J37">
    <cfRule type="containsText" dxfId="6" priority="15" operator="containsText" text="أدخل اسم المحكم">
      <formula>NOT(ISERROR(SEARCH("أدخل اسم المحكم",G37)))</formula>
    </cfRule>
  </conditionalFormatting>
  <conditionalFormatting sqref="H8:H33">
    <cfRule type="containsText" dxfId="5" priority="5" operator="containsText" text="أدخل العلامة">
      <formula>NOT(ISERROR(SEARCH("أدخل العلامة",H8)))</formula>
    </cfRule>
    <cfRule type="containsText" dxfId="4" priority="6" operator="containsText" text="ممتاز">
      <formula>NOT(ISERROR(SEARCH("ممتاز",H8)))</formula>
    </cfRule>
    <cfRule type="containsText" dxfId="3" priority="7" operator="containsText" text="جيد جداً">
      <formula>NOT(ISERROR(SEARCH("جيد جداً",H8)))</formula>
    </cfRule>
    <cfRule type="containsText" dxfId="2" priority="8" operator="containsText" text="جيد">
      <formula>NOT(ISERROR(SEARCH("جيد",H8)))</formula>
    </cfRule>
    <cfRule type="containsText" dxfId="1" priority="9" operator="containsText" text="مقبول">
      <formula>NOT(ISERROR(SEARCH("مقبول",H8)))</formula>
    </cfRule>
    <cfRule type="containsText" dxfId="0" priority="10" operator="containsText" text="راسب">
      <formula>NOT(ISERROR(SEARCH("راسب",H8)))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74" fitToHeight="0" orientation="portrait" r:id="rId1"/>
  <headerFooter>
    <oddHeader>&amp;C&amp;"-,Bold"&amp;12&amp;Uسري للغاية</oddHeader>
    <oddFooter>&amp;C&amp;"-,Bold"&amp;P&amp;"-,Regular"
&amp;"-,Bold"&amp;Uسري للغاية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F27846E5-4775-4613-AD3F-6A647663FDD7}">
          <x14:formula1>
            <xm:f>'بيانات التقييم'!$A$38:$A$106</xm:f>
          </x14:formula1>
          <xm:sqref>F2:J2</xm:sqref>
        </x14:dataValidation>
        <x14:dataValidation type="list" allowBlank="1" showInputMessage="1" showErrorMessage="1" xr:uid="{29F5EBBB-8CF0-4EBC-9568-49582573F3A1}">
          <x14:formula1>
            <xm:f>'بيانات التقييم'!$A$1:$A$34</xm:f>
          </x14:formula1>
          <xm:sqref>C2:D2</xm:sqref>
        </x14:dataValidation>
        <x14:dataValidation type="list" allowBlank="1" showInputMessage="1" showErrorMessage="1" xr:uid="{5A7ADC9F-6098-4415-8DD4-849A148D02E3}">
          <x14:formula1>
            <xm:f>'بيانات التقييم'!$A$111:$A$133</xm:f>
          </x14:formula1>
          <xm:sqref>F8:F33</xm:sqref>
        </x14:dataValidation>
        <x14:dataValidation type="list" allowBlank="1" showInputMessage="1" showErrorMessage="1" xr:uid="{BD8CB5A2-5F32-4EAD-A63C-382D3B90B847}">
          <x14:formula1>
            <xm:f>'بيانات التقييم'!$A$198:$A$286</xm:f>
          </x14:formula1>
          <xm:sqref>G37:J37 F3:J3</xm:sqref>
        </x14:dataValidation>
        <x14:dataValidation type="list" allowBlank="1" showInputMessage="1" showErrorMessage="1" xr:uid="{132078BB-599D-4F0E-87F8-5A950BE5625D}">
          <x14:formula1>
            <xm:f>'بيانات التقييم'!$C$1:$C$31</xm:f>
          </x14:formula1>
          <xm:sqref>C3:D3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0E097-B5B4-4A62-8BA3-2420E658D743}">
  <sheetPr codeName="Sheet3"/>
  <dimension ref="A1:I338"/>
  <sheetViews>
    <sheetView rightToLeft="1" topLeftCell="A110" workbookViewId="0">
      <selection activeCell="A64" sqref="A64"/>
    </sheetView>
  </sheetViews>
  <sheetFormatPr defaultRowHeight="20.100000000000001" customHeight="1" x14ac:dyDescent="0.3"/>
  <cols>
    <col min="1" max="1" width="42.5546875" style="1" customWidth="1"/>
    <col min="2" max="2" width="24.88671875" style="1" customWidth="1"/>
    <col min="3" max="3" width="59.88671875" style="1" customWidth="1"/>
    <col min="4" max="9" width="9" style="1"/>
  </cols>
  <sheetData>
    <row r="1" spans="1:3" ht="20.100000000000001" customHeight="1" thickBot="1" x14ac:dyDescent="0.35">
      <c r="A1" s="2" t="s">
        <v>57</v>
      </c>
      <c r="C1" s="2" t="s">
        <v>60</v>
      </c>
    </row>
    <row r="2" spans="1:3" ht="20.100000000000001" customHeight="1" thickBot="1" x14ac:dyDescent="0.35">
      <c r="A2" s="2" t="s">
        <v>35</v>
      </c>
      <c r="C2" s="19" t="s">
        <v>62</v>
      </c>
    </row>
    <row r="3" spans="1:3" ht="20.100000000000001" customHeight="1" thickBot="1" x14ac:dyDescent="0.35">
      <c r="A3" s="2" t="s">
        <v>26</v>
      </c>
      <c r="C3" s="19" t="s">
        <v>63</v>
      </c>
    </row>
    <row r="4" spans="1:3" ht="20.100000000000001" customHeight="1" thickBot="1" x14ac:dyDescent="0.35">
      <c r="A4" s="2" t="s">
        <v>36</v>
      </c>
      <c r="C4" s="19" t="s">
        <v>64</v>
      </c>
    </row>
    <row r="5" spans="1:3" ht="20.100000000000001" customHeight="1" thickBot="1" x14ac:dyDescent="0.35">
      <c r="A5" s="2" t="s">
        <v>37</v>
      </c>
      <c r="C5" s="19" t="s">
        <v>65</v>
      </c>
    </row>
    <row r="6" spans="1:3" ht="20.100000000000001" customHeight="1" thickBot="1" x14ac:dyDescent="0.35">
      <c r="A6" s="2" t="s">
        <v>38</v>
      </c>
      <c r="C6" s="19" t="s">
        <v>66</v>
      </c>
    </row>
    <row r="7" spans="1:3" ht="20.100000000000001" customHeight="1" thickBot="1" x14ac:dyDescent="0.35">
      <c r="A7" s="2" t="s">
        <v>39</v>
      </c>
      <c r="C7" s="19" t="s">
        <v>67</v>
      </c>
    </row>
    <row r="8" spans="1:3" ht="20.100000000000001" customHeight="1" thickBot="1" x14ac:dyDescent="0.35">
      <c r="A8" s="2" t="s">
        <v>40</v>
      </c>
      <c r="C8" s="19" t="s">
        <v>68</v>
      </c>
    </row>
    <row r="9" spans="1:3" ht="20.100000000000001" customHeight="1" thickBot="1" x14ac:dyDescent="0.35">
      <c r="A9" s="2" t="s">
        <v>41</v>
      </c>
      <c r="C9" s="19" t="s">
        <v>69</v>
      </c>
    </row>
    <row r="10" spans="1:3" ht="20.100000000000001" customHeight="1" thickBot="1" x14ac:dyDescent="0.35">
      <c r="A10" s="2" t="s">
        <v>42</v>
      </c>
      <c r="C10" s="19" t="s">
        <v>70</v>
      </c>
    </row>
    <row r="11" spans="1:3" ht="20.100000000000001" customHeight="1" thickBot="1" x14ac:dyDescent="0.35">
      <c r="A11" s="2" t="s">
        <v>43</v>
      </c>
      <c r="C11" s="19" t="s">
        <v>71</v>
      </c>
    </row>
    <row r="12" spans="1:3" ht="20.100000000000001" customHeight="1" thickBot="1" x14ac:dyDescent="0.35">
      <c r="A12" s="2" t="s">
        <v>44</v>
      </c>
      <c r="C12" s="19" t="s">
        <v>72</v>
      </c>
    </row>
    <row r="13" spans="1:3" ht="20.100000000000001" customHeight="1" thickBot="1" x14ac:dyDescent="0.35">
      <c r="A13" s="2" t="s">
        <v>45</v>
      </c>
      <c r="C13" s="19" t="s">
        <v>73</v>
      </c>
    </row>
    <row r="14" spans="1:3" ht="20.100000000000001" customHeight="1" thickBot="1" x14ac:dyDescent="0.35">
      <c r="A14" s="2" t="s">
        <v>46</v>
      </c>
      <c r="C14" s="19" t="s">
        <v>74</v>
      </c>
    </row>
    <row r="15" spans="1:3" ht="20.100000000000001" customHeight="1" thickBot="1" x14ac:dyDescent="0.35">
      <c r="A15" s="2" t="s">
        <v>47</v>
      </c>
      <c r="C15" s="19" t="s">
        <v>75</v>
      </c>
    </row>
    <row r="16" spans="1:3" ht="20.100000000000001" customHeight="1" thickBot="1" x14ac:dyDescent="0.35">
      <c r="A16" s="2" t="s">
        <v>10</v>
      </c>
      <c r="C16" s="19" t="s">
        <v>76</v>
      </c>
    </row>
    <row r="17" spans="1:3" ht="20.100000000000001" customHeight="1" thickBot="1" x14ac:dyDescent="0.35">
      <c r="A17" s="2" t="s">
        <v>27</v>
      </c>
      <c r="C17" s="19" t="s">
        <v>77</v>
      </c>
    </row>
    <row r="18" spans="1:3" ht="20.100000000000001" customHeight="1" thickBot="1" x14ac:dyDescent="0.35">
      <c r="A18" s="2" t="s">
        <v>48</v>
      </c>
      <c r="C18" s="19" t="s">
        <v>78</v>
      </c>
    </row>
    <row r="19" spans="1:3" ht="20.100000000000001" customHeight="1" thickBot="1" x14ac:dyDescent="0.35">
      <c r="A19" s="2" t="s">
        <v>49</v>
      </c>
      <c r="C19" s="19" t="s">
        <v>79</v>
      </c>
    </row>
    <row r="20" spans="1:3" ht="20.100000000000001" customHeight="1" thickBot="1" x14ac:dyDescent="0.35">
      <c r="A20" s="2" t="s">
        <v>50</v>
      </c>
      <c r="C20" s="19" t="s">
        <v>80</v>
      </c>
    </row>
    <row r="21" spans="1:3" ht="20.100000000000001" customHeight="1" thickBot="1" x14ac:dyDescent="0.35">
      <c r="A21" s="2" t="s">
        <v>51</v>
      </c>
      <c r="C21" s="19" t="s">
        <v>81</v>
      </c>
    </row>
    <row r="22" spans="1:3" ht="20.100000000000001" customHeight="1" thickBot="1" x14ac:dyDescent="0.35">
      <c r="A22" s="2" t="s">
        <v>11</v>
      </c>
      <c r="C22" s="19" t="s">
        <v>82</v>
      </c>
    </row>
    <row r="23" spans="1:3" ht="20.100000000000001" customHeight="1" thickBot="1" x14ac:dyDescent="0.35">
      <c r="A23" s="2" t="s">
        <v>12</v>
      </c>
      <c r="C23" s="19" t="s">
        <v>83</v>
      </c>
    </row>
    <row r="24" spans="1:3" ht="20.100000000000001" customHeight="1" thickBot="1" x14ac:dyDescent="0.35">
      <c r="A24" s="2" t="s">
        <v>15</v>
      </c>
      <c r="C24" s="19" t="s">
        <v>84</v>
      </c>
    </row>
    <row r="25" spans="1:3" ht="20.100000000000001" customHeight="1" thickBot="1" x14ac:dyDescent="0.35">
      <c r="A25" s="2" t="s">
        <v>28</v>
      </c>
      <c r="C25" s="19" t="s">
        <v>85</v>
      </c>
    </row>
    <row r="26" spans="1:3" ht="20.100000000000001" customHeight="1" thickBot="1" x14ac:dyDescent="0.35">
      <c r="A26" s="2" t="s">
        <v>29</v>
      </c>
      <c r="C26" s="19" t="s">
        <v>86</v>
      </c>
    </row>
    <row r="27" spans="1:3" ht="20.100000000000001" customHeight="1" thickBot="1" x14ac:dyDescent="0.35">
      <c r="A27" s="2" t="s">
        <v>13</v>
      </c>
      <c r="C27" s="19" t="s">
        <v>87</v>
      </c>
    </row>
    <row r="28" spans="1:3" ht="20.100000000000001" customHeight="1" thickBot="1" x14ac:dyDescent="0.35">
      <c r="A28" s="2" t="s">
        <v>30</v>
      </c>
      <c r="C28" s="19" t="s">
        <v>88</v>
      </c>
    </row>
    <row r="29" spans="1:3" ht="20.100000000000001" customHeight="1" thickBot="1" x14ac:dyDescent="0.35">
      <c r="A29" s="2" t="s">
        <v>31</v>
      </c>
      <c r="C29" s="19" t="s">
        <v>177</v>
      </c>
    </row>
    <row r="30" spans="1:3" ht="20.100000000000001" customHeight="1" thickBot="1" x14ac:dyDescent="0.35">
      <c r="A30" s="2" t="s">
        <v>32</v>
      </c>
      <c r="C30" s="19" t="s">
        <v>178</v>
      </c>
    </row>
    <row r="31" spans="1:3" ht="20.100000000000001" customHeight="1" thickBot="1" x14ac:dyDescent="0.35">
      <c r="A31" s="2" t="s">
        <v>33</v>
      </c>
      <c r="C31" s="19" t="s">
        <v>179</v>
      </c>
    </row>
    <row r="32" spans="1:3" ht="20.100000000000001" customHeight="1" thickBot="1" x14ac:dyDescent="0.35">
      <c r="A32" s="2" t="s">
        <v>16</v>
      </c>
      <c r="C32" s="19"/>
    </row>
    <row r="33" spans="1:9" ht="20.100000000000001" customHeight="1" thickBot="1" x14ac:dyDescent="0.35">
      <c r="A33" s="2" t="s">
        <v>14</v>
      </c>
      <c r="C33" s="19"/>
    </row>
    <row r="34" spans="1:9" ht="20.100000000000001" customHeight="1" thickBot="1" x14ac:dyDescent="0.35">
      <c r="A34" s="2" t="s">
        <v>34</v>
      </c>
      <c r="C34" s="19"/>
    </row>
    <row r="35" spans="1:9" ht="20.100000000000001" customHeight="1" x14ac:dyDescent="0.3">
      <c r="A35" s="18"/>
    </row>
    <row r="36" spans="1:9" s="17" customFormat="1" ht="20.100000000000001" customHeight="1" x14ac:dyDescent="0.3">
      <c r="A36" s="15"/>
      <c r="B36" s="16"/>
      <c r="C36" s="16"/>
      <c r="D36" s="16"/>
      <c r="E36" s="16"/>
      <c r="F36" s="16"/>
      <c r="G36" s="16"/>
      <c r="H36" s="16"/>
      <c r="I36" s="16"/>
    </row>
    <row r="37" spans="1:9" ht="20.100000000000001" customHeight="1" thickBot="1" x14ac:dyDescent="0.35"/>
    <row r="38" spans="1:9" ht="20.100000000000001" customHeight="1" thickBot="1" x14ac:dyDescent="0.35">
      <c r="A38" s="2" t="s">
        <v>56</v>
      </c>
    </row>
    <row r="39" spans="1:9" ht="20.100000000000001" customHeight="1" thickBot="1" x14ac:dyDescent="0.35">
      <c r="A39" s="13">
        <v>45931</v>
      </c>
    </row>
    <row r="40" spans="1:9" ht="20.100000000000001" customHeight="1" thickBot="1" x14ac:dyDescent="0.35">
      <c r="A40" s="13">
        <v>45932</v>
      </c>
    </row>
    <row r="41" spans="1:9" ht="20.100000000000001" customHeight="1" thickBot="1" x14ac:dyDescent="0.35">
      <c r="A41" s="13">
        <v>45933</v>
      </c>
    </row>
    <row r="42" spans="1:9" ht="20.100000000000001" customHeight="1" thickBot="1" x14ac:dyDescent="0.35">
      <c r="A42" s="13">
        <v>45934</v>
      </c>
    </row>
    <row r="43" spans="1:9" ht="20.100000000000001" customHeight="1" thickBot="1" x14ac:dyDescent="0.35">
      <c r="A43" s="13">
        <v>45935</v>
      </c>
    </row>
    <row r="44" spans="1:9" ht="20.100000000000001" customHeight="1" thickBot="1" x14ac:dyDescent="0.35">
      <c r="A44" s="13">
        <v>45936</v>
      </c>
    </row>
    <row r="45" spans="1:9" ht="20.100000000000001" customHeight="1" thickBot="1" x14ac:dyDescent="0.35">
      <c r="A45" s="13">
        <v>45937</v>
      </c>
    </row>
    <row r="46" spans="1:9" ht="20.100000000000001" customHeight="1" thickBot="1" x14ac:dyDescent="0.35">
      <c r="A46" s="13">
        <v>45938</v>
      </c>
    </row>
    <row r="47" spans="1:9" ht="20.100000000000001" customHeight="1" thickBot="1" x14ac:dyDescent="0.35">
      <c r="A47" s="13">
        <v>45939</v>
      </c>
    </row>
    <row r="48" spans="1:9" ht="20.100000000000001" customHeight="1" thickBot="1" x14ac:dyDescent="0.35">
      <c r="A48" s="13">
        <v>45940</v>
      </c>
    </row>
    <row r="49" spans="1:1" ht="20.100000000000001" customHeight="1" thickBot="1" x14ac:dyDescent="0.35">
      <c r="A49" s="13">
        <v>45941</v>
      </c>
    </row>
    <row r="50" spans="1:1" ht="20.100000000000001" customHeight="1" thickBot="1" x14ac:dyDescent="0.35">
      <c r="A50" s="13">
        <v>45942</v>
      </c>
    </row>
    <row r="51" spans="1:1" ht="20.100000000000001" customHeight="1" thickBot="1" x14ac:dyDescent="0.35">
      <c r="A51" s="13">
        <v>45943</v>
      </c>
    </row>
    <row r="52" spans="1:1" ht="20.100000000000001" customHeight="1" thickBot="1" x14ac:dyDescent="0.35">
      <c r="A52" s="13">
        <v>45944</v>
      </c>
    </row>
    <row r="53" spans="1:1" ht="20.100000000000001" customHeight="1" thickBot="1" x14ac:dyDescent="0.35">
      <c r="A53" s="13">
        <v>45945</v>
      </c>
    </row>
    <row r="54" spans="1:1" ht="20.100000000000001" customHeight="1" thickBot="1" x14ac:dyDescent="0.35">
      <c r="A54" s="13">
        <v>45946</v>
      </c>
    </row>
    <row r="55" spans="1:1" ht="20.100000000000001" customHeight="1" thickBot="1" x14ac:dyDescent="0.35">
      <c r="A55" s="13">
        <v>45947</v>
      </c>
    </row>
    <row r="56" spans="1:1" ht="20.100000000000001" customHeight="1" thickBot="1" x14ac:dyDescent="0.35">
      <c r="A56" s="13">
        <v>45948</v>
      </c>
    </row>
    <row r="57" spans="1:1" ht="20.100000000000001" customHeight="1" thickBot="1" x14ac:dyDescent="0.35">
      <c r="A57" s="13">
        <v>45949</v>
      </c>
    </row>
    <row r="58" spans="1:1" ht="20.100000000000001" customHeight="1" thickBot="1" x14ac:dyDescent="0.35">
      <c r="A58" s="13">
        <v>45950</v>
      </c>
    </row>
    <row r="59" spans="1:1" ht="20.100000000000001" customHeight="1" thickBot="1" x14ac:dyDescent="0.35">
      <c r="A59" s="13">
        <v>45951</v>
      </c>
    </row>
    <row r="60" spans="1:1" ht="20.100000000000001" customHeight="1" thickBot="1" x14ac:dyDescent="0.35">
      <c r="A60" s="13">
        <v>45952</v>
      </c>
    </row>
    <row r="61" spans="1:1" ht="20.100000000000001" customHeight="1" thickBot="1" x14ac:dyDescent="0.35">
      <c r="A61" s="13">
        <v>45953</v>
      </c>
    </row>
    <row r="62" spans="1:1" ht="20.100000000000001" customHeight="1" thickBot="1" x14ac:dyDescent="0.35">
      <c r="A62" s="13">
        <v>45954</v>
      </c>
    </row>
    <row r="63" spans="1:1" ht="20.100000000000001" customHeight="1" thickBot="1" x14ac:dyDescent="0.35">
      <c r="A63" s="13">
        <v>45955</v>
      </c>
    </row>
    <row r="64" spans="1:1" ht="20.100000000000001" customHeight="1" thickBot="1" x14ac:dyDescent="0.35">
      <c r="A64" s="13">
        <v>45956</v>
      </c>
    </row>
    <row r="65" spans="1:1" ht="20.100000000000001" customHeight="1" thickBot="1" x14ac:dyDescent="0.35">
      <c r="A65" s="13">
        <v>45957</v>
      </c>
    </row>
    <row r="66" spans="1:1" ht="20.100000000000001" customHeight="1" thickBot="1" x14ac:dyDescent="0.35">
      <c r="A66" s="13">
        <v>45958</v>
      </c>
    </row>
    <row r="67" spans="1:1" ht="20.100000000000001" customHeight="1" thickBot="1" x14ac:dyDescent="0.35">
      <c r="A67" s="13">
        <v>45959</v>
      </c>
    </row>
    <row r="68" spans="1:1" ht="20.100000000000001" customHeight="1" thickBot="1" x14ac:dyDescent="0.35">
      <c r="A68" s="13">
        <v>45960</v>
      </c>
    </row>
    <row r="69" spans="1:1" ht="20.100000000000001" customHeight="1" thickBot="1" x14ac:dyDescent="0.35">
      <c r="A69" s="13">
        <v>45961</v>
      </c>
    </row>
    <row r="70" spans="1:1" ht="20.100000000000001" customHeight="1" thickBot="1" x14ac:dyDescent="0.35">
      <c r="A70" s="13"/>
    </row>
    <row r="71" spans="1:1" ht="20.100000000000001" customHeight="1" thickBot="1" x14ac:dyDescent="0.35">
      <c r="A71" s="13"/>
    </row>
    <row r="72" spans="1:1" ht="20.100000000000001" customHeight="1" thickBot="1" x14ac:dyDescent="0.35">
      <c r="A72" s="13"/>
    </row>
    <row r="73" spans="1:1" ht="20.100000000000001" customHeight="1" thickBot="1" x14ac:dyDescent="0.35">
      <c r="A73" s="13"/>
    </row>
    <row r="74" spans="1:1" ht="20.100000000000001" customHeight="1" thickBot="1" x14ac:dyDescent="0.35">
      <c r="A74" s="13"/>
    </row>
    <row r="75" spans="1:1" ht="20.100000000000001" customHeight="1" thickBot="1" x14ac:dyDescent="0.35">
      <c r="A75" s="13"/>
    </row>
    <row r="76" spans="1:1" ht="20.100000000000001" customHeight="1" thickBot="1" x14ac:dyDescent="0.35">
      <c r="A76" s="13"/>
    </row>
    <row r="77" spans="1:1" ht="20.100000000000001" customHeight="1" thickBot="1" x14ac:dyDescent="0.35">
      <c r="A77" s="13"/>
    </row>
    <row r="78" spans="1:1" ht="20.100000000000001" customHeight="1" thickBot="1" x14ac:dyDescent="0.35">
      <c r="A78" s="13"/>
    </row>
    <row r="79" spans="1:1" ht="20.100000000000001" customHeight="1" thickBot="1" x14ac:dyDescent="0.35">
      <c r="A79" s="13"/>
    </row>
    <row r="80" spans="1:1" ht="20.100000000000001" customHeight="1" thickBot="1" x14ac:dyDescent="0.35">
      <c r="A80" s="13"/>
    </row>
    <row r="81" spans="1:1" ht="20.100000000000001" customHeight="1" thickBot="1" x14ac:dyDescent="0.35">
      <c r="A81" s="13"/>
    </row>
    <row r="82" spans="1:1" ht="20.100000000000001" customHeight="1" thickBot="1" x14ac:dyDescent="0.35">
      <c r="A82" s="13"/>
    </row>
    <row r="83" spans="1:1" ht="20.100000000000001" customHeight="1" thickBot="1" x14ac:dyDescent="0.35">
      <c r="A83" s="13"/>
    </row>
    <row r="84" spans="1:1" ht="20.100000000000001" customHeight="1" thickBot="1" x14ac:dyDescent="0.35">
      <c r="A84" s="13"/>
    </row>
    <row r="85" spans="1:1" ht="20.100000000000001" customHeight="1" thickBot="1" x14ac:dyDescent="0.35">
      <c r="A85" s="13"/>
    </row>
    <row r="86" spans="1:1" ht="20.100000000000001" customHeight="1" thickBot="1" x14ac:dyDescent="0.35">
      <c r="A86" s="13"/>
    </row>
    <row r="87" spans="1:1" ht="20.100000000000001" customHeight="1" thickBot="1" x14ac:dyDescent="0.35">
      <c r="A87" s="13"/>
    </row>
    <row r="88" spans="1:1" ht="20.100000000000001" customHeight="1" thickBot="1" x14ac:dyDescent="0.35">
      <c r="A88" s="13"/>
    </row>
    <row r="89" spans="1:1" ht="20.100000000000001" customHeight="1" thickBot="1" x14ac:dyDescent="0.35">
      <c r="A89" s="13"/>
    </row>
    <row r="90" spans="1:1" ht="20.100000000000001" customHeight="1" thickBot="1" x14ac:dyDescent="0.35">
      <c r="A90" s="13"/>
    </row>
    <row r="91" spans="1:1" ht="20.100000000000001" customHeight="1" thickBot="1" x14ac:dyDescent="0.35">
      <c r="A91" s="13"/>
    </row>
    <row r="92" spans="1:1" ht="20.100000000000001" customHeight="1" thickBot="1" x14ac:dyDescent="0.35">
      <c r="A92" s="13"/>
    </row>
    <row r="93" spans="1:1" ht="20.100000000000001" customHeight="1" thickBot="1" x14ac:dyDescent="0.35">
      <c r="A93" s="13"/>
    </row>
    <row r="94" spans="1:1" ht="20.100000000000001" customHeight="1" thickBot="1" x14ac:dyDescent="0.35">
      <c r="A94" s="13"/>
    </row>
    <row r="95" spans="1:1" ht="20.100000000000001" customHeight="1" thickBot="1" x14ac:dyDescent="0.35">
      <c r="A95" s="13"/>
    </row>
    <row r="96" spans="1:1" ht="20.100000000000001" customHeight="1" thickBot="1" x14ac:dyDescent="0.35">
      <c r="A96" s="13"/>
    </row>
    <row r="97" spans="1:9" ht="20.100000000000001" customHeight="1" thickBot="1" x14ac:dyDescent="0.35">
      <c r="A97" s="13"/>
    </row>
    <row r="98" spans="1:9" ht="20.100000000000001" customHeight="1" thickBot="1" x14ac:dyDescent="0.35">
      <c r="A98" s="13"/>
    </row>
    <row r="99" spans="1:9" ht="20.100000000000001" customHeight="1" thickBot="1" x14ac:dyDescent="0.35">
      <c r="A99" s="13"/>
    </row>
    <row r="100" spans="1:9" ht="20.100000000000001" customHeight="1" thickBot="1" x14ac:dyDescent="0.35">
      <c r="A100" s="13"/>
    </row>
    <row r="101" spans="1:9" ht="20.100000000000001" customHeight="1" thickBot="1" x14ac:dyDescent="0.35">
      <c r="A101" s="13"/>
    </row>
    <row r="102" spans="1:9" ht="20.100000000000001" customHeight="1" thickBot="1" x14ac:dyDescent="0.35">
      <c r="A102" s="13"/>
    </row>
    <row r="103" spans="1:9" ht="20.100000000000001" customHeight="1" thickBot="1" x14ac:dyDescent="0.35">
      <c r="A103" s="13"/>
    </row>
    <row r="104" spans="1:9" ht="20.100000000000001" customHeight="1" thickBot="1" x14ac:dyDescent="0.35">
      <c r="A104" s="13"/>
    </row>
    <row r="105" spans="1:9" ht="20.100000000000001" customHeight="1" thickBot="1" x14ac:dyDescent="0.35">
      <c r="A105" s="13"/>
    </row>
    <row r="106" spans="1:9" ht="20.100000000000001" customHeight="1" thickBot="1" x14ac:dyDescent="0.35">
      <c r="A106" s="13"/>
    </row>
    <row r="107" spans="1:9" ht="20.100000000000001" customHeight="1" x14ac:dyDescent="0.3">
      <c r="A107" s="14"/>
    </row>
    <row r="108" spans="1:9" ht="20.100000000000001" customHeight="1" x14ac:dyDescent="0.3">
      <c r="A108" s="14"/>
    </row>
    <row r="109" spans="1:9" s="17" customFormat="1" ht="20.100000000000001" customHeight="1" x14ac:dyDescent="0.3">
      <c r="A109" s="15"/>
      <c r="B109" s="16"/>
      <c r="C109" s="16"/>
      <c r="D109" s="16"/>
      <c r="E109" s="16"/>
      <c r="F109" s="16"/>
      <c r="G109" s="16"/>
      <c r="H109" s="16"/>
      <c r="I109" s="16"/>
    </row>
    <row r="110" spans="1:9" ht="20.100000000000001" customHeight="1" thickBot="1" x14ac:dyDescent="0.35"/>
    <row r="111" spans="1:9" ht="20.100000000000001" customHeight="1" thickBot="1" x14ac:dyDescent="0.35">
      <c r="A111" s="2" t="s">
        <v>61</v>
      </c>
    </row>
    <row r="112" spans="1:9" ht="20.100000000000001" customHeight="1" thickBot="1" x14ac:dyDescent="0.35">
      <c r="A112" s="2" t="s">
        <v>17</v>
      </c>
    </row>
    <row r="113" spans="1:1" ht="20.100000000000001" customHeight="1" thickBot="1" x14ac:dyDescent="0.35">
      <c r="A113" s="2">
        <v>0</v>
      </c>
    </row>
    <row r="114" spans="1:1" ht="20.100000000000001" customHeight="1" thickBot="1" x14ac:dyDescent="0.35">
      <c r="A114" s="2">
        <v>0.25</v>
      </c>
    </row>
    <row r="115" spans="1:1" ht="20.100000000000001" customHeight="1" thickBot="1" x14ac:dyDescent="0.35">
      <c r="A115" s="2">
        <v>0.5</v>
      </c>
    </row>
    <row r="116" spans="1:1" ht="20.100000000000001" customHeight="1" thickBot="1" x14ac:dyDescent="0.35">
      <c r="A116" s="2">
        <v>0.75</v>
      </c>
    </row>
    <row r="117" spans="1:1" ht="20.100000000000001" customHeight="1" thickBot="1" x14ac:dyDescent="0.35">
      <c r="A117" s="2">
        <v>1</v>
      </c>
    </row>
    <row r="118" spans="1:1" ht="20.100000000000001" customHeight="1" thickBot="1" x14ac:dyDescent="0.35">
      <c r="A118" s="2">
        <v>1.25</v>
      </c>
    </row>
    <row r="119" spans="1:1" ht="20.100000000000001" customHeight="1" thickBot="1" x14ac:dyDescent="0.35">
      <c r="A119" s="2">
        <v>1.5</v>
      </c>
    </row>
    <row r="120" spans="1:1" ht="20.100000000000001" customHeight="1" thickBot="1" x14ac:dyDescent="0.35">
      <c r="A120" s="2">
        <v>1.75</v>
      </c>
    </row>
    <row r="121" spans="1:1" ht="20.100000000000001" customHeight="1" thickBot="1" x14ac:dyDescent="0.35">
      <c r="A121" s="2">
        <v>2</v>
      </c>
    </row>
    <row r="122" spans="1:1" ht="20.100000000000001" customHeight="1" thickBot="1" x14ac:dyDescent="0.35">
      <c r="A122" s="2">
        <v>2.25</v>
      </c>
    </row>
    <row r="123" spans="1:1" ht="20.100000000000001" customHeight="1" thickBot="1" x14ac:dyDescent="0.35">
      <c r="A123" s="2">
        <v>2.5</v>
      </c>
    </row>
    <row r="124" spans="1:1" ht="20.100000000000001" customHeight="1" thickBot="1" x14ac:dyDescent="0.35">
      <c r="A124" s="2">
        <v>2.75</v>
      </c>
    </row>
    <row r="125" spans="1:1" ht="20.100000000000001" customHeight="1" thickBot="1" x14ac:dyDescent="0.35">
      <c r="A125" s="2">
        <v>3</v>
      </c>
    </row>
    <row r="126" spans="1:1" ht="20.100000000000001" customHeight="1" thickBot="1" x14ac:dyDescent="0.35">
      <c r="A126" s="2">
        <v>3.25</v>
      </c>
    </row>
    <row r="127" spans="1:1" ht="20.100000000000001" customHeight="1" thickBot="1" x14ac:dyDescent="0.35">
      <c r="A127" s="2">
        <v>3.5</v>
      </c>
    </row>
    <row r="128" spans="1:1" ht="20.100000000000001" customHeight="1" thickBot="1" x14ac:dyDescent="0.35">
      <c r="A128" s="2">
        <v>3.75</v>
      </c>
    </row>
    <row r="129" spans="1:1" ht="20.100000000000001" customHeight="1" thickBot="1" x14ac:dyDescent="0.35">
      <c r="A129" s="2">
        <v>4</v>
      </c>
    </row>
    <row r="130" spans="1:1" ht="20.100000000000001" customHeight="1" thickBot="1" x14ac:dyDescent="0.35">
      <c r="A130" s="2">
        <v>4.25</v>
      </c>
    </row>
    <row r="131" spans="1:1" ht="20.100000000000001" customHeight="1" thickBot="1" x14ac:dyDescent="0.35">
      <c r="A131" s="2">
        <v>4.5</v>
      </c>
    </row>
    <row r="132" spans="1:1" ht="20.100000000000001" customHeight="1" thickBot="1" x14ac:dyDescent="0.35">
      <c r="A132" s="2">
        <v>4.75</v>
      </c>
    </row>
    <row r="133" spans="1:1" ht="20.100000000000001" customHeight="1" thickBot="1" x14ac:dyDescent="0.35">
      <c r="A133" s="2">
        <v>5</v>
      </c>
    </row>
    <row r="134" spans="1:1" ht="20.100000000000001" customHeight="1" thickBot="1" x14ac:dyDescent="0.35">
      <c r="A134" s="2">
        <v>5.25</v>
      </c>
    </row>
    <row r="135" spans="1:1" ht="20.100000000000001" customHeight="1" thickBot="1" x14ac:dyDescent="0.35">
      <c r="A135" s="2">
        <v>5.5</v>
      </c>
    </row>
    <row r="136" spans="1:1" ht="20.100000000000001" customHeight="1" thickBot="1" x14ac:dyDescent="0.35">
      <c r="A136" s="2">
        <v>5.75</v>
      </c>
    </row>
    <row r="137" spans="1:1" ht="20.100000000000001" customHeight="1" thickBot="1" x14ac:dyDescent="0.35">
      <c r="A137" s="2">
        <v>6</v>
      </c>
    </row>
    <row r="138" spans="1:1" ht="20.100000000000001" customHeight="1" thickBot="1" x14ac:dyDescent="0.35">
      <c r="A138" s="2">
        <v>6.25</v>
      </c>
    </row>
    <row r="139" spans="1:1" ht="20.100000000000001" customHeight="1" thickBot="1" x14ac:dyDescent="0.35">
      <c r="A139" s="2">
        <v>6.5</v>
      </c>
    </row>
    <row r="140" spans="1:1" ht="20.100000000000001" customHeight="1" thickBot="1" x14ac:dyDescent="0.35">
      <c r="A140" s="2">
        <v>6.75</v>
      </c>
    </row>
    <row r="141" spans="1:1" ht="20.100000000000001" customHeight="1" thickBot="1" x14ac:dyDescent="0.35">
      <c r="A141" s="2">
        <v>7</v>
      </c>
    </row>
    <row r="142" spans="1:1" ht="20.100000000000001" customHeight="1" thickBot="1" x14ac:dyDescent="0.35">
      <c r="A142" s="2">
        <v>7.25</v>
      </c>
    </row>
    <row r="143" spans="1:1" ht="20.100000000000001" customHeight="1" thickBot="1" x14ac:dyDescent="0.35">
      <c r="A143" s="2">
        <v>7.5</v>
      </c>
    </row>
    <row r="144" spans="1:1" ht="20.100000000000001" customHeight="1" thickBot="1" x14ac:dyDescent="0.35">
      <c r="A144" s="2">
        <v>7.75</v>
      </c>
    </row>
    <row r="145" spans="1:1" ht="20.100000000000001" customHeight="1" thickBot="1" x14ac:dyDescent="0.35">
      <c r="A145" s="2">
        <v>8</v>
      </c>
    </row>
    <row r="146" spans="1:1" ht="20.100000000000001" customHeight="1" thickBot="1" x14ac:dyDescent="0.35">
      <c r="A146" s="2">
        <v>8.25</v>
      </c>
    </row>
    <row r="147" spans="1:1" ht="20.100000000000001" customHeight="1" thickBot="1" x14ac:dyDescent="0.35">
      <c r="A147" s="2">
        <v>8.5</v>
      </c>
    </row>
    <row r="148" spans="1:1" ht="20.100000000000001" customHeight="1" thickBot="1" x14ac:dyDescent="0.35">
      <c r="A148" s="2">
        <v>8.75</v>
      </c>
    </row>
    <row r="149" spans="1:1" ht="20.100000000000001" customHeight="1" thickBot="1" x14ac:dyDescent="0.35">
      <c r="A149" s="2">
        <v>9</v>
      </c>
    </row>
    <row r="150" spans="1:1" ht="20.100000000000001" customHeight="1" thickBot="1" x14ac:dyDescent="0.35">
      <c r="A150" s="2">
        <v>9.25</v>
      </c>
    </row>
    <row r="151" spans="1:1" ht="20.100000000000001" customHeight="1" thickBot="1" x14ac:dyDescent="0.35">
      <c r="A151" s="2">
        <v>9.5</v>
      </c>
    </row>
    <row r="152" spans="1:1" ht="20.100000000000001" customHeight="1" thickBot="1" x14ac:dyDescent="0.35">
      <c r="A152" s="2">
        <v>9.75</v>
      </c>
    </row>
    <row r="153" spans="1:1" ht="20.100000000000001" customHeight="1" thickBot="1" x14ac:dyDescent="0.35">
      <c r="A153" s="2">
        <v>10</v>
      </c>
    </row>
    <row r="154" spans="1:1" ht="20.100000000000001" customHeight="1" thickBot="1" x14ac:dyDescent="0.35">
      <c r="A154" s="2">
        <v>10.25</v>
      </c>
    </row>
    <row r="155" spans="1:1" ht="20.100000000000001" customHeight="1" thickBot="1" x14ac:dyDescent="0.35">
      <c r="A155" s="2">
        <v>10.5</v>
      </c>
    </row>
    <row r="156" spans="1:1" ht="20.100000000000001" customHeight="1" thickBot="1" x14ac:dyDescent="0.35">
      <c r="A156" s="2">
        <v>10.75</v>
      </c>
    </row>
    <row r="157" spans="1:1" ht="20.100000000000001" customHeight="1" thickBot="1" x14ac:dyDescent="0.35">
      <c r="A157" s="2">
        <v>11</v>
      </c>
    </row>
    <row r="158" spans="1:1" ht="20.100000000000001" customHeight="1" thickBot="1" x14ac:dyDescent="0.35">
      <c r="A158" s="2">
        <v>11.25</v>
      </c>
    </row>
    <row r="159" spans="1:1" ht="20.100000000000001" customHeight="1" thickBot="1" x14ac:dyDescent="0.35">
      <c r="A159" s="2">
        <v>11.5</v>
      </c>
    </row>
    <row r="160" spans="1:1" ht="20.100000000000001" customHeight="1" thickBot="1" x14ac:dyDescent="0.35">
      <c r="A160" s="2">
        <v>11.75</v>
      </c>
    </row>
    <row r="161" spans="1:1" ht="20.100000000000001" customHeight="1" thickBot="1" x14ac:dyDescent="0.35">
      <c r="A161" s="2">
        <v>12</v>
      </c>
    </row>
    <row r="162" spans="1:1" ht="20.100000000000001" customHeight="1" thickBot="1" x14ac:dyDescent="0.35">
      <c r="A162" s="2">
        <v>12.25</v>
      </c>
    </row>
    <row r="163" spans="1:1" ht="20.100000000000001" customHeight="1" thickBot="1" x14ac:dyDescent="0.35">
      <c r="A163" s="2">
        <v>12.5</v>
      </c>
    </row>
    <row r="164" spans="1:1" ht="20.100000000000001" customHeight="1" thickBot="1" x14ac:dyDescent="0.35">
      <c r="A164" s="2">
        <v>12.75</v>
      </c>
    </row>
    <row r="165" spans="1:1" ht="20.100000000000001" customHeight="1" thickBot="1" x14ac:dyDescent="0.35">
      <c r="A165" s="2">
        <v>13</v>
      </c>
    </row>
    <row r="166" spans="1:1" ht="20.100000000000001" customHeight="1" thickBot="1" x14ac:dyDescent="0.35">
      <c r="A166" s="2">
        <v>13.25</v>
      </c>
    </row>
    <row r="167" spans="1:1" ht="20.100000000000001" customHeight="1" thickBot="1" x14ac:dyDescent="0.35">
      <c r="A167" s="2">
        <v>13.5</v>
      </c>
    </row>
    <row r="168" spans="1:1" ht="20.100000000000001" customHeight="1" thickBot="1" x14ac:dyDescent="0.35">
      <c r="A168" s="2">
        <v>13.75</v>
      </c>
    </row>
    <row r="169" spans="1:1" ht="20.100000000000001" customHeight="1" thickBot="1" x14ac:dyDescent="0.35">
      <c r="A169" s="2">
        <v>14</v>
      </c>
    </row>
    <row r="170" spans="1:1" ht="20.100000000000001" customHeight="1" thickBot="1" x14ac:dyDescent="0.35">
      <c r="A170" s="2">
        <v>14.25</v>
      </c>
    </row>
    <row r="171" spans="1:1" ht="20.100000000000001" customHeight="1" thickBot="1" x14ac:dyDescent="0.35">
      <c r="A171" s="2">
        <v>14.5</v>
      </c>
    </row>
    <row r="172" spans="1:1" ht="20.100000000000001" customHeight="1" thickBot="1" x14ac:dyDescent="0.35">
      <c r="A172" s="2">
        <v>14.75</v>
      </c>
    </row>
    <row r="173" spans="1:1" ht="20.100000000000001" customHeight="1" thickBot="1" x14ac:dyDescent="0.35">
      <c r="A173" s="2">
        <v>15</v>
      </c>
    </row>
    <row r="174" spans="1:1" ht="20.100000000000001" customHeight="1" thickBot="1" x14ac:dyDescent="0.35">
      <c r="A174" s="2">
        <v>15.25</v>
      </c>
    </row>
    <row r="175" spans="1:1" ht="20.100000000000001" customHeight="1" thickBot="1" x14ac:dyDescent="0.35">
      <c r="A175" s="2">
        <v>15.5</v>
      </c>
    </row>
    <row r="176" spans="1:1" ht="20.100000000000001" customHeight="1" thickBot="1" x14ac:dyDescent="0.35">
      <c r="A176" s="2">
        <v>15.75</v>
      </c>
    </row>
    <row r="177" spans="1:1" ht="20.100000000000001" customHeight="1" thickBot="1" x14ac:dyDescent="0.35">
      <c r="A177" s="2">
        <v>16</v>
      </c>
    </row>
    <row r="178" spans="1:1" ht="20.100000000000001" customHeight="1" thickBot="1" x14ac:dyDescent="0.35">
      <c r="A178" s="2">
        <v>16.25</v>
      </c>
    </row>
    <row r="179" spans="1:1" ht="20.100000000000001" customHeight="1" thickBot="1" x14ac:dyDescent="0.35">
      <c r="A179" s="2">
        <v>16.5</v>
      </c>
    </row>
    <row r="180" spans="1:1" ht="20.100000000000001" customHeight="1" thickBot="1" x14ac:dyDescent="0.35">
      <c r="A180" s="2">
        <v>16.75</v>
      </c>
    </row>
    <row r="181" spans="1:1" ht="20.100000000000001" customHeight="1" thickBot="1" x14ac:dyDescent="0.35">
      <c r="A181" s="2">
        <v>17</v>
      </c>
    </row>
    <row r="182" spans="1:1" ht="20.100000000000001" customHeight="1" thickBot="1" x14ac:dyDescent="0.35">
      <c r="A182" s="2">
        <v>17.25</v>
      </c>
    </row>
    <row r="183" spans="1:1" ht="20.100000000000001" customHeight="1" thickBot="1" x14ac:dyDescent="0.35">
      <c r="A183" s="2">
        <v>17.5</v>
      </c>
    </row>
    <row r="184" spans="1:1" ht="20.100000000000001" customHeight="1" thickBot="1" x14ac:dyDescent="0.35">
      <c r="A184" s="2">
        <v>17.75</v>
      </c>
    </row>
    <row r="185" spans="1:1" ht="20.100000000000001" customHeight="1" thickBot="1" x14ac:dyDescent="0.35">
      <c r="A185" s="2">
        <v>18</v>
      </c>
    </row>
    <row r="186" spans="1:1" ht="20.100000000000001" customHeight="1" thickBot="1" x14ac:dyDescent="0.35">
      <c r="A186" s="2">
        <v>18.25</v>
      </c>
    </row>
    <row r="187" spans="1:1" ht="20.100000000000001" customHeight="1" thickBot="1" x14ac:dyDescent="0.35">
      <c r="A187" s="2">
        <v>18.5</v>
      </c>
    </row>
    <row r="188" spans="1:1" ht="20.100000000000001" customHeight="1" thickBot="1" x14ac:dyDescent="0.35">
      <c r="A188" s="2">
        <v>18.75</v>
      </c>
    </row>
    <row r="189" spans="1:1" ht="20.100000000000001" customHeight="1" thickBot="1" x14ac:dyDescent="0.35">
      <c r="A189" s="2">
        <v>19</v>
      </c>
    </row>
    <row r="190" spans="1:1" ht="20.100000000000001" customHeight="1" thickBot="1" x14ac:dyDescent="0.35">
      <c r="A190" s="2">
        <v>19.25</v>
      </c>
    </row>
    <row r="191" spans="1:1" ht="20.100000000000001" customHeight="1" thickBot="1" x14ac:dyDescent="0.35">
      <c r="A191" s="2">
        <v>19.5</v>
      </c>
    </row>
    <row r="192" spans="1:1" ht="20.100000000000001" customHeight="1" thickBot="1" x14ac:dyDescent="0.35">
      <c r="A192" s="2">
        <v>19.75</v>
      </c>
    </row>
    <row r="193" spans="1:1" ht="20.100000000000001" customHeight="1" thickBot="1" x14ac:dyDescent="0.35">
      <c r="A193" s="2">
        <v>20</v>
      </c>
    </row>
    <row r="197" spans="1:1" ht="20.100000000000001" customHeight="1" thickBot="1" x14ac:dyDescent="0.35"/>
    <row r="198" spans="1:1" ht="20.100000000000001" customHeight="1" thickBot="1" x14ac:dyDescent="0.35">
      <c r="A198" s="2" t="s">
        <v>59</v>
      </c>
    </row>
    <row r="199" spans="1:1" ht="20.100000000000001" customHeight="1" x14ac:dyDescent="0.3">
      <c r="A199" s="20" t="s">
        <v>89</v>
      </c>
    </row>
    <row r="200" spans="1:1" ht="20.100000000000001" customHeight="1" x14ac:dyDescent="0.3">
      <c r="A200" s="20" t="s">
        <v>90</v>
      </c>
    </row>
    <row r="201" spans="1:1" ht="20.100000000000001" customHeight="1" x14ac:dyDescent="0.3">
      <c r="A201" s="20" t="s">
        <v>91</v>
      </c>
    </row>
    <row r="202" spans="1:1" ht="20.100000000000001" customHeight="1" x14ac:dyDescent="0.3">
      <c r="A202" s="20" t="s">
        <v>92</v>
      </c>
    </row>
    <row r="203" spans="1:1" ht="20.100000000000001" customHeight="1" x14ac:dyDescent="0.3">
      <c r="A203" s="20" t="s">
        <v>93</v>
      </c>
    </row>
    <row r="204" spans="1:1" ht="20.100000000000001" customHeight="1" x14ac:dyDescent="0.3">
      <c r="A204" s="20" t="s">
        <v>94</v>
      </c>
    </row>
    <row r="205" spans="1:1" ht="20.100000000000001" customHeight="1" x14ac:dyDescent="0.3">
      <c r="A205" s="20" t="s">
        <v>95</v>
      </c>
    </row>
    <row r="206" spans="1:1" ht="20.100000000000001" customHeight="1" x14ac:dyDescent="0.3">
      <c r="A206" s="20" t="s">
        <v>96</v>
      </c>
    </row>
    <row r="207" spans="1:1" ht="20.100000000000001" customHeight="1" x14ac:dyDescent="0.3">
      <c r="A207" s="20" t="s">
        <v>97</v>
      </c>
    </row>
    <row r="208" spans="1:1" ht="20.100000000000001" customHeight="1" x14ac:dyDescent="0.3">
      <c r="A208" s="21" t="s">
        <v>98</v>
      </c>
    </row>
    <row r="209" spans="1:1" ht="20.100000000000001" customHeight="1" x14ac:dyDescent="0.3">
      <c r="A209" s="21" t="s">
        <v>99</v>
      </c>
    </row>
    <row r="210" spans="1:1" ht="20.100000000000001" customHeight="1" x14ac:dyDescent="0.3">
      <c r="A210" s="20" t="s">
        <v>100</v>
      </c>
    </row>
    <row r="211" spans="1:1" ht="20.100000000000001" customHeight="1" x14ac:dyDescent="0.3">
      <c r="A211" s="20" t="s">
        <v>101</v>
      </c>
    </row>
    <row r="212" spans="1:1" ht="20.100000000000001" customHeight="1" x14ac:dyDescent="0.3">
      <c r="A212" s="20" t="s">
        <v>175</v>
      </c>
    </row>
    <row r="213" spans="1:1" ht="20.100000000000001" customHeight="1" x14ac:dyDescent="0.3">
      <c r="A213" s="20" t="s">
        <v>102</v>
      </c>
    </row>
    <row r="214" spans="1:1" ht="20.100000000000001" customHeight="1" x14ac:dyDescent="0.3">
      <c r="A214" s="20" t="s">
        <v>103</v>
      </c>
    </row>
    <row r="215" spans="1:1" ht="20.100000000000001" customHeight="1" x14ac:dyDescent="0.3">
      <c r="A215" s="20" t="s">
        <v>104</v>
      </c>
    </row>
    <row r="216" spans="1:1" ht="20.100000000000001" customHeight="1" x14ac:dyDescent="0.3">
      <c r="A216" s="20" t="s">
        <v>105</v>
      </c>
    </row>
    <row r="217" spans="1:1" ht="20.100000000000001" customHeight="1" x14ac:dyDescent="0.3">
      <c r="A217" s="20" t="s">
        <v>106</v>
      </c>
    </row>
    <row r="218" spans="1:1" ht="20.100000000000001" customHeight="1" x14ac:dyDescent="0.3">
      <c r="A218" s="20" t="s">
        <v>107</v>
      </c>
    </row>
    <row r="219" spans="1:1" ht="20.100000000000001" customHeight="1" x14ac:dyDescent="0.3">
      <c r="A219" s="20" t="s">
        <v>108</v>
      </c>
    </row>
    <row r="220" spans="1:1" ht="20.100000000000001" customHeight="1" x14ac:dyDescent="0.3">
      <c r="A220" s="20" t="s">
        <v>109</v>
      </c>
    </row>
    <row r="221" spans="1:1" ht="20.100000000000001" customHeight="1" x14ac:dyDescent="0.3">
      <c r="A221" s="20" t="s">
        <v>110</v>
      </c>
    </row>
    <row r="222" spans="1:1" ht="20.100000000000001" customHeight="1" x14ac:dyDescent="0.3">
      <c r="A222" s="20" t="s">
        <v>111</v>
      </c>
    </row>
    <row r="223" spans="1:1" ht="20.100000000000001" customHeight="1" x14ac:dyDescent="0.3">
      <c r="A223" s="20" t="s">
        <v>112</v>
      </c>
    </row>
    <row r="224" spans="1:1" ht="20.100000000000001" customHeight="1" x14ac:dyDescent="0.3">
      <c r="A224" s="20" t="s">
        <v>176</v>
      </c>
    </row>
    <row r="225" spans="1:1" ht="20.100000000000001" customHeight="1" x14ac:dyDescent="0.3">
      <c r="A225" s="20" t="s">
        <v>113</v>
      </c>
    </row>
    <row r="226" spans="1:1" ht="20.100000000000001" customHeight="1" x14ac:dyDescent="0.3">
      <c r="A226" s="20" t="s">
        <v>114</v>
      </c>
    </row>
    <row r="227" spans="1:1" ht="20.100000000000001" customHeight="1" x14ac:dyDescent="0.3">
      <c r="A227" s="20" t="s">
        <v>115</v>
      </c>
    </row>
    <row r="228" spans="1:1" ht="20.100000000000001" customHeight="1" x14ac:dyDescent="0.3">
      <c r="A228" s="20" t="s">
        <v>116</v>
      </c>
    </row>
    <row r="229" spans="1:1" ht="20.100000000000001" customHeight="1" x14ac:dyDescent="0.3">
      <c r="A229" s="20" t="s">
        <v>117</v>
      </c>
    </row>
    <row r="230" spans="1:1" ht="20.100000000000001" customHeight="1" x14ac:dyDescent="0.3">
      <c r="A230" s="20" t="s">
        <v>118</v>
      </c>
    </row>
    <row r="231" spans="1:1" ht="20.100000000000001" customHeight="1" x14ac:dyDescent="0.3">
      <c r="A231" s="20" t="s">
        <v>119</v>
      </c>
    </row>
    <row r="232" spans="1:1" ht="20.100000000000001" customHeight="1" x14ac:dyDescent="0.3">
      <c r="A232" s="20" t="s">
        <v>120</v>
      </c>
    </row>
    <row r="233" spans="1:1" ht="20.100000000000001" customHeight="1" x14ac:dyDescent="0.3">
      <c r="A233" s="20" t="s">
        <v>121</v>
      </c>
    </row>
    <row r="234" spans="1:1" ht="20.100000000000001" customHeight="1" x14ac:dyDescent="0.3">
      <c r="A234" s="20" t="s">
        <v>122</v>
      </c>
    </row>
    <row r="235" spans="1:1" ht="20.100000000000001" customHeight="1" x14ac:dyDescent="0.3">
      <c r="A235" s="20" t="s">
        <v>123</v>
      </c>
    </row>
    <row r="236" spans="1:1" ht="20.100000000000001" customHeight="1" x14ac:dyDescent="0.3">
      <c r="A236" s="22" t="s">
        <v>124</v>
      </c>
    </row>
    <row r="237" spans="1:1" ht="20.100000000000001" customHeight="1" x14ac:dyDescent="0.3">
      <c r="A237" s="20" t="s">
        <v>125</v>
      </c>
    </row>
    <row r="238" spans="1:1" ht="20.100000000000001" customHeight="1" x14ac:dyDescent="0.3">
      <c r="A238" s="20" t="s">
        <v>126</v>
      </c>
    </row>
    <row r="239" spans="1:1" ht="20.100000000000001" customHeight="1" x14ac:dyDescent="0.3">
      <c r="A239" s="20" t="s">
        <v>127</v>
      </c>
    </row>
    <row r="240" spans="1:1" ht="20.100000000000001" customHeight="1" x14ac:dyDescent="0.3">
      <c r="A240" s="20" t="s">
        <v>128</v>
      </c>
    </row>
    <row r="241" spans="1:1" ht="20.100000000000001" customHeight="1" x14ac:dyDescent="0.3">
      <c r="A241" s="20" t="s">
        <v>129</v>
      </c>
    </row>
    <row r="242" spans="1:1" ht="20.100000000000001" customHeight="1" x14ac:dyDescent="0.3">
      <c r="A242" s="20" t="s">
        <v>130</v>
      </c>
    </row>
    <row r="243" spans="1:1" ht="20.100000000000001" customHeight="1" x14ac:dyDescent="0.3">
      <c r="A243" s="20" t="s">
        <v>131</v>
      </c>
    </row>
    <row r="244" spans="1:1" ht="20.100000000000001" customHeight="1" x14ac:dyDescent="0.3">
      <c r="A244" s="20" t="s">
        <v>132</v>
      </c>
    </row>
    <row r="245" spans="1:1" ht="20.100000000000001" customHeight="1" x14ac:dyDescent="0.3">
      <c r="A245" s="20" t="s">
        <v>133</v>
      </c>
    </row>
    <row r="246" spans="1:1" ht="20.100000000000001" customHeight="1" x14ac:dyDescent="0.3">
      <c r="A246" s="20" t="s">
        <v>134</v>
      </c>
    </row>
    <row r="247" spans="1:1" ht="20.100000000000001" customHeight="1" x14ac:dyDescent="0.3">
      <c r="A247" s="20" t="s">
        <v>135</v>
      </c>
    </row>
    <row r="248" spans="1:1" ht="20.100000000000001" customHeight="1" x14ac:dyDescent="0.3">
      <c r="A248" s="20" t="s">
        <v>126</v>
      </c>
    </row>
    <row r="249" spans="1:1" ht="20.100000000000001" customHeight="1" x14ac:dyDescent="0.3">
      <c r="A249" s="20" t="s">
        <v>136</v>
      </c>
    </row>
    <row r="250" spans="1:1" ht="20.100000000000001" customHeight="1" x14ac:dyDescent="0.3">
      <c r="A250" s="20" t="s">
        <v>137</v>
      </c>
    </row>
    <row r="251" spans="1:1" ht="20.100000000000001" customHeight="1" x14ac:dyDescent="0.3">
      <c r="A251" s="22" t="s">
        <v>138</v>
      </c>
    </row>
    <row r="252" spans="1:1" ht="20.100000000000001" customHeight="1" x14ac:dyDescent="0.3">
      <c r="A252" s="23" t="s">
        <v>139</v>
      </c>
    </row>
    <row r="253" spans="1:1" ht="20.100000000000001" customHeight="1" x14ac:dyDescent="0.3">
      <c r="A253" s="20" t="s">
        <v>140</v>
      </c>
    </row>
    <row r="254" spans="1:1" ht="20.100000000000001" customHeight="1" x14ac:dyDescent="0.3">
      <c r="A254" s="20" t="s">
        <v>141</v>
      </c>
    </row>
    <row r="255" spans="1:1" ht="20.100000000000001" customHeight="1" x14ac:dyDescent="0.3">
      <c r="A255" s="24" t="s">
        <v>142</v>
      </c>
    </row>
    <row r="256" spans="1:1" ht="20.100000000000001" customHeight="1" x14ac:dyDescent="0.3">
      <c r="A256" s="24" t="s">
        <v>143</v>
      </c>
    </row>
    <row r="257" spans="1:1" ht="20.100000000000001" customHeight="1" x14ac:dyDescent="0.3">
      <c r="A257" s="25" t="s">
        <v>144</v>
      </c>
    </row>
    <row r="258" spans="1:1" ht="20.100000000000001" customHeight="1" x14ac:dyDescent="0.3">
      <c r="A258" s="20" t="s">
        <v>145</v>
      </c>
    </row>
    <row r="259" spans="1:1" ht="20.100000000000001" customHeight="1" x14ac:dyDescent="0.3">
      <c r="A259" s="25" t="s">
        <v>146</v>
      </c>
    </row>
    <row r="260" spans="1:1" ht="20.100000000000001" customHeight="1" x14ac:dyDescent="0.3">
      <c r="A260" s="20" t="s">
        <v>147</v>
      </c>
    </row>
    <row r="261" spans="1:1" ht="20.100000000000001" customHeight="1" x14ac:dyDescent="0.3">
      <c r="A261" s="25" t="s">
        <v>148</v>
      </c>
    </row>
    <row r="262" spans="1:1" ht="20.100000000000001" customHeight="1" x14ac:dyDescent="0.3">
      <c r="A262" s="20" t="s">
        <v>149</v>
      </c>
    </row>
    <row r="263" spans="1:1" ht="20.100000000000001" customHeight="1" x14ac:dyDescent="0.3">
      <c r="A263" s="20" t="s">
        <v>150</v>
      </c>
    </row>
    <row r="264" spans="1:1" ht="20.100000000000001" customHeight="1" x14ac:dyDescent="0.3">
      <c r="A264" s="25" t="s">
        <v>151</v>
      </c>
    </row>
    <row r="265" spans="1:1" ht="20.100000000000001" customHeight="1" x14ac:dyDescent="0.3">
      <c r="A265" s="25" t="s">
        <v>152</v>
      </c>
    </row>
    <row r="266" spans="1:1" ht="20.100000000000001" customHeight="1" x14ac:dyDescent="0.3">
      <c r="A266" s="25" t="s">
        <v>153</v>
      </c>
    </row>
    <row r="267" spans="1:1" ht="20.100000000000001" customHeight="1" x14ac:dyDescent="0.3">
      <c r="A267" s="20" t="s">
        <v>154</v>
      </c>
    </row>
    <row r="268" spans="1:1" ht="20.100000000000001" customHeight="1" x14ac:dyDescent="0.3">
      <c r="A268" s="20" t="s">
        <v>155</v>
      </c>
    </row>
    <row r="269" spans="1:1" ht="20.100000000000001" customHeight="1" x14ac:dyDescent="0.3">
      <c r="A269" s="20" t="s">
        <v>156</v>
      </c>
    </row>
    <row r="270" spans="1:1" ht="20.100000000000001" customHeight="1" x14ac:dyDescent="0.3">
      <c r="A270" s="20" t="s">
        <v>157</v>
      </c>
    </row>
    <row r="271" spans="1:1" ht="20.100000000000001" customHeight="1" x14ac:dyDescent="0.3">
      <c r="A271" s="25" t="s">
        <v>158</v>
      </c>
    </row>
    <row r="272" spans="1:1" ht="20.100000000000001" customHeight="1" x14ac:dyDescent="0.3">
      <c r="A272" s="25" t="s">
        <v>159</v>
      </c>
    </row>
    <row r="273" spans="1:1" ht="20.100000000000001" customHeight="1" x14ac:dyDescent="0.3">
      <c r="A273" s="20" t="s">
        <v>160</v>
      </c>
    </row>
    <row r="274" spans="1:1" ht="20.100000000000001" customHeight="1" x14ac:dyDescent="0.3">
      <c r="A274" s="25" t="s">
        <v>161</v>
      </c>
    </row>
    <row r="275" spans="1:1" ht="20.100000000000001" customHeight="1" x14ac:dyDescent="0.3">
      <c r="A275" s="25" t="s">
        <v>162</v>
      </c>
    </row>
    <row r="276" spans="1:1" ht="20.100000000000001" customHeight="1" x14ac:dyDescent="0.3">
      <c r="A276" s="20" t="s">
        <v>163</v>
      </c>
    </row>
    <row r="277" spans="1:1" ht="20.100000000000001" customHeight="1" x14ac:dyDescent="0.3">
      <c r="A277" s="20" t="s">
        <v>164</v>
      </c>
    </row>
    <row r="278" spans="1:1" ht="20.100000000000001" customHeight="1" x14ac:dyDescent="0.3">
      <c r="A278" s="25" t="s">
        <v>165</v>
      </c>
    </row>
    <row r="279" spans="1:1" ht="20.100000000000001" customHeight="1" x14ac:dyDescent="0.3">
      <c r="A279" s="20" t="s">
        <v>166</v>
      </c>
    </row>
    <row r="280" spans="1:1" ht="20.100000000000001" customHeight="1" x14ac:dyDescent="0.3">
      <c r="A280" s="20" t="s">
        <v>167</v>
      </c>
    </row>
    <row r="281" spans="1:1" ht="20.100000000000001" customHeight="1" x14ac:dyDescent="0.3">
      <c r="A281" s="20" t="s">
        <v>168</v>
      </c>
    </row>
    <row r="282" spans="1:1" ht="20.100000000000001" customHeight="1" x14ac:dyDescent="0.3">
      <c r="A282" s="20" t="s">
        <v>169</v>
      </c>
    </row>
    <row r="283" spans="1:1" ht="20.100000000000001" customHeight="1" x14ac:dyDescent="0.3">
      <c r="A283" s="25" t="s">
        <v>170</v>
      </c>
    </row>
    <row r="284" spans="1:1" ht="20.100000000000001" customHeight="1" x14ac:dyDescent="0.3">
      <c r="A284" s="25" t="s">
        <v>171</v>
      </c>
    </row>
    <row r="285" spans="1:1" ht="20.100000000000001" customHeight="1" x14ac:dyDescent="0.3">
      <c r="A285" s="25" t="s">
        <v>172</v>
      </c>
    </row>
    <row r="286" spans="1:1" ht="20.100000000000001" customHeight="1" thickBot="1" x14ac:dyDescent="0.35">
      <c r="A286" s="20" t="s">
        <v>173</v>
      </c>
    </row>
    <row r="287" spans="1:1" ht="20.100000000000001" customHeight="1" thickBot="1" x14ac:dyDescent="0.35">
      <c r="A287" s="2" t="s">
        <v>58</v>
      </c>
    </row>
    <row r="288" spans="1:1" ht="20.100000000000001" customHeight="1" thickBot="1" x14ac:dyDescent="0.35">
      <c r="A288" s="2" t="s">
        <v>58</v>
      </c>
    </row>
    <row r="289" spans="1:1" ht="20.100000000000001" customHeight="1" thickBot="1" x14ac:dyDescent="0.35">
      <c r="A289" s="2" t="s">
        <v>58</v>
      </c>
    </row>
    <row r="290" spans="1:1" ht="20.100000000000001" customHeight="1" thickBot="1" x14ac:dyDescent="0.35">
      <c r="A290" s="2" t="s">
        <v>58</v>
      </c>
    </row>
    <row r="291" spans="1:1" ht="20.100000000000001" customHeight="1" thickBot="1" x14ac:dyDescent="0.35">
      <c r="A291" s="2" t="s">
        <v>58</v>
      </c>
    </row>
    <row r="292" spans="1:1" ht="20.100000000000001" customHeight="1" thickBot="1" x14ac:dyDescent="0.35">
      <c r="A292" s="2" t="s">
        <v>58</v>
      </c>
    </row>
    <row r="293" spans="1:1" ht="20.100000000000001" customHeight="1" thickBot="1" x14ac:dyDescent="0.35">
      <c r="A293" s="2" t="s">
        <v>58</v>
      </c>
    </row>
    <row r="294" spans="1:1" ht="20.100000000000001" customHeight="1" thickBot="1" x14ac:dyDescent="0.35">
      <c r="A294" s="2" t="s">
        <v>58</v>
      </c>
    </row>
    <row r="295" spans="1:1" ht="20.100000000000001" customHeight="1" thickBot="1" x14ac:dyDescent="0.35">
      <c r="A295" s="2" t="s">
        <v>58</v>
      </c>
    </row>
    <row r="296" spans="1:1" ht="20.100000000000001" customHeight="1" thickBot="1" x14ac:dyDescent="0.35">
      <c r="A296" s="2" t="s">
        <v>58</v>
      </c>
    </row>
    <row r="297" spans="1:1" ht="20.100000000000001" customHeight="1" thickBot="1" x14ac:dyDescent="0.35">
      <c r="A297" s="2" t="s">
        <v>58</v>
      </c>
    </row>
    <row r="298" spans="1:1" ht="20.100000000000001" customHeight="1" thickBot="1" x14ac:dyDescent="0.35">
      <c r="A298" s="2" t="s">
        <v>58</v>
      </c>
    </row>
    <row r="299" spans="1:1" ht="20.100000000000001" customHeight="1" thickBot="1" x14ac:dyDescent="0.35">
      <c r="A299" s="2" t="s">
        <v>58</v>
      </c>
    </row>
    <row r="300" spans="1:1" ht="20.100000000000001" customHeight="1" thickBot="1" x14ac:dyDescent="0.35">
      <c r="A300" s="2" t="s">
        <v>58</v>
      </c>
    </row>
    <row r="301" spans="1:1" ht="20.100000000000001" customHeight="1" thickBot="1" x14ac:dyDescent="0.35">
      <c r="A301" s="2" t="s">
        <v>58</v>
      </c>
    </row>
    <row r="302" spans="1:1" ht="20.100000000000001" customHeight="1" thickBot="1" x14ac:dyDescent="0.35">
      <c r="A302" s="2" t="s">
        <v>58</v>
      </c>
    </row>
    <row r="303" spans="1:1" ht="20.100000000000001" customHeight="1" thickBot="1" x14ac:dyDescent="0.35">
      <c r="A303" s="2" t="s">
        <v>58</v>
      </c>
    </row>
    <row r="304" spans="1:1" ht="20.100000000000001" customHeight="1" thickBot="1" x14ac:dyDescent="0.35">
      <c r="A304" s="2" t="s">
        <v>58</v>
      </c>
    </row>
    <row r="305" spans="1:1" ht="20.100000000000001" customHeight="1" thickBot="1" x14ac:dyDescent="0.35">
      <c r="A305" s="2" t="s">
        <v>58</v>
      </c>
    </row>
    <row r="306" spans="1:1" ht="20.100000000000001" customHeight="1" thickBot="1" x14ac:dyDescent="0.35">
      <c r="A306" s="2" t="s">
        <v>58</v>
      </c>
    </row>
    <row r="307" spans="1:1" ht="20.100000000000001" customHeight="1" thickBot="1" x14ac:dyDescent="0.35">
      <c r="A307" s="2" t="s">
        <v>58</v>
      </c>
    </row>
    <row r="308" spans="1:1" ht="20.100000000000001" customHeight="1" thickBot="1" x14ac:dyDescent="0.35">
      <c r="A308" s="2" t="s">
        <v>58</v>
      </c>
    </row>
    <row r="309" spans="1:1" ht="20.100000000000001" customHeight="1" thickBot="1" x14ac:dyDescent="0.35">
      <c r="A309" s="2" t="s">
        <v>58</v>
      </c>
    </row>
    <row r="310" spans="1:1" ht="20.100000000000001" customHeight="1" thickBot="1" x14ac:dyDescent="0.35">
      <c r="A310" s="2" t="s">
        <v>58</v>
      </c>
    </row>
    <row r="311" spans="1:1" ht="20.100000000000001" customHeight="1" thickBot="1" x14ac:dyDescent="0.35">
      <c r="A311" s="2" t="s">
        <v>58</v>
      </c>
    </row>
    <row r="312" spans="1:1" ht="20.100000000000001" customHeight="1" thickBot="1" x14ac:dyDescent="0.35">
      <c r="A312" s="2" t="s">
        <v>58</v>
      </c>
    </row>
    <row r="313" spans="1:1" ht="20.100000000000001" customHeight="1" thickBot="1" x14ac:dyDescent="0.35">
      <c r="A313" s="2" t="s">
        <v>58</v>
      </c>
    </row>
    <row r="314" spans="1:1" ht="20.100000000000001" customHeight="1" thickBot="1" x14ac:dyDescent="0.35">
      <c r="A314" s="2" t="s">
        <v>58</v>
      </c>
    </row>
    <row r="315" spans="1:1" ht="20.100000000000001" customHeight="1" thickBot="1" x14ac:dyDescent="0.35">
      <c r="A315" s="2" t="s">
        <v>58</v>
      </c>
    </row>
    <row r="316" spans="1:1" ht="20.100000000000001" customHeight="1" thickBot="1" x14ac:dyDescent="0.35">
      <c r="A316" s="2" t="s">
        <v>58</v>
      </c>
    </row>
    <row r="317" spans="1:1" ht="20.100000000000001" customHeight="1" thickBot="1" x14ac:dyDescent="0.35">
      <c r="A317" s="2" t="s">
        <v>58</v>
      </c>
    </row>
    <row r="318" spans="1:1" ht="20.100000000000001" customHeight="1" thickBot="1" x14ac:dyDescent="0.35">
      <c r="A318" s="2" t="s">
        <v>58</v>
      </c>
    </row>
    <row r="319" spans="1:1" ht="20.100000000000001" customHeight="1" thickBot="1" x14ac:dyDescent="0.35">
      <c r="A319" s="2" t="s">
        <v>58</v>
      </c>
    </row>
    <row r="320" spans="1:1" ht="20.100000000000001" customHeight="1" thickBot="1" x14ac:dyDescent="0.35">
      <c r="A320" s="2" t="s">
        <v>58</v>
      </c>
    </row>
    <row r="321" spans="1:1" ht="20.100000000000001" customHeight="1" thickBot="1" x14ac:dyDescent="0.35">
      <c r="A321" s="2" t="s">
        <v>58</v>
      </c>
    </row>
    <row r="322" spans="1:1" ht="20.100000000000001" customHeight="1" thickBot="1" x14ac:dyDescent="0.35">
      <c r="A322" s="2" t="s">
        <v>58</v>
      </c>
    </row>
    <row r="323" spans="1:1" ht="20.100000000000001" customHeight="1" thickBot="1" x14ac:dyDescent="0.35">
      <c r="A323" s="2" t="s">
        <v>58</v>
      </c>
    </row>
    <row r="324" spans="1:1" ht="20.100000000000001" customHeight="1" thickBot="1" x14ac:dyDescent="0.35">
      <c r="A324" s="2" t="s">
        <v>58</v>
      </c>
    </row>
    <row r="325" spans="1:1" ht="20.100000000000001" customHeight="1" thickBot="1" x14ac:dyDescent="0.35">
      <c r="A325" s="2" t="s">
        <v>58</v>
      </c>
    </row>
    <row r="326" spans="1:1" ht="20.100000000000001" customHeight="1" thickBot="1" x14ac:dyDescent="0.35">
      <c r="A326" s="2" t="s">
        <v>58</v>
      </c>
    </row>
    <row r="327" spans="1:1" ht="20.100000000000001" customHeight="1" thickBot="1" x14ac:dyDescent="0.35">
      <c r="A327" s="2" t="s">
        <v>58</v>
      </c>
    </row>
    <row r="328" spans="1:1" ht="20.100000000000001" customHeight="1" thickBot="1" x14ac:dyDescent="0.35">
      <c r="A328" s="2" t="s">
        <v>58</v>
      </c>
    </row>
    <row r="329" spans="1:1" ht="20.100000000000001" customHeight="1" thickBot="1" x14ac:dyDescent="0.35">
      <c r="A329" s="2" t="s">
        <v>58</v>
      </c>
    </row>
    <row r="330" spans="1:1" ht="20.100000000000001" customHeight="1" thickBot="1" x14ac:dyDescent="0.35">
      <c r="A330" s="2" t="s">
        <v>58</v>
      </c>
    </row>
    <row r="331" spans="1:1" ht="20.100000000000001" customHeight="1" thickBot="1" x14ac:dyDescent="0.35">
      <c r="A331" s="2" t="s">
        <v>58</v>
      </c>
    </row>
    <row r="332" spans="1:1" ht="20.100000000000001" customHeight="1" thickBot="1" x14ac:dyDescent="0.35">
      <c r="A332" s="2" t="s">
        <v>58</v>
      </c>
    </row>
    <row r="333" spans="1:1" ht="20.100000000000001" customHeight="1" thickBot="1" x14ac:dyDescent="0.35">
      <c r="A333" s="2" t="s">
        <v>58</v>
      </c>
    </row>
    <row r="334" spans="1:1" ht="20.100000000000001" customHeight="1" thickBot="1" x14ac:dyDescent="0.35">
      <c r="A334" s="2" t="s">
        <v>58</v>
      </c>
    </row>
    <row r="335" spans="1:1" ht="20.100000000000001" customHeight="1" thickBot="1" x14ac:dyDescent="0.35">
      <c r="A335" s="2" t="s">
        <v>58</v>
      </c>
    </row>
    <row r="336" spans="1:1" ht="20.100000000000001" customHeight="1" thickBot="1" x14ac:dyDescent="0.35">
      <c r="A336" s="2" t="s">
        <v>58</v>
      </c>
    </row>
    <row r="337" spans="1:1" ht="20.100000000000001" customHeight="1" thickBot="1" x14ac:dyDescent="0.35">
      <c r="A337" s="2" t="s">
        <v>58</v>
      </c>
    </row>
    <row r="338" spans="1:1" ht="20.100000000000001" customHeight="1" thickBot="1" x14ac:dyDescent="0.35">
      <c r="A338" s="2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قائمة التقييم</vt:lpstr>
      <vt:lpstr>بيانات التقييم</vt:lpstr>
      <vt:lpstr>'قائمة التقييم'!_Hlk189049123</vt:lpstr>
      <vt:lpstr>'قائمة التقييم'!Print_Area</vt:lpstr>
      <vt:lpstr>'قائمة التقييم'!Print_Titles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2025-10-28T04:16:00Z</dcterms:modified>
</cp:coreProperties>
</file>