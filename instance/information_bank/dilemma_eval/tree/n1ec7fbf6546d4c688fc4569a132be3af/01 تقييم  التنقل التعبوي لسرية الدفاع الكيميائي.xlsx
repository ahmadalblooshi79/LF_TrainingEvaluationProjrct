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E2714934-8E7B-43B9-8A4A-FF64D3155F7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التقييم'!$A$1:$J$87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2" i="2"/>
  <c r="H12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30" i="2"/>
  <c r="H30" i="2"/>
  <c r="G31" i="2"/>
  <c r="H31" i="2"/>
  <c r="G33" i="2"/>
  <c r="H33" i="2"/>
  <c r="G34" i="2"/>
  <c r="H34" i="2"/>
  <c r="G35" i="2"/>
  <c r="H35" i="2"/>
  <c r="G36" i="2"/>
  <c r="H36" i="2"/>
  <c r="G37" i="2"/>
  <c r="H37" i="2"/>
  <c r="G38" i="2"/>
  <c r="H38" i="2"/>
  <c r="G41" i="2"/>
  <c r="H41" i="2"/>
  <c r="G42" i="2"/>
  <c r="H42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2" i="2"/>
  <c r="H52" i="2" s="1"/>
  <c r="G53" i="2"/>
  <c r="H53" i="2"/>
  <c r="G54" i="2"/>
  <c r="H54" i="2"/>
  <c r="G55" i="2"/>
  <c r="H55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4" i="2"/>
  <c r="H74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 s="1"/>
  <c r="G82" i="2"/>
  <c r="H82" i="2" s="1"/>
  <c r="F83" i="2"/>
  <c r="E83" i="2"/>
  <c r="E84" i="2" s="1"/>
  <c r="E85" i="2" s="1"/>
</calcChain>
</file>

<file path=xl/sharedStrings.xml><?xml version="1.0" encoding="utf-8"?>
<sst xmlns="http://schemas.openxmlformats.org/spreadsheetml/2006/main" count="314" uniqueCount="256">
  <si>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</si>
  <si>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</si>
  <si>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</si>
  <si>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</si>
  <si>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</si>
  <si>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</si>
  <si>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</si>
  <si>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</si>
  <si>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</si>
  <si>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</si>
  <si>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</si>
  <si>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</si>
  <si>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</si>
  <si>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</si>
  <si>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</si>
  <si>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</si>
  <si>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</si>
  <si>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</si>
  <si>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</si>
  <si>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</si>
  <si>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</si>
  <si>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</si>
  <si>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</si>
  <si>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</si>
  <si>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</si>
  <si>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</si>
  <si>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</si>
  <si>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</si>
  <si>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</si>
  <si>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</si>
  <si>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</si>
  <si>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</si>
  <si>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</si>
  <si>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</si>
  <si>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</si>
  <si>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</si>
  <si>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</si>
  <si>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</si>
  <si>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</si>
  <si>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</si>
  <si>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</si>
  <si>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</si>
  <si>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</si>
  <si>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</si>
  <si>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</si>
  <si>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</si>
  <si>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</si>
  <si>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</si>
  <si>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</si>
  <si>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</si>
  <si>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</si>
  <si>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</si>
  <si>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</si>
  <si>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</si>
  <si>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</si>
  <si>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</si>
  <si>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</si>
  <si>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</si>
  <si>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</si>
  <si>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</si>
  <si>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</si>
  <si>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</si>
  <si>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</si>
  <si>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</si>
  <si>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</si>
  <si>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</si>
  <si>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</si>
  <si>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</si>
  <si>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</si>
  <si>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</si>
  <si>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</si>
  <si>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</si>
  <si>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</si>
  <si>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</si>
  <si>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</si>
  <si>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</si>
  <si>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</si>
  <si>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</si>
  <si>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</si>
  <si>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</si>
  <si>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</si>
  <si>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</si>
  <si>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</si>
  <si>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</si>
  <si>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</si>
  <si>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</si>
  <si>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</si>
  <si>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</si>
  <si>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</si>
  <si>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</si>
  <si>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</si>
  <si>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</si>
  <si>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</si>
  <si>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</si>
  <si>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</si>
  <si>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</si>
  <si>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</si>
  <si>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</si>
  <si>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</si>
  <si>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</si>
  <si>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</si>
  <si>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</si>
  <si>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</si>
  <si>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</si>
  <si>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</si>
  <si>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</si>
  <si>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</si>
  <si>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</si>
  <si>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</si>
  <si>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</si>
  <si>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</si>
  <si>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</si>
  <si>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</si>
  <si>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</si>
  <si>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</si>
  <si>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</si>
  <si>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</si>
  <si>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</si>
  <si>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</si>
  <si>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</si>
  <si>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</si>
  <si>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</si>
  <si>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</si>
  <si>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</si>
  <si>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</si>
  <si>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</si>
  <si>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</si>
  <si>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</si>
  <si>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</si>
  <si>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</si>
  <si>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</si>
  <si>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</si>
  <si>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</si>
  <si>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</si>
  <si>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</si>
  <si>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</si>
  <si>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</si>
  <si>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</si>
  <si>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</si>
  <si>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</si>
  <si>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</si>
  <si>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</si>
  <si>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</si>
  <si>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</si>
  <si>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</si>
  <si>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</si>
  <si>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</si>
  <si>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</si>
  <si>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</si>
  <si>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</si>
  <si>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</si>
  <si>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</si>
  <si>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</si>
  <si>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</si>
  <si>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</si>
  <si>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</si>
  <si>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</si>
  <si>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</si>
  <si>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</si>
  <si>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</si>
  <si>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</si>
  <si>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</si>
  <si>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</si>
  <si>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</si>
  <si>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</si>
  <si>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</si>
  <si>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</si>
  <si>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</si>
  <si>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</si>
  <si>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</si>
  <si>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</si>
  <si>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</si>
  <si>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</si>
  <si>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</si>
  <si>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</si>
  <si>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</si>
  <si>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</si>
  <si>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</si>
  <si>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</si>
  <si>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</si>
  <si>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rPr>
        <b/>
        <sz val="14"/>
        <color rgb="FF000000"/>
        <rFont val="Arial"/>
        <family val="2"/>
      </rPr>
      <t>تقييم سرية الدفاع الكيميائي في التنقل التعبوي من منطقة الحشد إلى منطقة التجمع الأمامية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</si>
  <si>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مرحلة التخطيط</t>
  </si>
  <si>
    <t>2.   تسلمت قيادة سرية الدفاع الكيميائي أمر العمليات أو الأمر المجزأ لتنفيذ عملية التنقل التعبوي وتم البدء بإجراءات التخطيط وكما يلي:</t>
  </si>
  <si>
    <t>أ. تحديد متطلبات التنقل.</t>
  </si>
  <si>
    <t>ب. طلب المنتجات الاستخبارية المحدّثة من المستوى الأعلى في حالة عدم استلامها مع أمر العمليات.</t>
  </si>
  <si>
    <t>أ. طريق/ طرق التنقل في حالة عدم تحديدها من قبل المستوى الأعلى.</t>
  </si>
  <si>
    <t>ب. مقتربات العدو الأكثر احتمالاً (في حال كان التماس مع العدو متوقعاً).</t>
  </si>
  <si>
    <t>جـ. نقطة البدء ونقطة الانتشار.</t>
  </si>
  <si>
    <t>د. المناطق الحرجة مثل المناطق الخطرة، الممرات الضيقة، الخوانق، نقاط السيطرة على المسير.</t>
  </si>
  <si>
    <t>هـ. منطقة التجمع ومنطقة المأوى.</t>
  </si>
  <si>
    <t>أ. وضع أولويات التنقل للوحدات المرؤوسة.</t>
  </si>
  <si>
    <t>ب. تحديد أسلوب التنقل الذي سيتم استخدامه (رتل واحد أو عدة ارتال).</t>
  </si>
  <si>
    <t>جـ. تحديد معدل سرعة المسير.</t>
  </si>
  <si>
    <t>د. تحديد المسافات الفاصلة بين الآليات.</t>
  </si>
  <si>
    <t>هـ. تحديد الوقت الذي تجتاز فيه مقدمة أو ذيل الرتل النقاط الحرجة.</t>
  </si>
  <si>
    <t>و. تحديد أماكن ونقاط التوقف المحددة وحسب الحاجة.</t>
  </si>
  <si>
    <t>أ. التأكد من توفر الطرق والظروف المناسبة للتنقل إذا لم يتم تحديد الطرق من قبل المستوى الأعلى.</t>
  </si>
  <si>
    <t>ب. التأكد من ملائمة نقطة البدء ونقطة الانتشار.</t>
  </si>
  <si>
    <t>جـ. التأكد من المسافة بين نقاط الضبط والسيطرة على الطرق والمسافة الكلية من نقطة البدء وحتى نقطة الانتشار.</t>
  </si>
  <si>
    <t>د. التأكد من موقع منطقة التجمع أو المأوى.</t>
  </si>
  <si>
    <t>هـ. التأكد من مواقع نقاط الضبط والسيطرة على الطريق عند الطلب.</t>
  </si>
  <si>
    <t>و. تحديد وتأشير الموانع.</t>
  </si>
  <si>
    <t>مرحلة التحضير</t>
  </si>
  <si>
    <t>أ. تحضير المعدات.</t>
  </si>
  <si>
    <t>ب. تحضير الملابس.</t>
  </si>
  <si>
    <t>جـ. تحضير الأرزاق والمياه.</t>
  </si>
  <si>
    <t>د. تحضير الأسلحة الخفيفة والمتوسطة.</t>
  </si>
  <si>
    <t>أ. التأكد من صلاحية المعدات.</t>
  </si>
  <si>
    <t>ب. توفير المعدات الخاصة (خرائط، شفافات، أجهزة تحديد المواقع، البوصلة، جداول التحميل.... وغير ذلك).</t>
  </si>
  <si>
    <t>جـ. فحص الأسلحة.</t>
  </si>
  <si>
    <t>د. تعبئة الذخيرة.</t>
  </si>
  <si>
    <t>هـ. صلاحية الأسلحة والصيانة.</t>
  </si>
  <si>
    <t>أ. تنفيذ اصلاح الأعطال.</t>
  </si>
  <si>
    <t>ب. تعبئة خزانات الوقود.</t>
  </si>
  <si>
    <t>جـ. تحميل كافة الآليات وفقاً لخطة التحميل وخطة الإدامة والإمدادات.</t>
  </si>
  <si>
    <t>د. فحص أجهزة الاتصالات في كافة الآليات قبل البدء بالحركة.</t>
  </si>
  <si>
    <t>أ. قيام كل وحدة مرؤوسة باستطلاع الطريق المؤدي إلى نقطة البدء وتحديد الوقت الدقيق للوصول إليها.</t>
  </si>
  <si>
    <t>ب. تنفيذ تفقدات وتفتيشات ما قبل المعركة.</t>
  </si>
  <si>
    <t>جـ. الإشراف على إجراءات الوحدات المرؤوسة للتأكد من أن جهود التخطيط والتحضير تجري في الاتجاه الصحيح وتتوافق مع قصد القائد.</t>
  </si>
  <si>
    <t>د. إجراء التجارب خلال ساعات النهار وفي ظل ظروف الرؤية المحدودة إن أمكن.</t>
  </si>
  <si>
    <t>هـ. تحميل كافة الآليات وفقاً لخطة التحميل وخطة الإدامة.</t>
  </si>
  <si>
    <t>و. إيجاز الدلاء وتوزيعهم في مواقعهم.</t>
  </si>
  <si>
    <t>ز. فحص أجهزة الاتصالات في كافة الآليات قبل البدء بالحركة.</t>
  </si>
  <si>
    <t>مرحلة التنفيذ</t>
  </si>
  <si>
    <t>أ. تمرير معلومات الوصول إلى نقاط الانتشار واتمام اجتيازها دون توقف.</t>
  </si>
  <si>
    <t>ب. الالتقاء مع أدلاء جماعة المأوى/ منطقة التجمع.</t>
  </si>
  <si>
    <t>جـ. تطبيق الانتشار وإجراءات التخفية والتمويه الملائمة.</t>
  </si>
  <si>
    <t>د. تطبيق إجراءات التعامل واستخدام إنارة الآليات خلال المسير ليلًا أو في ظروف الرؤيا المحدودة.</t>
  </si>
  <si>
    <t>1.   يعمل القادة في سرية الدفاع الكيميائي على فهم الموقف باستخدام معدات الاتصال المتوفرة، والخرائط، وملخصات الاستخبارات، وتقارير الموقف، ومصادر المعلومات المتوفرة الأخرى.</t>
  </si>
  <si>
    <t>3.   تنفيذ الاستطلاع من الخارطة لتحديد ما يلي:</t>
  </si>
  <si>
    <t>4.   استخدام عناصر الاستطلاع والمراقبة مبكراً للمساعدة في عملية التخطيط (حسب الحاجة).</t>
  </si>
  <si>
    <t>5.   تنظيم الفصائل المرؤوسة في سرية الدفاع الكيميائي إلى عنصر الاستطلاع، جماعة المأوى، الجسم الرئيسي، حرس الأجنحة والمؤخر وحسب الحاجة.</t>
  </si>
  <si>
    <t>6.   وضع إجراءات السيطرة للمساعدة في عملية التنقل وكما يلي:</t>
  </si>
  <si>
    <t>7.   تحديد إجراءات الحماية التي سيتم تطبيقها قبل بدء التنقل، أثناء التنقل وبعد الوصول.</t>
  </si>
  <si>
    <t>8.   التخطيط للإدامة.</t>
  </si>
  <si>
    <t>9.   تخطيط وتنسيق عمليات إخلاء الإصابات.</t>
  </si>
  <si>
    <t>10.   إصدار الأوامر المرؤوسين، وتقديم إجازات تأكيدية من القادة المرؤوسين فور استلامهم للأوامر للتأكد من فهمهم لقصد القائد ومفهوم عملياته.</t>
  </si>
  <si>
    <t xml:space="preserve">11.   قد تقوم سرية الدفاع الكيميائي (حسب الحاجة) بتكليف بعض العناصر للعمل كعناصر استطلاع لتنفيذ الواجبات الموكلة لها وتتمثل بما يلي: </t>
  </si>
  <si>
    <t>1.   تحضير الافراد.</t>
  </si>
  <si>
    <t>2.   تحضير الأسلحة والمعدات.</t>
  </si>
  <si>
    <r>
      <t>3.   تحضير وتجهيز الآليات</t>
    </r>
    <r>
      <rPr>
        <sz val="12"/>
        <color rgb="FF000000"/>
        <rFont val="Arial"/>
        <family val="2"/>
      </rPr>
      <t>.</t>
    </r>
  </si>
  <si>
    <t>4.   تقوم سرية الدفاع الكيميائي بالتحضير للتنقل التعبوي كما يلي:</t>
  </si>
  <si>
    <t>5.   إيجاز وإرسال جماعة المأوى للأمام.</t>
  </si>
  <si>
    <t>6.   توضيع عناصر سرية الدفاع الكيميائي ضمن نظام المسير الصحيح.</t>
  </si>
  <si>
    <t>1. اجتياز نقطة البدء في الوقت المحدد في أمر العمليات أو الأمر المجزأ.</t>
  </si>
  <si>
    <t>2. استخدام التشكيلة المحددة، أسلوب التنقل ومعدل المسير. والمحافظة على السرعة الملائمة للوصول إلى نقاط الضبط والسيطرة في الأوقات المحددة في الأمر.</t>
  </si>
  <si>
    <t>3. استخدام إشارات التعارف البصرية أو الأجهزة اللاسلكية للاتصال مع الوحدات وبما يتوافق مع أمر العمليات والأوامر التعبوية المستديمة.</t>
  </si>
  <si>
    <t>4. إدامة المراقبة لجميع الجهات بما في ذلك المراقبة الجوية أثناء الحركة والوقفات.</t>
  </si>
  <si>
    <t>5. تمرير المعلومات عند اجتياز نقاط الضبط والسيطرة بما يتوافق مع أمر العمليات والأوامر التعبوية المستديمة.</t>
  </si>
  <si>
    <t>6. تنفيذ الوقفات المبرمجة ضمن المسافات الاعتيادية وبما يتوافق مع أمر العمليات أو الأوامر التعبوية المستديمة في حالة سمح الموقف التعبوي بذلك، والقيام بإجراء الصيانة الوقائية وإعادة التزود بالوقود عند الضرورة.</t>
  </si>
  <si>
    <t>7. التعامل مع الموانع حسب الأوامر.</t>
  </si>
  <si>
    <t>8. تمرير مواقع الوحدات للمستوى الأعلى وحسب الطلب.</t>
  </si>
  <si>
    <t>9. تنفيذ عمليات التزويد حسب الحاجة.</t>
  </si>
  <si>
    <t>10. تنفيذ عمليات الصيانة والإنقاذ حسب الحاجة.</t>
  </si>
  <si>
    <t>11. الوصول إلى نقاط الانتشار واجتيازها من قبل الوحدات حسب الوقت المحدد في أمر العمليات وتنفيذ الإجراءات التالية:</t>
  </si>
  <si>
    <t>21. التقيد بقواعد الاشتباك وقواعد التعامل مع المدنيين.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</si>
</sst>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6D9F1"/>
        <bgColor indexed="64"/>
      </patternFill>
    </fill>
    <fill>
      <patternFill patternType="solid">
        <fgColor rgb="FFB8CCE4"/>
        <bgColor indexed="64"/>
      </patternFill>
    </fill>
  </fills>
  <borders count="30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5" borderId="3" xfId="0" applyFont="1" applyFill="1" applyBorder="1" applyAlignment="1">
      <alignment horizontal="center" vertical="center" wrapText="1" readingOrder="2"/>
    </xf>
    <xf numFmtId="0" fontId="12" fillId="5" borderId="3" xfId="0" applyFont="1" applyFill="1" applyBorder="1" applyAlignment="1">
      <alignment horizontal="center" vertical="center" wrapText="1" readingOrder="2"/>
    </xf>
    <xf numFmtId="0" fontId="2" fillId="5" borderId="12" xfId="0" applyFont="1" applyFill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5" borderId="14" xfId="0" applyFont="1" applyFill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12" fillId="5" borderId="24" xfId="0" applyFont="1" applyFill="1" applyBorder="1" applyAlignment="1">
      <alignment horizontal="right" vertical="center" wrapText="1" readingOrder="2"/>
    </xf>
    <xf numFmtId="0" fontId="12" fillId="5" borderId="3" xfId="0" applyFont="1" applyFill="1" applyBorder="1" applyAlignment="1">
      <alignment horizontal="right" vertical="center" wrapText="1" readingOrder="2"/>
    </xf>
    <xf numFmtId="0" fontId="12" fillId="5" borderId="24" xfId="0" applyFont="1" applyFill="1" applyBorder="1" applyAlignment="1">
      <alignment horizontal="right" vertical="center" wrapText="1" indent="2" readingOrder="2"/>
    </xf>
    <xf numFmtId="0" fontId="12" fillId="5" borderId="3" xfId="0" applyFont="1" applyFill="1" applyBorder="1" applyAlignment="1">
      <alignment horizontal="right" vertical="center" wrapText="1" indent="2" readingOrder="2"/>
    </xf>
    <xf numFmtId="0" fontId="12" fillId="5" borderId="11" xfId="0" applyFont="1" applyFill="1" applyBorder="1" applyAlignment="1">
      <alignment horizontal="right" vertical="center" wrapText="1" readingOrder="2"/>
    </xf>
    <xf numFmtId="0" fontId="12" fillId="5" borderId="12" xfId="0" applyFont="1" applyFill="1" applyBorder="1" applyAlignment="1">
      <alignment horizontal="right" vertical="center" wrapText="1" readingOrder="2"/>
    </xf>
    <xf numFmtId="0" fontId="12" fillId="5" borderId="25" xfId="0" applyFont="1" applyFill="1" applyBorder="1" applyAlignment="1">
      <alignment horizontal="right" vertical="center" wrapText="1" readingOrder="2"/>
    </xf>
    <xf numFmtId="0" fontId="12" fillId="5" borderId="14" xfId="0" applyFont="1" applyFill="1" applyBorder="1" applyAlignment="1">
      <alignment horizontal="right" vertical="center" wrapText="1" readingOrder="2"/>
    </xf>
    <xf numFmtId="0" fontId="1" fillId="7" borderId="27" xfId="0" applyFont="1" applyFill="1" applyBorder="1" applyAlignment="1">
      <alignment horizontal="right" vertical="center" wrapText="1" readingOrder="2"/>
    </xf>
    <xf numFmtId="0" fontId="1" fillId="7" borderId="28" xfId="0" applyFont="1" applyFill="1" applyBorder="1" applyAlignment="1">
      <alignment horizontal="right" vertical="center" wrapText="1" readingOrder="2"/>
    </xf>
    <xf numFmtId="0" fontId="1" fillId="7" borderId="29" xfId="0" applyFont="1" applyFill="1" applyBorder="1" applyAlignment="1">
      <alignment horizontal="right" vertical="center" wrapText="1" readingOrder="2"/>
    </xf>
    <xf numFmtId="0" fontId="13" fillId="5" borderId="24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2" fillId="5" borderId="11" xfId="0" applyFont="1" applyFill="1" applyBorder="1" applyAlignment="1">
      <alignment horizontal="right" vertical="center" wrapText="1" indent="2" readingOrder="2"/>
    </xf>
    <xf numFmtId="0" fontId="12" fillId="5" borderId="12" xfId="0" applyFont="1" applyFill="1" applyBorder="1" applyAlignment="1">
      <alignment horizontal="right" vertical="center" wrapText="1" indent="2" readingOrder="2"/>
    </xf>
    <xf numFmtId="0" fontId="1" fillId="6" borderId="27" xfId="0" applyFont="1" applyFill="1" applyBorder="1" applyAlignment="1">
      <alignment horizontal="right" vertical="center" wrapText="1" readingOrder="2"/>
    </xf>
    <xf numFmtId="0" fontId="1" fillId="6" borderId="28" xfId="0" applyFont="1" applyFill="1" applyBorder="1" applyAlignment="1">
      <alignment horizontal="right" vertical="center" wrapText="1" readingOrder="2"/>
    </xf>
    <xf numFmtId="0" fontId="1" fillId="6" borderId="29" xfId="0" applyFont="1" applyFill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16" xfId="0" applyFont="1" applyBorder="1" applyAlignment="1">
      <alignment horizontal="center" vertical="center" wrapText="1" readingOrder="2"/>
    </xf>
    <xf numFmtId="0" fontId="2" fillId="0" borderId="17" xfId="0" applyFont="1" applyBorder="1" applyAlignment="1">
      <alignment horizontal="center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7" fillId="4" borderId="19" xfId="0" applyFont="1" applyFill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6" fillId="0" borderId="15" xfId="0" applyFont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23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139134</xdr:colOff>
      <xdr:row>86</xdr:row>
      <xdr:rowOff>144261</xdr:rowOff>
    </xdr:from>
    <xdr:to>
      <xdr:col>8</xdr:col>
      <xdr:colOff>44654</xdr:colOff>
      <xdr:row>86</xdr:row>
      <xdr:rowOff>532701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6FB184CC-DFEC-12B4-8A6E-B6EF906AC316}"/>
                </a:ext>
              </a:extLst>
            </xdr14:cNvPr>
            <xdr14:cNvContentPartPr/>
          </xdr14:nvContentPartPr>
          <xdr14:nvPr macro=""/>
          <xdr14:xfrm>
            <a:off x="10437009309" y="36928080"/>
            <a:ext cx="565920" cy="3884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FB184CC-DFEC-12B4-8A6E-B6EF906AC316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37003189" y="36921960"/>
              <a:ext cx="578160" cy="4006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3T05:00:28.8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204 1078,'0'0,"0"0,0 0,0 0,0 0,0 0,0 0,0 0,0 0,0 0,0 0,0 0,0 0,12 0,-5 0,0 0,16 0,0 0,-9 0,37 0,-23 0,-7 0,27 0,-3 0,-16 0,46 0,-49 0,-1 0,24-13,-31 13,0 0,8 0,-14-7,-1 1,3 6,-14-6,0-1,11-6,-11 7,0 0,-11-7,4 13,0 0,-30-13,25 7,1-1,-3 7,-9-13,-3 0,-36 1,43 12,1 0,-5-13,8 13,4 0,-1-13,-1 13,1 0,12-13,0 7,12-1,1 7,-1 0,-1 0,15-13,-7 7,-1 0,20 6,-27-7,3 1,9 6,-9-7,-2 1,13 6,-20-7,1 1,6 6,-5 0,-26 0,19-13,-6 13,1 0,5-10,0 8,-14 2,21 0,0 0,2 0,-7 0,24-13,-14 13,-1 0,26-13,-19 6,2 1,31 6,-28-7,2 1,12-7,-18 7,-1 0,7-7,-20 6,2 1,-7-4,0 7,-26-10,22 7,-3-1,-30-5,18-2,1 2,-19-1,11 0,3 0,-40 1,29-2,6 2,-20-1,13 0,7 0,-21 1,31 5,-1 1,-18-20,19 19,-1 1,-7-7,15 0,-1 1,-1-1,8-1,-2 2,-4-13,15 18,3 1,5-33,1 26,-1 1,37-27,-17 12,-2 3,45-27,-22 24,-7 2,51-13,-51 24,-3 2,30 12,-42 0,-2 0,34 13,-45-6,1-1,18 19,-9-18,-8-1,31 20,-31-12,-2-2,19 13,-26-11,1-2,25 14,-18-20,-1 0,8 20,-15-19,3-1,-3 7,-3-6,-4-1,-4 6,0-5,0-1,-12 7,1-6,-3-1,-71 20,27-6,4-2,-83 20,54-17,7-3,-98 33,91-24,6-2,-34 13,65-24,7-2,-50 13,66-18,-2-1,-24 20,24-19,-1-1,-11 7,14-7,-3 0,1-6,13 7,1-1,-15-6,19 7,2-1,-8-6,8 0,-2 0,-4 0,4 0,25 0,-11 7,-2-1,-5-6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87"/>
  <sheetViews>
    <sheetView rightToLeft="1" tabSelected="1" view="pageBreakPreview" topLeftCell="A77" zoomScale="130" zoomScaleNormal="100" zoomScaleSheetLayoutView="130" workbookViewId="0">
      <selection activeCell="K84" sqref="K84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5" t="s">
        <v>180</v>
      </c>
      <c r="C1" s="65"/>
      <c r="D1" s="65"/>
      <c r="E1" s="65"/>
      <c r="F1" s="65"/>
      <c r="G1" s="65"/>
      <c r="H1" s="65"/>
      <c r="I1" s="65"/>
      <c r="J1" s="65"/>
    </row>
    <row r="2" spans="1:10" ht="30" customHeight="1" x14ac:dyDescent="0.3">
      <c r="B2" s="9" t="s">
        <v>8</v>
      </c>
      <c r="C2" s="71" t="s">
        <v>13</v>
      </c>
      <c r="D2" s="71"/>
      <c r="E2" s="9" t="s">
        <v>7</v>
      </c>
      <c r="F2" s="66">
        <v>45952</v>
      </c>
      <c r="G2" s="66"/>
      <c r="H2" s="66"/>
      <c r="I2" s="66"/>
      <c r="J2" s="66"/>
    </row>
    <row r="3" spans="1:10" ht="30" customHeight="1" x14ac:dyDescent="0.3">
      <c r="B3" s="9" t="s">
        <v>9</v>
      </c>
      <c r="C3" s="71" t="s">
        <v>71</v>
      </c>
      <c r="D3" s="71"/>
      <c r="E3" s="9" t="s">
        <v>6</v>
      </c>
      <c r="F3" s="71" t="s">
        <v>135</v>
      </c>
      <c r="G3" s="71"/>
      <c r="H3" s="71"/>
      <c r="I3" s="71"/>
      <c r="J3" s="71"/>
    </row>
    <row r="4" spans="1:10" ht="30" customHeight="1" thickBot="1" x14ac:dyDescent="0.35">
      <c r="B4" s="6"/>
      <c r="C4" s="92"/>
      <c r="D4" s="92"/>
      <c r="E4" s="6"/>
      <c r="F4" s="92"/>
      <c r="G4" s="92"/>
      <c r="H4" s="92"/>
      <c r="I4" s="92"/>
      <c r="J4" s="92"/>
    </row>
    <row r="5" spans="1:10" ht="24.9" customHeight="1" x14ac:dyDescent="0.3">
      <c r="A5" s="7"/>
      <c r="B5" s="67" t="s">
        <v>0</v>
      </c>
      <c r="C5" s="68"/>
      <c r="D5" s="68"/>
      <c r="E5" s="78" t="s">
        <v>1</v>
      </c>
      <c r="F5" s="78"/>
      <c r="G5" s="78"/>
      <c r="H5" s="78"/>
      <c r="I5" s="78" t="s">
        <v>2</v>
      </c>
      <c r="J5" s="79"/>
    </row>
    <row r="6" spans="1:10" ht="24.9" customHeight="1" thickBot="1" x14ac:dyDescent="0.35">
      <c r="A6" s="7"/>
      <c r="B6" s="69"/>
      <c r="C6" s="70"/>
      <c r="D6" s="70"/>
      <c r="E6" s="8" t="s">
        <v>3</v>
      </c>
      <c r="F6" s="8" t="s">
        <v>4</v>
      </c>
      <c r="G6" s="8" t="s">
        <v>23</v>
      </c>
      <c r="H6" s="8" t="s">
        <v>24</v>
      </c>
      <c r="I6" s="80"/>
      <c r="J6" s="81"/>
    </row>
    <row r="7" spans="1:10" ht="24.9" customHeight="1" thickBot="1" x14ac:dyDescent="0.35">
      <c r="A7" s="7"/>
      <c r="B7" s="74" t="s">
        <v>21</v>
      </c>
      <c r="C7" s="75"/>
      <c r="D7" s="75"/>
      <c r="E7" s="25" t="s">
        <v>18</v>
      </c>
      <c r="F7" s="25" t="s">
        <v>19</v>
      </c>
      <c r="G7" s="25" t="s">
        <v>22</v>
      </c>
      <c r="H7" s="25" t="s">
        <v>20</v>
      </c>
      <c r="I7" s="82" t="s">
        <v>25</v>
      </c>
      <c r="J7" s="83"/>
    </row>
    <row r="8" spans="1:10" ht="30" customHeight="1" x14ac:dyDescent="0.3">
      <c r="A8" s="7"/>
      <c r="B8" s="53" t="s">
        <v>181</v>
      </c>
      <c r="C8" s="54"/>
      <c r="D8" s="54"/>
      <c r="E8" s="54"/>
      <c r="F8" s="54"/>
      <c r="G8" s="54"/>
      <c r="H8" s="54"/>
      <c r="I8" s="54"/>
      <c r="J8" s="55"/>
    </row>
    <row r="9" spans="1:10" ht="52.5" customHeight="1" x14ac:dyDescent="0.3">
      <c r="A9" s="7"/>
      <c r="B9" s="38" t="s">
        <v>228</v>
      </c>
      <c r="C9" s="39"/>
      <c r="D9" s="39"/>
      <c r="E9" s="29">
        <v>5</v>
      </c>
      <c r="F9" s="23">
        <v>4</v>
      </c>
      <c r="G9" s="27">
        <f>IFERROR(F9/E9,"")</f>
        <v>0.8</v>
      </c>
      <c r="H9" s="28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6"/>
      <c r="J9" s="57"/>
    </row>
    <row r="10" spans="1:10" ht="39.9" customHeight="1" x14ac:dyDescent="0.3">
      <c r="A10" s="7"/>
      <c r="B10" s="38" t="s">
        <v>182</v>
      </c>
      <c r="C10" s="39"/>
      <c r="D10" s="39"/>
      <c r="E10" s="30"/>
      <c r="F10" s="23"/>
      <c r="G10" s="27"/>
      <c r="H10" s="28"/>
      <c r="I10" s="56"/>
      <c r="J10" s="57"/>
    </row>
    <row r="11" spans="1:10" ht="30" customHeight="1" x14ac:dyDescent="0.3">
      <c r="A11" s="7"/>
      <c r="B11" s="40" t="s">
        <v>183</v>
      </c>
      <c r="C11" s="41"/>
      <c r="D11" s="41"/>
      <c r="E11" s="29">
        <v>5</v>
      </c>
      <c r="F11" s="23">
        <v>4</v>
      </c>
      <c r="G11" s="27">
        <f t="shared" ref="G11:G70" si="0">IFERROR(F11/E11,"")</f>
        <v>0.8</v>
      </c>
      <c r="H11" s="28" t="str">
        <f t="shared" ref="H11:H70" si="1">_xlfn.IFS(F11="أدخل العلامة","",F11="لا ينطبق","تم الإلغاء",G11&gt;=90%,"ممتاز",G11&gt;=80%,"جيد جداً",G11&gt;=70%,"جيد",G11&gt;=60%,"مقبول",G11&lt;60%,"راسب")</f>
        <v>جيد جداً</v>
      </c>
      <c r="I11" s="56"/>
      <c r="J11" s="57"/>
    </row>
    <row r="12" spans="1:10" ht="39.9" customHeight="1" x14ac:dyDescent="0.3">
      <c r="A12" s="7"/>
      <c r="B12" s="40" t="s">
        <v>184</v>
      </c>
      <c r="C12" s="41"/>
      <c r="D12" s="41"/>
      <c r="E12" s="29">
        <v>5</v>
      </c>
      <c r="F12" s="23">
        <v>4</v>
      </c>
      <c r="G12" s="27">
        <f t="shared" si="0"/>
        <v>0.8</v>
      </c>
      <c r="H12" s="28" t="str">
        <f t="shared" si="1"/>
        <v>جيد جداً</v>
      </c>
      <c r="I12" s="56"/>
      <c r="J12" s="57"/>
    </row>
    <row r="13" spans="1:10" ht="30" customHeight="1" x14ac:dyDescent="0.3">
      <c r="A13" s="7"/>
      <c r="B13" s="38" t="s">
        <v>229</v>
      </c>
      <c r="C13" s="39"/>
      <c r="D13" s="39"/>
      <c r="E13" s="29"/>
      <c r="F13" s="23"/>
      <c r="G13" s="27"/>
      <c r="H13" s="28"/>
      <c r="I13" s="56"/>
      <c r="J13" s="57"/>
    </row>
    <row r="14" spans="1:10" ht="30" customHeight="1" x14ac:dyDescent="0.3">
      <c r="A14" s="7"/>
      <c r="B14" s="40" t="s">
        <v>185</v>
      </c>
      <c r="C14" s="41"/>
      <c r="D14" s="41"/>
      <c r="E14" s="29">
        <v>5</v>
      </c>
      <c r="F14" s="23">
        <v>4</v>
      </c>
      <c r="G14" s="27">
        <f t="shared" si="0"/>
        <v>0.8</v>
      </c>
      <c r="H14" s="28" t="str">
        <f t="shared" si="1"/>
        <v>جيد جداً</v>
      </c>
      <c r="I14" s="56"/>
      <c r="J14" s="57"/>
    </row>
    <row r="15" spans="1:10" ht="39.9" customHeight="1" x14ac:dyDescent="0.3">
      <c r="A15" s="7"/>
      <c r="B15" s="40" t="s">
        <v>186</v>
      </c>
      <c r="C15" s="41"/>
      <c r="D15" s="41"/>
      <c r="E15" s="29">
        <v>5</v>
      </c>
      <c r="F15" s="23">
        <v>4</v>
      </c>
      <c r="G15" s="27">
        <f t="shared" si="0"/>
        <v>0.8</v>
      </c>
      <c r="H15" s="28" t="str">
        <f t="shared" si="1"/>
        <v>جيد جداً</v>
      </c>
      <c r="I15" s="56"/>
      <c r="J15" s="57"/>
    </row>
    <row r="16" spans="1:10" ht="30" customHeight="1" x14ac:dyDescent="0.3">
      <c r="A16" s="7"/>
      <c r="B16" s="40" t="s">
        <v>187</v>
      </c>
      <c r="C16" s="41"/>
      <c r="D16" s="41"/>
      <c r="E16" s="29">
        <v>5</v>
      </c>
      <c r="F16" s="23">
        <v>4</v>
      </c>
      <c r="G16" s="27">
        <f t="shared" si="0"/>
        <v>0.8</v>
      </c>
      <c r="H16" s="28" t="str">
        <f t="shared" si="1"/>
        <v>جيد جداً</v>
      </c>
      <c r="I16" s="56"/>
      <c r="J16" s="57"/>
    </row>
    <row r="17" spans="1:10" ht="39.9" customHeight="1" x14ac:dyDescent="0.3">
      <c r="A17" s="7"/>
      <c r="B17" s="40" t="s">
        <v>188</v>
      </c>
      <c r="C17" s="41"/>
      <c r="D17" s="41"/>
      <c r="E17" s="29">
        <v>5</v>
      </c>
      <c r="F17" s="23">
        <v>4</v>
      </c>
      <c r="G17" s="27">
        <f t="shared" si="0"/>
        <v>0.8</v>
      </c>
      <c r="H17" s="28" t="str">
        <f t="shared" si="1"/>
        <v>جيد جداً</v>
      </c>
      <c r="I17" s="56"/>
      <c r="J17" s="57"/>
    </row>
    <row r="18" spans="1:10" ht="30" customHeight="1" x14ac:dyDescent="0.3">
      <c r="A18" s="7"/>
      <c r="B18" s="40" t="s">
        <v>189</v>
      </c>
      <c r="C18" s="41"/>
      <c r="D18" s="41"/>
      <c r="E18" s="29">
        <v>5</v>
      </c>
      <c r="F18" s="23">
        <v>4</v>
      </c>
      <c r="G18" s="27">
        <f t="shared" si="0"/>
        <v>0.8</v>
      </c>
      <c r="H18" s="28" t="str">
        <f t="shared" si="1"/>
        <v>جيد جداً</v>
      </c>
      <c r="I18" s="56"/>
      <c r="J18" s="57"/>
    </row>
    <row r="19" spans="1:10" ht="39.9" customHeight="1" x14ac:dyDescent="0.3">
      <c r="A19" s="7"/>
      <c r="B19" s="38" t="s">
        <v>230</v>
      </c>
      <c r="C19" s="39"/>
      <c r="D19" s="39"/>
      <c r="E19" s="29">
        <v>5</v>
      </c>
      <c r="F19" s="23">
        <v>4</v>
      </c>
      <c r="G19" s="27">
        <f t="shared" si="0"/>
        <v>0.8</v>
      </c>
      <c r="H19" s="28" t="str">
        <f t="shared" si="1"/>
        <v>جيد جداً</v>
      </c>
      <c r="I19" s="56"/>
      <c r="J19" s="57"/>
    </row>
    <row r="20" spans="1:10" ht="51" customHeight="1" x14ac:dyDescent="0.3">
      <c r="A20" s="7"/>
      <c r="B20" s="38" t="s">
        <v>231</v>
      </c>
      <c r="C20" s="39"/>
      <c r="D20" s="39"/>
      <c r="E20" s="29">
        <v>5</v>
      </c>
      <c r="F20" s="23">
        <v>3.75</v>
      </c>
      <c r="G20" s="27">
        <f t="shared" si="0"/>
        <v>0.75</v>
      </c>
      <c r="H20" s="28" t="str">
        <f t="shared" si="1"/>
        <v>جيد</v>
      </c>
      <c r="I20" s="56"/>
      <c r="J20" s="57"/>
    </row>
    <row r="21" spans="1:10" ht="30" customHeight="1" x14ac:dyDescent="0.3">
      <c r="A21" s="7"/>
      <c r="B21" s="38" t="s">
        <v>232</v>
      </c>
      <c r="C21" s="39"/>
      <c r="D21" s="39"/>
      <c r="E21" s="29"/>
      <c r="F21" s="23"/>
      <c r="G21" s="27"/>
      <c r="H21" s="28"/>
      <c r="I21" s="56"/>
      <c r="J21" s="57"/>
    </row>
    <row r="22" spans="1:10" ht="30" customHeight="1" x14ac:dyDescent="0.3">
      <c r="A22" s="7"/>
      <c r="B22" s="40" t="s">
        <v>190</v>
      </c>
      <c r="C22" s="41"/>
      <c r="D22" s="41"/>
      <c r="E22" s="29">
        <v>5</v>
      </c>
      <c r="F22" s="23">
        <v>4</v>
      </c>
      <c r="G22" s="27">
        <f t="shared" si="0"/>
        <v>0.8</v>
      </c>
      <c r="H22" s="28" t="str">
        <f t="shared" si="1"/>
        <v>جيد جداً</v>
      </c>
      <c r="I22" s="56"/>
      <c r="J22" s="57"/>
    </row>
    <row r="23" spans="1:10" ht="30" customHeight="1" x14ac:dyDescent="0.3">
      <c r="A23" s="7"/>
      <c r="B23" s="40" t="s">
        <v>191</v>
      </c>
      <c r="C23" s="41"/>
      <c r="D23" s="41"/>
      <c r="E23" s="29">
        <v>5</v>
      </c>
      <c r="F23" s="23">
        <v>4</v>
      </c>
      <c r="G23" s="27">
        <f t="shared" si="0"/>
        <v>0.8</v>
      </c>
      <c r="H23" s="28" t="str">
        <f t="shared" si="1"/>
        <v>جيد جداً</v>
      </c>
      <c r="I23" s="56"/>
      <c r="J23" s="57"/>
    </row>
    <row r="24" spans="1:10" ht="30" customHeight="1" x14ac:dyDescent="0.3">
      <c r="A24" s="7"/>
      <c r="B24" s="40" t="s">
        <v>192</v>
      </c>
      <c r="C24" s="41"/>
      <c r="D24" s="41"/>
      <c r="E24" s="29">
        <v>5</v>
      </c>
      <c r="F24" s="23">
        <v>3.75</v>
      </c>
      <c r="G24" s="27">
        <f t="shared" si="0"/>
        <v>0.75</v>
      </c>
      <c r="H24" s="28" t="str">
        <f t="shared" si="1"/>
        <v>جيد</v>
      </c>
      <c r="I24" s="56"/>
      <c r="J24" s="57"/>
    </row>
    <row r="25" spans="1:10" ht="30" customHeight="1" x14ac:dyDescent="0.3">
      <c r="A25" s="7"/>
      <c r="B25" s="40" t="s">
        <v>193</v>
      </c>
      <c r="C25" s="41"/>
      <c r="D25" s="41"/>
      <c r="E25" s="29">
        <v>5</v>
      </c>
      <c r="F25" s="23">
        <v>3.75</v>
      </c>
      <c r="G25" s="27">
        <f t="shared" si="0"/>
        <v>0.75</v>
      </c>
      <c r="H25" s="28" t="str">
        <f t="shared" si="1"/>
        <v>جيد</v>
      </c>
      <c r="I25" s="56"/>
      <c r="J25" s="57"/>
    </row>
    <row r="26" spans="1:10" ht="30" customHeight="1" x14ac:dyDescent="0.3">
      <c r="A26" s="7"/>
      <c r="B26" s="40" t="s">
        <v>194</v>
      </c>
      <c r="C26" s="41"/>
      <c r="D26" s="41"/>
      <c r="E26" s="29">
        <v>5</v>
      </c>
      <c r="F26" s="23">
        <v>3.75</v>
      </c>
      <c r="G26" s="27">
        <f t="shared" si="0"/>
        <v>0.75</v>
      </c>
      <c r="H26" s="28" t="str">
        <f t="shared" si="1"/>
        <v>جيد</v>
      </c>
      <c r="I26" s="56"/>
      <c r="J26" s="57"/>
    </row>
    <row r="27" spans="1:10" ht="30" customHeight="1" x14ac:dyDescent="0.3">
      <c r="A27" s="7"/>
      <c r="B27" s="40" t="s">
        <v>195</v>
      </c>
      <c r="C27" s="41"/>
      <c r="D27" s="41"/>
      <c r="E27" s="29">
        <v>5</v>
      </c>
      <c r="F27" s="23">
        <v>3.75</v>
      </c>
      <c r="G27" s="27">
        <f t="shared" si="0"/>
        <v>0.75</v>
      </c>
      <c r="H27" s="28" t="str">
        <f t="shared" si="1"/>
        <v>جيد</v>
      </c>
      <c r="I27" s="56"/>
      <c r="J27" s="57"/>
    </row>
    <row r="28" spans="1:10" ht="39.9" customHeight="1" x14ac:dyDescent="0.3">
      <c r="A28" s="7"/>
      <c r="B28" s="38" t="s">
        <v>233</v>
      </c>
      <c r="C28" s="39"/>
      <c r="D28" s="39"/>
      <c r="E28" s="29">
        <v>5</v>
      </c>
      <c r="F28" s="23">
        <v>4</v>
      </c>
      <c r="G28" s="27">
        <f t="shared" si="0"/>
        <v>0.8</v>
      </c>
      <c r="H28" s="28" t="str">
        <f t="shared" si="1"/>
        <v>جيد جداً</v>
      </c>
      <c r="I28" s="56"/>
      <c r="J28" s="57"/>
    </row>
    <row r="29" spans="1:10" ht="30" customHeight="1" x14ac:dyDescent="0.3">
      <c r="A29" s="7"/>
      <c r="B29" s="38" t="s">
        <v>234</v>
      </c>
      <c r="C29" s="39"/>
      <c r="D29" s="39"/>
      <c r="E29" s="29"/>
      <c r="F29" s="23"/>
      <c r="G29" s="27"/>
      <c r="H29" s="28"/>
      <c r="I29" s="56"/>
      <c r="J29" s="57"/>
    </row>
    <row r="30" spans="1:10" ht="30" customHeight="1" x14ac:dyDescent="0.3">
      <c r="A30" s="7"/>
      <c r="B30" s="38" t="s">
        <v>235</v>
      </c>
      <c r="C30" s="39"/>
      <c r="D30" s="39"/>
      <c r="E30" s="29">
        <v>5</v>
      </c>
      <c r="F30" s="23">
        <v>4</v>
      </c>
      <c r="G30" s="27">
        <f t="shared" si="0"/>
        <v>0.8</v>
      </c>
      <c r="H30" s="28" t="str">
        <f t="shared" si="1"/>
        <v>جيد جداً</v>
      </c>
      <c r="I30" s="56"/>
      <c r="J30" s="57"/>
    </row>
    <row r="31" spans="1:10" ht="51.75" customHeight="1" x14ac:dyDescent="0.3">
      <c r="A31" s="7"/>
      <c r="B31" s="38" t="s">
        <v>236</v>
      </c>
      <c r="C31" s="39"/>
      <c r="D31" s="39"/>
      <c r="E31" s="29">
        <v>5</v>
      </c>
      <c r="F31" s="23">
        <v>4</v>
      </c>
      <c r="G31" s="27">
        <f t="shared" si="0"/>
        <v>0.8</v>
      </c>
      <c r="H31" s="28" t="str">
        <f t="shared" si="1"/>
        <v>جيد جداً</v>
      </c>
      <c r="I31" s="56"/>
      <c r="J31" s="57"/>
    </row>
    <row r="32" spans="1:10" ht="39.9" customHeight="1" x14ac:dyDescent="0.3">
      <c r="A32" s="7"/>
      <c r="B32" s="38" t="s">
        <v>237</v>
      </c>
      <c r="C32" s="39"/>
      <c r="D32" s="39"/>
      <c r="E32" s="29"/>
      <c r="F32" s="23"/>
      <c r="G32" s="27"/>
      <c r="H32" s="28"/>
      <c r="I32" s="56"/>
      <c r="J32" s="57"/>
    </row>
    <row r="33" spans="1:10" ht="39.9" customHeight="1" x14ac:dyDescent="0.3">
      <c r="A33" s="7"/>
      <c r="B33" s="40" t="s">
        <v>196</v>
      </c>
      <c r="C33" s="41"/>
      <c r="D33" s="41"/>
      <c r="E33" s="29">
        <v>5</v>
      </c>
      <c r="F33" s="23">
        <v>4</v>
      </c>
      <c r="G33" s="27">
        <f t="shared" si="0"/>
        <v>0.8</v>
      </c>
      <c r="H33" s="28" t="str">
        <f t="shared" si="1"/>
        <v>جيد جداً</v>
      </c>
      <c r="I33" s="56"/>
      <c r="J33" s="57"/>
    </row>
    <row r="34" spans="1:10" ht="30" customHeight="1" x14ac:dyDescent="0.3">
      <c r="A34" s="7"/>
      <c r="B34" s="40" t="s">
        <v>197</v>
      </c>
      <c r="C34" s="41"/>
      <c r="D34" s="41"/>
      <c r="E34" s="29">
        <v>5</v>
      </c>
      <c r="F34" s="23">
        <v>4</v>
      </c>
      <c r="G34" s="27">
        <f t="shared" si="0"/>
        <v>0.8</v>
      </c>
      <c r="H34" s="28" t="str">
        <f t="shared" si="1"/>
        <v>جيد جداً</v>
      </c>
      <c r="I34" s="56"/>
      <c r="J34" s="57"/>
    </row>
    <row r="35" spans="1:10" ht="39.9" customHeight="1" x14ac:dyDescent="0.3">
      <c r="A35" s="7"/>
      <c r="B35" s="40" t="s">
        <v>198</v>
      </c>
      <c r="C35" s="41"/>
      <c r="D35" s="41"/>
      <c r="E35" s="29">
        <v>5</v>
      </c>
      <c r="F35" s="23">
        <v>4</v>
      </c>
      <c r="G35" s="27">
        <f t="shared" si="0"/>
        <v>0.8</v>
      </c>
      <c r="H35" s="28" t="str">
        <f t="shared" si="1"/>
        <v>جيد جداً</v>
      </c>
      <c r="I35" s="56"/>
      <c r="J35" s="57"/>
    </row>
    <row r="36" spans="1:10" ht="30" customHeight="1" x14ac:dyDescent="0.3">
      <c r="A36" s="7"/>
      <c r="B36" s="40" t="s">
        <v>199</v>
      </c>
      <c r="C36" s="41"/>
      <c r="D36" s="41"/>
      <c r="E36" s="29">
        <v>5</v>
      </c>
      <c r="F36" s="23">
        <v>4</v>
      </c>
      <c r="G36" s="27">
        <f t="shared" si="0"/>
        <v>0.8</v>
      </c>
      <c r="H36" s="28" t="str">
        <f t="shared" si="1"/>
        <v>جيد جداً</v>
      </c>
      <c r="I36" s="56"/>
      <c r="J36" s="57"/>
    </row>
    <row r="37" spans="1:10" ht="30" customHeight="1" x14ac:dyDescent="0.3">
      <c r="A37" s="7"/>
      <c r="B37" s="40" t="s">
        <v>200</v>
      </c>
      <c r="C37" s="41"/>
      <c r="D37" s="41"/>
      <c r="E37" s="29">
        <v>5</v>
      </c>
      <c r="F37" s="23">
        <v>4</v>
      </c>
      <c r="G37" s="27">
        <f t="shared" si="0"/>
        <v>0.8</v>
      </c>
      <c r="H37" s="28" t="str">
        <f t="shared" si="1"/>
        <v>جيد جداً</v>
      </c>
      <c r="I37" s="56"/>
      <c r="J37" s="57"/>
    </row>
    <row r="38" spans="1:10" ht="30" customHeight="1" thickBot="1" x14ac:dyDescent="0.35">
      <c r="A38" s="7"/>
      <c r="B38" s="51" t="s">
        <v>201</v>
      </c>
      <c r="C38" s="52"/>
      <c r="D38" s="52"/>
      <c r="E38" s="31">
        <v>5</v>
      </c>
      <c r="F38" s="24">
        <v>4</v>
      </c>
      <c r="G38" s="32">
        <f t="shared" si="0"/>
        <v>0.8</v>
      </c>
      <c r="H38" s="33" t="str">
        <f t="shared" si="1"/>
        <v>جيد جداً</v>
      </c>
      <c r="I38" s="76"/>
      <c r="J38" s="77"/>
    </row>
    <row r="39" spans="1:10" ht="30" customHeight="1" x14ac:dyDescent="0.3">
      <c r="A39" s="7"/>
      <c r="B39" s="46" t="s">
        <v>202</v>
      </c>
      <c r="C39" s="47"/>
      <c r="D39" s="47"/>
      <c r="E39" s="47"/>
      <c r="F39" s="47"/>
      <c r="G39" s="47"/>
      <c r="H39" s="47"/>
      <c r="I39" s="47"/>
      <c r="J39" s="48"/>
    </row>
    <row r="40" spans="1:10" ht="30" customHeight="1" x14ac:dyDescent="0.3">
      <c r="A40" s="7"/>
      <c r="B40" s="38" t="s">
        <v>238</v>
      </c>
      <c r="C40" s="39"/>
      <c r="D40" s="39"/>
      <c r="E40" s="30"/>
      <c r="F40" s="23"/>
      <c r="G40" s="27"/>
      <c r="H40" s="28"/>
      <c r="I40" s="56"/>
      <c r="J40" s="57"/>
    </row>
    <row r="41" spans="1:10" ht="30" customHeight="1" x14ac:dyDescent="0.3">
      <c r="A41" s="7"/>
      <c r="B41" s="40" t="s">
        <v>203</v>
      </c>
      <c r="C41" s="41"/>
      <c r="D41" s="41"/>
      <c r="E41" s="29">
        <v>5</v>
      </c>
      <c r="F41" s="23">
        <v>3.75</v>
      </c>
      <c r="G41" s="27">
        <f t="shared" si="0"/>
        <v>0.75</v>
      </c>
      <c r="H41" s="28" t="str">
        <f t="shared" si="1"/>
        <v>جيد</v>
      </c>
      <c r="I41" s="56"/>
      <c r="J41" s="57"/>
    </row>
    <row r="42" spans="1:10" ht="30" customHeight="1" x14ac:dyDescent="0.3">
      <c r="A42" s="7"/>
      <c r="B42" s="40" t="s">
        <v>204</v>
      </c>
      <c r="C42" s="41"/>
      <c r="D42" s="41"/>
      <c r="E42" s="29">
        <v>5</v>
      </c>
      <c r="F42" s="23">
        <v>3.75</v>
      </c>
      <c r="G42" s="27">
        <f t="shared" si="0"/>
        <v>0.75</v>
      </c>
      <c r="H42" s="28" t="str">
        <f t="shared" si="1"/>
        <v>جيد</v>
      </c>
      <c r="I42" s="56"/>
      <c r="J42" s="57"/>
    </row>
    <row r="43" spans="1:10" ht="30" customHeight="1" x14ac:dyDescent="0.3">
      <c r="A43" s="7"/>
      <c r="B43" s="40" t="s">
        <v>205</v>
      </c>
      <c r="C43" s="41"/>
      <c r="D43" s="41"/>
      <c r="E43" s="29">
        <v>5</v>
      </c>
      <c r="F43" s="23">
        <v>4</v>
      </c>
      <c r="G43" s="27">
        <f t="shared" si="0"/>
        <v>0.8</v>
      </c>
      <c r="H43" s="28" t="str">
        <f t="shared" si="1"/>
        <v>جيد جداً</v>
      </c>
      <c r="I43" s="56"/>
      <c r="J43" s="57"/>
    </row>
    <row r="44" spans="1:10" ht="30" customHeight="1" x14ac:dyDescent="0.3">
      <c r="A44" s="7"/>
      <c r="B44" s="40" t="s">
        <v>206</v>
      </c>
      <c r="C44" s="41"/>
      <c r="D44" s="41"/>
      <c r="E44" s="29">
        <v>5</v>
      </c>
      <c r="F44" s="23">
        <v>4</v>
      </c>
      <c r="G44" s="27">
        <f t="shared" si="0"/>
        <v>0.8</v>
      </c>
      <c r="H44" s="28" t="str">
        <f t="shared" si="1"/>
        <v>جيد جداً</v>
      </c>
      <c r="I44" s="56"/>
      <c r="J44" s="57"/>
    </row>
    <row r="45" spans="1:10" ht="30" customHeight="1" x14ac:dyDescent="0.3">
      <c r="A45" s="7"/>
      <c r="B45" s="38" t="s">
        <v>239</v>
      </c>
      <c r="C45" s="39"/>
      <c r="D45" s="39"/>
      <c r="E45" s="30"/>
      <c r="F45" s="23"/>
      <c r="G45" s="27"/>
      <c r="H45" s="28"/>
      <c r="I45" s="56"/>
      <c r="J45" s="57"/>
    </row>
    <row r="46" spans="1:10" ht="30" customHeight="1" x14ac:dyDescent="0.3">
      <c r="A46" s="7"/>
      <c r="B46" s="40" t="s">
        <v>207</v>
      </c>
      <c r="C46" s="41"/>
      <c r="D46" s="41"/>
      <c r="E46" s="29">
        <v>5</v>
      </c>
      <c r="F46" s="23">
        <v>3.75</v>
      </c>
      <c r="G46" s="27">
        <f t="shared" si="0"/>
        <v>0.75</v>
      </c>
      <c r="H46" s="28" t="str">
        <f t="shared" si="1"/>
        <v>جيد</v>
      </c>
      <c r="I46" s="56"/>
      <c r="J46" s="57"/>
    </row>
    <row r="47" spans="1:10" ht="39.9" customHeight="1" x14ac:dyDescent="0.3">
      <c r="A47" s="7"/>
      <c r="B47" s="40" t="s">
        <v>208</v>
      </c>
      <c r="C47" s="41"/>
      <c r="D47" s="41"/>
      <c r="E47" s="29">
        <v>5</v>
      </c>
      <c r="F47" s="23">
        <v>4</v>
      </c>
      <c r="G47" s="27">
        <f t="shared" si="0"/>
        <v>0.8</v>
      </c>
      <c r="H47" s="28" t="str">
        <f t="shared" si="1"/>
        <v>جيد جداً</v>
      </c>
      <c r="I47" s="56"/>
      <c r="J47" s="57"/>
    </row>
    <row r="48" spans="1:10" ht="30" customHeight="1" x14ac:dyDescent="0.3">
      <c r="A48" s="7"/>
      <c r="B48" s="40" t="s">
        <v>209</v>
      </c>
      <c r="C48" s="41"/>
      <c r="D48" s="41"/>
      <c r="E48" s="29">
        <v>5</v>
      </c>
      <c r="F48" s="23">
        <v>4</v>
      </c>
      <c r="G48" s="27">
        <f t="shared" si="0"/>
        <v>0.8</v>
      </c>
      <c r="H48" s="28" t="str">
        <f t="shared" si="1"/>
        <v>جيد جداً</v>
      </c>
      <c r="I48" s="56"/>
      <c r="J48" s="57"/>
    </row>
    <row r="49" spans="1:10" ht="30" customHeight="1" x14ac:dyDescent="0.3">
      <c r="A49" s="7"/>
      <c r="B49" s="40" t="s">
        <v>210</v>
      </c>
      <c r="C49" s="41"/>
      <c r="D49" s="41"/>
      <c r="E49" s="29">
        <v>5</v>
      </c>
      <c r="F49" s="23">
        <v>3.75</v>
      </c>
      <c r="G49" s="27">
        <f t="shared" si="0"/>
        <v>0.75</v>
      </c>
      <c r="H49" s="28" t="str">
        <f t="shared" si="1"/>
        <v>جيد</v>
      </c>
      <c r="I49" s="56"/>
      <c r="J49" s="57"/>
    </row>
    <row r="50" spans="1:10" ht="30" customHeight="1" x14ac:dyDescent="0.3">
      <c r="A50" s="7"/>
      <c r="B50" s="40" t="s">
        <v>211</v>
      </c>
      <c r="C50" s="41"/>
      <c r="D50" s="41"/>
      <c r="E50" s="29">
        <v>5</v>
      </c>
      <c r="F50" s="23">
        <v>4</v>
      </c>
      <c r="G50" s="27">
        <f t="shared" si="0"/>
        <v>0.8</v>
      </c>
      <c r="H50" s="28" t="str">
        <f t="shared" si="1"/>
        <v>جيد جداً</v>
      </c>
      <c r="I50" s="56"/>
      <c r="J50" s="57"/>
    </row>
    <row r="51" spans="1:10" ht="30" customHeight="1" x14ac:dyDescent="0.3">
      <c r="A51" s="7"/>
      <c r="B51" s="49" t="s">
        <v>240</v>
      </c>
      <c r="C51" s="50"/>
      <c r="D51" s="50"/>
      <c r="E51" s="30"/>
      <c r="F51" s="23"/>
      <c r="G51" s="27"/>
      <c r="H51" s="28"/>
      <c r="I51" s="56"/>
      <c r="J51" s="57"/>
    </row>
    <row r="52" spans="1:10" ht="30" customHeight="1" x14ac:dyDescent="0.3">
      <c r="A52" s="7"/>
      <c r="B52" s="40" t="s">
        <v>212</v>
      </c>
      <c r="C52" s="41"/>
      <c r="D52" s="41"/>
      <c r="E52" s="29">
        <v>5</v>
      </c>
      <c r="F52" s="23">
        <v>3.75</v>
      </c>
      <c r="G52" s="27">
        <f t="shared" si="0"/>
        <v>0.75</v>
      </c>
      <c r="H52" s="28" t="str">
        <f t="shared" si="1"/>
        <v>جيد</v>
      </c>
      <c r="I52" s="56"/>
      <c r="J52" s="57"/>
    </row>
    <row r="53" spans="1:10" ht="30" customHeight="1" x14ac:dyDescent="0.3">
      <c r="A53" s="7"/>
      <c r="B53" s="40" t="s">
        <v>213</v>
      </c>
      <c r="C53" s="41"/>
      <c r="D53" s="41"/>
      <c r="E53" s="29">
        <v>5</v>
      </c>
      <c r="F53" s="23">
        <v>3.75</v>
      </c>
      <c r="G53" s="27">
        <f t="shared" si="0"/>
        <v>0.75</v>
      </c>
      <c r="H53" s="28" t="str">
        <f t="shared" si="1"/>
        <v>جيد</v>
      </c>
      <c r="I53" s="56"/>
      <c r="J53" s="57"/>
    </row>
    <row r="54" spans="1:10" ht="30" customHeight="1" x14ac:dyDescent="0.3">
      <c r="A54" s="7"/>
      <c r="B54" s="40" t="s">
        <v>214</v>
      </c>
      <c r="C54" s="41"/>
      <c r="D54" s="41"/>
      <c r="E54" s="29">
        <v>5</v>
      </c>
      <c r="F54" s="23">
        <v>3.75</v>
      </c>
      <c r="G54" s="27">
        <f t="shared" si="0"/>
        <v>0.75</v>
      </c>
      <c r="H54" s="28" t="str">
        <f t="shared" si="1"/>
        <v>جيد</v>
      </c>
      <c r="I54" s="56"/>
      <c r="J54" s="57"/>
    </row>
    <row r="55" spans="1:10" ht="30" customHeight="1" x14ac:dyDescent="0.3">
      <c r="A55" s="7"/>
      <c r="B55" s="40" t="s">
        <v>215</v>
      </c>
      <c r="C55" s="41"/>
      <c r="D55" s="41"/>
      <c r="E55" s="29">
        <v>5</v>
      </c>
      <c r="F55" s="23">
        <v>3.5</v>
      </c>
      <c r="G55" s="27">
        <f t="shared" si="0"/>
        <v>0.7</v>
      </c>
      <c r="H55" s="28" t="str">
        <f t="shared" si="1"/>
        <v>جيد</v>
      </c>
      <c r="I55" s="56"/>
      <c r="J55" s="57"/>
    </row>
    <row r="56" spans="1:10" ht="30" customHeight="1" x14ac:dyDescent="0.3">
      <c r="A56" s="7"/>
      <c r="B56" s="38" t="s">
        <v>241</v>
      </c>
      <c r="C56" s="39"/>
      <c r="D56" s="39"/>
      <c r="E56" s="30"/>
      <c r="F56" s="23"/>
      <c r="G56" s="27"/>
      <c r="H56" s="28"/>
      <c r="I56" s="56"/>
      <c r="J56" s="57"/>
    </row>
    <row r="57" spans="1:10" ht="39.9" customHeight="1" x14ac:dyDescent="0.3">
      <c r="A57" s="7"/>
      <c r="B57" s="40" t="s">
        <v>216</v>
      </c>
      <c r="C57" s="41"/>
      <c r="D57" s="41"/>
      <c r="E57" s="29">
        <v>5</v>
      </c>
      <c r="F57" s="23">
        <v>4</v>
      </c>
      <c r="G57" s="27">
        <f t="shared" si="0"/>
        <v>0.8</v>
      </c>
      <c r="H57" s="28" t="str">
        <f t="shared" si="1"/>
        <v>جيد جداً</v>
      </c>
      <c r="I57" s="56"/>
      <c r="J57" s="57"/>
    </row>
    <row r="58" spans="1:10" ht="30" customHeight="1" x14ac:dyDescent="0.3">
      <c r="A58" s="7"/>
      <c r="B58" s="40" t="s">
        <v>217</v>
      </c>
      <c r="C58" s="41"/>
      <c r="D58" s="41"/>
      <c r="E58" s="29">
        <v>5</v>
      </c>
      <c r="F58" s="23">
        <v>3.75</v>
      </c>
      <c r="G58" s="27">
        <f t="shared" si="0"/>
        <v>0.75</v>
      </c>
      <c r="H58" s="28" t="str">
        <f t="shared" si="1"/>
        <v>جيد</v>
      </c>
      <c r="I58" s="56"/>
      <c r="J58" s="57"/>
    </row>
    <row r="59" spans="1:10" ht="39.9" customHeight="1" x14ac:dyDescent="0.3">
      <c r="A59" s="7"/>
      <c r="B59" s="40" t="s">
        <v>218</v>
      </c>
      <c r="C59" s="41"/>
      <c r="D59" s="41"/>
      <c r="E59" s="29">
        <v>5</v>
      </c>
      <c r="F59" s="23">
        <v>3.75</v>
      </c>
      <c r="G59" s="27">
        <f t="shared" si="0"/>
        <v>0.75</v>
      </c>
      <c r="H59" s="28" t="str">
        <f t="shared" si="1"/>
        <v>جيد</v>
      </c>
      <c r="I59" s="56"/>
      <c r="J59" s="57"/>
    </row>
    <row r="60" spans="1:10" ht="39.9" customHeight="1" x14ac:dyDescent="0.3">
      <c r="A60" s="7"/>
      <c r="B60" s="40" t="s">
        <v>219</v>
      </c>
      <c r="C60" s="41"/>
      <c r="D60" s="41"/>
      <c r="E60" s="29">
        <v>5</v>
      </c>
      <c r="F60" s="23">
        <v>3.75</v>
      </c>
      <c r="G60" s="27">
        <f t="shared" si="0"/>
        <v>0.75</v>
      </c>
      <c r="H60" s="28" t="str">
        <f t="shared" si="1"/>
        <v>جيد</v>
      </c>
      <c r="I60" s="56"/>
      <c r="J60" s="57"/>
    </row>
    <row r="61" spans="1:10" ht="30" customHeight="1" x14ac:dyDescent="0.3">
      <c r="A61" s="7"/>
      <c r="B61" s="40" t="s">
        <v>220</v>
      </c>
      <c r="C61" s="41"/>
      <c r="D61" s="41"/>
      <c r="E61" s="29">
        <v>5</v>
      </c>
      <c r="F61" s="23">
        <v>3.5</v>
      </c>
      <c r="G61" s="27">
        <f t="shared" si="0"/>
        <v>0.7</v>
      </c>
      <c r="H61" s="28" t="str">
        <f t="shared" si="1"/>
        <v>جيد</v>
      </c>
      <c r="I61" s="56"/>
      <c r="J61" s="57"/>
    </row>
    <row r="62" spans="1:10" ht="30" customHeight="1" x14ac:dyDescent="0.3">
      <c r="A62" s="7"/>
      <c r="B62" s="40" t="s">
        <v>221</v>
      </c>
      <c r="C62" s="41"/>
      <c r="D62" s="41"/>
      <c r="E62" s="29">
        <v>5</v>
      </c>
      <c r="F62" s="23">
        <v>3.75</v>
      </c>
      <c r="G62" s="27">
        <f t="shared" si="0"/>
        <v>0.75</v>
      </c>
      <c r="H62" s="28" t="str">
        <f t="shared" si="1"/>
        <v>جيد</v>
      </c>
      <c r="I62" s="56"/>
      <c r="J62" s="57"/>
    </row>
    <row r="63" spans="1:10" ht="30" customHeight="1" x14ac:dyDescent="0.3">
      <c r="A63" s="7"/>
      <c r="B63" s="40" t="s">
        <v>222</v>
      </c>
      <c r="C63" s="41"/>
      <c r="D63" s="41"/>
      <c r="E63" s="29">
        <v>5</v>
      </c>
      <c r="F63" s="23">
        <v>3.5</v>
      </c>
      <c r="G63" s="27">
        <f t="shared" si="0"/>
        <v>0.7</v>
      </c>
      <c r="H63" s="28" t="str">
        <f t="shared" si="1"/>
        <v>جيد</v>
      </c>
      <c r="I63" s="56"/>
      <c r="J63" s="57"/>
    </row>
    <row r="64" spans="1:10" ht="30" customHeight="1" x14ac:dyDescent="0.3">
      <c r="A64" s="7"/>
      <c r="B64" s="38" t="s">
        <v>242</v>
      </c>
      <c r="C64" s="39"/>
      <c r="D64" s="39"/>
      <c r="E64" s="29">
        <v>5</v>
      </c>
      <c r="F64" s="23">
        <v>3.75</v>
      </c>
      <c r="G64" s="27">
        <f t="shared" si="0"/>
        <v>0.75</v>
      </c>
      <c r="H64" s="28" t="str">
        <f t="shared" si="1"/>
        <v>جيد</v>
      </c>
      <c r="I64" s="56"/>
      <c r="J64" s="57"/>
    </row>
    <row r="65" spans="1:10" ht="30" customHeight="1" thickBot="1" x14ac:dyDescent="0.35">
      <c r="A65" s="7"/>
      <c r="B65" s="44" t="s">
        <v>243</v>
      </c>
      <c r="C65" s="45"/>
      <c r="D65" s="45"/>
      <c r="E65" s="34">
        <v>5</v>
      </c>
      <c r="F65" s="35">
        <v>4</v>
      </c>
      <c r="G65" s="36">
        <f t="shared" si="0"/>
        <v>0.8</v>
      </c>
      <c r="H65" s="37" t="str">
        <f t="shared" si="1"/>
        <v>جيد جداً</v>
      </c>
      <c r="I65" s="63"/>
      <c r="J65" s="64"/>
    </row>
    <row r="66" spans="1:10" ht="30" customHeight="1" x14ac:dyDescent="0.3">
      <c r="A66" s="7"/>
      <c r="B66" s="46" t="s">
        <v>223</v>
      </c>
      <c r="C66" s="47"/>
      <c r="D66" s="47"/>
      <c r="E66" s="47"/>
      <c r="F66" s="47"/>
      <c r="G66" s="47"/>
      <c r="H66" s="47"/>
      <c r="I66" s="47"/>
      <c r="J66" s="48"/>
    </row>
    <row r="67" spans="1:10" ht="30" customHeight="1" x14ac:dyDescent="0.3">
      <c r="A67" s="7"/>
      <c r="B67" s="38" t="s">
        <v>244</v>
      </c>
      <c r="C67" s="39"/>
      <c r="D67" s="39"/>
      <c r="E67" s="29">
        <v>5</v>
      </c>
      <c r="F67" s="23">
        <v>4</v>
      </c>
      <c r="G67" s="27">
        <f t="shared" si="0"/>
        <v>0.8</v>
      </c>
      <c r="H67" s="28" t="str">
        <f t="shared" si="1"/>
        <v>جيد جداً</v>
      </c>
      <c r="I67" s="56"/>
      <c r="J67" s="57"/>
    </row>
    <row r="68" spans="1:10" ht="51" customHeight="1" x14ac:dyDescent="0.3">
      <c r="A68" s="7"/>
      <c r="B68" s="38" t="s">
        <v>245</v>
      </c>
      <c r="C68" s="39"/>
      <c r="D68" s="39"/>
      <c r="E68" s="29">
        <v>5</v>
      </c>
      <c r="F68" s="23">
        <v>4</v>
      </c>
      <c r="G68" s="27">
        <f t="shared" si="0"/>
        <v>0.8</v>
      </c>
      <c r="H68" s="28" t="str">
        <f t="shared" si="1"/>
        <v>جيد جداً</v>
      </c>
      <c r="I68" s="56"/>
      <c r="J68" s="57"/>
    </row>
    <row r="69" spans="1:10" ht="39.9" customHeight="1" x14ac:dyDescent="0.3">
      <c r="A69" s="7"/>
      <c r="B69" s="38" t="s">
        <v>246</v>
      </c>
      <c r="C69" s="39"/>
      <c r="D69" s="39"/>
      <c r="E69" s="29">
        <v>5</v>
      </c>
      <c r="F69" s="23">
        <v>3.5</v>
      </c>
      <c r="G69" s="27">
        <f t="shared" si="0"/>
        <v>0.7</v>
      </c>
      <c r="H69" s="28" t="str">
        <f t="shared" si="1"/>
        <v>جيد</v>
      </c>
      <c r="I69" s="56"/>
      <c r="J69" s="57"/>
    </row>
    <row r="70" spans="1:10" ht="39.9" customHeight="1" x14ac:dyDescent="0.3">
      <c r="A70" s="7"/>
      <c r="B70" s="38" t="s">
        <v>247</v>
      </c>
      <c r="C70" s="39"/>
      <c r="D70" s="39"/>
      <c r="E70" s="29">
        <v>5</v>
      </c>
      <c r="F70" s="23">
        <v>3.75</v>
      </c>
      <c r="G70" s="27">
        <f t="shared" si="0"/>
        <v>0.75</v>
      </c>
      <c r="H70" s="28" t="str">
        <f t="shared" si="1"/>
        <v>جيد</v>
      </c>
      <c r="I70" s="56"/>
      <c r="J70" s="57"/>
    </row>
    <row r="71" spans="1:10" ht="30" customHeight="1" x14ac:dyDescent="0.3">
      <c r="A71" s="7"/>
      <c r="B71" s="38" t="s">
        <v>248</v>
      </c>
      <c r="C71" s="39"/>
      <c r="D71" s="39"/>
      <c r="E71" s="29">
        <v>5</v>
      </c>
      <c r="F71" s="23">
        <v>3.5</v>
      </c>
      <c r="G71" s="27">
        <f t="shared" ref="G71:G82" si="2">IFERROR(F71/E71,"")</f>
        <v>0.7</v>
      </c>
      <c r="H71" s="28" t="str">
        <f t="shared" ref="H71:H82" si="3">_xlfn.IFS(F71="أدخل العلامة","",F71="لا ينطبق","تم الإلغاء",G71&gt;=90%,"ممتاز",G71&gt;=80%,"جيد جداً",G71&gt;=70%,"جيد",G71&gt;=60%,"مقبول",G71&lt;60%,"راسب")</f>
        <v>جيد</v>
      </c>
      <c r="I71" s="56"/>
      <c r="J71" s="57"/>
    </row>
    <row r="72" spans="1:10" ht="57.75" customHeight="1" x14ac:dyDescent="0.3">
      <c r="A72" s="7"/>
      <c r="B72" s="38" t="s">
        <v>249</v>
      </c>
      <c r="C72" s="39"/>
      <c r="D72" s="39"/>
      <c r="E72" s="29">
        <v>5</v>
      </c>
      <c r="F72" s="23">
        <v>4</v>
      </c>
      <c r="G72" s="27">
        <f t="shared" si="2"/>
        <v>0.8</v>
      </c>
      <c r="H72" s="28" t="str">
        <f t="shared" si="3"/>
        <v>جيد جداً</v>
      </c>
      <c r="I72" s="56"/>
      <c r="J72" s="57"/>
    </row>
    <row r="73" spans="1:10" ht="30" customHeight="1" x14ac:dyDescent="0.3">
      <c r="A73" s="7"/>
      <c r="B73" s="38" t="s">
        <v>250</v>
      </c>
      <c r="C73" s="39"/>
      <c r="D73" s="39"/>
      <c r="E73" s="29">
        <v>5</v>
      </c>
      <c r="F73" s="23">
        <v>4</v>
      </c>
      <c r="G73" s="27">
        <f t="shared" si="2"/>
        <v>0.8</v>
      </c>
      <c r="H73" s="28" t="str">
        <f t="shared" si="3"/>
        <v>جيد جداً</v>
      </c>
      <c r="I73" s="56"/>
      <c r="J73" s="57"/>
    </row>
    <row r="74" spans="1:10" ht="30" customHeight="1" x14ac:dyDescent="0.3">
      <c r="A74" s="7"/>
      <c r="B74" s="38" t="s">
        <v>251</v>
      </c>
      <c r="C74" s="39"/>
      <c r="D74" s="39"/>
      <c r="E74" s="29">
        <v>5</v>
      </c>
      <c r="F74" s="23">
        <v>3.75</v>
      </c>
      <c r="G74" s="27">
        <f t="shared" si="2"/>
        <v>0.75</v>
      </c>
      <c r="H74" s="28" t="str">
        <f t="shared" si="3"/>
        <v>جيد</v>
      </c>
      <c r="I74" s="56"/>
      <c r="J74" s="57"/>
    </row>
    <row r="75" spans="1:10" ht="30" customHeight="1" x14ac:dyDescent="0.3">
      <c r="A75" s="7"/>
      <c r="B75" s="38" t="s">
        <v>252</v>
      </c>
      <c r="C75" s="39"/>
      <c r="D75" s="39"/>
      <c r="E75" s="29">
        <v>5</v>
      </c>
      <c r="F75" s="23">
        <v>3.75</v>
      </c>
      <c r="G75" s="27">
        <f t="shared" si="2"/>
        <v>0.75</v>
      </c>
      <c r="H75" s="28" t="str">
        <f t="shared" si="3"/>
        <v>جيد</v>
      </c>
      <c r="I75" s="56"/>
      <c r="J75" s="57"/>
    </row>
    <row r="76" spans="1:10" ht="30" customHeight="1" x14ac:dyDescent="0.3">
      <c r="A76" s="7"/>
      <c r="B76" s="38" t="s">
        <v>253</v>
      </c>
      <c r="C76" s="39"/>
      <c r="D76" s="39"/>
      <c r="E76" s="29">
        <v>5</v>
      </c>
      <c r="F76" s="23">
        <v>3.75</v>
      </c>
      <c r="G76" s="27">
        <f t="shared" si="2"/>
        <v>0.75</v>
      </c>
      <c r="H76" s="28" t="str">
        <f t="shared" si="3"/>
        <v>جيد</v>
      </c>
      <c r="I76" s="56"/>
      <c r="J76" s="57"/>
    </row>
    <row r="77" spans="1:10" ht="39.9" customHeight="1" x14ac:dyDescent="0.3">
      <c r="A77" s="7"/>
      <c r="B77" s="38" t="s">
        <v>254</v>
      </c>
      <c r="C77" s="39"/>
      <c r="D77" s="39"/>
      <c r="E77" s="29">
        <v>5</v>
      </c>
      <c r="F77" s="23">
        <v>3.75</v>
      </c>
      <c r="G77" s="27">
        <f t="shared" si="2"/>
        <v>0.75</v>
      </c>
      <c r="H77" s="28" t="str">
        <f t="shared" si="3"/>
        <v>جيد</v>
      </c>
      <c r="I77" s="56"/>
      <c r="J77" s="57"/>
    </row>
    <row r="78" spans="1:10" ht="39.9" customHeight="1" x14ac:dyDescent="0.3">
      <c r="A78" s="7"/>
      <c r="B78" s="40" t="s">
        <v>224</v>
      </c>
      <c r="C78" s="41"/>
      <c r="D78" s="41"/>
      <c r="E78" s="29">
        <v>5</v>
      </c>
      <c r="F78" s="23">
        <v>3.75</v>
      </c>
      <c r="G78" s="27">
        <f t="shared" si="2"/>
        <v>0.75</v>
      </c>
      <c r="H78" s="28" t="str">
        <f t="shared" si="3"/>
        <v>جيد</v>
      </c>
      <c r="I78" s="56"/>
      <c r="J78" s="57"/>
    </row>
    <row r="79" spans="1:10" ht="30" customHeight="1" x14ac:dyDescent="0.3">
      <c r="A79" s="7"/>
      <c r="B79" s="40" t="s">
        <v>225</v>
      </c>
      <c r="C79" s="41"/>
      <c r="D79" s="41"/>
      <c r="E79" s="29">
        <v>5</v>
      </c>
      <c r="F79" s="23">
        <v>3.75</v>
      </c>
      <c r="G79" s="27">
        <f t="shared" si="2"/>
        <v>0.75</v>
      </c>
      <c r="H79" s="28" t="str">
        <f t="shared" si="3"/>
        <v>جيد</v>
      </c>
      <c r="I79" s="56"/>
      <c r="J79" s="57"/>
    </row>
    <row r="80" spans="1:10" ht="30" customHeight="1" x14ac:dyDescent="0.3">
      <c r="A80" s="7"/>
      <c r="B80" s="40" t="s">
        <v>226</v>
      </c>
      <c r="C80" s="41"/>
      <c r="D80" s="41"/>
      <c r="E80" s="29">
        <v>5</v>
      </c>
      <c r="F80" s="23">
        <v>3.75</v>
      </c>
      <c r="G80" s="27">
        <f t="shared" si="2"/>
        <v>0.75</v>
      </c>
      <c r="H80" s="28" t="str">
        <f t="shared" si="3"/>
        <v>جيد</v>
      </c>
      <c r="I80" s="56"/>
      <c r="J80" s="57"/>
    </row>
    <row r="81" spans="1:10" ht="39.9" customHeight="1" x14ac:dyDescent="0.3">
      <c r="A81" s="7"/>
      <c r="B81" s="40" t="s">
        <v>227</v>
      </c>
      <c r="C81" s="41"/>
      <c r="D81" s="41"/>
      <c r="E81" s="29">
        <v>0</v>
      </c>
      <c r="F81" s="23" t="s">
        <v>17</v>
      </c>
      <c r="G81" s="27" t="str">
        <f t="shared" si="2"/>
        <v/>
      </c>
      <c r="H81" s="28" t="str">
        <f t="shared" si="3"/>
        <v>تم الإلغاء</v>
      </c>
      <c r="I81" s="56"/>
      <c r="J81" s="57"/>
    </row>
    <row r="82" spans="1:10" ht="30" customHeight="1" thickBot="1" x14ac:dyDescent="0.35">
      <c r="A82" s="7"/>
      <c r="B82" s="42" t="s">
        <v>255</v>
      </c>
      <c r="C82" s="43"/>
      <c r="D82" s="43"/>
      <c r="E82" s="31">
        <v>0</v>
      </c>
      <c r="F82" s="24" t="s">
        <v>17</v>
      </c>
      <c r="G82" s="32" t="str">
        <f t="shared" si="2"/>
        <v/>
      </c>
      <c r="H82" s="33" t="str">
        <f t="shared" si="3"/>
        <v>تم الإلغاء</v>
      </c>
      <c r="I82" s="76"/>
      <c r="J82" s="77"/>
    </row>
    <row r="83" spans="1:10" ht="30" customHeight="1" thickBot="1" x14ac:dyDescent="0.35">
      <c r="A83" s="4"/>
      <c r="B83" s="93" t="s">
        <v>5</v>
      </c>
      <c r="C83" s="94"/>
      <c r="D83" s="94"/>
      <c r="E83" s="26">
        <f>SUM(E8:E82)</f>
        <v>305</v>
      </c>
      <c r="F83" s="26">
        <f>SUM(F8:F82)</f>
        <v>235.25</v>
      </c>
      <c r="G83" s="60"/>
      <c r="H83" s="61"/>
      <c r="I83" s="61"/>
      <c r="J83" s="62"/>
    </row>
    <row r="84" spans="1:10" ht="30" customHeight="1" thickBot="1" x14ac:dyDescent="0.35">
      <c r="A84" s="4"/>
      <c r="B84" s="90" t="s">
        <v>54</v>
      </c>
      <c r="C84" s="91"/>
      <c r="D84" s="91"/>
      <c r="E84" s="72">
        <f>F83/E83/100*100</f>
        <v>0.77131147540983602</v>
      </c>
      <c r="F84" s="72"/>
      <c r="G84" s="72"/>
      <c r="H84" s="72"/>
      <c r="I84" s="72"/>
      <c r="J84" s="73"/>
    </row>
    <row r="85" spans="1:10" ht="30" customHeight="1" thickBot="1" x14ac:dyDescent="0.35">
      <c r="A85" s="4"/>
      <c r="B85" s="90" t="s">
        <v>55</v>
      </c>
      <c r="C85" s="91"/>
      <c r="D85" s="91"/>
      <c r="E85" s="88" t="str">
        <f>_xlfn.IFS(E84&gt;=90%,"ممتاز",E84&gt;=80%,"جيد جداً",E84&gt;=70%,"جيد",E84&gt;=60%,"مقبول",E84&lt;60%,"راسب")</f>
        <v>جيد</v>
      </c>
      <c r="F85" s="88"/>
      <c r="G85" s="88"/>
      <c r="H85" s="88"/>
      <c r="I85" s="88"/>
      <c r="J85" s="89"/>
    </row>
    <row r="86" spans="1:10" ht="42" customHeight="1" x14ac:dyDescent="0.3">
      <c r="B86" s="84" t="s">
        <v>174</v>
      </c>
      <c r="C86" s="84"/>
      <c r="D86" s="84"/>
      <c r="E86" s="58" t="s">
        <v>52</v>
      </c>
      <c r="F86" s="58"/>
      <c r="G86" s="86" t="s">
        <v>135</v>
      </c>
      <c r="H86" s="86"/>
      <c r="I86" s="86"/>
      <c r="J86" s="86"/>
    </row>
    <row r="87" spans="1:10" ht="51" customHeight="1" x14ac:dyDescent="0.3">
      <c r="A87" s="5"/>
      <c r="B87" s="85"/>
      <c r="C87" s="85"/>
      <c r="D87" s="85"/>
      <c r="E87" s="59" t="s">
        <v>53</v>
      </c>
      <c r="F87" s="59"/>
      <c r="G87" s="87"/>
      <c r="H87" s="87"/>
      <c r="I87" s="87"/>
      <c r="J87" s="8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70">
    <mergeCell ref="I22:J22"/>
    <mergeCell ref="I23:J23"/>
    <mergeCell ref="B84:D84"/>
    <mergeCell ref="B85:D85"/>
    <mergeCell ref="F4:J4"/>
    <mergeCell ref="C4:D4"/>
    <mergeCell ref="I30:J30"/>
    <mergeCell ref="I31:J31"/>
    <mergeCell ref="I32:J32"/>
    <mergeCell ref="I33:J33"/>
    <mergeCell ref="B83:D83"/>
    <mergeCell ref="I26:J26"/>
    <mergeCell ref="I27:J27"/>
    <mergeCell ref="I42:J42"/>
    <mergeCell ref="I43:J43"/>
    <mergeCell ref="I44:J44"/>
    <mergeCell ref="I45:J45"/>
    <mergeCell ref="I18:J18"/>
    <mergeCell ref="I28:J28"/>
    <mergeCell ref="I29:J29"/>
    <mergeCell ref="I56:J56"/>
    <mergeCell ref="I57:J57"/>
    <mergeCell ref="I58:J58"/>
    <mergeCell ref="I19:J19"/>
    <mergeCell ref="I20:J20"/>
    <mergeCell ref="I21:J21"/>
    <mergeCell ref="G86:J86"/>
    <mergeCell ref="G87:J87"/>
    <mergeCell ref="E85:J85"/>
    <mergeCell ref="I37:J37"/>
    <mergeCell ref="I38:J38"/>
    <mergeCell ref="I40:J40"/>
    <mergeCell ref="I41:J41"/>
    <mergeCell ref="I77:J77"/>
    <mergeCell ref="I78:J78"/>
    <mergeCell ref="I79:J79"/>
    <mergeCell ref="I80:J80"/>
    <mergeCell ref="I46:J46"/>
    <mergeCell ref="I47:J47"/>
    <mergeCell ref="I48:J48"/>
    <mergeCell ref="I49:J49"/>
    <mergeCell ref="I50:J50"/>
    <mergeCell ref="I51:J51"/>
    <mergeCell ref="I52:J52"/>
    <mergeCell ref="I53:J53"/>
    <mergeCell ref="I54:J54"/>
    <mergeCell ref="I55:J55"/>
    <mergeCell ref="B1:J1"/>
    <mergeCell ref="F2:J2"/>
    <mergeCell ref="B5:D6"/>
    <mergeCell ref="C2:D2"/>
    <mergeCell ref="C3:D3"/>
    <mergeCell ref="F3:J3"/>
    <mergeCell ref="E84:J84"/>
    <mergeCell ref="B7:D7"/>
    <mergeCell ref="I35:J35"/>
    <mergeCell ref="I36:J36"/>
    <mergeCell ref="I81:J81"/>
    <mergeCell ref="I82:J82"/>
    <mergeCell ref="E5:H5"/>
    <mergeCell ref="I34:J34"/>
    <mergeCell ref="I5:J6"/>
    <mergeCell ref="I7:J7"/>
    <mergeCell ref="I10:J10"/>
    <mergeCell ref="I11:J11"/>
    <mergeCell ref="I12:J12"/>
    <mergeCell ref="I13:J13"/>
    <mergeCell ref="I14:J14"/>
    <mergeCell ref="I15:J15"/>
    <mergeCell ref="I17:J17"/>
    <mergeCell ref="I24:J24"/>
    <mergeCell ref="B14:D14"/>
    <mergeCell ref="B15:D15"/>
    <mergeCell ref="B16:D16"/>
    <mergeCell ref="E86:F86"/>
    <mergeCell ref="E87:F87"/>
    <mergeCell ref="G83:J83"/>
    <mergeCell ref="I59:J59"/>
    <mergeCell ref="I60:J60"/>
    <mergeCell ref="I61:J61"/>
    <mergeCell ref="I62:J62"/>
    <mergeCell ref="I63:J63"/>
    <mergeCell ref="I64:J64"/>
    <mergeCell ref="I65:J65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B86:D87"/>
    <mergeCell ref="B8:J8"/>
    <mergeCell ref="I9:J9"/>
    <mergeCell ref="I16:J16"/>
    <mergeCell ref="B26:D26"/>
    <mergeCell ref="B27:D27"/>
    <mergeCell ref="B28:D28"/>
    <mergeCell ref="B29:D29"/>
    <mergeCell ref="B30:D30"/>
    <mergeCell ref="B31:D31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I25:J25"/>
    <mergeCell ref="B9:D9"/>
    <mergeCell ref="B10:D10"/>
    <mergeCell ref="B11:D11"/>
    <mergeCell ref="B12:D12"/>
    <mergeCell ref="B13:D13"/>
    <mergeCell ref="B32:D32"/>
    <mergeCell ref="B33:D33"/>
    <mergeCell ref="B34:D34"/>
    <mergeCell ref="B35:D35"/>
    <mergeCell ref="B36:D36"/>
    <mergeCell ref="B37:D37"/>
    <mergeCell ref="B38:D38"/>
    <mergeCell ref="B40:D40"/>
    <mergeCell ref="B39:J39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9:D59"/>
    <mergeCell ref="B60:D60"/>
    <mergeCell ref="B61:D61"/>
    <mergeCell ref="B62:D62"/>
    <mergeCell ref="B63:D63"/>
    <mergeCell ref="B64:D64"/>
    <mergeCell ref="B65:D65"/>
    <mergeCell ref="B66:J66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77:D77"/>
    <mergeCell ref="B78:D78"/>
    <mergeCell ref="B79:D79"/>
    <mergeCell ref="B80:D80"/>
    <mergeCell ref="B81:D81"/>
    <mergeCell ref="B82:D82"/>
    <mergeCell ref="B67:D67"/>
    <mergeCell ref="B69:D69"/>
    <mergeCell ref="B70:D70"/>
    <mergeCell ref="B71:D71"/>
    <mergeCell ref="B72:D72"/>
    <mergeCell ref="B73:D73"/>
    <mergeCell ref="B74:D74"/>
    <mergeCell ref="B75:D75"/>
    <mergeCell ref="B76:D76"/>
    <mergeCell ref="B68:D68"/>
  </mergeCells>
  <conditionalFormatting sqref="C2:D2">
    <cfRule type="containsText" dxfId="22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1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85">
    <cfRule type="expression" dxfId="20" priority="57">
      <formula>$E85="راسب"</formula>
    </cfRule>
  </conditionalFormatting>
  <conditionalFormatting sqref="E85:J85">
    <cfRule type="expression" dxfId="19" priority="58">
      <formula>$E85="مقبول"</formula>
    </cfRule>
    <cfRule type="expression" dxfId="18" priority="59">
      <formula>$E85="جيد"</formula>
    </cfRule>
    <cfRule type="expression" dxfId="17" priority="60">
      <formula>$E85="جيد جداً"</formula>
    </cfRule>
    <cfRule type="expression" dxfId="16" priority="61">
      <formula>$E85="ممتاز"</formula>
    </cfRule>
  </conditionalFormatting>
  <conditionalFormatting sqref="F9:F38">
    <cfRule type="containsText" dxfId="15" priority="4" operator="containsText" text="أدخل العلامة">
      <formula>NOT(ISERROR(SEARCH("أدخل العلامة",F9)))</formula>
    </cfRule>
  </conditionalFormatting>
  <conditionalFormatting sqref="F40:F65 H40:H65 F67:F82 H67:H82">
    <cfRule type="containsText" dxfId="14" priority="38" operator="containsText" text="أدخل العلامة">
      <formula>NOT(ISERROR(SEARCH("أدخل العلامة",F40)))</formula>
    </cfRule>
  </conditionalFormatting>
  <conditionalFormatting sqref="F2:J2">
    <cfRule type="containsText" dxfId="13" priority="19" operator="containsText" text="أدخل التاريخ">
      <formula>NOT(ISERROR(SEARCH("أدخل التاريخ",F2)))</formula>
    </cfRule>
  </conditionalFormatting>
  <conditionalFormatting sqref="F3:J3">
    <cfRule type="containsText" dxfId="12" priority="16" operator="containsText" text="أدخل أسم المحكم">
      <formula>NOT(ISERROR(SEARCH("أدخل أسم المحكم",F3)))</formula>
    </cfRule>
  </conditionalFormatting>
  <conditionalFormatting sqref="G86:J86">
    <cfRule type="containsText" dxfId="11" priority="15" operator="containsText" text="أدخل اسم المحكم">
      <formula>NOT(ISERROR(SEARCH("أدخل اسم المحكم",G86)))</formula>
    </cfRule>
  </conditionalFormatting>
  <conditionalFormatting sqref="H9:H38">
    <cfRule type="containsText" dxfId="10" priority="5" operator="containsText" text="أدخل العلامة">
      <formula>NOT(ISERROR(SEARCH("أدخل العلامة",H9)))</formula>
    </cfRule>
    <cfRule type="containsText" dxfId="9" priority="6" operator="containsText" text="ممتاز">
      <formula>NOT(ISERROR(SEARCH("ممتاز",H9)))</formula>
    </cfRule>
    <cfRule type="containsText" dxfId="8" priority="7" operator="containsText" text="جيد جداً">
      <formula>NOT(ISERROR(SEARCH("جيد جداً",H9)))</formula>
    </cfRule>
    <cfRule type="containsText" dxfId="7" priority="8" operator="containsText" text="جيد">
      <formula>NOT(ISERROR(SEARCH("جيد",H9)))</formula>
    </cfRule>
    <cfRule type="containsText" dxfId="6" priority="9" operator="containsText" text="مقبول">
      <formula>NOT(ISERROR(SEARCH("مقبول",H9)))</formula>
    </cfRule>
    <cfRule type="containsText" dxfId="5" priority="10" operator="containsText" text="راسب">
      <formula>NOT(ISERROR(SEARCH("راسب",H9)))</formula>
    </cfRule>
  </conditionalFormatting>
  <conditionalFormatting sqref="H40:H65 H67:H82">
    <cfRule type="containsText" dxfId="4" priority="39" operator="containsText" text="ممتاز">
      <formula>NOT(ISERROR(SEARCH("ممتاز",H40)))</formula>
    </cfRule>
    <cfRule type="containsText" dxfId="3" priority="40" operator="containsText" text="جيد جداً">
      <formula>NOT(ISERROR(SEARCH("جيد جداً",H40)))</formula>
    </cfRule>
    <cfRule type="containsText" dxfId="2" priority="41" operator="containsText" text="جيد">
      <formula>NOT(ISERROR(SEARCH("جيد",H40)))</formula>
    </cfRule>
    <cfRule type="containsText" dxfId="1" priority="42" operator="containsText" text="مقبول">
      <formula>NOT(ISERROR(SEARCH("مقبول",H40)))</formula>
    </cfRule>
    <cfRule type="containsText" dxfId="0" priority="43" operator="containsText" text="راسب">
      <formula>NOT(ISERROR(SEARCH("راسب",H40)))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G86:J86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F67:F82 F57:F65 F52:F55 F46:F50 F41:F44 F33:F38 F30:F31 F22:F28 F14:F20 F11:F12 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6" t="s">
        <v>62</v>
      </c>
    </row>
    <row r="3" spans="1:3" ht="20.100000000000001" customHeight="1" thickBot="1" x14ac:dyDescent="0.35">
      <c r="A3" s="2" t="s">
        <v>26</v>
      </c>
      <c r="C3" s="16" t="s">
        <v>63</v>
      </c>
    </row>
    <row r="4" spans="1:3" ht="20.100000000000001" customHeight="1" thickBot="1" x14ac:dyDescent="0.35">
      <c r="A4" s="2" t="s">
        <v>36</v>
      </c>
      <c r="C4" s="16" t="s">
        <v>64</v>
      </c>
    </row>
    <row r="5" spans="1:3" ht="20.100000000000001" customHeight="1" thickBot="1" x14ac:dyDescent="0.35">
      <c r="A5" s="2" t="s">
        <v>37</v>
      </c>
      <c r="C5" s="16" t="s">
        <v>65</v>
      </c>
    </row>
    <row r="6" spans="1:3" ht="20.100000000000001" customHeight="1" thickBot="1" x14ac:dyDescent="0.35">
      <c r="A6" s="2" t="s">
        <v>38</v>
      </c>
      <c r="C6" s="16" t="s">
        <v>66</v>
      </c>
    </row>
    <row r="7" spans="1:3" ht="20.100000000000001" customHeight="1" thickBot="1" x14ac:dyDescent="0.35">
      <c r="A7" s="2" t="s">
        <v>39</v>
      </c>
      <c r="C7" s="16" t="s">
        <v>67</v>
      </c>
    </row>
    <row r="8" spans="1:3" ht="20.100000000000001" customHeight="1" thickBot="1" x14ac:dyDescent="0.35">
      <c r="A8" s="2" t="s">
        <v>40</v>
      </c>
      <c r="C8" s="16" t="s">
        <v>68</v>
      </c>
    </row>
    <row r="9" spans="1:3" ht="20.100000000000001" customHeight="1" thickBot="1" x14ac:dyDescent="0.35">
      <c r="A9" s="2" t="s">
        <v>41</v>
      </c>
      <c r="C9" s="16" t="s">
        <v>69</v>
      </c>
    </row>
    <row r="10" spans="1:3" ht="20.100000000000001" customHeight="1" thickBot="1" x14ac:dyDescent="0.35">
      <c r="A10" s="2" t="s">
        <v>42</v>
      </c>
      <c r="C10" s="16" t="s">
        <v>70</v>
      </c>
    </row>
    <row r="11" spans="1:3" ht="20.100000000000001" customHeight="1" thickBot="1" x14ac:dyDescent="0.35">
      <c r="A11" s="2" t="s">
        <v>43</v>
      </c>
      <c r="C11" s="16" t="s">
        <v>71</v>
      </c>
    </row>
    <row r="12" spans="1:3" ht="20.100000000000001" customHeight="1" thickBot="1" x14ac:dyDescent="0.35">
      <c r="A12" s="2" t="s">
        <v>44</v>
      </c>
      <c r="C12" s="16" t="s">
        <v>72</v>
      </c>
    </row>
    <row r="13" spans="1:3" ht="20.100000000000001" customHeight="1" thickBot="1" x14ac:dyDescent="0.35">
      <c r="A13" s="2" t="s">
        <v>45</v>
      </c>
      <c r="C13" s="16" t="s">
        <v>73</v>
      </c>
    </row>
    <row r="14" spans="1:3" ht="20.100000000000001" customHeight="1" thickBot="1" x14ac:dyDescent="0.35">
      <c r="A14" s="2" t="s">
        <v>46</v>
      </c>
      <c r="C14" s="16" t="s">
        <v>74</v>
      </c>
    </row>
    <row r="15" spans="1:3" ht="20.100000000000001" customHeight="1" thickBot="1" x14ac:dyDescent="0.35">
      <c r="A15" s="2" t="s">
        <v>47</v>
      </c>
      <c r="C15" s="16" t="s">
        <v>75</v>
      </c>
    </row>
    <row r="16" spans="1:3" ht="20.100000000000001" customHeight="1" thickBot="1" x14ac:dyDescent="0.35">
      <c r="A16" s="2" t="s">
        <v>10</v>
      </c>
      <c r="C16" s="16" t="s">
        <v>76</v>
      </c>
    </row>
    <row r="17" spans="1:3" ht="20.100000000000001" customHeight="1" thickBot="1" x14ac:dyDescent="0.35">
      <c r="A17" s="2" t="s">
        <v>27</v>
      </c>
      <c r="C17" s="16" t="s">
        <v>77</v>
      </c>
    </row>
    <row r="18" spans="1:3" ht="20.100000000000001" customHeight="1" thickBot="1" x14ac:dyDescent="0.35">
      <c r="A18" s="2" t="s">
        <v>48</v>
      </c>
      <c r="C18" s="16" t="s">
        <v>78</v>
      </c>
    </row>
    <row r="19" spans="1:3" ht="20.100000000000001" customHeight="1" thickBot="1" x14ac:dyDescent="0.35">
      <c r="A19" s="2" t="s">
        <v>49</v>
      </c>
      <c r="C19" s="16" t="s">
        <v>79</v>
      </c>
    </row>
    <row r="20" spans="1:3" ht="20.100000000000001" customHeight="1" thickBot="1" x14ac:dyDescent="0.35">
      <c r="A20" s="2" t="s">
        <v>50</v>
      </c>
      <c r="C20" s="16" t="s">
        <v>80</v>
      </c>
    </row>
    <row r="21" spans="1:3" ht="20.100000000000001" customHeight="1" thickBot="1" x14ac:dyDescent="0.35">
      <c r="A21" s="2" t="s">
        <v>51</v>
      </c>
      <c r="C21" s="16" t="s">
        <v>81</v>
      </c>
    </row>
    <row r="22" spans="1:3" ht="20.100000000000001" customHeight="1" thickBot="1" x14ac:dyDescent="0.35">
      <c r="A22" s="2" t="s">
        <v>11</v>
      </c>
      <c r="C22" s="16" t="s">
        <v>82</v>
      </c>
    </row>
    <row r="23" spans="1:3" ht="20.100000000000001" customHeight="1" thickBot="1" x14ac:dyDescent="0.35">
      <c r="A23" s="2" t="s">
        <v>12</v>
      </c>
      <c r="C23" s="16" t="s">
        <v>83</v>
      </c>
    </row>
    <row r="24" spans="1:3" ht="20.100000000000001" customHeight="1" thickBot="1" x14ac:dyDescent="0.35">
      <c r="A24" s="2" t="s">
        <v>15</v>
      </c>
      <c r="C24" s="16" t="s">
        <v>84</v>
      </c>
    </row>
    <row r="25" spans="1:3" ht="20.100000000000001" customHeight="1" thickBot="1" x14ac:dyDescent="0.35">
      <c r="A25" s="2" t="s">
        <v>28</v>
      </c>
      <c r="C25" s="16" t="s">
        <v>85</v>
      </c>
    </row>
    <row r="26" spans="1:3" ht="20.100000000000001" customHeight="1" thickBot="1" x14ac:dyDescent="0.35">
      <c r="A26" s="2" t="s">
        <v>29</v>
      </c>
      <c r="C26" s="16" t="s">
        <v>86</v>
      </c>
    </row>
    <row r="27" spans="1:3" ht="20.100000000000001" customHeight="1" thickBot="1" x14ac:dyDescent="0.35">
      <c r="A27" s="2" t="s">
        <v>13</v>
      </c>
      <c r="C27" s="16" t="s">
        <v>87</v>
      </c>
    </row>
    <row r="28" spans="1:3" ht="20.100000000000001" customHeight="1" thickBot="1" x14ac:dyDescent="0.35">
      <c r="A28" s="2" t="s">
        <v>30</v>
      </c>
      <c r="C28" s="16" t="s">
        <v>88</v>
      </c>
    </row>
    <row r="29" spans="1:3" ht="20.100000000000001" customHeight="1" thickBot="1" x14ac:dyDescent="0.35">
      <c r="A29" s="2" t="s">
        <v>31</v>
      </c>
      <c r="C29" s="16" t="s">
        <v>177</v>
      </c>
    </row>
    <row r="30" spans="1:3" ht="20.100000000000001" customHeight="1" thickBot="1" x14ac:dyDescent="0.35">
      <c r="A30" s="2" t="s">
        <v>32</v>
      </c>
      <c r="C30" s="16" t="s">
        <v>178</v>
      </c>
    </row>
    <row r="31" spans="1:3" ht="20.100000000000001" customHeight="1" thickBot="1" x14ac:dyDescent="0.35">
      <c r="A31" s="2" t="s">
        <v>33</v>
      </c>
      <c r="C31" s="16" t="s">
        <v>179</v>
      </c>
    </row>
    <row r="32" spans="1:3" ht="20.100000000000001" customHeight="1" thickBot="1" x14ac:dyDescent="0.35">
      <c r="A32" s="2" t="s">
        <v>16</v>
      </c>
      <c r="C32" s="16"/>
    </row>
    <row r="33" spans="1:9" ht="20.100000000000001" customHeight="1" thickBot="1" x14ac:dyDescent="0.35">
      <c r="A33" s="2" t="s">
        <v>14</v>
      </c>
      <c r="C33" s="16"/>
    </row>
    <row r="34" spans="1:9" ht="20.100000000000001" customHeight="1" thickBot="1" x14ac:dyDescent="0.35">
      <c r="A34" s="2" t="s">
        <v>34</v>
      </c>
      <c r="C34" s="16"/>
    </row>
    <row r="35" spans="1:9" ht="20.100000000000001" customHeight="1" x14ac:dyDescent="0.3">
      <c r="A35" s="15"/>
    </row>
    <row r="36" spans="1:9" s="14" customFormat="1" ht="20.100000000000001" customHeight="1" x14ac:dyDescent="0.3">
      <c r="A36" s="12"/>
      <c r="B36" s="13"/>
      <c r="C36" s="13"/>
      <c r="D36" s="13"/>
      <c r="E36" s="13"/>
      <c r="F36" s="13"/>
      <c r="G36" s="13"/>
      <c r="H36" s="13"/>
      <c r="I36" s="13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0">
        <v>45931</v>
      </c>
    </row>
    <row r="40" spans="1:9" ht="20.100000000000001" customHeight="1" thickBot="1" x14ac:dyDescent="0.35">
      <c r="A40" s="10">
        <v>45932</v>
      </c>
    </row>
    <row r="41" spans="1:9" ht="20.100000000000001" customHeight="1" thickBot="1" x14ac:dyDescent="0.35">
      <c r="A41" s="10">
        <v>45933</v>
      </c>
    </row>
    <row r="42" spans="1:9" ht="20.100000000000001" customHeight="1" thickBot="1" x14ac:dyDescent="0.35">
      <c r="A42" s="10">
        <v>45934</v>
      </c>
    </row>
    <row r="43" spans="1:9" ht="20.100000000000001" customHeight="1" thickBot="1" x14ac:dyDescent="0.35">
      <c r="A43" s="10">
        <v>45935</v>
      </c>
    </row>
    <row r="44" spans="1:9" ht="20.100000000000001" customHeight="1" thickBot="1" x14ac:dyDescent="0.35">
      <c r="A44" s="10">
        <v>45936</v>
      </c>
    </row>
    <row r="45" spans="1:9" ht="20.100000000000001" customHeight="1" thickBot="1" x14ac:dyDescent="0.35">
      <c r="A45" s="10">
        <v>45937</v>
      </c>
    </row>
    <row r="46" spans="1:9" ht="20.100000000000001" customHeight="1" thickBot="1" x14ac:dyDescent="0.35">
      <c r="A46" s="10">
        <v>45938</v>
      </c>
    </row>
    <row r="47" spans="1:9" ht="20.100000000000001" customHeight="1" thickBot="1" x14ac:dyDescent="0.35">
      <c r="A47" s="10">
        <v>45939</v>
      </c>
    </row>
    <row r="48" spans="1:9" ht="20.100000000000001" customHeight="1" thickBot="1" x14ac:dyDescent="0.35">
      <c r="A48" s="10">
        <v>45940</v>
      </c>
    </row>
    <row r="49" spans="1:1" ht="20.100000000000001" customHeight="1" thickBot="1" x14ac:dyDescent="0.35">
      <c r="A49" s="10">
        <v>45941</v>
      </c>
    </row>
    <row r="50" spans="1:1" ht="20.100000000000001" customHeight="1" thickBot="1" x14ac:dyDescent="0.35">
      <c r="A50" s="10">
        <v>45942</v>
      </c>
    </row>
    <row r="51" spans="1:1" ht="20.100000000000001" customHeight="1" thickBot="1" x14ac:dyDescent="0.35">
      <c r="A51" s="10">
        <v>45943</v>
      </c>
    </row>
    <row r="52" spans="1:1" ht="20.100000000000001" customHeight="1" thickBot="1" x14ac:dyDescent="0.35">
      <c r="A52" s="10">
        <v>45944</v>
      </c>
    </row>
    <row r="53" spans="1:1" ht="20.100000000000001" customHeight="1" thickBot="1" x14ac:dyDescent="0.35">
      <c r="A53" s="10">
        <v>45945</v>
      </c>
    </row>
    <row r="54" spans="1:1" ht="20.100000000000001" customHeight="1" thickBot="1" x14ac:dyDescent="0.35">
      <c r="A54" s="10">
        <v>45946</v>
      </c>
    </row>
    <row r="55" spans="1:1" ht="20.100000000000001" customHeight="1" thickBot="1" x14ac:dyDescent="0.35">
      <c r="A55" s="10">
        <v>45947</v>
      </c>
    </row>
    <row r="56" spans="1:1" ht="20.100000000000001" customHeight="1" thickBot="1" x14ac:dyDescent="0.35">
      <c r="A56" s="10">
        <v>45948</v>
      </c>
    </row>
    <row r="57" spans="1:1" ht="20.100000000000001" customHeight="1" thickBot="1" x14ac:dyDescent="0.35">
      <c r="A57" s="10">
        <v>45949</v>
      </c>
    </row>
    <row r="58" spans="1:1" ht="20.100000000000001" customHeight="1" thickBot="1" x14ac:dyDescent="0.35">
      <c r="A58" s="10">
        <v>45950</v>
      </c>
    </row>
    <row r="59" spans="1:1" ht="20.100000000000001" customHeight="1" thickBot="1" x14ac:dyDescent="0.35">
      <c r="A59" s="10">
        <v>45951</v>
      </c>
    </row>
    <row r="60" spans="1:1" ht="20.100000000000001" customHeight="1" thickBot="1" x14ac:dyDescent="0.35">
      <c r="A60" s="10">
        <v>45952</v>
      </c>
    </row>
    <row r="61" spans="1:1" ht="20.100000000000001" customHeight="1" thickBot="1" x14ac:dyDescent="0.35">
      <c r="A61" s="10">
        <v>45953</v>
      </c>
    </row>
    <row r="62" spans="1:1" ht="20.100000000000001" customHeight="1" thickBot="1" x14ac:dyDescent="0.35">
      <c r="A62" s="10">
        <v>45954</v>
      </c>
    </row>
    <row r="63" spans="1:1" ht="20.100000000000001" customHeight="1" thickBot="1" x14ac:dyDescent="0.35">
      <c r="A63" s="10">
        <v>45955</v>
      </c>
    </row>
    <row r="64" spans="1:1" ht="20.100000000000001" customHeight="1" thickBot="1" x14ac:dyDescent="0.35">
      <c r="A64" s="10">
        <v>45956</v>
      </c>
    </row>
    <row r="65" spans="1:1" ht="20.100000000000001" customHeight="1" thickBot="1" x14ac:dyDescent="0.35">
      <c r="A65" s="10">
        <v>45957</v>
      </c>
    </row>
    <row r="66" spans="1:1" ht="20.100000000000001" customHeight="1" thickBot="1" x14ac:dyDescent="0.35">
      <c r="A66" s="10">
        <v>45958</v>
      </c>
    </row>
    <row r="67" spans="1:1" ht="20.100000000000001" customHeight="1" thickBot="1" x14ac:dyDescent="0.35">
      <c r="A67" s="10">
        <v>45959</v>
      </c>
    </row>
    <row r="68" spans="1:1" ht="20.100000000000001" customHeight="1" thickBot="1" x14ac:dyDescent="0.35">
      <c r="A68" s="10">
        <v>45960</v>
      </c>
    </row>
    <row r="69" spans="1:1" ht="20.100000000000001" customHeight="1" thickBot="1" x14ac:dyDescent="0.35">
      <c r="A69" s="10">
        <v>45961</v>
      </c>
    </row>
    <row r="70" spans="1:1" ht="20.100000000000001" customHeight="1" thickBot="1" x14ac:dyDescent="0.35">
      <c r="A70" s="10"/>
    </row>
    <row r="71" spans="1:1" ht="20.100000000000001" customHeight="1" thickBot="1" x14ac:dyDescent="0.35">
      <c r="A71" s="10"/>
    </row>
    <row r="72" spans="1:1" ht="20.100000000000001" customHeight="1" thickBot="1" x14ac:dyDescent="0.35">
      <c r="A72" s="10"/>
    </row>
    <row r="73" spans="1:1" ht="20.100000000000001" customHeight="1" thickBot="1" x14ac:dyDescent="0.35">
      <c r="A73" s="10"/>
    </row>
    <row r="74" spans="1:1" ht="20.100000000000001" customHeight="1" thickBot="1" x14ac:dyDescent="0.35">
      <c r="A74" s="10"/>
    </row>
    <row r="75" spans="1:1" ht="20.100000000000001" customHeight="1" thickBot="1" x14ac:dyDescent="0.35">
      <c r="A75" s="10"/>
    </row>
    <row r="76" spans="1:1" ht="20.100000000000001" customHeight="1" thickBot="1" x14ac:dyDescent="0.35">
      <c r="A76" s="10"/>
    </row>
    <row r="77" spans="1:1" ht="20.100000000000001" customHeight="1" thickBot="1" x14ac:dyDescent="0.35">
      <c r="A77" s="10"/>
    </row>
    <row r="78" spans="1:1" ht="20.100000000000001" customHeight="1" thickBot="1" x14ac:dyDescent="0.35">
      <c r="A78" s="10"/>
    </row>
    <row r="79" spans="1:1" ht="20.100000000000001" customHeight="1" thickBot="1" x14ac:dyDescent="0.35">
      <c r="A79" s="10"/>
    </row>
    <row r="80" spans="1:1" ht="20.100000000000001" customHeight="1" thickBot="1" x14ac:dyDescent="0.35">
      <c r="A80" s="10"/>
    </row>
    <row r="81" spans="1:1" ht="20.100000000000001" customHeight="1" thickBot="1" x14ac:dyDescent="0.35">
      <c r="A81" s="10"/>
    </row>
    <row r="82" spans="1:1" ht="20.100000000000001" customHeight="1" thickBot="1" x14ac:dyDescent="0.35">
      <c r="A82" s="10"/>
    </row>
    <row r="83" spans="1:1" ht="20.100000000000001" customHeight="1" thickBot="1" x14ac:dyDescent="0.35">
      <c r="A83" s="10"/>
    </row>
    <row r="84" spans="1:1" ht="20.100000000000001" customHeight="1" thickBot="1" x14ac:dyDescent="0.35">
      <c r="A84" s="10"/>
    </row>
    <row r="85" spans="1:1" ht="20.100000000000001" customHeight="1" thickBot="1" x14ac:dyDescent="0.35">
      <c r="A85" s="10"/>
    </row>
    <row r="86" spans="1:1" ht="20.100000000000001" customHeight="1" thickBot="1" x14ac:dyDescent="0.35">
      <c r="A86" s="10"/>
    </row>
    <row r="87" spans="1:1" ht="20.100000000000001" customHeight="1" thickBot="1" x14ac:dyDescent="0.35">
      <c r="A87" s="10"/>
    </row>
    <row r="88" spans="1:1" ht="20.100000000000001" customHeight="1" thickBot="1" x14ac:dyDescent="0.35">
      <c r="A88" s="10"/>
    </row>
    <row r="89" spans="1:1" ht="20.100000000000001" customHeight="1" thickBot="1" x14ac:dyDescent="0.35">
      <c r="A89" s="10"/>
    </row>
    <row r="90" spans="1:1" ht="20.100000000000001" customHeight="1" thickBot="1" x14ac:dyDescent="0.35">
      <c r="A90" s="10"/>
    </row>
    <row r="91" spans="1:1" ht="20.100000000000001" customHeight="1" thickBot="1" x14ac:dyDescent="0.35">
      <c r="A91" s="10"/>
    </row>
    <row r="92" spans="1:1" ht="20.100000000000001" customHeight="1" thickBot="1" x14ac:dyDescent="0.35">
      <c r="A92" s="10"/>
    </row>
    <row r="93" spans="1:1" ht="20.100000000000001" customHeight="1" thickBot="1" x14ac:dyDescent="0.35">
      <c r="A93" s="10"/>
    </row>
    <row r="94" spans="1:1" ht="20.100000000000001" customHeight="1" thickBot="1" x14ac:dyDescent="0.35">
      <c r="A94" s="10"/>
    </row>
    <row r="95" spans="1:1" ht="20.100000000000001" customHeight="1" thickBot="1" x14ac:dyDescent="0.35">
      <c r="A95" s="10"/>
    </row>
    <row r="96" spans="1:1" ht="20.100000000000001" customHeight="1" thickBot="1" x14ac:dyDescent="0.35">
      <c r="A96" s="10"/>
    </row>
    <row r="97" spans="1:9" ht="20.100000000000001" customHeight="1" thickBot="1" x14ac:dyDescent="0.35">
      <c r="A97" s="10"/>
    </row>
    <row r="98" spans="1:9" ht="20.100000000000001" customHeight="1" thickBot="1" x14ac:dyDescent="0.35">
      <c r="A98" s="10"/>
    </row>
    <row r="99" spans="1:9" ht="20.100000000000001" customHeight="1" thickBot="1" x14ac:dyDescent="0.35">
      <c r="A99" s="10"/>
    </row>
    <row r="100" spans="1:9" ht="20.100000000000001" customHeight="1" thickBot="1" x14ac:dyDescent="0.35">
      <c r="A100" s="10"/>
    </row>
    <row r="101" spans="1:9" ht="20.100000000000001" customHeight="1" thickBot="1" x14ac:dyDescent="0.35">
      <c r="A101" s="10"/>
    </row>
    <row r="102" spans="1:9" ht="20.100000000000001" customHeight="1" thickBot="1" x14ac:dyDescent="0.35">
      <c r="A102" s="10"/>
    </row>
    <row r="103" spans="1:9" ht="20.100000000000001" customHeight="1" thickBot="1" x14ac:dyDescent="0.35">
      <c r="A103" s="10"/>
    </row>
    <row r="104" spans="1:9" ht="20.100000000000001" customHeight="1" thickBot="1" x14ac:dyDescent="0.35">
      <c r="A104" s="10"/>
    </row>
    <row r="105" spans="1:9" ht="20.100000000000001" customHeight="1" thickBot="1" x14ac:dyDescent="0.35">
      <c r="A105" s="10"/>
    </row>
    <row r="106" spans="1:9" ht="20.100000000000001" customHeight="1" thickBot="1" x14ac:dyDescent="0.35">
      <c r="A106" s="10"/>
    </row>
    <row r="107" spans="1:9" ht="20.100000000000001" customHeight="1" x14ac:dyDescent="0.3">
      <c r="A107" s="11"/>
    </row>
    <row r="108" spans="1:9" ht="20.100000000000001" customHeight="1" x14ac:dyDescent="0.3">
      <c r="A108" s="11"/>
    </row>
    <row r="109" spans="1:9" s="14" customFormat="1" ht="20.100000000000001" customHeight="1" x14ac:dyDescent="0.3">
      <c r="A109" s="12"/>
      <c r="B109" s="13"/>
      <c r="C109" s="13"/>
      <c r="D109" s="13"/>
      <c r="E109" s="13"/>
      <c r="F109" s="13"/>
      <c r="G109" s="13"/>
      <c r="H109" s="13"/>
      <c r="I109" s="13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17" t="s">
        <v>89</v>
      </c>
    </row>
    <row r="200" spans="1:1" ht="20.100000000000001" customHeight="1" x14ac:dyDescent="0.3">
      <c r="A200" s="17" t="s">
        <v>90</v>
      </c>
    </row>
    <row r="201" spans="1:1" ht="20.100000000000001" customHeight="1" x14ac:dyDescent="0.3">
      <c r="A201" s="17" t="s">
        <v>91</v>
      </c>
    </row>
    <row r="202" spans="1:1" ht="20.100000000000001" customHeight="1" x14ac:dyDescent="0.3">
      <c r="A202" s="17" t="s">
        <v>92</v>
      </c>
    </row>
    <row r="203" spans="1:1" ht="20.100000000000001" customHeight="1" x14ac:dyDescent="0.3">
      <c r="A203" s="17" t="s">
        <v>93</v>
      </c>
    </row>
    <row r="204" spans="1:1" ht="20.100000000000001" customHeight="1" x14ac:dyDescent="0.3">
      <c r="A204" s="17" t="s">
        <v>94</v>
      </c>
    </row>
    <row r="205" spans="1:1" ht="20.100000000000001" customHeight="1" x14ac:dyDescent="0.3">
      <c r="A205" s="17" t="s">
        <v>95</v>
      </c>
    </row>
    <row r="206" spans="1:1" ht="20.100000000000001" customHeight="1" x14ac:dyDescent="0.3">
      <c r="A206" s="17" t="s">
        <v>96</v>
      </c>
    </row>
    <row r="207" spans="1:1" ht="20.100000000000001" customHeight="1" x14ac:dyDescent="0.3">
      <c r="A207" s="17" t="s">
        <v>97</v>
      </c>
    </row>
    <row r="208" spans="1:1" ht="20.100000000000001" customHeight="1" x14ac:dyDescent="0.3">
      <c r="A208" s="18" t="s">
        <v>98</v>
      </c>
    </row>
    <row r="209" spans="1:1" ht="20.100000000000001" customHeight="1" x14ac:dyDescent="0.3">
      <c r="A209" s="18" t="s">
        <v>99</v>
      </c>
    </row>
    <row r="210" spans="1:1" ht="20.100000000000001" customHeight="1" x14ac:dyDescent="0.3">
      <c r="A210" s="17" t="s">
        <v>100</v>
      </c>
    </row>
    <row r="211" spans="1:1" ht="20.100000000000001" customHeight="1" x14ac:dyDescent="0.3">
      <c r="A211" s="17" t="s">
        <v>101</v>
      </c>
    </row>
    <row r="212" spans="1:1" ht="20.100000000000001" customHeight="1" x14ac:dyDescent="0.3">
      <c r="A212" s="17" t="s">
        <v>175</v>
      </c>
    </row>
    <row r="213" spans="1:1" ht="20.100000000000001" customHeight="1" x14ac:dyDescent="0.3">
      <c r="A213" s="17" t="s">
        <v>102</v>
      </c>
    </row>
    <row r="214" spans="1:1" ht="20.100000000000001" customHeight="1" x14ac:dyDescent="0.3">
      <c r="A214" s="17" t="s">
        <v>103</v>
      </c>
    </row>
    <row r="215" spans="1:1" ht="20.100000000000001" customHeight="1" x14ac:dyDescent="0.3">
      <c r="A215" s="17" t="s">
        <v>104</v>
      </c>
    </row>
    <row r="216" spans="1:1" ht="20.100000000000001" customHeight="1" x14ac:dyDescent="0.3">
      <c r="A216" s="17" t="s">
        <v>105</v>
      </c>
    </row>
    <row r="217" spans="1:1" ht="20.100000000000001" customHeight="1" x14ac:dyDescent="0.3">
      <c r="A217" s="17" t="s">
        <v>106</v>
      </c>
    </row>
    <row r="218" spans="1:1" ht="20.100000000000001" customHeight="1" x14ac:dyDescent="0.3">
      <c r="A218" s="17" t="s">
        <v>107</v>
      </c>
    </row>
    <row r="219" spans="1:1" ht="20.100000000000001" customHeight="1" x14ac:dyDescent="0.3">
      <c r="A219" s="17" t="s">
        <v>108</v>
      </c>
    </row>
    <row r="220" spans="1:1" ht="20.100000000000001" customHeight="1" x14ac:dyDescent="0.3">
      <c r="A220" s="17" t="s">
        <v>109</v>
      </c>
    </row>
    <row r="221" spans="1:1" ht="20.100000000000001" customHeight="1" x14ac:dyDescent="0.3">
      <c r="A221" s="17" t="s">
        <v>110</v>
      </c>
    </row>
    <row r="222" spans="1:1" ht="20.100000000000001" customHeight="1" x14ac:dyDescent="0.3">
      <c r="A222" s="17" t="s">
        <v>111</v>
      </c>
    </row>
    <row r="223" spans="1:1" ht="20.100000000000001" customHeight="1" x14ac:dyDescent="0.3">
      <c r="A223" s="17" t="s">
        <v>112</v>
      </c>
    </row>
    <row r="224" spans="1:1" ht="20.100000000000001" customHeight="1" x14ac:dyDescent="0.3">
      <c r="A224" s="17" t="s">
        <v>176</v>
      </c>
    </row>
    <row r="225" spans="1:1" ht="20.100000000000001" customHeight="1" x14ac:dyDescent="0.3">
      <c r="A225" s="17" t="s">
        <v>113</v>
      </c>
    </row>
    <row r="226" spans="1:1" ht="20.100000000000001" customHeight="1" x14ac:dyDescent="0.3">
      <c r="A226" s="17" t="s">
        <v>114</v>
      </c>
    </row>
    <row r="227" spans="1:1" ht="20.100000000000001" customHeight="1" x14ac:dyDescent="0.3">
      <c r="A227" s="17" t="s">
        <v>115</v>
      </c>
    </row>
    <row r="228" spans="1:1" ht="20.100000000000001" customHeight="1" x14ac:dyDescent="0.3">
      <c r="A228" s="17" t="s">
        <v>116</v>
      </c>
    </row>
    <row r="229" spans="1:1" ht="20.100000000000001" customHeight="1" x14ac:dyDescent="0.3">
      <c r="A229" s="17" t="s">
        <v>117</v>
      </c>
    </row>
    <row r="230" spans="1:1" ht="20.100000000000001" customHeight="1" x14ac:dyDescent="0.3">
      <c r="A230" s="17" t="s">
        <v>118</v>
      </c>
    </row>
    <row r="231" spans="1:1" ht="20.100000000000001" customHeight="1" x14ac:dyDescent="0.3">
      <c r="A231" s="17" t="s">
        <v>119</v>
      </c>
    </row>
    <row r="232" spans="1:1" ht="20.100000000000001" customHeight="1" x14ac:dyDescent="0.3">
      <c r="A232" s="17" t="s">
        <v>120</v>
      </c>
    </row>
    <row r="233" spans="1:1" ht="20.100000000000001" customHeight="1" x14ac:dyDescent="0.3">
      <c r="A233" s="17" t="s">
        <v>121</v>
      </c>
    </row>
    <row r="234" spans="1:1" ht="20.100000000000001" customHeight="1" x14ac:dyDescent="0.3">
      <c r="A234" s="17" t="s">
        <v>122</v>
      </c>
    </row>
    <row r="235" spans="1:1" ht="20.100000000000001" customHeight="1" x14ac:dyDescent="0.3">
      <c r="A235" s="17" t="s">
        <v>123</v>
      </c>
    </row>
    <row r="236" spans="1:1" ht="20.100000000000001" customHeight="1" x14ac:dyDescent="0.3">
      <c r="A236" s="19" t="s">
        <v>124</v>
      </c>
    </row>
    <row r="237" spans="1:1" ht="20.100000000000001" customHeight="1" x14ac:dyDescent="0.3">
      <c r="A237" s="17" t="s">
        <v>125</v>
      </c>
    </row>
    <row r="238" spans="1:1" ht="20.100000000000001" customHeight="1" x14ac:dyDescent="0.3">
      <c r="A238" s="17" t="s">
        <v>126</v>
      </c>
    </row>
    <row r="239" spans="1:1" ht="20.100000000000001" customHeight="1" x14ac:dyDescent="0.3">
      <c r="A239" s="17" t="s">
        <v>127</v>
      </c>
    </row>
    <row r="240" spans="1:1" ht="20.100000000000001" customHeight="1" x14ac:dyDescent="0.3">
      <c r="A240" s="17" t="s">
        <v>128</v>
      </c>
    </row>
    <row r="241" spans="1:1" ht="20.100000000000001" customHeight="1" x14ac:dyDescent="0.3">
      <c r="A241" s="17" t="s">
        <v>129</v>
      </c>
    </row>
    <row r="242" spans="1:1" ht="20.100000000000001" customHeight="1" x14ac:dyDescent="0.3">
      <c r="A242" s="17" t="s">
        <v>130</v>
      </c>
    </row>
    <row r="243" spans="1:1" ht="20.100000000000001" customHeight="1" x14ac:dyDescent="0.3">
      <c r="A243" s="17" t="s">
        <v>131</v>
      </c>
    </row>
    <row r="244" spans="1:1" ht="20.100000000000001" customHeight="1" x14ac:dyDescent="0.3">
      <c r="A244" s="17" t="s">
        <v>132</v>
      </c>
    </row>
    <row r="245" spans="1:1" ht="20.100000000000001" customHeight="1" x14ac:dyDescent="0.3">
      <c r="A245" s="17" t="s">
        <v>133</v>
      </c>
    </row>
    <row r="246" spans="1:1" ht="20.100000000000001" customHeight="1" x14ac:dyDescent="0.3">
      <c r="A246" s="17" t="s">
        <v>134</v>
      </c>
    </row>
    <row r="247" spans="1:1" ht="20.100000000000001" customHeight="1" x14ac:dyDescent="0.3">
      <c r="A247" s="17" t="s">
        <v>135</v>
      </c>
    </row>
    <row r="248" spans="1:1" ht="20.100000000000001" customHeight="1" x14ac:dyDescent="0.3">
      <c r="A248" s="17" t="s">
        <v>126</v>
      </c>
    </row>
    <row r="249" spans="1:1" ht="20.100000000000001" customHeight="1" x14ac:dyDescent="0.3">
      <c r="A249" s="17" t="s">
        <v>136</v>
      </c>
    </row>
    <row r="250" spans="1:1" ht="20.100000000000001" customHeight="1" x14ac:dyDescent="0.3">
      <c r="A250" s="17" t="s">
        <v>137</v>
      </c>
    </row>
    <row r="251" spans="1:1" ht="20.100000000000001" customHeight="1" x14ac:dyDescent="0.3">
      <c r="A251" s="19" t="s">
        <v>138</v>
      </c>
    </row>
    <row r="252" spans="1:1" ht="20.100000000000001" customHeight="1" x14ac:dyDescent="0.3">
      <c r="A252" s="20" t="s">
        <v>139</v>
      </c>
    </row>
    <row r="253" spans="1:1" ht="20.100000000000001" customHeight="1" x14ac:dyDescent="0.3">
      <c r="A253" s="17" t="s">
        <v>140</v>
      </c>
    </row>
    <row r="254" spans="1:1" ht="20.100000000000001" customHeight="1" x14ac:dyDescent="0.3">
      <c r="A254" s="17" t="s">
        <v>141</v>
      </c>
    </row>
    <row r="255" spans="1:1" ht="20.100000000000001" customHeight="1" x14ac:dyDescent="0.3">
      <c r="A255" s="21" t="s">
        <v>142</v>
      </c>
    </row>
    <row r="256" spans="1:1" ht="20.100000000000001" customHeight="1" x14ac:dyDescent="0.3">
      <c r="A256" s="21" t="s">
        <v>143</v>
      </c>
    </row>
    <row r="257" spans="1:1" ht="20.100000000000001" customHeight="1" x14ac:dyDescent="0.3">
      <c r="A257" s="22" t="s">
        <v>144</v>
      </c>
    </row>
    <row r="258" spans="1:1" ht="20.100000000000001" customHeight="1" x14ac:dyDescent="0.3">
      <c r="A258" s="17" t="s">
        <v>145</v>
      </c>
    </row>
    <row r="259" spans="1:1" ht="20.100000000000001" customHeight="1" x14ac:dyDescent="0.3">
      <c r="A259" s="22" t="s">
        <v>146</v>
      </c>
    </row>
    <row r="260" spans="1:1" ht="20.100000000000001" customHeight="1" x14ac:dyDescent="0.3">
      <c r="A260" s="17" t="s">
        <v>147</v>
      </c>
    </row>
    <row r="261" spans="1:1" ht="20.100000000000001" customHeight="1" x14ac:dyDescent="0.3">
      <c r="A261" s="22" t="s">
        <v>148</v>
      </c>
    </row>
    <row r="262" spans="1:1" ht="20.100000000000001" customHeight="1" x14ac:dyDescent="0.3">
      <c r="A262" s="17" t="s">
        <v>149</v>
      </c>
    </row>
    <row r="263" spans="1:1" ht="20.100000000000001" customHeight="1" x14ac:dyDescent="0.3">
      <c r="A263" s="17" t="s">
        <v>150</v>
      </c>
    </row>
    <row r="264" spans="1:1" ht="20.100000000000001" customHeight="1" x14ac:dyDescent="0.3">
      <c r="A264" s="22" t="s">
        <v>151</v>
      </c>
    </row>
    <row r="265" spans="1:1" ht="20.100000000000001" customHeight="1" x14ac:dyDescent="0.3">
      <c r="A265" s="22" t="s">
        <v>152</v>
      </c>
    </row>
    <row r="266" spans="1:1" ht="20.100000000000001" customHeight="1" x14ac:dyDescent="0.3">
      <c r="A266" s="22" t="s">
        <v>153</v>
      </c>
    </row>
    <row r="267" spans="1:1" ht="20.100000000000001" customHeight="1" x14ac:dyDescent="0.3">
      <c r="A267" s="17" t="s">
        <v>154</v>
      </c>
    </row>
    <row r="268" spans="1:1" ht="20.100000000000001" customHeight="1" x14ac:dyDescent="0.3">
      <c r="A268" s="17" t="s">
        <v>155</v>
      </c>
    </row>
    <row r="269" spans="1:1" ht="20.100000000000001" customHeight="1" x14ac:dyDescent="0.3">
      <c r="A269" s="17" t="s">
        <v>156</v>
      </c>
    </row>
    <row r="270" spans="1:1" ht="20.100000000000001" customHeight="1" x14ac:dyDescent="0.3">
      <c r="A270" s="17" t="s">
        <v>157</v>
      </c>
    </row>
    <row r="271" spans="1:1" ht="20.100000000000001" customHeight="1" x14ac:dyDescent="0.3">
      <c r="A271" s="22" t="s">
        <v>158</v>
      </c>
    </row>
    <row r="272" spans="1:1" ht="20.100000000000001" customHeight="1" x14ac:dyDescent="0.3">
      <c r="A272" s="22" t="s">
        <v>159</v>
      </c>
    </row>
    <row r="273" spans="1:1" ht="20.100000000000001" customHeight="1" x14ac:dyDescent="0.3">
      <c r="A273" s="17" t="s">
        <v>160</v>
      </c>
    </row>
    <row r="274" spans="1:1" ht="20.100000000000001" customHeight="1" x14ac:dyDescent="0.3">
      <c r="A274" s="22" t="s">
        <v>161</v>
      </c>
    </row>
    <row r="275" spans="1:1" ht="20.100000000000001" customHeight="1" x14ac:dyDescent="0.3">
      <c r="A275" s="22" t="s">
        <v>162</v>
      </c>
    </row>
    <row r="276" spans="1:1" ht="20.100000000000001" customHeight="1" x14ac:dyDescent="0.3">
      <c r="A276" s="17" t="s">
        <v>163</v>
      </c>
    </row>
    <row r="277" spans="1:1" ht="20.100000000000001" customHeight="1" x14ac:dyDescent="0.3">
      <c r="A277" s="17" t="s">
        <v>164</v>
      </c>
    </row>
    <row r="278" spans="1:1" ht="20.100000000000001" customHeight="1" x14ac:dyDescent="0.3">
      <c r="A278" s="22" t="s">
        <v>165</v>
      </c>
    </row>
    <row r="279" spans="1:1" ht="20.100000000000001" customHeight="1" x14ac:dyDescent="0.3">
      <c r="A279" s="17" t="s">
        <v>166</v>
      </c>
    </row>
    <row r="280" spans="1:1" ht="20.100000000000001" customHeight="1" x14ac:dyDescent="0.3">
      <c r="A280" s="17" t="s">
        <v>167</v>
      </c>
    </row>
    <row r="281" spans="1:1" ht="20.100000000000001" customHeight="1" x14ac:dyDescent="0.3">
      <c r="A281" s="17" t="s">
        <v>168</v>
      </c>
    </row>
    <row r="282" spans="1:1" ht="20.100000000000001" customHeight="1" x14ac:dyDescent="0.3">
      <c r="A282" s="17" t="s">
        <v>169</v>
      </c>
    </row>
    <row r="283" spans="1:1" ht="20.100000000000001" customHeight="1" x14ac:dyDescent="0.3">
      <c r="A283" s="22" t="s">
        <v>170</v>
      </c>
    </row>
    <row r="284" spans="1:1" ht="20.100000000000001" customHeight="1" x14ac:dyDescent="0.3">
      <c r="A284" s="22" t="s">
        <v>171</v>
      </c>
    </row>
    <row r="285" spans="1:1" ht="20.100000000000001" customHeight="1" x14ac:dyDescent="0.3">
      <c r="A285" s="22" t="s">
        <v>172</v>
      </c>
    </row>
    <row r="286" spans="1:1" ht="20.100000000000001" customHeight="1" thickBot="1" x14ac:dyDescent="0.35">
      <c r="A286" s="17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2025-10-23T17:05:58Z</dcterms:modified>
</cp:coreProperties>
</file>