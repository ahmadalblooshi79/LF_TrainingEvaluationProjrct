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D69FFEB-1D59-4D58-A349-A6680E7327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2" i="2"/>
  <c r="H32" i="2"/>
  <c r="G33" i="2"/>
  <c r="H33" i="2"/>
  <c r="G34" i="2"/>
  <c r="H34" i="2"/>
  <c r="G35" i="2"/>
  <c r="H35" i="2"/>
  <c r="F36" i="2"/>
  <c r="E36" i="2"/>
  <c r="E37" i="2"/>
  <c r="E38" i="2"/>
</calcChain>
</file>

<file path=xl/sharedStrings.xml><?xml version="1.0" encoding="utf-8"?>
<sst xmlns="http://schemas.openxmlformats.org/spreadsheetml/2006/main" count="266" uniqueCount="210">
  <si>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</si>
  <si>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</si>
  <si>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</si>
  <si>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</si>
  <si>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</si>
  <si>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</si>
  <si>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</si>
  <si>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</si>
  <si>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</si>
  <si>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</si>
  <si>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</si>
  <si>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</si>
  <si>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</si>
  <si>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</si>
  <si>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</si>
  <si>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</si>
  <si>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</si>
  <si>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</si>
  <si>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</si>
  <si>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</si>
  <si>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</si>
  <si>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</si>
  <si>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</si>
  <si>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</si>
  <si>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</si>
  <si>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</si>
  <si>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</si>
  <si>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</si>
  <si>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</si>
  <si>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</si>
  <si>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</si>
  <si>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</si>
  <si>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</si>
  <si>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</si>
  <si>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</si>
  <si>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</si>
  <si>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</si>
  <si>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</si>
  <si>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</si>
  <si>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</si>
  <si>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</si>
  <si>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</si>
  <si>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</si>
  <si>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</si>
  <si>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</si>
  <si>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</si>
  <si>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</si>
  <si>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</si>
  <si>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</si>
  <si>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</si>
  <si>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</si>
  <si>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</si>
  <si>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</si>
  <si>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</si>
  <si>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</si>
  <si>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</si>
  <si>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</si>
  <si>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</si>
  <si>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</si>
  <si>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</si>
  <si>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</si>
  <si>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</si>
  <si>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</si>
  <si>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</si>
  <si>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</si>
  <si>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</si>
  <si>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</si>
  <si>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</si>
  <si>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</si>
  <si>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</si>
  <si>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</si>
  <si>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</si>
  <si>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</si>
  <si>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</si>
  <si>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</si>
  <si>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</si>
  <si>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</si>
  <si>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</si>
  <si>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</si>
  <si>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</si>
  <si>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</si>
  <si>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</si>
  <si>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</si>
  <si>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</si>
  <si>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</si>
  <si>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</si>
  <si>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</si>
  <si>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</si>
  <si>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</si>
  <si>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</si>
  <si>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</si>
  <si>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</si>
  <si>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</si>
  <si>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</si>
  <si>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</si>
  <si>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</si>
  <si>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</si>
  <si>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</si>
  <si>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</si>
  <si>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</si>
  <si>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</si>
  <si>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</si>
  <si>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</si>
  <si>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</si>
  <si>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</si>
  <si>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</si>
  <si>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</si>
  <si>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</si>
  <si>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</si>
  <si>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</si>
  <si>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</si>
  <si>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</si>
  <si>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</si>
  <si>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</si>
  <si>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</si>
  <si>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</si>
  <si>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</si>
  <si>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</si>
  <si>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</si>
  <si>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</si>
  <si>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</si>
  <si>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</si>
  <si>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</si>
  <si>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</si>
  <si>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</si>
  <si>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</si>
  <si>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</si>
  <si>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</si>
  <si>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</si>
  <si>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</si>
  <si>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</si>
  <si>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</si>
  <si>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</si>
  <si>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</si>
  <si>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</si>
  <si>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</si>
  <si>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</si>
  <si>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</si>
  <si>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</si>
  <si>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</si>
  <si>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</si>
  <si>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</si>
  <si>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</si>
  <si>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</si>
  <si>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</si>
  <si>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</si>
  <si>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</si>
  <si>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</si>
  <si>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</si>
  <si>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</si>
  <si>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</si>
  <si>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</si>
  <si>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</si>
  <si>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</si>
  <si>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</si>
  <si>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</si>
  <si>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</si>
  <si>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</si>
  <si>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</si>
  <si>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</si>
  <si>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</si>
  <si>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</si>
  <si>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</si>
  <si>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</si>
  <si>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</si>
  <si>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</si>
  <si>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</si>
  <si>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</si>
  <si>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</si>
  <si>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</si>
  <si>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</si>
  <si>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</si>
  <si>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</si>
  <si>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</si>
  <si>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</si>
  <si>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</si>
  <si>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</si>
  <si>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</si>
  <si>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</si>
  <si>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</si>
  <si>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القائد قبل بدء التحرك إلى مناطق الانتشار</t>
  </si>
  <si>
    <t>إجراءات القادة والقوات أثناء التحرك لمناطق الانتشار</t>
  </si>
  <si>
    <t>إجراءات دخول القوات في مناطق الانتشار وتأمينها</t>
  </si>
  <si>
    <t>تجهيز وإعداد مناطق الانتشار والإجراءات المتخذة فيها</t>
  </si>
  <si>
    <t>إجراءات الإسناد الإداري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</si>
  <si>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المرؤوسين بالبدء بتنفيذ خطة التحرك لمناطق الانتشار.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</si>
  <si>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إرسال مجموعات الحماية والاستطلاع والأدلاء إلى مناطق الانتشار.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</si>
  <si>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تحميل وثائق العمليات.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</si>
  <si>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يبدأ الضابط المسؤول عن مجموعة المؤخرة في تنفيذ التعليمات.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</si>
  <si>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التقيد بتنفيذ إجراءات التحرك حسب أمر / جدول التنقل.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</si>
  <si>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سيطرة القادة على قواتهم أثناء التحرك.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</si>
  <si>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الحماية للقوات أثناء التحرك.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</si>
  <si>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تحقيـق الاتصال بالمستـوى الأعلى والادنى.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</si>
  <si>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فتح نقاط ضبط وسيطرة من قبل الشرطة العسكرية / شرطة الوحدة.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</si>
  <si>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جماعة الإرشاد (الإدلاء) والقيام بأداء المهام والواجبات.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</si>
  <si>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عناصر من الوحدات لتأمين المواقع.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</si>
  <si>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قيام الوحدات باحتلال أماكنها وقيام الأسلحة العضوية والمساندة باحتلال مواقع النيران المخصصة.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</si>
  <si>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تسلسل الدخول لمناطق الانتشار حسب جدول التنقل.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</si>
  <si>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توزيع المعدات بالطريقة الصحيحة مع تقسيم منطقة الانتشار إلى قطاعات.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</si>
  <si>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جاهزية القوة للقيام بالدفاع عن منطقة الانتشار حسب خطة الدفاع والحراسة.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</si>
  <si>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الإخفاء والتمويه.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</si>
  <si>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فتح وإدامة مراكز القيادة والاتصالات والسيطرة.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</si>
  <si>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تأمين مناطق الانتشار بالاتصالات.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</si>
  <si>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تعليمات الإنـــذار.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</si>
  <si>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التزويد (الوقود / الأرزاق / المياه، الخ..).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</si>
  <si>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الإخـلاء.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</si>
  <si>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الإنقـاذ.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</si>
  <si>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الطرق الرئيسة والتبادلية المؤديـة إلى ومن مناطق الانتشــار.</t>
    </r>
  </si>
  <si>
    <r>
      <rPr>
        <b/>
        <sz val="14"/>
        <color rgb="FF000000"/>
        <rFont val="Arial"/>
        <family val="2"/>
      </rPr>
      <t>تقييم السرية الطبية في التحرك واحتلال مناطق الانتشار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</si>
  <si>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رائد طبيب/ علي النقبي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</si>
</sst>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14" fillId="0" borderId="4" xfId="0" applyFont="1" applyBorder="1" applyAlignment="1">
      <alignment vertical="center" wrapText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346415</xdr:colOff>
      <xdr:row>50</xdr:row>
      <xdr:rowOff>98083</xdr:rowOff>
    </xdr:from>
    <xdr:to>
      <xdr:col>7</xdr:col>
      <xdr:colOff>375575</xdr:colOff>
      <xdr:row>50</xdr:row>
      <xdr:rowOff>111043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4964CA2-2D7C-675C-BB53-9F452D63C7BC}"/>
                </a:ext>
              </a:extLst>
            </xdr14:cNvPr>
            <xdr14:cNvContentPartPr/>
          </xdr14:nvContentPartPr>
          <xdr14:nvPr macro=""/>
          <xdr14:xfrm>
            <a:off x="10399527425" y="17658720"/>
            <a:ext cx="29160" cy="12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4964CA2-2D7C-675C-BB53-9F452D63C7B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521305" y="17652600"/>
              <a:ext cx="414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574431</xdr:colOff>
      <xdr:row>39</xdr:row>
      <xdr:rowOff>58615</xdr:rowOff>
    </xdr:from>
    <xdr:to>
      <xdr:col>9</xdr:col>
      <xdr:colOff>569581</xdr:colOff>
      <xdr:row>39</xdr:row>
      <xdr:rowOff>535255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BB4A745-4BEC-47E8-BBCD-54BAD7F40A6E}"/>
                </a:ext>
              </a:extLst>
            </xdr14:cNvPr>
            <xdr14:cNvContentPartPr/>
          </xdr14:nvContentPartPr>
          <xdr14:nvPr macro=""/>
          <xdr14:xfrm>
            <a:off x="10078058588" y="15052430"/>
            <a:ext cx="1911873" cy="4766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8F03E32-D7BC-4D62-FA6C-D09DA88636A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7404865" y="13444560"/>
              <a:ext cx="1998360" cy="488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03:10:35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35,'0'0,"0"0,17 0,14 0,-23 0,1-16,6 16,-15 0,0 0,0 0,-15 0,15-16,0 14,0 2,0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15:43:51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547 217 2576,'0'0'0,"0"-4"448,-2-2-176,2 6-272,-2-13 296,2 9 24,0-9 168,4 2 113,-4 11-601,14-12 744,3-1 32,3 1-40,3-1-80,-23 13-656,31-14-1232,4-1 1664,4 4-72,7 0 48,-46 11-408,51-5 408,2 0-136,7 3 8,5 2-56,-65 0-224,68 3 96,-2 10 40,2 1-63,4 9-130,-72-23 57,132 47 65,-17 10-98,-11 8 82,-23 5 119,-81-70-168,72 72 144,-16-1 96,-14-1 16,-17-9 8,-25-61-264,19 61 296,-10-1 24,-9-2 8,0-2 32,0-56-360,-9 52 376,-10-3 24,-2-4-24,-5-4-16,26-41-360,-18 19 520,5-1 25,-9-1 55,4 2 128,18-19-728,-21 14 784,0 0 160,-2-1-80,-7-9-183,30-4-681,-25 15 360,-6-13-224,1 1-32,-3-3-32,33 0-72,-29-1 160,-6-3-144,2-12-32,1 0-72,32 16 88,-34-20-256,6-4 80,-2-6-32,4-1-72,26 31 280,-23-36-321,2 1 41,9-3 32,5-2 128,7 40 120,-4-39-24,2 2-24,2 0-40,13 3-56,-13 34 144,12-29-288,9 1-80,2 6 48,3 5 136,-26 17 184,30-13 0,3 10 0,40 2 0,-1 16-128,-72-15 128,74 30-152,-5 9 104,-3 6 64,-8 3 72,-58-48-88,46 49 80,-7-7 32,-9 0-16,-7-3 24,-23-39-120,19 39 136,-10-4-24,-2-1-32,-5-1 112,-2-33-192,0 30 200,0-2-48,-2-1 128,-3-4-128,5-23-152,-11 19 216,4-2 48,-5-5-48,6-7 73,6-5-289,-15 4 312,11-1 0,-10-3-80,9-3-48,5 3-184,-13-16 144,1-1-288,7-5-344,-8-8-329,13 30 817,-5-33-896,2-5 96,1-4 144,2-3 192,0 45 464,5-48-544,6-2 80,3 1 304,2 5 200,-16 44-40,19-41 224,-3 6 144,0 3-32,7 8-120,-23 24-216,19-17 176,0 11-40,1 2-48,3 4 128,-23 0-216,23 4 224,0 16 48,1 2 120,2 5 48,-26-27-440,28 30 424,-5 4 64,0 3-87,-3 1 7,-20-38-408,19 38 280,-2 1-144,-2-2-32,-5-3-96,-10-34-8,4 33 104,8-4-96,-12-2 72,5-1 16,-5-26-96,2 21 40,-2-4-16,0-2-608,0-11-1057,0-4 1641,0 13-3088,0-13-2521,0 0-1017,0 0 6626</inkml:trace>
  <inkml:trace contextRef="#ctx0" brushRef="#br0" timeOffset="1">2402 168 13074,'0'0'0,"0"0"1497,0 0-1497,0 5-280,-2 10-65,-1 1 169,2 4 184,1-20-8,0 24 112,0 6 273,0 5 319,1 5 160,-1-40-864,5 43 1040,7 4 32,-7 3-167,13 2-185,-18-52-720,13 54 616,9 4-256,-4 2-144,1-2 8,-19-58-224,20 59 96,6-1 8,-2-4 16,-4-1-48,-20-53-72,23 49 80,19 35-144,-7-20-24,-10-17 8,-25-47 80,19 31-48,-5-11 72,-10-5-112,13-11-264,-17-4 352,2 11-1056,0-11-657,1 0-895,-2-4-521,-1 4 3129,5-17-3697,-3-4-1200,-2 21 4897</inkml:trace>
  <inkml:trace contextRef="#ctx0" brushRef="#br0" timeOffset="2">2599 130 14915,'0'0'0,"0"0"0,-2-1 392,2-1-232,0 1-200,0 1-96,0 0 136,0 0-96,0 0 88,2 4 200,9 12 264,-11-16-456,5 14 624,11 6 216,-1 7 72,3 4-31,-18-31-881,40 77 480,1 8 104,0-2-272,-8-11-312,-33-72 0,28 64 384,-5 1-232,2-2 40,3 1 16,-28-64-208,23 61 184,0-4-160,1-6 80,-3-5 128,-21-46-232,23 41 96,-5-4-72,1-3 40,-5-6-8,-14-28-56,9 26 16,-5-5 128,11-5-160,-15-3-224,0-13 240,0 4-232,0 0-264,-3 1-384,-1-1-560,4-4 1440,-5 0-2121,-11 0-727,-2-3-1161,-6-11-1585,24 14 5594,0 0 0</inkml:trace>
  <inkml:trace contextRef="#ctx0" brushRef="#br0" timeOffset="3">2641 1011 6105,'0'0'0,"0"-5"3809,0-8-2777,0 13-1032,-3-6 856,3-8-56,0 1-96,0-1-128,0 14-576,0-16 633,5 2-81,7 1-48,-10-1-72,-2 14-432,12-14 304,1-3-248,13-10-32,1 4-120,-27 23 96,26-20-120,-5 6 128,2 0 16,1 0 0,-24 14-24,23-13 40,-5-1-16,5-1-32,-4 1-8,-19 14 16,21-15 24,-5 0 8,0 1 8,-2 3 16,-14 11-56,14-6 32,-10 2-8,8 0 8,-7 2 24,-5 2-56,2 0 48,9 13 8,-8 1 56,11 5 72,-14-19-184,4 25 256,8 4 48,-10 3 40,10 1-48,-12-33-296,4 34 248,13-3 8,-6-1 33,4-3-105,-15-27-184,13 22 208,5-5-24,2-3 0,0-10 64,-20-4-248,23 14 240,0-14-40,3 3-8,-1-3 0,-25 0-192,26 0 128,-1-4 0,3-9-104,0 0 32,-28 13-56,25-15 136,3-5-80,-7-3 120,-1-5-72,-20 28-104,17-32-8,-3-3 112,-5-2-184,-4-4 104,-5 41-24,14-44 16,-14-3-16,0 0-16,2 1-32,-2 46 48,0-41-80,0 4 80,0 7 16,0 3-16,0 27 0,0-21 88,0 5 32,-2 11 128,2 0-16,0 5-232,-3-3 120,1 3-16,2 5-224,0 15 256,0-20-136,5 22 24,-5 7-48,0 3 152,4 4-152,-4-36 24,10 36 24,-6-4 32,15 1-96,-1-6-48,-18-27 88,19 24-16,6-1 40,0-3 40,3-3-32,-28-17-32,33 14 120,2-1-40,4-9 8,-2 7 24,-37-11-112,39 3 80,-1 2-24,3-1-88,5-1 88,-46-3-56,43 0 16,0 0-32,1-2 56,-2-9-64,-42 11 24,46-6-32,-4-12 88,4-2-96,1-2-56,-47 22 96,46-27-80,2-4-120,6-4-40,-8-7-128,-46 42 368,48-44-576,8-5-104,-5-4-8,5 0 64,-56 53 624,58-52-504,0 2 112,-1 6 127,-1 4 73,-56 40 192,53-32-96,-9 5 72,-2 2 16,-7 7 64,-35 18-56,30-17 88,-3 4 8,-6 7 32,-2-6-32,-19 12-96,16-3 48,-4-2-48,-9 3-24,8 0-8,-11 2 32,0-1 8,2 1 32,-2 0 33,0 0-25,0 0-48,0 0 96,0 0-8,-2 0-32,2 0 104,0 0-160,-5 0 72,-9 0 24,2 4-16,-11 10-72,23-14-8,-30 13 24,-14 1 40,-9 5-64,-8 2 16,61-21-16,-71 24 8,-10 5-56,-14 3 32,-7 4 8,102-36 8,-116 38 24,-4 5 40,-10 2-80,-11 1 64,141-46-48,-141 47-24,-10-2-64,1-1 56,-1-1-56,151-43 88,-155 41-16,-3-1 48,-1-2-168,2-2 80,157-36 56,-82 16 128,-20 5 40,3 0 104,-22 3-96,121-24-176,-125 26-112,51-12 136,-7 2-8,-3-1-64,84-15 48,-87 18-80,-15 0-248,-5 2 4969,3 0-4985,104-20 344,-114 20-489,3 1 65,-7 0-200,7-1-32,111-20 656,-120 22-336,8-1 136,-5-1 328,3-2 24,114-18-152,-113 19 120,6-2-160,9-3-376,6-1-280,92-13 696,-84 13 5145,8-2-5105,14-8 688,4 1 704,58-4-1432,-53 11-176,9-11 1841,6 3-1665,8 0 728,30-3-728,-20 0 1792,4 0-1856,8 0 1337,6 0-1273,2 0 0,-2 0 0,2 0-129,4 0-63,8-1-112,-12 1 304,12-2 416,3 1-207,-10 1-722,13 0-199,-18 0 712,20 0-1672,-7 0-32,5 3 1191,-3-3-1255,-15 0 1768,13 4-3737,2 0-2920,-2-1-1017,-1 1 793,-12-4 6881,0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0"/>
  <sheetViews>
    <sheetView rightToLeft="1" tabSelected="1" view="pageBreakPreview" topLeftCell="A33" zoomScale="130" zoomScaleNormal="100" zoomScaleSheetLayoutView="130" workbookViewId="0">
      <selection activeCell="B39" sqref="B39:D40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0" t="s">
        <v>208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3">
      <c r="B2" s="12" t="s">
        <v>8</v>
      </c>
      <c r="C2" s="66" t="s">
        <v>31</v>
      </c>
      <c r="D2" s="66"/>
      <c r="E2" s="12" t="s">
        <v>7</v>
      </c>
      <c r="F2" s="61">
        <v>45929</v>
      </c>
      <c r="G2" s="61"/>
      <c r="H2" s="61"/>
      <c r="I2" s="61"/>
      <c r="J2" s="61"/>
    </row>
    <row r="3" spans="1:10" ht="30" customHeight="1" x14ac:dyDescent="0.3">
      <c r="B3" s="12" t="s">
        <v>9</v>
      </c>
      <c r="C3" s="66" t="s">
        <v>60</v>
      </c>
      <c r="D3" s="66"/>
      <c r="E3" s="12" t="s">
        <v>6</v>
      </c>
      <c r="F3" s="66" t="s">
        <v>138</v>
      </c>
      <c r="G3" s="66"/>
      <c r="H3" s="66"/>
      <c r="I3" s="66"/>
      <c r="J3" s="66"/>
    </row>
    <row r="4" spans="1:10" ht="30" customHeight="1" thickBot="1" x14ac:dyDescent="0.35">
      <c r="B4" s="6"/>
      <c r="C4" s="7"/>
      <c r="D4" s="7" t="s">
        <v>209</v>
      </c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2" t="s">
        <v>0</v>
      </c>
      <c r="C5" s="63"/>
      <c r="D5" s="63"/>
      <c r="E5" s="71" t="s">
        <v>1</v>
      </c>
      <c r="F5" s="71"/>
      <c r="G5" s="71"/>
      <c r="H5" s="71"/>
      <c r="I5" s="71" t="s">
        <v>2</v>
      </c>
      <c r="J5" s="72"/>
    </row>
    <row r="6" spans="1:10" ht="24.9" customHeight="1" thickBot="1" x14ac:dyDescent="0.35">
      <c r="A6" s="10"/>
      <c r="B6" s="64"/>
      <c r="C6" s="65"/>
      <c r="D6" s="65"/>
      <c r="E6" s="11" t="s">
        <v>3</v>
      </c>
      <c r="F6" s="11" t="s">
        <v>4</v>
      </c>
      <c r="G6" s="11" t="s">
        <v>23</v>
      </c>
      <c r="H6" s="11" t="s">
        <v>24</v>
      </c>
      <c r="I6" s="73"/>
      <c r="J6" s="74"/>
    </row>
    <row r="7" spans="1:10" ht="24.9" customHeight="1" thickBot="1" x14ac:dyDescent="0.35">
      <c r="A7" s="10"/>
      <c r="B7" s="69" t="s">
        <v>21</v>
      </c>
      <c r="C7" s="70"/>
      <c r="D7" s="70"/>
      <c r="E7" s="32" t="s">
        <v>18</v>
      </c>
      <c r="F7" s="32" t="s">
        <v>19</v>
      </c>
      <c r="G7" s="32" t="s">
        <v>22</v>
      </c>
      <c r="H7" s="32" t="s">
        <v>20</v>
      </c>
      <c r="I7" s="48" t="s">
        <v>25</v>
      </c>
      <c r="J7" s="49"/>
    </row>
    <row r="8" spans="1:10" ht="30" customHeight="1" x14ac:dyDescent="0.3">
      <c r="A8" s="10"/>
      <c r="B8" s="83" t="s">
        <v>180</v>
      </c>
      <c r="C8" s="84"/>
      <c r="D8" s="84"/>
      <c r="E8" s="31"/>
      <c r="F8" s="36"/>
      <c r="G8" s="37"/>
      <c r="H8" s="38"/>
      <c r="I8" s="52"/>
      <c r="J8" s="53"/>
    </row>
    <row r="9" spans="1:10" ht="30" customHeight="1" x14ac:dyDescent="0.3">
      <c r="A9" s="10"/>
      <c r="B9" s="79" t="s">
        <v>185</v>
      </c>
      <c r="C9" s="80"/>
      <c r="D9" s="80"/>
      <c r="E9" s="28">
        <v>5</v>
      </c>
      <c r="F9" s="26">
        <v>3.75</v>
      </c>
      <c r="G9" s="34">
        <f>IFERROR(F9/E9,"")</f>
        <v>0.75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6"/>
      <c r="J9" s="47"/>
    </row>
    <row r="10" spans="1:10" ht="30" customHeight="1" x14ac:dyDescent="0.3">
      <c r="A10" s="10"/>
      <c r="B10" s="79" t="s">
        <v>186</v>
      </c>
      <c r="C10" s="80"/>
      <c r="D10" s="80"/>
      <c r="E10" s="28">
        <v>5</v>
      </c>
      <c r="F10" s="26">
        <v>3.5</v>
      </c>
      <c r="G10" s="34">
        <f t="shared" ref="G10:G35" si="0">IFERROR(F10/E10,"")</f>
        <v>0.7</v>
      </c>
      <c r="H10" s="35" t="str">
        <f t="shared" ref="H10:H35" si="1">_xlfn.IFS(F10="أدخل العلامة","",F10="لا ينطبق","تم الإلغاء",G10&gt;=90%,"ممتاز",G10&gt;=80%,"جيد جداً",G10&gt;=70%,"جيد",G10&gt;=60%,"مقبول",G10&lt;60%,"راسب")</f>
        <v>جيد</v>
      </c>
      <c r="I10" s="46"/>
      <c r="J10" s="47"/>
    </row>
    <row r="11" spans="1:10" ht="30" customHeight="1" x14ac:dyDescent="0.3">
      <c r="A11" s="10"/>
      <c r="B11" s="79" t="s">
        <v>187</v>
      </c>
      <c r="C11" s="80"/>
      <c r="D11" s="80"/>
      <c r="E11" s="28">
        <v>5</v>
      </c>
      <c r="F11" s="26">
        <v>3.75</v>
      </c>
      <c r="G11" s="34">
        <f t="shared" si="0"/>
        <v>0.75</v>
      </c>
      <c r="H11" s="35" t="str">
        <f t="shared" si="1"/>
        <v>جيد</v>
      </c>
      <c r="I11" s="46"/>
      <c r="J11" s="47"/>
    </row>
    <row r="12" spans="1:10" ht="30" customHeight="1" thickBot="1" x14ac:dyDescent="0.35">
      <c r="A12" s="10"/>
      <c r="B12" s="81" t="s">
        <v>188</v>
      </c>
      <c r="C12" s="82"/>
      <c r="D12" s="82"/>
      <c r="E12" s="29">
        <v>5</v>
      </c>
      <c r="F12" s="27">
        <v>3.75</v>
      </c>
      <c r="G12" s="39">
        <f t="shared" si="0"/>
        <v>0.75</v>
      </c>
      <c r="H12" s="40" t="str">
        <f t="shared" si="1"/>
        <v>جيد</v>
      </c>
      <c r="I12" s="50"/>
      <c r="J12" s="51"/>
    </row>
    <row r="13" spans="1:10" ht="30" customHeight="1" x14ac:dyDescent="0.3">
      <c r="A13" s="10"/>
      <c r="B13" s="83" t="s">
        <v>181</v>
      </c>
      <c r="C13" s="84"/>
      <c r="D13" s="84"/>
      <c r="E13" s="31"/>
      <c r="F13" s="36"/>
      <c r="G13" s="37"/>
      <c r="H13" s="38"/>
      <c r="I13" s="52"/>
      <c r="J13" s="53"/>
    </row>
    <row r="14" spans="1:10" ht="30" customHeight="1" x14ac:dyDescent="0.3">
      <c r="A14" s="10"/>
      <c r="B14" s="79" t="s">
        <v>189</v>
      </c>
      <c r="C14" s="80"/>
      <c r="D14" s="80"/>
      <c r="E14" s="9">
        <v>8</v>
      </c>
      <c r="F14" s="26">
        <v>6.25</v>
      </c>
      <c r="G14" s="34">
        <f t="shared" si="0"/>
        <v>0.78125</v>
      </c>
      <c r="H14" s="35" t="str">
        <f t="shared" si="1"/>
        <v>جيد</v>
      </c>
      <c r="I14" s="46"/>
      <c r="J14" s="47"/>
    </row>
    <row r="15" spans="1:10" ht="30" customHeight="1" x14ac:dyDescent="0.3">
      <c r="A15" s="10"/>
      <c r="B15" s="79" t="s">
        <v>190</v>
      </c>
      <c r="C15" s="80"/>
      <c r="D15" s="80"/>
      <c r="E15" s="9">
        <v>8</v>
      </c>
      <c r="F15" s="26">
        <v>6.25</v>
      </c>
      <c r="G15" s="34">
        <f t="shared" si="0"/>
        <v>0.78125</v>
      </c>
      <c r="H15" s="35" t="str">
        <f t="shared" si="1"/>
        <v>جيد</v>
      </c>
      <c r="I15" s="46"/>
      <c r="J15" s="47"/>
    </row>
    <row r="16" spans="1:10" ht="30" customHeight="1" x14ac:dyDescent="0.3">
      <c r="A16" s="10"/>
      <c r="B16" s="79" t="s">
        <v>191</v>
      </c>
      <c r="C16" s="80"/>
      <c r="D16" s="80"/>
      <c r="E16" s="9">
        <v>5</v>
      </c>
      <c r="F16" s="26">
        <v>3.75</v>
      </c>
      <c r="G16" s="34">
        <f t="shared" si="0"/>
        <v>0.75</v>
      </c>
      <c r="H16" s="35" t="str">
        <f t="shared" si="1"/>
        <v>جيد</v>
      </c>
      <c r="I16" s="46"/>
      <c r="J16" s="47"/>
    </row>
    <row r="17" spans="1:10" ht="30" customHeight="1" thickBot="1" x14ac:dyDescent="0.35">
      <c r="A17" s="10"/>
      <c r="B17" s="81" t="s">
        <v>192</v>
      </c>
      <c r="C17" s="82"/>
      <c r="D17" s="82"/>
      <c r="E17" s="30">
        <v>8</v>
      </c>
      <c r="F17" s="27">
        <v>6.25</v>
      </c>
      <c r="G17" s="39">
        <f t="shared" si="0"/>
        <v>0.78125</v>
      </c>
      <c r="H17" s="40" t="str">
        <f t="shared" si="1"/>
        <v>جيد</v>
      </c>
      <c r="I17" s="50"/>
      <c r="J17" s="51"/>
    </row>
    <row r="18" spans="1:10" ht="30" customHeight="1" x14ac:dyDescent="0.3">
      <c r="A18" s="10"/>
      <c r="B18" s="83" t="s">
        <v>182</v>
      </c>
      <c r="C18" s="84"/>
      <c r="D18" s="84"/>
      <c r="E18" s="31"/>
      <c r="F18" s="36"/>
      <c r="G18" s="37"/>
      <c r="H18" s="38"/>
      <c r="I18" s="52"/>
      <c r="J18" s="53"/>
    </row>
    <row r="19" spans="1:10" ht="30" customHeight="1" x14ac:dyDescent="0.3">
      <c r="A19" s="10"/>
      <c r="B19" s="79" t="s">
        <v>193</v>
      </c>
      <c r="C19" s="80"/>
      <c r="D19" s="80"/>
      <c r="E19" s="28">
        <v>8</v>
      </c>
      <c r="F19" s="26">
        <v>6</v>
      </c>
      <c r="G19" s="34">
        <f t="shared" si="0"/>
        <v>0.75</v>
      </c>
      <c r="H19" s="35" t="str">
        <f t="shared" si="1"/>
        <v>جيد</v>
      </c>
      <c r="I19" s="46"/>
      <c r="J19" s="47"/>
    </row>
    <row r="20" spans="1:10" ht="30" customHeight="1" x14ac:dyDescent="0.3">
      <c r="A20" s="10"/>
      <c r="B20" s="79" t="s">
        <v>194</v>
      </c>
      <c r="C20" s="80"/>
      <c r="D20" s="80"/>
      <c r="E20" s="28">
        <v>8</v>
      </c>
      <c r="F20" s="26">
        <v>6</v>
      </c>
      <c r="G20" s="34">
        <f t="shared" si="0"/>
        <v>0.75</v>
      </c>
      <c r="H20" s="35" t="str">
        <f t="shared" si="1"/>
        <v>جيد</v>
      </c>
      <c r="I20" s="46"/>
      <c r="J20" s="47"/>
    </row>
    <row r="21" spans="1:10" ht="30" customHeight="1" x14ac:dyDescent="0.3">
      <c r="A21" s="10"/>
      <c r="B21" s="79" t="s">
        <v>195</v>
      </c>
      <c r="C21" s="80"/>
      <c r="D21" s="80"/>
      <c r="E21" s="28">
        <v>8</v>
      </c>
      <c r="F21" s="26">
        <v>6</v>
      </c>
      <c r="G21" s="34">
        <f t="shared" si="0"/>
        <v>0.75</v>
      </c>
      <c r="H21" s="35" t="str">
        <f t="shared" si="1"/>
        <v>جيد</v>
      </c>
      <c r="I21" s="46"/>
      <c r="J21" s="47"/>
    </row>
    <row r="22" spans="1:10" ht="30" customHeight="1" x14ac:dyDescent="0.3">
      <c r="A22" s="10"/>
      <c r="B22" s="79" t="s">
        <v>196</v>
      </c>
      <c r="C22" s="80"/>
      <c r="D22" s="80"/>
      <c r="E22" s="28">
        <v>8</v>
      </c>
      <c r="F22" s="26">
        <v>6</v>
      </c>
      <c r="G22" s="34">
        <f t="shared" si="0"/>
        <v>0.75</v>
      </c>
      <c r="H22" s="35" t="str">
        <f t="shared" si="1"/>
        <v>جيد</v>
      </c>
      <c r="I22" s="46"/>
      <c r="J22" s="47"/>
    </row>
    <row r="23" spans="1:10" ht="30" customHeight="1" thickBot="1" x14ac:dyDescent="0.35">
      <c r="A23" s="10"/>
      <c r="B23" s="81" t="s">
        <v>197</v>
      </c>
      <c r="C23" s="82"/>
      <c r="D23" s="82"/>
      <c r="E23" s="29">
        <v>8</v>
      </c>
      <c r="F23" s="27">
        <v>6</v>
      </c>
      <c r="G23" s="39">
        <f t="shared" si="0"/>
        <v>0.75</v>
      </c>
      <c r="H23" s="40" t="str">
        <f t="shared" si="1"/>
        <v>جيد</v>
      </c>
      <c r="I23" s="50"/>
      <c r="J23" s="51"/>
    </row>
    <row r="24" spans="1:10" ht="30" customHeight="1" x14ac:dyDescent="0.3">
      <c r="A24" s="10"/>
      <c r="B24" s="83" t="s">
        <v>183</v>
      </c>
      <c r="C24" s="84"/>
      <c r="D24" s="84"/>
      <c r="E24" s="31"/>
      <c r="F24" s="36"/>
      <c r="G24" s="37"/>
      <c r="H24" s="38"/>
      <c r="I24" s="52"/>
      <c r="J24" s="53"/>
    </row>
    <row r="25" spans="1:10" ht="30" customHeight="1" x14ac:dyDescent="0.3">
      <c r="A25" s="10"/>
      <c r="B25" s="79" t="s">
        <v>198</v>
      </c>
      <c r="C25" s="80"/>
      <c r="D25" s="80"/>
      <c r="E25" s="28">
        <v>5</v>
      </c>
      <c r="F25" s="26">
        <v>3.75</v>
      </c>
      <c r="G25" s="34">
        <f t="shared" si="0"/>
        <v>0.75</v>
      </c>
      <c r="H25" s="35" t="str">
        <f t="shared" si="1"/>
        <v>جيد</v>
      </c>
      <c r="I25" s="46"/>
      <c r="J25" s="47"/>
    </row>
    <row r="26" spans="1:10" ht="30" customHeight="1" x14ac:dyDescent="0.3">
      <c r="A26" s="10"/>
      <c r="B26" s="79" t="s">
        <v>199</v>
      </c>
      <c r="C26" s="80"/>
      <c r="D26" s="80"/>
      <c r="E26" s="28">
        <v>5</v>
      </c>
      <c r="F26" s="26">
        <v>3.75</v>
      </c>
      <c r="G26" s="34">
        <f t="shared" si="0"/>
        <v>0.75</v>
      </c>
      <c r="H26" s="35" t="str">
        <f t="shared" si="1"/>
        <v>جيد</v>
      </c>
      <c r="I26" s="46"/>
      <c r="J26" s="47"/>
    </row>
    <row r="27" spans="1:10" ht="30" customHeight="1" x14ac:dyDescent="0.3">
      <c r="A27" s="10"/>
      <c r="B27" s="79" t="s">
        <v>200</v>
      </c>
      <c r="C27" s="80"/>
      <c r="D27" s="80"/>
      <c r="E27" s="28">
        <v>5</v>
      </c>
      <c r="F27" s="26">
        <v>3.75</v>
      </c>
      <c r="G27" s="34">
        <f t="shared" si="0"/>
        <v>0.75</v>
      </c>
      <c r="H27" s="35" t="str">
        <f t="shared" si="1"/>
        <v>جيد</v>
      </c>
      <c r="I27" s="46"/>
      <c r="J27" s="47"/>
    </row>
    <row r="28" spans="1:10" ht="30" customHeight="1" x14ac:dyDescent="0.3">
      <c r="A28" s="10"/>
      <c r="B28" s="79" t="s">
        <v>201</v>
      </c>
      <c r="C28" s="80"/>
      <c r="D28" s="80"/>
      <c r="E28" s="28">
        <v>5</v>
      </c>
      <c r="F28" s="26">
        <v>3.75</v>
      </c>
      <c r="G28" s="34">
        <f t="shared" si="0"/>
        <v>0.75</v>
      </c>
      <c r="H28" s="35" t="str">
        <f t="shared" si="1"/>
        <v>جيد</v>
      </c>
      <c r="I28" s="46"/>
      <c r="J28" s="47"/>
    </row>
    <row r="29" spans="1:10" ht="30" customHeight="1" x14ac:dyDescent="0.3">
      <c r="A29" s="10"/>
      <c r="B29" s="79" t="s">
        <v>202</v>
      </c>
      <c r="C29" s="80"/>
      <c r="D29" s="80"/>
      <c r="E29" s="28">
        <v>5</v>
      </c>
      <c r="F29" s="26">
        <v>3.75</v>
      </c>
      <c r="G29" s="34">
        <f t="shared" si="0"/>
        <v>0.75</v>
      </c>
      <c r="H29" s="35" t="str">
        <f t="shared" si="1"/>
        <v>جيد</v>
      </c>
      <c r="I29" s="46"/>
      <c r="J29" s="47"/>
    </row>
    <row r="30" spans="1:10" ht="30" customHeight="1" thickBot="1" x14ac:dyDescent="0.35">
      <c r="A30" s="10"/>
      <c r="B30" s="81" t="s">
        <v>203</v>
      </c>
      <c r="C30" s="82"/>
      <c r="D30" s="82"/>
      <c r="E30" s="29">
        <v>5</v>
      </c>
      <c r="F30" s="27">
        <v>3.5</v>
      </c>
      <c r="G30" s="39">
        <f t="shared" si="0"/>
        <v>0.7</v>
      </c>
      <c r="H30" s="40" t="str">
        <f t="shared" si="1"/>
        <v>جيد</v>
      </c>
      <c r="I30" s="50"/>
      <c r="J30" s="51"/>
    </row>
    <row r="31" spans="1:10" ht="30" customHeight="1" x14ac:dyDescent="0.3">
      <c r="A31" s="10"/>
      <c r="B31" s="85" t="s">
        <v>184</v>
      </c>
      <c r="C31" s="86"/>
      <c r="D31" s="86"/>
      <c r="E31" s="31"/>
      <c r="F31" s="36"/>
      <c r="G31" s="37"/>
      <c r="H31" s="38"/>
      <c r="I31" s="52"/>
      <c r="J31" s="53"/>
    </row>
    <row r="32" spans="1:10" ht="30" customHeight="1" x14ac:dyDescent="0.3">
      <c r="A32" s="10"/>
      <c r="B32" s="79" t="s">
        <v>204</v>
      </c>
      <c r="C32" s="80"/>
      <c r="D32" s="80"/>
      <c r="E32" s="9">
        <v>6</v>
      </c>
      <c r="F32" s="26">
        <v>4.25</v>
      </c>
      <c r="G32" s="34">
        <f t="shared" si="0"/>
        <v>0.70833333333333337</v>
      </c>
      <c r="H32" s="35" t="str">
        <f t="shared" si="1"/>
        <v>جيد</v>
      </c>
      <c r="I32" s="46"/>
      <c r="J32" s="47"/>
    </row>
    <row r="33" spans="1:10" ht="30" customHeight="1" x14ac:dyDescent="0.3">
      <c r="A33" s="10"/>
      <c r="B33" s="79" t="s">
        <v>205</v>
      </c>
      <c r="C33" s="80"/>
      <c r="D33" s="80"/>
      <c r="E33" s="9">
        <v>5</v>
      </c>
      <c r="F33" s="26">
        <v>3.75</v>
      </c>
      <c r="G33" s="34">
        <f t="shared" si="0"/>
        <v>0.75</v>
      </c>
      <c r="H33" s="35" t="str">
        <f t="shared" si="1"/>
        <v>جيد</v>
      </c>
      <c r="I33" s="46"/>
      <c r="J33" s="47"/>
    </row>
    <row r="34" spans="1:10" ht="30" customHeight="1" x14ac:dyDescent="0.3">
      <c r="A34" s="10"/>
      <c r="B34" s="79" t="s">
        <v>206</v>
      </c>
      <c r="C34" s="80"/>
      <c r="D34" s="80"/>
      <c r="E34" s="9">
        <v>5</v>
      </c>
      <c r="F34" s="26">
        <v>3.75</v>
      </c>
      <c r="G34" s="34">
        <f t="shared" si="0"/>
        <v>0.75</v>
      </c>
      <c r="H34" s="35" t="str">
        <f t="shared" si="1"/>
        <v>جيد</v>
      </c>
      <c r="I34" s="46"/>
      <c r="J34" s="47"/>
    </row>
    <row r="35" spans="1:10" ht="30" customHeight="1" thickBot="1" x14ac:dyDescent="0.35">
      <c r="A35" s="10"/>
      <c r="B35" s="81" t="s">
        <v>207</v>
      </c>
      <c r="C35" s="82"/>
      <c r="D35" s="82"/>
      <c r="E35" s="30">
        <v>5</v>
      </c>
      <c r="F35" s="27">
        <v>3.75</v>
      </c>
      <c r="G35" s="39">
        <f t="shared" si="0"/>
        <v>0.75</v>
      </c>
      <c r="H35" s="40" t="str">
        <f t="shared" si="1"/>
        <v>جيد</v>
      </c>
      <c r="I35" s="50"/>
      <c r="J35" s="51"/>
    </row>
    <row r="36" spans="1:10" ht="30" customHeight="1" thickBot="1" x14ac:dyDescent="0.35">
      <c r="A36" s="4"/>
      <c r="B36" s="75" t="s">
        <v>5</v>
      </c>
      <c r="C36" s="76"/>
      <c r="D36" s="76"/>
      <c r="E36" s="33">
        <f>SUM(E8:E35)</f>
        <v>140</v>
      </c>
      <c r="F36" s="33">
        <f>SUM(F8:F35)</f>
        <v>105</v>
      </c>
      <c r="G36" s="43"/>
      <c r="H36" s="44"/>
      <c r="I36" s="44"/>
      <c r="J36" s="45"/>
    </row>
    <row r="37" spans="1:10" ht="30" customHeight="1" thickBot="1" x14ac:dyDescent="0.35">
      <c r="A37" s="4"/>
      <c r="B37" s="77" t="s">
        <v>54</v>
      </c>
      <c r="C37" s="78"/>
      <c r="D37" s="78"/>
      <c r="E37" s="67">
        <f>F36/E36/100*100</f>
        <v>0.75</v>
      </c>
      <c r="F37" s="67"/>
      <c r="G37" s="67"/>
      <c r="H37" s="67"/>
      <c r="I37" s="67"/>
      <c r="J37" s="68"/>
    </row>
    <row r="38" spans="1:10" ht="30" customHeight="1" thickBot="1" x14ac:dyDescent="0.35">
      <c r="A38" s="4"/>
      <c r="B38" s="77" t="s">
        <v>55</v>
      </c>
      <c r="C38" s="78"/>
      <c r="D38" s="78"/>
      <c r="E38" s="58" t="str">
        <f>_xlfn.IFS(E37&gt;=90%,"ممتاز",E37&gt;=80%,"جيد جداً",E37&gt;=70%,"جيد",E37&gt;=60%,"مقبول",E37&lt;60%,"راسب")</f>
        <v>جيد</v>
      </c>
      <c r="F38" s="58"/>
      <c r="G38" s="58"/>
      <c r="H38" s="58"/>
      <c r="I38" s="58"/>
      <c r="J38" s="59"/>
    </row>
    <row r="39" spans="1:10" ht="42" customHeight="1" x14ac:dyDescent="0.3">
      <c r="B39" s="54" t="s">
        <v>174</v>
      </c>
      <c r="C39" s="54"/>
      <c r="D39" s="54"/>
      <c r="E39" s="41" t="s">
        <v>52</v>
      </c>
      <c r="F39" s="41"/>
      <c r="G39" s="56" t="s">
        <v>138</v>
      </c>
      <c r="H39" s="56"/>
      <c r="I39" s="56"/>
      <c r="J39" s="56"/>
    </row>
    <row r="40" spans="1:10" ht="51" customHeight="1" x14ac:dyDescent="0.3">
      <c r="A40" s="5"/>
      <c r="B40" s="55"/>
      <c r="C40" s="55"/>
      <c r="D40" s="55"/>
      <c r="E40" s="42" t="s">
        <v>53</v>
      </c>
      <c r="F40" s="42"/>
      <c r="G40" s="57"/>
      <c r="H40" s="57"/>
      <c r="I40" s="57"/>
      <c r="J40" s="5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7">
    <mergeCell ref="B18:D18"/>
    <mergeCell ref="B19:D19"/>
    <mergeCell ref="B20:D20"/>
    <mergeCell ref="B21:D21"/>
    <mergeCell ref="B35:D3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13:D13"/>
    <mergeCell ref="B14:D14"/>
    <mergeCell ref="B15:D15"/>
    <mergeCell ref="B16:D16"/>
    <mergeCell ref="B17:D17"/>
    <mergeCell ref="B8:D8"/>
    <mergeCell ref="B9:D9"/>
    <mergeCell ref="B10:D10"/>
    <mergeCell ref="B11:D11"/>
    <mergeCell ref="B12:D12"/>
    <mergeCell ref="I27:J27"/>
    <mergeCell ref="B22:D22"/>
    <mergeCell ref="B23:D23"/>
    <mergeCell ref="B24:D24"/>
    <mergeCell ref="B25:D25"/>
    <mergeCell ref="B36:D36"/>
    <mergeCell ref="B37:D37"/>
    <mergeCell ref="B38:D3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2:J22"/>
    <mergeCell ref="I23:J23"/>
    <mergeCell ref="I24:J24"/>
    <mergeCell ref="B39:D40"/>
    <mergeCell ref="G39:J39"/>
    <mergeCell ref="G40:J40"/>
    <mergeCell ref="E38:J38"/>
    <mergeCell ref="B1:J1"/>
    <mergeCell ref="F2:J2"/>
    <mergeCell ref="B5:D6"/>
    <mergeCell ref="C2:D2"/>
    <mergeCell ref="C3:D3"/>
    <mergeCell ref="F3:J3"/>
    <mergeCell ref="E37:J37"/>
    <mergeCell ref="B7:D7"/>
    <mergeCell ref="I30:J30"/>
    <mergeCell ref="I31:J31"/>
    <mergeCell ref="E5:H5"/>
    <mergeCell ref="I5:J6"/>
    <mergeCell ref="E39:F39"/>
    <mergeCell ref="E40:F40"/>
    <mergeCell ref="G36:J36"/>
    <mergeCell ref="I9:J9"/>
    <mergeCell ref="I7:J7"/>
    <mergeCell ref="I10:J10"/>
    <mergeCell ref="I19:J19"/>
    <mergeCell ref="I20:J20"/>
    <mergeCell ref="I21:J21"/>
    <mergeCell ref="I32:J32"/>
    <mergeCell ref="I33:J33"/>
    <mergeCell ref="I34:J34"/>
    <mergeCell ref="I35:J35"/>
    <mergeCell ref="I8:J8"/>
    <mergeCell ref="I25:J25"/>
    <mergeCell ref="I26:J2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8">
    <cfRule type="expression" dxfId="14" priority="57">
      <formula>$E38="راسب"</formula>
    </cfRule>
  </conditionalFormatting>
  <conditionalFormatting sqref="E38:J38">
    <cfRule type="expression" dxfId="13" priority="58">
      <formula>$E38="مقبول"</formula>
    </cfRule>
    <cfRule type="expression" dxfId="12" priority="59">
      <formula>$E38="جيد"</formula>
    </cfRule>
    <cfRule type="expression" dxfId="11" priority="60">
      <formula>$E38="جيد جداً"</formula>
    </cfRule>
    <cfRule type="expression" dxfId="10" priority="61">
      <formula>$E38="ممتاز"</formula>
    </cfRule>
  </conditionalFormatting>
  <conditionalFormatting sqref="F8:F3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9:J39">
    <cfRule type="containsText" dxfId="6" priority="15" operator="containsText" text="أدخل اسم المحكم">
      <formula>NOT(ISERROR(SEARCH("أدخل اسم المحكم",G39)))</formula>
    </cfRule>
  </conditionalFormatting>
  <conditionalFormatting sqref="H8:H35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F16 F25:F30 F9:F12 F33:F35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G39:J39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2D9323B8-CE24-41E4-BE7F-1796CD23CDDD}">
          <x14:formula1>
            <xm:f>'بيانات التقييم'!$A$111:$A$145</xm:f>
          </x14:formula1>
          <xm:sqref>F14:F15 F17 F19:F23</xm:sqref>
        </x14:dataValidation>
        <x14:dataValidation type="list" allowBlank="1" showInputMessage="1" showErrorMessage="1" xr:uid="{16BBF74E-E5E5-4F64-BFD7-8BB948F78D59}">
          <x14:formula1>
            <xm:f>'بيانات التقييم'!$A$111:$A$137</xm:f>
          </x14:formula1>
          <xm:sqref>F32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2025-10-07T15:43:55Z</dcterms:modified>
</cp:coreProperties>
</file>