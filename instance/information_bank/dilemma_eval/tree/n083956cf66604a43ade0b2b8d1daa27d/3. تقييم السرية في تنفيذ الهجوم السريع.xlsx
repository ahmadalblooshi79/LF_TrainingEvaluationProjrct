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9B370FA-B88D-9F48-AC2B-E97C4917A52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F25" i="2"/>
  <c r="E25" i="2"/>
  <c r="E26" i="2"/>
  <c r="E27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<sst xmlns="http://schemas.openxmlformats.org/spreadsheetml/2006/main" count="250" uniqueCount="194">
  <si>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</si>
  <si>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</si>
  <si>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</si>
  <si>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</si>
  <si>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</si>
  <si>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</si>
  <si>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</si>
  <si>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</si>
  <si>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</si>
  <si>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</si>
  <si>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</si>
  <si>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</si>
  <si>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</si>
  <si>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</si>
  <si>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</si>
  <si>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</si>
  <si>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</si>
  <si>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</si>
  <si>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</si>
  <si>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</si>
  <si>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</si>
  <si>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</si>
  <si>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</si>
  <si>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</si>
  <si>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</si>
  <si>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</si>
  <si>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</si>
  <si>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</si>
  <si>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</si>
  <si>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</si>
  <si>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</si>
  <si>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</si>
  <si>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</si>
  <si>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</si>
  <si>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</si>
  <si>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</si>
  <si>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</si>
  <si>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</si>
  <si>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</si>
  <si>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</si>
  <si>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</si>
  <si>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</si>
  <si>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</si>
  <si>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</si>
  <si>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</si>
  <si>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</si>
  <si>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</si>
  <si>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</si>
  <si>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</si>
  <si>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</si>
  <si>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</si>
  <si>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</si>
  <si>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</si>
  <si>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</si>
  <si>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</si>
  <si>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</si>
  <si>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</si>
  <si>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</si>
  <si>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</si>
  <si>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</si>
  <si>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</si>
  <si>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</si>
  <si>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</si>
  <si>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</si>
  <si>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</si>
  <si>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</si>
  <si>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</si>
  <si>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</si>
  <si>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</si>
  <si>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</si>
  <si>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</si>
  <si>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</si>
  <si>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</si>
  <si>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</si>
  <si>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</si>
  <si>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</si>
  <si>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</si>
  <si>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</si>
  <si>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</si>
  <si>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</si>
  <si>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</si>
  <si>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</si>
  <si>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</si>
  <si>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</si>
  <si>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</si>
  <si>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</si>
  <si>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</si>
  <si>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</si>
  <si>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</si>
  <si>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</si>
  <si>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</si>
  <si>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</si>
  <si>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</si>
  <si>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</si>
  <si>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</si>
  <si>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</si>
  <si>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</si>
  <si>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</si>
  <si>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</si>
  <si>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</si>
  <si>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</si>
  <si>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</si>
  <si>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</si>
  <si>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</si>
  <si>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</si>
  <si>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</si>
  <si>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</si>
  <si>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</si>
  <si>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</si>
  <si>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</si>
  <si>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</si>
  <si>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</si>
  <si>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</si>
  <si>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</si>
  <si>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</si>
  <si>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</si>
  <si>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</si>
  <si>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</si>
  <si>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</si>
  <si>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</si>
  <si>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</si>
  <si>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</si>
  <si>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</si>
  <si>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</si>
  <si>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</si>
  <si>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</si>
  <si>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</si>
  <si>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</si>
  <si>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</si>
  <si>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</si>
  <si>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</si>
  <si>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</si>
  <si>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</si>
  <si>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</si>
  <si>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</si>
  <si>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</si>
  <si>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</si>
  <si>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</si>
  <si>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</si>
  <si>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</si>
  <si>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</si>
  <si>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</si>
  <si>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</si>
  <si>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</si>
  <si>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</si>
  <si>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</si>
  <si>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</si>
  <si>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</si>
  <si>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</si>
  <si>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</si>
  <si>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</si>
  <si>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</si>
  <si>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</si>
  <si>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</si>
  <si>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</si>
  <si>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</si>
  <si>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</si>
  <si>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</si>
  <si>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</si>
  <si>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</si>
  <si>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</si>
  <si>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</si>
  <si>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</si>
  <si>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</si>
  <si>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</si>
  <si>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</si>
  <si>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</si>
  <si>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</si>
  <si>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</si>
  <si>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</si>
  <si>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</si>
  <si>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</si>
  <si>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</si>
  <si>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</si>
  <si>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</si>
  <si>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</si>
  <si>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</si>
  <si>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</si>
  <si>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</si>
  <si>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</si>
  <si>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</si>
  <si>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</si>
  <si>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</si>
  <si>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</si>
  <si>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</si>
  <si>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</si>
  <si>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</si>
  <si>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</si>
  <si>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</si>
  <si>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</si>
  <si>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</si>
  <si>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</si>
  <si>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سرية مشاة راجلة في تنفيذ الهجوم السريع</t>
    </r>
    <r>
      <rPr>
        <b/>
        <u/>
        <sz val="14"/>
        <color rgb="FF000000"/>
        <rFont val="Arial"/>
        <family val="2"/>
      </rPr>
      <t xml:space="preserve">
تمرين لعبات حرب مجموعة لواء الإمارات/1 (رياح الصحراء 2025/19)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</si>
  <si>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الموقع الحالي حسب أولوية الحركة والخطة الموضوعة.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</si>
</sst>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vertical="center" wrapText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117425</xdr:colOff>
      <xdr:row>27</xdr:row>
      <xdr:rowOff>492760</xdr:rowOff>
    </xdr:from>
    <xdr:to>
      <xdr:col>8</xdr:col>
      <xdr:colOff>538604</xdr:colOff>
      <xdr:row>28</xdr:row>
      <xdr:rowOff>549908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30F1CC2-E548-16AE-ED96-AE1581E96E77}"/>
                </a:ext>
              </a:extLst>
            </xdr14:cNvPr>
            <xdr14:cNvContentPartPr/>
          </xdr14:nvContentPartPr>
          <xdr14:nvPr macro=""/>
          <xdr14:xfrm>
            <a:off x="10398706305" y="12938760"/>
            <a:ext cx="1737360" cy="5882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30F1CC2-E548-16AE-ED96-AE1581E96E7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97305" y="12930120"/>
              <a:ext cx="1755000" cy="60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504785</xdr:colOff>
      <xdr:row>28</xdr:row>
      <xdr:rowOff>492668</xdr:rowOff>
    </xdr:from>
    <xdr:to>
      <xdr:col>6</xdr:col>
      <xdr:colOff>531065</xdr:colOff>
      <xdr:row>28</xdr:row>
      <xdr:rowOff>535148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6132CB9-D27B-0129-803F-D436CBB3C411}"/>
                </a:ext>
              </a:extLst>
            </xdr14:cNvPr>
            <xdr14:cNvContentPartPr/>
          </xdr14:nvContentPartPr>
          <xdr14:nvPr macro=""/>
          <xdr14:xfrm>
            <a:off x="10400030025" y="13469760"/>
            <a:ext cx="26280" cy="424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6132CB9-D27B-0129-803F-D436CBB3C41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21385" y="13460760"/>
              <a:ext cx="43920" cy="60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45:17.6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4190 632 14051,'0'0'0,"5"-35"448,7 0-56,0-3-24,-12 38-368,19-33 400,3 15-80,2-1 64,2 0 48,-26 19-432,27-22 392,-1 4 16,-2 1-160,0 4-112,-24 13-136,24-6 144,-2 1-96,0 2-8,-3 3-16,-19 0-24,19 0-48,3 12-16,-5 1 64,2 4-56,-19-17 56,22 22-24,-3 3 8,3 2-120,-1 6 160,-21-33-24,22 35-40,-1 4-64,-4-1 176,7-2-96,-24-36 24,20 34 24,-4-3 64,-1-1-88,-3-2 0,-12-28 0,5 26-32,9-3-48,-14-2 56,0-2 72,0-19-48,0 17 56,-5-2-64,-9-2 72,-1-2-144,15-11 80,-21 5-24,-1 7 96,-7-12-72,-2 3 192,31-3-192,-34 3 96,-7-3 8,-7 0-104,-2 0-72,50 0 72,-55 0 88,-6 0-88,-8 0 80,-11 0 8,80 0-88,-84 0-16,-12 0 64,-5 0-48,-5 3 40,106-3-40,-111 3 48,3 1-48,5 7 97,-3-8-49,106-3-48,-99 5 96,1-1-40,1 9-24,4-9-24,93-4-8,-89 14-40,0-2 16,0 2-32,-3 0 80,92-14-24,-91 17 8,-13 4 16,3 1-96,-7 0 48,108-22 24,-113 25-24,5-3 72,-8 1 16,1 3-40,115-26-24,-111 25 72,-7 1-80,1-1 104,1 0-88,116-25-8,-120 21 16,4 0-32,1 3 40,4 2-56,111-26 32,-101 26-96,-2-1 152,4-1-152,8-1 136,91-23-40,-92 21 128,8 1-136,12-7 128,7-2-96,65-13-24,-53 4 0,5 8 40,12-9-32,7-1 8,29-2-16,-19 3 0,7 0 48,10-3 24,-1 0 16,3 0-88,0-1 96,0-4-8,15-6-40,1-2-8,-16 13-40,29-17 48,12-8 16,7-7 8,10-5-40,-58 37-32,72-41-16,7-3 16,10-3-96,10-3 192,-99 50-96,99-51 152,9-4-32,7-1 0,8-2-8,-123 58-112,132-58 136,10 1-96,5 0 152,0 2-112,-147 55-80,149-54-104,0 0 144,-2 1-8,-3-1-56,-144 54 24,142-53 56,-7 2-48,-5 4-56,-10 0 32,-120 47 16,118-42 16,-8 1 24,-1 1-56,-11 1 40,-98 39-24,94-37 64,-10 3-72,-14 3-24,-10 4 72,-60 27-40,48-24 40,-14 3-16,-13 2 64,-9 5-32,-12 14-56,0-14-16,0 8 80,-12-8-8,-7 8-96,19 6 40,-29-11-88,-9 8 32,-13 0 8,-9 3 8,60 0 40,-67 0-16,-10 4-8,2 9 40,1-9-72,74-4 56,-70 17 40,10-4-80,2 1-32,10 3 120,48-17-48,-41 17 40,7 3-88,6 2 48,6 0-64,22-22 64,-14 26-80,9 2 128,0 4-72,3 2 40,2-34-16,2 37 24,12 4-24,3 2 24,5 4 0,-22-47-24,24 49 16,0 7 0,0-2 8,5 1-40,-29-55 16,24 54 16,2-3-8,-6 1-72,1-3 32,-21-49 32,20 49 8,-1-4-32,-5-2 104,3-5-16,-17-38-64,14 37-16,-2-3 0,1 0-48,-9-1 64,-4-33 0,20 33 40,-18-1-16,10 0 56,-7 0-120,-5-32 40,12 32-8,-10-1 8,1-1 0,1 0-40,-4-30 40,5 31-184,-2-1-256,1 0-496,9-2-417,-13-28 1353,2 27-2128,-2 3-3281,5-9-1777,-5-21 7186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45:18.0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1 117 19252,'0'0'0,"0"0"0,0-42 2960,0 11-2920,0 0-64,0 18 24,0 13-120,5 0 40,-3 3 16,10 1-64,-12-4 128,5 13-224,4-9-200,-4 13-360,7-4-448,-12-13 1232,3 13-1833,11-2-1624,-9-6-5352,-5-5 8809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D17" zoomScale="130" zoomScaleNormal="100" zoomScaleSheetLayoutView="130" workbookViewId="0">
      <selection activeCell="G29" sqref="G29:J2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0" t="s">
        <v>192</v>
      </c>
      <c r="C1" s="50"/>
      <c r="D1" s="50"/>
      <c r="E1" s="50"/>
      <c r="F1" s="50"/>
      <c r="G1" s="50"/>
      <c r="H1" s="50"/>
      <c r="I1" s="50"/>
      <c r="J1" s="50"/>
    </row>
    <row r="2" spans="1:10" ht="30" customHeight="1" x14ac:dyDescent="0.2">
      <c r="B2" s="11" t="s">
        <v>8</v>
      </c>
      <c r="C2" s="56" t="s">
        <v>37</v>
      </c>
      <c r="D2" s="56"/>
      <c r="E2" s="11" t="s">
        <v>7</v>
      </c>
      <c r="F2" s="51">
        <v>45912</v>
      </c>
      <c r="G2" s="51"/>
      <c r="H2" s="51"/>
      <c r="I2" s="51"/>
      <c r="J2" s="51"/>
    </row>
    <row r="3" spans="1:10" ht="30" customHeight="1" x14ac:dyDescent="0.2">
      <c r="B3" s="11" t="s">
        <v>9</v>
      </c>
      <c r="C3" s="56" t="s">
        <v>78</v>
      </c>
      <c r="D3" s="56"/>
      <c r="E3" s="11" t="s">
        <v>6</v>
      </c>
      <c r="F3" s="56" t="s">
        <v>134</v>
      </c>
      <c r="G3" s="56"/>
      <c r="H3" s="56"/>
      <c r="I3" s="56"/>
      <c r="J3" s="5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2" t="s">
        <v>0</v>
      </c>
      <c r="C5" s="53"/>
      <c r="D5" s="53"/>
      <c r="E5" s="61" t="s">
        <v>1</v>
      </c>
      <c r="F5" s="61"/>
      <c r="G5" s="61"/>
      <c r="H5" s="61"/>
      <c r="I5" s="61" t="s">
        <v>2</v>
      </c>
      <c r="J5" s="62"/>
    </row>
    <row r="6" spans="1:10" ht="24.95" customHeight="1" thickBot="1" x14ac:dyDescent="0.25">
      <c r="A6" s="10"/>
      <c r="B6" s="54"/>
      <c r="C6" s="55"/>
      <c r="D6" s="55"/>
      <c r="E6" s="20" t="s">
        <v>3</v>
      </c>
      <c r="F6" s="20" t="s">
        <v>4</v>
      </c>
      <c r="G6" s="20" t="s">
        <v>23</v>
      </c>
      <c r="H6" s="20" t="s">
        <v>24</v>
      </c>
      <c r="I6" s="63"/>
      <c r="J6" s="64"/>
    </row>
    <row r="7" spans="1:10" ht="24.95" customHeight="1" thickBot="1" x14ac:dyDescent="0.25">
      <c r="A7" s="10"/>
      <c r="B7" s="59" t="s">
        <v>21</v>
      </c>
      <c r="C7" s="60"/>
      <c r="D7" s="60"/>
      <c r="E7" s="28" t="s">
        <v>18</v>
      </c>
      <c r="F7" s="28" t="s">
        <v>19</v>
      </c>
      <c r="G7" s="28" t="s">
        <v>22</v>
      </c>
      <c r="H7" s="28" t="s">
        <v>20</v>
      </c>
      <c r="I7" s="65" t="s">
        <v>25</v>
      </c>
      <c r="J7" s="66"/>
    </row>
    <row r="8" spans="1:10" ht="39.950000000000003" customHeight="1" x14ac:dyDescent="0.2">
      <c r="A8" s="10"/>
      <c r="B8" s="78" t="s">
        <v>175</v>
      </c>
      <c r="C8" s="79"/>
      <c r="D8" s="79"/>
      <c r="E8" s="79"/>
      <c r="F8" s="79"/>
      <c r="G8" s="79"/>
      <c r="H8" s="79"/>
      <c r="I8" s="79"/>
      <c r="J8" s="80"/>
    </row>
    <row r="9" spans="1:10" ht="39.950000000000003" customHeight="1" x14ac:dyDescent="0.2">
      <c r="A9" s="10"/>
      <c r="B9" s="72" t="s">
        <v>193</v>
      </c>
      <c r="C9" s="73"/>
      <c r="D9" s="73"/>
      <c r="E9" s="9">
        <v>5</v>
      </c>
      <c r="F9" s="18">
        <v>3.5</v>
      </c>
      <c r="G9" s="30">
        <f t="shared" ref="G9:G24" si="0">IFERROR(F9/E9,"")</f>
        <v>0.7</v>
      </c>
      <c r="H9" s="31" t="str">
        <f t="shared" ref="H9:H24" si="1">_xlfn.IFS(F9="أدخل العلامة","",F9="لا ينطبق","تم الإلغاء",G9&gt;=90%,"ممتاز",G9&gt;=80%,"جيد جداً",G9&gt;=70%,"جيد",G9&gt;=60%,"مقبول",G9&lt;60%,"راسب")</f>
        <v>جيد</v>
      </c>
      <c r="I9" s="42"/>
      <c r="J9" s="43"/>
    </row>
    <row r="10" spans="1:10" ht="39.950000000000003" customHeight="1" x14ac:dyDescent="0.2">
      <c r="A10" s="10"/>
      <c r="B10" s="74" t="s">
        <v>187</v>
      </c>
      <c r="C10" s="75"/>
      <c r="D10" s="75"/>
      <c r="E10" s="9">
        <v>5</v>
      </c>
      <c r="F10" s="18">
        <v>3.75</v>
      </c>
      <c r="G10" s="30">
        <f t="shared" si="0"/>
        <v>0.75</v>
      </c>
      <c r="H10" s="31" t="str">
        <f t="shared" si="1"/>
        <v>جيد</v>
      </c>
      <c r="I10" s="42"/>
      <c r="J10" s="43"/>
    </row>
    <row r="11" spans="1:10" ht="39.950000000000003" customHeight="1" x14ac:dyDescent="0.2">
      <c r="A11" s="10"/>
      <c r="B11" s="74" t="s">
        <v>188</v>
      </c>
      <c r="C11" s="75"/>
      <c r="D11" s="75"/>
      <c r="E11" s="35"/>
      <c r="F11" s="18"/>
      <c r="G11" s="30"/>
      <c r="H11" s="31"/>
      <c r="I11" s="42"/>
      <c r="J11" s="43"/>
    </row>
    <row r="12" spans="1:10" ht="39.950000000000003" customHeight="1" x14ac:dyDescent="0.2">
      <c r="A12" s="10"/>
      <c r="B12" s="76" t="s">
        <v>176</v>
      </c>
      <c r="C12" s="77"/>
      <c r="D12" s="77"/>
      <c r="E12" s="9">
        <v>5</v>
      </c>
      <c r="F12" s="18">
        <v>3.75</v>
      </c>
      <c r="G12" s="30">
        <f t="shared" si="0"/>
        <v>0.75</v>
      </c>
      <c r="H12" s="31" t="str">
        <f t="shared" si="1"/>
        <v>جيد</v>
      </c>
      <c r="I12" s="42"/>
      <c r="J12" s="43"/>
    </row>
    <row r="13" spans="1:10" ht="39.950000000000003" customHeight="1" x14ac:dyDescent="0.2">
      <c r="A13" s="10"/>
      <c r="B13" s="76" t="s">
        <v>177</v>
      </c>
      <c r="C13" s="77"/>
      <c r="D13" s="77"/>
      <c r="E13" s="9">
        <v>5</v>
      </c>
      <c r="F13" s="18">
        <v>3.25</v>
      </c>
      <c r="G13" s="30">
        <f t="shared" si="0"/>
        <v>0.65</v>
      </c>
      <c r="H13" s="31" t="str">
        <f t="shared" si="1"/>
        <v>مقبول</v>
      </c>
      <c r="I13" s="42"/>
      <c r="J13" s="43"/>
    </row>
    <row r="14" spans="1:10" ht="39.950000000000003" customHeight="1" x14ac:dyDescent="0.2">
      <c r="A14" s="10"/>
      <c r="B14" s="76" t="s">
        <v>178</v>
      </c>
      <c r="C14" s="77"/>
      <c r="D14" s="77"/>
      <c r="E14" s="9">
        <v>5</v>
      </c>
      <c r="F14" s="18">
        <v>3.25</v>
      </c>
      <c r="G14" s="30">
        <f t="shared" si="0"/>
        <v>0.65</v>
      </c>
      <c r="H14" s="31" t="str">
        <f t="shared" si="1"/>
        <v>مقبول</v>
      </c>
      <c r="I14" s="42"/>
      <c r="J14" s="43"/>
    </row>
    <row r="15" spans="1:10" ht="39.950000000000003" customHeight="1" x14ac:dyDescent="0.2">
      <c r="A15" s="10"/>
      <c r="B15" s="76" t="s">
        <v>179</v>
      </c>
      <c r="C15" s="77"/>
      <c r="D15" s="77"/>
      <c r="E15" s="9">
        <v>5</v>
      </c>
      <c r="F15" s="18">
        <v>3.25</v>
      </c>
      <c r="G15" s="30">
        <f t="shared" si="0"/>
        <v>0.65</v>
      </c>
      <c r="H15" s="31" t="str">
        <f t="shared" si="1"/>
        <v>مقبول</v>
      </c>
      <c r="I15" s="42"/>
      <c r="J15" s="43"/>
    </row>
    <row r="16" spans="1:10" ht="39.950000000000003" customHeight="1" x14ac:dyDescent="0.2">
      <c r="A16" s="10"/>
      <c r="B16" s="76" t="s">
        <v>180</v>
      </c>
      <c r="C16" s="77"/>
      <c r="D16" s="77"/>
      <c r="E16" s="9">
        <v>5</v>
      </c>
      <c r="F16" s="18">
        <v>3.5</v>
      </c>
      <c r="G16" s="30">
        <f t="shared" si="0"/>
        <v>0.7</v>
      </c>
      <c r="H16" s="31" t="str">
        <f t="shared" si="1"/>
        <v>جيد</v>
      </c>
      <c r="I16" s="42"/>
      <c r="J16" s="43"/>
    </row>
    <row r="17" spans="1:10" ht="39.950000000000003" customHeight="1" x14ac:dyDescent="0.2">
      <c r="A17" s="10"/>
      <c r="B17" s="72" t="s">
        <v>189</v>
      </c>
      <c r="C17" s="73"/>
      <c r="D17" s="73"/>
      <c r="E17" s="9"/>
      <c r="F17" s="18"/>
      <c r="G17" s="30"/>
      <c r="H17" s="31"/>
      <c r="I17" s="42"/>
      <c r="J17" s="43"/>
    </row>
    <row r="18" spans="1:10" ht="39.950000000000003" customHeight="1" x14ac:dyDescent="0.2">
      <c r="A18" s="10"/>
      <c r="B18" s="76" t="s">
        <v>181</v>
      </c>
      <c r="C18" s="77"/>
      <c r="D18" s="77"/>
      <c r="E18" s="9">
        <v>5</v>
      </c>
      <c r="F18" s="18">
        <v>3.75</v>
      </c>
      <c r="G18" s="30">
        <f t="shared" si="0"/>
        <v>0.75</v>
      </c>
      <c r="H18" s="31" t="str">
        <f t="shared" si="1"/>
        <v>جيد</v>
      </c>
      <c r="I18" s="42"/>
      <c r="J18" s="43"/>
    </row>
    <row r="19" spans="1:10" ht="39.950000000000003" customHeight="1" x14ac:dyDescent="0.2">
      <c r="A19" s="10"/>
      <c r="B19" s="76" t="s">
        <v>182</v>
      </c>
      <c r="C19" s="77"/>
      <c r="D19" s="77"/>
      <c r="E19" s="9">
        <v>5</v>
      </c>
      <c r="F19" s="18">
        <v>3.75</v>
      </c>
      <c r="G19" s="30">
        <f t="shared" si="0"/>
        <v>0.75</v>
      </c>
      <c r="H19" s="31" t="str">
        <f t="shared" si="1"/>
        <v>جيد</v>
      </c>
      <c r="I19" s="42"/>
      <c r="J19" s="43"/>
    </row>
    <row r="20" spans="1:10" ht="39.950000000000003" customHeight="1" x14ac:dyDescent="0.2">
      <c r="A20" s="10"/>
      <c r="B20" s="76" t="s">
        <v>183</v>
      </c>
      <c r="C20" s="77"/>
      <c r="D20" s="77"/>
      <c r="E20" s="9">
        <v>5</v>
      </c>
      <c r="F20" s="18">
        <v>3.75</v>
      </c>
      <c r="G20" s="30">
        <f t="shared" si="0"/>
        <v>0.75</v>
      </c>
      <c r="H20" s="31" t="str">
        <f t="shared" si="1"/>
        <v>جيد</v>
      </c>
      <c r="I20" s="42"/>
      <c r="J20" s="43"/>
    </row>
    <row r="21" spans="1:10" ht="39.950000000000003" customHeight="1" x14ac:dyDescent="0.2">
      <c r="A21" s="10"/>
      <c r="B21" s="76" t="s">
        <v>184</v>
      </c>
      <c r="C21" s="77"/>
      <c r="D21" s="77"/>
      <c r="E21" s="9">
        <v>5</v>
      </c>
      <c r="F21" s="18">
        <v>3.75</v>
      </c>
      <c r="G21" s="30">
        <f t="shared" si="0"/>
        <v>0.75</v>
      </c>
      <c r="H21" s="31" t="str">
        <f t="shared" si="1"/>
        <v>جيد</v>
      </c>
      <c r="I21" s="42"/>
      <c r="J21" s="43"/>
    </row>
    <row r="22" spans="1:10" ht="39.950000000000003" customHeight="1" x14ac:dyDescent="0.2">
      <c r="A22" s="10"/>
      <c r="B22" s="76" t="s">
        <v>185</v>
      </c>
      <c r="C22" s="77"/>
      <c r="D22" s="77"/>
      <c r="E22" s="9">
        <v>5</v>
      </c>
      <c r="F22" s="18">
        <v>3</v>
      </c>
      <c r="G22" s="30">
        <f t="shared" si="0"/>
        <v>0.6</v>
      </c>
      <c r="H22" s="31" t="str">
        <f t="shared" si="1"/>
        <v>مقبول</v>
      </c>
      <c r="I22" s="42"/>
      <c r="J22" s="43"/>
    </row>
    <row r="23" spans="1:10" ht="39.950000000000003" customHeight="1" x14ac:dyDescent="0.2">
      <c r="A23" s="10"/>
      <c r="B23" s="76" t="s">
        <v>186</v>
      </c>
      <c r="C23" s="77"/>
      <c r="D23" s="77"/>
      <c r="E23" s="9">
        <v>5</v>
      </c>
      <c r="F23" s="18">
        <v>3</v>
      </c>
      <c r="G23" s="30">
        <f t="shared" si="0"/>
        <v>0.6</v>
      </c>
      <c r="H23" s="31" t="str">
        <f t="shared" si="1"/>
        <v>مقبول</v>
      </c>
      <c r="I23" s="42"/>
      <c r="J23" s="43"/>
    </row>
    <row r="24" spans="1:10" ht="39.950000000000003" customHeight="1" thickBot="1" x14ac:dyDescent="0.25">
      <c r="A24" s="10"/>
      <c r="B24" s="81" t="s">
        <v>190</v>
      </c>
      <c r="C24" s="82"/>
      <c r="D24" s="82"/>
      <c r="E24" s="32">
        <v>5</v>
      </c>
      <c r="F24" s="19">
        <v>3.75</v>
      </c>
      <c r="G24" s="33">
        <f t="shared" si="0"/>
        <v>0.75</v>
      </c>
      <c r="H24" s="34" t="str">
        <f t="shared" si="1"/>
        <v>جيد</v>
      </c>
      <c r="I24" s="44"/>
      <c r="J24" s="45"/>
    </row>
    <row r="25" spans="1:10" ht="30" customHeight="1" thickBot="1" x14ac:dyDescent="0.25">
      <c r="A25" s="4"/>
      <c r="B25" s="46" t="s">
        <v>5</v>
      </c>
      <c r="C25" s="47"/>
      <c r="D25" s="47"/>
      <c r="E25" s="29">
        <f>SUM(E8:E24)</f>
        <v>70</v>
      </c>
      <c r="F25" s="29">
        <f>SUM(F8:F24)</f>
        <v>49</v>
      </c>
      <c r="G25" s="69"/>
      <c r="H25" s="70"/>
      <c r="I25" s="70"/>
      <c r="J25" s="71"/>
    </row>
    <row r="26" spans="1:10" ht="30" customHeight="1" thickBot="1" x14ac:dyDescent="0.25">
      <c r="A26" s="4"/>
      <c r="B26" s="48" t="s">
        <v>54</v>
      </c>
      <c r="C26" s="49"/>
      <c r="D26" s="49"/>
      <c r="E26" s="57">
        <f>F25/E25/100*100</f>
        <v>0.7</v>
      </c>
      <c r="F26" s="57"/>
      <c r="G26" s="57"/>
      <c r="H26" s="57"/>
      <c r="I26" s="57"/>
      <c r="J26" s="58"/>
    </row>
    <row r="27" spans="1:10" ht="30" customHeight="1" thickBot="1" x14ac:dyDescent="0.25">
      <c r="A27" s="4"/>
      <c r="B27" s="48" t="s">
        <v>55</v>
      </c>
      <c r="C27" s="49"/>
      <c r="D27" s="49"/>
      <c r="E27" s="40" t="str">
        <f>_xlfn.IFS(E26&gt;=90%,"ممتاز",E26&gt;=80%,"جيد جداً",E26&gt;=70%,"جيد",E26&gt;=60%,"مقبول",E26&lt;60%,"راسب")</f>
        <v>جيد</v>
      </c>
      <c r="F27" s="40"/>
      <c r="G27" s="40"/>
      <c r="H27" s="40"/>
      <c r="I27" s="40"/>
      <c r="J27" s="41"/>
    </row>
    <row r="28" spans="1:10" ht="42" customHeight="1" x14ac:dyDescent="0.2">
      <c r="B28" s="36" t="s">
        <v>191</v>
      </c>
      <c r="C28" s="36"/>
      <c r="D28" s="36"/>
      <c r="E28" s="67" t="s">
        <v>52</v>
      </c>
      <c r="F28" s="67"/>
      <c r="G28" s="38" t="s">
        <v>134</v>
      </c>
      <c r="H28" s="38"/>
      <c r="I28" s="38"/>
      <c r="J28" s="38"/>
    </row>
    <row r="29" spans="1:10" ht="51" customHeight="1" x14ac:dyDescent="0.2">
      <c r="A29" s="5"/>
      <c r="B29" s="37"/>
      <c r="C29" s="37"/>
      <c r="D29" s="37"/>
      <c r="E29" s="68" t="s">
        <v>53</v>
      </c>
      <c r="F29" s="68"/>
      <c r="G29" s="39"/>
      <c r="H29" s="39"/>
      <c r="I29" s="39"/>
      <c r="J29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4">
    <mergeCell ref="B21:D21"/>
    <mergeCell ref="B22:D22"/>
    <mergeCell ref="B23:D23"/>
    <mergeCell ref="B24:D24"/>
    <mergeCell ref="B16:D16"/>
    <mergeCell ref="B17:D17"/>
    <mergeCell ref="B18:D18"/>
    <mergeCell ref="B19:D19"/>
    <mergeCell ref="B20:D20"/>
    <mergeCell ref="E28:F28"/>
    <mergeCell ref="E29:F29"/>
    <mergeCell ref="G25:J25"/>
    <mergeCell ref="I17:J17"/>
    <mergeCell ref="I18:J18"/>
    <mergeCell ref="I19:J19"/>
    <mergeCell ref="I20:J20"/>
    <mergeCell ref="E26:J26"/>
    <mergeCell ref="B7:D7"/>
    <mergeCell ref="I10:J10"/>
    <mergeCell ref="I11:J11"/>
    <mergeCell ref="E5:H5"/>
    <mergeCell ref="I9:J9"/>
    <mergeCell ref="I5:J6"/>
    <mergeCell ref="I7:J7"/>
    <mergeCell ref="B9:D9"/>
    <mergeCell ref="B10:D10"/>
    <mergeCell ref="B11:D11"/>
    <mergeCell ref="B12:D12"/>
    <mergeCell ref="B13:D13"/>
    <mergeCell ref="B14:D14"/>
    <mergeCell ref="B15:D15"/>
    <mergeCell ref="B8:J8"/>
    <mergeCell ref="B1:J1"/>
    <mergeCell ref="F2:J2"/>
    <mergeCell ref="B5:D6"/>
    <mergeCell ref="C2:D2"/>
    <mergeCell ref="C3:D3"/>
    <mergeCell ref="F3:J3"/>
    <mergeCell ref="B28:D29"/>
    <mergeCell ref="G28:J28"/>
    <mergeCell ref="G29:J29"/>
    <mergeCell ref="E27:J27"/>
    <mergeCell ref="I12:J12"/>
    <mergeCell ref="I13:J13"/>
    <mergeCell ref="I14:J14"/>
    <mergeCell ref="I15:J15"/>
    <mergeCell ref="I16:J16"/>
    <mergeCell ref="I21:J21"/>
    <mergeCell ref="I22:J22"/>
    <mergeCell ref="I23:J23"/>
    <mergeCell ref="I24:J24"/>
    <mergeCell ref="B25:D25"/>
    <mergeCell ref="B26:D26"/>
    <mergeCell ref="B27:D27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7">
    <cfRule type="expression" dxfId="14" priority="57">
      <formula>$E27="راسب"</formula>
    </cfRule>
  </conditionalFormatting>
  <conditionalFormatting sqref="E27:J27">
    <cfRule type="expression" dxfId="13" priority="58">
      <formula>$E27="مقبول"</formula>
    </cfRule>
    <cfRule type="expression" dxfId="12" priority="59">
      <formula>$E27="جيد"</formula>
    </cfRule>
    <cfRule type="expression" dxfId="11" priority="60">
      <formula>$E27="جيد جداً"</formula>
    </cfRule>
    <cfRule type="expression" dxfId="10" priority="61">
      <formula>$E27="ممتاز"</formula>
    </cfRule>
  </conditionalFormatting>
  <conditionalFormatting sqref="F9:F24">
    <cfRule type="containsText" dxfId="9" priority="14" operator="containsText" text="أدخل العلامة">
      <formula>NOT(ISERROR(SEARCH("أدخل العلامة",F9)))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8:J28">
    <cfRule type="containsText" dxfId="6" priority="15" operator="containsText" text="أدخل اسم المحكم">
      <formula>NOT(ISERROR(SEARCH("أدخل اسم المحكم",G28)))</formula>
    </cfRule>
  </conditionalFormatting>
  <conditionalFormatting sqref="H9:H24">
    <cfRule type="containsText" dxfId="5" priority="38" operator="containsText" text="أدخل العلامة">
      <formula>NOT(ISERROR(SEARCH("أدخل العلامة",H9)))</formula>
    </cfRule>
    <cfRule type="containsText" dxfId="4" priority="39" operator="containsText" text="ممتاز">
      <formula>NOT(ISERROR(SEARCH("ممتاز",H9)))</formula>
    </cfRule>
    <cfRule type="containsText" dxfId="3" priority="40" operator="containsText" text="جيد جداً">
      <formula>NOT(ISERROR(SEARCH("جيد جداً",H9)))</formula>
    </cfRule>
    <cfRule type="containsText" dxfId="2" priority="41" operator="containsText" text="جيد">
      <formula>NOT(ISERROR(SEARCH("جيد",H9)))</formula>
    </cfRule>
    <cfRule type="containsText" dxfId="1" priority="42" operator="containsText" text="مقبول">
      <formula>NOT(ISERROR(SEARCH("مقبول",H9)))</formula>
    </cfRule>
    <cfRule type="containsText" dxfId="0" priority="43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F18:F24 F12:F16 F9:F10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G28:J28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1" t="s">
        <v>62</v>
      </c>
    </row>
    <row r="3" spans="1:3" ht="20.100000000000001" customHeight="1" thickBot="1" x14ac:dyDescent="0.3">
      <c r="A3" s="2" t="s">
        <v>26</v>
      </c>
      <c r="C3" s="21" t="s">
        <v>63</v>
      </c>
    </row>
    <row r="4" spans="1:3" ht="20.100000000000001" customHeight="1" thickBot="1" x14ac:dyDescent="0.3">
      <c r="A4" s="2" t="s">
        <v>36</v>
      </c>
      <c r="C4" s="21" t="s">
        <v>64</v>
      </c>
    </row>
    <row r="5" spans="1:3" ht="20.100000000000001" customHeight="1" thickBot="1" x14ac:dyDescent="0.3">
      <c r="A5" s="2" t="s">
        <v>37</v>
      </c>
      <c r="C5" s="21" t="s">
        <v>65</v>
      </c>
    </row>
    <row r="6" spans="1:3" ht="20.100000000000001" customHeight="1" thickBot="1" x14ac:dyDescent="0.3">
      <c r="A6" s="2" t="s">
        <v>38</v>
      </c>
      <c r="C6" s="21" t="s">
        <v>66</v>
      </c>
    </row>
    <row r="7" spans="1:3" ht="20.100000000000001" customHeight="1" thickBot="1" x14ac:dyDescent="0.3">
      <c r="A7" s="2" t="s">
        <v>39</v>
      </c>
      <c r="C7" s="21" t="s">
        <v>67</v>
      </c>
    </row>
    <row r="8" spans="1:3" ht="20.100000000000001" customHeight="1" thickBot="1" x14ac:dyDescent="0.3">
      <c r="A8" s="2" t="s">
        <v>40</v>
      </c>
      <c r="C8" s="21" t="s">
        <v>68</v>
      </c>
    </row>
    <row r="9" spans="1:3" ht="20.100000000000001" customHeight="1" thickBot="1" x14ac:dyDescent="0.3">
      <c r="A9" s="2" t="s">
        <v>41</v>
      </c>
      <c r="C9" s="21" t="s">
        <v>69</v>
      </c>
    </row>
    <row r="10" spans="1:3" ht="20.100000000000001" customHeight="1" thickBot="1" x14ac:dyDescent="0.3">
      <c r="A10" s="2" t="s">
        <v>42</v>
      </c>
      <c r="C10" s="21" t="s">
        <v>70</v>
      </c>
    </row>
    <row r="11" spans="1:3" ht="20.100000000000001" customHeight="1" thickBot="1" x14ac:dyDescent="0.3">
      <c r="A11" s="2" t="s">
        <v>43</v>
      </c>
      <c r="C11" s="21" t="s">
        <v>71</v>
      </c>
    </row>
    <row r="12" spans="1:3" ht="20.100000000000001" customHeight="1" thickBot="1" x14ac:dyDescent="0.3">
      <c r="A12" s="2" t="s">
        <v>44</v>
      </c>
      <c r="C12" s="21" t="s">
        <v>72</v>
      </c>
    </row>
    <row r="13" spans="1:3" ht="20.100000000000001" customHeight="1" thickBot="1" x14ac:dyDescent="0.3">
      <c r="A13" s="2" t="s">
        <v>45</v>
      </c>
      <c r="C13" s="21" t="s">
        <v>73</v>
      </c>
    </row>
    <row r="14" spans="1:3" ht="20.100000000000001" customHeight="1" thickBot="1" x14ac:dyDescent="0.3">
      <c r="A14" s="2" t="s">
        <v>46</v>
      </c>
      <c r="C14" s="21" t="s">
        <v>74</v>
      </c>
    </row>
    <row r="15" spans="1:3" ht="20.100000000000001" customHeight="1" thickBot="1" x14ac:dyDescent="0.3">
      <c r="A15" s="2" t="s">
        <v>47</v>
      </c>
      <c r="C15" s="21" t="s">
        <v>75</v>
      </c>
    </row>
    <row r="16" spans="1:3" ht="20.100000000000001" customHeight="1" thickBot="1" x14ac:dyDescent="0.3">
      <c r="A16" s="2" t="s">
        <v>10</v>
      </c>
      <c r="C16" s="21" t="s">
        <v>76</v>
      </c>
    </row>
    <row r="17" spans="1:3" ht="20.100000000000001" customHeight="1" thickBot="1" x14ac:dyDescent="0.3">
      <c r="A17" s="2" t="s">
        <v>27</v>
      </c>
      <c r="C17" s="21" t="s">
        <v>77</v>
      </c>
    </row>
    <row r="18" spans="1:3" ht="20.100000000000001" customHeight="1" thickBot="1" x14ac:dyDescent="0.3">
      <c r="A18" s="2" t="s">
        <v>48</v>
      </c>
      <c r="C18" s="21" t="s">
        <v>78</v>
      </c>
    </row>
    <row r="19" spans="1:3" ht="20.100000000000001" customHeight="1" thickBot="1" x14ac:dyDescent="0.3">
      <c r="A19" s="2" t="s">
        <v>49</v>
      </c>
      <c r="C19" s="21" t="s">
        <v>79</v>
      </c>
    </row>
    <row r="20" spans="1:3" ht="20.100000000000001" customHeight="1" thickBot="1" x14ac:dyDescent="0.3">
      <c r="A20" s="2" t="s">
        <v>50</v>
      </c>
      <c r="C20" s="21" t="s">
        <v>80</v>
      </c>
    </row>
    <row r="21" spans="1:3" ht="20.100000000000001" customHeight="1" thickBot="1" x14ac:dyDescent="0.3">
      <c r="A21" s="2" t="s">
        <v>51</v>
      </c>
      <c r="C21" s="21" t="s">
        <v>81</v>
      </c>
    </row>
    <row r="22" spans="1:3" ht="20.100000000000001" customHeight="1" thickBot="1" x14ac:dyDescent="0.3">
      <c r="A22" s="2" t="s">
        <v>11</v>
      </c>
      <c r="C22" s="21" t="s">
        <v>82</v>
      </c>
    </row>
    <row r="23" spans="1:3" ht="20.100000000000001" customHeight="1" thickBot="1" x14ac:dyDescent="0.3">
      <c r="A23" s="2" t="s">
        <v>12</v>
      </c>
      <c r="C23" s="21" t="s">
        <v>83</v>
      </c>
    </row>
    <row r="24" spans="1:3" ht="20.100000000000001" customHeight="1" thickBot="1" x14ac:dyDescent="0.3">
      <c r="A24" s="2" t="s">
        <v>15</v>
      </c>
      <c r="C24" s="21" t="s">
        <v>84</v>
      </c>
    </row>
    <row r="25" spans="1:3" ht="20.100000000000001" customHeight="1" thickBot="1" x14ac:dyDescent="0.3">
      <c r="A25" s="2" t="s">
        <v>28</v>
      </c>
      <c r="C25" s="21" t="s">
        <v>85</v>
      </c>
    </row>
    <row r="26" spans="1:3" ht="20.100000000000001" customHeight="1" thickBot="1" x14ac:dyDescent="0.3">
      <c r="A26" s="2" t="s">
        <v>29</v>
      </c>
      <c r="C26" s="21" t="s">
        <v>86</v>
      </c>
    </row>
    <row r="27" spans="1:3" ht="20.100000000000001" customHeight="1" thickBot="1" x14ac:dyDescent="0.3">
      <c r="A27" s="2" t="s">
        <v>13</v>
      </c>
      <c r="C27" s="21" t="s">
        <v>87</v>
      </c>
    </row>
    <row r="28" spans="1:3" ht="20.100000000000001" customHeight="1" thickBot="1" x14ac:dyDescent="0.3">
      <c r="A28" s="2" t="s">
        <v>30</v>
      </c>
      <c r="C28" s="21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2" t="s">
        <v>89</v>
      </c>
    </row>
    <row r="200" spans="1:1" ht="20.100000000000001" customHeight="1" x14ac:dyDescent="0.2">
      <c r="A200" s="22" t="s">
        <v>90</v>
      </c>
    </row>
    <row r="201" spans="1:1" ht="20.100000000000001" customHeight="1" x14ac:dyDescent="0.2">
      <c r="A201" s="22" t="s">
        <v>91</v>
      </c>
    </row>
    <row r="202" spans="1:1" ht="20.100000000000001" customHeight="1" x14ac:dyDescent="0.2">
      <c r="A202" s="22" t="s">
        <v>92</v>
      </c>
    </row>
    <row r="203" spans="1:1" ht="20.100000000000001" customHeight="1" x14ac:dyDescent="0.2">
      <c r="A203" s="22" t="s">
        <v>93</v>
      </c>
    </row>
    <row r="204" spans="1:1" ht="20.100000000000001" customHeight="1" x14ac:dyDescent="0.2">
      <c r="A204" s="22" t="s">
        <v>94</v>
      </c>
    </row>
    <row r="205" spans="1:1" ht="20.100000000000001" customHeight="1" x14ac:dyDescent="0.2">
      <c r="A205" s="22" t="s">
        <v>95</v>
      </c>
    </row>
    <row r="206" spans="1:1" ht="20.100000000000001" customHeight="1" x14ac:dyDescent="0.2">
      <c r="A206" s="22" t="s">
        <v>96</v>
      </c>
    </row>
    <row r="207" spans="1:1" ht="20.100000000000001" customHeight="1" x14ac:dyDescent="0.2">
      <c r="A207" s="22" t="s">
        <v>97</v>
      </c>
    </row>
    <row r="208" spans="1:1" ht="20.100000000000001" customHeight="1" x14ac:dyDescent="0.2">
      <c r="A208" s="23" t="s">
        <v>98</v>
      </c>
    </row>
    <row r="209" spans="1:1" ht="20.100000000000001" customHeight="1" x14ac:dyDescent="0.2">
      <c r="A209" s="23" t="s">
        <v>99</v>
      </c>
    </row>
    <row r="210" spans="1:1" ht="20.100000000000001" customHeight="1" x14ac:dyDescent="0.2">
      <c r="A210" s="22" t="s">
        <v>100</v>
      </c>
    </row>
    <row r="211" spans="1:1" ht="20.100000000000001" customHeight="1" x14ac:dyDescent="0.2">
      <c r="A211" s="22" t="s">
        <v>101</v>
      </c>
    </row>
    <row r="212" spans="1:1" ht="20.100000000000001" customHeight="1" x14ac:dyDescent="0.2">
      <c r="A212" s="22" t="s">
        <v>102</v>
      </c>
    </row>
    <row r="213" spans="1:1" ht="20.100000000000001" customHeight="1" x14ac:dyDescent="0.2">
      <c r="A213" s="22" t="s">
        <v>103</v>
      </c>
    </row>
    <row r="214" spans="1:1" ht="20.100000000000001" customHeight="1" x14ac:dyDescent="0.2">
      <c r="A214" s="22" t="s">
        <v>104</v>
      </c>
    </row>
    <row r="215" spans="1:1" ht="20.100000000000001" customHeight="1" x14ac:dyDescent="0.2">
      <c r="A215" s="22" t="s">
        <v>105</v>
      </c>
    </row>
    <row r="216" spans="1:1" ht="20.100000000000001" customHeight="1" x14ac:dyDescent="0.2">
      <c r="A216" s="22" t="s">
        <v>106</v>
      </c>
    </row>
    <row r="217" spans="1:1" ht="20.100000000000001" customHeight="1" x14ac:dyDescent="0.2">
      <c r="A217" s="22" t="s">
        <v>107</v>
      </c>
    </row>
    <row r="218" spans="1:1" ht="20.100000000000001" customHeight="1" x14ac:dyDescent="0.2">
      <c r="A218" s="22" t="s">
        <v>108</v>
      </c>
    </row>
    <row r="219" spans="1:1" ht="20.100000000000001" customHeight="1" x14ac:dyDescent="0.2">
      <c r="A219" s="22" t="s">
        <v>109</v>
      </c>
    </row>
    <row r="220" spans="1:1" ht="20.100000000000001" customHeight="1" x14ac:dyDescent="0.2">
      <c r="A220" s="22" t="s">
        <v>110</v>
      </c>
    </row>
    <row r="221" spans="1:1" ht="20.100000000000001" customHeight="1" x14ac:dyDescent="0.2">
      <c r="A221" s="22" t="s">
        <v>111</v>
      </c>
    </row>
    <row r="222" spans="1:1" ht="20.100000000000001" customHeight="1" x14ac:dyDescent="0.2">
      <c r="A222" s="22" t="s">
        <v>112</v>
      </c>
    </row>
    <row r="223" spans="1:1" ht="20.100000000000001" customHeight="1" x14ac:dyDescent="0.2">
      <c r="A223" s="22" t="s">
        <v>113</v>
      </c>
    </row>
    <row r="224" spans="1:1" ht="20.100000000000001" customHeight="1" x14ac:dyDescent="0.2">
      <c r="A224" s="22" t="s">
        <v>114</v>
      </c>
    </row>
    <row r="225" spans="1:1" ht="20.100000000000001" customHeight="1" x14ac:dyDescent="0.2">
      <c r="A225" s="22" t="s">
        <v>115</v>
      </c>
    </row>
    <row r="226" spans="1:1" ht="20.100000000000001" customHeight="1" x14ac:dyDescent="0.2">
      <c r="A226" s="22" t="s">
        <v>116</v>
      </c>
    </row>
    <row r="227" spans="1:1" ht="20.100000000000001" customHeight="1" x14ac:dyDescent="0.2">
      <c r="A227" s="22" t="s">
        <v>117</v>
      </c>
    </row>
    <row r="228" spans="1:1" ht="20.100000000000001" customHeight="1" x14ac:dyDescent="0.2">
      <c r="A228" s="22" t="s">
        <v>118</v>
      </c>
    </row>
    <row r="229" spans="1:1" ht="20.100000000000001" customHeight="1" x14ac:dyDescent="0.2">
      <c r="A229" s="22" t="s">
        <v>119</v>
      </c>
    </row>
    <row r="230" spans="1:1" ht="20.100000000000001" customHeight="1" x14ac:dyDescent="0.2">
      <c r="A230" s="22" t="s">
        <v>120</v>
      </c>
    </row>
    <row r="231" spans="1:1" ht="20.100000000000001" customHeight="1" x14ac:dyDescent="0.2">
      <c r="A231" s="22" t="s">
        <v>121</v>
      </c>
    </row>
    <row r="232" spans="1:1" ht="20.100000000000001" customHeight="1" x14ac:dyDescent="0.2">
      <c r="A232" s="22" t="s">
        <v>122</v>
      </c>
    </row>
    <row r="233" spans="1:1" ht="20.100000000000001" customHeight="1" x14ac:dyDescent="0.2">
      <c r="A233" s="22" t="s">
        <v>123</v>
      </c>
    </row>
    <row r="234" spans="1:1" ht="20.100000000000001" customHeight="1" x14ac:dyDescent="0.2">
      <c r="A234" s="22" t="s">
        <v>124</v>
      </c>
    </row>
    <row r="235" spans="1:1" ht="20.100000000000001" customHeight="1" x14ac:dyDescent="0.2">
      <c r="A235" s="24" t="s">
        <v>125</v>
      </c>
    </row>
    <row r="236" spans="1:1" ht="20.100000000000001" customHeight="1" x14ac:dyDescent="0.2">
      <c r="A236" s="22" t="s">
        <v>126</v>
      </c>
    </row>
    <row r="237" spans="1:1" ht="20.100000000000001" customHeight="1" x14ac:dyDescent="0.2">
      <c r="A237" s="22" t="s">
        <v>127</v>
      </c>
    </row>
    <row r="238" spans="1:1" ht="20.100000000000001" customHeight="1" x14ac:dyDescent="0.2">
      <c r="A238" s="22" t="s">
        <v>128</v>
      </c>
    </row>
    <row r="239" spans="1:1" ht="20.100000000000001" customHeight="1" x14ac:dyDescent="0.2">
      <c r="A239" s="22" t="s">
        <v>129</v>
      </c>
    </row>
    <row r="240" spans="1:1" ht="20.100000000000001" customHeight="1" x14ac:dyDescent="0.2">
      <c r="A240" s="22" t="s">
        <v>130</v>
      </c>
    </row>
    <row r="241" spans="1:1" ht="20.100000000000001" customHeight="1" x14ac:dyDescent="0.2">
      <c r="A241" s="22" t="s">
        <v>131</v>
      </c>
    </row>
    <row r="242" spans="1:1" ht="20.100000000000001" customHeight="1" x14ac:dyDescent="0.2">
      <c r="A242" s="22" t="s">
        <v>132</v>
      </c>
    </row>
    <row r="243" spans="1:1" ht="20.100000000000001" customHeight="1" x14ac:dyDescent="0.2">
      <c r="A243" s="22" t="s">
        <v>133</v>
      </c>
    </row>
    <row r="244" spans="1:1" ht="20.100000000000001" customHeight="1" x14ac:dyDescent="0.2">
      <c r="A244" s="22" t="s">
        <v>134</v>
      </c>
    </row>
    <row r="245" spans="1:1" ht="20.100000000000001" customHeight="1" x14ac:dyDescent="0.2">
      <c r="A245" s="22" t="s">
        <v>135</v>
      </c>
    </row>
    <row r="246" spans="1:1" ht="20.100000000000001" customHeight="1" x14ac:dyDescent="0.2">
      <c r="A246" s="22" t="s">
        <v>136</v>
      </c>
    </row>
    <row r="247" spans="1:1" ht="20.100000000000001" customHeight="1" x14ac:dyDescent="0.2">
      <c r="A247" s="22" t="s">
        <v>127</v>
      </c>
    </row>
    <row r="248" spans="1:1" ht="20.100000000000001" customHeight="1" x14ac:dyDescent="0.2">
      <c r="A248" s="22" t="s">
        <v>137</v>
      </c>
    </row>
    <row r="249" spans="1:1" ht="20.100000000000001" customHeight="1" x14ac:dyDescent="0.2">
      <c r="A249" s="22" t="s">
        <v>138</v>
      </c>
    </row>
    <row r="250" spans="1:1" ht="20.100000000000001" customHeight="1" x14ac:dyDescent="0.2">
      <c r="A250" s="24" t="s">
        <v>139</v>
      </c>
    </row>
    <row r="251" spans="1:1" ht="20.100000000000001" customHeight="1" x14ac:dyDescent="0.2">
      <c r="A251" s="25" t="s">
        <v>140</v>
      </c>
    </row>
    <row r="252" spans="1:1" ht="20.100000000000001" customHeight="1" x14ac:dyDescent="0.2">
      <c r="A252" s="22" t="s">
        <v>141</v>
      </c>
    </row>
    <row r="253" spans="1:1" ht="20.100000000000001" customHeight="1" x14ac:dyDescent="0.2">
      <c r="A253" s="22" t="s">
        <v>142</v>
      </c>
    </row>
    <row r="254" spans="1:1" ht="20.100000000000001" customHeight="1" x14ac:dyDescent="0.2">
      <c r="A254" s="26" t="s">
        <v>143</v>
      </c>
    </row>
    <row r="255" spans="1:1" ht="20.100000000000001" customHeight="1" x14ac:dyDescent="0.2">
      <c r="A255" s="26" t="s">
        <v>144</v>
      </c>
    </row>
    <row r="256" spans="1:1" ht="20.100000000000001" customHeight="1" x14ac:dyDescent="0.2">
      <c r="A256" s="27" t="s">
        <v>145</v>
      </c>
    </row>
    <row r="257" spans="1:1" ht="20.100000000000001" customHeight="1" x14ac:dyDescent="0.2">
      <c r="A257" s="22" t="s">
        <v>146</v>
      </c>
    </row>
    <row r="258" spans="1:1" ht="20.100000000000001" customHeight="1" x14ac:dyDescent="0.2">
      <c r="A258" s="27" t="s">
        <v>147</v>
      </c>
    </row>
    <row r="259" spans="1:1" ht="20.100000000000001" customHeight="1" x14ac:dyDescent="0.2">
      <c r="A259" s="22" t="s">
        <v>148</v>
      </c>
    </row>
    <row r="260" spans="1:1" ht="20.100000000000001" customHeight="1" x14ac:dyDescent="0.2">
      <c r="A260" s="27" t="s">
        <v>149</v>
      </c>
    </row>
    <row r="261" spans="1:1" ht="20.100000000000001" customHeight="1" x14ac:dyDescent="0.2">
      <c r="A261" s="22" t="s">
        <v>150</v>
      </c>
    </row>
    <row r="262" spans="1:1" ht="20.100000000000001" customHeight="1" x14ac:dyDescent="0.2">
      <c r="A262" s="22" t="s">
        <v>151</v>
      </c>
    </row>
    <row r="263" spans="1:1" ht="20.100000000000001" customHeight="1" x14ac:dyDescent="0.2">
      <c r="A263" s="27" t="s">
        <v>152</v>
      </c>
    </row>
    <row r="264" spans="1:1" ht="20.100000000000001" customHeight="1" x14ac:dyDescent="0.2">
      <c r="A264" s="27" t="s">
        <v>153</v>
      </c>
    </row>
    <row r="265" spans="1:1" ht="20.100000000000001" customHeight="1" x14ac:dyDescent="0.2">
      <c r="A265" s="27" t="s">
        <v>154</v>
      </c>
    </row>
    <row r="266" spans="1:1" ht="20.100000000000001" customHeight="1" x14ac:dyDescent="0.2">
      <c r="A266" s="22" t="s">
        <v>155</v>
      </c>
    </row>
    <row r="267" spans="1:1" ht="20.100000000000001" customHeight="1" x14ac:dyDescent="0.2">
      <c r="A267" s="22" t="s">
        <v>156</v>
      </c>
    </row>
    <row r="268" spans="1:1" ht="20.100000000000001" customHeight="1" x14ac:dyDescent="0.2">
      <c r="A268" s="22" t="s">
        <v>157</v>
      </c>
    </row>
    <row r="269" spans="1:1" ht="20.100000000000001" customHeight="1" x14ac:dyDescent="0.2">
      <c r="A269" s="22" t="s">
        <v>158</v>
      </c>
    </row>
    <row r="270" spans="1:1" ht="20.100000000000001" customHeight="1" x14ac:dyDescent="0.2">
      <c r="A270" s="27" t="s">
        <v>159</v>
      </c>
    </row>
    <row r="271" spans="1:1" ht="20.100000000000001" customHeight="1" x14ac:dyDescent="0.2">
      <c r="A271" s="27" t="s">
        <v>160</v>
      </c>
    </row>
    <row r="272" spans="1:1" ht="20.100000000000001" customHeight="1" x14ac:dyDescent="0.2">
      <c r="A272" s="22" t="s">
        <v>161</v>
      </c>
    </row>
    <row r="273" spans="1:1" ht="20.100000000000001" customHeight="1" x14ac:dyDescent="0.2">
      <c r="A273" s="27" t="s">
        <v>162</v>
      </c>
    </row>
    <row r="274" spans="1:1" ht="20.100000000000001" customHeight="1" x14ac:dyDescent="0.2">
      <c r="A274" s="27" t="s">
        <v>163</v>
      </c>
    </row>
    <row r="275" spans="1:1" ht="20.100000000000001" customHeight="1" x14ac:dyDescent="0.2">
      <c r="A275" s="22" t="s">
        <v>164</v>
      </c>
    </row>
    <row r="276" spans="1:1" ht="20.100000000000001" customHeight="1" x14ac:dyDescent="0.2">
      <c r="A276" s="22" t="s">
        <v>165</v>
      </c>
    </row>
    <row r="277" spans="1:1" ht="20.100000000000001" customHeight="1" x14ac:dyDescent="0.2">
      <c r="A277" s="27" t="s">
        <v>166</v>
      </c>
    </row>
    <row r="278" spans="1:1" ht="20.100000000000001" customHeight="1" x14ac:dyDescent="0.2">
      <c r="A278" s="22" t="s">
        <v>167</v>
      </c>
    </row>
    <row r="279" spans="1:1" ht="20.100000000000001" customHeight="1" x14ac:dyDescent="0.2">
      <c r="A279" s="22" t="s">
        <v>168</v>
      </c>
    </row>
    <row r="280" spans="1:1" ht="20.100000000000001" customHeight="1" x14ac:dyDescent="0.2">
      <c r="A280" s="22" t="s">
        <v>169</v>
      </c>
    </row>
    <row r="281" spans="1:1" ht="20.100000000000001" customHeight="1" x14ac:dyDescent="0.2">
      <c r="A281" s="22" t="s">
        <v>170</v>
      </c>
    </row>
    <row r="282" spans="1:1" ht="20.100000000000001" customHeight="1" x14ac:dyDescent="0.2">
      <c r="A282" s="27" t="s">
        <v>171</v>
      </c>
    </row>
    <row r="283" spans="1:1" ht="20.100000000000001" customHeight="1" x14ac:dyDescent="0.2">
      <c r="A283" s="27" t="s">
        <v>172</v>
      </c>
    </row>
    <row r="284" spans="1:1" ht="20.100000000000001" customHeight="1" x14ac:dyDescent="0.2">
      <c r="A284" s="27" t="s">
        <v>173</v>
      </c>
    </row>
    <row r="285" spans="1:1" ht="20.100000000000001" customHeight="1" thickBot="1" x14ac:dyDescent="0.25">
      <c r="A285" s="22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2025-10-08T15:19:12Z</dcterms:modified>
</cp:coreProperties>
</file>