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A53D2671-6D01-4713-9713-3667047A9F0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التقييم'!$A$1:$J$21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 s="1"/>
  <c r="G10" i="2"/>
  <c r="H10" i="2" s="1"/>
  <c r="G11" i="2"/>
  <c r="H11" i="2"/>
  <c r="G12" i="2"/>
  <c r="H12" i="2"/>
  <c r="G13" i="2"/>
  <c r="H13" i="2"/>
  <c r="G14" i="2"/>
  <c r="H14" i="2"/>
  <c r="G15" i="2"/>
  <c r="H15" i="2"/>
  <c r="G16" i="2"/>
  <c r="H16" i="2"/>
  <c r="F17" i="2"/>
  <c r="E18" i="2" s="1"/>
  <c r="E19" i="2" s="1"/>
  <c r="E17" i="2"/>
</calcChain>
</file>

<file path=xl/sharedStrings.xml><?xml version="1.0" encoding="utf-8"?>
<sst xmlns="http://schemas.openxmlformats.org/spreadsheetml/2006/main" count="246" uniqueCount="190">
  <si>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</si>
  <si>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</si>
  <si>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</si>
  <si>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</si>
  <si>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</si>
  <si>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</si>
  <si>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</si>
  <si>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</si>
  <si>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</si>
  <si>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</si>
  <si>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</si>
  <si>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</si>
  <si>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</si>
  <si>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</si>
  <si>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</si>
  <si>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</si>
  <si>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</si>
  <si>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</si>
  <si>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</si>
  <si>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</si>
  <si>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</si>
  <si>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</si>
  <si>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</si>
  <si>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</si>
  <si>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</si>
  <si>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</si>
  <si>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</si>
  <si>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</si>
  <si>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</si>
  <si>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</si>
  <si>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</si>
  <si>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</si>
  <si>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</si>
  <si>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</si>
  <si>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</si>
  <si>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</si>
  <si>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</si>
  <si>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</si>
  <si>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</si>
  <si>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</si>
  <si>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</si>
  <si>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</si>
  <si>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</si>
  <si>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</si>
  <si>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</si>
  <si>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</si>
  <si>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</si>
  <si>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</si>
  <si>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</si>
  <si>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</si>
  <si>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</si>
  <si>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</si>
  <si>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</si>
  <si>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</si>
  <si>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</si>
  <si>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</si>
  <si>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</si>
  <si>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</si>
  <si>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</si>
  <si>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</si>
  <si>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</si>
  <si>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</si>
  <si>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</si>
  <si>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</si>
  <si>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</si>
  <si>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</si>
  <si>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</si>
  <si>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</si>
  <si>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</si>
  <si>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</si>
  <si>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</si>
  <si>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</si>
  <si>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</si>
  <si>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</si>
  <si>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</si>
  <si>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</si>
  <si>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</si>
  <si>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</si>
  <si>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</si>
  <si>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</si>
  <si>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</si>
  <si>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</si>
  <si>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</si>
  <si>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</si>
  <si>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</si>
  <si>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</si>
  <si>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</si>
  <si>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</si>
  <si>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</si>
  <si>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</si>
  <si>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</si>
  <si>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</si>
  <si>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</si>
  <si>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</si>
  <si>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</si>
  <si>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</si>
  <si>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</si>
  <si>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</si>
  <si>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</si>
  <si>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</si>
  <si>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</si>
  <si>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</si>
  <si>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</si>
  <si>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</si>
  <si>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</si>
  <si>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</si>
  <si>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</si>
  <si>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</si>
  <si>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</si>
  <si>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</si>
  <si>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</si>
  <si>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</si>
  <si>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</si>
  <si>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</si>
  <si>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</si>
  <si>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</si>
  <si>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</si>
  <si>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</si>
  <si>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</si>
  <si>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</si>
  <si>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</si>
  <si>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</si>
  <si>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</si>
  <si>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</si>
  <si>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</si>
  <si>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</si>
  <si>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</si>
  <si>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</si>
  <si>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</si>
  <si>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</si>
  <si>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</si>
  <si>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</si>
  <si>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</si>
  <si>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</si>
  <si>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</si>
  <si>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</si>
  <si>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</si>
  <si>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</si>
  <si>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</si>
  <si>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</si>
  <si>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</si>
  <si>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</si>
  <si>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</si>
  <si>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</si>
  <si>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</si>
  <si>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</si>
  <si>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</si>
  <si>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</si>
  <si>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</si>
  <si>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</si>
  <si>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</si>
  <si>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</si>
  <si>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</si>
  <si>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</si>
  <si>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</si>
  <si>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</si>
  <si>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</si>
  <si>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</si>
  <si>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</si>
  <si>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</si>
  <si>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</si>
  <si>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</si>
  <si>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</si>
  <si>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</si>
  <si>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</si>
  <si>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</si>
  <si>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</si>
  <si>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</si>
  <si>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</si>
  <si>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</si>
  <si>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</si>
  <si>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</si>
  <si>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</si>
  <si>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</si>
  <si>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</si>
  <si>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</si>
  <si>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</si>
  <si>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</si>
  <si>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</si>
  <si>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</si>
  <si>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تقييم خطة الانتشار في وحدات المناورة - تمرين جاهزية مجموعة لواء الإمارات/1 (جندي الصحراء 2025/20)</t>
  </si>
  <si>
    <r>
      <rPr>
        <b/>
        <sz val="12"/>
        <color theme="1"/>
        <rFont val="Arial"/>
        <family val="2"/>
      </rPr>
      <t xml:space="preserve">1.   </t>
    </r>
    <r>
      <rPr>
        <b/>
        <u/>
        <sz val="12"/>
        <color theme="1"/>
        <rFont val="Arial"/>
        <family val="2"/>
      </rPr>
      <t>الخطة</t>
    </r>
    <r>
      <rPr>
        <b/>
        <sz val="12"/>
        <color theme="1"/>
        <rFont val="Arial"/>
        <family val="2"/>
      </rPr>
      <t xml:space="preserve"> (يتم التأكد من التالي): </t>
    </r>
  </si>
  <si>
    <t>أ.    وجود الخطة واعتمادها.</t>
  </si>
  <si>
    <t>ب.  التقيد بالإطار العام.</t>
  </si>
  <si>
    <t>جـ.  التقيد بواجبات الأركان الصغرى في إعداد الخطة.</t>
  </si>
  <si>
    <t>2.   التقيد بالتدريب على تنفيذ الخطة ومدى واقعيتها للتطبيق (التدريب على مهام العمليات).</t>
  </si>
  <si>
    <t>3.   مدى إلمام المرتب بالخطة ومتطلباتها والواجبات المحددة لكل منهم.</t>
  </si>
  <si>
    <t>4.   مدى توفر المهمات والمعدات المطلوبة لتنفيذ الخطة (آليات، معدات، إلخ...).</t>
  </si>
  <si>
    <t>5.   التأكد من التنسيق مع المعنيين لتنفيذ الخطة.</t>
  </si>
  <si>
    <t>6.   مدى تنفيذ المستوى الخاضع للتقييم لجميع الإجراءات المطلوبة منهم في تطبيق الخطة حسب المعاضل التي تفرض من قبل فريق التقييم.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</si>
</sst>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3" fillId="0" borderId="9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14" fillId="0" borderId="11" xfId="0" applyFont="1" applyBorder="1" applyAlignment="1">
      <alignment horizontal="right" vertical="center" wrapText="1" indent="2" readingOrder="2"/>
    </xf>
    <xf numFmtId="0" fontId="14" fillId="0" borderId="12" xfId="0" applyFont="1" applyBorder="1" applyAlignment="1">
      <alignment horizontal="right" vertical="center" wrapText="1" indent="2" readingOrder="2"/>
    </xf>
    <xf numFmtId="0" fontId="3" fillId="0" borderId="8" xfId="0" applyFont="1" applyBorder="1" applyAlignment="1">
      <alignment horizontal="right" vertical="center" wrapText="1" readingOrder="2"/>
    </xf>
    <xf numFmtId="0" fontId="3" fillId="0" borderId="9" xfId="0" applyFont="1" applyBorder="1" applyAlignment="1">
      <alignment horizontal="right" vertical="center" wrapText="1" readingOrder="2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indent="2" readingOrder="2"/>
    </xf>
    <xf numFmtId="0" fontId="14" fillId="0" borderId="3" xfId="0" applyFont="1" applyBorder="1" applyAlignment="1">
      <alignment horizontal="right" vertical="center" wrapText="1" indent="2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1"/>
  <sheetViews>
    <sheetView rightToLeft="1" tabSelected="1" view="pageBreakPreview" zoomScale="130" zoomScaleNormal="100" zoomScaleSheetLayoutView="130" workbookViewId="0">
      <selection activeCell="F10" sqref="F10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5" t="s">
        <v>180</v>
      </c>
      <c r="C1" s="65"/>
      <c r="D1" s="65"/>
      <c r="E1" s="65"/>
      <c r="F1" s="65"/>
      <c r="G1" s="65"/>
      <c r="H1" s="65"/>
      <c r="I1" s="65"/>
      <c r="J1" s="65"/>
    </row>
    <row r="2" spans="1:10" ht="30" customHeight="1" x14ac:dyDescent="0.3">
      <c r="B2" s="11" t="s">
        <v>8</v>
      </c>
      <c r="C2" s="71" t="s">
        <v>38</v>
      </c>
      <c r="D2" s="71"/>
      <c r="E2" s="11" t="s">
        <v>7</v>
      </c>
      <c r="F2" s="66">
        <v>45933</v>
      </c>
      <c r="G2" s="66"/>
      <c r="H2" s="66"/>
      <c r="I2" s="66"/>
      <c r="J2" s="66"/>
    </row>
    <row r="3" spans="1:10" ht="30" customHeight="1" x14ac:dyDescent="0.3">
      <c r="B3" s="11" t="s">
        <v>9</v>
      </c>
      <c r="C3" s="71" t="s">
        <v>177</v>
      </c>
      <c r="D3" s="71"/>
      <c r="E3" s="11" t="s">
        <v>6</v>
      </c>
      <c r="F3" s="71" t="s">
        <v>129</v>
      </c>
      <c r="G3" s="71"/>
      <c r="H3" s="71"/>
      <c r="I3" s="71"/>
      <c r="J3" s="71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9"/>
      <c r="B5" s="67" t="s">
        <v>0</v>
      </c>
      <c r="C5" s="68"/>
      <c r="D5" s="68"/>
      <c r="E5" s="51" t="s">
        <v>1</v>
      </c>
      <c r="F5" s="51"/>
      <c r="G5" s="51"/>
      <c r="H5" s="51"/>
      <c r="I5" s="51" t="s">
        <v>2</v>
      </c>
      <c r="J5" s="52"/>
    </row>
    <row r="6" spans="1:10" ht="24.9" customHeight="1" thickBot="1" x14ac:dyDescent="0.35">
      <c r="A6" s="9"/>
      <c r="B6" s="69"/>
      <c r="C6" s="70"/>
      <c r="D6" s="70"/>
      <c r="E6" s="10" t="s">
        <v>3</v>
      </c>
      <c r="F6" s="10" t="s">
        <v>4</v>
      </c>
      <c r="G6" s="10" t="s">
        <v>23</v>
      </c>
      <c r="H6" s="10" t="s">
        <v>24</v>
      </c>
      <c r="I6" s="53"/>
      <c r="J6" s="54"/>
    </row>
    <row r="7" spans="1:10" ht="24.9" customHeight="1" thickBot="1" x14ac:dyDescent="0.35">
      <c r="A7" s="9"/>
      <c r="B7" s="49" t="s">
        <v>21</v>
      </c>
      <c r="C7" s="50"/>
      <c r="D7" s="50"/>
      <c r="E7" s="32" t="s">
        <v>18</v>
      </c>
      <c r="F7" s="32" t="s">
        <v>19</v>
      </c>
      <c r="G7" s="32" t="s">
        <v>22</v>
      </c>
      <c r="H7" s="32" t="s">
        <v>20</v>
      </c>
      <c r="I7" s="55" t="s">
        <v>25</v>
      </c>
      <c r="J7" s="56"/>
    </row>
    <row r="8" spans="1:10" ht="39.9" customHeight="1" x14ac:dyDescent="0.3">
      <c r="A8" s="9"/>
      <c r="B8" s="61" t="s">
        <v>181</v>
      </c>
      <c r="C8" s="62"/>
      <c r="D8" s="62"/>
      <c r="E8" s="28"/>
      <c r="F8" s="36"/>
      <c r="G8" s="37"/>
      <c r="H8" s="38"/>
      <c r="I8" s="59"/>
      <c r="J8" s="60"/>
    </row>
    <row r="9" spans="1:10" ht="39.9" customHeight="1" x14ac:dyDescent="0.3">
      <c r="A9" s="9"/>
      <c r="B9" s="63" t="s">
        <v>182</v>
      </c>
      <c r="C9" s="64"/>
      <c r="D9" s="64"/>
      <c r="E9" s="29">
        <v>10</v>
      </c>
      <c r="F9" s="25">
        <v>8.25</v>
      </c>
      <c r="G9" s="34">
        <f>IFERROR(F9/E9,"")</f>
        <v>0.82499999999999996</v>
      </c>
      <c r="H9" s="35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57"/>
      <c r="J9" s="58"/>
    </row>
    <row r="10" spans="1:10" ht="39.9" customHeight="1" x14ac:dyDescent="0.3">
      <c r="A10" s="9"/>
      <c r="B10" s="63" t="s">
        <v>183</v>
      </c>
      <c r="C10" s="64"/>
      <c r="D10" s="64"/>
      <c r="E10" s="29">
        <v>5</v>
      </c>
      <c r="F10" s="25">
        <v>3.75</v>
      </c>
      <c r="G10" s="34">
        <f t="shared" ref="G10:G16" si="0">IFERROR(F10/E10,"")</f>
        <v>0.75</v>
      </c>
      <c r="H10" s="35" t="str">
        <f t="shared" ref="H10:H16" si="1">_xlfn.IFS(F10="أدخل العلامة","",F10="لا ينطبق","تم الإلغاء",G10&gt;=90%,"ممتاز",G10&gt;=80%,"جيد جداً",G10&gt;=70%,"جيد",G10&gt;=60%,"مقبول",G10&lt;60%,"راسب")</f>
        <v>جيد</v>
      </c>
      <c r="I10" s="57"/>
      <c r="J10" s="58"/>
    </row>
    <row r="11" spans="1:10" ht="39.9" customHeight="1" thickBot="1" x14ac:dyDescent="0.35">
      <c r="A11" s="9"/>
      <c r="B11" s="43" t="s">
        <v>184</v>
      </c>
      <c r="C11" s="44"/>
      <c r="D11" s="44"/>
      <c r="E11" s="30">
        <v>5</v>
      </c>
      <c r="F11" s="27">
        <v>3.75</v>
      </c>
      <c r="G11" s="39">
        <f t="shared" si="0"/>
        <v>0.75</v>
      </c>
      <c r="H11" s="40" t="str">
        <f t="shared" si="1"/>
        <v>جيد</v>
      </c>
      <c r="I11" s="89"/>
      <c r="J11" s="90"/>
    </row>
    <row r="12" spans="1:10" ht="39.9" customHeight="1" thickBot="1" x14ac:dyDescent="0.35">
      <c r="A12" s="9"/>
      <c r="B12" s="45" t="s">
        <v>185</v>
      </c>
      <c r="C12" s="46"/>
      <c r="D12" s="46"/>
      <c r="E12" s="31">
        <v>20</v>
      </c>
      <c r="F12" s="41">
        <v>15.75</v>
      </c>
      <c r="G12" s="42">
        <f t="shared" si="0"/>
        <v>0.78749999999999998</v>
      </c>
      <c r="H12" s="26" t="str">
        <f t="shared" si="1"/>
        <v>جيد</v>
      </c>
      <c r="I12" s="47"/>
      <c r="J12" s="48"/>
    </row>
    <row r="13" spans="1:10" ht="39.9" customHeight="1" thickBot="1" x14ac:dyDescent="0.35">
      <c r="A13" s="9"/>
      <c r="B13" s="45" t="s">
        <v>186</v>
      </c>
      <c r="C13" s="46"/>
      <c r="D13" s="46"/>
      <c r="E13" s="31">
        <v>10</v>
      </c>
      <c r="F13" s="41">
        <v>7</v>
      </c>
      <c r="G13" s="42">
        <f t="shared" si="0"/>
        <v>0.7</v>
      </c>
      <c r="H13" s="26" t="str">
        <f t="shared" si="1"/>
        <v>جيد</v>
      </c>
      <c r="I13" s="47"/>
      <c r="J13" s="48"/>
    </row>
    <row r="14" spans="1:10" ht="39.9" customHeight="1" thickBot="1" x14ac:dyDescent="0.35">
      <c r="A14" s="9"/>
      <c r="B14" s="45" t="s">
        <v>187</v>
      </c>
      <c r="C14" s="46"/>
      <c r="D14" s="46"/>
      <c r="E14" s="31">
        <v>10</v>
      </c>
      <c r="F14" s="41">
        <v>7.75</v>
      </c>
      <c r="G14" s="42">
        <f t="shared" si="0"/>
        <v>0.77500000000000002</v>
      </c>
      <c r="H14" s="26" t="str">
        <f t="shared" si="1"/>
        <v>جيد</v>
      </c>
      <c r="I14" s="47"/>
      <c r="J14" s="48"/>
    </row>
    <row r="15" spans="1:10" ht="39.9" customHeight="1" thickBot="1" x14ac:dyDescent="0.35">
      <c r="A15" s="9"/>
      <c r="B15" s="45" t="s">
        <v>188</v>
      </c>
      <c r="C15" s="46"/>
      <c r="D15" s="46"/>
      <c r="E15" s="31">
        <v>5</v>
      </c>
      <c r="F15" s="41">
        <v>4</v>
      </c>
      <c r="G15" s="42">
        <f t="shared" si="0"/>
        <v>0.8</v>
      </c>
      <c r="H15" s="26" t="str">
        <f t="shared" si="1"/>
        <v>جيد جداً</v>
      </c>
      <c r="I15" s="47"/>
      <c r="J15" s="48"/>
    </row>
    <row r="16" spans="1:10" ht="39.9" customHeight="1" thickBot="1" x14ac:dyDescent="0.35">
      <c r="A16" s="9"/>
      <c r="B16" s="45" t="s">
        <v>189</v>
      </c>
      <c r="C16" s="46"/>
      <c r="D16" s="46"/>
      <c r="E16" s="31">
        <v>5</v>
      </c>
      <c r="F16" s="41">
        <v>3.5</v>
      </c>
      <c r="G16" s="42">
        <f t="shared" si="0"/>
        <v>0.7</v>
      </c>
      <c r="H16" s="26" t="str">
        <f t="shared" si="1"/>
        <v>جيد</v>
      </c>
      <c r="I16" s="47"/>
      <c r="J16" s="48"/>
    </row>
    <row r="17" spans="1:10" ht="30" customHeight="1" thickBot="1" x14ac:dyDescent="0.35">
      <c r="A17" s="4"/>
      <c r="B17" s="85" t="s">
        <v>5</v>
      </c>
      <c r="C17" s="86"/>
      <c r="D17" s="86"/>
      <c r="E17" s="33">
        <f>SUM(E8:E16)</f>
        <v>70</v>
      </c>
      <c r="F17" s="33">
        <f>SUM(F8:F16)</f>
        <v>53.75</v>
      </c>
      <c r="G17" s="74"/>
      <c r="H17" s="75"/>
      <c r="I17" s="75"/>
      <c r="J17" s="76"/>
    </row>
    <row r="18" spans="1:10" ht="30" customHeight="1" thickBot="1" x14ac:dyDescent="0.35">
      <c r="A18" s="4"/>
      <c r="B18" s="87" t="s">
        <v>54</v>
      </c>
      <c r="C18" s="88"/>
      <c r="D18" s="88"/>
      <c r="E18" s="83">
        <f>F17/E17/100*100</f>
        <v>0.7678571428571429</v>
      </c>
      <c r="F18" s="83"/>
      <c r="G18" s="83"/>
      <c r="H18" s="83"/>
      <c r="I18" s="83"/>
      <c r="J18" s="84"/>
    </row>
    <row r="19" spans="1:10" ht="30" customHeight="1" thickBot="1" x14ac:dyDescent="0.35">
      <c r="A19" s="4"/>
      <c r="B19" s="87" t="s">
        <v>55</v>
      </c>
      <c r="C19" s="88"/>
      <c r="D19" s="88"/>
      <c r="E19" s="81" t="str">
        <f>_xlfn.IFS(E18&gt;=90%,"ممتاز",E18&gt;=80%,"جيد جداً",E18&gt;=70%,"جيد",E18&gt;=60%,"مقبول",E18&lt;60%,"راسب")</f>
        <v>جيد</v>
      </c>
      <c r="F19" s="81"/>
      <c r="G19" s="81"/>
      <c r="H19" s="81"/>
      <c r="I19" s="81"/>
      <c r="J19" s="82"/>
    </row>
    <row r="20" spans="1:10" ht="42" customHeight="1" x14ac:dyDescent="0.3">
      <c r="B20" s="77" t="s">
        <v>174</v>
      </c>
      <c r="C20" s="77"/>
      <c r="D20" s="77"/>
      <c r="E20" s="72" t="s">
        <v>52</v>
      </c>
      <c r="F20" s="72"/>
      <c r="G20" s="79" t="s">
        <v>129</v>
      </c>
      <c r="H20" s="79"/>
      <c r="I20" s="79"/>
      <c r="J20" s="79"/>
    </row>
    <row r="21" spans="1:10" ht="51" customHeight="1" x14ac:dyDescent="0.3">
      <c r="A21" s="5"/>
      <c r="B21" s="78"/>
      <c r="C21" s="78"/>
      <c r="D21" s="78"/>
      <c r="E21" s="73" t="s">
        <v>53</v>
      </c>
      <c r="F21" s="73"/>
      <c r="G21" s="80"/>
      <c r="H21" s="80"/>
      <c r="I21" s="80"/>
      <c r="J21" s="80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9">
    <mergeCell ref="E20:F20"/>
    <mergeCell ref="E21:F21"/>
    <mergeCell ref="G17:J17"/>
    <mergeCell ref="I9:J9"/>
    <mergeCell ref="B20:D21"/>
    <mergeCell ref="G20:J20"/>
    <mergeCell ref="G21:J21"/>
    <mergeCell ref="E19:J19"/>
    <mergeCell ref="E18:J18"/>
    <mergeCell ref="B17:D17"/>
    <mergeCell ref="B18:D18"/>
    <mergeCell ref="B19:D19"/>
    <mergeCell ref="I11:J11"/>
    <mergeCell ref="I12:J12"/>
    <mergeCell ref="I13:J13"/>
    <mergeCell ref="I14:J14"/>
    <mergeCell ref="B1:J1"/>
    <mergeCell ref="F2:J2"/>
    <mergeCell ref="B5:D6"/>
    <mergeCell ref="C2:D2"/>
    <mergeCell ref="C3:D3"/>
    <mergeCell ref="F3:J3"/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B11:D11"/>
    <mergeCell ref="B12:D12"/>
    <mergeCell ref="I15:J15"/>
    <mergeCell ref="I16:J16"/>
    <mergeCell ref="B13:D13"/>
    <mergeCell ref="B14:D14"/>
    <mergeCell ref="B15:D15"/>
    <mergeCell ref="B16:D1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9">
    <cfRule type="expression" dxfId="14" priority="57">
      <formula>$E19="راسب"</formula>
    </cfRule>
  </conditionalFormatting>
  <conditionalFormatting sqref="E19:J19">
    <cfRule type="expression" dxfId="13" priority="58">
      <formula>$E19="مقبول"</formula>
    </cfRule>
    <cfRule type="expression" dxfId="12" priority="59">
      <formula>$E19="جيد"</formula>
    </cfRule>
    <cfRule type="expression" dxfId="11" priority="60">
      <formula>$E19="جيد جداً"</formula>
    </cfRule>
    <cfRule type="expression" dxfId="10" priority="61">
      <formula>$E19="ممتاز"</formula>
    </cfRule>
  </conditionalFormatting>
  <conditionalFormatting sqref="F8:F16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0:J20">
    <cfRule type="containsText" dxfId="6" priority="15" operator="containsText" text="أدخل اسم المحكم">
      <formula>NOT(ISERROR(SEARCH("أدخل اسم المحكم",G20)))</formula>
    </cfRule>
  </conditionalFormatting>
  <conditionalFormatting sqref="H8:H16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F15:F16 F10:F11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G20:J20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3FA2703D-2ECF-43C5-A3F7-82FDA389B93E}">
          <x14:formula1>
            <xm:f>'بيانات التقييم'!$A$111:$A$153</xm:f>
          </x14:formula1>
          <xm:sqref>F9 F13 F14</xm:sqref>
        </x14:dataValidation>
        <x14:dataValidation type="list" allowBlank="1" showInputMessage="1" showErrorMessage="1" xr:uid="{146A380C-0401-491B-8FEE-C46060DDCED8}">
          <x14:formula1>
            <xm:f>'بيانات التقييم'!$A$111:$A$193</xm:f>
          </x14:formula1>
          <xm:sqref>F12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34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18" t="s">
        <v>177</v>
      </c>
    </row>
    <row r="30" spans="1:3" ht="20.100000000000001" customHeight="1" thickBot="1" x14ac:dyDescent="0.35">
      <c r="A30" s="2" t="s">
        <v>32</v>
      </c>
      <c r="C30" s="18" t="s">
        <v>178</v>
      </c>
    </row>
    <row r="31" spans="1:3" ht="20.100000000000001" customHeight="1" thickBot="1" x14ac:dyDescent="0.35">
      <c r="A31" s="2" t="s">
        <v>33</v>
      </c>
      <c r="C31" s="18" t="s">
        <v>179</v>
      </c>
    </row>
    <row r="32" spans="1:3" ht="20.100000000000001" customHeight="1" thickBot="1" x14ac:dyDescent="0.35">
      <c r="A32" s="2" t="s">
        <v>16</v>
      </c>
      <c r="C32" s="18"/>
    </row>
    <row r="33" spans="1:9" ht="20.100000000000001" customHeight="1" thickBot="1" x14ac:dyDescent="0.35">
      <c r="A33" s="2" t="s">
        <v>14</v>
      </c>
      <c r="C33" s="18"/>
    </row>
    <row r="34" spans="1:9" ht="20.100000000000001" customHeight="1" thickBot="1" x14ac:dyDescent="0.35">
      <c r="A34" s="2" t="s">
        <v>34</v>
      </c>
      <c r="C34" s="18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175</v>
      </c>
    </row>
    <row r="213" spans="1:1" ht="20.100000000000001" customHeight="1" x14ac:dyDescent="0.3">
      <c r="A213" s="19" t="s">
        <v>102</v>
      </c>
    </row>
    <row r="214" spans="1:1" ht="20.100000000000001" customHeight="1" x14ac:dyDescent="0.3">
      <c r="A214" s="19" t="s">
        <v>103</v>
      </c>
    </row>
    <row r="215" spans="1:1" ht="20.100000000000001" customHeight="1" x14ac:dyDescent="0.3">
      <c r="A215" s="19" t="s">
        <v>104</v>
      </c>
    </row>
    <row r="216" spans="1:1" ht="20.100000000000001" customHeight="1" x14ac:dyDescent="0.3">
      <c r="A216" s="19" t="s">
        <v>105</v>
      </c>
    </row>
    <row r="217" spans="1:1" ht="20.100000000000001" customHeight="1" x14ac:dyDescent="0.3">
      <c r="A217" s="19" t="s">
        <v>106</v>
      </c>
    </row>
    <row r="218" spans="1:1" ht="20.100000000000001" customHeight="1" x14ac:dyDescent="0.3">
      <c r="A218" s="19" t="s">
        <v>107</v>
      </c>
    </row>
    <row r="219" spans="1:1" ht="20.100000000000001" customHeight="1" x14ac:dyDescent="0.3">
      <c r="A219" s="19" t="s">
        <v>108</v>
      </c>
    </row>
    <row r="220" spans="1:1" ht="20.100000000000001" customHeight="1" x14ac:dyDescent="0.3">
      <c r="A220" s="19" t="s">
        <v>109</v>
      </c>
    </row>
    <row r="221" spans="1:1" ht="20.100000000000001" customHeight="1" x14ac:dyDescent="0.3">
      <c r="A221" s="19" t="s">
        <v>110</v>
      </c>
    </row>
    <row r="222" spans="1:1" ht="20.100000000000001" customHeight="1" x14ac:dyDescent="0.3">
      <c r="A222" s="19" t="s">
        <v>111</v>
      </c>
    </row>
    <row r="223" spans="1:1" ht="20.100000000000001" customHeight="1" x14ac:dyDescent="0.3">
      <c r="A223" s="19" t="s">
        <v>112</v>
      </c>
    </row>
    <row r="224" spans="1:1" ht="20.100000000000001" customHeight="1" x14ac:dyDescent="0.3">
      <c r="A224" s="19" t="s">
        <v>176</v>
      </c>
    </row>
    <row r="225" spans="1:1" ht="20.100000000000001" customHeight="1" x14ac:dyDescent="0.3">
      <c r="A225" s="19" t="s">
        <v>113</v>
      </c>
    </row>
    <row r="226" spans="1:1" ht="20.100000000000001" customHeight="1" x14ac:dyDescent="0.3">
      <c r="A226" s="19" t="s">
        <v>114</v>
      </c>
    </row>
    <row r="227" spans="1:1" ht="20.100000000000001" customHeight="1" x14ac:dyDescent="0.3">
      <c r="A227" s="19" t="s">
        <v>115</v>
      </c>
    </row>
    <row r="228" spans="1:1" ht="20.100000000000001" customHeight="1" x14ac:dyDescent="0.3">
      <c r="A228" s="19" t="s">
        <v>116</v>
      </c>
    </row>
    <row r="229" spans="1:1" ht="20.100000000000001" customHeight="1" x14ac:dyDescent="0.3">
      <c r="A229" s="19" t="s">
        <v>117</v>
      </c>
    </row>
    <row r="230" spans="1:1" ht="20.100000000000001" customHeight="1" x14ac:dyDescent="0.3">
      <c r="A230" s="19" t="s">
        <v>118</v>
      </c>
    </row>
    <row r="231" spans="1:1" ht="20.100000000000001" customHeight="1" x14ac:dyDescent="0.3">
      <c r="A231" s="19" t="s">
        <v>119</v>
      </c>
    </row>
    <row r="232" spans="1:1" ht="20.100000000000001" customHeight="1" x14ac:dyDescent="0.3">
      <c r="A232" s="19" t="s">
        <v>120</v>
      </c>
    </row>
    <row r="233" spans="1:1" ht="20.100000000000001" customHeight="1" x14ac:dyDescent="0.3">
      <c r="A233" s="19" t="s">
        <v>121</v>
      </c>
    </row>
    <row r="234" spans="1:1" ht="20.100000000000001" customHeight="1" x14ac:dyDescent="0.3">
      <c r="A234" s="19" t="s">
        <v>122</v>
      </c>
    </row>
    <row r="235" spans="1:1" ht="20.100000000000001" customHeight="1" x14ac:dyDescent="0.3">
      <c r="A235" s="19" t="s">
        <v>123</v>
      </c>
    </row>
    <row r="236" spans="1:1" ht="20.100000000000001" customHeight="1" x14ac:dyDescent="0.3">
      <c r="A236" s="21" t="s">
        <v>124</v>
      </c>
    </row>
    <row r="237" spans="1:1" ht="20.100000000000001" customHeight="1" x14ac:dyDescent="0.3">
      <c r="A237" s="19" t="s">
        <v>125</v>
      </c>
    </row>
    <row r="238" spans="1:1" ht="20.100000000000001" customHeight="1" x14ac:dyDescent="0.3">
      <c r="A238" s="19" t="s">
        <v>126</v>
      </c>
    </row>
    <row r="239" spans="1:1" ht="20.100000000000001" customHeight="1" x14ac:dyDescent="0.3">
      <c r="A239" s="19" t="s">
        <v>127</v>
      </c>
    </row>
    <row r="240" spans="1:1" ht="20.100000000000001" customHeight="1" x14ac:dyDescent="0.3">
      <c r="A240" s="19" t="s">
        <v>128</v>
      </c>
    </row>
    <row r="241" spans="1:1" ht="20.100000000000001" customHeight="1" x14ac:dyDescent="0.3">
      <c r="A241" s="19" t="s">
        <v>129</v>
      </c>
    </row>
    <row r="242" spans="1:1" ht="20.100000000000001" customHeight="1" x14ac:dyDescent="0.3">
      <c r="A242" s="19" t="s">
        <v>130</v>
      </c>
    </row>
    <row r="243" spans="1:1" ht="20.100000000000001" customHeight="1" x14ac:dyDescent="0.3">
      <c r="A243" s="19" t="s">
        <v>131</v>
      </c>
    </row>
    <row r="244" spans="1:1" ht="20.100000000000001" customHeight="1" x14ac:dyDescent="0.3">
      <c r="A244" s="19" t="s">
        <v>132</v>
      </c>
    </row>
    <row r="245" spans="1:1" ht="20.100000000000001" customHeight="1" x14ac:dyDescent="0.3">
      <c r="A245" s="19" t="s">
        <v>133</v>
      </c>
    </row>
    <row r="246" spans="1:1" ht="20.100000000000001" customHeight="1" x14ac:dyDescent="0.3">
      <c r="A246" s="19" t="s">
        <v>134</v>
      </c>
    </row>
    <row r="247" spans="1:1" ht="20.100000000000001" customHeight="1" x14ac:dyDescent="0.3">
      <c r="A247" s="19" t="s">
        <v>135</v>
      </c>
    </row>
    <row r="248" spans="1:1" ht="20.100000000000001" customHeight="1" x14ac:dyDescent="0.3">
      <c r="A248" s="19" t="s">
        <v>126</v>
      </c>
    </row>
    <row r="249" spans="1:1" ht="20.100000000000001" customHeight="1" x14ac:dyDescent="0.3">
      <c r="A249" s="19" t="s">
        <v>136</v>
      </c>
    </row>
    <row r="250" spans="1:1" ht="20.100000000000001" customHeight="1" x14ac:dyDescent="0.3">
      <c r="A250" s="19" t="s">
        <v>137</v>
      </c>
    </row>
    <row r="251" spans="1:1" ht="20.100000000000001" customHeight="1" x14ac:dyDescent="0.3">
      <c r="A251" s="21" t="s">
        <v>138</v>
      </c>
    </row>
    <row r="252" spans="1:1" ht="20.100000000000001" customHeight="1" x14ac:dyDescent="0.3">
      <c r="A252" s="22" t="s">
        <v>139</v>
      </c>
    </row>
    <row r="253" spans="1:1" ht="20.100000000000001" customHeight="1" x14ac:dyDescent="0.3">
      <c r="A253" s="19" t="s">
        <v>140</v>
      </c>
    </row>
    <row r="254" spans="1:1" ht="20.100000000000001" customHeight="1" x14ac:dyDescent="0.3">
      <c r="A254" s="19" t="s">
        <v>141</v>
      </c>
    </row>
    <row r="255" spans="1:1" ht="20.100000000000001" customHeight="1" x14ac:dyDescent="0.3">
      <c r="A255" s="23" t="s">
        <v>142</v>
      </c>
    </row>
    <row r="256" spans="1:1" ht="20.100000000000001" customHeight="1" x14ac:dyDescent="0.3">
      <c r="A256" s="23" t="s">
        <v>143</v>
      </c>
    </row>
    <row r="257" spans="1:1" ht="20.100000000000001" customHeight="1" x14ac:dyDescent="0.3">
      <c r="A257" s="24" t="s">
        <v>144</v>
      </c>
    </row>
    <row r="258" spans="1:1" ht="20.100000000000001" customHeight="1" x14ac:dyDescent="0.3">
      <c r="A258" s="19" t="s">
        <v>145</v>
      </c>
    </row>
    <row r="259" spans="1:1" ht="20.100000000000001" customHeight="1" x14ac:dyDescent="0.3">
      <c r="A259" s="24" t="s">
        <v>146</v>
      </c>
    </row>
    <row r="260" spans="1:1" ht="20.100000000000001" customHeight="1" x14ac:dyDescent="0.3">
      <c r="A260" s="19" t="s">
        <v>147</v>
      </c>
    </row>
    <row r="261" spans="1:1" ht="20.100000000000001" customHeight="1" x14ac:dyDescent="0.3">
      <c r="A261" s="24" t="s">
        <v>148</v>
      </c>
    </row>
    <row r="262" spans="1:1" ht="20.100000000000001" customHeight="1" x14ac:dyDescent="0.3">
      <c r="A262" s="19" t="s">
        <v>149</v>
      </c>
    </row>
    <row r="263" spans="1:1" ht="20.100000000000001" customHeight="1" x14ac:dyDescent="0.3">
      <c r="A263" s="19" t="s">
        <v>150</v>
      </c>
    </row>
    <row r="264" spans="1:1" ht="20.100000000000001" customHeight="1" x14ac:dyDescent="0.3">
      <c r="A264" s="24" t="s">
        <v>151</v>
      </c>
    </row>
    <row r="265" spans="1:1" ht="20.100000000000001" customHeight="1" x14ac:dyDescent="0.3">
      <c r="A265" s="24" t="s">
        <v>152</v>
      </c>
    </row>
    <row r="266" spans="1:1" ht="20.100000000000001" customHeight="1" x14ac:dyDescent="0.3">
      <c r="A266" s="24" t="s">
        <v>153</v>
      </c>
    </row>
    <row r="267" spans="1:1" ht="20.100000000000001" customHeight="1" x14ac:dyDescent="0.3">
      <c r="A267" s="19" t="s">
        <v>154</v>
      </c>
    </row>
    <row r="268" spans="1:1" ht="20.100000000000001" customHeight="1" x14ac:dyDescent="0.3">
      <c r="A268" s="19" t="s">
        <v>155</v>
      </c>
    </row>
    <row r="269" spans="1:1" ht="20.100000000000001" customHeight="1" x14ac:dyDescent="0.3">
      <c r="A269" s="19" t="s">
        <v>156</v>
      </c>
    </row>
    <row r="270" spans="1:1" ht="20.100000000000001" customHeight="1" x14ac:dyDescent="0.3">
      <c r="A270" s="19" t="s">
        <v>157</v>
      </c>
    </row>
    <row r="271" spans="1:1" ht="20.100000000000001" customHeight="1" x14ac:dyDescent="0.3">
      <c r="A271" s="24" t="s">
        <v>158</v>
      </c>
    </row>
    <row r="272" spans="1:1" ht="20.100000000000001" customHeight="1" x14ac:dyDescent="0.3">
      <c r="A272" s="24" t="s">
        <v>159</v>
      </c>
    </row>
    <row r="273" spans="1:1" ht="20.100000000000001" customHeight="1" x14ac:dyDescent="0.3">
      <c r="A273" s="19" t="s">
        <v>160</v>
      </c>
    </row>
    <row r="274" spans="1:1" ht="20.100000000000001" customHeight="1" x14ac:dyDescent="0.3">
      <c r="A274" s="24" t="s">
        <v>161</v>
      </c>
    </row>
    <row r="275" spans="1:1" ht="20.100000000000001" customHeight="1" x14ac:dyDescent="0.3">
      <c r="A275" s="24" t="s">
        <v>162</v>
      </c>
    </row>
    <row r="276" spans="1:1" ht="20.100000000000001" customHeight="1" x14ac:dyDescent="0.3">
      <c r="A276" s="19" t="s">
        <v>163</v>
      </c>
    </row>
    <row r="277" spans="1:1" ht="20.100000000000001" customHeight="1" x14ac:dyDescent="0.3">
      <c r="A277" s="19" t="s">
        <v>164</v>
      </c>
    </row>
    <row r="278" spans="1:1" ht="20.100000000000001" customHeight="1" x14ac:dyDescent="0.3">
      <c r="A278" s="24" t="s">
        <v>165</v>
      </c>
    </row>
    <row r="279" spans="1:1" ht="20.100000000000001" customHeight="1" x14ac:dyDescent="0.3">
      <c r="A279" s="19" t="s">
        <v>166</v>
      </c>
    </row>
    <row r="280" spans="1:1" ht="20.100000000000001" customHeight="1" x14ac:dyDescent="0.3">
      <c r="A280" s="19" t="s">
        <v>167</v>
      </c>
    </row>
    <row r="281" spans="1:1" ht="20.100000000000001" customHeight="1" x14ac:dyDescent="0.3">
      <c r="A281" s="19" t="s">
        <v>168</v>
      </c>
    </row>
    <row r="282" spans="1:1" ht="20.100000000000001" customHeight="1" x14ac:dyDescent="0.3">
      <c r="A282" s="19" t="s">
        <v>169</v>
      </c>
    </row>
    <row r="283" spans="1:1" ht="20.100000000000001" customHeight="1" x14ac:dyDescent="0.3">
      <c r="A283" s="24" t="s">
        <v>170</v>
      </c>
    </row>
    <row r="284" spans="1:1" ht="20.100000000000001" customHeight="1" x14ac:dyDescent="0.3">
      <c r="A284" s="24" t="s">
        <v>171</v>
      </c>
    </row>
    <row r="285" spans="1:1" ht="20.100000000000001" customHeight="1" x14ac:dyDescent="0.3">
      <c r="A285" s="24" t="s">
        <v>172</v>
      </c>
    </row>
    <row r="286" spans="1:1" ht="20.100000000000001" customHeight="1" thickBot="1" x14ac:dyDescent="0.35">
      <c r="A286" s="19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2025-10-08T20:48:41Z</dcterms:modified>
</cp:coreProperties>
</file>