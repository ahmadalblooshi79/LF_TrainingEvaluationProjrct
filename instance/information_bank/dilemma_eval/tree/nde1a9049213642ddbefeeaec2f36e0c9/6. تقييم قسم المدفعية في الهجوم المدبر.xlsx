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70147AF-FDAD-4E05-AEE6-22F6C6AAD7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G11" i="2"/>
  <c r="H11" i="2"/>
  <c r="G10" i="2"/>
  <c r="H10" i="2"/>
  <c r="G8" i="2"/>
  <c r="H8" i="2"/>
  <c r="G9" i="2"/>
  <c r="H9" i="2"/>
  <c r="G13" i="2"/>
  <c r="H13" i="2"/>
  <c r="G14" i="2"/>
  <c r="H14" i="2"/>
  <c r="G12" i="2"/>
  <c r="H12" i="2"/>
  <c r="F15" i="2"/>
  <c r="E16" i="2"/>
  <c r="E17" i="2"/>
</calcChain>
</file>

<file path=xl/sharedStrings.xml><?xml version="1.0" encoding="utf-8"?>
<sst xmlns="http://schemas.openxmlformats.org/spreadsheetml/2006/main" count="241" uniqueCount="185">
  <si>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</si>
  <si>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</si>
  <si>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</si>
  <si>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</si>
  <si>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</si>
  <si>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</si>
  <si>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</si>
  <si>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</si>
  <si>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</si>
  <si>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</si>
  <si>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</si>
  <si>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</si>
  <si>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</si>
  <si>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</si>
  <si>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</si>
  <si>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</si>
  <si>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</si>
  <si>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</si>
  <si>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</si>
  <si>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</si>
  <si>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</si>
  <si>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</si>
  <si>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</si>
  <si>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</si>
  <si>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</si>
  <si>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</si>
  <si>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</si>
  <si>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</si>
  <si>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</si>
  <si>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</si>
  <si>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</si>
  <si>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</si>
  <si>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</si>
  <si>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</si>
  <si>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</si>
  <si>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</si>
  <si>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</si>
  <si>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</si>
  <si>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</si>
  <si>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</si>
  <si>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</si>
  <si>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</si>
  <si>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</si>
  <si>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</si>
  <si>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</si>
  <si>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</si>
  <si>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</si>
  <si>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</si>
  <si>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</si>
  <si>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</si>
  <si>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</si>
  <si>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</si>
  <si>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</si>
  <si>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</si>
  <si>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</si>
  <si>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</si>
  <si>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</si>
  <si>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</si>
  <si>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</si>
  <si>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</si>
  <si>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</si>
  <si>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</si>
  <si>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</si>
  <si>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</si>
  <si>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</si>
  <si>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</si>
  <si>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</si>
  <si>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</si>
  <si>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</si>
  <si>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</si>
  <si>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</si>
  <si>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</si>
  <si>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</si>
  <si>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</si>
  <si>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</si>
  <si>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</si>
  <si>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</si>
  <si>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</si>
  <si>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</si>
  <si>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</si>
  <si>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</si>
  <si>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</si>
  <si>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</si>
  <si>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</si>
  <si>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</si>
  <si>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</si>
  <si>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</si>
  <si>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</si>
  <si>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</si>
  <si>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</si>
  <si>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</si>
  <si>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</si>
  <si>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</si>
  <si>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</si>
  <si>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</si>
  <si>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</si>
  <si>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</si>
  <si>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</si>
  <si>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</si>
  <si>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</si>
  <si>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</si>
  <si>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</si>
  <si>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</si>
  <si>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</si>
  <si>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</si>
  <si>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</si>
  <si>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</si>
  <si>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</si>
  <si>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</si>
  <si>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</si>
  <si>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</si>
  <si>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</si>
  <si>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</si>
  <si>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</si>
  <si>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</si>
  <si>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</si>
  <si>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</si>
  <si>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</si>
  <si>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</si>
  <si>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</si>
  <si>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</si>
  <si>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</si>
  <si>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</si>
  <si>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</si>
  <si>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</si>
  <si>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</si>
  <si>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</si>
  <si>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</si>
  <si>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</si>
  <si>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</si>
  <si>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</si>
  <si>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</si>
  <si>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</si>
  <si>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</si>
  <si>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</si>
  <si>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</si>
  <si>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</si>
  <si>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</si>
  <si>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</si>
  <si>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</si>
  <si>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</si>
  <si>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</si>
  <si>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</si>
  <si>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</si>
  <si>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</si>
  <si>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</si>
  <si>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</si>
  <si>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</si>
  <si>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</si>
  <si>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</si>
  <si>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</si>
  <si>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</si>
  <si>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</si>
  <si>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</si>
  <si>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</si>
  <si>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</si>
  <si>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</si>
  <si>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</si>
  <si>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</si>
  <si>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</si>
  <si>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</si>
  <si>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</si>
  <si>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</si>
  <si>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</si>
  <si>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</si>
  <si>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</si>
  <si>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</si>
  <si>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</si>
  <si>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</si>
  <si>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</si>
  <si>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</si>
  <si>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</si>
  <si>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</si>
  <si>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</si>
  <si>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</si>
  <si>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</si>
  <si>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2.	استخدام مواقع رمي مموهه ومخفية بشكل جيد.</t>
  </si>
  <si>
    <t>3.	تنفيذ مهام الرمي باستخدام أقل حشوة وارتفاع.</t>
  </si>
  <si>
    <t>4.	التغيير المتكرر للمواقع للرماية من مواقع محضرة وغير محضرة.</t>
  </si>
  <si>
    <t>5.	رماية نيران مكثفة من أقسام متعددة.</t>
  </si>
  <si>
    <t>6.	تحويل نيران الهاون إلى مواقع عمق العدو أو مواقع إسناده عند وصول عناصر الاقتحام إلى خط البدء المحدد.</t>
  </si>
  <si>
    <t>7.	تنفيذ الاقتحام النهائي بجميع أسلحة الرمي المباشر المتوفرة من مواقع الإسناد بالنيران ومن عناصر الاقتحام.</t>
  </si>
  <si>
    <t>1.	تحضير الذخيرة، ومعايرة المدافع، وإعادة التزويد قبل بدء الهجوم.</t>
  </si>
  <si>
    <r>
      <rPr>
        <b/>
        <sz val="14"/>
        <color rgb="FF000000"/>
        <rFont val="Arial"/>
        <family val="2"/>
      </rPr>
      <t>تقييم قسم المدفعية في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</si>
  <si>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العقيد ركن/ محمد سعيد الجاري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</si>
</sst>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295592</xdr:colOff>
      <xdr:row>18</xdr:row>
      <xdr:rowOff>136073</xdr:rowOff>
    </xdr:from>
    <xdr:to>
      <xdr:col>7</xdr:col>
      <xdr:colOff>365432</xdr:colOff>
      <xdr:row>18</xdr:row>
      <xdr:rowOff>371873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477E9F4-A77E-BB99-1D79-AD9E6CBE001D}"/>
                </a:ext>
              </a:extLst>
            </xdr14:cNvPr>
            <xdr14:cNvContentPartPr/>
          </xdr14:nvContentPartPr>
          <xdr14:nvPr macro=""/>
          <xdr14:xfrm>
            <a:off x="10437348931" y="8042400"/>
            <a:ext cx="69840" cy="235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477E9F4-A77E-BB99-1D79-AD9E6CBE001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342811" y="8036280"/>
              <a:ext cx="8208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498272</xdr:colOff>
      <xdr:row>18</xdr:row>
      <xdr:rowOff>46073</xdr:rowOff>
    </xdr:from>
    <xdr:to>
      <xdr:col>7</xdr:col>
      <xdr:colOff>596552</xdr:colOff>
      <xdr:row>18</xdr:row>
      <xdr:rowOff>240473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BF5D4E7-ED33-AB61-302D-1492DEC2836B}"/>
                </a:ext>
              </a:extLst>
            </xdr14:cNvPr>
            <xdr14:cNvContentPartPr/>
          </xdr14:nvContentPartPr>
          <xdr14:nvPr macro=""/>
          <xdr14:xfrm>
            <a:off x="10437117811" y="7952400"/>
            <a:ext cx="98280" cy="1944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BF5D4E7-ED33-AB61-302D-1492DEC2836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7111691" y="7946280"/>
              <a:ext cx="11052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559112</xdr:colOff>
      <xdr:row>18</xdr:row>
      <xdr:rowOff>46073</xdr:rowOff>
    </xdr:from>
    <xdr:to>
      <xdr:col>8</xdr:col>
      <xdr:colOff>278152</xdr:colOff>
      <xdr:row>18</xdr:row>
      <xdr:rowOff>482753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EB0E08F-1150-31AF-79B8-9546C7920B2B}"/>
                </a:ext>
              </a:extLst>
            </xdr14:cNvPr>
            <xdr14:cNvContentPartPr/>
          </xdr14:nvContentPartPr>
          <xdr14:nvPr macro=""/>
          <xdr14:xfrm>
            <a:off x="10436775811" y="7952400"/>
            <a:ext cx="379440" cy="4366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EB0E08F-1150-31AF-79B8-9546C7920B2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36769691" y="7946280"/>
              <a:ext cx="391680" cy="44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392432</xdr:colOff>
      <xdr:row>17</xdr:row>
      <xdr:rowOff>346341</xdr:rowOff>
    </xdr:from>
    <xdr:to>
      <xdr:col>8</xdr:col>
      <xdr:colOff>351592</xdr:colOff>
      <xdr:row>18</xdr:row>
      <xdr:rowOff>528473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81D8167-2F5E-0661-16A7-DFCEECAB9E54}"/>
                </a:ext>
              </a:extLst>
            </xdr14:cNvPr>
            <xdr14:cNvContentPartPr/>
          </xdr14:nvContentPartPr>
          <xdr14:nvPr macro=""/>
          <xdr14:xfrm>
            <a:off x="10436702371" y="7716960"/>
            <a:ext cx="619560" cy="7178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81D8167-2F5E-0661-16A7-DFCEECAB9E5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36696251" y="7710840"/>
              <a:ext cx="631800" cy="73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461912</xdr:colOff>
      <xdr:row>18</xdr:row>
      <xdr:rowOff>551513</xdr:rowOff>
    </xdr:from>
    <xdr:to>
      <xdr:col>7</xdr:col>
      <xdr:colOff>592232</xdr:colOff>
      <xdr:row>18</xdr:row>
      <xdr:rowOff>607313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8822514-30A1-7395-DC86-E97155BEE044}"/>
                </a:ext>
              </a:extLst>
            </xdr14:cNvPr>
            <xdr14:cNvContentPartPr/>
          </xdr14:nvContentPartPr>
          <xdr14:nvPr macro=""/>
          <xdr14:xfrm>
            <a:off x="10437122131" y="8457840"/>
            <a:ext cx="130320" cy="558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8822514-30A1-7395-DC86-E97155BEE04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37116011" y="8451720"/>
              <a:ext cx="142560" cy="6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332672</xdr:colOff>
      <xdr:row>18</xdr:row>
      <xdr:rowOff>524153</xdr:rowOff>
    </xdr:from>
    <xdr:to>
      <xdr:col>7</xdr:col>
      <xdr:colOff>402152</xdr:colOff>
      <xdr:row>18</xdr:row>
      <xdr:rowOff>573113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04F6865-72B3-3662-9BD6-66F202C76252}"/>
                </a:ext>
              </a:extLst>
            </xdr14:cNvPr>
            <xdr14:cNvContentPartPr/>
          </xdr14:nvContentPartPr>
          <xdr14:nvPr macro=""/>
          <xdr14:xfrm>
            <a:off x="10437312211" y="8430480"/>
            <a:ext cx="69480" cy="489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04F6865-72B3-3662-9BD6-66F202C7625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37306091" y="8424360"/>
              <a:ext cx="81720" cy="61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9:56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0,'0'0,"0"0,0 0,0 0,0 0,0 0,0 0,0 0,0 0,17 8,-7 2,-8-8,11 6,-4 2,-7-9,15 16,2 3,-17-19,15 45,3-18,-18-25,-1 43,8-18,-7-25,-2 51,0-15,0-35,-18 49,8-14,9-35,-33 50,5-16,27-34,-31 60,4-35,26-26,-31 36,34-39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9:57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13 135,'0'0,"0"0,0-9,0 0,0 8,0-8,0-1,0 10,-12-28,12 18,0 9,0-16,0-2,0 17,0 2,0 0,0 0,0-20,0 20,0 0,12 0,-12 0,0 0,18 28,-8-19,-9-7,12 6,-3 2,-9-9,27 35,-19-17,-8-16,27 32,-18-15,-9-18,18 43,0-16,-16-26,13 50,3-15,-16-32,10 46,-3-14,-9-32,15 57,-6-34,-9-25,-4-4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9:59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909 424,'0'0,"0"0,0 0,0 0,0 0,0 0,0 0,0 0,0 0,0 0,0 0,4 27,4-17,-7-9,3 15,6 4,-9-17,-1 13,10 3,-9-16,13 41,-5-16,-8-24,1 12,7 4,-8-17,1 32,6-16,-7-16,-1 14,0 2,0-16,0 5,0 2,0-9,-13 13,8-9,-4-5,5 0,-5-8,1-2,6 9,-12-7,4-2,9 9,-14-27,7 19,7 7,-10 3,10-2,-11-13,9 9,6-14,-13 37,9-17,-2 18,-6-19,8 0,0 0,-9 0,9 0,-12 34,9-29,-5-5,1 0,7 0,-12 0,1 18,11-17,0 18,-8-19,8 0,-6 8,-11 2,15-9,-9 27,3-18,8-9,-29 7,13 2,14-9,-24 7,9 2,16-9,-39 27,23-19,15-7,-16-13,-8 21,23-9,-22 15,7 4,16-18,-12 7,-3 0,15-7,-7-2,0 0,9 0,-13 19,5-19,8 0,-13-8,4-2,8 9,-12-7,6-2,6 8,-11-14,5-3,6 16,-16-13,0-4,15 17,-12-32,-4 15,17 18,-22-15,15-2,8 16,-14-24,6 17,8 9,-11-7,2-2,9 9,-13-14,10 10,0 33,4-19,0-7,3 14,6 3,-8-16,-3 33,2-17,0-16,0 33,0-17,0-16,0 32,0-15,0-18,-11 53,11-35,0-18,-17 42,7-15,9-25,-17 13,0 2,16-16,-22 24,15-17,8-9,-22 19,23-20</inkml:trace>
  <inkml:trace contextRef="#ctx0" brushRef="#br0" timeOffset="1">534 539,'0'0,"0"0,0 0,0 0,0 0,0 0,0 0,0 0,0 0,0 0,0 0,0 0,0 0,0 0,15-8,-6-2,-7 9,29-7,-13-2,-15 9,23-7,-8-2,-15 8,29-14,-5-3,-22 16,8-24,5 17,-15 8,-8-17,5 19</inkml:trace>
  <inkml:trace contextRef="#ctx0" brushRef="#br0" timeOffset="2">691 0,'0'15,"0"-10,-2-5,-7 19,9-19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30:03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1861,'0'0,"0"0,0 0,0 0,0 0,0 0,0 0,0 0,0 0,0 0,0 0,0 0,0 0,0 0,0 0,0 0,0 0,0 0,0 0,0 0,-3 0,-7 0,10 0,-15-29,5 20,9 8,-16 12,-1-21,16 9,-29-15,13-4,16 19,-22-27,14 18,9 9,-26-36,19 18,6 17,-10-41,12-5,0 43,19-101,0 29,-17 69,61-155,-16 49,-43 103,94-185,-24 62,-65 119,113-173,-30 64,-81 110,148-140,-56 68,-91 75,147-88,-57 51,-91 43,124-23,-61 18,-65 9,76 18,-30 2,-48-16,41 41,-29-15,-17-25,11 55,-3-10,-10-43,-17 90,7-29,9-57,-64 113,18-46,42-66,-110 156,22-62,80-90,-136 161,38-62,94-97,-153 143,58-64,97-82,-135 128,57-65,80-66,-61 68,27-31,40-42,-41 30,30-17,15-16,-7 11,6-9,44-40,-12 15,-24 18,49 4,3-21,-49 16,84-40,-26 15,-56 23,86-30,-39 15,-49 18,63-26,-23 18,-41 9,29 1,-16 0,-17 0,8 8,-10 2,0-9,0 8,0 0,0-7,-12 6,12 1,0-7,-18 25,9-17,8-9,-12 8,4 0,8-7,-14 12,11-9,23-24,16 10,-7 0,-25 7,110-41,-39 14,-63 24,121-38,-39 14,-78 24,92-19,-32-5,-65 25,81-24,-45 19,-39 7,21 10,-28 2,0-9,-9 16,-9 2,15-16,-12 32,-5-15,17-17,-15 21,-10 5,24-25,-38 32,14-17,24-16,-21 25,5-19,18-7,-23 25,17-17,6-10,-26 15,19-11,5 5,-4 0,6-7,1-2,-8 0,7 0,-12 19,4-19,9 0,-12 19,4-19,8 0,-26 8,18 2,7-9,-15 19,-2-20,16 0,-13 8,-2 1,15-7,-10 6,4 2,8-9,-15-1,7 0,8 0,6 11,5-20,-9 7,-3 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30:03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1,'0'0,"0"0,0 0,0 0,0 0,0 0,0 0,0 0,0 0,0 0,0 0,0 0,0 0,0 0,0 0,-4 0,-5 0,7 0,-16 0,-2 0,17 0,-31 28,5-19,25-8,-40 27,15-18,25-9,-52 26,27-17,25-9,-22 8,6 0,18-7,-22 17,24-19,0 0,22-8,-3-2,-17 9,27-19,-10 20,-16 0,40-8,-24-1,-16 7,26-6,-10-2,-17 9,29-7,-12-2,-16 9,8 1,-1 0,-9 0,-1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30:04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0,0 0,0 0,0 0,0 0</inkml:trace>
  <inkml:trace contextRef="#ctx0" brushRef="#br0" timeOffset="1">192 135,'0'0,"0"0,0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183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8</v>
      </c>
      <c r="C2" s="65" t="s">
        <v>48</v>
      </c>
      <c r="D2" s="65"/>
      <c r="E2" s="12" t="s">
        <v>7</v>
      </c>
      <c r="F2" s="60">
        <v>45939</v>
      </c>
      <c r="G2" s="60"/>
      <c r="H2" s="60"/>
      <c r="I2" s="60"/>
      <c r="J2" s="60"/>
    </row>
    <row r="3" spans="1:10" ht="30" customHeight="1" x14ac:dyDescent="0.3">
      <c r="B3" s="12" t="s">
        <v>9</v>
      </c>
      <c r="C3" s="65" t="s">
        <v>60</v>
      </c>
      <c r="D3" s="65"/>
      <c r="E3" s="12" t="s">
        <v>6</v>
      </c>
      <c r="F3" s="65" t="s">
        <v>113</v>
      </c>
      <c r="G3" s="65"/>
      <c r="H3" s="65"/>
      <c r="I3" s="65"/>
      <c r="J3" s="65"/>
    </row>
    <row r="4" spans="1:10" ht="30" customHeight="1" thickBot="1" x14ac:dyDescent="0.35">
      <c r="B4" s="6"/>
      <c r="C4" s="82" t="s">
        <v>184</v>
      </c>
      <c r="D4" s="82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23</v>
      </c>
      <c r="H6" s="11" t="s">
        <v>24</v>
      </c>
      <c r="I6" s="70"/>
      <c r="J6" s="71"/>
    </row>
    <row r="7" spans="1:10" ht="24.9" customHeight="1" thickBot="1" x14ac:dyDescent="0.35">
      <c r="A7" s="10"/>
      <c r="B7" s="66" t="s">
        <v>21</v>
      </c>
      <c r="C7" s="67"/>
      <c r="D7" s="67"/>
      <c r="E7" s="26" t="s">
        <v>18</v>
      </c>
      <c r="F7" s="26" t="s">
        <v>19</v>
      </c>
      <c r="G7" s="26" t="s">
        <v>22</v>
      </c>
      <c r="H7" s="26" t="s">
        <v>20</v>
      </c>
      <c r="I7" s="72" t="s">
        <v>25</v>
      </c>
      <c r="J7" s="73"/>
    </row>
    <row r="8" spans="1:10" ht="39.9" customHeight="1" thickBot="1" x14ac:dyDescent="0.35">
      <c r="A8" s="10"/>
      <c r="B8" s="78" t="s">
        <v>182</v>
      </c>
      <c r="C8" s="79"/>
      <c r="D8" s="79"/>
      <c r="E8" s="30">
        <v>5</v>
      </c>
      <c r="F8" s="36">
        <v>3.75</v>
      </c>
      <c r="G8" s="31">
        <f t="shared" ref="G8:G13" si="0">IFERROR(F8/E8,"")</f>
        <v>0.75</v>
      </c>
      <c r="H8" s="32" t="str">
        <f t="shared" ref="H8:H13" si="1">_xlfn.IFS(F8="أدخل العلامة","",F8="لا ينطبق","تم الإلغاء",G8&gt;=90%,"ممتاز",G8&gt;=80%,"جيد جداً",G8&gt;=70%,"جيد",G8&gt;=60%,"مقبول",G8&lt;60%,"راسب")</f>
        <v>جيد</v>
      </c>
      <c r="I8" s="80"/>
      <c r="J8" s="81"/>
    </row>
    <row r="9" spans="1:10" ht="39.9" customHeight="1" thickBot="1" x14ac:dyDescent="0.35">
      <c r="A9" s="10"/>
      <c r="B9" s="38" t="s">
        <v>176</v>
      </c>
      <c r="C9" s="39"/>
      <c r="D9" s="39"/>
      <c r="E9" s="9">
        <v>5</v>
      </c>
      <c r="F9" s="37">
        <v>3.75</v>
      </c>
      <c r="G9" s="28">
        <f t="shared" si="0"/>
        <v>0.75</v>
      </c>
      <c r="H9" s="29" t="str">
        <f t="shared" si="1"/>
        <v>جيد</v>
      </c>
      <c r="I9" s="40"/>
      <c r="J9" s="41"/>
    </row>
    <row r="10" spans="1:10" ht="39.9" customHeight="1" thickBot="1" x14ac:dyDescent="0.35">
      <c r="A10" s="10"/>
      <c r="B10" s="38" t="s">
        <v>177</v>
      </c>
      <c r="C10" s="39"/>
      <c r="D10" s="39"/>
      <c r="E10" s="9">
        <v>5</v>
      </c>
      <c r="F10" s="37">
        <v>3.75</v>
      </c>
      <c r="G10" s="28">
        <f t="shared" si="0"/>
        <v>0.75</v>
      </c>
      <c r="H10" s="29" t="str">
        <f t="shared" si="1"/>
        <v>جيد</v>
      </c>
      <c r="I10" s="40"/>
      <c r="J10" s="41"/>
    </row>
    <row r="11" spans="1:10" ht="39.9" customHeight="1" thickBot="1" x14ac:dyDescent="0.35">
      <c r="A11" s="10"/>
      <c r="B11" s="38" t="s">
        <v>178</v>
      </c>
      <c r="C11" s="39"/>
      <c r="D11" s="39"/>
      <c r="E11" s="9">
        <v>5</v>
      </c>
      <c r="F11" s="37">
        <v>3.75</v>
      </c>
      <c r="G11" s="28">
        <f t="shared" si="0"/>
        <v>0.75</v>
      </c>
      <c r="H11" s="29" t="str">
        <f t="shared" si="1"/>
        <v>جيد</v>
      </c>
      <c r="I11" s="40"/>
      <c r="J11" s="41"/>
    </row>
    <row r="12" spans="1:10" ht="39.9" customHeight="1" thickBot="1" x14ac:dyDescent="0.35">
      <c r="A12" s="10"/>
      <c r="B12" s="38" t="s">
        <v>179</v>
      </c>
      <c r="C12" s="39"/>
      <c r="D12" s="39"/>
      <c r="E12" s="9">
        <v>5</v>
      </c>
      <c r="F12" s="37">
        <v>4.5</v>
      </c>
      <c r="G12" s="28">
        <f t="shared" si="0"/>
        <v>0.9</v>
      </c>
      <c r="H12" s="29" t="str">
        <f t="shared" si="1"/>
        <v>ممتاز</v>
      </c>
      <c r="I12" s="40"/>
      <c r="J12" s="41"/>
    </row>
    <row r="13" spans="1:10" ht="39.9" customHeight="1" thickBot="1" x14ac:dyDescent="0.35">
      <c r="A13" s="10"/>
      <c r="B13" s="38" t="s">
        <v>180</v>
      </c>
      <c r="C13" s="39"/>
      <c r="D13" s="39"/>
      <c r="E13" s="9">
        <v>5</v>
      </c>
      <c r="F13" s="37">
        <v>3.75</v>
      </c>
      <c r="G13" s="28">
        <f t="shared" si="0"/>
        <v>0.75</v>
      </c>
      <c r="H13" s="29" t="str">
        <f t="shared" si="1"/>
        <v>جيد</v>
      </c>
      <c r="I13" s="40"/>
      <c r="J13" s="41"/>
    </row>
    <row r="14" spans="1:10" ht="39.9" customHeight="1" thickBot="1" x14ac:dyDescent="0.35">
      <c r="A14" s="10"/>
      <c r="B14" s="76" t="s">
        <v>181</v>
      </c>
      <c r="C14" s="77"/>
      <c r="D14" s="77"/>
      <c r="E14" s="33">
        <v>5</v>
      </c>
      <c r="F14" s="37">
        <v>3.75</v>
      </c>
      <c r="G14" s="34">
        <f t="shared" ref="G14" si="2">IFERROR(F14/E14,"")</f>
        <v>0.75</v>
      </c>
      <c r="H14" s="35" t="str">
        <f t="shared" ref="H14" si="3">_xlfn.IFS(F14="أدخل العلامة","",F14="لا ينطبق","تم الإلغاء",G14&gt;=90%,"ممتاز",G14&gt;=80%,"جيد جداً",G14&gt;=70%,"جيد",G14&gt;=60%,"مقبول",G14&lt;60%,"راسب")</f>
        <v>جيد</v>
      </c>
      <c r="I14" s="74"/>
      <c r="J14" s="75"/>
    </row>
    <row r="15" spans="1:10" ht="30" customHeight="1" thickBot="1" x14ac:dyDescent="0.35">
      <c r="A15" s="4"/>
      <c r="B15" s="55" t="s">
        <v>5</v>
      </c>
      <c r="C15" s="56"/>
      <c r="D15" s="56"/>
      <c r="E15" s="27">
        <f>SUM(E8:E14)</f>
        <v>35</v>
      </c>
      <c r="F15" s="27">
        <f>SUM(F12:F14)</f>
        <v>12</v>
      </c>
      <c r="G15" s="44"/>
      <c r="H15" s="45"/>
      <c r="I15" s="45"/>
      <c r="J15" s="46"/>
    </row>
    <row r="16" spans="1:10" ht="30" customHeight="1" thickBot="1" x14ac:dyDescent="0.35">
      <c r="A16" s="4"/>
      <c r="B16" s="57" t="s">
        <v>54</v>
      </c>
      <c r="C16" s="58"/>
      <c r="D16" s="58"/>
      <c r="E16" s="47">
        <f>F15/E15/100*100</f>
        <v>0.34285714285714286</v>
      </c>
      <c r="F16" s="47"/>
      <c r="G16" s="47"/>
      <c r="H16" s="47"/>
      <c r="I16" s="47"/>
      <c r="J16" s="48"/>
    </row>
    <row r="17" spans="1:10" ht="30" customHeight="1" thickBot="1" x14ac:dyDescent="0.35">
      <c r="A17" s="4"/>
      <c r="B17" s="57" t="s">
        <v>55</v>
      </c>
      <c r="C17" s="58"/>
      <c r="D17" s="58"/>
      <c r="E17" s="53" t="str">
        <f>_xlfn.IFS(E16&gt;=90%,"ممتاز",E16&gt;=80%,"جيد جداً",E16&gt;=70%,"جيد",E16&gt;=60%,"مقبول",E16&lt;60%,"راسب")</f>
        <v>راسب</v>
      </c>
      <c r="F17" s="53"/>
      <c r="G17" s="53"/>
      <c r="H17" s="53"/>
      <c r="I17" s="53"/>
      <c r="J17" s="54"/>
    </row>
    <row r="18" spans="1:10" ht="42" customHeight="1" x14ac:dyDescent="0.3">
      <c r="B18" s="49" t="s">
        <v>175</v>
      </c>
      <c r="C18" s="49"/>
      <c r="D18" s="49"/>
      <c r="E18" s="42" t="s">
        <v>52</v>
      </c>
      <c r="F18" s="42"/>
      <c r="G18" s="51" t="s">
        <v>113</v>
      </c>
      <c r="H18" s="51"/>
      <c r="I18" s="51"/>
      <c r="J18" s="51"/>
    </row>
    <row r="19" spans="1:10" ht="51" customHeight="1" x14ac:dyDescent="0.3">
      <c r="A19" s="5"/>
      <c r="B19" s="50"/>
      <c r="C19" s="50"/>
      <c r="D19" s="50"/>
      <c r="E19" s="43" t="s">
        <v>53</v>
      </c>
      <c r="F19" s="43"/>
      <c r="G19" s="52"/>
      <c r="H19" s="52"/>
      <c r="I19" s="52"/>
      <c r="J19" s="52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B7:D7"/>
    <mergeCell ref="E5:H5"/>
    <mergeCell ref="I5:J6"/>
    <mergeCell ref="I7:J7"/>
    <mergeCell ref="I14:J14"/>
    <mergeCell ref="I12:J12"/>
    <mergeCell ref="I13:J13"/>
    <mergeCell ref="B12:D12"/>
    <mergeCell ref="B13:D13"/>
    <mergeCell ref="B14:D14"/>
    <mergeCell ref="B11:D11"/>
    <mergeCell ref="I11:J11"/>
    <mergeCell ref="B9:D9"/>
    <mergeCell ref="I9:J9"/>
    <mergeCell ref="B8:D8"/>
    <mergeCell ref="I8:J8"/>
    <mergeCell ref="B1:J1"/>
    <mergeCell ref="F2:J2"/>
    <mergeCell ref="B5:D6"/>
    <mergeCell ref="C2:D2"/>
    <mergeCell ref="C3:D3"/>
    <mergeCell ref="F3:J3"/>
    <mergeCell ref="C4:D4"/>
    <mergeCell ref="B10:D10"/>
    <mergeCell ref="I10:J10"/>
    <mergeCell ref="E18:F18"/>
    <mergeCell ref="E19:F19"/>
    <mergeCell ref="G15:J15"/>
    <mergeCell ref="E16:J16"/>
    <mergeCell ref="B18:D19"/>
    <mergeCell ref="G18:J18"/>
    <mergeCell ref="G19:J19"/>
    <mergeCell ref="E17:J17"/>
    <mergeCell ref="B15:D15"/>
    <mergeCell ref="B16:D16"/>
    <mergeCell ref="B17:D17"/>
  </mergeCells>
  <conditionalFormatting sqref="C2:D2">
    <cfRule type="containsText" dxfId="16" priority="46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45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85">
      <formula>$E17="راسب"</formula>
    </cfRule>
  </conditionalFormatting>
  <conditionalFormatting sqref="E17:J17">
    <cfRule type="expression" dxfId="13" priority="86">
      <formula>$E17="مقبول"</formula>
    </cfRule>
    <cfRule type="expression" dxfId="12" priority="87">
      <formula>$E17="جيد"</formula>
    </cfRule>
    <cfRule type="expression" dxfId="11" priority="88">
      <formula>$E17="جيد جداً"</formula>
    </cfRule>
    <cfRule type="expression" dxfId="10" priority="89">
      <formula>$E17="ممتاز"</formula>
    </cfRule>
  </conditionalFormatting>
  <conditionalFormatting sqref="F8:F14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47" operator="containsText" text="أدخل التاريخ">
      <formula>NOT(ISERROR(SEARCH("أدخل التاريخ",F2)))</formula>
    </cfRule>
  </conditionalFormatting>
  <conditionalFormatting sqref="F3:J3">
    <cfRule type="containsText" dxfId="7" priority="44" operator="containsText" text="أدخل أسم المحكم">
      <formula>NOT(ISERROR(SEARCH("أدخل أسم المحكم",F3)))</formula>
    </cfRule>
  </conditionalFormatting>
  <conditionalFormatting sqref="G18:J18">
    <cfRule type="containsText" dxfId="6" priority="43" operator="containsText" text="أدخل اسم المحكم">
      <formula>NOT(ISERROR(SEARCH("أدخل اسم المحكم",G18)))</formula>
    </cfRule>
  </conditionalFormatting>
  <conditionalFormatting sqref="H8:H14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G18:J18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2025-10-13T16:36:10Z</dcterms:modified>
</cp:coreProperties>
</file>