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3048381-8FC6-46A2-9387-A55F02355E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" l="1"/>
  <c r="H11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3" i="2"/>
  <c r="H33" i="2"/>
  <c r="G34" i="2"/>
  <c r="H34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F49" i="2"/>
  <c r="E49" i="2"/>
  <c r="E50" i="2"/>
  <c r="E51" i="2"/>
</calcChain>
</file>

<file path=xl/sharedStrings.xml><?xml version="1.0" encoding="utf-8"?>
<sst xmlns="http://schemas.openxmlformats.org/spreadsheetml/2006/main" count="275" uniqueCount="219">
  <si>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</si>
  <si>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</si>
  <si>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</si>
  <si>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</si>
  <si>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</si>
  <si>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</si>
  <si>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</si>
  <si>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</si>
  <si>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</si>
  <si>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</si>
  <si>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</si>
  <si>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</si>
  <si>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</si>
  <si>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</si>
  <si>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</si>
  <si>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</si>
  <si>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</si>
  <si>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</si>
  <si>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</si>
  <si>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</si>
  <si>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</si>
  <si>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</si>
  <si>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</si>
  <si>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</si>
  <si>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</si>
  <si>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</si>
  <si>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</si>
  <si>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</si>
  <si>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</si>
  <si>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</si>
  <si>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</si>
  <si>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</si>
  <si>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</si>
  <si>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</si>
  <si>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</si>
  <si>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</si>
  <si>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</si>
  <si>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</si>
  <si>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</si>
  <si>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</si>
  <si>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</si>
  <si>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</si>
  <si>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</si>
  <si>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</si>
  <si>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</si>
  <si>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</si>
  <si>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</si>
  <si>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</si>
  <si>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</si>
  <si>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</si>
  <si>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</si>
  <si>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</si>
  <si>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</si>
  <si>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</si>
  <si>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</si>
  <si>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</si>
  <si>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</si>
  <si>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</si>
  <si>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</si>
  <si>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</si>
  <si>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</si>
  <si>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</si>
  <si>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</si>
  <si>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</si>
  <si>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</si>
  <si>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</si>
  <si>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</si>
  <si>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</si>
  <si>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</si>
  <si>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</si>
  <si>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</si>
  <si>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</si>
  <si>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</si>
  <si>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</si>
  <si>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</si>
  <si>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</si>
  <si>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</si>
  <si>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</si>
  <si>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</si>
  <si>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</si>
  <si>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</si>
  <si>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</si>
  <si>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</si>
  <si>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</si>
  <si>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</si>
  <si>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</si>
  <si>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</si>
  <si>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</si>
  <si>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</si>
  <si>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</si>
  <si>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</si>
  <si>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</si>
  <si>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</si>
  <si>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</si>
  <si>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</si>
  <si>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</si>
  <si>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</si>
  <si>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</si>
  <si>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</si>
  <si>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</si>
  <si>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</si>
  <si>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</si>
  <si>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</si>
  <si>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</si>
  <si>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</si>
  <si>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</si>
  <si>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</si>
  <si>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</si>
  <si>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</si>
  <si>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</si>
  <si>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</si>
  <si>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</si>
  <si>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</si>
  <si>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</si>
  <si>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</si>
  <si>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</si>
  <si>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</si>
  <si>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</si>
  <si>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</si>
  <si>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</si>
  <si>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</si>
  <si>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</si>
  <si>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</si>
  <si>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</si>
  <si>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</si>
  <si>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</si>
  <si>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</si>
  <si>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</si>
  <si>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</si>
  <si>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</si>
  <si>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</si>
  <si>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</si>
  <si>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</si>
  <si>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</si>
  <si>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</si>
  <si>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</si>
  <si>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</si>
  <si>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</si>
  <si>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</si>
  <si>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</si>
  <si>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</si>
  <si>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</si>
  <si>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</si>
  <si>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</si>
  <si>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</si>
  <si>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</si>
  <si>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</si>
  <si>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</si>
  <si>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</si>
  <si>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</si>
  <si>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</si>
  <si>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</si>
  <si>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</si>
  <si>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</si>
  <si>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</si>
  <si>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</si>
  <si>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</si>
  <si>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</si>
  <si>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</si>
  <si>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</si>
  <si>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</si>
  <si>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</si>
  <si>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</si>
  <si>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</si>
  <si>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</si>
  <si>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</si>
  <si>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</si>
  <si>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</si>
  <si>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</si>
  <si>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</si>
  <si>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</si>
  <si>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</si>
  <si>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</si>
  <si>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</si>
  <si>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</si>
  <si>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</si>
  <si>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</si>
  <si>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التخطيط لواجب تأسيس قاعدة إسناد بالنيران بنفس الأسلوب وبنفس الإجراءات للهجوم المدبر.</t>
  </si>
  <si>
    <t>(3)   ممرات الحركة من منطقة التجمع وحتى الأهداف.</t>
  </si>
  <si>
    <t>(4)   تأشير خط البدء وخط الانفتاح المحتمل.</t>
  </si>
  <si>
    <t>(5)   تحديد المكان الأولي لتأسيس قاعدة الإسناد بالنيران (حسب أمر عمليات الكتيبة/ مجموعة القتال)</t>
  </si>
  <si>
    <t>(6)   تأشير الأماكن المحتملة لكمائن العدو على طول طرق الحركة.</t>
  </si>
  <si>
    <t>جـ.   الحصول على المعلومات الاستخبارية من المستوى الأعلى.</t>
  </si>
  <si>
    <t>إجراءات التحضير.</t>
  </si>
  <si>
    <t>ملاحظة:    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</si>
  <si>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t>أ.    أسلوب الحركة والتشكيلة حتى منطقة التشكيل.</t>
  </si>
  <si>
    <t>ب.  الحركة من منطقة التشكيل وحتى موقع تأسيس قاعدة الإسناد بالنيران.</t>
  </si>
  <si>
    <t>جـ.  العمل عند التماس مع العدو أثناء الحركة.</t>
  </si>
  <si>
    <t>د.   أسلوب تأسيس قاعدة الإسناد (موقع الفصائل والأسلحة الملحقة وأقواس المسؤولية) .</t>
  </si>
  <si>
    <t>هـ.   إجراءات السيطرة لتقديم نيران الإسناد وتحويل أو رفع النيران.</t>
  </si>
  <si>
    <t>و.   العمل عند التعرض لهجوم من قبل قوات العدو.</t>
  </si>
  <si>
    <t>إجراءات التنفيذ.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</si>
  <si>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السرية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</si>
  <si>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</si>
  <si>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</si>
  <si>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</si>
  <si>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</si>
  <si>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</si>
  <si>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</si>
  <si>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</si>
  <si>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</si>
  <si>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على تأسيس قاعدة الاسناد بالنيران مع التركيز على ما يلي:  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</si>
  <si>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</si>
  <si>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</si>
  <si>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مناسبين.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</si>
  <si>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</si>
  <si>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</si>
  <si>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على مسافة (6 – 8) كم من الحد الأمامي لمنطقة معركة العدو، تبدأ السرية بالتحول من تشكيل المسير إلى تشكيل ما قبل المعركة (خط الفتح التعبوي) (التحول من تشكيل ارتال كتائب الى ارتال سرايا).</t>
    </r>
  </si>
  <si>
    <r>
      <t>5.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قبل الوصول إلى منطقة التشكيل تنفصل السرية وتتحرك باتجاه موقع قاعدة الإسناد بالنيران، ويراعى الاستفادة من طبيعة الأرض واستخدام الدخان لحجب حركة السرية وحسب الضرورة.</t>
    </r>
  </si>
  <si>
    <r>
      <t>6.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تحتل الفصائل مواقعها حسب أوامر قائد السرية (يتم الدخول للموقع من الخلف ومراعاة عدم ظهور الآليات على الأفق). </t>
    </r>
  </si>
  <si>
    <r>
      <t>7.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التأكد من احتلال الفصائل لمواقعها بشكل صحيح وتخصيص أقواس المسؤولية وتأكيد إجراءات السيطرة على النيران.</t>
    </r>
  </si>
  <si>
    <r>
      <t>8.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الحصول على تقرير من قادة الفصائل باحتلال المواقع المخصصة لهم ضمن قاعدة الإسناد وجاهزيتهم لتقديم النيران بالأمر.</t>
    </r>
  </si>
  <si>
    <r>
      <t>9.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بالأمر، تبدأ السرية بتقديم نيران الإسناد المباشرة لباقي وحدات السرية وتعمل على إسكات قوات العدو.</t>
    </r>
  </si>
  <si>
    <r>
      <t>10.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مراقبة حركة القوات الصديقة من خط البدء وتحويل أو قطع النيران في الوقت المناسب لمنع الإصابة بالنيران الصديقة.</t>
    </r>
  </si>
  <si>
    <r>
      <t>11.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الاستمرار بتقديم الإسناد حتى تنهي القوات المقتحمة احتلال الأهداف. </t>
    </r>
  </si>
  <si>
    <r>
      <t>12.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الاستعداد للالتحاق بالكتيبة/ مجموعة القتال حسب الأوامر.</t>
    </r>
  </si>
  <si>
    <r>
      <t>13.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التثبت وإعادة التنظيم والاستعداد للعمليات المستقبلية.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</si>
  <si>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تنفيذ الهجوم السريع (تأسيس قاعدة الاسناد)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</si>
  <si>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ملازم/1 يوسف المصعبي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</si>
</sst>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6" fillId="0" borderId="4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260025</xdr:colOff>
      <xdr:row>52</xdr:row>
      <xdr:rowOff>10307</xdr:rowOff>
    </xdr:from>
    <xdr:to>
      <xdr:col>8</xdr:col>
      <xdr:colOff>161724</xdr:colOff>
      <xdr:row>52</xdr:row>
      <xdr:rowOff>578747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B23BCC3-0558-CDD1-FFDB-DD3C76BD9851}"/>
                </a:ext>
              </a:extLst>
            </xdr14:cNvPr>
            <xdr14:cNvContentPartPr/>
          </xdr14:nvContentPartPr>
          <xdr14:nvPr macro=""/>
          <xdr14:xfrm>
            <a:off x="10399083185" y="26686080"/>
            <a:ext cx="1217880" cy="568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B23BCC3-0558-CDD1-FFDB-DD3C76BD985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74185" y="26677440"/>
              <a:ext cx="1235520" cy="586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23:35.2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3276 652 12570,'0'0'0,"0"-2"1481,0-1-769,-2 1-312,2 2-400,-5-2 232,5 1-128,-2-1-32,-1 2-88,3 0 16,0 0-56,-2 3-16,0 0-64,-2 1 8,4-4 128,-15 16-160,10-2 16,-11 5 24,2 5 48,14-24 72,-16 27-40,-1 4 24,-1 5 0,-7 6 56,25-42-40,-26 49 40,-2 2-16,-9 6 40,2-1 8,35-56-72,-43 60 168,2 1 80,-1-2 104,-3-4 56,45-55-408,-46 51 440,9-5 8,-3-7-72,9-3-48,31-36-328,-30 27 248,7-6-96,2-5 8,5-12-40,16-4-120,-11 12 56,-1-12 56,7 0-248,-2-2-200,7 2 336,-9-11-576,7-3-192,-1-6 0,-2-6 32,5 26 736,-5-30-520,3-2 168,0-1 176,-1 2 119,3 31 57,-2-29 17,2 4-50,0 0 9,0 6 40,0 19-16,-2-19 8,2 6 57,0 8-33,-4-1 112,4 6-144,-3-3 24,-2 2-160,3 1-81,-3 0-207,5 0 424,-5 2-416,-6 10 88,4-8 40,-10 15 8,17-19 280,-11 14-136,-1 1 16,1-2 40,-1 0 112,12-13-32,-12 4-24,10 11 152,-12-13-72,10 3 64,4-5-120,-3 2 152,-2-2 24,1 0 64,1 0-32,3 0-208,-2 0 216,-2-1-136,4-2-56,-3-1-200,3 4 176,-2-6-280,2-5-200,0 7-56,0-9 32,0 13 504,5-4-512,-1-8 256,-2 9-8,1-1 144,-3 4 120,0-3-48,0 2 64,2 1 112,-2 0-16,0 0-112,0 3 200,-2-1-88,-1 3 8,1 8 16,2-13-136,-7 4 16,-5 11 8,3-2 40,-2 1 56,11-14-120,-12 13 184,1 0 72,-1-9 72,7 11 64,5-15-392,-14 2 448,10 1 72,-11 0-16,13-3-79,2 0-425,-11 0 440,4 0-112,-8-1 176,13-2 24,2 3-528,-11-12 512,6 7 80,-10-14-256,11 1-168,4 18-168,-11-26 104,8-5-104,1-9-8,2-10-56,0 50 64,2-58-56,12-10-48,0-7 16,1-5 80,-15 80 8,18-83-72,2 7 8,2-2-24,-1 2 0,-21 76 88,20-72-48,2-2 16,3 6-8,1 4 40,-26 64 0,23-60-16,0 10 16,-4 9-16,0 10 40,-19 31-24,14-20 0,-12 8 8,3 11 8,-1 1-128,-4 0 112,0 0-104,0 17-80,-4 4 56,-8 15 8,12-36 120,-17 47-80,-1 11 24,-5 7-48,0 8 104,23-73 0,-26 78-56,0 3-8,1-1 16,-3-1-40,28-79 88,-28 74 8,-7 0 64,2-1 8,-2-2 72,35-71-152,-37 69 168,-2-5 96,-4 0 80,-1-3 0,44-61-344,-37 57 328,-5-4-120,7-9-32,7-6-56,28-38-120,-30 33 112,7-6 16,-1-8-64,8-5 40,16-14-104,-16 3 72,11 1-48,-7-1-24,10-3-96,2 0 96,0 0-264,-5-5-136,5-12-152,0 0-128,0 17 680,5-25-576,4-7 64,-4-3 88,13-2 152,-18 37 272,15-37-208,1 0-8,4 2-16,2 0-33,-22 35 265,18-32-384,-1 3-48,-1 5-32,-2 4-48,-14 20 512,14-13-424,-5 9-32,-4 3 160,-5 1 32,0 0 264,0 0-128,0 3 152,0 9 72,0-7 128,-12 12 8,12-17-232,-12 14 288,1 2 32,-1-1-64,-1 2 40,13-17-296,-20 16 232,7-1-32,-6 0-72,5-2-64,14-13-64,-12 11 16,-1-7-16,1 0-8,9 1-24,3-5 32,-4 4-56,-1-4-56,1 0 16,-1 0-112,5 0 208,-5 0-184,5 0-16,-2 0 48,-1 0 24,3 0 128,0 0-120,-2 0 8,2 0-112,-2 4 104,2-4 120,0 4-120,-5 14 64,0-6 104,1 5 8,4-17-56,-9 19 104,4-1 40,-9 1 40,10-1 24,4-18-208,-12 17 280,9-1 40,-13-5 64,11-6 40,5-5-424,-12 2 440,10 1-24,-3-3-15,1-3-73,4 3-328,-7-12 216,-5-5-120,10-6-72,-9-7-88,11 30 64,0-38-88,-3-9-104,1-9 40,2-8-72,0 64 224,2-71-280,14-13-25,-1-4-175,0-6-8,-15 94 488,17-98-408,2-1 80,6-1 16,8 5 80,-33 95 232,35-85-184,-3 15 112,-1 13 120,-1 10-24,-30 47-24,28-37 64,-3 8-80,-3 6 160,-4 6 72,-18 17-216,16-5 200,-4 0-16,-10 3-104,3 2-88,-5 0 8,3 3-48,-3 13 112,-3-1-88,-2 8 64,5-23-40,-15 30 96,0 7 24,-1 6 112,-3 4 8,19-47-240,-21 48 280,-4 3 40,-1 3 0,-6 4-71,32-58-249,-33 60 320,-4 3-96,-3-2 40,-3-2 128,43-59-392,-43 59 312,-2-1-64,-6 0 0,0-1-24,51-57-224,-52 57 160,-3 0-24,-4-2-24,-1-1-40,60-54-72,-58 50 72,6-9 72,6-7-24,8-8-120,38-26 0,-30 19 128,9-8-24,9-8-24,8 0-80,4-3 0,-3 0-128,3 0-224,0-2-56,3-2 56,-3 4 352,14-14-368,-2 1 160,4-3 72,2 1 64,-18 15 72,22-17-80,-2 1 16,1 0-72,1 1 8,-22 15 128,20-13-192,-1-1-136,-3 2-88,-5 7-97,-11 5 513,12-13-352,-9 10 136,4-1 184,-7-1 320,0 5-288,0-5 264,-7 0 56,-8 0 41,4 1-97,11 4-264,-23-5 224,-5 2-16,-4 2 0,-10 1-56,42 0-152,-45 4 136,-6 10 0,-7-2-48,-5 3 112,63-15-200,-66 18 272,-1 0 32,-1 3 48,-4 2-88,72-23-264,-70 27 208,-2-1 8,0 1 0,2 1-16,70-28-200,-68 27 232,10 0-16,10-1-72,5-6 48,43-20-192,-30 17 145,9-5-33,9-7-104,12-1-177,0-4 169,3 3-272,17 0-32,3 0 80,15-3 152,-38 0 72,52-3-24,13-14 40,14-8 16,5-6-8,-84 31-24,100-37 96,9-5 80,8-7 56,18-2 40,-135 51-272,145-58 353,11-6 39,4-6-8,3-5-8,-163 75-376,171-77 368,-1-3-64,3-1-128,-6 2-8,-167 79-168,154-80 0,-12 3 16,-14 2 48,-9 1-40,-119 74-24,104-69 48,-15 2-48,-17 4 0,-18 8-8,-54 55 8,37-49 8,-16 12-16,-19 9 48,-2 5-40,0 23 0,-23-18-80,-9 4-64,-17 8-56,-19 2 56,68 4 144,-75 0-40,-13 11 120,-13 12-32,-10 9-24,111-32-24,-123 43 16,-11 10-80,-7 9 88,-11 8-32,152-70 8,-153 75-56,4 1-80,4 2-144,12-4-64,133-74 344,-125 72-408,17-2-96,7-3-369,20-2-463,81-65 1336,-67 63-2480,11-2-3386,14-7 65,42-54 5801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3"/>
  <sheetViews>
    <sheetView rightToLeft="1" tabSelected="1" view="pageBreakPreview" topLeftCell="C1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1" t="s">
        <v>217</v>
      </c>
      <c r="C1" s="41"/>
      <c r="D1" s="41"/>
      <c r="E1" s="41"/>
      <c r="F1" s="41"/>
      <c r="G1" s="41"/>
      <c r="H1" s="41"/>
      <c r="I1" s="41"/>
      <c r="J1" s="41"/>
    </row>
    <row r="2" spans="1:10" ht="30" customHeight="1" x14ac:dyDescent="0.3">
      <c r="B2" s="12" t="s">
        <v>8</v>
      </c>
      <c r="C2" s="47" t="s">
        <v>37</v>
      </c>
      <c r="D2" s="47"/>
      <c r="E2" s="12" t="s">
        <v>7</v>
      </c>
      <c r="F2" s="42">
        <v>45957</v>
      </c>
      <c r="G2" s="42"/>
      <c r="H2" s="42"/>
      <c r="I2" s="42"/>
      <c r="J2" s="42"/>
    </row>
    <row r="3" spans="1:10" ht="30" customHeight="1" x14ac:dyDescent="0.3">
      <c r="B3" s="12" t="s">
        <v>9</v>
      </c>
      <c r="C3" s="47" t="s">
        <v>60</v>
      </c>
      <c r="D3" s="47"/>
      <c r="E3" s="12" t="s">
        <v>6</v>
      </c>
      <c r="F3" s="47" t="s">
        <v>142</v>
      </c>
      <c r="G3" s="47"/>
      <c r="H3" s="47"/>
      <c r="I3" s="47"/>
      <c r="J3" s="47"/>
    </row>
    <row r="4" spans="1:10" ht="30" customHeight="1" thickBot="1" x14ac:dyDescent="0.35">
      <c r="B4" s="6"/>
      <c r="C4" s="7"/>
      <c r="D4" s="7" t="s">
        <v>218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3" t="s">
        <v>0</v>
      </c>
      <c r="C5" s="44"/>
      <c r="D5" s="44"/>
      <c r="E5" s="54" t="s">
        <v>1</v>
      </c>
      <c r="F5" s="54"/>
      <c r="G5" s="54"/>
      <c r="H5" s="54"/>
      <c r="I5" s="54" t="s">
        <v>2</v>
      </c>
      <c r="J5" s="55"/>
    </row>
    <row r="6" spans="1:10" ht="24.9" customHeight="1" thickBot="1" x14ac:dyDescent="0.35">
      <c r="A6" s="10"/>
      <c r="B6" s="45"/>
      <c r="C6" s="46"/>
      <c r="D6" s="46"/>
      <c r="E6" s="11" t="s">
        <v>3</v>
      </c>
      <c r="F6" s="11" t="s">
        <v>4</v>
      </c>
      <c r="G6" s="11" t="s">
        <v>23</v>
      </c>
      <c r="H6" s="11" t="s">
        <v>24</v>
      </c>
      <c r="I6" s="56"/>
      <c r="J6" s="57"/>
    </row>
    <row r="7" spans="1:10" ht="24.9" customHeight="1" thickBot="1" x14ac:dyDescent="0.35">
      <c r="A7" s="10"/>
      <c r="B7" s="50" t="s">
        <v>21</v>
      </c>
      <c r="C7" s="51"/>
      <c r="D7" s="51"/>
      <c r="E7" s="28" t="s">
        <v>18</v>
      </c>
      <c r="F7" s="28" t="s">
        <v>19</v>
      </c>
      <c r="G7" s="28" t="s">
        <v>22</v>
      </c>
      <c r="H7" s="28" t="s">
        <v>20</v>
      </c>
      <c r="I7" s="58" t="s">
        <v>25</v>
      </c>
      <c r="J7" s="59"/>
    </row>
    <row r="8" spans="1:10" ht="39.9" customHeight="1" x14ac:dyDescent="0.3">
      <c r="A8" s="10"/>
      <c r="B8" s="83" t="s">
        <v>176</v>
      </c>
      <c r="C8" s="84"/>
      <c r="D8" s="84"/>
      <c r="E8" s="38"/>
      <c r="F8" s="32"/>
      <c r="G8" s="33"/>
      <c r="H8" s="34"/>
      <c r="I8" s="62"/>
      <c r="J8" s="63"/>
    </row>
    <row r="9" spans="1:10" ht="39.9" customHeight="1" x14ac:dyDescent="0.3">
      <c r="A9" s="10"/>
      <c r="B9" s="75" t="s">
        <v>177</v>
      </c>
      <c r="C9" s="76"/>
      <c r="D9" s="76"/>
      <c r="E9" s="9"/>
      <c r="F9" s="26"/>
      <c r="G9" s="30"/>
      <c r="H9" s="31"/>
      <c r="I9" s="52"/>
      <c r="J9" s="53"/>
    </row>
    <row r="10" spans="1:10" ht="39.9" customHeight="1" x14ac:dyDescent="0.3">
      <c r="A10" s="10"/>
      <c r="B10" s="85" t="s">
        <v>192</v>
      </c>
      <c r="C10" s="86"/>
      <c r="D10" s="86"/>
      <c r="E10" s="39"/>
      <c r="F10" s="26"/>
      <c r="G10" s="30"/>
      <c r="H10" s="31"/>
      <c r="I10" s="52"/>
      <c r="J10" s="53"/>
    </row>
    <row r="11" spans="1:10" ht="58.5" customHeight="1" x14ac:dyDescent="0.3">
      <c r="A11" s="10"/>
      <c r="B11" s="87" t="s">
        <v>193</v>
      </c>
      <c r="C11" s="88"/>
      <c r="D11" s="88"/>
      <c r="E11" s="9">
        <v>5</v>
      </c>
      <c r="F11" s="26">
        <v>3.75</v>
      </c>
      <c r="G11" s="30">
        <f t="shared" ref="G11:G48" si="0">IFERROR(F11/E11,"")</f>
        <v>0.75</v>
      </c>
      <c r="H11" s="31" t="str">
        <f t="shared" ref="H11:H48" si="1">_xlfn.IFS(F11="أدخل العلامة","",F11="لا ينطبق","تم الإلغاء",G11&gt;=90%,"ممتاز",G11&gt;=80%,"جيد جداً",G11&gt;=70%,"جيد",G11&gt;=60%,"مقبول",G11&lt;60%,"راسب")</f>
        <v>جيد</v>
      </c>
      <c r="I11" s="52"/>
      <c r="J11" s="53"/>
    </row>
    <row r="12" spans="1:10" ht="39.9" customHeight="1" x14ac:dyDescent="0.3">
      <c r="A12" s="10"/>
      <c r="B12" s="87" t="s">
        <v>194</v>
      </c>
      <c r="C12" s="88"/>
      <c r="D12" s="88"/>
      <c r="E12" s="39"/>
      <c r="F12" s="26"/>
      <c r="G12" s="30"/>
      <c r="H12" s="31"/>
      <c r="I12" s="52"/>
      <c r="J12" s="53"/>
    </row>
    <row r="13" spans="1:10" ht="39.9" customHeight="1" x14ac:dyDescent="0.3">
      <c r="A13" s="10"/>
      <c r="B13" s="89" t="s">
        <v>195</v>
      </c>
      <c r="C13" s="90"/>
      <c r="D13" s="90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52"/>
      <c r="J13" s="53"/>
    </row>
    <row r="14" spans="1:10" ht="39.9" customHeight="1" x14ac:dyDescent="0.3">
      <c r="A14" s="10"/>
      <c r="B14" s="89" t="s">
        <v>196</v>
      </c>
      <c r="C14" s="90"/>
      <c r="D14" s="90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52"/>
      <c r="J14" s="53"/>
    </row>
    <row r="15" spans="1:10" ht="39.9" customHeight="1" x14ac:dyDescent="0.3">
      <c r="A15" s="10"/>
      <c r="B15" s="89" t="s">
        <v>178</v>
      </c>
      <c r="C15" s="90"/>
      <c r="D15" s="9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52"/>
      <c r="J15" s="53"/>
    </row>
    <row r="16" spans="1:10" ht="39.9" customHeight="1" x14ac:dyDescent="0.3">
      <c r="A16" s="10"/>
      <c r="B16" s="89" t="s">
        <v>179</v>
      </c>
      <c r="C16" s="90"/>
      <c r="D16" s="90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52"/>
      <c r="J16" s="53"/>
    </row>
    <row r="17" spans="1:10" ht="39.9" customHeight="1" x14ac:dyDescent="0.3">
      <c r="A17" s="10"/>
      <c r="B17" s="89" t="s">
        <v>180</v>
      </c>
      <c r="C17" s="90"/>
      <c r="D17" s="90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52"/>
      <c r="J17" s="53"/>
    </row>
    <row r="18" spans="1:10" ht="39.9" customHeight="1" x14ac:dyDescent="0.3">
      <c r="A18" s="10"/>
      <c r="B18" s="89" t="s">
        <v>181</v>
      </c>
      <c r="C18" s="90"/>
      <c r="D18" s="90"/>
      <c r="E18" s="9"/>
      <c r="F18" s="26"/>
      <c r="G18" s="30"/>
      <c r="H18" s="31"/>
      <c r="I18" s="52"/>
      <c r="J18" s="53"/>
    </row>
    <row r="19" spans="1:10" ht="39.9" customHeight="1" x14ac:dyDescent="0.3">
      <c r="A19" s="10"/>
      <c r="B19" s="87" t="s">
        <v>182</v>
      </c>
      <c r="C19" s="88"/>
      <c r="D19" s="88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52"/>
      <c r="J19" s="53"/>
    </row>
    <row r="20" spans="1:10" ht="60" customHeight="1" thickBot="1" x14ac:dyDescent="0.35">
      <c r="A20" s="10"/>
      <c r="B20" s="91" t="s">
        <v>197</v>
      </c>
      <c r="C20" s="92"/>
      <c r="D20" s="92"/>
      <c r="E20" s="40">
        <v>5</v>
      </c>
      <c r="F20" s="27">
        <v>3.5</v>
      </c>
      <c r="G20" s="36">
        <f t="shared" si="0"/>
        <v>0.7</v>
      </c>
      <c r="H20" s="37" t="str">
        <f t="shared" si="1"/>
        <v>جيد</v>
      </c>
      <c r="I20" s="60"/>
      <c r="J20" s="61"/>
    </row>
    <row r="21" spans="1:10" ht="39.9" customHeight="1" x14ac:dyDescent="0.3">
      <c r="A21" s="10"/>
      <c r="B21" s="83" t="s">
        <v>183</v>
      </c>
      <c r="C21" s="84"/>
      <c r="D21" s="84"/>
      <c r="E21" s="38"/>
      <c r="F21" s="32"/>
      <c r="G21" s="33"/>
      <c r="H21" s="34"/>
      <c r="I21" s="62"/>
      <c r="J21" s="63"/>
    </row>
    <row r="22" spans="1:10" ht="60" customHeight="1" x14ac:dyDescent="0.3">
      <c r="A22" s="10"/>
      <c r="B22" s="75" t="s">
        <v>184</v>
      </c>
      <c r="C22" s="76"/>
      <c r="D22" s="76"/>
      <c r="E22" s="9"/>
      <c r="F22" s="26"/>
      <c r="G22" s="30"/>
      <c r="H22" s="31"/>
      <c r="I22" s="52"/>
      <c r="J22" s="53"/>
    </row>
    <row r="23" spans="1:10" ht="39.9" customHeight="1" x14ac:dyDescent="0.3">
      <c r="A23" s="10"/>
      <c r="B23" s="75" t="s">
        <v>198</v>
      </c>
      <c r="C23" s="76"/>
      <c r="D23" s="76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52"/>
      <c r="J23" s="53"/>
    </row>
    <row r="24" spans="1:10" ht="39.9" customHeight="1" x14ac:dyDescent="0.3">
      <c r="A24" s="10"/>
      <c r="B24" s="75" t="s">
        <v>199</v>
      </c>
      <c r="C24" s="76"/>
      <c r="D24" s="76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52"/>
      <c r="J24" s="53"/>
    </row>
    <row r="25" spans="1:10" ht="39.9" customHeight="1" x14ac:dyDescent="0.3">
      <c r="A25" s="10"/>
      <c r="B25" s="75" t="s">
        <v>200</v>
      </c>
      <c r="C25" s="76"/>
      <c r="D25" s="76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52"/>
      <c r="J25" s="53"/>
    </row>
    <row r="26" spans="1:10" ht="39.9" customHeight="1" x14ac:dyDescent="0.3">
      <c r="A26" s="10"/>
      <c r="B26" s="85" t="s">
        <v>201</v>
      </c>
      <c r="C26" s="86"/>
      <c r="D26" s="86"/>
      <c r="E26" s="39"/>
      <c r="F26" s="26"/>
      <c r="G26" s="30"/>
      <c r="H26" s="31"/>
      <c r="I26" s="52"/>
      <c r="J26" s="53"/>
    </row>
    <row r="27" spans="1:10" ht="39.9" customHeight="1" x14ac:dyDescent="0.3">
      <c r="A27" s="10"/>
      <c r="B27" s="87" t="s">
        <v>185</v>
      </c>
      <c r="C27" s="88"/>
      <c r="D27" s="88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52"/>
      <c r="J27" s="53"/>
    </row>
    <row r="28" spans="1:10" ht="39.9" customHeight="1" x14ac:dyDescent="0.3">
      <c r="A28" s="10"/>
      <c r="B28" s="87" t="s">
        <v>186</v>
      </c>
      <c r="C28" s="88"/>
      <c r="D28" s="88"/>
      <c r="E28" s="9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52"/>
      <c r="J28" s="53"/>
    </row>
    <row r="29" spans="1:10" ht="39.9" customHeight="1" x14ac:dyDescent="0.3">
      <c r="A29" s="10"/>
      <c r="B29" s="87" t="s">
        <v>187</v>
      </c>
      <c r="C29" s="88"/>
      <c r="D29" s="88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52"/>
      <c r="J29" s="53"/>
    </row>
    <row r="30" spans="1:10" ht="39.9" customHeight="1" x14ac:dyDescent="0.3">
      <c r="A30" s="10"/>
      <c r="B30" s="87" t="s">
        <v>188</v>
      </c>
      <c r="C30" s="88"/>
      <c r="D30" s="88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52"/>
      <c r="J30" s="53"/>
    </row>
    <row r="31" spans="1:10" ht="39.9" customHeight="1" x14ac:dyDescent="0.3">
      <c r="A31" s="10"/>
      <c r="B31" s="87" t="s">
        <v>189</v>
      </c>
      <c r="C31" s="88"/>
      <c r="D31" s="88"/>
      <c r="E31" s="9"/>
      <c r="F31" s="26"/>
      <c r="G31" s="30"/>
      <c r="H31" s="31"/>
      <c r="I31" s="52"/>
      <c r="J31" s="53"/>
    </row>
    <row r="32" spans="1:10" ht="39.9" customHeight="1" x14ac:dyDescent="0.3">
      <c r="A32" s="10"/>
      <c r="B32" s="87" t="s">
        <v>190</v>
      </c>
      <c r="C32" s="88"/>
      <c r="D32" s="88"/>
      <c r="E32" s="9"/>
      <c r="F32" s="26"/>
      <c r="G32" s="30"/>
      <c r="H32" s="31"/>
      <c r="I32" s="52"/>
      <c r="J32" s="53"/>
    </row>
    <row r="33" spans="1:10" ht="39.9" customHeight="1" x14ac:dyDescent="0.3">
      <c r="A33" s="10"/>
      <c r="B33" s="85" t="s">
        <v>202</v>
      </c>
      <c r="C33" s="86"/>
      <c r="D33" s="86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52"/>
      <c r="J33" s="53"/>
    </row>
    <row r="34" spans="1:10" ht="39.9" customHeight="1" thickBot="1" x14ac:dyDescent="0.35">
      <c r="A34" s="10"/>
      <c r="B34" s="91" t="s">
        <v>203</v>
      </c>
      <c r="C34" s="92"/>
      <c r="D34" s="92"/>
      <c r="E34" s="35">
        <v>5</v>
      </c>
      <c r="F34" s="27">
        <v>3.75</v>
      </c>
      <c r="G34" s="36">
        <f t="shared" si="0"/>
        <v>0.75</v>
      </c>
      <c r="H34" s="37" t="str">
        <f t="shared" si="1"/>
        <v>جيد</v>
      </c>
      <c r="I34" s="60"/>
      <c r="J34" s="61"/>
    </row>
    <row r="35" spans="1:10" ht="39.9" customHeight="1" x14ac:dyDescent="0.3">
      <c r="A35" s="10"/>
      <c r="B35" s="83" t="s">
        <v>191</v>
      </c>
      <c r="C35" s="84"/>
      <c r="D35" s="84"/>
      <c r="E35" s="38"/>
      <c r="F35" s="32"/>
      <c r="G35" s="33"/>
      <c r="H35" s="34"/>
      <c r="I35" s="62"/>
      <c r="J35" s="63"/>
    </row>
    <row r="36" spans="1:10" ht="39.9" customHeight="1" x14ac:dyDescent="0.3">
      <c r="A36" s="10"/>
      <c r="B36" s="75" t="s">
        <v>204</v>
      </c>
      <c r="C36" s="76"/>
      <c r="D36" s="76"/>
      <c r="E36" s="9">
        <v>5</v>
      </c>
      <c r="F36" s="26">
        <v>3.5</v>
      </c>
      <c r="G36" s="30">
        <f t="shared" si="0"/>
        <v>0.7</v>
      </c>
      <c r="H36" s="31" t="str">
        <f t="shared" si="1"/>
        <v>جيد</v>
      </c>
      <c r="I36" s="52"/>
      <c r="J36" s="53"/>
    </row>
    <row r="37" spans="1:10" ht="60" customHeight="1" x14ac:dyDescent="0.3">
      <c r="A37" s="10"/>
      <c r="B37" s="75" t="s">
        <v>205</v>
      </c>
      <c r="C37" s="76"/>
      <c r="D37" s="76"/>
      <c r="E37" s="9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52"/>
      <c r="J37" s="53"/>
    </row>
    <row r="38" spans="1:10" ht="39.9" customHeight="1" x14ac:dyDescent="0.3">
      <c r="A38" s="10"/>
      <c r="B38" s="75" t="s">
        <v>206</v>
      </c>
      <c r="C38" s="76"/>
      <c r="D38" s="76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52"/>
      <c r="J38" s="53"/>
    </row>
    <row r="39" spans="1:10" ht="60" customHeight="1" x14ac:dyDescent="0.3">
      <c r="A39" s="10"/>
      <c r="B39" s="75" t="s">
        <v>207</v>
      </c>
      <c r="C39" s="76"/>
      <c r="D39" s="76"/>
      <c r="E39" s="9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52"/>
      <c r="J39" s="53"/>
    </row>
    <row r="40" spans="1:10" ht="60" customHeight="1" x14ac:dyDescent="0.3">
      <c r="A40" s="10"/>
      <c r="B40" s="75" t="s">
        <v>208</v>
      </c>
      <c r="C40" s="76"/>
      <c r="D40" s="76"/>
      <c r="E40" s="9">
        <v>5</v>
      </c>
      <c r="F40" s="26">
        <v>3.5</v>
      </c>
      <c r="G40" s="30">
        <f t="shared" si="0"/>
        <v>0.7</v>
      </c>
      <c r="H40" s="31" t="str">
        <f t="shared" si="1"/>
        <v>جيد</v>
      </c>
      <c r="I40" s="52"/>
      <c r="J40" s="53"/>
    </row>
    <row r="41" spans="1:10" ht="39.9" customHeight="1" x14ac:dyDescent="0.3">
      <c r="A41" s="10"/>
      <c r="B41" s="75" t="s">
        <v>209</v>
      </c>
      <c r="C41" s="76"/>
      <c r="D41" s="76"/>
      <c r="E41" s="9">
        <v>5</v>
      </c>
      <c r="F41" s="26">
        <v>3.75</v>
      </c>
      <c r="G41" s="30">
        <f t="shared" si="0"/>
        <v>0.75</v>
      </c>
      <c r="H41" s="31" t="str">
        <f t="shared" si="1"/>
        <v>جيد</v>
      </c>
      <c r="I41" s="52"/>
      <c r="J41" s="53"/>
    </row>
    <row r="42" spans="1:10" ht="39.9" customHeight="1" x14ac:dyDescent="0.3">
      <c r="A42" s="10"/>
      <c r="B42" s="75" t="s">
        <v>210</v>
      </c>
      <c r="C42" s="76"/>
      <c r="D42" s="76"/>
      <c r="E42" s="9">
        <v>5</v>
      </c>
      <c r="F42" s="26">
        <v>3.5</v>
      </c>
      <c r="G42" s="30">
        <f t="shared" si="0"/>
        <v>0.7</v>
      </c>
      <c r="H42" s="31" t="str">
        <f t="shared" si="1"/>
        <v>جيد</v>
      </c>
      <c r="I42" s="52"/>
      <c r="J42" s="53"/>
    </row>
    <row r="43" spans="1:10" ht="39.9" customHeight="1" x14ac:dyDescent="0.3">
      <c r="A43" s="10"/>
      <c r="B43" s="75" t="s">
        <v>211</v>
      </c>
      <c r="C43" s="76"/>
      <c r="D43" s="76"/>
      <c r="E43" s="9">
        <v>5</v>
      </c>
      <c r="F43" s="26">
        <v>3.5</v>
      </c>
      <c r="G43" s="30">
        <f t="shared" si="0"/>
        <v>0.7</v>
      </c>
      <c r="H43" s="31" t="str">
        <f t="shared" si="1"/>
        <v>جيد</v>
      </c>
      <c r="I43" s="52"/>
      <c r="J43" s="53"/>
    </row>
    <row r="44" spans="1:10" ht="39.9" customHeight="1" x14ac:dyDescent="0.3">
      <c r="A44" s="10"/>
      <c r="B44" s="75" t="s">
        <v>212</v>
      </c>
      <c r="C44" s="76"/>
      <c r="D44" s="76"/>
      <c r="E44" s="9">
        <v>5</v>
      </c>
      <c r="F44" s="26">
        <v>3.75</v>
      </c>
      <c r="G44" s="30">
        <f t="shared" si="0"/>
        <v>0.75</v>
      </c>
      <c r="H44" s="31" t="str">
        <f t="shared" si="1"/>
        <v>جيد</v>
      </c>
      <c r="I44" s="52"/>
      <c r="J44" s="53"/>
    </row>
    <row r="45" spans="1:10" ht="39.9" customHeight="1" x14ac:dyDescent="0.3">
      <c r="A45" s="10"/>
      <c r="B45" s="75" t="s">
        <v>213</v>
      </c>
      <c r="C45" s="76"/>
      <c r="D45" s="76"/>
      <c r="E45" s="9">
        <v>5</v>
      </c>
      <c r="F45" s="26">
        <v>3.75</v>
      </c>
      <c r="G45" s="30">
        <f t="shared" si="0"/>
        <v>0.75</v>
      </c>
      <c r="H45" s="31" t="str">
        <f t="shared" si="1"/>
        <v>جيد</v>
      </c>
      <c r="I45" s="52"/>
      <c r="J45" s="53"/>
    </row>
    <row r="46" spans="1:10" ht="39.9" customHeight="1" x14ac:dyDescent="0.3">
      <c r="A46" s="10"/>
      <c r="B46" s="75" t="s">
        <v>214</v>
      </c>
      <c r="C46" s="76"/>
      <c r="D46" s="76"/>
      <c r="E46" s="9">
        <v>5</v>
      </c>
      <c r="F46" s="26">
        <v>3.75</v>
      </c>
      <c r="G46" s="30">
        <f t="shared" si="0"/>
        <v>0.75</v>
      </c>
      <c r="H46" s="31" t="str">
        <f t="shared" si="1"/>
        <v>جيد</v>
      </c>
      <c r="I46" s="52"/>
      <c r="J46" s="53"/>
    </row>
    <row r="47" spans="1:10" ht="39.9" customHeight="1" x14ac:dyDescent="0.3">
      <c r="A47" s="10"/>
      <c r="B47" s="75" t="s">
        <v>215</v>
      </c>
      <c r="C47" s="76"/>
      <c r="D47" s="76"/>
      <c r="E47" s="9">
        <v>5</v>
      </c>
      <c r="F47" s="26">
        <v>3.75</v>
      </c>
      <c r="G47" s="30">
        <f t="shared" si="0"/>
        <v>0.75</v>
      </c>
      <c r="H47" s="31" t="str">
        <f t="shared" si="1"/>
        <v>جيد</v>
      </c>
      <c r="I47" s="52"/>
      <c r="J47" s="53"/>
    </row>
    <row r="48" spans="1:10" ht="39.9" customHeight="1" thickBot="1" x14ac:dyDescent="0.35">
      <c r="A48" s="10"/>
      <c r="B48" s="77" t="s">
        <v>216</v>
      </c>
      <c r="C48" s="78"/>
      <c r="D48" s="78"/>
      <c r="E48" s="35">
        <v>5</v>
      </c>
      <c r="F48" s="27">
        <v>3.75</v>
      </c>
      <c r="G48" s="36">
        <f t="shared" si="0"/>
        <v>0.75</v>
      </c>
      <c r="H48" s="37" t="str">
        <f t="shared" si="1"/>
        <v>جيد</v>
      </c>
      <c r="I48" s="60"/>
      <c r="J48" s="61"/>
    </row>
    <row r="49" spans="1:10" ht="30" customHeight="1" thickBot="1" x14ac:dyDescent="0.35">
      <c r="A49" s="4"/>
      <c r="B49" s="79" t="s">
        <v>5</v>
      </c>
      <c r="C49" s="80"/>
      <c r="D49" s="80"/>
      <c r="E49" s="29">
        <f>SUM(E8:E48)</f>
        <v>150</v>
      </c>
      <c r="F49" s="29">
        <f>SUM(F8:F48)</f>
        <v>109.75</v>
      </c>
      <c r="G49" s="72"/>
      <c r="H49" s="73"/>
      <c r="I49" s="73"/>
      <c r="J49" s="74"/>
    </row>
    <row r="50" spans="1:10" ht="30" customHeight="1" thickBot="1" x14ac:dyDescent="0.35">
      <c r="A50" s="4"/>
      <c r="B50" s="81" t="s">
        <v>54</v>
      </c>
      <c r="C50" s="82"/>
      <c r="D50" s="82"/>
      <c r="E50" s="48">
        <f>F49/E49/100*100</f>
        <v>0.73166666666666669</v>
      </c>
      <c r="F50" s="48"/>
      <c r="G50" s="48"/>
      <c r="H50" s="48"/>
      <c r="I50" s="48"/>
      <c r="J50" s="49"/>
    </row>
    <row r="51" spans="1:10" ht="30" customHeight="1" thickBot="1" x14ac:dyDescent="0.35">
      <c r="A51" s="4"/>
      <c r="B51" s="81" t="s">
        <v>55</v>
      </c>
      <c r="C51" s="82"/>
      <c r="D51" s="82"/>
      <c r="E51" s="68" t="str">
        <f>_xlfn.IFS(E50&gt;=90%,"ممتاز",E50&gt;=80%,"جيد جداً",E50&gt;=70%,"جيد",E50&gt;=60%,"مقبول",E50&lt;60%,"راسب")</f>
        <v>جيد</v>
      </c>
      <c r="F51" s="68"/>
      <c r="G51" s="68"/>
      <c r="H51" s="68"/>
      <c r="I51" s="68"/>
      <c r="J51" s="69"/>
    </row>
    <row r="52" spans="1:10" ht="42" customHeight="1" x14ac:dyDescent="0.3">
      <c r="B52" s="64" t="s">
        <v>175</v>
      </c>
      <c r="C52" s="64"/>
      <c r="D52" s="64"/>
      <c r="E52" s="70" t="s">
        <v>52</v>
      </c>
      <c r="F52" s="70"/>
      <c r="G52" s="66" t="s">
        <v>142</v>
      </c>
      <c r="H52" s="66"/>
      <c r="I52" s="66"/>
      <c r="J52" s="66"/>
    </row>
    <row r="53" spans="1:10" ht="51" customHeight="1" x14ac:dyDescent="0.3">
      <c r="A53" s="5"/>
      <c r="B53" s="65"/>
      <c r="C53" s="65"/>
      <c r="D53" s="65"/>
      <c r="E53" s="71" t="s">
        <v>53</v>
      </c>
      <c r="F53" s="71"/>
      <c r="G53" s="67"/>
      <c r="H53" s="67"/>
      <c r="I53" s="67"/>
      <c r="J53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3"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49:D49"/>
    <mergeCell ref="B50:D50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2:D53"/>
    <mergeCell ref="G52:J52"/>
    <mergeCell ref="G53:J53"/>
    <mergeCell ref="E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E52:F52"/>
    <mergeCell ref="E53:F53"/>
    <mergeCell ref="G49:J49"/>
    <mergeCell ref="B46:D46"/>
    <mergeCell ref="B47:D47"/>
    <mergeCell ref="B48:D48"/>
    <mergeCell ref="B1:J1"/>
    <mergeCell ref="F2:J2"/>
    <mergeCell ref="B5:D6"/>
    <mergeCell ref="C2:D2"/>
    <mergeCell ref="C3:D3"/>
    <mergeCell ref="F3:J3"/>
    <mergeCell ref="E50:J5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1">
    <cfRule type="expression" dxfId="14" priority="57">
      <formula>$E51="راسب"</formula>
    </cfRule>
  </conditionalFormatting>
  <conditionalFormatting sqref="E51:J51">
    <cfRule type="expression" dxfId="13" priority="58">
      <formula>$E51="مقبول"</formula>
    </cfRule>
    <cfRule type="expression" dxfId="12" priority="59">
      <formula>$E51="جيد"</formula>
    </cfRule>
    <cfRule type="expression" dxfId="11" priority="60">
      <formula>$E51="جيد جداً"</formula>
    </cfRule>
    <cfRule type="expression" dxfId="10" priority="61">
      <formula>$E51="ممتاز"</formula>
    </cfRule>
  </conditionalFormatting>
  <conditionalFormatting sqref="F8:F4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6" priority="15" operator="containsText" text="أدخل اسم المحكم">
      <formula>NOT(ISERROR(SEARCH("أدخل اسم المحكم",G52)))</formula>
    </cfRule>
  </conditionalFormatting>
  <conditionalFormatting sqref="H8:H4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F36:F48 F33:F34 F27:F30 F23:F25 F19:F20 F13:F17 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G52:J52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2025-10-27T22:19:55Z</dcterms:modified>
</cp:coreProperties>
</file>