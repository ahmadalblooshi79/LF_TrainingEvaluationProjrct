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06EA010-BD53-457F-AD45-98655921EF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/>
  <c r="G57" i="2"/>
  <c r="H57" i="2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/>
  <c r="F93" i="2"/>
  <c r="E93" i="2"/>
  <c r="E94" i="2"/>
  <c r="E95" i="2"/>
</calcChain>
</file>

<file path=xl/sharedStrings.xml><?xml version="1.0" encoding="utf-8"?>
<sst xmlns="http://schemas.openxmlformats.org/spreadsheetml/2006/main" count="322" uniqueCount="266">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</sst>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492674</xdr:colOff>
      <xdr:row>96</xdr:row>
      <xdr:rowOff>103790</xdr:rowOff>
    </xdr:from>
    <xdr:to>
      <xdr:col>7</xdr:col>
      <xdr:colOff>497344</xdr:colOff>
      <xdr:row>96</xdr:row>
      <xdr:rowOff>374870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06E9E43-734B-3360-C096-1A5811AC5838}"/>
                </a:ext>
              </a:extLst>
            </xdr14:cNvPr>
            <xdr14:cNvContentPartPr/>
          </xdr14:nvContentPartPr>
          <xdr14:nvPr macro=""/>
          <xdr14:xfrm>
            <a:off x="10493922521" y="39242880"/>
            <a:ext cx="662760" cy="271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06E9E43-734B-3360-C096-1A5811AC583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3916401" y="39236760"/>
              <a:ext cx="67500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462424</xdr:colOff>
      <xdr:row>96</xdr:row>
      <xdr:rowOff>159230</xdr:rowOff>
    </xdr:from>
    <xdr:to>
      <xdr:col>9</xdr:col>
      <xdr:colOff>311202</xdr:colOff>
      <xdr:row>96</xdr:row>
      <xdr:rowOff>457310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8C91E4C1-2500-1FBA-1706-C6C0420522EA}"/>
                </a:ext>
              </a:extLst>
            </xdr14:cNvPr>
            <xdr14:cNvContentPartPr/>
          </xdr14:nvContentPartPr>
          <xdr14:nvPr macro=""/>
          <xdr14:xfrm>
            <a:off x="10492792481" y="39298320"/>
            <a:ext cx="1164960" cy="298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8C91E4C1-2500-1FBA-1706-C6C0420522E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92786361" y="39292200"/>
              <a:ext cx="1177200" cy="310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31:4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1047 750 3672,'4'2'0,"-2"-3"1641,0 0-529,-2 1-1112,6-18 1160,-4 17-400,-2 1-80,1 0 25,-1 0-705,0 0 656,0 0-32,0 0-40,0 0 8,0 0-592,4 0 672,-4 0 40,0 0 1,0 0 23,0 0-736,0 0 672,0 0-24,0 0-56,0 0 32,0 0-624,-11-13 592,10 11-40,-2 0-23,2-1-209,1 3-320,-11-25 336,10 22-40,-1-5-104,-1 6 48,3 2-240,-17-58 160,14 54-32,1-4 32,-1 1 32,3 7-192,-18-34 48,16 25-72,0 2 112,-1-1-112,3 8 24,-22-66 16,17 57-32,4-2 0,-2 1-8,3 10 24,-24-81 24,23 69 16,-1 2-64,1-2 104,1 12-80,-6-66 64,5 56 88,1 0-240,-2 0-56,2 10 144,-7-46-64,6 43 8,0-4 128,0 6 0,1 1-72,0-11 0,0 7-168,0 2 192,0-1-176,0 3 152,3-12 80,-1 10 8,-2 0-72,0-1 120,0 3-136,8-29 16,-6 26 8,0 0-48,0 0 48,-2 3-24,23-14-112,-21 12-96,4 0 96,-4 0 48,-2 2 64,50 0-40,-48 0-112,9 0 56,-4 0-24,-7 0 120,69 16-56,-60-14 120,3 0-128,-1-2-136,-11 0 200,83-2-128,-71 2 56,0 0 8,2 2-8,-14-2 72,83 0-144,-72 0 24,1 0-32,-2 0 96,-10 0 56,87 0-160,-74 0-104,-1 0 24,0 0-73,-12 0 313,80-12-312,-68 9-48,0 1 32,-2-1-24,-10 3 352,65-31-288,-56 29 24,-1-1-88,0 1 48,-8 2 304,38 3-216,-35-4 72,5 0 48,-6 0 24,-2 1 72,15 0-96,-12 0 8,-1 0 40,-1 0 24,-1 0 24,10 0-8,-8 0 8,0 0-24,-2 0 40,0 0-16,5 0 0,-5 0 8,2 0 32,-2 0 0,0 0-40,0 0 40,0 0 88,0 0-80,0 0 8,0 0-328,-9 0 552,7 0-352,0 0 0,1 0-16,1 0 88,-23 13-120,21-11 16,-6 0 48,5 0-8,3-2 64,-40 7-8,38 1-32,-2-6 24,-5 0 0,9-2 16,-46 46-16,37-44 0,1 0 8,1 6 40,7-8-32,-62 22 32,53-15-24,1-5 32,-2 6-24,10-8-16,-56 26 24,48-23 32,-1 4 8,0-5-8,9-2-56,-42 32 48,35-31 24,0 2-56,5-1 8,2-2-24,-49 27-24,46-24 48,-6 4-24,2-5-32,7-2 32,-72 39-24,63-37 8,1 5 16,-1-4 8,-1 4 24,10-7-32,-57 27-8,48-24-16,0 2 112,3-3-16,6-2-72,-36 13 104,34-11 64,-7 1-216,7-2 240,2-1-192,-15 16 168,12-14-16,0 0 32,3-2-184,-14-2 80,11 2 0,2 2 8,0-2 64,1 0-152,-12-2 32,10 4 0,-1-2-16,2 0-32,1 0 16,-28 17-32,25-15-24,0-2-72,-4 0 16,5 0 32,2 0 80,-18-2-80,15 2 8,0 0 16,-1 2 0,4-2 56,-19-3-32,16 4 32,0 1 16,3-2-16,-43 13 72,41-10 8,-5-2 48,4 1 16,-4-2 64,7 0-208,-23-9 168,19 7 24,-3-5-32,5 6-80,2 1-80,-28-26 184,22 19-72,3 5 0,0-2 8,3 4-120,-33-42 56,31 40 80,-1-7-16,-4 6-24,7 3-96,-37-60 104,34 53-16,0 0 32,-5 4 73,8 3-193,-24-55 208,17 48-56,5 0 64,-4-1 80,6 8-296,-47-52 248,43 42 0,-5 2-32,3 1-168,6 7-48,-44-54 40,33 44 88,5 4-104,-3-1 80,9 7-104,-42-29 88,35 25-128,4 1 104,-4 0-104,7 3 40,-15 1-64,13-2-64,-1 1 40,2 0-64,1 0 152,-5 10-112,4-7 24,1 4 40,-1-7 32,1 0 16,4 27-24,-4-20 96,2-5-80,-1 0-144,-1-2 152,30 27-8,-24-25-8,-4 6 0,5-6 96,-7-2-80,42 25 8,-35-22-120,2-1 88,-2 6 48,-7-8-24,62 21 56,-51-14-88,-4-4 8,4 5 0,-11-8 24,61 58 24,-51-51 88,-2-5-48,0 7-16,-8-9-48,39 27-72,-36-19 96,6-7-24,-7 2-88,-2-3 88,26 13-32,-25-10 32,1-1-32,0-1 32,-2-1 0,11-1-48,-10 1-136,1 1-88,-2-1 16,0 0 256,-1 0-320,1 0 63,0 0 17,-1 0-48,1 0 288,-5 14-296,4-12 216,0 0-64,1-1 64,0-1 80,-21 13 104,18-11-240,0 1 144,-1-1-16,4-2 8,-39 11-88,38-8 24,-6-1-32,0 1 16,7-3 80,-60 26-296,52-19 88,0-5-88,-2 0 80,10-2 216,-78 28-64,67-21 8,-1-6-56,1 2-88,11-3 200,-80 43-208,69-40 64,-1 6-32,1-6 88,11-3 88,-52 11-56,44-8-128,2-1 120,4 1-64,2-3 128,-13-2-224,11 4-48,1-2-41,0 0 1,1 0 312,15 2-440,-15-2 40,2 0 8,5-2 16,-7 2 376,42-23-176,-31 19 48,-4-4 72,1 4-72,-8 4 128,53-57-32,-46 49-40,1 5-24,-2-6 48,-6 9 48,18-11-64,-11 7 96,-5 2 192,-1 0 152,-1 2-376,1-17 544,-1 16 104,0 1 120,-1 0-23,1 0-745,-45 15 632,37-15-16,1 1-120,-2 1-8,9-2-488,-79 27 552,68-25-16,-2 1 48,1 4-55,12-7-529,-93 34 368,77-24 0,4-3-144,0-1-16,12-6-208,-81 24 128,71-18-112,-2-4-144,2 5 112,10-7 16,-48 27-136,41-24-320,-1 4-545,6-6-1095,2-1 2096,-20-1-4689,12 2-3305,8-1 7994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9T05:31:42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1981 327 2888,'-2'14'0,"2"-13"2033,-1 1-225,1 1-152,0-3-1656,4 14 1297,-4-13-225,0 1-560,1 0-136,-1-2-376,23 8 264,-21-5 104,1 3 56,4-4-16,-7-2-408,67 46 536,-58-45-7,3 6 55,0-4-24,-12-3-560,94 27 584,-81-25 160,1 1-136,3 3 264,-17-6-872,118-1 833,-100 3-193,-1-2 32,2-1-152,-19 1-520,131-34 432,-113 25-64,0 2 24,3 0-168,-21 7-224,151-69 208,-129 61 80,-1-1-88,-1-1 56,-20 10-256,107-51 16,-90 41 88,-3 2-72,-1 0 24,-13 8-56,74-42 161,-64 39-201,2-7 96,-5 8-16,-7 2-40,31-30 48,-30 27-32,1 1 96,0-2-48,-2 4-64,8-31 128,-6 29 8,-2-1-24,0 1-72,0 2-40,0-12 64,0 10-32,0-1-48,-2 0-8,2 3 24,-41-10 8,32 7 64,6 0-152,-7 0-32,10 3 112,-68-30-56,58 29-64,0-3 72,-2 1 64,12 3-16,-94-33 32,79 31-24,2-1 24,-3 2-128,16 1 96,-100 0-288,84 0 96,2 0 47,-2 0 33,16 0 112,-124 26 24,106-23-8,1 4-32,-1-4 152,18-3-136,-120 43 177,102-40-25,1 6-40,0-7-48,17-2-64,-110 58-40,94-51 24,1-5 104,0 8-24,15-10-64,-108 41 0,93-33 72,-1-6-32,0 5-40,16-7 0,-129 28 80,112-26-64,-1 5-16,-2-5 24,20-2-24,-163 8 32,141-1-24,-3-6 40,0 2-96,25-3 48,-199 53-80,170-46 16,1 1-48,-3 1 80,31-9 32,-231 83-8,196-74-24,3 1 32,-2 2-64,34-12 64,-269 92-96,230-78-16,-1 1-24,-1-1-97,41-14 233,-274 111-496,235-96-336,0 0-568,0-2-641,39-13 2041,-162 47-3584,122-36-6066,40-11 9650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B90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8" t="s">
        <v>265</v>
      </c>
      <c r="C1" s="58"/>
      <c r="D1" s="58"/>
      <c r="E1" s="58"/>
      <c r="F1" s="58"/>
      <c r="G1" s="58"/>
      <c r="H1" s="58"/>
      <c r="I1" s="58"/>
      <c r="J1" s="58"/>
    </row>
    <row r="2" spans="1:10" ht="30" customHeight="1" x14ac:dyDescent="0.3">
      <c r="B2" s="13" t="s">
        <v>8</v>
      </c>
      <c r="C2" s="64" t="s">
        <v>46</v>
      </c>
      <c r="D2" s="64"/>
      <c r="E2" s="13" t="s">
        <v>7</v>
      </c>
      <c r="F2" s="59">
        <v>45929</v>
      </c>
      <c r="G2" s="59"/>
      <c r="H2" s="59"/>
      <c r="I2" s="59"/>
      <c r="J2" s="59"/>
    </row>
    <row r="3" spans="1:10" ht="30" customHeight="1" x14ac:dyDescent="0.3">
      <c r="B3" s="13" t="s">
        <v>9</v>
      </c>
      <c r="C3" s="64" t="s">
        <v>87</v>
      </c>
      <c r="D3" s="64"/>
      <c r="E3" s="13" t="s">
        <v>6</v>
      </c>
      <c r="F3" s="64" t="s">
        <v>104</v>
      </c>
      <c r="G3" s="64"/>
      <c r="H3" s="64"/>
      <c r="I3" s="64"/>
      <c r="J3" s="64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0" t="s">
        <v>0</v>
      </c>
      <c r="C5" s="61"/>
      <c r="D5" s="61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10"/>
      <c r="B6" s="62"/>
      <c r="C6" s="63"/>
      <c r="D6" s="63"/>
      <c r="E6" s="11" t="s">
        <v>3</v>
      </c>
      <c r="F6" s="11" t="s">
        <v>4</v>
      </c>
      <c r="G6" s="11" t="s">
        <v>23</v>
      </c>
      <c r="H6" s="11" t="s">
        <v>24</v>
      </c>
      <c r="I6" s="71"/>
      <c r="J6" s="72"/>
    </row>
    <row r="7" spans="1:10" ht="24.9" customHeight="1" thickBot="1" x14ac:dyDescent="0.35">
      <c r="A7" s="10"/>
      <c r="B7" s="67" t="s">
        <v>21</v>
      </c>
      <c r="C7" s="68"/>
      <c r="D7" s="68"/>
      <c r="E7" s="12" t="s">
        <v>18</v>
      </c>
      <c r="F7" s="12" t="s">
        <v>19</v>
      </c>
      <c r="G7" s="12" t="s">
        <v>22</v>
      </c>
      <c r="H7" s="12" t="s">
        <v>20</v>
      </c>
      <c r="I7" s="45" t="s">
        <v>25</v>
      </c>
      <c r="J7" s="73"/>
    </row>
    <row r="8" spans="1:10" ht="39.9" customHeight="1" thickBot="1" x14ac:dyDescent="0.35">
      <c r="A8" s="10"/>
      <c r="B8" s="79" t="s">
        <v>177</v>
      </c>
      <c r="C8" s="80"/>
      <c r="D8" s="81"/>
      <c r="E8" s="9">
        <v>10</v>
      </c>
      <c r="F8" s="28">
        <v>9.5</v>
      </c>
      <c r="G8" s="29">
        <f>IFERROR(F8/E8,"")</f>
        <v>0.95</v>
      </c>
      <c r="H8" s="27" t="str">
        <f>_xlfn.IFS(F8="أدخل العلامة","",F8="لا ينطبق","تم الإلغاء",G8&gt;=90%,"ممتاز",G8&gt;=80%,"جيد جداً",G8&gt;=70%,"جيد",G8&gt;=60%,"مقبول",G8&lt;60%,"راسب")</f>
        <v>ممتاز</v>
      </c>
      <c r="I8" s="42"/>
      <c r="J8" s="43"/>
    </row>
    <row r="9" spans="1:10" ht="30" customHeight="1" x14ac:dyDescent="0.3">
      <c r="A9" s="10"/>
      <c r="B9" s="82" t="s">
        <v>178</v>
      </c>
      <c r="C9" s="83"/>
      <c r="D9" s="84"/>
      <c r="E9" s="30"/>
      <c r="F9" s="31"/>
      <c r="G9" s="32"/>
      <c r="H9" s="33"/>
      <c r="I9" s="50"/>
      <c r="J9" s="51"/>
    </row>
    <row r="10" spans="1:10" ht="30" customHeight="1" x14ac:dyDescent="0.3">
      <c r="A10" s="10"/>
      <c r="B10" s="85" t="s">
        <v>179</v>
      </c>
      <c r="C10" s="86"/>
      <c r="D10" s="87"/>
      <c r="E10" s="34">
        <v>5</v>
      </c>
      <c r="F10" s="35">
        <v>4</v>
      </c>
      <c r="G10" s="36">
        <f t="shared" ref="G10:G73" si="0">IFERROR(F10/E10,"")</f>
        <v>0.8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6"/>
      <c r="J10" s="47"/>
    </row>
    <row r="11" spans="1:10" ht="30" customHeight="1" x14ac:dyDescent="0.3">
      <c r="A11" s="10"/>
      <c r="B11" s="85" t="s">
        <v>180</v>
      </c>
      <c r="C11" s="86"/>
      <c r="D11" s="87"/>
      <c r="E11" s="34">
        <v>8</v>
      </c>
      <c r="F11" s="35">
        <v>7</v>
      </c>
      <c r="G11" s="36">
        <f t="shared" si="0"/>
        <v>0.875</v>
      </c>
      <c r="H11" s="37" t="str">
        <f t="shared" si="1"/>
        <v>جيد جداً</v>
      </c>
      <c r="I11" s="46"/>
      <c r="J11" s="47"/>
    </row>
    <row r="12" spans="1:10" ht="30" customHeight="1" x14ac:dyDescent="0.3">
      <c r="A12" s="10"/>
      <c r="B12" s="85" t="s">
        <v>181</v>
      </c>
      <c r="C12" s="86"/>
      <c r="D12" s="87"/>
      <c r="E12" s="34">
        <v>10</v>
      </c>
      <c r="F12" s="35">
        <v>8.75</v>
      </c>
      <c r="G12" s="36">
        <f t="shared" si="0"/>
        <v>0.875</v>
      </c>
      <c r="H12" s="37" t="str">
        <f t="shared" si="1"/>
        <v>جيد جداً</v>
      </c>
      <c r="I12" s="46"/>
      <c r="J12" s="47"/>
    </row>
    <row r="13" spans="1:10" ht="30" customHeight="1" x14ac:dyDescent="0.3">
      <c r="A13" s="10"/>
      <c r="B13" s="85" t="s">
        <v>182</v>
      </c>
      <c r="C13" s="86"/>
      <c r="D13" s="87"/>
      <c r="E13" s="34">
        <v>5</v>
      </c>
      <c r="F13" s="35">
        <v>4.25</v>
      </c>
      <c r="G13" s="36">
        <f t="shared" si="0"/>
        <v>0.85</v>
      </c>
      <c r="H13" s="37" t="str">
        <f t="shared" si="1"/>
        <v>جيد جداً</v>
      </c>
      <c r="I13" s="46"/>
      <c r="J13" s="47"/>
    </row>
    <row r="14" spans="1:10" ht="39.9" customHeight="1" x14ac:dyDescent="0.3">
      <c r="A14" s="10"/>
      <c r="B14" s="85" t="s">
        <v>183</v>
      </c>
      <c r="C14" s="86"/>
      <c r="D14" s="87"/>
      <c r="E14" s="34">
        <v>10</v>
      </c>
      <c r="F14" s="35">
        <v>9.5</v>
      </c>
      <c r="G14" s="36">
        <f t="shared" si="0"/>
        <v>0.95</v>
      </c>
      <c r="H14" s="37" t="str">
        <f t="shared" si="1"/>
        <v>ممتاز</v>
      </c>
      <c r="I14" s="46"/>
      <c r="J14" s="47"/>
    </row>
    <row r="15" spans="1:10" ht="30" customHeight="1" x14ac:dyDescent="0.3">
      <c r="A15" s="10"/>
      <c r="B15" s="85" t="s">
        <v>184</v>
      </c>
      <c r="C15" s="86"/>
      <c r="D15" s="87"/>
      <c r="E15" s="34">
        <v>5</v>
      </c>
      <c r="F15" s="35">
        <v>4.5</v>
      </c>
      <c r="G15" s="36">
        <f t="shared" si="0"/>
        <v>0.9</v>
      </c>
      <c r="H15" s="37" t="str">
        <f t="shared" si="1"/>
        <v>ممتاز</v>
      </c>
      <c r="I15" s="46"/>
      <c r="J15" s="47"/>
    </row>
    <row r="16" spans="1:10" ht="39.9" customHeight="1" x14ac:dyDescent="0.3">
      <c r="A16" s="10"/>
      <c r="B16" s="85" t="s">
        <v>185</v>
      </c>
      <c r="C16" s="86"/>
      <c r="D16" s="87"/>
      <c r="E16" s="34">
        <v>5</v>
      </c>
      <c r="F16" s="35">
        <v>4.25</v>
      </c>
      <c r="G16" s="36">
        <f t="shared" si="0"/>
        <v>0.85</v>
      </c>
      <c r="H16" s="37" t="str">
        <f t="shared" si="1"/>
        <v>جيد جداً</v>
      </c>
      <c r="I16" s="46"/>
      <c r="J16" s="47"/>
    </row>
    <row r="17" spans="1:10" ht="30" customHeight="1" x14ac:dyDescent="0.3">
      <c r="A17" s="10"/>
      <c r="B17" s="85" t="s">
        <v>186</v>
      </c>
      <c r="C17" s="86"/>
      <c r="D17" s="87"/>
      <c r="E17" s="34">
        <v>5</v>
      </c>
      <c r="F17" s="35">
        <v>4.25</v>
      </c>
      <c r="G17" s="36">
        <f t="shared" si="0"/>
        <v>0.85</v>
      </c>
      <c r="H17" s="37" t="str">
        <f t="shared" si="1"/>
        <v>جيد جداً</v>
      </c>
      <c r="I17" s="46"/>
      <c r="J17" s="47"/>
    </row>
    <row r="18" spans="1:10" ht="30" customHeight="1" x14ac:dyDescent="0.3">
      <c r="A18" s="10"/>
      <c r="B18" s="85" t="s">
        <v>187</v>
      </c>
      <c r="C18" s="86"/>
      <c r="D18" s="87"/>
      <c r="E18" s="34">
        <v>6</v>
      </c>
      <c r="F18" s="35">
        <v>5</v>
      </c>
      <c r="G18" s="36">
        <f t="shared" si="0"/>
        <v>0.83333333333333337</v>
      </c>
      <c r="H18" s="37" t="str">
        <f t="shared" si="1"/>
        <v>جيد جداً</v>
      </c>
      <c r="I18" s="46"/>
      <c r="J18" s="47"/>
    </row>
    <row r="19" spans="1:10" ht="30" customHeight="1" x14ac:dyDescent="0.3">
      <c r="A19" s="10"/>
      <c r="B19" s="85" t="s">
        <v>188</v>
      </c>
      <c r="C19" s="86"/>
      <c r="D19" s="87"/>
      <c r="E19" s="34">
        <v>8</v>
      </c>
      <c r="F19" s="35">
        <v>7.5</v>
      </c>
      <c r="G19" s="36">
        <f t="shared" si="0"/>
        <v>0.9375</v>
      </c>
      <c r="H19" s="37" t="str">
        <f t="shared" si="1"/>
        <v>ممتاز</v>
      </c>
      <c r="I19" s="46"/>
      <c r="J19" s="47"/>
    </row>
    <row r="20" spans="1:10" ht="30" customHeight="1" x14ac:dyDescent="0.3">
      <c r="A20" s="10"/>
      <c r="B20" s="85" t="s">
        <v>189</v>
      </c>
      <c r="C20" s="86"/>
      <c r="D20" s="87"/>
      <c r="E20" s="34">
        <v>6</v>
      </c>
      <c r="F20" s="35">
        <v>5.5</v>
      </c>
      <c r="G20" s="36">
        <f t="shared" si="0"/>
        <v>0.91666666666666663</v>
      </c>
      <c r="H20" s="37" t="str">
        <f t="shared" si="1"/>
        <v>ممتاز</v>
      </c>
      <c r="I20" s="46"/>
      <c r="J20" s="47"/>
    </row>
    <row r="21" spans="1:10" ht="30" customHeight="1" thickBot="1" x14ac:dyDescent="0.35">
      <c r="A21" s="10"/>
      <c r="B21" s="88" t="s">
        <v>190</v>
      </c>
      <c r="C21" s="89"/>
      <c r="D21" s="90"/>
      <c r="E21" s="38">
        <v>5</v>
      </c>
      <c r="F21" s="39">
        <v>4.5</v>
      </c>
      <c r="G21" s="40">
        <f t="shared" si="0"/>
        <v>0.9</v>
      </c>
      <c r="H21" s="41" t="str">
        <f t="shared" si="1"/>
        <v>ممتاز</v>
      </c>
      <c r="I21" s="48"/>
      <c r="J21" s="49"/>
    </row>
    <row r="22" spans="1:10" ht="39.9" customHeight="1" x14ac:dyDescent="0.3">
      <c r="A22" s="10"/>
      <c r="B22" s="82" t="s">
        <v>191</v>
      </c>
      <c r="C22" s="83"/>
      <c r="D22" s="84"/>
      <c r="E22" s="30"/>
      <c r="F22" s="31"/>
      <c r="G22" s="32"/>
      <c r="H22" s="33"/>
      <c r="I22" s="50"/>
      <c r="J22" s="51"/>
    </row>
    <row r="23" spans="1:10" ht="30" customHeight="1" x14ac:dyDescent="0.3">
      <c r="A23" s="10"/>
      <c r="B23" s="85" t="s">
        <v>192</v>
      </c>
      <c r="C23" s="86"/>
      <c r="D23" s="87"/>
      <c r="E23" s="34">
        <v>5</v>
      </c>
      <c r="F23" s="35">
        <v>4.5</v>
      </c>
      <c r="G23" s="36">
        <f t="shared" si="0"/>
        <v>0.9</v>
      </c>
      <c r="H23" s="37" t="str">
        <f t="shared" si="1"/>
        <v>ممتاز</v>
      </c>
      <c r="I23" s="46"/>
      <c r="J23" s="47"/>
    </row>
    <row r="24" spans="1:10" ht="30" customHeight="1" x14ac:dyDescent="0.3">
      <c r="A24" s="10"/>
      <c r="B24" s="85" t="s">
        <v>193</v>
      </c>
      <c r="C24" s="86"/>
      <c r="D24" s="87"/>
      <c r="E24" s="34">
        <v>5</v>
      </c>
      <c r="F24" s="35">
        <v>4</v>
      </c>
      <c r="G24" s="36">
        <f t="shared" si="0"/>
        <v>0.8</v>
      </c>
      <c r="H24" s="37" t="str">
        <f t="shared" si="1"/>
        <v>جيد جداً</v>
      </c>
      <c r="I24" s="46"/>
      <c r="J24" s="47"/>
    </row>
    <row r="25" spans="1:10" ht="30" customHeight="1" x14ac:dyDescent="0.3">
      <c r="A25" s="10"/>
      <c r="B25" s="85" t="s">
        <v>194</v>
      </c>
      <c r="C25" s="86"/>
      <c r="D25" s="87"/>
      <c r="E25" s="34">
        <v>5</v>
      </c>
      <c r="F25" s="35">
        <v>4</v>
      </c>
      <c r="G25" s="36">
        <f t="shared" si="0"/>
        <v>0.8</v>
      </c>
      <c r="H25" s="37" t="str">
        <f t="shared" si="1"/>
        <v>جيد جداً</v>
      </c>
      <c r="I25" s="46"/>
      <c r="J25" s="47"/>
    </row>
    <row r="26" spans="1:10" ht="30" customHeight="1" x14ac:dyDescent="0.3">
      <c r="A26" s="10"/>
      <c r="B26" s="85" t="s">
        <v>195</v>
      </c>
      <c r="C26" s="86"/>
      <c r="D26" s="87"/>
      <c r="E26" s="34">
        <v>5</v>
      </c>
      <c r="F26" s="35">
        <v>4</v>
      </c>
      <c r="G26" s="36">
        <f t="shared" si="0"/>
        <v>0.8</v>
      </c>
      <c r="H26" s="37" t="str">
        <f t="shared" si="1"/>
        <v>جيد جداً</v>
      </c>
      <c r="I26" s="46"/>
      <c r="J26" s="47"/>
    </row>
    <row r="27" spans="1:10" ht="30" customHeight="1" x14ac:dyDescent="0.3">
      <c r="A27" s="10"/>
      <c r="B27" s="85" t="s">
        <v>196</v>
      </c>
      <c r="C27" s="86"/>
      <c r="D27" s="87"/>
      <c r="E27" s="34">
        <v>5</v>
      </c>
      <c r="F27" s="35">
        <v>3.75</v>
      </c>
      <c r="G27" s="36">
        <f t="shared" si="0"/>
        <v>0.75</v>
      </c>
      <c r="H27" s="37" t="str">
        <f t="shared" si="1"/>
        <v>جيد</v>
      </c>
      <c r="I27" s="46"/>
      <c r="J27" s="47"/>
    </row>
    <row r="28" spans="1:10" ht="30" customHeight="1" x14ac:dyDescent="0.3">
      <c r="A28" s="10"/>
      <c r="B28" s="85" t="s">
        <v>197</v>
      </c>
      <c r="C28" s="86"/>
      <c r="D28" s="87"/>
      <c r="E28" s="34">
        <v>5</v>
      </c>
      <c r="F28" s="35">
        <v>4.5</v>
      </c>
      <c r="G28" s="36">
        <f t="shared" si="0"/>
        <v>0.9</v>
      </c>
      <c r="H28" s="37" t="str">
        <f t="shared" si="1"/>
        <v>ممتاز</v>
      </c>
      <c r="I28" s="46"/>
      <c r="J28" s="47"/>
    </row>
    <row r="29" spans="1:10" ht="30" customHeight="1" thickBot="1" x14ac:dyDescent="0.35">
      <c r="A29" s="10"/>
      <c r="B29" s="88" t="s">
        <v>198</v>
      </c>
      <c r="C29" s="89"/>
      <c r="D29" s="90"/>
      <c r="E29" s="38">
        <v>5</v>
      </c>
      <c r="F29" s="39">
        <v>4.25</v>
      </c>
      <c r="G29" s="40">
        <f t="shared" si="0"/>
        <v>0.85</v>
      </c>
      <c r="H29" s="41" t="str">
        <f t="shared" si="1"/>
        <v>جيد جداً</v>
      </c>
      <c r="I29" s="48"/>
      <c r="J29" s="49"/>
    </row>
    <row r="30" spans="1:10" ht="39.9" customHeight="1" thickBot="1" x14ac:dyDescent="0.35">
      <c r="A30" s="10"/>
      <c r="B30" s="79" t="s">
        <v>199</v>
      </c>
      <c r="C30" s="80"/>
      <c r="D30" s="81"/>
      <c r="E30" s="9">
        <v>6</v>
      </c>
      <c r="F30" s="28">
        <v>6</v>
      </c>
      <c r="G30" s="29">
        <f t="shared" si="0"/>
        <v>1</v>
      </c>
      <c r="H30" s="27" t="str">
        <f t="shared" si="1"/>
        <v>ممتاز</v>
      </c>
      <c r="I30" s="42"/>
      <c r="J30" s="43"/>
    </row>
    <row r="31" spans="1:10" ht="39.9" customHeight="1" thickBot="1" x14ac:dyDescent="0.35">
      <c r="A31" s="10"/>
      <c r="B31" s="79" t="s">
        <v>200</v>
      </c>
      <c r="C31" s="80"/>
      <c r="D31" s="81"/>
      <c r="E31" s="9">
        <v>6</v>
      </c>
      <c r="F31" s="28">
        <v>5.5</v>
      </c>
      <c r="G31" s="29">
        <f t="shared" si="0"/>
        <v>0.91666666666666663</v>
      </c>
      <c r="H31" s="27" t="str">
        <f t="shared" si="1"/>
        <v>ممتاز</v>
      </c>
      <c r="I31" s="42"/>
      <c r="J31" s="43"/>
    </row>
    <row r="32" spans="1:10" ht="39.9" customHeight="1" thickBot="1" x14ac:dyDescent="0.35">
      <c r="A32" s="10"/>
      <c r="B32" s="79" t="s">
        <v>201</v>
      </c>
      <c r="C32" s="80"/>
      <c r="D32" s="81"/>
      <c r="E32" s="9">
        <v>5</v>
      </c>
      <c r="F32" s="28">
        <v>4.5</v>
      </c>
      <c r="G32" s="29">
        <f t="shared" si="0"/>
        <v>0.9</v>
      </c>
      <c r="H32" s="27" t="str">
        <f t="shared" si="1"/>
        <v>ممتاز</v>
      </c>
      <c r="I32" s="42"/>
      <c r="J32" s="43"/>
    </row>
    <row r="33" spans="1:10" ht="30" customHeight="1" x14ac:dyDescent="0.3">
      <c r="A33" s="10"/>
      <c r="B33" s="82" t="s">
        <v>202</v>
      </c>
      <c r="C33" s="83"/>
      <c r="D33" s="84"/>
      <c r="E33" s="30"/>
      <c r="F33" s="31"/>
      <c r="G33" s="32"/>
      <c r="H33" s="33"/>
      <c r="I33" s="50"/>
      <c r="J33" s="51"/>
    </row>
    <row r="34" spans="1:10" ht="39.9" customHeight="1" x14ac:dyDescent="0.3">
      <c r="A34" s="10"/>
      <c r="B34" s="85" t="s">
        <v>203</v>
      </c>
      <c r="C34" s="86"/>
      <c r="D34" s="87"/>
      <c r="E34" s="34">
        <v>6</v>
      </c>
      <c r="F34" s="35">
        <v>5.25</v>
      </c>
      <c r="G34" s="36">
        <f t="shared" si="0"/>
        <v>0.875</v>
      </c>
      <c r="H34" s="37" t="str">
        <f t="shared" si="1"/>
        <v>جيد جداً</v>
      </c>
      <c r="I34" s="46"/>
      <c r="J34" s="47"/>
    </row>
    <row r="35" spans="1:10" ht="30" customHeight="1" x14ac:dyDescent="0.3">
      <c r="A35" s="10"/>
      <c r="B35" s="85" t="s">
        <v>204</v>
      </c>
      <c r="C35" s="86"/>
      <c r="D35" s="87"/>
      <c r="E35" s="34">
        <v>6</v>
      </c>
      <c r="F35" s="35">
        <v>5</v>
      </c>
      <c r="G35" s="36">
        <f t="shared" si="0"/>
        <v>0.83333333333333337</v>
      </c>
      <c r="H35" s="37" t="str">
        <f t="shared" si="1"/>
        <v>جيد جداً</v>
      </c>
      <c r="I35" s="46"/>
      <c r="J35" s="47"/>
    </row>
    <row r="36" spans="1:10" ht="39.9" customHeight="1" x14ac:dyDescent="0.3">
      <c r="A36" s="10"/>
      <c r="B36" s="85" t="s">
        <v>205</v>
      </c>
      <c r="C36" s="86"/>
      <c r="D36" s="87"/>
      <c r="E36" s="34">
        <v>6</v>
      </c>
      <c r="F36" s="35">
        <v>5.25</v>
      </c>
      <c r="G36" s="36">
        <f t="shared" si="0"/>
        <v>0.875</v>
      </c>
      <c r="H36" s="37" t="str">
        <f t="shared" si="1"/>
        <v>جيد جداً</v>
      </c>
      <c r="I36" s="46"/>
      <c r="J36" s="47"/>
    </row>
    <row r="37" spans="1:10" ht="30" customHeight="1" x14ac:dyDescent="0.3">
      <c r="A37" s="10"/>
      <c r="B37" s="85" t="s">
        <v>206</v>
      </c>
      <c r="C37" s="86"/>
      <c r="D37" s="87"/>
      <c r="E37" s="34">
        <v>6</v>
      </c>
      <c r="F37" s="35">
        <v>5.25</v>
      </c>
      <c r="G37" s="36">
        <f t="shared" si="0"/>
        <v>0.875</v>
      </c>
      <c r="H37" s="37" t="str">
        <f t="shared" si="1"/>
        <v>جيد جداً</v>
      </c>
      <c r="I37" s="46"/>
      <c r="J37" s="47"/>
    </row>
    <row r="38" spans="1:10" ht="30" customHeight="1" x14ac:dyDescent="0.3">
      <c r="A38" s="10"/>
      <c r="B38" s="85" t="s">
        <v>207</v>
      </c>
      <c r="C38" s="86"/>
      <c r="D38" s="87"/>
      <c r="E38" s="34">
        <v>6</v>
      </c>
      <c r="F38" s="35">
        <v>5.25</v>
      </c>
      <c r="G38" s="36">
        <f t="shared" si="0"/>
        <v>0.875</v>
      </c>
      <c r="H38" s="37" t="str">
        <f t="shared" si="1"/>
        <v>جيد جداً</v>
      </c>
      <c r="I38" s="46"/>
      <c r="J38" s="47"/>
    </row>
    <row r="39" spans="1:10" ht="39.9" customHeight="1" x14ac:dyDescent="0.3">
      <c r="A39" s="10"/>
      <c r="B39" s="85" t="s">
        <v>208</v>
      </c>
      <c r="C39" s="86"/>
      <c r="D39" s="87"/>
      <c r="E39" s="34">
        <v>6</v>
      </c>
      <c r="F39" s="35">
        <v>5.5</v>
      </c>
      <c r="G39" s="36">
        <f t="shared" si="0"/>
        <v>0.91666666666666663</v>
      </c>
      <c r="H39" s="37" t="str">
        <f t="shared" si="1"/>
        <v>ممتاز</v>
      </c>
      <c r="I39" s="46"/>
      <c r="J39" s="47"/>
    </row>
    <row r="40" spans="1:10" ht="39.9" customHeight="1" x14ac:dyDescent="0.3">
      <c r="A40" s="10"/>
      <c r="B40" s="85" t="s">
        <v>209</v>
      </c>
      <c r="C40" s="86"/>
      <c r="D40" s="87"/>
      <c r="E40" s="34">
        <v>6</v>
      </c>
      <c r="F40" s="35">
        <v>5.25</v>
      </c>
      <c r="G40" s="36">
        <f t="shared" si="0"/>
        <v>0.875</v>
      </c>
      <c r="H40" s="37" t="str">
        <f t="shared" si="1"/>
        <v>جيد جداً</v>
      </c>
      <c r="I40" s="46"/>
      <c r="J40" s="47"/>
    </row>
    <row r="41" spans="1:10" ht="30" customHeight="1" x14ac:dyDescent="0.3">
      <c r="A41" s="10"/>
      <c r="B41" s="85" t="s">
        <v>210</v>
      </c>
      <c r="C41" s="86"/>
      <c r="D41" s="87"/>
      <c r="E41" s="34">
        <v>6</v>
      </c>
      <c r="F41" s="35">
        <v>5.25</v>
      </c>
      <c r="G41" s="36">
        <f t="shared" si="0"/>
        <v>0.875</v>
      </c>
      <c r="H41" s="37" t="str">
        <f t="shared" si="1"/>
        <v>جيد جداً</v>
      </c>
      <c r="I41" s="46"/>
      <c r="J41" s="47"/>
    </row>
    <row r="42" spans="1:10" ht="30" customHeight="1" x14ac:dyDescent="0.3">
      <c r="A42" s="10"/>
      <c r="B42" s="85" t="s">
        <v>211</v>
      </c>
      <c r="C42" s="86"/>
      <c r="D42" s="87"/>
      <c r="E42" s="34">
        <v>6</v>
      </c>
      <c r="F42" s="35">
        <v>5.25</v>
      </c>
      <c r="G42" s="36">
        <f t="shared" si="0"/>
        <v>0.875</v>
      </c>
      <c r="H42" s="37" t="str">
        <f t="shared" si="1"/>
        <v>جيد جداً</v>
      </c>
      <c r="I42" s="46"/>
      <c r="J42" s="47"/>
    </row>
    <row r="43" spans="1:10" ht="30" customHeight="1" x14ac:dyDescent="0.3">
      <c r="A43" s="10"/>
      <c r="B43" s="85" t="s">
        <v>212</v>
      </c>
      <c r="C43" s="86"/>
      <c r="D43" s="87"/>
      <c r="E43" s="34">
        <v>6</v>
      </c>
      <c r="F43" s="35">
        <v>5.25</v>
      </c>
      <c r="G43" s="36">
        <f t="shared" si="0"/>
        <v>0.875</v>
      </c>
      <c r="H43" s="37" t="str">
        <f t="shared" si="1"/>
        <v>جيد جداً</v>
      </c>
      <c r="I43" s="46"/>
      <c r="J43" s="47"/>
    </row>
    <row r="44" spans="1:10" ht="30" customHeight="1" x14ac:dyDescent="0.3">
      <c r="A44" s="10"/>
      <c r="B44" s="85" t="s">
        <v>213</v>
      </c>
      <c r="C44" s="86"/>
      <c r="D44" s="87"/>
      <c r="E44" s="34">
        <v>6</v>
      </c>
      <c r="F44" s="35">
        <v>5</v>
      </c>
      <c r="G44" s="36">
        <f t="shared" si="0"/>
        <v>0.83333333333333337</v>
      </c>
      <c r="H44" s="37" t="str">
        <f t="shared" si="1"/>
        <v>جيد جداً</v>
      </c>
      <c r="I44" s="46"/>
      <c r="J44" s="47"/>
    </row>
    <row r="45" spans="1:10" ht="30" customHeight="1" x14ac:dyDescent="0.3">
      <c r="A45" s="10"/>
      <c r="B45" s="85" t="s">
        <v>214</v>
      </c>
      <c r="C45" s="86"/>
      <c r="D45" s="87"/>
      <c r="E45" s="34">
        <v>6</v>
      </c>
      <c r="F45" s="35">
        <v>5</v>
      </c>
      <c r="G45" s="36">
        <f t="shared" si="0"/>
        <v>0.83333333333333337</v>
      </c>
      <c r="H45" s="37" t="str">
        <f t="shared" si="1"/>
        <v>جيد جداً</v>
      </c>
      <c r="I45" s="46"/>
      <c r="J45" s="47"/>
    </row>
    <row r="46" spans="1:10" ht="39.9" customHeight="1" thickBot="1" x14ac:dyDescent="0.35">
      <c r="A46" s="10"/>
      <c r="B46" s="88" t="s">
        <v>215</v>
      </c>
      <c r="C46" s="89"/>
      <c r="D46" s="90"/>
      <c r="E46" s="38">
        <v>10</v>
      </c>
      <c r="F46" s="39">
        <v>8.5</v>
      </c>
      <c r="G46" s="40">
        <f t="shared" si="0"/>
        <v>0.85</v>
      </c>
      <c r="H46" s="41" t="str">
        <f t="shared" si="1"/>
        <v>جيد جداً</v>
      </c>
      <c r="I46" s="48"/>
      <c r="J46" s="49"/>
    </row>
    <row r="47" spans="1:10" ht="30" customHeight="1" x14ac:dyDescent="0.3">
      <c r="A47" s="10"/>
      <c r="B47" s="82" t="s">
        <v>216</v>
      </c>
      <c r="C47" s="83"/>
      <c r="D47" s="84"/>
      <c r="E47" s="30"/>
      <c r="F47" s="31"/>
      <c r="G47" s="32"/>
      <c r="H47" s="33"/>
      <c r="I47" s="50"/>
      <c r="J47" s="51"/>
    </row>
    <row r="48" spans="1:10" ht="39.9" customHeight="1" x14ac:dyDescent="0.3">
      <c r="A48" s="10"/>
      <c r="B48" s="85" t="s">
        <v>217</v>
      </c>
      <c r="C48" s="86"/>
      <c r="D48" s="87"/>
      <c r="E48" s="34">
        <v>10</v>
      </c>
      <c r="F48" s="35">
        <v>9.5</v>
      </c>
      <c r="G48" s="36">
        <f t="shared" si="0"/>
        <v>0.95</v>
      </c>
      <c r="H48" s="37" t="str">
        <f t="shared" si="1"/>
        <v>ممتاز</v>
      </c>
      <c r="I48" s="46"/>
      <c r="J48" s="47"/>
    </row>
    <row r="49" spans="1:10" ht="39.9" customHeight="1" x14ac:dyDescent="0.3">
      <c r="A49" s="10"/>
      <c r="B49" s="85" t="s">
        <v>218</v>
      </c>
      <c r="C49" s="86"/>
      <c r="D49" s="87"/>
      <c r="E49" s="34">
        <v>10</v>
      </c>
      <c r="F49" s="35">
        <v>8.75</v>
      </c>
      <c r="G49" s="36">
        <f t="shared" si="0"/>
        <v>0.875</v>
      </c>
      <c r="H49" s="37" t="str">
        <f t="shared" si="1"/>
        <v>جيد جداً</v>
      </c>
      <c r="I49" s="46"/>
      <c r="J49" s="47"/>
    </row>
    <row r="50" spans="1:10" ht="39.9" customHeight="1" x14ac:dyDescent="0.3">
      <c r="A50" s="10"/>
      <c r="B50" s="85" t="s">
        <v>219</v>
      </c>
      <c r="C50" s="86"/>
      <c r="D50" s="87"/>
      <c r="E50" s="34">
        <v>8</v>
      </c>
      <c r="F50" s="35">
        <v>7</v>
      </c>
      <c r="G50" s="36">
        <f t="shared" si="0"/>
        <v>0.875</v>
      </c>
      <c r="H50" s="37" t="str">
        <f t="shared" si="1"/>
        <v>جيد جداً</v>
      </c>
      <c r="I50" s="46"/>
      <c r="J50" s="47"/>
    </row>
    <row r="51" spans="1:10" ht="39.9" customHeight="1" x14ac:dyDescent="0.3">
      <c r="A51" s="10"/>
      <c r="B51" s="85" t="s">
        <v>220</v>
      </c>
      <c r="C51" s="86"/>
      <c r="D51" s="87"/>
      <c r="E51" s="34">
        <v>8</v>
      </c>
      <c r="F51" s="35">
        <v>6.75</v>
      </c>
      <c r="G51" s="36">
        <f t="shared" si="0"/>
        <v>0.84375</v>
      </c>
      <c r="H51" s="37" t="str">
        <f t="shared" si="1"/>
        <v>جيد جداً</v>
      </c>
      <c r="I51" s="46"/>
      <c r="J51" s="47"/>
    </row>
    <row r="52" spans="1:10" ht="30" customHeight="1" x14ac:dyDescent="0.3">
      <c r="A52" s="10"/>
      <c r="B52" s="85" t="s">
        <v>221</v>
      </c>
      <c r="C52" s="86"/>
      <c r="D52" s="87"/>
      <c r="E52" s="34">
        <v>8</v>
      </c>
      <c r="F52" s="35">
        <v>7.5</v>
      </c>
      <c r="G52" s="36">
        <f t="shared" si="0"/>
        <v>0.9375</v>
      </c>
      <c r="H52" s="37" t="str">
        <f t="shared" si="1"/>
        <v>ممتاز</v>
      </c>
      <c r="I52" s="46"/>
      <c r="J52" s="47"/>
    </row>
    <row r="53" spans="1:10" ht="30" customHeight="1" thickBot="1" x14ac:dyDescent="0.35">
      <c r="A53" s="10"/>
      <c r="B53" s="88" t="s">
        <v>222</v>
      </c>
      <c r="C53" s="89"/>
      <c r="D53" s="90"/>
      <c r="E53" s="38">
        <v>8</v>
      </c>
      <c r="F53" s="39">
        <v>7</v>
      </c>
      <c r="G53" s="40">
        <f t="shared" si="0"/>
        <v>0.875</v>
      </c>
      <c r="H53" s="41" t="str">
        <f t="shared" si="1"/>
        <v>جيد جداً</v>
      </c>
      <c r="I53" s="48"/>
      <c r="J53" s="49"/>
    </row>
    <row r="54" spans="1:10" ht="30" customHeight="1" x14ac:dyDescent="0.3">
      <c r="A54" s="10"/>
      <c r="B54" s="82" t="s">
        <v>223</v>
      </c>
      <c r="C54" s="83"/>
      <c r="D54" s="84"/>
      <c r="E54" s="30"/>
      <c r="F54" s="31"/>
      <c r="G54" s="32"/>
      <c r="H54" s="33"/>
      <c r="I54" s="50"/>
      <c r="J54" s="51"/>
    </row>
    <row r="55" spans="1:10" ht="39.9" customHeight="1" x14ac:dyDescent="0.3">
      <c r="A55" s="10"/>
      <c r="B55" s="85" t="s">
        <v>224</v>
      </c>
      <c r="C55" s="86"/>
      <c r="D55" s="87"/>
      <c r="E55" s="34">
        <v>10</v>
      </c>
      <c r="F55" s="35">
        <v>8.5</v>
      </c>
      <c r="G55" s="36">
        <f t="shared" si="0"/>
        <v>0.85</v>
      </c>
      <c r="H55" s="37" t="str">
        <f t="shared" si="1"/>
        <v>جيد جداً</v>
      </c>
      <c r="I55" s="46"/>
      <c r="J55" s="47"/>
    </row>
    <row r="56" spans="1:10" ht="30" customHeight="1" x14ac:dyDescent="0.3">
      <c r="A56" s="10"/>
      <c r="B56" s="85" t="s">
        <v>225</v>
      </c>
      <c r="C56" s="86"/>
      <c r="D56" s="87"/>
      <c r="E56" s="34">
        <v>8</v>
      </c>
      <c r="F56" s="35">
        <v>7</v>
      </c>
      <c r="G56" s="36">
        <f t="shared" si="0"/>
        <v>0.875</v>
      </c>
      <c r="H56" s="37" t="str">
        <f t="shared" si="1"/>
        <v>جيد جداً</v>
      </c>
      <c r="I56" s="46"/>
      <c r="J56" s="47"/>
    </row>
    <row r="57" spans="1:10" ht="30" customHeight="1" x14ac:dyDescent="0.3">
      <c r="A57" s="10"/>
      <c r="B57" s="85" t="s">
        <v>226</v>
      </c>
      <c r="C57" s="86"/>
      <c r="D57" s="87"/>
      <c r="E57" s="34">
        <v>8</v>
      </c>
      <c r="F57" s="35">
        <v>7.5</v>
      </c>
      <c r="G57" s="36">
        <f t="shared" si="0"/>
        <v>0.9375</v>
      </c>
      <c r="H57" s="37" t="str">
        <f t="shared" si="1"/>
        <v>ممتاز</v>
      </c>
      <c r="I57" s="46"/>
      <c r="J57" s="47"/>
    </row>
    <row r="58" spans="1:10" ht="30" customHeight="1" thickBot="1" x14ac:dyDescent="0.35">
      <c r="A58" s="10"/>
      <c r="B58" s="88" t="s">
        <v>227</v>
      </c>
      <c r="C58" s="89"/>
      <c r="D58" s="90"/>
      <c r="E58" s="38">
        <v>8</v>
      </c>
      <c r="F58" s="39">
        <v>7</v>
      </c>
      <c r="G58" s="40">
        <f t="shared" si="0"/>
        <v>0.875</v>
      </c>
      <c r="H58" s="41" t="str">
        <f t="shared" si="1"/>
        <v>جيد جداً</v>
      </c>
      <c r="I58" s="48"/>
      <c r="J58" s="49"/>
    </row>
    <row r="59" spans="1:10" ht="30" customHeight="1" x14ac:dyDescent="0.3">
      <c r="A59" s="10"/>
      <c r="B59" s="82" t="s">
        <v>228</v>
      </c>
      <c r="C59" s="83"/>
      <c r="D59" s="84"/>
      <c r="E59" s="30"/>
      <c r="F59" s="31"/>
      <c r="G59" s="32"/>
      <c r="H59" s="33"/>
      <c r="I59" s="50"/>
      <c r="J59" s="51"/>
    </row>
    <row r="60" spans="1:10" ht="30" customHeight="1" x14ac:dyDescent="0.3">
      <c r="A60" s="10"/>
      <c r="B60" s="85" t="s">
        <v>229</v>
      </c>
      <c r="C60" s="86"/>
      <c r="D60" s="87"/>
      <c r="E60" s="34">
        <v>5</v>
      </c>
      <c r="F60" s="35">
        <v>4.25</v>
      </c>
      <c r="G60" s="36">
        <f t="shared" si="0"/>
        <v>0.85</v>
      </c>
      <c r="H60" s="37" t="str">
        <f t="shared" si="1"/>
        <v>جيد جداً</v>
      </c>
      <c r="I60" s="46"/>
      <c r="J60" s="47"/>
    </row>
    <row r="61" spans="1:10" ht="30" customHeight="1" x14ac:dyDescent="0.3">
      <c r="A61" s="10"/>
      <c r="B61" s="85" t="s">
        <v>230</v>
      </c>
      <c r="C61" s="86"/>
      <c r="D61" s="87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46"/>
      <c r="J61" s="47"/>
    </row>
    <row r="62" spans="1:10" ht="30" customHeight="1" x14ac:dyDescent="0.3">
      <c r="A62" s="10"/>
      <c r="B62" s="85" t="s">
        <v>231</v>
      </c>
      <c r="C62" s="86"/>
      <c r="D62" s="87"/>
      <c r="E62" s="34">
        <v>5</v>
      </c>
      <c r="F62" s="35">
        <v>4</v>
      </c>
      <c r="G62" s="36">
        <f t="shared" si="0"/>
        <v>0.8</v>
      </c>
      <c r="H62" s="37" t="str">
        <f t="shared" si="1"/>
        <v>جيد جداً</v>
      </c>
      <c r="I62" s="46"/>
      <c r="J62" s="47"/>
    </row>
    <row r="63" spans="1:10" ht="30" customHeight="1" x14ac:dyDescent="0.3">
      <c r="A63" s="10"/>
      <c r="B63" s="85" t="s">
        <v>232</v>
      </c>
      <c r="C63" s="86"/>
      <c r="D63" s="87"/>
      <c r="E63" s="34">
        <v>5</v>
      </c>
      <c r="F63" s="35">
        <v>4</v>
      </c>
      <c r="G63" s="36">
        <f t="shared" si="0"/>
        <v>0.8</v>
      </c>
      <c r="H63" s="37" t="str">
        <f t="shared" si="1"/>
        <v>جيد جداً</v>
      </c>
      <c r="I63" s="46"/>
      <c r="J63" s="47"/>
    </row>
    <row r="64" spans="1:10" ht="30" customHeight="1" x14ac:dyDescent="0.3">
      <c r="A64" s="10"/>
      <c r="B64" s="85" t="s">
        <v>233</v>
      </c>
      <c r="C64" s="86"/>
      <c r="D64" s="87"/>
      <c r="E64" s="34">
        <v>5</v>
      </c>
      <c r="F64" s="35">
        <v>4</v>
      </c>
      <c r="G64" s="36">
        <f t="shared" si="0"/>
        <v>0.8</v>
      </c>
      <c r="H64" s="37" t="str">
        <f t="shared" si="1"/>
        <v>جيد جداً</v>
      </c>
      <c r="I64" s="46"/>
      <c r="J64" s="47"/>
    </row>
    <row r="65" spans="1:10" ht="30" customHeight="1" x14ac:dyDescent="0.3">
      <c r="A65" s="10"/>
      <c r="B65" s="85" t="s">
        <v>234</v>
      </c>
      <c r="C65" s="86"/>
      <c r="D65" s="87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46"/>
      <c r="J65" s="47"/>
    </row>
    <row r="66" spans="1:10" ht="30" customHeight="1" x14ac:dyDescent="0.3">
      <c r="A66" s="10"/>
      <c r="B66" s="85" t="s">
        <v>235</v>
      </c>
      <c r="C66" s="86"/>
      <c r="D66" s="87"/>
      <c r="E66" s="34">
        <v>5</v>
      </c>
      <c r="F66" s="35">
        <v>4</v>
      </c>
      <c r="G66" s="36">
        <f t="shared" si="0"/>
        <v>0.8</v>
      </c>
      <c r="H66" s="37" t="str">
        <f t="shared" si="1"/>
        <v>جيد جداً</v>
      </c>
      <c r="I66" s="46"/>
      <c r="J66" s="47"/>
    </row>
    <row r="67" spans="1:10" ht="30" customHeight="1" x14ac:dyDescent="0.3">
      <c r="A67" s="10"/>
      <c r="B67" s="85" t="s">
        <v>236</v>
      </c>
      <c r="C67" s="86"/>
      <c r="D67" s="87"/>
      <c r="E67" s="34">
        <v>5</v>
      </c>
      <c r="F67" s="35">
        <v>4</v>
      </c>
      <c r="G67" s="36">
        <f t="shared" si="0"/>
        <v>0.8</v>
      </c>
      <c r="H67" s="37" t="str">
        <f t="shared" si="1"/>
        <v>جيد جداً</v>
      </c>
      <c r="I67" s="46"/>
      <c r="J67" s="47"/>
    </row>
    <row r="68" spans="1:10" ht="30" customHeight="1" x14ac:dyDescent="0.3">
      <c r="A68" s="10"/>
      <c r="B68" s="85" t="s">
        <v>237</v>
      </c>
      <c r="C68" s="86"/>
      <c r="D68" s="87"/>
      <c r="E68" s="34">
        <v>5</v>
      </c>
      <c r="F68" s="35">
        <v>4.25</v>
      </c>
      <c r="G68" s="36">
        <f t="shared" si="0"/>
        <v>0.85</v>
      </c>
      <c r="H68" s="37" t="str">
        <f t="shared" si="1"/>
        <v>جيد جداً</v>
      </c>
      <c r="I68" s="46"/>
      <c r="J68" s="47"/>
    </row>
    <row r="69" spans="1:10" ht="30" customHeight="1" x14ac:dyDescent="0.3">
      <c r="A69" s="10"/>
      <c r="B69" s="85" t="s">
        <v>238</v>
      </c>
      <c r="C69" s="86"/>
      <c r="D69" s="87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46"/>
      <c r="J69" s="47"/>
    </row>
    <row r="70" spans="1:10" ht="30" customHeight="1" x14ac:dyDescent="0.3">
      <c r="A70" s="10"/>
      <c r="B70" s="85" t="s">
        <v>239</v>
      </c>
      <c r="C70" s="86"/>
      <c r="D70" s="87"/>
      <c r="E70" s="34">
        <v>5</v>
      </c>
      <c r="F70" s="35">
        <v>4</v>
      </c>
      <c r="G70" s="36">
        <f t="shared" si="0"/>
        <v>0.8</v>
      </c>
      <c r="H70" s="37" t="str">
        <f t="shared" si="1"/>
        <v>جيد جداً</v>
      </c>
      <c r="I70" s="46"/>
      <c r="J70" s="47"/>
    </row>
    <row r="71" spans="1:10" ht="30" customHeight="1" x14ac:dyDescent="0.3">
      <c r="A71" s="10"/>
      <c r="B71" s="85" t="s">
        <v>240</v>
      </c>
      <c r="C71" s="86"/>
      <c r="D71" s="87"/>
      <c r="E71" s="34">
        <v>5</v>
      </c>
      <c r="F71" s="35">
        <v>4</v>
      </c>
      <c r="G71" s="36">
        <f t="shared" si="0"/>
        <v>0.8</v>
      </c>
      <c r="H71" s="37" t="str">
        <f t="shared" si="1"/>
        <v>جيد جداً</v>
      </c>
      <c r="I71" s="46"/>
      <c r="J71" s="47"/>
    </row>
    <row r="72" spans="1:10" ht="30" customHeight="1" x14ac:dyDescent="0.3">
      <c r="A72" s="10"/>
      <c r="B72" s="85" t="s">
        <v>241</v>
      </c>
      <c r="C72" s="86"/>
      <c r="D72" s="87"/>
      <c r="E72" s="34">
        <v>5</v>
      </c>
      <c r="F72" s="35">
        <v>4</v>
      </c>
      <c r="G72" s="36">
        <f t="shared" si="0"/>
        <v>0.8</v>
      </c>
      <c r="H72" s="37" t="str">
        <f t="shared" si="1"/>
        <v>جيد جداً</v>
      </c>
      <c r="I72" s="46"/>
      <c r="J72" s="47"/>
    </row>
    <row r="73" spans="1:10" ht="30" customHeight="1" thickBot="1" x14ac:dyDescent="0.35">
      <c r="A73" s="10"/>
      <c r="B73" s="88" t="s">
        <v>242</v>
      </c>
      <c r="C73" s="89"/>
      <c r="D73" s="90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48"/>
      <c r="J73" s="49"/>
    </row>
    <row r="74" spans="1:10" ht="30" customHeight="1" x14ac:dyDescent="0.3">
      <c r="A74" s="10"/>
      <c r="B74" s="82" t="s">
        <v>243</v>
      </c>
      <c r="C74" s="83"/>
      <c r="D74" s="84"/>
      <c r="E74" s="30"/>
      <c r="F74" s="31"/>
      <c r="G74" s="32"/>
      <c r="H74" s="33"/>
      <c r="I74" s="50"/>
      <c r="J74" s="51"/>
    </row>
    <row r="75" spans="1:10" ht="30" customHeight="1" x14ac:dyDescent="0.3">
      <c r="A75" s="10"/>
      <c r="B75" s="85" t="s">
        <v>244</v>
      </c>
      <c r="C75" s="86"/>
      <c r="D75" s="87"/>
      <c r="E75" s="34">
        <v>5</v>
      </c>
      <c r="F75" s="35">
        <v>4</v>
      </c>
      <c r="G75" s="36">
        <f t="shared" ref="G75:G92" si="2">IFERROR(F75/E75,"")</f>
        <v>0.8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 جداً</v>
      </c>
      <c r="I75" s="46"/>
      <c r="J75" s="47"/>
    </row>
    <row r="76" spans="1:10" ht="30" customHeight="1" x14ac:dyDescent="0.3">
      <c r="A76" s="10"/>
      <c r="B76" s="85" t="s">
        <v>245</v>
      </c>
      <c r="C76" s="86"/>
      <c r="D76" s="87"/>
      <c r="E76" s="34">
        <v>5</v>
      </c>
      <c r="F76" s="35">
        <v>4</v>
      </c>
      <c r="G76" s="36">
        <f t="shared" si="2"/>
        <v>0.8</v>
      </c>
      <c r="H76" s="37" t="str">
        <f t="shared" si="3"/>
        <v>جيد جداً</v>
      </c>
      <c r="I76" s="46"/>
      <c r="J76" s="47"/>
    </row>
    <row r="77" spans="1:10" ht="30" customHeight="1" x14ac:dyDescent="0.3">
      <c r="A77" s="10"/>
      <c r="B77" s="85" t="s">
        <v>246</v>
      </c>
      <c r="C77" s="86"/>
      <c r="D77" s="87"/>
      <c r="E77" s="34">
        <v>5</v>
      </c>
      <c r="F77" s="35">
        <v>4.25</v>
      </c>
      <c r="G77" s="36">
        <f t="shared" si="2"/>
        <v>0.85</v>
      </c>
      <c r="H77" s="37" t="str">
        <f t="shared" si="3"/>
        <v>جيد جداً</v>
      </c>
      <c r="I77" s="46"/>
      <c r="J77" s="47"/>
    </row>
    <row r="78" spans="1:10" ht="30" customHeight="1" x14ac:dyDescent="0.3">
      <c r="A78" s="10"/>
      <c r="B78" s="85" t="s">
        <v>247</v>
      </c>
      <c r="C78" s="86"/>
      <c r="D78" s="87"/>
      <c r="E78" s="34">
        <v>5</v>
      </c>
      <c r="F78" s="35">
        <v>4</v>
      </c>
      <c r="G78" s="36">
        <f t="shared" si="2"/>
        <v>0.8</v>
      </c>
      <c r="H78" s="37" t="str">
        <f t="shared" si="3"/>
        <v>جيد جداً</v>
      </c>
      <c r="I78" s="46"/>
      <c r="J78" s="47"/>
    </row>
    <row r="79" spans="1:10" ht="30" customHeight="1" x14ac:dyDescent="0.3">
      <c r="A79" s="10"/>
      <c r="B79" s="85" t="s">
        <v>248</v>
      </c>
      <c r="C79" s="86"/>
      <c r="D79" s="87"/>
      <c r="E79" s="34">
        <v>5</v>
      </c>
      <c r="F79" s="35">
        <v>4</v>
      </c>
      <c r="G79" s="36">
        <f t="shared" si="2"/>
        <v>0.8</v>
      </c>
      <c r="H79" s="37" t="str">
        <f t="shared" si="3"/>
        <v>جيد جداً</v>
      </c>
      <c r="I79" s="46"/>
      <c r="J79" s="47"/>
    </row>
    <row r="80" spans="1:10" ht="30" customHeight="1" x14ac:dyDescent="0.3">
      <c r="A80" s="10"/>
      <c r="B80" s="85" t="s">
        <v>249</v>
      </c>
      <c r="C80" s="86"/>
      <c r="D80" s="87"/>
      <c r="E80" s="34">
        <v>5</v>
      </c>
      <c r="F80" s="35">
        <v>4.25</v>
      </c>
      <c r="G80" s="36">
        <f t="shared" si="2"/>
        <v>0.85</v>
      </c>
      <c r="H80" s="37" t="str">
        <f t="shared" si="3"/>
        <v>جيد جداً</v>
      </c>
      <c r="I80" s="46"/>
      <c r="J80" s="47"/>
    </row>
    <row r="81" spans="1:10" ht="30" customHeight="1" x14ac:dyDescent="0.3">
      <c r="A81" s="10"/>
      <c r="B81" s="85" t="s">
        <v>250</v>
      </c>
      <c r="C81" s="86"/>
      <c r="D81" s="87"/>
      <c r="E81" s="34">
        <v>5</v>
      </c>
      <c r="F81" s="35">
        <v>4</v>
      </c>
      <c r="G81" s="36">
        <f t="shared" si="2"/>
        <v>0.8</v>
      </c>
      <c r="H81" s="37" t="str">
        <f t="shared" si="3"/>
        <v>جيد جداً</v>
      </c>
      <c r="I81" s="46"/>
      <c r="J81" s="47"/>
    </row>
    <row r="82" spans="1:10" ht="30" customHeight="1" x14ac:dyDescent="0.3">
      <c r="A82" s="10"/>
      <c r="B82" s="85" t="s">
        <v>251</v>
      </c>
      <c r="C82" s="86"/>
      <c r="D82" s="87"/>
      <c r="E82" s="34">
        <v>5</v>
      </c>
      <c r="F82" s="35">
        <v>4</v>
      </c>
      <c r="G82" s="36">
        <f t="shared" si="2"/>
        <v>0.8</v>
      </c>
      <c r="H82" s="37" t="str">
        <f t="shared" si="3"/>
        <v>جيد جداً</v>
      </c>
      <c r="I82" s="46"/>
      <c r="J82" s="47"/>
    </row>
    <row r="83" spans="1:10" ht="30" customHeight="1" x14ac:dyDescent="0.3">
      <c r="A83" s="10"/>
      <c r="B83" s="85" t="s">
        <v>252</v>
      </c>
      <c r="C83" s="86"/>
      <c r="D83" s="87"/>
      <c r="E83" s="34">
        <v>5</v>
      </c>
      <c r="F83" s="35">
        <v>4</v>
      </c>
      <c r="G83" s="36">
        <f t="shared" si="2"/>
        <v>0.8</v>
      </c>
      <c r="H83" s="37" t="str">
        <f t="shared" si="3"/>
        <v>جيد جداً</v>
      </c>
      <c r="I83" s="46"/>
      <c r="J83" s="47"/>
    </row>
    <row r="84" spans="1:10" ht="30" customHeight="1" x14ac:dyDescent="0.3">
      <c r="A84" s="10"/>
      <c r="B84" s="85" t="s">
        <v>253</v>
      </c>
      <c r="C84" s="86"/>
      <c r="D84" s="87"/>
      <c r="E84" s="34">
        <v>5</v>
      </c>
      <c r="F84" s="35">
        <v>4</v>
      </c>
      <c r="G84" s="36">
        <f t="shared" si="2"/>
        <v>0.8</v>
      </c>
      <c r="H84" s="37" t="str">
        <f t="shared" si="3"/>
        <v>جيد جداً</v>
      </c>
      <c r="I84" s="46"/>
      <c r="J84" s="47"/>
    </row>
    <row r="85" spans="1:10" ht="30" customHeight="1" thickBot="1" x14ac:dyDescent="0.35">
      <c r="A85" s="10"/>
      <c r="B85" s="88" t="s">
        <v>254</v>
      </c>
      <c r="C85" s="89"/>
      <c r="D85" s="90"/>
      <c r="E85" s="38">
        <v>5</v>
      </c>
      <c r="F85" s="39">
        <v>4.25</v>
      </c>
      <c r="G85" s="40">
        <f t="shared" si="2"/>
        <v>0.85</v>
      </c>
      <c r="H85" s="41" t="str">
        <f t="shared" si="3"/>
        <v>جيد جداً</v>
      </c>
      <c r="I85" s="48"/>
      <c r="J85" s="49"/>
    </row>
    <row r="86" spans="1:10" ht="30" customHeight="1" x14ac:dyDescent="0.3">
      <c r="A86" s="10"/>
      <c r="B86" s="82" t="s">
        <v>255</v>
      </c>
      <c r="C86" s="83"/>
      <c r="D86" s="84"/>
      <c r="E86" s="30"/>
      <c r="F86" s="31"/>
      <c r="G86" s="32"/>
      <c r="H86" s="33"/>
      <c r="I86" s="50"/>
      <c r="J86" s="51"/>
    </row>
    <row r="87" spans="1:10" ht="39.9" customHeight="1" x14ac:dyDescent="0.3">
      <c r="A87" s="10"/>
      <c r="B87" s="85" t="s">
        <v>256</v>
      </c>
      <c r="C87" s="86"/>
      <c r="D87" s="87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46"/>
      <c r="J87" s="47"/>
    </row>
    <row r="88" spans="1:10" ht="30" customHeight="1" x14ac:dyDescent="0.3">
      <c r="A88" s="10"/>
      <c r="B88" s="85" t="s">
        <v>257</v>
      </c>
      <c r="C88" s="86"/>
      <c r="D88" s="87"/>
      <c r="E88" s="34">
        <v>5</v>
      </c>
      <c r="F88" s="35">
        <v>4</v>
      </c>
      <c r="G88" s="36">
        <f t="shared" si="2"/>
        <v>0.8</v>
      </c>
      <c r="H88" s="37" t="str">
        <f t="shared" si="3"/>
        <v>جيد جداً</v>
      </c>
      <c r="I88" s="46"/>
      <c r="J88" s="47"/>
    </row>
    <row r="89" spans="1:10" ht="30" customHeight="1" x14ac:dyDescent="0.3">
      <c r="A89" s="10"/>
      <c r="B89" s="85" t="s">
        <v>258</v>
      </c>
      <c r="C89" s="86"/>
      <c r="D89" s="87"/>
      <c r="E89" s="34">
        <v>5</v>
      </c>
      <c r="F89" s="35">
        <v>4</v>
      </c>
      <c r="G89" s="36">
        <f t="shared" si="2"/>
        <v>0.8</v>
      </c>
      <c r="H89" s="37" t="str">
        <f t="shared" si="3"/>
        <v>جيد جداً</v>
      </c>
      <c r="I89" s="46"/>
      <c r="J89" s="47"/>
    </row>
    <row r="90" spans="1:10" ht="39.9" customHeight="1" thickBot="1" x14ac:dyDescent="0.35">
      <c r="A90" s="10"/>
      <c r="B90" s="88" t="s">
        <v>259</v>
      </c>
      <c r="C90" s="89"/>
      <c r="D90" s="90"/>
      <c r="E90" s="38">
        <v>6</v>
      </c>
      <c r="F90" s="39">
        <v>5</v>
      </c>
      <c r="G90" s="40">
        <f t="shared" si="2"/>
        <v>0.83333333333333337</v>
      </c>
      <c r="H90" s="41" t="str">
        <f t="shared" si="3"/>
        <v>جيد جداً</v>
      </c>
      <c r="I90" s="48"/>
      <c r="J90" s="49"/>
    </row>
    <row r="91" spans="1:10" ht="39.9" customHeight="1" thickBot="1" x14ac:dyDescent="0.35">
      <c r="A91" s="10"/>
      <c r="B91" s="79" t="s">
        <v>260</v>
      </c>
      <c r="C91" s="80"/>
      <c r="D91" s="81"/>
      <c r="E91" s="9">
        <v>8</v>
      </c>
      <c r="F91" s="28">
        <v>6.25</v>
      </c>
      <c r="G91" s="29">
        <f t="shared" si="2"/>
        <v>0.78125</v>
      </c>
      <c r="H91" s="27" t="str">
        <f t="shared" si="3"/>
        <v>جيد</v>
      </c>
      <c r="I91" s="42"/>
      <c r="J91" s="43"/>
    </row>
    <row r="92" spans="1:10" ht="30" customHeight="1" thickBot="1" x14ac:dyDescent="0.35">
      <c r="A92" s="10"/>
      <c r="B92" s="79" t="s">
        <v>261</v>
      </c>
      <c r="C92" s="80"/>
      <c r="D92" s="81"/>
      <c r="E92" s="9">
        <v>8</v>
      </c>
      <c r="F92" s="28">
        <v>6.25</v>
      </c>
      <c r="G92" s="29">
        <f t="shared" si="2"/>
        <v>0.78125</v>
      </c>
      <c r="H92" s="27" t="str">
        <f t="shared" si="3"/>
        <v>جيد</v>
      </c>
      <c r="I92" s="42"/>
      <c r="J92" s="43"/>
    </row>
    <row r="93" spans="1:10" ht="30" customHeight="1" thickBot="1" x14ac:dyDescent="0.35">
      <c r="A93" s="4"/>
      <c r="B93" s="44" t="s">
        <v>5</v>
      </c>
      <c r="C93" s="45"/>
      <c r="D93" s="45"/>
      <c r="E93" s="9">
        <f>SUM(E8:E92)</f>
        <v>470</v>
      </c>
      <c r="F93" s="9">
        <f>SUM(F8:F92)</f>
        <v>401.75</v>
      </c>
      <c r="G93" s="76"/>
      <c r="H93" s="77"/>
      <c r="I93" s="77"/>
      <c r="J93" s="78"/>
    </row>
    <row r="94" spans="1:10" ht="30" customHeight="1" thickBot="1" x14ac:dyDescent="0.35">
      <c r="A94" s="4"/>
      <c r="B94" s="44" t="s">
        <v>54</v>
      </c>
      <c r="C94" s="45"/>
      <c r="D94" s="45"/>
      <c r="E94" s="65">
        <f>F93/E93/100*100</f>
        <v>0.85478723404255308</v>
      </c>
      <c r="F94" s="65"/>
      <c r="G94" s="65"/>
      <c r="H94" s="65"/>
      <c r="I94" s="65"/>
      <c r="J94" s="66"/>
    </row>
    <row r="95" spans="1:10" ht="30" customHeight="1" thickBot="1" x14ac:dyDescent="0.35">
      <c r="A95" s="4"/>
      <c r="B95" s="44" t="s">
        <v>55</v>
      </c>
      <c r="C95" s="45"/>
      <c r="D95" s="45"/>
      <c r="E95" s="56" t="str">
        <f>_xlfn.IFS(E94&gt;=90%,"ممتاز",E94&gt;=80%,"جيد جداً",E94&gt;=70%,"جيد",E94&gt;=60%,"مقبول",E94&lt;60%,"راسب")</f>
        <v>جيد جداً</v>
      </c>
      <c r="F95" s="56"/>
      <c r="G95" s="56"/>
      <c r="H95" s="56"/>
      <c r="I95" s="56"/>
      <c r="J95" s="57"/>
    </row>
    <row r="96" spans="1:10" ht="42" customHeight="1" x14ac:dyDescent="0.3">
      <c r="B96" s="52" t="s">
        <v>174</v>
      </c>
      <c r="C96" s="52"/>
      <c r="D96" s="52"/>
      <c r="E96" s="74" t="s">
        <v>52</v>
      </c>
      <c r="F96" s="74"/>
      <c r="G96" s="54" t="s">
        <v>104</v>
      </c>
      <c r="H96" s="54"/>
      <c r="I96" s="54"/>
      <c r="J96" s="54"/>
    </row>
    <row r="97" spans="1:10" ht="51" customHeight="1" x14ac:dyDescent="0.3">
      <c r="A97" s="5"/>
      <c r="B97" s="53"/>
      <c r="C97" s="53"/>
      <c r="D97" s="53"/>
      <c r="E97" s="75" t="s">
        <v>53</v>
      </c>
      <c r="F97" s="75"/>
      <c r="G97" s="55"/>
      <c r="H97" s="55"/>
      <c r="I97" s="55"/>
      <c r="J97" s="5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1"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2025-10-27T19:03:00Z</dcterms:modified>
</cp:coreProperties>
</file>