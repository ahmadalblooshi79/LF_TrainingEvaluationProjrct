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F1F04D4-7CCF-464B-B657-4DA2148DE8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 s="1"/>
  <c r="G20" i="2"/>
  <c r="H20" i="2"/>
  <c r="G23" i="2"/>
  <c r="H23" i="2"/>
  <c r="G24" i="2"/>
  <c r="H24" i="2" s="1"/>
  <c r="G25" i="2"/>
  <c r="H25" i="2"/>
  <c r="G26" i="2"/>
  <c r="H26" i="2" s="1"/>
  <c r="G27" i="2"/>
  <c r="H27" i="2"/>
  <c r="G28" i="2"/>
  <c r="H28" i="2" s="1"/>
  <c r="G29" i="2"/>
  <c r="H29" i="2" s="1"/>
  <c r="G30" i="2"/>
  <c r="H30" i="2"/>
  <c r="F31" i="2"/>
  <c r="E32" i="2" s="1"/>
  <c r="E33" i="2" s="1"/>
  <c r="E31" i="2"/>
</calcChain>
</file>

<file path=xl/sharedStrings.xml><?xml version="1.0" encoding="utf-8"?>
<sst xmlns="http://schemas.openxmlformats.org/spreadsheetml/2006/main" count="258" uniqueCount="201">
  <si>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</si>
  <si>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</si>
  <si>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</si>
  <si>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</si>
  <si>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</si>
  <si>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</si>
  <si>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</si>
  <si>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</si>
  <si>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</si>
  <si>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</si>
  <si>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</si>
  <si>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</si>
  <si>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</si>
  <si>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</si>
  <si>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</si>
  <si>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</si>
  <si>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</si>
  <si>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</si>
  <si>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</si>
  <si>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</si>
  <si>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</si>
  <si>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</si>
  <si>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</si>
  <si>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</si>
  <si>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</si>
  <si>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</si>
  <si>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</si>
  <si>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</si>
  <si>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</si>
  <si>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</si>
  <si>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</si>
  <si>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</si>
  <si>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</si>
  <si>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</si>
  <si>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</si>
  <si>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</si>
  <si>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</si>
  <si>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</si>
  <si>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</si>
  <si>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</si>
  <si>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</si>
  <si>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</si>
  <si>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</si>
  <si>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</si>
  <si>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</si>
  <si>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</si>
  <si>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</si>
  <si>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</si>
  <si>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</si>
  <si>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</si>
  <si>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</si>
  <si>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</si>
  <si>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</si>
  <si>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</si>
  <si>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</si>
  <si>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</si>
  <si>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</si>
  <si>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</si>
  <si>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</si>
  <si>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</si>
  <si>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</si>
  <si>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</si>
  <si>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</si>
  <si>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</si>
  <si>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</si>
  <si>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</si>
  <si>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</si>
  <si>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</si>
  <si>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</si>
  <si>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</si>
  <si>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</si>
  <si>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</si>
  <si>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</si>
  <si>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</si>
  <si>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</si>
  <si>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</si>
  <si>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</si>
  <si>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</si>
  <si>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</si>
  <si>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</si>
  <si>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</si>
  <si>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</si>
  <si>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</si>
  <si>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</si>
  <si>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</si>
  <si>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</si>
  <si>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</si>
  <si>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</si>
  <si>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</si>
  <si>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</si>
  <si>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</si>
  <si>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</si>
  <si>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</si>
  <si>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</si>
  <si>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</si>
  <si>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</si>
  <si>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</si>
  <si>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</si>
  <si>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</si>
  <si>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</si>
  <si>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</si>
  <si>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</si>
  <si>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</si>
  <si>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</si>
  <si>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</si>
  <si>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</si>
  <si>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</si>
  <si>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</si>
  <si>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</si>
  <si>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</si>
  <si>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</si>
  <si>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</si>
  <si>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</si>
  <si>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</si>
  <si>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</si>
  <si>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</si>
  <si>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</si>
  <si>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</si>
  <si>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</si>
  <si>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</si>
  <si>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</si>
  <si>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</si>
  <si>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</si>
  <si>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</si>
  <si>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</si>
  <si>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</si>
  <si>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</si>
  <si>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</si>
  <si>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</si>
  <si>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</si>
  <si>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</si>
  <si>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</si>
  <si>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</si>
  <si>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</si>
  <si>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</si>
  <si>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</si>
  <si>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</si>
  <si>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</si>
  <si>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</si>
  <si>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</si>
  <si>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</si>
  <si>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</si>
  <si>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</si>
  <si>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</si>
  <si>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</si>
  <si>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</si>
  <si>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</si>
  <si>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</si>
  <si>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</si>
  <si>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</si>
  <si>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</si>
  <si>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</si>
  <si>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</si>
  <si>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</si>
  <si>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</si>
  <si>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</si>
  <si>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</si>
  <si>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</si>
  <si>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</si>
  <si>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</si>
  <si>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</si>
  <si>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</si>
  <si>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</si>
  <si>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</si>
  <si>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</si>
  <si>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</si>
  <si>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</si>
  <si>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</si>
  <si>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</si>
  <si>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</si>
  <si>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</si>
  <si>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</si>
  <si>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</si>
  <si>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</si>
  <si>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</si>
  <si>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</si>
  <si>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تقوم خلية تنسيق النيران بتحليل الأهداف وكما يلي:</t>
    </r>
  </si>
  <si>
    <t>أ.     تحليل الأهداف المُعيّنة.</t>
  </si>
  <si>
    <t>ب.   تحليل الأهداف على أساس الوقت المتوفر.</t>
  </si>
  <si>
    <t>جـ.   دراسة ما يلي:</t>
  </si>
  <si>
    <t>(1)   مميزات الأهداف وتأليفها ودرجة حمايتها وحجمها وشكلها وقدرتها على الحركة.</t>
  </si>
  <si>
    <t>(2)   موقع الهدف وقربه من القوات الصديقة ودقة مكان الهدف.</t>
  </si>
  <si>
    <t>(3)   الأرض والطقس.</t>
  </si>
  <si>
    <t>(4)   الأسلحة والذخائر المتوفرة.</t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</si>
  <si>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توفير معلومات الهدف لمصادر النيران.</t>
    </r>
  </si>
  <si>
    <t>أ.   مراقبة كافة الطلبات للنيران المُخططة وتتضمن ما يلي: الأهداف تحت الطلب والأهداف المُبرمجة وبرامج القصف المُعاكس وإسكات دفاعات العدو الجوية وبرامج نيران الإسناد.</t>
  </si>
  <si>
    <t>ب.   التأكد من أن النيران المُخططة يتم تحديثها باستمرار على أساس الموقف التعبوي وإجراءات السيطرة على الإسناد الناري.</t>
  </si>
  <si>
    <t>جـ.   تحديد أولوية المهام وتعيين وسائل بديلة بالإسناد الناري إذا كانت متوفرة.</t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</si>
  <si>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تسهيل طلبات الإسناد الناري الفورية.</t>
    </r>
  </si>
  <si>
    <t>أ.    مراجعة ومعالجة طلبات الرماية النارية الفورية لضمان ما يلي:</t>
  </si>
  <si>
    <t>(1)   الطلبات منسجمة مع توجه قائد مجموعة اللواء.</t>
  </si>
  <si>
    <t>(2)   يتم طلب أكثر وسائل الإسناد الناري فعالية.</t>
  </si>
  <si>
    <t>ب.   التنسيق مع التشكيلات المسؤولة لإلغاء الطلبات الأصلية عند الضرورة.</t>
  </si>
  <si>
    <r>
      <t>جـ.   تمرير الهدف إلى قدرات الإسناد الناري المُلائمة</t>
    </r>
    <r>
      <rPr>
        <sz val="14"/>
        <color theme="1"/>
        <rFont val="Calibri Light"/>
        <family val="2"/>
      </rPr>
      <t xml:space="preserve"> </t>
    </r>
    <r>
      <rPr>
        <sz val="12"/>
        <color rgb="FF000000"/>
        <rFont val="Arial"/>
        <family val="2"/>
      </rPr>
      <t>لمهاجمته.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</si>
  <si>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تنسيق مهاجمة الأهداف ذات الأولوية القصوى مع الإسناد عناصر الجوي.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</si>
  <si>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طلب تنفيذ إسكات دفاعات العدو الجوية حسب الحاجة.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</si>
  <si>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طلب تنفيذ قصف معاكس.</t>
    </r>
  </si>
  <si>
    <r>
      <t>8.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التنسيق مع عناصر إسناد الهجوم الأُخرى على الأهداف مثل الإسناد الجوي القريب.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</si>
  <si>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تسهيل مُعالجة طلبات الإسناد الناري المُخططة وكما يلي:</t>
    </r>
  </si>
  <si>
    <r>
      <rPr>
        <b/>
        <sz val="14"/>
        <color rgb="FF000000"/>
        <rFont val="Arial"/>
        <family val="2"/>
      </rPr>
      <t xml:space="preserve">تقييم خلية تنسيق النيران في تنسيق الإسناد الناري على الهدف
</t>
    </r>
    <r>
      <rPr>
        <b/>
        <u/>
        <sz val="14"/>
        <color rgb="FF000000"/>
        <rFont val="Arial"/>
        <family val="2"/>
      </rPr>
      <t>تمرين جاهزية مجموعة لواء الإمارات/1 (جندي الصحراء 2025/20)</t>
    </r>
  </si>
  <si>
    <t>العقيد الركن/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</si>
</sst>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4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11" xfId="0" applyFont="1" applyBorder="1" applyAlignment="1">
      <alignment horizontal="right" vertical="center" wrapText="1" indent="4" readingOrder="2"/>
    </xf>
    <xf numFmtId="0" fontId="14" fillId="0" borderId="12" xfId="0" applyFont="1" applyBorder="1" applyAlignment="1">
      <alignment horizontal="right" vertical="center" wrapText="1" indent="4" readingOrder="2"/>
    </xf>
    <xf numFmtId="0" fontId="16" fillId="0" borderId="5" xfId="0" applyFont="1" applyBorder="1" applyAlignment="1">
      <alignment horizontal="right" vertical="center" wrapText="1" readingOrder="2"/>
    </xf>
    <xf numFmtId="0" fontId="16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5"/>
  <sheetViews>
    <sheetView rightToLeft="1" tabSelected="1" view="pageBreakPreview" zoomScale="130" zoomScaleNormal="100" zoomScaleSheetLayoutView="130" workbookViewId="0">
      <selection activeCell="F30" sqref="F3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8" t="s">
        <v>199</v>
      </c>
      <c r="C1" s="78"/>
      <c r="D1" s="78"/>
      <c r="E1" s="78"/>
      <c r="F1" s="78"/>
      <c r="G1" s="78"/>
      <c r="H1" s="78"/>
      <c r="I1" s="78"/>
      <c r="J1" s="78"/>
    </row>
    <row r="2" spans="1:10" ht="30" customHeight="1" x14ac:dyDescent="0.3">
      <c r="B2" s="12" t="s">
        <v>8</v>
      </c>
      <c r="C2" s="84" t="s">
        <v>35</v>
      </c>
      <c r="D2" s="84"/>
      <c r="E2" s="12" t="s">
        <v>7</v>
      </c>
      <c r="F2" s="79" t="s">
        <v>56</v>
      </c>
      <c r="G2" s="79"/>
      <c r="H2" s="79"/>
      <c r="I2" s="79"/>
      <c r="J2" s="79"/>
    </row>
    <row r="3" spans="1:10" ht="30" customHeight="1" x14ac:dyDescent="0.3">
      <c r="B3" s="12" t="s">
        <v>9</v>
      </c>
      <c r="C3" s="84" t="s">
        <v>62</v>
      </c>
      <c r="D3" s="84"/>
      <c r="E3" s="12" t="s">
        <v>6</v>
      </c>
      <c r="F3" s="84" t="s">
        <v>59</v>
      </c>
      <c r="G3" s="84"/>
      <c r="H3" s="84"/>
      <c r="I3" s="84"/>
      <c r="J3" s="84"/>
    </row>
    <row r="4" spans="1:10" ht="30" customHeight="1" thickBot="1" x14ac:dyDescent="0.35">
      <c r="B4" s="6"/>
      <c r="C4" s="7"/>
      <c r="D4" s="7"/>
      <c r="E4" s="6"/>
      <c r="F4" s="100" t="s">
        <v>200</v>
      </c>
      <c r="G4" s="100"/>
      <c r="H4" s="100"/>
      <c r="I4" s="100"/>
      <c r="J4" s="100"/>
    </row>
    <row r="5" spans="1:10" ht="24.9" customHeight="1" x14ac:dyDescent="0.3">
      <c r="A5" s="10"/>
      <c r="B5" s="80" t="s">
        <v>0</v>
      </c>
      <c r="C5" s="81"/>
      <c r="D5" s="81"/>
      <c r="E5" s="89" t="s">
        <v>1</v>
      </c>
      <c r="F5" s="89"/>
      <c r="G5" s="89"/>
      <c r="H5" s="89"/>
      <c r="I5" s="89" t="s">
        <v>2</v>
      </c>
      <c r="J5" s="90"/>
    </row>
    <row r="6" spans="1:10" ht="24.9" customHeight="1" thickBot="1" x14ac:dyDescent="0.35">
      <c r="A6" s="10"/>
      <c r="B6" s="82"/>
      <c r="C6" s="83"/>
      <c r="D6" s="83"/>
      <c r="E6" s="11" t="s">
        <v>3</v>
      </c>
      <c r="F6" s="11" t="s">
        <v>4</v>
      </c>
      <c r="G6" s="11" t="s">
        <v>23</v>
      </c>
      <c r="H6" s="11" t="s">
        <v>24</v>
      </c>
      <c r="I6" s="91"/>
      <c r="J6" s="92"/>
    </row>
    <row r="7" spans="1:10" ht="24.9" customHeight="1" thickBot="1" x14ac:dyDescent="0.35">
      <c r="A7" s="10"/>
      <c r="B7" s="87" t="s">
        <v>21</v>
      </c>
      <c r="C7" s="88"/>
      <c r="D7" s="88"/>
      <c r="E7" s="28" t="s">
        <v>18</v>
      </c>
      <c r="F7" s="28" t="s">
        <v>19</v>
      </c>
      <c r="G7" s="28" t="s">
        <v>22</v>
      </c>
      <c r="H7" s="28" t="s">
        <v>20</v>
      </c>
      <c r="I7" s="93" t="s">
        <v>25</v>
      </c>
      <c r="J7" s="94"/>
    </row>
    <row r="8" spans="1:10" ht="40.200000000000003" customHeight="1" x14ac:dyDescent="0.3">
      <c r="A8" s="10"/>
      <c r="B8" s="50" t="s">
        <v>176</v>
      </c>
      <c r="C8" s="51"/>
      <c r="D8" s="51"/>
      <c r="E8" s="33"/>
      <c r="F8" s="34"/>
      <c r="G8" s="35"/>
      <c r="H8" s="36"/>
      <c r="I8" s="60"/>
      <c r="J8" s="61"/>
    </row>
    <row r="9" spans="1:10" ht="40.200000000000003" customHeight="1" x14ac:dyDescent="0.3">
      <c r="A9" s="10"/>
      <c r="B9" s="52" t="s">
        <v>177</v>
      </c>
      <c r="C9" s="53"/>
      <c r="D9" s="53"/>
      <c r="E9" s="8">
        <v>5</v>
      </c>
      <c r="F9" s="25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66"/>
      <c r="J9" s="67"/>
    </row>
    <row r="10" spans="1:10" ht="40.200000000000003" customHeight="1" x14ac:dyDescent="0.3">
      <c r="A10" s="10"/>
      <c r="B10" s="52" t="s">
        <v>178</v>
      </c>
      <c r="C10" s="53"/>
      <c r="D10" s="53"/>
      <c r="E10" s="8">
        <v>5</v>
      </c>
      <c r="F10" s="44">
        <v>4</v>
      </c>
      <c r="G10" s="30">
        <f t="shared" ref="G10:G30" si="0">IFERROR(F10/E10,"")</f>
        <v>0.8</v>
      </c>
      <c r="H10" s="31" t="str">
        <f t="shared" ref="H10:H30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66"/>
      <c r="J10" s="67"/>
    </row>
    <row r="11" spans="1:10" ht="40.200000000000003" customHeight="1" x14ac:dyDescent="0.3">
      <c r="A11" s="10"/>
      <c r="B11" s="52" t="s">
        <v>179</v>
      </c>
      <c r="C11" s="53"/>
      <c r="D11" s="53"/>
      <c r="E11" s="32"/>
      <c r="F11" s="25"/>
      <c r="G11" s="30"/>
      <c r="H11" s="31"/>
      <c r="I11" s="66"/>
      <c r="J11" s="67"/>
    </row>
    <row r="12" spans="1:10" ht="40.200000000000003" customHeight="1" x14ac:dyDescent="0.3">
      <c r="A12" s="10"/>
      <c r="B12" s="54" t="s">
        <v>180</v>
      </c>
      <c r="C12" s="55"/>
      <c r="D12" s="55"/>
      <c r="E12" s="8">
        <v>5</v>
      </c>
      <c r="F12" s="25">
        <v>3.75</v>
      </c>
      <c r="G12" s="30">
        <f t="shared" si="0"/>
        <v>0.75</v>
      </c>
      <c r="H12" s="31" t="str">
        <f t="shared" si="1"/>
        <v>جيد</v>
      </c>
      <c r="I12" s="66"/>
      <c r="J12" s="67"/>
    </row>
    <row r="13" spans="1:10" ht="40.200000000000003" customHeight="1" x14ac:dyDescent="0.3">
      <c r="A13" s="10"/>
      <c r="B13" s="54" t="s">
        <v>181</v>
      </c>
      <c r="C13" s="55"/>
      <c r="D13" s="55"/>
      <c r="E13" s="8">
        <v>5</v>
      </c>
      <c r="F13" s="44">
        <v>3.75</v>
      </c>
      <c r="G13" s="30">
        <f t="shared" si="0"/>
        <v>0.75</v>
      </c>
      <c r="H13" s="31" t="str">
        <f t="shared" si="1"/>
        <v>جيد</v>
      </c>
      <c r="I13" s="66"/>
      <c r="J13" s="67"/>
    </row>
    <row r="14" spans="1:10" ht="40.200000000000003" customHeight="1" x14ac:dyDescent="0.3">
      <c r="A14" s="10"/>
      <c r="B14" s="54" t="s">
        <v>182</v>
      </c>
      <c r="C14" s="55"/>
      <c r="D14" s="55"/>
      <c r="E14" s="8">
        <v>5</v>
      </c>
      <c r="F14" s="44">
        <v>3.75</v>
      </c>
      <c r="G14" s="30">
        <f t="shared" si="0"/>
        <v>0.75</v>
      </c>
      <c r="H14" s="31" t="str">
        <f t="shared" si="1"/>
        <v>جيد</v>
      </c>
      <c r="I14" s="66"/>
      <c r="J14" s="67"/>
    </row>
    <row r="15" spans="1:10" ht="40.200000000000003" customHeight="1" thickBot="1" x14ac:dyDescent="0.35">
      <c r="A15" s="10"/>
      <c r="B15" s="56" t="s">
        <v>183</v>
      </c>
      <c r="C15" s="57"/>
      <c r="D15" s="57"/>
      <c r="E15" s="39">
        <v>5</v>
      </c>
      <c r="F15" s="44">
        <v>3.75</v>
      </c>
      <c r="G15" s="37">
        <f t="shared" si="0"/>
        <v>0.75</v>
      </c>
      <c r="H15" s="38" t="str">
        <f t="shared" si="1"/>
        <v>جيد</v>
      </c>
      <c r="I15" s="68"/>
      <c r="J15" s="69"/>
    </row>
    <row r="16" spans="1:10" ht="40.200000000000003" customHeight="1" thickBot="1" x14ac:dyDescent="0.35">
      <c r="A16" s="10"/>
      <c r="B16" s="46" t="s">
        <v>184</v>
      </c>
      <c r="C16" s="47"/>
      <c r="D16" s="47"/>
      <c r="E16" s="9">
        <v>5</v>
      </c>
      <c r="F16" s="44">
        <v>3.75</v>
      </c>
      <c r="G16" s="41">
        <f t="shared" si="0"/>
        <v>0.75</v>
      </c>
      <c r="H16" s="26" t="str">
        <f t="shared" si="1"/>
        <v>جيد</v>
      </c>
      <c r="I16" s="70"/>
      <c r="J16" s="71"/>
    </row>
    <row r="17" spans="1:10" ht="40.200000000000003" customHeight="1" x14ac:dyDescent="0.3">
      <c r="A17" s="10"/>
      <c r="B17" s="58" t="s">
        <v>198</v>
      </c>
      <c r="C17" s="59"/>
      <c r="D17" s="59"/>
      <c r="E17" s="42"/>
      <c r="F17" s="34"/>
      <c r="G17" s="35"/>
      <c r="H17" s="36"/>
      <c r="I17" s="60"/>
      <c r="J17" s="61"/>
    </row>
    <row r="18" spans="1:10" ht="56.4" customHeight="1" x14ac:dyDescent="0.3">
      <c r="A18" s="10"/>
      <c r="B18" s="52" t="s">
        <v>185</v>
      </c>
      <c r="C18" s="53"/>
      <c r="D18" s="53"/>
      <c r="E18" s="8">
        <v>5</v>
      </c>
      <c r="F18" s="25">
        <v>4</v>
      </c>
      <c r="G18" s="30">
        <f t="shared" si="0"/>
        <v>0.8</v>
      </c>
      <c r="H18" s="31" t="str">
        <f t="shared" si="1"/>
        <v>جيد جداً</v>
      </c>
      <c r="I18" s="66"/>
      <c r="J18" s="67"/>
    </row>
    <row r="19" spans="1:10" ht="40.200000000000003" customHeight="1" x14ac:dyDescent="0.3">
      <c r="A19" s="10"/>
      <c r="B19" s="52" t="s">
        <v>186</v>
      </c>
      <c r="C19" s="53"/>
      <c r="D19" s="53"/>
      <c r="E19" s="8">
        <v>5</v>
      </c>
      <c r="F19" s="25">
        <v>3.75</v>
      </c>
      <c r="G19" s="30">
        <f t="shared" si="0"/>
        <v>0.75</v>
      </c>
      <c r="H19" s="31" t="str">
        <f t="shared" si="1"/>
        <v>جيد</v>
      </c>
      <c r="I19" s="66"/>
      <c r="J19" s="67"/>
    </row>
    <row r="20" spans="1:10" ht="40.200000000000003" customHeight="1" thickBot="1" x14ac:dyDescent="0.35">
      <c r="A20" s="10"/>
      <c r="B20" s="48" t="s">
        <v>187</v>
      </c>
      <c r="C20" s="49"/>
      <c r="D20" s="49"/>
      <c r="E20" s="39">
        <v>5</v>
      </c>
      <c r="F20" s="44">
        <v>3.75</v>
      </c>
      <c r="G20" s="37">
        <f t="shared" si="0"/>
        <v>0.75</v>
      </c>
      <c r="H20" s="38" t="str">
        <f t="shared" si="1"/>
        <v>جيد</v>
      </c>
      <c r="I20" s="68"/>
      <c r="J20" s="69"/>
    </row>
    <row r="21" spans="1:10" ht="40.200000000000003" customHeight="1" x14ac:dyDescent="0.3">
      <c r="A21" s="10"/>
      <c r="B21" s="50" t="s">
        <v>188</v>
      </c>
      <c r="C21" s="51"/>
      <c r="D21" s="51"/>
      <c r="E21" s="42"/>
      <c r="F21" s="34"/>
      <c r="G21" s="35"/>
      <c r="H21" s="36"/>
      <c r="I21" s="60"/>
      <c r="J21" s="61"/>
    </row>
    <row r="22" spans="1:10" ht="40.200000000000003" customHeight="1" x14ac:dyDescent="0.3">
      <c r="A22" s="10"/>
      <c r="B22" s="52" t="s">
        <v>189</v>
      </c>
      <c r="C22" s="53"/>
      <c r="D22" s="53"/>
      <c r="E22" s="32"/>
      <c r="F22" s="25"/>
      <c r="G22" s="30"/>
      <c r="H22" s="31"/>
      <c r="I22" s="66"/>
      <c r="J22" s="67"/>
    </row>
    <row r="23" spans="1:10" ht="40.200000000000003" customHeight="1" x14ac:dyDescent="0.3">
      <c r="A23" s="10"/>
      <c r="B23" s="54" t="s">
        <v>190</v>
      </c>
      <c r="C23" s="55"/>
      <c r="D23" s="55"/>
      <c r="E23" s="8">
        <v>5</v>
      </c>
      <c r="F23" s="25">
        <v>3.75</v>
      </c>
      <c r="G23" s="30">
        <f t="shared" si="0"/>
        <v>0.75</v>
      </c>
      <c r="H23" s="31" t="str">
        <f t="shared" si="1"/>
        <v>جيد</v>
      </c>
      <c r="I23" s="66"/>
      <c r="J23" s="67"/>
    </row>
    <row r="24" spans="1:10" ht="40.200000000000003" customHeight="1" x14ac:dyDescent="0.3">
      <c r="A24" s="10"/>
      <c r="B24" s="54" t="s">
        <v>191</v>
      </c>
      <c r="C24" s="55"/>
      <c r="D24" s="55"/>
      <c r="E24" s="8">
        <v>5</v>
      </c>
      <c r="F24" s="44">
        <v>3.75</v>
      </c>
      <c r="G24" s="30">
        <f t="shared" si="0"/>
        <v>0.75</v>
      </c>
      <c r="H24" s="31" t="str">
        <f t="shared" si="1"/>
        <v>جيد</v>
      </c>
      <c r="I24" s="66"/>
      <c r="J24" s="67"/>
    </row>
    <row r="25" spans="1:10" ht="40.200000000000003" customHeight="1" x14ac:dyDescent="0.3">
      <c r="A25" s="10"/>
      <c r="B25" s="52" t="s">
        <v>192</v>
      </c>
      <c r="C25" s="53"/>
      <c r="D25" s="53"/>
      <c r="E25" s="8">
        <v>5</v>
      </c>
      <c r="F25" s="44">
        <v>3.75</v>
      </c>
      <c r="G25" s="30">
        <f t="shared" si="0"/>
        <v>0.75</v>
      </c>
      <c r="H25" s="31" t="str">
        <f t="shared" si="1"/>
        <v>جيد</v>
      </c>
      <c r="I25" s="66"/>
      <c r="J25" s="67"/>
    </row>
    <row r="26" spans="1:10" ht="40.200000000000003" customHeight="1" thickBot="1" x14ac:dyDescent="0.35">
      <c r="A26" s="10"/>
      <c r="B26" s="48" t="s">
        <v>193</v>
      </c>
      <c r="C26" s="49"/>
      <c r="D26" s="49"/>
      <c r="E26" s="39">
        <v>5</v>
      </c>
      <c r="F26" s="27">
        <v>3.5</v>
      </c>
      <c r="G26" s="37">
        <f t="shared" si="0"/>
        <v>0.7</v>
      </c>
      <c r="H26" s="38" t="str">
        <f t="shared" si="1"/>
        <v>جيد</v>
      </c>
      <c r="I26" s="68"/>
      <c r="J26" s="69"/>
    </row>
    <row r="27" spans="1:10" ht="40.200000000000003" customHeight="1" thickBot="1" x14ac:dyDescent="0.35">
      <c r="A27" s="10"/>
      <c r="B27" s="46" t="s">
        <v>194</v>
      </c>
      <c r="C27" s="47"/>
      <c r="D27" s="47"/>
      <c r="E27" s="9">
        <v>5</v>
      </c>
      <c r="F27" s="45">
        <v>3.5</v>
      </c>
      <c r="G27" s="41">
        <f t="shared" si="0"/>
        <v>0.7</v>
      </c>
      <c r="H27" s="26" t="str">
        <f t="shared" si="1"/>
        <v>جيد</v>
      </c>
      <c r="I27" s="70"/>
      <c r="J27" s="71"/>
    </row>
    <row r="28" spans="1:10" ht="40.200000000000003" customHeight="1" thickBot="1" x14ac:dyDescent="0.35">
      <c r="A28" s="10"/>
      <c r="B28" s="46" t="s">
        <v>195</v>
      </c>
      <c r="C28" s="47"/>
      <c r="D28" s="47"/>
      <c r="E28" s="9">
        <v>5</v>
      </c>
      <c r="F28" s="40">
        <v>4</v>
      </c>
      <c r="G28" s="41">
        <f t="shared" si="0"/>
        <v>0.8</v>
      </c>
      <c r="H28" s="26" t="str">
        <f t="shared" si="1"/>
        <v>جيد جداً</v>
      </c>
      <c r="I28" s="70"/>
      <c r="J28" s="71"/>
    </row>
    <row r="29" spans="1:10" ht="40.200000000000003" customHeight="1" thickBot="1" x14ac:dyDescent="0.35">
      <c r="A29" s="10"/>
      <c r="B29" s="46" t="s">
        <v>196</v>
      </c>
      <c r="C29" s="47"/>
      <c r="D29" s="47"/>
      <c r="E29" s="9">
        <v>5</v>
      </c>
      <c r="F29" s="40">
        <v>3.75</v>
      </c>
      <c r="G29" s="41">
        <f t="shared" si="0"/>
        <v>0.75</v>
      </c>
      <c r="H29" s="26" t="str">
        <f t="shared" si="1"/>
        <v>جيد</v>
      </c>
      <c r="I29" s="70"/>
      <c r="J29" s="71"/>
    </row>
    <row r="30" spans="1:10" ht="40.200000000000003" customHeight="1" thickBot="1" x14ac:dyDescent="0.35">
      <c r="A30" s="10"/>
      <c r="B30" s="46" t="s">
        <v>197</v>
      </c>
      <c r="C30" s="47"/>
      <c r="D30" s="47"/>
      <c r="E30" s="43">
        <v>5</v>
      </c>
      <c r="F30" s="40">
        <v>3.75</v>
      </c>
      <c r="G30" s="41">
        <f t="shared" si="0"/>
        <v>0.75</v>
      </c>
      <c r="H30" s="26" t="str">
        <f t="shared" si="1"/>
        <v>جيد</v>
      </c>
      <c r="I30" s="70"/>
      <c r="J30" s="71"/>
    </row>
    <row r="31" spans="1:10" ht="30" customHeight="1" thickBot="1" x14ac:dyDescent="0.35">
      <c r="A31" s="4"/>
      <c r="B31" s="62" t="s">
        <v>5</v>
      </c>
      <c r="C31" s="63"/>
      <c r="D31" s="63"/>
      <c r="E31" s="29">
        <f>SUM(E8:E30)</f>
        <v>90</v>
      </c>
      <c r="F31" s="29">
        <f>SUM(F8:F30)</f>
        <v>68</v>
      </c>
      <c r="G31" s="96"/>
      <c r="H31" s="97"/>
      <c r="I31" s="97"/>
      <c r="J31" s="98"/>
    </row>
    <row r="32" spans="1:10" ht="30" customHeight="1" thickBot="1" x14ac:dyDescent="0.35">
      <c r="A32" s="4"/>
      <c r="B32" s="64" t="s">
        <v>54</v>
      </c>
      <c r="C32" s="65"/>
      <c r="D32" s="65"/>
      <c r="E32" s="85">
        <f>F31/E31/100*100</f>
        <v>0.75555555555555554</v>
      </c>
      <c r="F32" s="85"/>
      <c r="G32" s="85"/>
      <c r="H32" s="85"/>
      <c r="I32" s="85"/>
      <c r="J32" s="86"/>
    </row>
    <row r="33" spans="1:10" ht="30" customHeight="1" thickBot="1" x14ac:dyDescent="0.35">
      <c r="A33" s="4"/>
      <c r="B33" s="64" t="s">
        <v>55</v>
      </c>
      <c r="C33" s="65"/>
      <c r="D33" s="65"/>
      <c r="E33" s="76" t="str">
        <f>_xlfn.IFS(E32&gt;=90%,"ممتاز",E32&gt;=80%,"جيد جداً",E32&gt;=70%,"جيد",E32&gt;=60%,"مقبول",E32&lt;60%,"راسب")</f>
        <v>جيد</v>
      </c>
      <c r="F33" s="76"/>
      <c r="G33" s="76"/>
      <c r="H33" s="76"/>
      <c r="I33" s="76"/>
      <c r="J33" s="77"/>
    </row>
    <row r="34" spans="1:10" ht="42" customHeight="1" x14ac:dyDescent="0.3">
      <c r="B34" s="72" t="s">
        <v>175</v>
      </c>
      <c r="C34" s="72"/>
      <c r="D34" s="72"/>
      <c r="E34" s="99" t="s">
        <v>52</v>
      </c>
      <c r="F34" s="99"/>
      <c r="G34" s="74" t="s">
        <v>59</v>
      </c>
      <c r="H34" s="74"/>
      <c r="I34" s="74"/>
      <c r="J34" s="74"/>
    </row>
    <row r="35" spans="1:10" ht="51" customHeight="1" x14ac:dyDescent="0.3">
      <c r="A35" s="5"/>
      <c r="B35" s="73"/>
      <c r="C35" s="73"/>
      <c r="D35" s="73"/>
      <c r="E35" s="95" t="s">
        <v>53</v>
      </c>
      <c r="F35" s="95"/>
      <c r="G35" s="75"/>
      <c r="H35" s="75"/>
      <c r="I35" s="75"/>
      <c r="J35" s="75"/>
    </row>
  </sheetData>
  <sheetProtection formatCells="0" formatColumns="0" formatRows="0" insertColumns="0" insertRows="0" insertHyperlinks="0" deleteColumns="0" deleteRows="0" selectLockedCells="1" sort="0" autoFilter="0" pivotTables="0"/>
  <mergeCells count="68">
    <mergeCell ref="F4:J4"/>
    <mergeCell ref="E35:F35"/>
    <mergeCell ref="G31:J31"/>
    <mergeCell ref="I20:J20"/>
    <mergeCell ref="I21:J21"/>
    <mergeCell ref="I22:J22"/>
    <mergeCell ref="I23:J23"/>
    <mergeCell ref="I24:J24"/>
    <mergeCell ref="I25:J25"/>
    <mergeCell ref="I26:J26"/>
    <mergeCell ref="I27:J27"/>
    <mergeCell ref="E34:F34"/>
    <mergeCell ref="B34:D35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32:J32"/>
    <mergeCell ref="B7:D7"/>
    <mergeCell ref="I30:J30"/>
    <mergeCell ref="E5:H5"/>
    <mergeCell ref="I5:J6"/>
    <mergeCell ref="I7:J7"/>
    <mergeCell ref="B33:D3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B18:D18"/>
    <mergeCell ref="B19:D19"/>
    <mergeCell ref="I8:J8"/>
    <mergeCell ref="B31:D31"/>
    <mergeCell ref="B32:D32"/>
    <mergeCell ref="I10:J10"/>
    <mergeCell ref="I9:J9"/>
    <mergeCell ref="B13:D13"/>
    <mergeCell ref="B14:D14"/>
    <mergeCell ref="B15:D15"/>
    <mergeCell ref="B16:D16"/>
    <mergeCell ref="B17:D17"/>
    <mergeCell ref="B8:D8"/>
    <mergeCell ref="B9:D9"/>
    <mergeCell ref="B10:D10"/>
    <mergeCell ref="B11:D11"/>
    <mergeCell ref="B12:D12"/>
    <mergeCell ref="B29:D29"/>
    <mergeCell ref="B30:D30"/>
    <mergeCell ref="B20:D20"/>
    <mergeCell ref="B21:D21"/>
    <mergeCell ref="B26:D26"/>
    <mergeCell ref="B27:D27"/>
    <mergeCell ref="B28:D28"/>
    <mergeCell ref="B22:D22"/>
    <mergeCell ref="B23:D23"/>
    <mergeCell ref="B24:D24"/>
    <mergeCell ref="B25:D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14" priority="57">
      <formula>$E33="راسب"</formula>
    </cfRule>
  </conditionalFormatting>
  <conditionalFormatting sqref="E33:J33">
    <cfRule type="expression" dxfId="13" priority="58">
      <formula>$E33="مقبول"</formula>
    </cfRule>
    <cfRule type="expression" dxfId="12" priority="59">
      <formula>$E33="جيد"</formula>
    </cfRule>
    <cfRule type="expression" dxfId="11" priority="60">
      <formula>$E33="جيد جداً"</formula>
    </cfRule>
    <cfRule type="expression" dxfId="10" priority="61">
      <formula>$E33="ممتاز"</formula>
    </cfRule>
  </conditionalFormatting>
  <conditionalFormatting sqref="F8:F3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4:J34">
    <cfRule type="containsText" dxfId="6" priority="15" operator="containsText" text="أدخل اسم المحكم">
      <formula>NOT(ISERROR(SEARCH("أدخل اسم المحكم",G34)))</formula>
    </cfRule>
  </conditionalFormatting>
  <conditionalFormatting sqref="H8:H3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F18:F20 F12:F16 F9:F10 F23:F30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G34:J34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3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3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3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3" t="s">
        <v>152</v>
      </c>
    </row>
    <row r="264" spans="1:1" ht="20.100000000000001" customHeight="1" x14ac:dyDescent="0.3">
      <c r="A264" s="23" t="s">
        <v>153</v>
      </c>
    </row>
    <row r="265" spans="1:1" ht="20.100000000000001" customHeight="1" x14ac:dyDescent="0.3">
      <c r="A265" s="23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3" t="s">
        <v>159</v>
      </c>
    </row>
    <row r="271" spans="1:1" ht="20.100000000000001" customHeight="1" x14ac:dyDescent="0.3">
      <c r="A271" s="23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3" t="s">
        <v>162</v>
      </c>
    </row>
    <row r="274" spans="1:1" ht="20.100000000000001" customHeight="1" x14ac:dyDescent="0.3">
      <c r="A274" s="23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3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3" t="s">
        <v>171</v>
      </c>
    </row>
    <row r="283" spans="1:1" ht="20.100000000000001" customHeight="1" x14ac:dyDescent="0.3">
      <c r="A283" s="23" t="s">
        <v>172</v>
      </c>
    </row>
    <row r="284" spans="1:1" ht="20.100000000000001" customHeight="1" x14ac:dyDescent="0.3">
      <c r="A284" s="23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2025-10-30T05:54:03Z</dcterms:modified>
</cp:coreProperties>
</file>