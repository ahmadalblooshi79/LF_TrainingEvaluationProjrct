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9088C43-73D9-4128-875A-B5829A30A2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<sst xmlns="http://schemas.openxmlformats.org/spreadsheetml/2006/main" count="279" uniqueCount="223">
  <si>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</si>
  <si>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</si>
  <si>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</si>
  <si>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</si>
  <si>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</si>
  <si>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</si>
  <si>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</si>
  <si>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</si>
  <si>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</si>
  <si>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</si>
  <si>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</si>
  <si>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</si>
  <si>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</si>
  <si>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</si>
  <si>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</si>
  <si>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</si>
  <si>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</si>
  <si>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</si>
  <si>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</si>
  <si>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</si>
  <si>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</si>
  <si>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</si>
  <si>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</si>
  <si>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</si>
  <si>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</si>
  <si>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</si>
  <si>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</si>
  <si>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</si>
  <si>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</si>
  <si>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</si>
  <si>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</si>
  <si>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</si>
  <si>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</si>
  <si>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</si>
  <si>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</si>
  <si>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</si>
  <si>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</si>
  <si>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</si>
  <si>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</si>
  <si>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</si>
  <si>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</si>
  <si>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</si>
  <si>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</si>
  <si>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</si>
  <si>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</si>
  <si>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</si>
  <si>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</si>
  <si>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</si>
  <si>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</si>
  <si>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</si>
  <si>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</si>
  <si>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</si>
  <si>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</si>
  <si>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</si>
  <si>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</si>
  <si>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</si>
  <si>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</si>
  <si>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</si>
  <si>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</si>
  <si>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</si>
  <si>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</si>
  <si>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</si>
  <si>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</si>
  <si>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</si>
  <si>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</si>
  <si>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</si>
  <si>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</si>
  <si>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</si>
  <si>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</si>
  <si>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</si>
  <si>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</si>
  <si>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</si>
  <si>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</si>
  <si>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</si>
  <si>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</si>
  <si>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</si>
  <si>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</si>
  <si>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</si>
  <si>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</si>
  <si>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</si>
  <si>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</si>
  <si>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</si>
  <si>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</si>
  <si>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</si>
  <si>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</si>
  <si>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</si>
  <si>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</si>
  <si>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</si>
  <si>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</si>
  <si>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</si>
  <si>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</si>
  <si>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</si>
  <si>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</si>
  <si>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</si>
  <si>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</si>
  <si>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</si>
  <si>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</si>
  <si>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</si>
  <si>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</si>
  <si>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</si>
  <si>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</si>
  <si>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</si>
  <si>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</si>
  <si>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</si>
  <si>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</si>
  <si>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</si>
  <si>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</si>
  <si>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</si>
  <si>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</si>
  <si>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</si>
  <si>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</si>
  <si>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</si>
  <si>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</si>
  <si>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</si>
  <si>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</si>
  <si>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</si>
  <si>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</si>
  <si>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</si>
  <si>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</si>
  <si>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</si>
  <si>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</si>
  <si>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</si>
  <si>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</si>
  <si>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</si>
  <si>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</si>
  <si>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</si>
  <si>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</si>
  <si>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</si>
  <si>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</si>
  <si>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</si>
  <si>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</si>
  <si>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</si>
  <si>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</si>
  <si>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</si>
  <si>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</si>
  <si>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</si>
  <si>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</si>
  <si>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</si>
  <si>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</si>
  <si>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</si>
  <si>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</si>
  <si>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</si>
  <si>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</si>
  <si>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</si>
  <si>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</si>
  <si>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</si>
  <si>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</si>
  <si>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</si>
  <si>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</si>
  <si>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</si>
  <si>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</si>
  <si>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</si>
  <si>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</si>
  <si>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</si>
  <si>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</si>
  <si>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</si>
  <si>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</si>
  <si>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</si>
  <si>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</si>
  <si>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</si>
  <si>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</si>
  <si>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</si>
  <si>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</si>
  <si>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</si>
  <si>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</si>
  <si>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</si>
  <si>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</si>
  <si>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</si>
  <si>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</si>
  <si>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</si>
  <si>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</si>
  <si>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</si>
  <si>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</si>
  <si>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</si>
  <si>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</si>
  <si>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</si>
  <si>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</si>
  <si>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</si>
  <si>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</si>
  <si>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</si>
  <si>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</si>
  <si>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</si>
  <si>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</si>
  <si>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</si>
  <si>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</si>
  <si>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</si>
  <si>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</si>
  <si>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</si>
  <si>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</si>
  <si>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</si>
  <si>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</si>
  <si>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</si>
  <si>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</si>
  <si>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</si>
  <si>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</si>
  <si>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</si>
  <si>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</si>
  <si>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</si>
  <si>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</si>
  <si>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</si>
  <si>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</si>
  <si>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</si>
  <si>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</si>
  <si>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</si>
  <si>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</si>
  <si>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</si>
  <si>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</si>
  <si>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</si>
  <si>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</si>
  <si>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</si>
  <si>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</si>
  <si>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</si>
  <si>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</si>
  <si>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</si>
  <si>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</si>
  <si>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</si>
  <si>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</si>
  <si>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</si>
  <si>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</si>
  <si>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</si>
  <si>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</si>
  <si>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</si>
  <si>
    <t>نقيب / حميد سعيد مسير الظاهري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</si>
</sst>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257466</xdr:colOff>
      <xdr:row>55</xdr:row>
      <xdr:rowOff>423032</xdr:rowOff>
    </xdr:from>
    <xdr:to>
      <xdr:col>8</xdr:col>
      <xdr:colOff>113445</xdr:colOff>
      <xdr:row>56</xdr:row>
      <xdr:rowOff>633180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B7B8ED1-7F1B-2D88-5386-900A87663567}"/>
                </a:ext>
              </a:extLst>
            </xdr14:cNvPr>
            <xdr14:cNvContentPartPr/>
          </xdr14:nvContentPartPr>
          <xdr14:nvPr macro=""/>
          <xdr14:xfrm>
            <a:off x="10399131464" y="27514440"/>
            <a:ext cx="1172160" cy="741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7B8ED1-7F1B-2D88-5386-900A8766356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22824" y="27505800"/>
              <a:ext cx="1189800" cy="75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7:17:13.7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3150 985 12610,'0'0'0,"0"0"0,-2-6 744,-1-6-352,-1 8-23,-10 0-129,14 4-240,0-3 240,0 2-72,0-1 16,0 1 88,0 1-272,0 0 304,0 0 88,-2 0-56,-1 0-104,3 0-232,-2 4 176,-3 0-192,-6 11-40,-1-11 0,12-4 56,-14 21-56,-2-4 56,4 7 8,-9 0 40,21-24-48,-20 30 8,-3 3 32,-2 2 104,-2 2 16,27-37-160,-28 36 304,0-4 88,2-2 24,3-6 0,23-24-416,-21 21 337,2-2-65,1-6-56,9-9-32,9-4-184,-3 13 136,-4-13 16,2 3-16,5-3 0,0 0-136,0 0 72,0-2-16,0-2-48,0 0-16,0 4 8,0-6-40,0-7 0,0 9-48,0-15 104,0 19-16,0-16 24,0-3-8,0-1 32,0 2-64,0 18 16,0-20 24,0 1 0,0 4 56,0 1-8,0 14-72,0-13 64,0 9 40,0-2 8,0 2 64,0 4-176,0-2 216,-1 2-24,-2 0-24,-1 3-72,4-3-96,-12 4-32,7 13-40,-14-1-72,3 5 0,16-21 144,-21 30-96,-4 6-48,1 5 64,-6 1 24,30-42 56,-25 43-80,-3 1 80,1-4-16,4-6 8,23-34 8,-20 30-24,1-8-32,7-5 8,5-3-16,7-14 64,-5 3-72,1 1-40,0-4-56,1 0-88,3 0 256,0 0-320,0-1-48,0-2-9,3-1 1,-3 4 376,4-13-200,0 9 72,-4-11 144,0 9 104,0 6-120,5-14 136,-5 9 80,0 1-16,0 0 41,0 4-241,0-3 280,0 2 64,-2 1 32,-1 0-88,3 0-288,-6 2 224,-6 10-200,-2-1-120,0 3-56,14-14 152,-20 20-128,-2 5 32,1 4 16,-4-1 48,25-28 32,-21 27-40,0-3 16,0-1 0,7-3 0,14-20 24,-11 16 0,-2-5 48,9-8-48,-1 0 120,5-3-120,-2 0 88,-2 0-32,-1-3 104,5-8-120,0 11-40,0-13 96,-3-3-8,3-5-32,-2-8-32,2 29-24,-2-32 48,-1-7 32,3-6 16,0-3 32,0 48-128,0-55 80,5-8-8,0-5 56,-3-9 16,-2 77-144,11-79 144,-6-4-32,12-3-32,-6-11-56,-11 97-24,17-96 16,1-2 0,1 6 8,-3 15-104,-16 77 80,10-60 24,-8 15 96,2 9-56,3 10 16,-7 26-80,0-19 208,0 8 0,0 8 48,0 3 112,0 0-368,0 0 152,-5 4-288,-8 13 40,-4 5 32,17-22 64,-18 35-184,-5 13 80,0 12 8,-4 6 0,27-66 96,-25 72-48,2 2 72,-3 2-128,3-1-136,23-75 240,-21 73-176,0-1 32,3-4-24,-4-1 72,22-67 96,-21 61-128,6-3 64,-5-6-8,2-5 104,18-47-32,-17 44 32,1-5-112,0-7 128,2-5-56,14-27 8,-12 22 24,10-7 16,-4-9-32,3-2-32,3-4 24,-5 3 16,3-3 56,2 0-96,0-2-16,0 2 40,2-3-32,-2-1-48,5-8 32,-5 0-48,0 12 96,0-17-72,0-5 16,5-2 24,-4-1 104,-1 25-72,5-25 56,-2 3 16,-3 1 16,0 4-32,0 17-56,0-13 72,0 8-32,0-1 80,0 2 160,0 4-280,0-2 200,-3 1 24,3 1-96,-6 0-184,6 0 56,-5 3-24,0-1-120,-4 3-80,4-1 16,5-4 208,-11 11-272,8-8-48,-1 0-32,1 1-40,3-4 392,-2 3-512,2 0 32,0-3-65,0 0-7,0 0 552,0 0-448,2 0 128,-2 0 56,0 0 104,0 0 160,3-1-80,-3-1 48,0 2 112,0 0 32,0 0-112,0 0 232,0 0-16,-3 4 8,1 1-8,2-5-216,-5 14 112,-8 0-40,5 3 48,-10 5-56,18-22-64,-14 24 56,0 1 16,-3 1-56,2-1-8,15-25-8,-17 26 16,3-5-40,2-4 48,-2-3-16,14-14-8,-4 4 24,-1 9 48,0-13-72,5 0 112,0 0-112,0 0 129,0-1-33,0-3-8,0-9-40,0 13-48,0-14 48,0-6 0,0-10 64,0-11 32,0 41-144,5-47 200,-2-5 144,1-7 72,0-3 208,-4 62-624,12-67 576,-9-2-56,10-5 0,-1-2-152,-12 76-368,15-79 352,3-5-55,-2-2-41,5-6-128,-21 92-128,21-93 64,4-2 8,3 3-88,3 4 40,-31 88-24,30-78-24,-5 8 64,2 12-24,-9 10-16,-18 48 0,18-31 80,-13 12-104,5 15 48,-10 2-24,0 2 0,-3 0-80,-2 5-96,-8 17-32,-4 11 72,17-33 136,-23 55-112,-10 22 31,-6 17 73,-5 15-64,44-109 72,-50 119-104,2 8 48,2 4 16,-1 3-24,47-134 64,-47 133-56,3-9 24,2-8-88,0-15 32,42-101 88,-37 87 8,2-15 24,2-8 96,-1-9 48,34-55-176,-33 50 176,7-9 1,0-8-1,3-10-16,7-9 24,16-14-184,-12 3 176,8 0-40,1-3-96,1-2-104,2 2 64,0-11-184,0-3-16,5-15 48,7-9-8,-12 38 160,2-51-96,19-8-1,-7-1 25,2-3 24,-16 63 48,18-58-32,4 1 72,-6 6-24,0 5 80,-16 46-96,11-38 105,2 8-17,-11 12-40,0 5-8,-2 13-40,3-1 136,-3-1-24,0 2 176,0 0-80,0 0-208,-3 5 168,1 6-112,-5-7-88,-9 19 8,16-23 24,-12 23-128,-5 5 8,-1 4-8,0 2 16,18-34 112,-20 35-40,2-3 80,4-3-144,-2-2-128,16-27 232,-15 21-176,4 0 40,7-2-33,-9-5 49,13-14 120,-2 13-104,-4-9-96,3 0 128,-9 9 72,12-13 0,0 0-48,-4 3-8,-1-1 32,3 1 48,2-3-24,-4 3 24,-8 0 48,9 0-24,-8 1-8,11-4-40,-5 4 16,-7 9 40,5-10-32,-9 13-104,16-16 80,-12 12 0,-4 5 16,-3 3-48,1 3-56,18-23 88,-18 27-40,-6-1 8,-4 1-16,0 0 88,28-27-40,-30 27-32,-3-1 48,-1 1-16,1-4 64,33-23-64,-37 23 16,-1-5-40,-3-1 88,1-2-8,40-15-56,-40 4 128,-1 10 40,1-14-8,5 0 17,35 0-177,-35 0 216,5-4 40,4-9-48,5 2 8,21 11-216,-19-13 152,3-1-40,4 1-40,10-1-32,2 14-40,-3-15-16,3-3-32,15-6 0,1-3-8,-16 27 56,26-30 0,7-1-24,6-2-8,10-2 48,-49 35-16,61-36 16,8 1 8,15-1 24,6 1-24,-90 35-24,103-37 0,6 2 0,4-1 0,3 2 0,-116 34 0,116-34 16,1 0 8,4 0 32,-3-5 88,-118 39-144,124-39 64,-1-1 8,-9-3-96,-5-4 8,-109 47 16,108-49 0,-9-4-32,-1-6-64,-2-2 0,-96 61 96,88-66-16,-9-1 16,-6-1 96,-10-1-8,-63 69-88,50-68 72,-7-2 8,-15 3 128,-8 2 120,-20 65-328,15-61 280,-15 4 64,-3 3-112,-14 9 0,17 45-232,-23-40 240,-9 4-32,-17 4-64,-14 5-72,63 27-72,-75-24 0,-13 6-72,-16 5-32,-10 9-24,114 4 128,-128-3-48,-14 3 48,-14 18 32,-10 9-32,166-27 0,-175 40-72,-4 11 144,-2 14 32,-8 10 72,189-75-176,-183 80 160,5 4-88,20 1 16,16-1-104,142-84 16,-123 79 56,20-1-40,22-4-192,21-7-320,60-67 496,-40 62-976,17-5-560,18-6-601,5-6-479,0-45 2616,23 40-3393,12-8-2824,12-14-769,-47-18 6986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5" t="s">
        <v>221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3">
      <c r="B2" s="11" t="s">
        <v>8</v>
      </c>
      <c r="C2" s="61" t="s">
        <v>39</v>
      </c>
      <c r="D2" s="61"/>
      <c r="E2" s="11" t="s">
        <v>7</v>
      </c>
      <c r="F2" s="56">
        <v>45954</v>
      </c>
      <c r="G2" s="56"/>
      <c r="H2" s="56"/>
      <c r="I2" s="56"/>
      <c r="J2" s="56"/>
    </row>
    <row r="3" spans="1:10" ht="30" customHeight="1" x14ac:dyDescent="0.3">
      <c r="B3" s="11" t="s">
        <v>9</v>
      </c>
      <c r="C3" s="61" t="s">
        <v>80</v>
      </c>
      <c r="D3" s="61"/>
      <c r="E3" s="11" t="s">
        <v>6</v>
      </c>
      <c r="F3" s="61" t="s">
        <v>142</v>
      </c>
      <c r="G3" s="61"/>
      <c r="H3" s="61"/>
      <c r="I3" s="61"/>
      <c r="J3" s="61"/>
    </row>
    <row r="4" spans="1:10" ht="30" customHeight="1" thickBot="1" x14ac:dyDescent="0.35">
      <c r="B4" s="6"/>
      <c r="C4" s="87" t="s">
        <v>222</v>
      </c>
      <c r="D4" s="8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10"/>
      <c r="B6" s="59"/>
      <c r="C6" s="60"/>
      <c r="D6" s="60"/>
      <c r="E6" s="20" t="s">
        <v>3</v>
      </c>
      <c r="F6" s="20" t="s">
        <v>4</v>
      </c>
      <c r="G6" s="20" t="s">
        <v>23</v>
      </c>
      <c r="H6" s="20" t="s">
        <v>24</v>
      </c>
      <c r="I6" s="68"/>
      <c r="J6" s="69"/>
    </row>
    <row r="7" spans="1:10" ht="24.9" customHeight="1" thickBot="1" x14ac:dyDescent="0.35">
      <c r="A7" s="10"/>
      <c r="B7" s="64" t="s">
        <v>21</v>
      </c>
      <c r="C7" s="65"/>
      <c r="D7" s="65"/>
      <c r="E7" s="28" t="s">
        <v>18</v>
      </c>
      <c r="F7" s="28" t="s">
        <v>19</v>
      </c>
      <c r="G7" s="28" t="s">
        <v>22</v>
      </c>
      <c r="H7" s="28" t="s">
        <v>20</v>
      </c>
      <c r="I7" s="70" t="s">
        <v>25</v>
      </c>
      <c r="J7" s="71"/>
    </row>
    <row r="8" spans="1:10" ht="39.9" customHeight="1" x14ac:dyDescent="0.3">
      <c r="A8" s="10"/>
      <c r="B8" s="40" t="s">
        <v>175</v>
      </c>
      <c r="C8" s="41"/>
      <c r="D8" s="41"/>
      <c r="E8" s="41"/>
      <c r="F8" s="41"/>
      <c r="G8" s="41"/>
      <c r="H8" s="41"/>
      <c r="I8" s="41"/>
      <c r="J8" s="42"/>
    </row>
    <row r="9" spans="1:10" ht="39.9" customHeight="1" x14ac:dyDescent="0.3">
      <c r="A9" s="10"/>
      <c r="B9" s="43" t="s">
        <v>209</v>
      </c>
      <c r="C9" s="44"/>
      <c r="D9" s="44"/>
      <c r="E9" s="35"/>
      <c r="F9" s="18"/>
      <c r="G9" s="30"/>
      <c r="H9" s="31"/>
      <c r="I9" s="49"/>
      <c r="J9" s="50"/>
    </row>
    <row r="10" spans="1:10" ht="59.25" customHeight="1" x14ac:dyDescent="0.3">
      <c r="A10" s="10"/>
      <c r="B10" s="36" t="s">
        <v>176</v>
      </c>
      <c r="C10" s="37"/>
      <c r="D10" s="37"/>
      <c r="E10" s="9">
        <v>5</v>
      </c>
      <c r="F10" s="18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9.9" customHeight="1" x14ac:dyDescent="0.3">
      <c r="A11" s="10"/>
      <c r="B11" s="36" t="s">
        <v>177</v>
      </c>
      <c r="C11" s="37"/>
      <c r="D11" s="37"/>
      <c r="E11" s="9">
        <v>5</v>
      </c>
      <c r="F11" s="18">
        <v>3.75</v>
      </c>
      <c r="G11" s="30">
        <f t="shared" si="0"/>
        <v>0.75</v>
      </c>
      <c r="H11" s="31" t="str">
        <f t="shared" si="1"/>
        <v>جيد</v>
      </c>
      <c r="I11" s="49"/>
      <c r="J11" s="50"/>
    </row>
    <row r="12" spans="1:10" ht="39.9" customHeight="1" x14ac:dyDescent="0.3">
      <c r="A12" s="10"/>
      <c r="B12" s="36" t="s">
        <v>178</v>
      </c>
      <c r="C12" s="37"/>
      <c r="D12" s="37"/>
      <c r="E12" s="35"/>
      <c r="F12" s="18"/>
      <c r="G12" s="30"/>
      <c r="H12" s="31"/>
      <c r="I12" s="49"/>
      <c r="J12" s="50"/>
    </row>
    <row r="13" spans="1:10" ht="39.9" customHeight="1" x14ac:dyDescent="0.3">
      <c r="A13" s="10"/>
      <c r="B13" s="51" t="s">
        <v>179</v>
      </c>
      <c r="C13" s="52"/>
      <c r="D13" s="52"/>
      <c r="E13" s="9">
        <v>5</v>
      </c>
      <c r="F13" s="18">
        <v>3.5</v>
      </c>
      <c r="G13" s="30">
        <f t="shared" si="0"/>
        <v>0.7</v>
      </c>
      <c r="H13" s="31" t="str">
        <f t="shared" si="1"/>
        <v>جيد</v>
      </c>
      <c r="I13" s="49"/>
      <c r="J13" s="50"/>
    </row>
    <row r="14" spans="1:10" ht="39.9" customHeight="1" x14ac:dyDescent="0.3">
      <c r="A14" s="10"/>
      <c r="B14" s="51" t="s">
        <v>180</v>
      </c>
      <c r="C14" s="52"/>
      <c r="D14" s="52"/>
      <c r="E14" s="9">
        <v>5</v>
      </c>
      <c r="F14" s="18">
        <v>3.75</v>
      </c>
      <c r="G14" s="30">
        <f t="shared" si="0"/>
        <v>0.75</v>
      </c>
      <c r="H14" s="31" t="str">
        <f t="shared" si="1"/>
        <v>جيد</v>
      </c>
      <c r="I14" s="49"/>
      <c r="J14" s="50"/>
    </row>
    <row r="15" spans="1:10" ht="54" customHeight="1" x14ac:dyDescent="0.3">
      <c r="A15" s="10"/>
      <c r="B15" s="51" t="s">
        <v>181</v>
      </c>
      <c r="C15" s="52"/>
      <c r="D15" s="52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9"/>
      <c r="J15" s="50"/>
    </row>
    <row r="16" spans="1:10" ht="39.9" customHeight="1" x14ac:dyDescent="0.3">
      <c r="A16" s="10"/>
      <c r="B16" s="51" t="s">
        <v>182</v>
      </c>
      <c r="C16" s="52"/>
      <c r="D16" s="52"/>
      <c r="E16" s="9">
        <v>5</v>
      </c>
      <c r="F16" s="18">
        <v>3.5</v>
      </c>
      <c r="G16" s="30">
        <f t="shared" si="0"/>
        <v>0.7</v>
      </c>
      <c r="H16" s="31" t="str">
        <f t="shared" si="1"/>
        <v>جيد</v>
      </c>
      <c r="I16" s="49"/>
      <c r="J16" s="50"/>
    </row>
    <row r="17" spans="1:10" ht="39.9" customHeight="1" x14ac:dyDescent="0.3">
      <c r="A17" s="10"/>
      <c r="B17" s="51" t="s">
        <v>183</v>
      </c>
      <c r="C17" s="52"/>
      <c r="D17" s="52"/>
      <c r="E17" s="9">
        <v>5</v>
      </c>
      <c r="F17" s="18">
        <v>3.5</v>
      </c>
      <c r="G17" s="30">
        <f t="shared" si="0"/>
        <v>0.7</v>
      </c>
      <c r="H17" s="31" t="str">
        <f t="shared" si="1"/>
        <v>جيد</v>
      </c>
      <c r="I17" s="49"/>
      <c r="J17" s="50"/>
    </row>
    <row r="18" spans="1:10" ht="39.9" customHeight="1" x14ac:dyDescent="0.3">
      <c r="A18" s="10"/>
      <c r="B18" s="36" t="s">
        <v>184</v>
      </c>
      <c r="C18" s="37"/>
      <c r="D18" s="37"/>
      <c r="E18" s="9">
        <v>5</v>
      </c>
      <c r="F18" s="18">
        <v>3.5</v>
      </c>
      <c r="G18" s="30">
        <f t="shared" si="0"/>
        <v>0.7</v>
      </c>
      <c r="H18" s="31" t="str">
        <f t="shared" si="1"/>
        <v>جيد</v>
      </c>
      <c r="I18" s="49"/>
      <c r="J18" s="50"/>
    </row>
    <row r="19" spans="1:10" ht="39.9" customHeight="1" x14ac:dyDescent="0.3">
      <c r="A19" s="10"/>
      <c r="B19" s="36" t="s">
        <v>185</v>
      </c>
      <c r="C19" s="37"/>
      <c r="D19" s="37"/>
      <c r="E19" s="35"/>
      <c r="F19" s="18"/>
      <c r="G19" s="30"/>
      <c r="H19" s="31"/>
      <c r="I19" s="49"/>
      <c r="J19" s="50"/>
    </row>
    <row r="20" spans="1:10" ht="39.9" customHeight="1" x14ac:dyDescent="0.3">
      <c r="A20" s="10"/>
      <c r="B20" s="51" t="s">
        <v>186</v>
      </c>
      <c r="C20" s="52"/>
      <c r="D20" s="52"/>
      <c r="E20" s="9">
        <v>5</v>
      </c>
      <c r="F20" s="18">
        <v>3.75</v>
      </c>
      <c r="G20" s="30">
        <f t="shared" si="0"/>
        <v>0.75</v>
      </c>
      <c r="H20" s="31" t="str">
        <f t="shared" si="1"/>
        <v>جيد</v>
      </c>
      <c r="I20" s="49"/>
      <c r="J20" s="50"/>
    </row>
    <row r="21" spans="1:10" ht="39.9" customHeight="1" x14ac:dyDescent="0.3">
      <c r="A21" s="10"/>
      <c r="B21" s="51" t="s">
        <v>187</v>
      </c>
      <c r="C21" s="52"/>
      <c r="D21" s="52"/>
      <c r="E21" s="9">
        <v>5</v>
      </c>
      <c r="F21" s="18">
        <v>3.75</v>
      </c>
      <c r="G21" s="30">
        <f t="shared" si="0"/>
        <v>0.75</v>
      </c>
      <c r="H21" s="31" t="str">
        <f t="shared" si="1"/>
        <v>جيد</v>
      </c>
      <c r="I21" s="49"/>
      <c r="J21" s="50"/>
    </row>
    <row r="22" spans="1:10" ht="39.9" customHeight="1" x14ac:dyDescent="0.3">
      <c r="A22" s="10"/>
      <c r="B22" s="51" t="s">
        <v>188</v>
      </c>
      <c r="C22" s="52"/>
      <c r="D22" s="52"/>
      <c r="E22" s="9">
        <v>5</v>
      </c>
      <c r="F22" s="18">
        <v>3.5</v>
      </c>
      <c r="G22" s="30">
        <f t="shared" si="0"/>
        <v>0.7</v>
      </c>
      <c r="H22" s="31" t="str">
        <f t="shared" si="1"/>
        <v>جيد</v>
      </c>
      <c r="I22" s="49"/>
      <c r="J22" s="50"/>
    </row>
    <row r="23" spans="1:10" ht="39.9" customHeight="1" thickBot="1" x14ac:dyDescent="0.35">
      <c r="A23" s="10"/>
      <c r="B23" s="45" t="s">
        <v>210</v>
      </c>
      <c r="C23" s="46"/>
      <c r="D23" s="46"/>
      <c r="E23" s="32">
        <v>5</v>
      </c>
      <c r="F23" s="19">
        <v>3.5</v>
      </c>
      <c r="G23" s="33">
        <f t="shared" si="0"/>
        <v>0.7</v>
      </c>
      <c r="H23" s="34" t="str">
        <f t="shared" si="1"/>
        <v>جيد</v>
      </c>
      <c r="I23" s="53"/>
      <c r="J23" s="54"/>
    </row>
    <row r="24" spans="1:10" ht="39.9" customHeight="1" x14ac:dyDescent="0.3">
      <c r="A24" s="10"/>
      <c r="B24" s="40" t="s">
        <v>189</v>
      </c>
      <c r="C24" s="41"/>
      <c r="D24" s="41"/>
      <c r="E24" s="41"/>
      <c r="F24" s="41"/>
      <c r="G24" s="41"/>
      <c r="H24" s="41"/>
      <c r="I24" s="41"/>
      <c r="J24" s="42"/>
    </row>
    <row r="25" spans="1:10" ht="39.9" customHeight="1" x14ac:dyDescent="0.3">
      <c r="A25" s="10"/>
      <c r="B25" s="43" t="s">
        <v>211</v>
      </c>
      <c r="C25" s="44"/>
      <c r="D25" s="44"/>
      <c r="E25" s="9">
        <v>5</v>
      </c>
      <c r="F25" s="18">
        <v>3.75</v>
      </c>
      <c r="G25" s="30">
        <f t="shared" si="0"/>
        <v>0.75</v>
      </c>
      <c r="H25" s="31" t="str">
        <f t="shared" si="1"/>
        <v>جيد</v>
      </c>
      <c r="I25" s="49"/>
      <c r="J25" s="50"/>
    </row>
    <row r="26" spans="1:10" ht="39.9" customHeight="1" x14ac:dyDescent="0.3">
      <c r="A26" s="10"/>
      <c r="B26" s="43" t="s">
        <v>212</v>
      </c>
      <c r="C26" s="44"/>
      <c r="D26" s="44"/>
      <c r="E26" s="35"/>
      <c r="F26" s="18"/>
      <c r="G26" s="30"/>
      <c r="H26" s="31"/>
      <c r="I26" s="49"/>
      <c r="J26" s="50"/>
    </row>
    <row r="27" spans="1:10" ht="39.9" customHeight="1" x14ac:dyDescent="0.3">
      <c r="A27" s="10"/>
      <c r="B27" s="36" t="s">
        <v>190</v>
      </c>
      <c r="C27" s="37"/>
      <c r="D27" s="37"/>
      <c r="E27" s="9">
        <v>5</v>
      </c>
      <c r="F27" s="18">
        <v>3.5</v>
      </c>
      <c r="G27" s="30">
        <f t="shared" si="0"/>
        <v>0.7</v>
      </c>
      <c r="H27" s="31" t="str">
        <f t="shared" si="1"/>
        <v>جيد</v>
      </c>
      <c r="I27" s="49"/>
      <c r="J27" s="50"/>
    </row>
    <row r="28" spans="1:10" ht="39.9" customHeight="1" x14ac:dyDescent="0.3">
      <c r="A28" s="10"/>
      <c r="B28" s="36" t="s">
        <v>191</v>
      </c>
      <c r="C28" s="37"/>
      <c r="D28" s="37"/>
      <c r="E28" s="9">
        <v>5</v>
      </c>
      <c r="F28" s="18">
        <v>3.75</v>
      </c>
      <c r="G28" s="30">
        <f t="shared" si="0"/>
        <v>0.75</v>
      </c>
      <c r="H28" s="31" t="str">
        <f t="shared" si="1"/>
        <v>جيد</v>
      </c>
      <c r="I28" s="49"/>
      <c r="J28" s="50"/>
    </row>
    <row r="29" spans="1:10" ht="39.9" customHeight="1" x14ac:dyDescent="0.3">
      <c r="A29" s="10"/>
      <c r="B29" s="36" t="s">
        <v>192</v>
      </c>
      <c r="C29" s="37"/>
      <c r="D29" s="37"/>
      <c r="E29" s="9">
        <v>5</v>
      </c>
      <c r="F29" s="18">
        <v>3.75</v>
      </c>
      <c r="G29" s="30">
        <f t="shared" si="0"/>
        <v>0.75</v>
      </c>
      <c r="H29" s="31" t="str">
        <f t="shared" si="1"/>
        <v>جيد</v>
      </c>
      <c r="I29" s="49"/>
      <c r="J29" s="50"/>
    </row>
    <row r="30" spans="1:10" ht="39.9" customHeight="1" x14ac:dyDescent="0.3">
      <c r="A30" s="10"/>
      <c r="B30" s="43" t="s">
        <v>213</v>
      </c>
      <c r="C30" s="44"/>
      <c r="D30" s="44"/>
      <c r="E30" s="35"/>
      <c r="F30" s="18"/>
      <c r="G30" s="30"/>
      <c r="H30" s="31"/>
      <c r="I30" s="49"/>
      <c r="J30" s="50"/>
    </row>
    <row r="31" spans="1:10" ht="39.9" customHeight="1" x14ac:dyDescent="0.3">
      <c r="A31" s="10"/>
      <c r="B31" s="36" t="s">
        <v>193</v>
      </c>
      <c r="C31" s="37"/>
      <c r="D31" s="37"/>
      <c r="E31" s="9">
        <v>5</v>
      </c>
      <c r="F31" s="18">
        <v>3.75</v>
      </c>
      <c r="G31" s="30">
        <f t="shared" si="0"/>
        <v>0.75</v>
      </c>
      <c r="H31" s="31" t="str">
        <f t="shared" si="1"/>
        <v>جيد</v>
      </c>
      <c r="I31" s="49"/>
      <c r="J31" s="50"/>
    </row>
    <row r="32" spans="1:10" ht="39.9" customHeight="1" x14ac:dyDescent="0.3">
      <c r="A32" s="10"/>
      <c r="B32" s="36" t="s">
        <v>194</v>
      </c>
      <c r="C32" s="37"/>
      <c r="D32" s="37"/>
      <c r="E32" s="9">
        <v>5</v>
      </c>
      <c r="F32" s="18">
        <v>3.75</v>
      </c>
      <c r="G32" s="30">
        <f t="shared" si="0"/>
        <v>0.75</v>
      </c>
      <c r="H32" s="31" t="str">
        <f t="shared" si="1"/>
        <v>جيد</v>
      </c>
      <c r="I32" s="49"/>
      <c r="J32" s="50"/>
    </row>
    <row r="33" spans="1:10" ht="39.9" customHeight="1" x14ac:dyDescent="0.3">
      <c r="A33" s="10"/>
      <c r="B33" s="36" t="s">
        <v>195</v>
      </c>
      <c r="C33" s="37"/>
      <c r="D33" s="37"/>
      <c r="E33" s="9">
        <v>5</v>
      </c>
      <c r="F33" s="18">
        <v>3.5</v>
      </c>
      <c r="G33" s="30">
        <f t="shared" si="0"/>
        <v>0.7</v>
      </c>
      <c r="H33" s="31" t="str">
        <f t="shared" si="1"/>
        <v>جيد</v>
      </c>
      <c r="I33" s="49"/>
      <c r="J33" s="50"/>
    </row>
    <row r="34" spans="1:10" ht="39.9" customHeight="1" x14ac:dyDescent="0.3">
      <c r="A34" s="10"/>
      <c r="B34" s="36" t="s">
        <v>196</v>
      </c>
      <c r="C34" s="37"/>
      <c r="D34" s="37"/>
      <c r="E34" s="9">
        <v>5</v>
      </c>
      <c r="F34" s="18">
        <v>3.5</v>
      </c>
      <c r="G34" s="30">
        <f t="shared" si="0"/>
        <v>0.7</v>
      </c>
      <c r="H34" s="31" t="str">
        <f t="shared" si="1"/>
        <v>جيد</v>
      </c>
      <c r="I34" s="49"/>
      <c r="J34" s="50"/>
    </row>
    <row r="35" spans="1:10" ht="39.9" customHeight="1" thickBot="1" x14ac:dyDescent="0.35">
      <c r="A35" s="10"/>
      <c r="B35" s="45" t="s">
        <v>214</v>
      </c>
      <c r="C35" s="46"/>
      <c r="D35" s="46"/>
      <c r="E35" s="32">
        <v>5</v>
      </c>
      <c r="F35" s="19">
        <v>3.75</v>
      </c>
      <c r="G35" s="33">
        <f t="shared" si="0"/>
        <v>0.75</v>
      </c>
      <c r="H35" s="34" t="str">
        <f t="shared" si="1"/>
        <v>جيد</v>
      </c>
      <c r="I35" s="53"/>
      <c r="J35" s="54"/>
    </row>
    <row r="36" spans="1:10" ht="39.9" customHeight="1" x14ac:dyDescent="0.3">
      <c r="A36" s="10"/>
      <c r="B36" s="40" t="s">
        <v>197</v>
      </c>
      <c r="C36" s="41"/>
      <c r="D36" s="41"/>
      <c r="E36" s="41"/>
      <c r="F36" s="41"/>
      <c r="G36" s="41"/>
      <c r="H36" s="41"/>
      <c r="I36" s="41"/>
      <c r="J36" s="42"/>
    </row>
    <row r="37" spans="1:10" ht="39.9" customHeight="1" x14ac:dyDescent="0.3">
      <c r="A37" s="10"/>
      <c r="B37" s="43" t="s">
        <v>215</v>
      </c>
      <c r="C37" s="44"/>
      <c r="D37" s="44"/>
      <c r="E37" s="9">
        <v>5</v>
      </c>
      <c r="F37" s="18">
        <v>3.75</v>
      </c>
      <c r="G37" s="30">
        <f t="shared" si="0"/>
        <v>0.75</v>
      </c>
      <c r="H37" s="31" t="str">
        <f t="shared" si="1"/>
        <v>جيد</v>
      </c>
      <c r="I37" s="49"/>
      <c r="J37" s="50"/>
    </row>
    <row r="38" spans="1:10" ht="39.9" customHeight="1" x14ac:dyDescent="0.3">
      <c r="A38" s="10"/>
      <c r="B38" s="47" t="s">
        <v>216</v>
      </c>
      <c r="C38" s="48"/>
      <c r="D38" s="48"/>
      <c r="E38" s="9">
        <v>5</v>
      </c>
      <c r="F38" s="18">
        <v>3.75</v>
      </c>
      <c r="G38" s="30">
        <f t="shared" si="0"/>
        <v>0.75</v>
      </c>
      <c r="H38" s="31" t="str">
        <f t="shared" si="1"/>
        <v>جيد</v>
      </c>
      <c r="I38" s="49"/>
      <c r="J38" s="50"/>
    </row>
    <row r="39" spans="1:10" ht="39.9" customHeight="1" x14ac:dyDescent="0.3">
      <c r="A39" s="10"/>
      <c r="B39" s="47" t="s">
        <v>217</v>
      </c>
      <c r="C39" s="48"/>
      <c r="D39" s="48"/>
      <c r="E39" s="35"/>
      <c r="F39" s="18"/>
      <c r="G39" s="30"/>
      <c r="H39" s="31"/>
      <c r="I39" s="49"/>
      <c r="J39" s="50"/>
    </row>
    <row r="40" spans="1:10" ht="39.9" customHeight="1" x14ac:dyDescent="0.3">
      <c r="A40" s="10"/>
      <c r="B40" s="36" t="s">
        <v>198</v>
      </c>
      <c r="C40" s="37"/>
      <c r="D40" s="37"/>
      <c r="E40" s="9">
        <v>5</v>
      </c>
      <c r="F40" s="18">
        <v>3.5</v>
      </c>
      <c r="G40" s="30">
        <f t="shared" si="0"/>
        <v>0.7</v>
      </c>
      <c r="H40" s="31" t="str">
        <f t="shared" si="1"/>
        <v>جيد</v>
      </c>
      <c r="I40" s="49"/>
      <c r="J40" s="50"/>
    </row>
    <row r="41" spans="1:10" ht="39.9" customHeight="1" x14ac:dyDescent="0.3">
      <c r="A41" s="10"/>
      <c r="B41" s="36" t="s">
        <v>199</v>
      </c>
      <c r="C41" s="37"/>
      <c r="D41" s="37"/>
      <c r="E41" s="9">
        <v>5</v>
      </c>
      <c r="F41" s="18">
        <v>3.75</v>
      </c>
      <c r="G41" s="30">
        <f t="shared" si="0"/>
        <v>0.75</v>
      </c>
      <c r="H41" s="31" t="str">
        <f t="shared" si="1"/>
        <v>جيد</v>
      </c>
      <c r="I41" s="49"/>
      <c r="J41" s="50"/>
    </row>
    <row r="42" spans="1:10" ht="39.9" customHeight="1" x14ac:dyDescent="0.3">
      <c r="A42" s="10"/>
      <c r="B42" s="36" t="s">
        <v>200</v>
      </c>
      <c r="C42" s="37"/>
      <c r="D42" s="37"/>
      <c r="E42" s="9">
        <v>5</v>
      </c>
      <c r="F42" s="18">
        <v>3.75</v>
      </c>
      <c r="G42" s="30">
        <f t="shared" si="0"/>
        <v>0.75</v>
      </c>
      <c r="H42" s="31" t="str">
        <f t="shared" si="1"/>
        <v>جيد</v>
      </c>
      <c r="I42" s="49"/>
      <c r="J42" s="50"/>
    </row>
    <row r="43" spans="1:10" ht="39.9" customHeight="1" x14ac:dyDescent="0.3">
      <c r="A43" s="10"/>
      <c r="B43" s="36" t="s">
        <v>201</v>
      </c>
      <c r="C43" s="37"/>
      <c r="D43" s="37"/>
      <c r="E43" s="9">
        <v>5</v>
      </c>
      <c r="F43" s="18">
        <v>3.5</v>
      </c>
      <c r="G43" s="30">
        <f t="shared" si="0"/>
        <v>0.7</v>
      </c>
      <c r="H43" s="31" t="str">
        <f t="shared" si="1"/>
        <v>جيد</v>
      </c>
      <c r="I43" s="49"/>
      <c r="J43" s="50"/>
    </row>
    <row r="44" spans="1:10" ht="39.9" customHeight="1" x14ac:dyDescent="0.3">
      <c r="A44" s="10"/>
      <c r="B44" s="36" t="s">
        <v>202</v>
      </c>
      <c r="C44" s="37"/>
      <c r="D44" s="37"/>
      <c r="E44" s="9">
        <v>5</v>
      </c>
      <c r="F44" s="18">
        <v>3.5</v>
      </c>
      <c r="G44" s="30">
        <f t="shared" si="0"/>
        <v>0.7</v>
      </c>
      <c r="H44" s="31" t="str">
        <f t="shared" si="1"/>
        <v>جيد</v>
      </c>
      <c r="I44" s="49"/>
      <c r="J44" s="50"/>
    </row>
    <row r="45" spans="1:10" ht="39.9" customHeight="1" x14ac:dyDescent="0.3">
      <c r="A45" s="10"/>
      <c r="B45" s="43" t="s">
        <v>218</v>
      </c>
      <c r="C45" s="44"/>
      <c r="D45" s="44"/>
      <c r="E45" s="9"/>
      <c r="F45" s="18"/>
      <c r="G45" s="30"/>
      <c r="H45" s="31"/>
      <c r="I45" s="49"/>
      <c r="J45" s="50"/>
    </row>
    <row r="46" spans="1:10" ht="39.9" customHeight="1" x14ac:dyDescent="0.3">
      <c r="A46" s="10"/>
      <c r="B46" s="36" t="s">
        <v>203</v>
      </c>
      <c r="C46" s="37"/>
      <c r="D46" s="37"/>
      <c r="E46" s="9">
        <v>5</v>
      </c>
      <c r="F46" s="18">
        <v>3.75</v>
      </c>
      <c r="G46" s="30">
        <f t="shared" si="0"/>
        <v>0.75</v>
      </c>
      <c r="H46" s="31" t="str">
        <f t="shared" si="1"/>
        <v>جيد</v>
      </c>
      <c r="I46" s="49"/>
      <c r="J46" s="50"/>
    </row>
    <row r="47" spans="1:10" ht="39.9" customHeight="1" x14ac:dyDescent="0.3">
      <c r="A47" s="10"/>
      <c r="B47" s="36" t="s">
        <v>204</v>
      </c>
      <c r="C47" s="37"/>
      <c r="D47" s="37"/>
      <c r="E47" s="9">
        <v>5</v>
      </c>
      <c r="F47" s="18">
        <v>3.75</v>
      </c>
      <c r="G47" s="30">
        <f t="shared" si="0"/>
        <v>0.75</v>
      </c>
      <c r="H47" s="31" t="str">
        <f t="shared" si="1"/>
        <v>جيد</v>
      </c>
      <c r="I47" s="49"/>
      <c r="J47" s="50"/>
    </row>
    <row r="48" spans="1:10" ht="39.9" customHeight="1" x14ac:dyDescent="0.3">
      <c r="A48" s="10"/>
      <c r="B48" s="36" t="s">
        <v>205</v>
      </c>
      <c r="C48" s="37"/>
      <c r="D48" s="37"/>
      <c r="E48" s="9">
        <v>5</v>
      </c>
      <c r="F48" s="18">
        <v>3.75</v>
      </c>
      <c r="G48" s="30">
        <f t="shared" si="0"/>
        <v>0.75</v>
      </c>
      <c r="H48" s="31" t="str">
        <f t="shared" si="1"/>
        <v>جيد</v>
      </c>
      <c r="I48" s="49"/>
      <c r="J48" s="50"/>
    </row>
    <row r="49" spans="1:10" ht="39.9" customHeight="1" x14ac:dyDescent="0.3">
      <c r="A49" s="10"/>
      <c r="B49" s="36" t="s">
        <v>206</v>
      </c>
      <c r="C49" s="37"/>
      <c r="D49" s="37"/>
      <c r="E49" s="9">
        <v>5</v>
      </c>
      <c r="F49" s="18">
        <v>3.5</v>
      </c>
      <c r="G49" s="30">
        <f t="shared" si="0"/>
        <v>0.7</v>
      </c>
      <c r="H49" s="31" t="str">
        <f t="shared" si="1"/>
        <v>جيد</v>
      </c>
      <c r="I49" s="49"/>
      <c r="J49" s="50"/>
    </row>
    <row r="50" spans="1:10" ht="39.9" customHeight="1" x14ac:dyDescent="0.3">
      <c r="A50" s="10"/>
      <c r="B50" s="36" t="s">
        <v>207</v>
      </c>
      <c r="C50" s="37"/>
      <c r="D50" s="37"/>
      <c r="E50" s="9">
        <v>5</v>
      </c>
      <c r="F50" s="18">
        <v>3.75</v>
      </c>
      <c r="G50" s="30">
        <f t="shared" si="0"/>
        <v>0.75</v>
      </c>
      <c r="H50" s="31" t="str">
        <f t="shared" si="1"/>
        <v>جيد</v>
      </c>
      <c r="I50" s="49"/>
      <c r="J50" s="50"/>
    </row>
    <row r="51" spans="1:10" ht="39.9" customHeight="1" x14ac:dyDescent="0.3">
      <c r="A51" s="10"/>
      <c r="B51" s="36" t="s">
        <v>208</v>
      </c>
      <c r="C51" s="37"/>
      <c r="D51" s="37"/>
      <c r="E51" s="9">
        <v>5</v>
      </c>
      <c r="F51" s="18">
        <v>3.5</v>
      </c>
      <c r="G51" s="30">
        <f t="shared" si="0"/>
        <v>0.7</v>
      </c>
      <c r="H51" s="31" t="str">
        <f t="shared" si="1"/>
        <v>جيد</v>
      </c>
      <c r="I51" s="49"/>
      <c r="J51" s="50"/>
    </row>
    <row r="52" spans="1:10" ht="39.9" customHeight="1" thickBot="1" x14ac:dyDescent="0.35">
      <c r="A52" s="10"/>
      <c r="B52" s="38" t="s">
        <v>219</v>
      </c>
      <c r="C52" s="39"/>
      <c r="D52" s="39"/>
      <c r="E52" s="32">
        <v>5</v>
      </c>
      <c r="F52" s="19">
        <v>3.75</v>
      </c>
      <c r="G52" s="33">
        <f t="shared" si="0"/>
        <v>0.75</v>
      </c>
      <c r="H52" s="34" t="str">
        <f t="shared" si="1"/>
        <v>جيد</v>
      </c>
      <c r="I52" s="53"/>
      <c r="J52" s="54"/>
    </row>
    <row r="53" spans="1:10" ht="30" customHeight="1" thickBot="1" x14ac:dyDescent="0.35">
      <c r="A53" s="4"/>
      <c r="B53" s="78" t="s">
        <v>5</v>
      </c>
      <c r="C53" s="79"/>
      <c r="D53" s="79"/>
      <c r="E53" s="29">
        <f>SUM(E8:E52)</f>
        <v>175</v>
      </c>
      <c r="F53" s="29">
        <f>SUM(F8:F52)</f>
        <v>127.5</v>
      </c>
      <c r="G53" s="84"/>
      <c r="H53" s="85"/>
      <c r="I53" s="85"/>
      <c r="J53" s="86"/>
    </row>
    <row r="54" spans="1:10" ht="30" customHeight="1" thickBot="1" x14ac:dyDescent="0.35">
      <c r="A54" s="4"/>
      <c r="B54" s="80" t="s">
        <v>54</v>
      </c>
      <c r="C54" s="81"/>
      <c r="D54" s="81"/>
      <c r="E54" s="62">
        <f>F53/E53/100*100</f>
        <v>0.72857142857142854</v>
      </c>
      <c r="F54" s="62"/>
      <c r="G54" s="62"/>
      <c r="H54" s="62"/>
      <c r="I54" s="62"/>
      <c r="J54" s="63"/>
    </row>
    <row r="55" spans="1:10" ht="30" customHeight="1" thickBot="1" x14ac:dyDescent="0.35">
      <c r="A55" s="4"/>
      <c r="B55" s="80" t="s">
        <v>55</v>
      </c>
      <c r="C55" s="81"/>
      <c r="D55" s="81"/>
      <c r="E55" s="76" t="str">
        <f>_xlfn.IFS(E54&gt;=90%,"ممتاز",E54&gt;=80%,"جيد جداً",E54&gt;=70%,"جيد",E54&gt;=60%,"مقبول",E54&lt;60%,"راسب")</f>
        <v>جيد</v>
      </c>
      <c r="F55" s="76"/>
      <c r="G55" s="76"/>
      <c r="H55" s="76"/>
      <c r="I55" s="76"/>
      <c r="J55" s="77"/>
    </row>
    <row r="56" spans="1:10" ht="42" customHeight="1" x14ac:dyDescent="0.3">
      <c r="B56" s="72" t="s">
        <v>220</v>
      </c>
      <c r="C56" s="72"/>
      <c r="D56" s="72"/>
      <c r="E56" s="82" t="s">
        <v>52</v>
      </c>
      <c r="F56" s="82"/>
      <c r="G56" s="74" t="s">
        <v>142</v>
      </c>
      <c r="H56" s="74"/>
      <c r="I56" s="74"/>
      <c r="J56" s="74"/>
    </row>
    <row r="57" spans="1:10" ht="51" customHeight="1" x14ac:dyDescent="0.3">
      <c r="A57" s="5"/>
      <c r="B57" s="73"/>
      <c r="C57" s="73"/>
      <c r="D57" s="73"/>
      <c r="E57" s="83" t="s">
        <v>53</v>
      </c>
      <c r="F57" s="83"/>
      <c r="G57" s="75"/>
      <c r="H57" s="75"/>
      <c r="I57" s="75"/>
      <c r="J57" s="75"/>
    </row>
  </sheetData>
  <sheetProtection formatCells="0" formatColumns="0" formatRows="0" insertColumns="0" insertRows="0" insertHyperlinks="0" deleteColumns="0" deleteRows="0" selectLockedCells="1" sort="0" autoFilter="0" pivotTables="0"/>
  <mergeCells count="109"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I26:J26"/>
    <mergeCell ref="I27:J27"/>
    <mergeCell ref="I28:J28"/>
    <mergeCell ref="B1:J1"/>
    <mergeCell ref="F2:J2"/>
    <mergeCell ref="B5:D6"/>
    <mergeCell ref="C2:D2"/>
    <mergeCell ref="C3:D3"/>
    <mergeCell ref="F3:J3"/>
    <mergeCell ref="C4:D4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I19:J19"/>
    <mergeCell ref="I20:J20"/>
    <mergeCell ref="I21:J21"/>
    <mergeCell ref="I22:J22"/>
    <mergeCell ref="I23:J23"/>
    <mergeCell ref="I25:J25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102</v>
      </c>
    </row>
    <row r="213" spans="1:1" ht="20.100000000000001" customHeight="1" x14ac:dyDescent="0.3">
      <c r="A213" s="22" t="s">
        <v>103</v>
      </c>
    </row>
    <row r="214" spans="1:1" ht="20.100000000000001" customHeight="1" x14ac:dyDescent="0.3">
      <c r="A214" s="22" t="s">
        <v>104</v>
      </c>
    </row>
    <row r="215" spans="1:1" ht="20.100000000000001" customHeight="1" x14ac:dyDescent="0.3">
      <c r="A215" s="22" t="s">
        <v>105</v>
      </c>
    </row>
    <row r="216" spans="1:1" ht="20.100000000000001" customHeight="1" x14ac:dyDescent="0.3">
      <c r="A216" s="22" t="s">
        <v>106</v>
      </c>
    </row>
    <row r="217" spans="1:1" ht="20.100000000000001" customHeight="1" x14ac:dyDescent="0.3">
      <c r="A217" s="22" t="s">
        <v>107</v>
      </c>
    </row>
    <row r="218" spans="1:1" ht="20.100000000000001" customHeight="1" x14ac:dyDescent="0.3">
      <c r="A218" s="22" t="s">
        <v>108</v>
      </c>
    </row>
    <row r="219" spans="1:1" ht="20.100000000000001" customHeight="1" x14ac:dyDescent="0.3">
      <c r="A219" s="22" t="s">
        <v>109</v>
      </c>
    </row>
    <row r="220" spans="1:1" ht="20.100000000000001" customHeight="1" x14ac:dyDescent="0.3">
      <c r="A220" s="22" t="s">
        <v>110</v>
      </c>
    </row>
    <row r="221" spans="1:1" ht="20.100000000000001" customHeight="1" x14ac:dyDescent="0.3">
      <c r="A221" s="22" t="s">
        <v>111</v>
      </c>
    </row>
    <row r="222" spans="1:1" ht="20.100000000000001" customHeight="1" x14ac:dyDescent="0.3">
      <c r="A222" s="22" t="s">
        <v>112</v>
      </c>
    </row>
    <row r="223" spans="1:1" ht="20.100000000000001" customHeight="1" x14ac:dyDescent="0.3">
      <c r="A223" s="22" t="s">
        <v>113</v>
      </c>
    </row>
    <row r="224" spans="1:1" ht="20.100000000000001" customHeight="1" x14ac:dyDescent="0.3">
      <c r="A224" s="22" t="s">
        <v>114</v>
      </c>
    </row>
    <row r="225" spans="1:1" ht="20.100000000000001" customHeight="1" x14ac:dyDescent="0.3">
      <c r="A225" s="22" t="s">
        <v>115</v>
      </c>
    </row>
    <row r="226" spans="1:1" ht="20.100000000000001" customHeight="1" x14ac:dyDescent="0.3">
      <c r="A226" s="22" t="s">
        <v>116</v>
      </c>
    </row>
    <row r="227" spans="1:1" ht="20.100000000000001" customHeight="1" x14ac:dyDescent="0.3">
      <c r="A227" s="22" t="s">
        <v>117</v>
      </c>
    </row>
    <row r="228" spans="1:1" ht="20.100000000000001" customHeight="1" x14ac:dyDescent="0.3">
      <c r="A228" s="22" t="s">
        <v>118</v>
      </c>
    </row>
    <row r="229" spans="1:1" ht="20.100000000000001" customHeight="1" x14ac:dyDescent="0.3">
      <c r="A229" s="22" t="s">
        <v>119</v>
      </c>
    </row>
    <row r="230" spans="1:1" ht="20.100000000000001" customHeight="1" x14ac:dyDescent="0.3">
      <c r="A230" s="22" t="s">
        <v>120</v>
      </c>
    </row>
    <row r="231" spans="1:1" ht="20.100000000000001" customHeight="1" x14ac:dyDescent="0.3">
      <c r="A231" s="22" t="s">
        <v>121</v>
      </c>
    </row>
    <row r="232" spans="1:1" ht="20.100000000000001" customHeight="1" x14ac:dyDescent="0.3">
      <c r="A232" s="22" t="s">
        <v>122</v>
      </c>
    </row>
    <row r="233" spans="1:1" ht="20.100000000000001" customHeight="1" x14ac:dyDescent="0.3">
      <c r="A233" s="22" t="s">
        <v>123</v>
      </c>
    </row>
    <row r="234" spans="1:1" ht="20.100000000000001" customHeight="1" x14ac:dyDescent="0.3">
      <c r="A234" s="22" t="s">
        <v>124</v>
      </c>
    </row>
    <row r="235" spans="1:1" ht="20.100000000000001" customHeight="1" x14ac:dyDescent="0.3">
      <c r="A235" s="24" t="s">
        <v>125</v>
      </c>
    </row>
    <row r="236" spans="1:1" ht="20.100000000000001" customHeight="1" x14ac:dyDescent="0.3">
      <c r="A236" s="22" t="s">
        <v>126</v>
      </c>
    </row>
    <row r="237" spans="1:1" ht="20.100000000000001" customHeight="1" x14ac:dyDescent="0.3">
      <c r="A237" s="22" t="s">
        <v>127</v>
      </c>
    </row>
    <row r="238" spans="1:1" ht="20.100000000000001" customHeight="1" x14ac:dyDescent="0.3">
      <c r="A238" s="22" t="s">
        <v>128</v>
      </c>
    </row>
    <row r="239" spans="1:1" ht="20.100000000000001" customHeight="1" x14ac:dyDescent="0.3">
      <c r="A239" s="22" t="s">
        <v>129</v>
      </c>
    </row>
    <row r="240" spans="1:1" ht="20.100000000000001" customHeight="1" x14ac:dyDescent="0.3">
      <c r="A240" s="22" t="s">
        <v>130</v>
      </c>
    </row>
    <row r="241" spans="1:1" ht="20.100000000000001" customHeight="1" x14ac:dyDescent="0.3">
      <c r="A241" s="22" t="s">
        <v>131</v>
      </c>
    </row>
    <row r="242" spans="1:1" ht="20.100000000000001" customHeight="1" x14ac:dyDescent="0.3">
      <c r="A242" s="22" t="s">
        <v>132</v>
      </c>
    </row>
    <row r="243" spans="1:1" ht="20.100000000000001" customHeight="1" x14ac:dyDescent="0.3">
      <c r="A243" s="22" t="s">
        <v>133</v>
      </c>
    </row>
    <row r="244" spans="1:1" ht="20.100000000000001" customHeight="1" x14ac:dyDescent="0.3">
      <c r="A244" s="22" t="s">
        <v>134</v>
      </c>
    </row>
    <row r="245" spans="1:1" ht="20.100000000000001" customHeight="1" x14ac:dyDescent="0.3">
      <c r="A245" s="22" t="s">
        <v>135</v>
      </c>
    </row>
    <row r="246" spans="1:1" ht="20.100000000000001" customHeight="1" x14ac:dyDescent="0.3">
      <c r="A246" s="22" t="s">
        <v>136</v>
      </c>
    </row>
    <row r="247" spans="1:1" ht="20.100000000000001" customHeight="1" x14ac:dyDescent="0.3">
      <c r="A247" s="22" t="s">
        <v>127</v>
      </c>
    </row>
    <row r="248" spans="1:1" ht="20.100000000000001" customHeight="1" x14ac:dyDescent="0.3">
      <c r="A248" s="22" t="s">
        <v>137</v>
      </c>
    </row>
    <row r="249" spans="1:1" ht="20.100000000000001" customHeight="1" x14ac:dyDescent="0.3">
      <c r="A249" s="22" t="s">
        <v>138</v>
      </c>
    </row>
    <row r="250" spans="1:1" ht="20.100000000000001" customHeight="1" x14ac:dyDescent="0.3">
      <c r="A250" s="24" t="s">
        <v>139</v>
      </c>
    </row>
    <row r="251" spans="1:1" ht="20.100000000000001" customHeight="1" x14ac:dyDescent="0.3">
      <c r="A251" s="25" t="s">
        <v>140</v>
      </c>
    </row>
    <row r="252" spans="1:1" ht="20.100000000000001" customHeight="1" x14ac:dyDescent="0.3">
      <c r="A252" s="22" t="s">
        <v>141</v>
      </c>
    </row>
    <row r="253" spans="1:1" ht="20.100000000000001" customHeight="1" x14ac:dyDescent="0.3">
      <c r="A253" s="22" t="s">
        <v>142</v>
      </c>
    </row>
    <row r="254" spans="1:1" ht="20.100000000000001" customHeight="1" x14ac:dyDescent="0.3">
      <c r="A254" s="26" t="s">
        <v>143</v>
      </c>
    </row>
    <row r="255" spans="1:1" ht="20.100000000000001" customHeight="1" x14ac:dyDescent="0.3">
      <c r="A255" s="26" t="s">
        <v>144</v>
      </c>
    </row>
    <row r="256" spans="1:1" ht="20.100000000000001" customHeight="1" x14ac:dyDescent="0.3">
      <c r="A256" s="27" t="s">
        <v>145</v>
      </c>
    </row>
    <row r="257" spans="1:1" ht="20.100000000000001" customHeight="1" x14ac:dyDescent="0.3">
      <c r="A257" s="22" t="s">
        <v>146</v>
      </c>
    </row>
    <row r="258" spans="1:1" ht="20.100000000000001" customHeight="1" x14ac:dyDescent="0.3">
      <c r="A258" s="27" t="s">
        <v>147</v>
      </c>
    </row>
    <row r="259" spans="1:1" ht="20.100000000000001" customHeight="1" x14ac:dyDescent="0.3">
      <c r="A259" s="22" t="s">
        <v>148</v>
      </c>
    </row>
    <row r="260" spans="1:1" ht="20.100000000000001" customHeight="1" x14ac:dyDescent="0.3">
      <c r="A260" s="27" t="s">
        <v>149</v>
      </c>
    </row>
    <row r="261" spans="1:1" ht="20.100000000000001" customHeight="1" x14ac:dyDescent="0.3">
      <c r="A261" s="22" t="s">
        <v>150</v>
      </c>
    </row>
    <row r="262" spans="1:1" ht="20.100000000000001" customHeight="1" x14ac:dyDescent="0.3">
      <c r="A262" s="22" t="s">
        <v>151</v>
      </c>
    </row>
    <row r="263" spans="1:1" ht="20.100000000000001" customHeight="1" x14ac:dyDescent="0.3">
      <c r="A263" s="27" t="s">
        <v>152</v>
      </c>
    </row>
    <row r="264" spans="1:1" ht="20.100000000000001" customHeight="1" x14ac:dyDescent="0.3">
      <c r="A264" s="27" t="s">
        <v>153</v>
      </c>
    </row>
    <row r="265" spans="1:1" ht="20.100000000000001" customHeight="1" x14ac:dyDescent="0.3">
      <c r="A265" s="27" t="s">
        <v>154</v>
      </c>
    </row>
    <row r="266" spans="1:1" ht="20.100000000000001" customHeight="1" x14ac:dyDescent="0.3">
      <c r="A266" s="22" t="s">
        <v>155</v>
      </c>
    </row>
    <row r="267" spans="1:1" ht="20.100000000000001" customHeight="1" x14ac:dyDescent="0.3">
      <c r="A267" s="22" t="s">
        <v>156</v>
      </c>
    </row>
    <row r="268" spans="1:1" ht="20.100000000000001" customHeight="1" x14ac:dyDescent="0.3">
      <c r="A268" s="22" t="s">
        <v>157</v>
      </c>
    </row>
    <row r="269" spans="1:1" ht="20.100000000000001" customHeight="1" x14ac:dyDescent="0.3">
      <c r="A269" s="22" t="s">
        <v>158</v>
      </c>
    </row>
    <row r="270" spans="1:1" ht="20.100000000000001" customHeight="1" x14ac:dyDescent="0.3">
      <c r="A270" s="27" t="s">
        <v>159</v>
      </c>
    </row>
    <row r="271" spans="1:1" ht="20.100000000000001" customHeight="1" x14ac:dyDescent="0.3">
      <c r="A271" s="27" t="s">
        <v>160</v>
      </c>
    </row>
    <row r="272" spans="1:1" ht="20.100000000000001" customHeight="1" x14ac:dyDescent="0.3">
      <c r="A272" s="22" t="s">
        <v>161</v>
      </c>
    </row>
    <row r="273" spans="1:1" ht="20.100000000000001" customHeight="1" x14ac:dyDescent="0.3">
      <c r="A273" s="27" t="s">
        <v>162</v>
      </c>
    </row>
    <row r="274" spans="1:1" ht="20.100000000000001" customHeight="1" x14ac:dyDescent="0.3">
      <c r="A274" s="27" t="s">
        <v>163</v>
      </c>
    </row>
    <row r="275" spans="1:1" ht="20.100000000000001" customHeight="1" x14ac:dyDescent="0.3">
      <c r="A275" s="22" t="s">
        <v>164</v>
      </c>
    </row>
    <row r="276" spans="1:1" ht="20.100000000000001" customHeight="1" x14ac:dyDescent="0.3">
      <c r="A276" s="22" t="s">
        <v>165</v>
      </c>
    </row>
    <row r="277" spans="1:1" ht="20.100000000000001" customHeight="1" x14ac:dyDescent="0.3">
      <c r="A277" s="27" t="s">
        <v>166</v>
      </c>
    </row>
    <row r="278" spans="1:1" ht="20.100000000000001" customHeight="1" x14ac:dyDescent="0.3">
      <c r="A278" s="22" t="s">
        <v>167</v>
      </c>
    </row>
    <row r="279" spans="1:1" ht="20.100000000000001" customHeight="1" x14ac:dyDescent="0.3">
      <c r="A279" s="22" t="s">
        <v>168</v>
      </c>
    </row>
    <row r="280" spans="1:1" ht="20.100000000000001" customHeight="1" x14ac:dyDescent="0.3">
      <c r="A280" s="22" t="s">
        <v>169</v>
      </c>
    </row>
    <row r="281" spans="1:1" ht="20.100000000000001" customHeight="1" x14ac:dyDescent="0.3">
      <c r="A281" s="22" t="s">
        <v>170</v>
      </c>
    </row>
    <row r="282" spans="1:1" ht="20.100000000000001" customHeight="1" x14ac:dyDescent="0.3">
      <c r="A282" s="27" t="s">
        <v>171</v>
      </c>
    </row>
    <row r="283" spans="1:1" ht="20.100000000000001" customHeight="1" x14ac:dyDescent="0.3">
      <c r="A283" s="27" t="s">
        <v>172</v>
      </c>
    </row>
    <row r="284" spans="1:1" ht="20.100000000000001" customHeight="1" x14ac:dyDescent="0.3">
      <c r="A284" s="27" t="s">
        <v>173</v>
      </c>
    </row>
    <row r="285" spans="1:1" ht="20.100000000000001" customHeight="1" thickBot="1" x14ac:dyDescent="0.35">
      <c r="A285" s="22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2025-10-27T22:26:57Z</dcterms:modified>
</cp:coreProperties>
</file>