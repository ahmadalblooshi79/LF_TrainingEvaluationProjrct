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79712E44-60AC-5449-8C78-BBE069303D8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<sst xmlns="http://schemas.openxmlformats.org/spreadsheetml/2006/main" count="284" uniqueCount="227">
  <si>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</si>
  <si>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</si>
  <si>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</si>
  <si>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</si>
  <si>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</si>
  <si>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</si>
  <si>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</si>
  <si>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</si>
  <si>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</si>
  <si>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</si>
  <si>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</si>
  <si>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</si>
  <si>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</si>
  <si>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</si>
  <si>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</si>
  <si>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</si>
  <si>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</si>
  <si>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</si>
  <si>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</si>
  <si>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</si>
  <si>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</si>
  <si>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</si>
  <si>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</si>
  <si>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</si>
  <si>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</si>
  <si>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</si>
  <si>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</si>
  <si>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</si>
  <si>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</si>
  <si>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</si>
  <si>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</si>
  <si>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</si>
  <si>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</si>
  <si>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</si>
  <si>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</si>
  <si>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</si>
  <si>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</si>
  <si>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</si>
  <si>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</si>
  <si>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</si>
  <si>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</si>
  <si>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</si>
  <si>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</si>
  <si>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</si>
  <si>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</si>
  <si>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</si>
  <si>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</si>
  <si>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</si>
  <si>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</si>
  <si>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</si>
  <si>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</si>
  <si>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</si>
  <si>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</si>
  <si>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</si>
  <si>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</si>
  <si>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</si>
  <si>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</si>
  <si>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</si>
  <si>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</si>
  <si>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</si>
  <si>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</si>
  <si>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</si>
  <si>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</si>
  <si>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</si>
  <si>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</si>
  <si>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</si>
  <si>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</si>
  <si>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</si>
  <si>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</si>
  <si>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</si>
  <si>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</si>
  <si>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</si>
  <si>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</si>
  <si>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</si>
  <si>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</si>
  <si>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</si>
  <si>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</si>
  <si>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</si>
  <si>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</si>
  <si>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</si>
  <si>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</si>
  <si>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</si>
  <si>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</si>
  <si>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</si>
  <si>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</si>
  <si>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</si>
  <si>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</si>
  <si>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</si>
  <si>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</si>
  <si>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</si>
  <si>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</si>
  <si>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</si>
  <si>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</si>
  <si>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</si>
  <si>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</si>
  <si>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</si>
  <si>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</si>
  <si>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</si>
  <si>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</si>
  <si>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</si>
  <si>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</si>
  <si>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</si>
  <si>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</si>
  <si>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</si>
  <si>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</si>
  <si>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</si>
  <si>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</si>
  <si>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</si>
  <si>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</si>
  <si>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</si>
  <si>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</si>
  <si>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</si>
  <si>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</si>
  <si>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</si>
  <si>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</si>
  <si>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</si>
  <si>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</si>
  <si>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</si>
  <si>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</si>
  <si>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</si>
  <si>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</si>
  <si>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</si>
  <si>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</si>
  <si>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</si>
  <si>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</si>
  <si>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</si>
  <si>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</si>
  <si>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</si>
  <si>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</si>
  <si>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</si>
  <si>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</si>
  <si>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</si>
  <si>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</si>
  <si>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</si>
  <si>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</si>
  <si>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</si>
  <si>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</si>
  <si>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</si>
  <si>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</si>
  <si>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</si>
  <si>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</si>
  <si>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</si>
  <si>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</si>
  <si>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</si>
  <si>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</si>
  <si>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</si>
  <si>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</si>
  <si>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</si>
  <si>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</si>
  <si>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</si>
  <si>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</si>
  <si>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</si>
  <si>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</si>
  <si>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</si>
  <si>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</si>
  <si>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</si>
  <si>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</si>
  <si>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</si>
  <si>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</si>
  <si>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</si>
  <si>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</si>
  <si>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</si>
  <si>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</si>
  <si>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</si>
  <si>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</si>
  <si>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</si>
  <si>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</si>
  <si>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</si>
  <si>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</si>
  <si>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</si>
  <si>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</si>
  <si>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</si>
  <si>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</si>
  <si>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</si>
  <si>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</si>
  <si>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</si>
  <si>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</si>
  <si>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</si>
  <si>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</si>
  <si>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</si>
  <si>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</si>
  <si>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</si>
  <si>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2.   الاستطلاع من الخارطة أو تنفيذ الاستطلاع من الأرض إن أمكن لتحديد منطقة تجمع أولية لقيادة وحدة المناورة والوحدات المرؤوسة.</t>
  </si>
  <si>
    <t>3.   اختيار منطقة التجمع لوحدة المناورة التي يجب أن توفر ما يلي:</t>
  </si>
  <si>
    <t>أ.   أن تكون خارج مدى مراقبة العدو الأرضية من مواقعه الأمامية.</t>
  </si>
  <si>
    <r>
      <t xml:space="preserve">ب.  </t>
    </r>
    <r>
      <rPr>
        <sz val="12"/>
        <color rgb="FF000000"/>
        <rFont val="Arial"/>
        <family val="2"/>
      </rPr>
      <t>أن تكون محمية ومستورة.</t>
    </r>
  </si>
  <si>
    <r>
      <t xml:space="preserve">جـ.  </t>
    </r>
    <r>
      <rPr>
        <u/>
        <sz val="12"/>
        <color theme="1"/>
        <rFont val="Arial"/>
        <family val="2"/>
      </rPr>
      <t>مسافات الانتشار</t>
    </r>
    <r>
      <rPr>
        <sz val="12"/>
        <color theme="1"/>
        <rFont val="Arial"/>
        <family val="2"/>
      </rPr>
      <t>. يتم انتشار الوحدات في منطقة الحشد بحيث تحقق كثافة انتشار بمعدل ( 40 ) آلية لكل ( 1 ) كم² ومسافة (200) متر بين كل آلية وحسب المساحات التالية :</t>
    </r>
  </si>
  <si>
    <t>(1) انتشار كتيبة  2 × 2 = 4 كم².</t>
  </si>
  <si>
    <t>(2) انتشار مجموعة القتال  2 × 3 = 6 كم².</t>
  </si>
  <si>
    <t>(3) انتشار لواء  4 × 4 = 16 كم².</t>
  </si>
  <si>
    <t>(4) انتشار مجموعة لواء 4 × 6 = 24 كم².</t>
  </si>
  <si>
    <t>د.   لها مداخل ومخارج جيدة.</t>
  </si>
  <si>
    <t>هـ.  أن يتم وضع الإشارات والعلامات فيها بعناية وحذر.</t>
  </si>
  <si>
    <t>4.   تقوم قيادة وحدة المناورة بتحديد موقع لكل وحدة مرؤوسة في منطقة التجمع.</t>
  </si>
  <si>
    <t>أ.   تحديد قائد جماعة المأوى.</t>
  </si>
  <si>
    <t>ب.  إعداد تعليمات جماعة المأوى.</t>
  </si>
  <si>
    <t>جـ.  تعيين عدد كافي من الأفراد للقيام باختيار وتأشير الطرق، توجيه الجسم الرئيسي نحو مواقعه وحماية المنطقة.</t>
  </si>
  <si>
    <t>6.   تحديد نظام المسير الذي يساعد على الاحتلال السريع لمنطقة التجمع.</t>
  </si>
  <si>
    <t>7.   إعداد خطة للدفاع عن منطقة التجمع.</t>
  </si>
  <si>
    <t>8.   تحديد أولوية العمل وتوفير أعمال الصيانة وإعادة التزويد.</t>
  </si>
  <si>
    <t>9.   التخطيط لاحتلال منطقة التجمع في الوقت الذي تكون فيه الرؤية محدودة إن أمكن (مثل ساعات الظلام).</t>
  </si>
  <si>
    <t>10.   دمج ومزامنة الوظائف القتالية بناءً على متغيرات المهمة.</t>
  </si>
  <si>
    <t>11.   تنفيذ إدارة المخاطر.</t>
  </si>
  <si>
    <t>12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</si>
  <si>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</si>
  <si>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التنفيذ</t>
  </si>
  <si>
    <t>1.   إرسال جماعة المأوى لمنطقة التجمع.</t>
  </si>
  <si>
    <t>2.   حركة الجسم الرئيسي واحتلال منطقة التجمع حسب الخطة الموضوعة.</t>
  </si>
  <si>
    <t>3.   تطبيق إجراءات حماية القوات أثناء الحركة.</t>
  </si>
  <si>
    <r>
      <t>4.   تنظيم الدخول لمنطقة التجمع بنظام الأرتال للسرايا وحسب تسلسل بدء الحركة ونظام المسير لكل وحدة وتحتل كل سرية قطاع محدد.</t>
    </r>
    <r>
      <rPr>
        <sz val="12"/>
        <color theme="1"/>
        <rFont val="Arial"/>
        <family val="2"/>
      </rPr>
      <t xml:space="preserve">  </t>
    </r>
  </si>
  <si>
    <t>5.   السيطرة على الطرق المؤدية من وإلى منطقة التجمع.</t>
  </si>
  <si>
    <t>6.   توضيع عناصر الإسناد القتالي مع الوحدات المرؤوسة التي ستقوم بإسنادها.</t>
  </si>
  <si>
    <t>7.   توضيع مركز القيادة والنقليات في منتصف منطقة التجمع.</t>
  </si>
  <si>
    <t>8.   توضيع أسلحة الهاون (إن وُجدت) بناءً على مسافات الاستخدام.</t>
  </si>
  <si>
    <t>9.   تنفيذ الأعمال التالية في منطقة التجمع حسب الأولوية والأوامر التعبوية المستديمة:</t>
  </si>
  <si>
    <t>أ.   الدفاع الدائري ودفع نقاط الحراسات والإنذار المبكر.</t>
  </si>
  <si>
    <t>ب.  تأكيد تفهم الأوامر وخطة العملية القادمة.</t>
  </si>
  <si>
    <t>جـ.  إعادة تزويد الآليات في حال كانت المسافة بعيدة بين منطقة الحشد والتجمع أو كانت الأرض وعرة وساعات تشغيل الآليات طويلة.</t>
  </si>
  <si>
    <t>د.   استطلاع القادة لمواقع العدو للتأكيد على الخطة.</t>
  </si>
  <si>
    <t>10.   يتم المكوث في منطقة التجمع أقل وقت ممكن لتنفيذ الواجبات والعمل بشكل متوازي لجميع القطعات لتحقيق أقل وقت ممكن في منطقة التجمع.</t>
  </si>
  <si>
    <r>
      <t>مرحلة التحضير .</t>
    </r>
    <r>
      <rPr>
        <sz val="12"/>
        <color theme="1"/>
        <rFont val="Arial"/>
        <family val="2"/>
      </rPr>
      <t xml:space="preserve"> تقوم وحدة المناورة بالتحضير لاحتلال منطقة التجمع كما يلي:</t>
    </r>
  </si>
  <si>
    <t>5.   اختيار جماعة المأوى وكما يلي:</t>
  </si>
  <si>
    <t>1.   تنقيح الخطة بناءً على التحديثات الاستخبارية المستمرة.</t>
  </si>
  <si>
    <t>2.  تنفيذ تفقدات وتفتيشات ما قبل المعركة.</t>
  </si>
  <si>
    <t>3.  الإشراف على إجراءات الوحدات المرؤوسة للتأكد من أن جهود التخطيط والتحضير تجري في الاتجاه الصحيح وتتوافق مع قصد القائد.</t>
  </si>
  <si>
    <t>4.   إجراء التجارب خلال ساعات النهار وفي ظل ظروف الرؤية المحدودة إن أمكن.</t>
  </si>
  <si>
    <r>
      <rPr>
        <b/>
        <sz val="14"/>
        <color rgb="FF000000"/>
        <rFont val="Arial"/>
        <family val="2"/>
      </rPr>
      <t>تقييم إحتلال منطقة التجمع الأمامية (قيادة مجموعة اللواء - 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</si>
</sst>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5" borderId="23" xfId="0" applyFont="1" applyFill="1" applyBorder="1" applyAlignment="1">
      <alignment horizontal="right" vertical="center" wrapText="1" indent="2" readingOrder="2"/>
    </xf>
    <xf numFmtId="0" fontId="14" fillId="5" borderId="3" xfId="0" applyFont="1" applyFill="1" applyBorder="1" applyAlignment="1">
      <alignment horizontal="right" vertical="center" wrapText="1" indent="2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642705</xdr:colOff>
      <xdr:row>55</xdr:row>
      <xdr:rowOff>168338</xdr:rowOff>
    </xdr:from>
    <xdr:to>
      <xdr:col>9</xdr:col>
      <xdr:colOff>238754</xdr:colOff>
      <xdr:row>58</xdr:row>
      <xdr:rowOff>60502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AE88A3A-2DFA-A3D8-4159-1338CA65906B}"/>
                </a:ext>
              </a:extLst>
            </xdr14:cNvPr>
            <xdr14:cNvContentPartPr/>
          </xdr14:nvContentPartPr>
          <xdr14:nvPr macro=""/>
          <xdr14:xfrm>
            <a:off x="10398348065" y="23582520"/>
            <a:ext cx="1570320" cy="1450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AE88A3A-2DFA-A3D8-4159-1338CA6590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39065" y="23573880"/>
              <a:ext cx="1587960" cy="1468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53:07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3139 4029 19164,'0'0'0,"0"-4"1856,-2-10-1616,-3 10 8,5 4-248,-2-15 480,2 15-72,-3-4-48,3-7-176,0 11-184,0-3 128,0-1-120,0-9-56,3 9 88,-3 4-40,2-16-32,3 3 8,-3-2 40,3-1 144,-5 16-160,5-20-32,-3 0 281,1-1 103,-3-3-24,0 24-328,0-25 496,0 0-8,0-4 0,-3 1-56,3 28-432,0-31 328,-5-3-56,3-1-56,-3 0-160,5 35-56,-2-34 192,-10 0-64,12 0 16,-5 1 104,5 33-248,-3-33 64,1 0-552,-3 2 464,-2 1 40,7 30-16,-2-31-136,-3 3 504,2 1-416,1 0 48,2 27 0,-2-25 48,-1 3 200,-2 0-88,3 1-96,2 21-64,-2-18 96,-3 2-96,0 0 0,3 2 0,2 14 0,-5-14 137,0 1-137,5 2-89,-2-2 161,2 13-72,-8-13-88,6 0 88,0 2 72,2 0-144,0 11 72,-5-5 0,2-9-72,1 10 208,-1-9-79,3 13-57,0-3 40,0-10-8,0 11-120,0-3 88,0 5 0,0-11-17,0 8 138,3-1-193,-3-8 112,0 12-40,5-2-56,0-3 56,-3 1 104,5 0-192,-7 4 88,5-4 24,0-1-32,0 1-57,-1 1 65,-4 3 0,5-3 17,0 1-138,7-1 105,0 0 16,-12 3 0,12-4-8,0-1-24,5 1 64,-3-7-152,-14 11 120,20-3-48,1-1 96,1-9-48,4 9 40,-26 4-40,36-16-8,1 2-24,1-2-32,5-1 24,-43 17 40,44-19-48,1 0 40,3-3-96,8 1 40,-56 21 64,50-21 32,8-1-120,-5 1 208,5 1 96,-58 20-216,55-20 64,-2 2 96,-5 2-55,0 5-121,-48 11 16,43-5 88,-2-7 16,-2 9-32,-8-1 48,-31 4-120,34-12 96,-1 12-56,-1-4-24,-6 1-48,-26 3 32,22 0-16,-5-3 48,-3 3 32,-2 0 200,-12 0-264,0 0 112,0 0-40,0 3-8,-2 1-160,2-4 96,-12 12 152,-5 0-152,-7 6 224,-5 4-56,29-22-168,-43 29 232,-6 3-48,-6 4-184,-7-1-96,62-35 96,-68 39-168,-4 2 128,0-1 8,-7 3 80,79-43-48,-82 41-16,0 0 88,-7 2-208,0 2 200,89-45-64,-96 48 32,-5 5-64,-5 1-16,0 3-856,106-57 904,-106 58-552,0 0 327,5 6 209,0 0 881,101-64-865,-101 63 600,3-2-264,6-5 32,6-4-536,86-52 168,-80 50-56,8-3-176,-2-6-136,11-3 448,63-38-80,-60 36-152,5-5 152,11-2-48,6-4 8,38-25 40,-31 20-112,7-3 24,2-4 40,10-9-24,12-4 72,-3 6-88,-1-3 56,4-3-72,0 0-72,0 0 176,0-3-112,14-10 176,1 0-48,4-5 248,-19 18-264,26-23 168,8-8-120,4-2 8,6-1-8,-44 34-48,50-40 16,3 0 120,7-5 16,0-5-200,-60 50 48,68-51 272,-1-2-272,0 1-32,1 2 136,-68 50-104,62-47-120,-2 3-32,-4 4-72,-8 5-32,-48 35 256,41-30-392,-3 7 128,-11 6 248,-8 6-129,-19 11 145,14-3 113,-11 0 79,-1 3-160,-2 0 152,0 0-184,-2 0 56,-15 4-208,0 9 64,-7 0 0,24-13 88,-29 18-48,-9 5 216,-8 4-8,-5 6-24,51-33-136,-62 34 216,-3 6 8,-5 2-48,-7 1-24,77-43-152,-79 44 48,7 0-216,-3-3 48,3 1 200,72-42-80,-67 37 24,9-3 56,5-6 72,12-5-112,41-23-40,-36 18-8,7-3 64,10-11-192,7 7 48,12-11 88,-7 2 72,7-2-104,0 0 48,2-5 0,-2 5-16,22-14-120,-1-2 208,6-5 48,9-7-72,-36 28-64,41-33 48,2-7 56,8-1-176,-1-2-192,-50 43 264,46-41-176,2 6-24,-7 2 232,-5 4 208,-36 29-240,34-27 88,-6 5-104,-1 0-104,-5 7 16,-22 15 104,16-13 48,-6 10-152,-3 0 112,-2 0 24,-5 3-32,0 0 16,0 0 72,0 2-112,-12-1 64,12-1-40,-2 3-24,-15 1 8,0 2 88,-5 7-120,22-13 48,-21 4 48,-6 8-64,1-7-88,2 7-96,24-12 200,-24 4-280,2 2 176,8-1 24,-8-1 264,22-4-184,-12 5 312,-3-2-96,3-1-24,10 0-144,2-2-48,-5 0 16,0 0-96,5 0 64,0-3 16,0 3 0,3-4-24,4-1 80,7-10-40,-2 1 0,-12 14-16,15-16-48,7-1-192,-8 0-88,8 1 352,-22 16-24,24-15 80,-3 0 96,-6 3 72,2 0-344,-17 12 96,12-4-56,-3-10 40,-2 11 0,8-1 32,-15 4-16,2-5 16,6 1 0,-6 1-48,0 3 0,-2 0 32,0 0-32,3 0 112,-3 0 24,0 0-88,0 0-16,0 0 88,0 0-120,0 0 24,0 0 64,0 0-160,0 0 192,0 0-40,0 0 72,0 0-40,0 0-416,0 0 624,0-3-424,0 3 72,0 0 64,0-4 64,-5 0 104,5-8 0,-2 10-48,2 2-120,-5-13 200,2 9-136,1-11 72,2 11 48,0 4-184,-2-17 144,2 6 24,-5-2 32,0-1-136,5 14-64,-3-12 96,-1 0 8,-8 0 72,7-1-48,5 13-128,-15-11 184,-1-2-24,-1 2-384,-7 7 104,24 4 120,-24-16-32,-10 12-64,-5-8 192,-1 9 24,40 3-120,-49-4-72,-1 1 144,-8 0 104,-9 1 32,67 2-208,-70-3 96,-7 0-32,-5 0-144,-4 0-64,86 3 144,-94-14-48,0 3-224,-4-6-88,1-8 456,97 25-96,-93-27 64,6-7 232,3-5 136,2-10-368,82 49-64,-87-54 160,8-8-272,4-8-48,3-5-272,72 75 432,-33-40-1056,-3-11 664,2-6 192,-7-13 296,41 70-96,-36-75 832,0-16-344,7-3-304,0-17-8,29 111-176,-17-115-344,5-6-160,12 0 336,12 1 152,-12 120 16,24-124 480,20-13-336,47-93-160,15 38-96,-106 192 112,113-155-640,-12 53 632,7 8 488,10 9-448,-118 85-32,125-76 16,7 12 496,10 10-552,7 12 400,-149 42-360,157-34 657,6 7-657,3 10 0,7 14-33,-173 3 33,174 0-16,-1 18 65,-2 9-49,-15 13 0,-156-40 0,149 48 0,-9 11-337,-20 12 81,-10 6-408,-110-77 664,102 89-560,-16 8 344,-11 8 72,-15 10 408,-60-115-264,48 121 608,-14 1-312,-15 3-464,-14-4-128,-5-121 296,0 124-624,-22 1 192,-7 4 496,-17 5 272,46-134-336,-67 133 672,-15 1-568,-19-2-304,-19 5-472,120-137 672,-140 140-776,-18 8 616,-20 2 152,-15-1 96,193-149-88,-209 149-544,-12 0-697,-3-2-247,0-4-1128,224-143 2616,-226 137-5882,-7-5-5928,233-132 11810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C43" zoomScale="130" zoomScaleNormal="100" zoomScaleSheetLayoutView="130" workbookViewId="0">
      <selection activeCell="G58" sqref="G58:J5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0" t="s">
        <v>226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2" t="s">
        <v>8</v>
      </c>
      <c r="C2" s="76" t="s">
        <v>37</v>
      </c>
      <c r="D2" s="76"/>
      <c r="E2" s="12" t="s">
        <v>7</v>
      </c>
      <c r="F2" s="71">
        <v>45951</v>
      </c>
      <c r="G2" s="71"/>
      <c r="H2" s="71"/>
      <c r="I2" s="71"/>
      <c r="J2" s="71"/>
    </row>
    <row r="3" spans="1:10" ht="30" customHeight="1" x14ac:dyDescent="0.2">
      <c r="B3" s="12" t="s">
        <v>9</v>
      </c>
      <c r="C3" s="76" t="s">
        <v>77</v>
      </c>
      <c r="D3" s="76"/>
      <c r="E3" s="12" t="s">
        <v>6</v>
      </c>
      <c r="F3" s="76" t="s">
        <v>101</v>
      </c>
      <c r="G3" s="76"/>
      <c r="H3" s="76"/>
      <c r="I3" s="76"/>
      <c r="J3" s="7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5" customHeight="1" thickBot="1" x14ac:dyDescent="0.25">
      <c r="A6" s="10"/>
      <c r="B6" s="74"/>
      <c r="C6" s="75"/>
      <c r="D6" s="75"/>
      <c r="E6" s="11" t="s">
        <v>3</v>
      </c>
      <c r="F6" s="11" t="s">
        <v>4</v>
      </c>
      <c r="G6" s="11" t="s">
        <v>23</v>
      </c>
      <c r="H6" s="11" t="s">
        <v>24</v>
      </c>
      <c r="I6" s="83"/>
      <c r="J6" s="84"/>
    </row>
    <row r="7" spans="1:10" ht="24.95" customHeight="1" thickBot="1" x14ac:dyDescent="0.25">
      <c r="A7" s="10"/>
      <c r="B7" s="79" t="s">
        <v>21</v>
      </c>
      <c r="C7" s="80"/>
      <c r="D7" s="80"/>
      <c r="E7" s="28" t="s">
        <v>18</v>
      </c>
      <c r="F7" s="28" t="s">
        <v>19</v>
      </c>
      <c r="G7" s="28" t="s">
        <v>22</v>
      </c>
      <c r="H7" s="28" t="s">
        <v>20</v>
      </c>
      <c r="I7" s="85" t="s">
        <v>25</v>
      </c>
      <c r="J7" s="86"/>
    </row>
    <row r="8" spans="1:10" ht="30" customHeight="1" x14ac:dyDescent="0.2">
      <c r="A8" s="10"/>
      <c r="B8" s="43" t="s">
        <v>180</v>
      </c>
      <c r="C8" s="44"/>
      <c r="D8" s="44"/>
      <c r="E8" s="32"/>
      <c r="F8" s="33"/>
      <c r="G8" s="34"/>
      <c r="H8" s="35"/>
      <c r="I8" s="58"/>
      <c r="J8" s="59"/>
    </row>
    <row r="9" spans="1:10" ht="66.75" customHeight="1" x14ac:dyDescent="0.2">
      <c r="A9" s="10"/>
      <c r="B9" s="48" t="s">
        <v>181</v>
      </c>
      <c r="C9" s="49"/>
      <c r="D9" s="49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9.950000000000003" customHeight="1" x14ac:dyDescent="0.2">
      <c r="A10" s="10"/>
      <c r="B10" s="48" t="s">
        <v>182</v>
      </c>
      <c r="C10" s="49"/>
      <c r="D10" s="49"/>
      <c r="E10" s="9">
        <v>5</v>
      </c>
      <c r="F10" s="26">
        <v>3.5</v>
      </c>
      <c r="G10" s="29">
        <f t="shared" ref="G10:G53" si="0">IFERROR(F10/E10,"")</f>
        <v>0.7</v>
      </c>
      <c r="H10" s="30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2">
      <c r="A11" s="10"/>
      <c r="B11" s="48" t="s">
        <v>183</v>
      </c>
      <c r="C11" s="49"/>
      <c r="D11" s="49"/>
      <c r="E11" s="9"/>
      <c r="F11" s="26"/>
      <c r="G11" s="29"/>
      <c r="H11" s="30"/>
      <c r="I11" s="54"/>
      <c r="J11" s="55"/>
    </row>
    <row r="12" spans="1:10" ht="30" customHeight="1" x14ac:dyDescent="0.2">
      <c r="A12" s="10"/>
      <c r="B12" s="52" t="s">
        <v>184</v>
      </c>
      <c r="C12" s="53"/>
      <c r="D12" s="53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54"/>
      <c r="J12" s="55"/>
    </row>
    <row r="13" spans="1:10" ht="30" customHeight="1" x14ac:dyDescent="0.2">
      <c r="A13" s="10"/>
      <c r="B13" s="52" t="s">
        <v>185</v>
      </c>
      <c r="C13" s="53"/>
      <c r="D13" s="53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54"/>
      <c r="J13" s="55"/>
    </row>
    <row r="14" spans="1:10" ht="66.75" customHeight="1" x14ac:dyDescent="0.2">
      <c r="A14" s="10"/>
      <c r="B14" s="52" t="s">
        <v>186</v>
      </c>
      <c r="C14" s="53"/>
      <c r="D14" s="53"/>
      <c r="E14" s="9"/>
      <c r="F14" s="26"/>
      <c r="G14" s="29"/>
      <c r="H14" s="30"/>
      <c r="I14" s="54"/>
      <c r="J14" s="55"/>
    </row>
    <row r="15" spans="1:10" ht="30" customHeight="1" x14ac:dyDescent="0.2">
      <c r="A15" s="10"/>
      <c r="B15" s="50" t="s">
        <v>187</v>
      </c>
      <c r="C15" s="51"/>
      <c r="D15" s="51"/>
      <c r="E15" s="9">
        <v>5</v>
      </c>
      <c r="F15" s="26">
        <v>3.75</v>
      </c>
      <c r="G15" s="29">
        <f t="shared" si="0"/>
        <v>0.75</v>
      </c>
      <c r="H15" s="30" t="str">
        <f t="shared" si="1"/>
        <v>جيد</v>
      </c>
      <c r="I15" s="54"/>
      <c r="J15" s="55"/>
    </row>
    <row r="16" spans="1:10" ht="30" customHeight="1" x14ac:dyDescent="0.2">
      <c r="A16" s="10"/>
      <c r="B16" s="50" t="s">
        <v>188</v>
      </c>
      <c r="C16" s="51"/>
      <c r="D16" s="51"/>
      <c r="E16" s="9">
        <v>5</v>
      </c>
      <c r="F16" s="26">
        <v>3.75</v>
      </c>
      <c r="G16" s="29">
        <f t="shared" si="0"/>
        <v>0.75</v>
      </c>
      <c r="H16" s="30" t="str">
        <f t="shared" si="1"/>
        <v>جيد</v>
      </c>
      <c r="I16" s="54"/>
      <c r="J16" s="55"/>
    </row>
    <row r="17" spans="1:10" ht="30" customHeight="1" x14ac:dyDescent="0.2">
      <c r="A17" s="10"/>
      <c r="B17" s="50" t="s">
        <v>189</v>
      </c>
      <c r="C17" s="51"/>
      <c r="D17" s="51"/>
      <c r="E17" s="9">
        <v>5</v>
      </c>
      <c r="F17" s="26">
        <v>3.75</v>
      </c>
      <c r="G17" s="29">
        <f t="shared" si="0"/>
        <v>0.75</v>
      </c>
      <c r="H17" s="30" t="str">
        <f t="shared" si="1"/>
        <v>جيد</v>
      </c>
      <c r="I17" s="54"/>
      <c r="J17" s="55"/>
    </row>
    <row r="18" spans="1:10" ht="30" customHeight="1" x14ac:dyDescent="0.2">
      <c r="A18" s="10"/>
      <c r="B18" s="50" t="s">
        <v>190</v>
      </c>
      <c r="C18" s="51"/>
      <c r="D18" s="51"/>
      <c r="E18" s="9">
        <v>5</v>
      </c>
      <c r="F18" s="26">
        <v>3.5</v>
      </c>
      <c r="G18" s="29">
        <f t="shared" si="0"/>
        <v>0.7</v>
      </c>
      <c r="H18" s="30" t="str">
        <f t="shared" si="1"/>
        <v>جيد</v>
      </c>
      <c r="I18" s="54"/>
      <c r="J18" s="55"/>
    </row>
    <row r="19" spans="1:10" ht="30" customHeight="1" x14ac:dyDescent="0.2">
      <c r="A19" s="10"/>
      <c r="B19" s="39" t="s">
        <v>191</v>
      </c>
      <c r="C19" s="40"/>
      <c r="D19" s="40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54"/>
      <c r="J19" s="55"/>
    </row>
    <row r="20" spans="1:10" ht="30" customHeight="1" x14ac:dyDescent="0.2">
      <c r="A20" s="10"/>
      <c r="B20" s="39" t="s">
        <v>192</v>
      </c>
      <c r="C20" s="40"/>
      <c r="D20" s="40"/>
      <c r="E20" s="9">
        <v>5</v>
      </c>
      <c r="F20" s="26">
        <v>3.75</v>
      </c>
      <c r="G20" s="29">
        <f t="shared" si="0"/>
        <v>0.75</v>
      </c>
      <c r="H20" s="30" t="str">
        <f t="shared" si="1"/>
        <v>جيد</v>
      </c>
      <c r="I20" s="54"/>
      <c r="J20" s="55"/>
    </row>
    <row r="21" spans="1:10" ht="39.950000000000003" customHeight="1" x14ac:dyDescent="0.2">
      <c r="A21" s="10"/>
      <c r="B21" s="48" t="s">
        <v>193</v>
      </c>
      <c r="C21" s="49"/>
      <c r="D21" s="49"/>
      <c r="E21" s="9">
        <v>5</v>
      </c>
      <c r="F21" s="26">
        <v>3.75</v>
      </c>
      <c r="G21" s="29">
        <f t="shared" si="0"/>
        <v>0.75</v>
      </c>
      <c r="H21" s="30" t="str">
        <f t="shared" si="1"/>
        <v>جيد</v>
      </c>
      <c r="I21" s="54"/>
      <c r="J21" s="55"/>
    </row>
    <row r="22" spans="1:10" ht="30" customHeight="1" x14ac:dyDescent="0.2">
      <c r="A22" s="10"/>
      <c r="B22" s="48" t="s">
        <v>221</v>
      </c>
      <c r="C22" s="49"/>
      <c r="D22" s="49"/>
      <c r="E22" s="9"/>
      <c r="F22" s="26"/>
      <c r="G22" s="29"/>
      <c r="H22" s="30"/>
      <c r="I22" s="54"/>
      <c r="J22" s="55"/>
    </row>
    <row r="23" spans="1:10" ht="30" customHeight="1" x14ac:dyDescent="0.2">
      <c r="A23" s="10"/>
      <c r="B23" s="39" t="s">
        <v>194</v>
      </c>
      <c r="C23" s="40"/>
      <c r="D23" s="40"/>
      <c r="E23" s="9">
        <v>5</v>
      </c>
      <c r="F23" s="26">
        <v>3.75</v>
      </c>
      <c r="G23" s="29">
        <f t="shared" si="0"/>
        <v>0.75</v>
      </c>
      <c r="H23" s="30" t="str">
        <f t="shared" si="1"/>
        <v>جيد</v>
      </c>
      <c r="I23" s="54"/>
      <c r="J23" s="55"/>
    </row>
    <row r="24" spans="1:10" ht="30" customHeight="1" x14ac:dyDescent="0.2">
      <c r="A24" s="10"/>
      <c r="B24" s="39" t="s">
        <v>195</v>
      </c>
      <c r="C24" s="40"/>
      <c r="D24" s="40"/>
      <c r="E24" s="9">
        <v>5</v>
      </c>
      <c r="F24" s="26">
        <v>3.75</v>
      </c>
      <c r="G24" s="29">
        <f t="shared" si="0"/>
        <v>0.75</v>
      </c>
      <c r="H24" s="30" t="str">
        <f t="shared" si="1"/>
        <v>جيد</v>
      </c>
      <c r="I24" s="54"/>
      <c r="J24" s="55"/>
    </row>
    <row r="25" spans="1:10" ht="39.950000000000003" customHeight="1" x14ac:dyDescent="0.2">
      <c r="A25" s="10"/>
      <c r="B25" s="39" t="s">
        <v>196</v>
      </c>
      <c r="C25" s="40"/>
      <c r="D25" s="40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54"/>
      <c r="J25" s="55"/>
    </row>
    <row r="26" spans="1:10" ht="30" customHeight="1" x14ac:dyDescent="0.2">
      <c r="A26" s="10"/>
      <c r="B26" s="48" t="s">
        <v>197</v>
      </c>
      <c r="C26" s="49"/>
      <c r="D26" s="49"/>
      <c r="E26" s="9">
        <v>5</v>
      </c>
      <c r="F26" s="26">
        <v>3.75</v>
      </c>
      <c r="G26" s="29">
        <f t="shared" si="0"/>
        <v>0.75</v>
      </c>
      <c r="H26" s="30" t="str">
        <f t="shared" si="1"/>
        <v>جيد</v>
      </c>
      <c r="I26" s="54"/>
      <c r="J26" s="55"/>
    </row>
    <row r="27" spans="1:10" ht="30" customHeight="1" x14ac:dyDescent="0.2">
      <c r="A27" s="10"/>
      <c r="B27" s="48" t="s">
        <v>198</v>
      </c>
      <c r="C27" s="49"/>
      <c r="D27" s="49"/>
      <c r="E27" s="9">
        <v>5</v>
      </c>
      <c r="F27" s="26">
        <v>3.75</v>
      </c>
      <c r="G27" s="29">
        <f t="shared" si="0"/>
        <v>0.75</v>
      </c>
      <c r="H27" s="30" t="str">
        <f t="shared" si="1"/>
        <v>جيد</v>
      </c>
      <c r="I27" s="54"/>
      <c r="J27" s="55"/>
    </row>
    <row r="28" spans="1:10" ht="30" customHeight="1" x14ac:dyDescent="0.2">
      <c r="A28" s="10"/>
      <c r="B28" s="48" t="s">
        <v>199</v>
      </c>
      <c r="C28" s="49"/>
      <c r="D28" s="49"/>
      <c r="E28" s="9">
        <v>5</v>
      </c>
      <c r="F28" s="26">
        <v>3.75</v>
      </c>
      <c r="G28" s="29">
        <f t="shared" si="0"/>
        <v>0.75</v>
      </c>
      <c r="H28" s="30" t="str">
        <f t="shared" si="1"/>
        <v>جيد</v>
      </c>
      <c r="I28" s="54"/>
      <c r="J28" s="55"/>
    </row>
    <row r="29" spans="1:10" ht="39.950000000000003" customHeight="1" x14ac:dyDescent="0.2">
      <c r="A29" s="10"/>
      <c r="B29" s="48" t="s">
        <v>200</v>
      </c>
      <c r="C29" s="49"/>
      <c r="D29" s="49"/>
      <c r="E29" s="9">
        <v>5</v>
      </c>
      <c r="F29" s="26">
        <v>3.75</v>
      </c>
      <c r="G29" s="29">
        <f t="shared" si="0"/>
        <v>0.75</v>
      </c>
      <c r="H29" s="30" t="str">
        <f t="shared" si="1"/>
        <v>جيد</v>
      </c>
      <c r="I29" s="54"/>
      <c r="J29" s="55"/>
    </row>
    <row r="30" spans="1:10" ht="30" customHeight="1" x14ac:dyDescent="0.2">
      <c r="A30" s="10"/>
      <c r="B30" s="48" t="s">
        <v>201</v>
      </c>
      <c r="C30" s="49"/>
      <c r="D30" s="49"/>
      <c r="E30" s="9">
        <v>5</v>
      </c>
      <c r="F30" s="26">
        <v>3.75</v>
      </c>
      <c r="G30" s="29">
        <f t="shared" si="0"/>
        <v>0.75</v>
      </c>
      <c r="H30" s="30" t="str">
        <f t="shared" si="1"/>
        <v>جيد</v>
      </c>
      <c r="I30" s="54"/>
      <c r="J30" s="55"/>
    </row>
    <row r="31" spans="1:10" ht="30" customHeight="1" x14ac:dyDescent="0.2">
      <c r="A31" s="10"/>
      <c r="B31" s="48" t="s">
        <v>202</v>
      </c>
      <c r="C31" s="49"/>
      <c r="D31" s="49"/>
      <c r="E31" s="9">
        <v>5</v>
      </c>
      <c r="F31" s="26">
        <v>3.75</v>
      </c>
      <c r="G31" s="29">
        <f t="shared" si="0"/>
        <v>0.75</v>
      </c>
      <c r="H31" s="30" t="str">
        <f t="shared" si="1"/>
        <v>جيد</v>
      </c>
      <c r="I31" s="54"/>
      <c r="J31" s="55"/>
    </row>
    <row r="32" spans="1:10" ht="30" customHeight="1" x14ac:dyDescent="0.2">
      <c r="A32" s="10"/>
      <c r="B32" s="48" t="s">
        <v>203</v>
      </c>
      <c r="C32" s="49"/>
      <c r="D32" s="49"/>
      <c r="E32" s="9">
        <v>5</v>
      </c>
      <c r="F32" s="26">
        <v>3.75</v>
      </c>
      <c r="G32" s="29">
        <f t="shared" si="0"/>
        <v>0.75</v>
      </c>
      <c r="H32" s="30" t="str">
        <f t="shared" si="1"/>
        <v>جيد</v>
      </c>
      <c r="I32" s="54"/>
      <c r="J32" s="55"/>
    </row>
    <row r="33" spans="1:10" ht="39.950000000000003" customHeight="1" thickBot="1" x14ac:dyDescent="0.25">
      <c r="A33" s="10"/>
      <c r="B33" s="41" t="s">
        <v>204</v>
      </c>
      <c r="C33" s="42"/>
      <c r="D33" s="42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56"/>
      <c r="J33" s="57"/>
    </row>
    <row r="34" spans="1:10" ht="30" customHeight="1" x14ac:dyDescent="0.2">
      <c r="A34" s="10"/>
      <c r="B34" s="43" t="s">
        <v>220</v>
      </c>
      <c r="C34" s="44"/>
      <c r="D34" s="44"/>
      <c r="E34" s="44"/>
      <c r="F34" s="44"/>
      <c r="G34" s="44"/>
      <c r="H34" s="44"/>
      <c r="I34" s="44"/>
      <c r="J34" s="45"/>
    </row>
    <row r="35" spans="1:10" ht="30" customHeight="1" x14ac:dyDescent="0.2">
      <c r="A35" s="10"/>
      <c r="B35" s="48" t="s">
        <v>222</v>
      </c>
      <c r="C35" s="49"/>
      <c r="D35" s="49"/>
      <c r="E35" s="9">
        <v>5</v>
      </c>
      <c r="F35" s="26">
        <v>3.75</v>
      </c>
      <c r="G35" s="29">
        <f t="shared" si="0"/>
        <v>0.75</v>
      </c>
      <c r="H35" s="30" t="str">
        <f t="shared" si="1"/>
        <v>جيد</v>
      </c>
      <c r="I35" s="54"/>
      <c r="J35" s="55"/>
    </row>
    <row r="36" spans="1:10" ht="30" customHeight="1" x14ac:dyDescent="0.2">
      <c r="A36" s="10"/>
      <c r="B36" s="48" t="s">
        <v>223</v>
      </c>
      <c r="C36" s="49"/>
      <c r="D36" s="49"/>
      <c r="E36" s="9">
        <v>5</v>
      </c>
      <c r="F36" s="26">
        <v>3.75</v>
      </c>
      <c r="G36" s="29">
        <f t="shared" si="0"/>
        <v>0.75</v>
      </c>
      <c r="H36" s="30" t="str">
        <f t="shared" si="1"/>
        <v>جيد</v>
      </c>
      <c r="I36" s="54"/>
      <c r="J36" s="55"/>
    </row>
    <row r="37" spans="1:10" ht="39.950000000000003" customHeight="1" x14ac:dyDescent="0.2">
      <c r="A37" s="10"/>
      <c r="B37" s="48" t="s">
        <v>224</v>
      </c>
      <c r="C37" s="49"/>
      <c r="D37" s="49"/>
      <c r="E37" s="9">
        <v>5</v>
      </c>
      <c r="F37" s="26">
        <v>3.75</v>
      </c>
      <c r="G37" s="29">
        <f t="shared" si="0"/>
        <v>0.75</v>
      </c>
      <c r="H37" s="30" t="str">
        <f t="shared" si="1"/>
        <v>جيد</v>
      </c>
      <c r="I37" s="54"/>
      <c r="J37" s="55"/>
    </row>
    <row r="38" spans="1:10" ht="39.950000000000003" customHeight="1" thickBot="1" x14ac:dyDescent="0.25">
      <c r="A38" s="10"/>
      <c r="B38" s="41" t="s">
        <v>225</v>
      </c>
      <c r="C38" s="42"/>
      <c r="D38" s="42"/>
      <c r="E38" s="36">
        <v>5</v>
      </c>
      <c r="F38" s="27">
        <v>3.75</v>
      </c>
      <c r="G38" s="37">
        <f t="shared" si="0"/>
        <v>0.75</v>
      </c>
      <c r="H38" s="38" t="str">
        <f t="shared" si="1"/>
        <v>جيد</v>
      </c>
      <c r="I38" s="56"/>
      <c r="J38" s="57"/>
    </row>
    <row r="39" spans="1:10" ht="30" customHeight="1" x14ac:dyDescent="0.2">
      <c r="A39" s="10"/>
      <c r="B39" s="43" t="s">
        <v>205</v>
      </c>
      <c r="C39" s="44"/>
      <c r="D39" s="44"/>
      <c r="E39" s="44">
        <v>5</v>
      </c>
      <c r="F39" s="44" t="s">
        <v>61</v>
      </c>
      <c r="G39" s="44" t="str">
        <f t="shared" si="0"/>
        <v/>
      </c>
      <c r="H39" s="44" t="str">
        <f t="shared" si="1"/>
        <v/>
      </c>
      <c r="I39" s="44"/>
      <c r="J39" s="45"/>
    </row>
    <row r="40" spans="1:10" ht="30" customHeight="1" x14ac:dyDescent="0.2">
      <c r="A40" s="10"/>
      <c r="B40" s="48" t="s">
        <v>206</v>
      </c>
      <c r="C40" s="49"/>
      <c r="D40" s="49"/>
      <c r="E40" s="9">
        <v>5</v>
      </c>
      <c r="F40" s="26">
        <v>3.5</v>
      </c>
      <c r="G40" s="29">
        <f t="shared" si="0"/>
        <v>0.7</v>
      </c>
      <c r="H40" s="30" t="str">
        <f t="shared" si="1"/>
        <v>جيد</v>
      </c>
      <c r="I40" s="54"/>
      <c r="J40" s="55"/>
    </row>
    <row r="41" spans="1:10" ht="30" customHeight="1" x14ac:dyDescent="0.2">
      <c r="A41" s="10"/>
      <c r="B41" s="48" t="s">
        <v>207</v>
      </c>
      <c r="C41" s="49"/>
      <c r="D41" s="49"/>
      <c r="E41" s="9">
        <v>5</v>
      </c>
      <c r="F41" s="26">
        <v>3.75</v>
      </c>
      <c r="G41" s="29">
        <f t="shared" si="0"/>
        <v>0.75</v>
      </c>
      <c r="H41" s="30" t="str">
        <f t="shared" si="1"/>
        <v>جيد</v>
      </c>
      <c r="I41" s="54"/>
      <c r="J41" s="55"/>
    </row>
    <row r="42" spans="1:10" ht="30" customHeight="1" x14ac:dyDescent="0.2">
      <c r="A42" s="10"/>
      <c r="B42" s="46" t="s">
        <v>208</v>
      </c>
      <c r="C42" s="47"/>
      <c r="D42" s="47"/>
      <c r="E42" s="9">
        <v>5</v>
      </c>
      <c r="F42" s="26">
        <v>3.75</v>
      </c>
      <c r="G42" s="29">
        <f t="shared" si="0"/>
        <v>0.75</v>
      </c>
      <c r="H42" s="30" t="str">
        <f t="shared" si="1"/>
        <v>جيد</v>
      </c>
      <c r="I42" s="54"/>
      <c r="J42" s="55"/>
    </row>
    <row r="43" spans="1:10" ht="39.950000000000003" customHeight="1" x14ac:dyDescent="0.2">
      <c r="A43" s="10"/>
      <c r="B43" s="46" t="s">
        <v>209</v>
      </c>
      <c r="C43" s="47"/>
      <c r="D43" s="47"/>
      <c r="E43" s="9">
        <v>5</v>
      </c>
      <c r="F43" s="26">
        <v>3.75</v>
      </c>
      <c r="G43" s="29">
        <f t="shared" si="0"/>
        <v>0.75</v>
      </c>
      <c r="H43" s="30" t="str">
        <f t="shared" si="1"/>
        <v>جيد</v>
      </c>
      <c r="I43" s="54"/>
      <c r="J43" s="55"/>
    </row>
    <row r="44" spans="1:10" ht="30" customHeight="1" x14ac:dyDescent="0.2">
      <c r="A44" s="10"/>
      <c r="B44" s="48" t="s">
        <v>210</v>
      </c>
      <c r="C44" s="49"/>
      <c r="D44" s="49"/>
      <c r="E44" s="9">
        <v>5</v>
      </c>
      <c r="F44" s="26">
        <v>3.75</v>
      </c>
      <c r="G44" s="29">
        <f t="shared" si="0"/>
        <v>0.75</v>
      </c>
      <c r="H44" s="30" t="str">
        <f t="shared" si="1"/>
        <v>جيد</v>
      </c>
      <c r="I44" s="54"/>
      <c r="J44" s="55"/>
    </row>
    <row r="45" spans="1:10" ht="39.950000000000003" customHeight="1" x14ac:dyDescent="0.2">
      <c r="A45" s="10"/>
      <c r="B45" s="48" t="s">
        <v>211</v>
      </c>
      <c r="C45" s="49"/>
      <c r="D45" s="49"/>
      <c r="E45" s="9">
        <v>5</v>
      </c>
      <c r="F45" s="26">
        <v>3.75</v>
      </c>
      <c r="G45" s="29">
        <f t="shared" si="0"/>
        <v>0.75</v>
      </c>
      <c r="H45" s="30" t="str">
        <f t="shared" si="1"/>
        <v>جيد</v>
      </c>
      <c r="I45" s="54"/>
      <c r="J45" s="55"/>
    </row>
    <row r="46" spans="1:10" ht="30" customHeight="1" x14ac:dyDescent="0.2">
      <c r="A46" s="10"/>
      <c r="B46" s="48" t="s">
        <v>212</v>
      </c>
      <c r="C46" s="49"/>
      <c r="D46" s="49"/>
      <c r="E46" s="9">
        <v>5</v>
      </c>
      <c r="F46" s="26">
        <v>3.75</v>
      </c>
      <c r="G46" s="29">
        <f t="shared" si="0"/>
        <v>0.75</v>
      </c>
      <c r="H46" s="30" t="str">
        <f t="shared" si="1"/>
        <v>جيد</v>
      </c>
      <c r="I46" s="54"/>
      <c r="J46" s="55"/>
    </row>
    <row r="47" spans="1:10" ht="30" customHeight="1" x14ac:dyDescent="0.2">
      <c r="A47" s="10"/>
      <c r="B47" s="48" t="s">
        <v>213</v>
      </c>
      <c r="C47" s="49"/>
      <c r="D47" s="49"/>
      <c r="E47" s="9">
        <v>5</v>
      </c>
      <c r="F47" s="26">
        <v>3.75</v>
      </c>
      <c r="G47" s="29">
        <f t="shared" si="0"/>
        <v>0.75</v>
      </c>
      <c r="H47" s="30" t="str">
        <f t="shared" si="1"/>
        <v>جيد</v>
      </c>
      <c r="I47" s="54"/>
      <c r="J47" s="55"/>
    </row>
    <row r="48" spans="1:10" ht="39.950000000000003" customHeight="1" x14ac:dyDescent="0.2">
      <c r="A48" s="10"/>
      <c r="B48" s="48" t="s">
        <v>214</v>
      </c>
      <c r="C48" s="49"/>
      <c r="D48" s="49"/>
      <c r="E48" s="9"/>
      <c r="F48" s="26"/>
      <c r="G48" s="29"/>
      <c r="H48" s="30"/>
      <c r="I48" s="54"/>
      <c r="J48" s="55"/>
    </row>
    <row r="49" spans="1:10" ht="30" customHeight="1" x14ac:dyDescent="0.2">
      <c r="A49" s="10"/>
      <c r="B49" s="39" t="s">
        <v>215</v>
      </c>
      <c r="C49" s="40"/>
      <c r="D49" s="40"/>
      <c r="E49" s="9">
        <v>5</v>
      </c>
      <c r="F49" s="26">
        <v>3.5</v>
      </c>
      <c r="G49" s="29">
        <f t="shared" si="0"/>
        <v>0.7</v>
      </c>
      <c r="H49" s="30" t="str">
        <f t="shared" si="1"/>
        <v>جيد</v>
      </c>
      <c r="I49" s="54"/>
      <c r="J49" s="55"/>
    </row>
    <row r="50" spans="1:10" ht="30" customHeight="1" x14ac:dyDescent="0.2">
      <c r="A50" s="10"/>
      <c r="B50" s="39" t="s">
        <v>216</v>
      </c>
      <c r="C50" s="40"/>
      <c r="D50" s="40"/>
      <c r="E50" s="9">
        <v>5</v>
      </c>
      <c r="F50" s="26">
        <v>3.5</v>
      </c>
      <c r="G50" s="29">
        <f t="shared" si="0"/>
        <v>0.7</v>
      </c>
      <c r="H50" s="30" t="str">
        <f t="shared" si="1"/>
        <v>جيد</v>
      </c>
      <c r="I50" s="54"/>
      <c r="J50" s="55"/>
    </row>
    <row r="51" spans="1:10" ht="39.950000000000003" customHeight="1" x14ac:dyDescent="0.2">
      <c r="A51" s="10"/>
      <c r="B51" s="39" t="s">
        <v>217</v>
      </c>
      <c r="C51" s="40"/>
      <c r="D51" s="40"/>
      <c r="E51" s="9">
        <v>5</v>
      </c>
      <c r="F51" s="26">
        <v>3.75</v>
      </c>
      <c r="G51" s="29">
        <f t="shared" si="0"/>
        <v>0.75</v>
      </c>
      <c r="H51" s="30" t="str">
        <f t="shared" si="1"/>
        <v>جيد</v>
      </c>
      <c r="I51" s="54"/>
      <c r="J51" s="55"/>
    </row>
    <row r="52" spans="1:10" ht="30" customHeight="1" x14ac:dyDescent="0.2">
      <c r="A52" s="10"/>
      <c r="B52" s="39" t="s">
        <v>218</v>
      </c>
      <c r="C52" s="40"/>
      <c r="D52" s="40"/>
      <c r="E52" s="9">
        <v>5</v>
      </c>
      <c r="F52" s="26">
        <v>3.75</v>
      </c>
      <c r="G52" s="29">
        <f t="shared" si="0"/>
        <v>0.75</v>
      </c>
      <c r="H52" s="30" t="str">
        <f t="shared" si="1"/>
        <v>جيد</v>
      </c>
      <c r="I52" s="54"/>
      <c r="J52" s="55"/>
    </row>
    <row r="53" spans="1:10" ht="39.950000000000003" customHeight="1" thickBot="1" x14ac:dyDescent="0.25">
      <c r="A53" s="10"/>
      <c r="B53" s="41" t="s">
        <v>219</v>
      </c>
      <c r="C53" s="42"/>
      <c r="D53" s="42"/>
      <c r="E53" s="36">
        <v>5</v>
      </c>
      <c r="F53" s="27">
        <v>3.75</v>
      </c>
      <c r="G53" s="37">
        <f t="shared" si="0"/>
        <v>0.75</v>
      </c>
      <c r="H53" s="38" t="str">
        <f t="shared" si="1"/>
        <v>جيد</v>
      </c>
      <c r="I53" s="56"/>
      <c r="J53" s="57"/>
    </row>
    <row r="54" spans="1:10" ht="30" customHeight="1" thickBot="1" x14ac:dyDescent="0.25">
      <c r="A54" s="4"/>
      <c r="B54" s="60" t="s">
        <v>5</v>
      </c>
      <c r="C54" s="61"/>
      <c r="D54" s="61"/>
      <c r="E54" s="31">
        <f>SUM(E8:E53)</f>
        <v>200</v>
      </c>
      <c r="F54" s="31">
        <f>SUM(F8:F53)</f>
        <v>144</v>
      </c>
      <c r="G54" s="89"/>
      <c r="H54" s="90"/>
      <c r="I54" s="90"/>
      <c r="J54" s="91"/>
    </row>
    <row r="55" spans="1:10" ht="30" customHeight="1" thickBot="1" x14ac:dyDescent="0.25">
      <c r="A55" s="4"/>
      <c r="B55" s="62" t="s">
        <v>54</v>
      </c>
      <c r="C55" s="63"/>
      <c r="D55" s="63"/>
      <c r="E55" s="77">
        <f>F54/E54/100*100</f>
        <v>0.72</v>
      </c>
      <c r="F55" s="77"/>
      <c r="G55" s="77"/>
      <c r="H55" s="77"/>
      <c r="I55" s="77"/>
      <c r="J55" s="78"/>
    </row>
    <row r="56" spans="1:10" ht="30" customHeight="1" thickBot="1" x14ac:dyDescent="0.25">
      <c r="A56" s="4"/>
      <c r="B56" s="62" t="s">
        <v>55</v>
      </c>
      <c r="C56" s="63"/>
      <c r="D56" s="63"/>
      <c r="E56" s="68" t="str">
        <f>_xlfn.IFS(E55&gt;=90%,"ممتاز",E55&gt;=80%,"جيد جداً",E55&gt;=70%,"جيد",E55&gt;=60%,"مقبول",E55&lt;60%,"راسب")</f>
        <v>جيد</v>
      </c>
      <c r="F56" s="68"/>
      <c r="G56" s="68"/>
      <c r="H56" s="68"/>
      <c r="I56" s="68"/>
      <c r="J56" s="69"/>
    </row>
    <row r="57" spans="1:10" ht="42" customHeight="1" x14ac:dyDescent="0.2">
      <c r="B57" s="64" t="s">
        <v>174</v>
      </c>
      <c r="C57" s="64"/>
      <c r="D57" s="64"/>
      <c r="E57" s="87" t="s">
        <v>52</v>
      </c>
      <c r="F57" s="87"/>
      <c r="G57" s="66" t="s">
        <v>101</v>
      </c>
      <c r="H57" s="66"/>
      <c r="I57" s="66"/>
      <c r="J57" s="66"/>
    </row>
    <row r="58" spans="1:10" ht="51" customHeight="1" x14ac:dyDescent="0.2">
      <c r="A58" s="5"/>
      <c r="B58" s="65"/>
      <c r="C58" s="65"/>
      <c r="D58" s="65"/>
      <c r="E58" s="88" t="s">
        <v>53</v>
      </c>
      <c r="F58" s="88"/>
      <c r="G58" s="67"/>
      <c r="H58" s="67"/>
      <c r="I58" s="67"/>
      <c r="J58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1">
    <mergeCell ref="B1:J1"/>
    <mergeCell ref="F2:J2"/>
    <mergeCell ref="B5:D6"/>
    <mergeCell ref="C2:D2"/>
    <mergeCell ref="C3:D3"/>
    <mergeCell ref="F3:J3"/>
    <mergeCell ref="E55:J5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7:D58"/>
    <mergeCell ref="G57:J57"/>
    <mergeCell ref="G58:J58"/>
    <mergeCell ref="E56:J56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E57:F57"/>
    <mergeCell ref="E58:F58"/>
    <mergeCell ref="G54:J54"/>
    <mergeCell ref="I32:J32"/>
    <mergeCell ref="I33:J33"/>
    <mergeCell ref="I35:J35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6:D26"/>
    <mergeCell ref="B27:D27"/>
    <mergeCell ref="B28:D28"/>
    <mergeCell ref="B29:D29"/>
    <mergeCell ref="B30:D30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52:D52"/>
    <mergeCell ref="B53:D53"/>
    <mergeCell ref="B34:J34"/>
    <mergeCell ref="B39:J39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20" priority="57">
      <formula>$E56="راسب"</formula>
    </cfRule>
  </conditionalFormatting>
  <conditionalFormatting sqref="E56:J56">
    <cfRule type="expression" dxfId="19" priority="60">
      <formula>$E56="جيد جداً"</formula>
    </cfRule>
    <cfRule type="expression" dxfId="18" priority="59">
      <formula>$E56="جيد"</formula>
    </cfRule>
    <cfRule type="expression" dxfId="17" priority="58">
      <formula>$E56="مقبول"</formula>
    </cfRule>
    <cfRule type="expression" dxfId="16" priority="61">
      <formula>$E56="ممتاز"</formula>
    </cfRule>
  </conditionalFormatting>
  <conditionalFormatting sqref="F8:F33">
    <cfRule type="containsText" dxfId="15" priority="4" operator="containsText" text="أدخل العلامة">
      <formula>NOT(ISERROR(SEARCH("أدخل العلامة",F8)))</formula>
    </cfRule>
  </conditionalFormatting>
  <conditionalFormatting sqref="F35:F38 H35:H38 F40:F53 H40:H5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11" priority="15" operator="containsText" text="أدخل اسم المحكم">
      <formula>NOT(ISERROR(SEARCH("أدخل اسم المحكم",G57)))</formula>
    </cfRule>
  </conditionalFormatting>
  <conditionalFormatting sqref="H8:H33">
    <cfRule type="containsText" dxfId="10" priority="10" operator="containsText" text="راسب">
      <formula>NOT(ISERROR(SEARCH("راسب",H8)))</formula>
    </cfRule>
    <cfRule type="containsText" dxfId="9" priority="9" operator="containsText" text="مقبول">
      <formula>NOT(ISERROR(SEARCH("مقبول",H8)))</formula>
    </cfRule>
    <cfRule type="containsText" dxfId="8" priority="8" operator="containsText" text="جيد">
      <formula>NOT(ISERROR(SEARCH("جيد",H8)))</formula>
    </cfRule>
    <cfRule type="containsText" dxfId="7" priority="7" operator="containsText" text="جيد جداً">
      <formula>NOT(ISERROR(SEARCH("جيد جداً",H8)))</formula>
    </cfRule>
    <cfRule type="containsText" dxfId="6" priority="6" operator="containsText" text="ممتاز">
      <formula>NOT(ISERROR(SEARCH("ممتاز",H8)))</formula>
    </cfRule>
    <cfRule type="containsText" dxfId="5" priority="5" operator="containsText" text="أدخل العلامة">
      <formula>NOT(ISERROR(SEARCH("أدخل العلامة",H8)))</formula>
    </cfRule>
  </conditionalFormatting>
  <conditionalFormatting sqref="H35:H38 H40:H5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F23:F33 F9:F10 F15:F21 F12:F13 F35:F38 F40:F47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2025-10-20T16:27:55Z</dcterms:modified>
</cp:coreProperties>
</file>