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C284FEA-0673-354C-ACC1-9C0BB547916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<sst xmlns="http://schemas.openxmlformats.org/spreadsheetml/2006/main" count="280" uniqueCount="224">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</sst>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178696</xdr:colOff>
      <xdr:row>53</xdr:row>
      <xdr:rowOff>168203</xdr:rowOff>
    </xdr:from>
    <xdr:to>
      <xdr:col>8</xdr:col>
      <xdr:colOff>242776</xdr:colOff>
      <xdr:row>53</xdr:row>
      <xdr:rowOff>168563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534E1B-4C0A-81E7-D80E-EAC4E652E469}"/>
                </a:ext>
              </a:extLst>
            </xdr14:cNvPr>
            <xdr14:cNvContentPartPr/>
          </xdr14:nvContentPartPr>
          <xdr14:nvPr macro=""/>
          <xdr14:xfrm>
            <a:off x="10399002133" y="22173840"/>
            <a:ext cx="6408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9534E1B-4C0A-81E7-D80E-EAC4E652E4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96013" y="22167720"/>
              <a:ext cx="763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569417</xdr:colOff>
      <xdr:row>54</xdr:row>
      <xdr:rowOff>97553</xdr:rowOff>
    </xdr:from>
    <xdr:to>
      <xdr:col>9</xdr:col>
      <xdr:colOff>62146</xdr:colOff>
      <xdr:row>54</xdr:row>
      <xdr:rowOff>490313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44CA45-0500-9ACB-BD09-D04E9B4A8D51}"/>
                </a:ext>
              </a:extLst>
            </xdr14:cNvPr>
            <xdr14:cNvContentPartPr/>
          </xdr14:nvContentPartPr>
          <xdr14:nvPr macro=""/>
          <xdr14:xfrm>
            <a:off x="10398524673" y="22634280"/>
            <a:ext cx="1467000" cy="392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44CA45-0500-9ACB-BD09-D04E9B4A8D5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18553" y="22628160"/>
              <a:ext cx="1479240" cy="40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1088271</xdr:colOff>
      <xdr:row>2</xdr:row>
      <xdr:rowOff>112740</xdr:rowOff>
    </xdr:from>
    <xdr:to>
      <xdr:col>3</xdr:col>
      <xdr:colOff>1117791</xdr:colOff>
      <xdr:row>2</xdr:row>
      <xdr:rowOff>174660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34204CF-F8A7-3AE6-25F9-C06A917A4F80}"/>
                </a:ext>
              </a:extLst>
            </xdr14:cNvPr>
            <xdr14:cNvContentPartPr/>
          </xdr14:nvContentPartPr>
          <xdr14:nvPr macro=""/>
          <xdr14:xfrm>
            <a:off x="10402751073" y="1065240"/>
            <a:ext cx="29520" cy="619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34204CF-F8A7-3AE6-25F9-C06A917A4F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2744953" y="1059120"/>
              <a:ext cx="4176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1330191</xdr:colOff>
      <xdr:row>2</xdr:row>
      <xdr:rowOff>272940</xdr:rowOff>
    </xdr:from>
    <xdr:to>
      <xdr:col>3</xdr:col>
      <xdr:colOff>1348551</xdr:colOff>
      <xdr:row>2</xdr:row>
      <xdr:rowOff>300300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815B6F5-DC76-7716-4460-EB278CF68B7E}"/>
                </a:ext>
              </a:extLst>
            </xdr14:cNvPr>
            <xdr14:cNvContentPartPr/>
          </xdr14:nvContentPartPr>
          <xdr14:nvPr macro=""/>
          <xdr14:xfrm>
            <a:off x="10402520313" y="1225440"/>
            <a:ext cx="18360" cy="27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815B6F5-DC76-7716-4460-EB278CF68B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2514193" y="1219320"/>
              <a:ext cx="3060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59031</xdr:colOff>
      <xdr:row>2</xdr:row>
      <xdr:rowOff>171420</xdr:rowOff>
    </xdr:from>
    <xdr:to>
      <xdr:col>3</xdr:col>
      <xdr:colOff>77391</xdr:colOff>
      <xdr:row>2</xdr:row>
      <xdr:rowOff>211020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9B0775B-8419-9EAB-905D-CF4FB9211E94}"/>
                </a:ext>
              </a:extLst>
            </xdr14:cNvPr>
            <xdr14:cNvContentPartPr/>
          </xdr14:nvContentPartPr>
          <xdr14:nvPr macro=""/>
          <xdr14:xfrm>
            <a:off x="10403791473" y="1123920"/>
            <a:ext cx="18360" cy="396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9B0775B-8419-9EAB-905D-CF4FB9211E9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3785353" y="1117800"/>
              <a:ext cx="30600" cy="5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3:58:43.921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1 1,'0'0,"16"0,-12 0,8 0,20 0,-29 0,26 0,3 0,-29 0,42 0,-45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59:43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2901 962 6649,'0'0'0,"-26"-2"3209,-8 0-2617,34 2-592,-46-3 504,2 0-32,0 0-8,-1-1 264,45 4-728,-49-3 784,-2-1-95,-3-1 23,-7 1-280,61 4-432,-65-4 288,-3 0-40,-9-1-120,-2 1 0,79 4-128,-79-4 120,-6-2-40,1-5 8,-4 7-8,88 4-80,-93-13 64,1 7-16,0-10 8,2 2-80,90 14 24,-88-15 40,2-3 64,3-3 72,0 1 56,83 20-232,-79-21 272,-2 0-8,2-2-96,3 0 80,76 23-248,-77-23 224,7 1-56,2-1 40,7 0-7,61 23-201,-53-21 360,5 2-32,8 1-56,8 1 56,32 17-328,-27-17-16,5 1 152,9 3 72,9 1-136,4 12-72,-1-13 152,1 1-224,20 0-32,4-4-48,-24 16 152,35-16-200,9-1 208,12 0-56,9 0 72,-65 17-24,77-14 112,7 1-160,5 2 40,11 5 16,-100 6-8,105-14-48,10 10 32,10-8 72,6 11-72,-131 1 16,142-4 64,5-1-24,2 4 16,4 1-16,-153 0-40,154 0 24,1 3 40,1 9-96,-1-7 64,-155-5-32,149 15 16,-5-3-128,-3-1 96,-8-7-72,-133-4 88,127 16 0,-8-12 176,-8 12-128,-7-12 48,-104-4-96,98 12 32,-13-10-128,-9 3 56,-15-1 48,-61-4-8,54 4-56,-7 8-24,-13-10 80,-12 3-152,-22-5 152,5 3 48,-5-1 72,-3 1-96,-18-3 328,21 0-352,-30 0 128,-16 3 40,-18 0 88,-14 0-240,78-3-16,-94 4 112,-12-1-88,-12 0-56,-13-3 64,131 0-32,-141 0 32,-10 3 8,-10-1 32,-10 1-40,171-3-32,-182 3 112,-7 8 8,-3-8 40,-4 11-8,196-14-152,-195 5 176,0 10-32,3-3-16,11-8 72,181-4-200,-177 16 192,10-12 24,9 7 57,11-8-225,147-3-48,-129 4 152,14-1-32,21-3-48,17 0 144,77 0-216,-61-3 0,23-2 136,15-8-104,19 7-64,4 6 32,0-17 0,22-1-144,15-8-48,24-5-56,-61 31 248,84-40 16,22-1-64,20-5 144,19-1-104,-145 47 8,162-42-72,9 1 56,9 5-32,11 5 208,-191 31-160,199-27 16,4 4-8,-1 4-16,-6 7 32,-196 12-24,186-5-64,-8 1 88,-19 1 32,-20 2-112,-139 1 56,121 0-64,-23 0-8,-22 3-80,-22 0 71,-54-3 81,31 2-64,-18 3-88,-15-2 152,-20-1 16,22-2-16,-36 3 96,-20 0 257,-17 0-113,-17 1 96,90-4-336,-108 16 352,-16-2-208,-19 3 32,-14 6-160,157-23-16,-164 25 88,-10 2 176,-2 2 0,-2-1 248,178-28-512,-177 32 416,5 5-112,7 1-88,3 6 48,162-44-264,-152 44 160,5 3-48,11 3-8,13-2-128,123-48 24,-108 47 0,16-3 176,14-6-176,14-2-104,64-36 104,-46 31 0,12-2-264,14-2 176,16 0-16,4-27 104,-4 31-336,4 2-40,18 2-104,6 1-200,-24-36 680,33 34-1336,7-1-1361,11 2-5513,10-11-1168,-61-24 9378,0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59:49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40 23364,'0'0'0,"-23"-20"681,2 7-233,21 13-448,-23-5-8,10 3-200,12 7-208,1 19-273,0-24 689,3 23-1168,-1 6-856,12 1-1897,-2 2-2064,-12-32 5985,16 28-7330,-16-28 7330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59:50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0 26085,'0'0'0,"0"0"0,-22 0-200,9 3-616,-1 1-496,13 12-665,1-16 1977,0 4-3153,15 12-1960,-3 1-1704,2-1 1224,-14-16 5593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59:53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18 18459,'0'0'0,"-16"-11"489,3 8-417,13 3-72,-14-3-104,9 3-137,4 4-143,1 15-216,0-19 600,0 17-1288,0 4-1281,4 2-1863,10 2-890,-14-25 5322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B51" zoomScale="130" zoomScaleNormal="100" zoomScaleSheetLayoutView="130" workbookViewId="0">
      <selection activeCell="C3" sqref="C3:D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1" t="s">
        <v>223</v>
      </c>
      <c r="C1" s="41"/>
      <c r="D1" s="41"/>
      <c r="E1" s="41"/>
      <c r="F1" s="41"/>
      <c r="G1" s="41"/>
      <c r="H1" s="41"/>
      <c r="I1" s="41"/>
      <c r="J1" s="41"/>
    </row>
    <row r="2" spans="1:10" ht="30" customHeight="1">
      <c r="B2" s="12" t="s">
        <v>8</v>
      </c>
      <c r="C2" s="47" t="s">
        <v>41</v>
      </c>
      <c r="D2" s="47"/>
      <c r="E2" s="12" t="s">
        <v>7</v>
      </c>
      <c r="F2" s="42">
        <v>45905</v>
      </c>
      <c r="G2" s="42"/>
      <c r="H2" s="42"/>
      <c r="I2" s="42"/>
      <c r="J2" s="42"/>
    </row>
    <row r="3" spans="1:10" ht="30" customHeight="1">
      <c r="B3" s="12" t="s">
        <v>9</v>
      </c>
      <c r="C3" s="47" t="s">
        <v>82</v>
      </c>
      <c r="D3" s="47"/>
      <c r="E3" s="12" t="s">
        <v>6</v>
      </c>
      <c r="F3" s="47" t="s">
        <v>130</v>
      </c>
      <c r="G3" s="47"/>
      <c r="H3" s="47"/>
      <c r="I3" s="47"/>
      <c r="J3" s="47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43" t="s">
        <v>0</v>
      </c>
      <c r="C5" s="44"/>
      <c r="D5" s="44"/>
      <c r="E5" s="56" t="s">
        <v>1</v>
      </c>
      <c r="F5" s="56"/>
      <c r="G5" s="56"/>
      <c r="H5" s="56"/>
      <c r="I5" s="56" t="s">
        <v>2</v>
      </c>
      <c r="J5" s="57"/>
    </row>
    <row r="6" spans="1:10" ht="24.95" customHeight="1" thickBot="1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5" customHeight="1" thickBot="1">
      <c r="A7" s="10"/>
      <c r="B7" s="50" t="s">
        <v>21</v>
      </c>
      <c r="C7" s="51"/>
      <c r="D7" s="51"/>
      <c r="E7" s="31" t="s">
        <v>18</v>
      </c>
      <c r="F7" s="31" t="s">
        <v>19</v>
      </c>
      <c r="G7" s="31" t="s">
        <v>22</v>
      </c>
      <c r="H7" s="31" t="s">
        <v>20</v>
      </c>
      <c r="I7" s="60" t="s">
        <v>25</v>
      </c>
      <c r="J7" s="61"/>
    </row>
    <row r="8" spans="1:10" ht="30" customHeight="1">
      <c r="A8" s="10"/>
      <c r="B8" s="83" t="s">
        <v>180</v>
      </c>
      <c r="C8" s="84"/>
      <c r="D8" s="84"/>
      <c r="E8" s="28"/>
      <c r="F8" s="35"/>
      <c r="G8" s="36"/>
      <c r="H8" s="37"/>
      <c r="I8" s="62"/>
      <c r="J8" s="63"/>
    </row>
    <row r="9" spans="1:10" ht="39.950000000000003" customHeight="1">
      <c r="A9" s="10"/>
      <c r="B9" s="75" t="s">
        <v>181</v>
      </c>
      <c r="C9" s="76"/>
      <c r="D9" s="76"/>
      <c r="E9" s="9">
        <v>10</v>
      </c>
      <c r="F9" s="26">
        <v>7</v>
      </c>
      <c r="G9" s="33">
        <f>IFERROR(F9/E9,"")</f>
        <v>0.7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>
      <c r="A10" s="10"/>
      <c r="B10" s="75" t="s">
        <v>182</v>
      </c>
      <c r="C10" s="76"/>
      <c r="D10" s="76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>
      <c r="A11" s="10"/>
      <c r="B11" s="75" t="s">
        <v>183</v>
      </c>
      <c r="C11" s="76"/>
      <c r="D11" s="76"/>
      <c r="E11" s="9">
        <v>10</v>
      </c>
      <c r="F11" s="26">
        <v>7</v>
      </c>
      <c r="G11" s="33">
        <f t="shared" si="0"/>
        <v>0.7</v>
      </c>
      <c r="H11" s="34" t="str">
        <f t="shared" si="1"/>
        <v>جيد</v>
      </c>
      <c r="I11" s="52"/>
      <c r="J11" s="53"/>
    </row>
    <row r="12" spans="1:10" ht="39.950000000000003" customHeight="1">
      <c r="A12" s="10"/>
      <c r="B12" s="75" t="s">
        <v>184</v>
      </c>
      <c r="C12" s="76"/>
      <c r="D12" s="76"/>
      <c r="E12" s="9">
        <v>8</v>
      </c>
      <c r="F12" s="26">
        <v>5.75</v>
      </c>
      <c r="G12" s="33">
        <f t="shared" si="0"/>
        <v>0.71875</v>
      </c>
      <c r="H12" s="34" t="str">
        <f t="shared" si="1"/>
        <v>جيد</v>
      </c>
      <c r="I12" s="52"/>
      <c r="J12" s="53"/>
    </row>
    <row r="13" spans="1:10" ht="30" customHeight="1">
      <c r="A13" s="10"/>
      <c r="B13" s="75" t="s">
        <v>185</v>
      </c>
      <c r="C13" s="76"/>
      <c r="D13" s="76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2"/>
      <c r="J13" s="53"/>
    </row>
    <row r="14" spans="1:10" ht="30" customHeight="1">
      <c r="A14" s="10"/>
      <c r="B14" s="75" t="s">
        <v>186</v>
      </c>
      <c r="C14" s="76"/>
      <c r="D14" s="76"/>
      <c r="E14" s="9">
        <v>6</v>
      </c>
      <c r="F14" s="26">
        <v>4.5</v>
      </c>
      <c r="G14" s="33">
        <f t="shared" si="0"/>
        <v>0.75</v>
      </c>
      <c r="H14" s="34" t="str">
        <f t="shared" si="1"/>
        <v>جيد</v>
      </c>
      <c r="I14" s="52"/>
      <c r="J14" s="53"/>
    </row>
    <row r="15" spans="1:10" ht="30" customHeight="1">
      <c r="A15" s="10"/>
      <c r="B15" s="75" t="s">
        <v>187</v>
      </c>
      <c r="C15" s="76"/>
      <c r="D15" s="76"/>
      <c r="E15" s="9">
        <v>5</v>
      </c>
      <c r="F15" s="26">
        <v>3.75</v>
      </c>
      <c r="G15" s="33">
        <f t="shared" si="0"/>
        <v>0.75</v>
      </c>
      <c r="H15" s="34" t="str">
        <f t="shared" si="1"/>
        <v>جيد</v>
      </c>
      <c r="I15" s="52"/>
      <c r="J15" s="53"/>
    </row>
    <row r="16" spans="1:10" ht="30" customHeight="1">
      <c r="A16" s="10"/>
      <c r="B16" s="75" t="s">
        <v>188</v>
      </c>
      <c r="C16" s="76"/>
      <c r="D16" s="76"/>
      <c r="E16" s="9">
        <v>5</v>
      </c>
      <c r="F16" s="26">
        <v>3.75</v>
      </c>
      <c r="G16" s="33">
        <f t="shared" si="0"/>
        <v>0.75</v>
      </c>
      <c r="H16" s="34" t="str">
        <f t="shared" si="1"/>
        <v>جيد</v>
      </c>
      <c r="I16" s="52"/>
      <c r="J16" s="53"/>
    </row>
    <row r="17" spans="1:10" ht="30" customHeight="1">
      <c r="A17" s="10"/>
      <c r="B17" s="75" t="s">
        <v>189</v>
      </c>
      <c r="C17" s="76"/>
      <c r="D17" s="76"/>
      <c r="E17" s="9">
        <v>6</v>
      </c>
      <c r="F17" s="26">
        <v>4.5</v>
      </c>
      <c r="G17" s="33">
        <f t="shared" si="0"/>
        <v>0.75</v>
      </c>
      <c r="H17" s="34" t="str">
        <f t="shared" si="1"/>
        <v>جيد</v>
      </c>
      <c r="I17" s="52"/>
      <c r="J17" s="53"/>
    </row>
    <row r="18" spans="1:10" ht="39.950000000000003" customHeight="1">
      <c r="A18" s="10"/>
      <c r="B18" s="75" t="s">
        <v>190</v>
      </c>
      <c r="C18" s="76"/>
      <c r="D18" s="76"/>
      <c r="E18" s="9">
        <v>8</v>
      </c>
      <c r="F18" s="26">
        <v>6</v>
      </c>
      <c r="G18" s="33">
        <f t="shared" si="0"/>
        <v>0.75</v>
      </c>
      <c r="H18" s="34" t="str">
        <f t="shared" si="1"/>
        <v>جيد</v>
      </c>
      <c r="I18" s="52"/>
      <c r="J18" s="53"/>
    </row>
    <row r="19" spans="1:10" ht="39.950000000000003" customHeight="1">
      <c r="A19" s="10"/>
      <c r="B19" s="75" t="s">
        <v>191</v>
      </c>
      <c r="C19" s="76"/>
      <c r="D19" s="76"/>
      <c r="E19" s="9">
        <v>8</v>
      </c>
      <c r="F19" s="26">
        <v>6</v>
      </c>
      <c r="G19" s="33">
        <f t="shared" si="0"/>
        <v>0.75</v>
      </c>
      <c r="H19" s="34" t="str">
        <f t="shared" si="1"/>
        <v>جيد</v>
      </c>
      <c r="I19" s="52"/>
      <c r="J19" s="53"/>
    </row>
    <row r="20" spans="1:10" ht="30" customHeight="1">
      <c r="A20" s="10"/>
      <c r="B20" s="75" t="s">
        <v>192</v>
      </c>
      <c r="C20" s="76"/>
      <c r="D20" s="76"/>
      <c r="E20" s="9">
        <v>5</v>
      </c>
      <c r="F20" s="26">
        <v>3.5</v>
      </c>
      <c r="G20" s="33">
        <f t="shared" si="0"/>
        <v>0.7</v>
      </c>
      <c r="H20" s="34" t="str">
        <f t="shared" si="1"/>
        <v>جيد</v>
      </c>
      <c r="I20" s="52"/>
      <c r="J20" s="53"/>
    </row>
    <row r="21" spans="1:10" ht="30" customHeight="1">
      <c r="A21" s="10"/>
      <c r="B21" s="75" t="s">
        <v>193</v>
      </c>
      <c r="C21" s="76"/>
      <c r="D21" s="76"/>
      <c r="E21" s="9">
        <v>5</v>
      </c>
      <c r="F21" s="26">
        <v>3.5</v>
      </c>
      <c r="G21" s="33">
        <f t="shared" si="0"/>
        <v>0.7</v>
      </c>
      <c r="H21" s="34" t="str">
        <f t="shared" si="1"/>
        <v>جيد</v>
      </c>
      <c r="I21" s="52"/>
      <c r="J21" s="53"/>
    </row>
    <row r="22" spans="1:10" ht="39.950000000000003" customHeight="1" thickBot="1">
      <c r="A22" s="10"/>
      <c r="B22" s="77" t="s">
        <v>194</v>
      </c>
      <c r="C22" s="78"/>
      <c r="D22" s="78"/>
      <c r="E22" s="29">
        <v>5</v>
      </c>
      <c r="F22" s="27">
        <v>3.75</v>
      </c>
      <c r="G22" s="38">
        <f t="shared" si="0"/>
        <v>0.75</v>
      </c>
      <c r="H22" s="39" t="str">
        <f t="shared" si="1"/>
        <v>جيد</v>
      </c>
      <c r="I22" s="54"/>
      <c r="J22" s="55"/>
    </row>
    <row r="23" spans="1:10" ht="30" customHeight="1">
      <c r="A23" s="10"/>
      <c r="B23" s="83" t="s">
        <v>195</v>
      </c>
      <c r="C23" s="84"/>
      <c r="D23" s="84"/>
      <c r="E23" s="28"/>
      <c r="F23" s="35"/>
      <c r="G23" s="36"/>
      <c r="H23" s="37"/>
      <c r="I23" s="62"/>
      <c r="J23" s="63"/>
    </row>
    <row r="24" spans="1:10" ht="39.950000000000003" customHeight="1">
      <c r="A24" s="10"/>
      <c r="B24" s="75" t="s">
        <v>196</v>
      </c>
      <c r="C24" s="76"/>
      <c r="D24" s="76"/>
      <c r="E24" s="9">
        <v>8</v>
      </c>
      <c r="F24" s="26">
        <v>5.75</v>
      </c>
      <c r="G24" s="33">
        <f t="shared" si="0"/>
        <v>0.71875</v>
      </c>
      <c r="H24" s="34" t="str">
        <f t="shared" si="1"/>
        <v>جيد</v>
      </c>
      <c r="I24" s="52"/>
      <c r="J24" s="53"/>
    </row>
    <row r="25" spans="1:10" ht="30" customHeight="1">
      <c r="A25" s="10"/>
      <c r="B25" s="75" t="s">
        <v>197</v>
      </c>
      <c r="C25" s="76"/>
      <c r="D25" s="76"/>
      <c r="E25" s="9">
        <v>7</v>
      </c>
      <c r="F25" s="26">
        <v>5</v>
      </c>
      <c r="G25" s="33">
        <f t="shared" si="0"/>
        <v>0.7142857142857143</v>
      </c>
      <c r="H25" s="34" t="str">
        <f t="shared" si="1"/>
        <v>جيد</v>
      </c>
      <c r="I25" s="52"/>
      <c r="J25" s="53"/>
    </row>
    <row r="26" spans="1:10" ht="39.950000000000003" customHeight="1">
      <c r="A26" s="10"/>
      <c r="B26" s="75" t="s">
        <v>198</v>
      </c>
      <c r="C26" s="76"/>
      <c r="D26" s="76"/>
      <c r="E26" s="9">
        <v>8</v>
      </c>
      <c r="F26" s="26">
        <v>6</v>
      </c>
      <c r="G26" s="33">
        <f t="shared" si="0"/>
        <v>0.75</v>
      </c>
      <c r="H26" s="34" t="str">
        <f t="shared" si="1"/>
        <v>جيد</v>
      </c>
      <c r="I26" s="52"/>
      <c r="J26" s="53"/>
    </row>
    <row r="27" spans="1:10" ht="30" customHeight="1">
      <c r="A27" s="10"/>
      <c r="B27" s="75" t="s">
        <v>199</v>
      </c>
      <c r="C27" s="76"/>
      <c r="D27" s="76"/>
      <c r="E27" s="9">
        <v>8</v>
      </c>
      <c r="F27" s="26">
        <v>5.75</v>
      </c>
      <c r="G27" s="33">
        <f t="shared" si="0"/>
        <v>0.71875</v>
      </c>
      <c r="H27" s="34" t="str">
        <f t="shared" si="1"/>
        <v>جيد</v>
      </c>
      <c r="I27" s="52"/>
      <c r="J27" s="53"/>
    </row>
    <row r="28" spans="1:10" ht="30" customHeight="1" thickBot="1">
      <c r="A28" s="10"/>
      <c r="B28" s="77" t="s">
        <v>200</v>
      </c>
      <c r="C28" s="78"/>
      <c r="D28" s="78"/>
      <c r="E28" s="29">
        <v>8</v>
      </c>
      <c r="F28" s="27">
        <v>5.75</v>
      </c>
      <c r="G28" s="38">
        <f t="shared" si="0"/>
        <v>0.71875</v>
      </c>
      <c r="H28" s="39" t="str">
        <f t="shared" si="1"/>
        <v>جيد</v>
      </c>
      <c r="I28" s="54"/>
      <c r="J28" s="55"/>
    </row>
    <row r="29" spans="1:10" ht="30" customHeight="1">
      <c r="A29" s="10"/>
      <c r="B29" s="83" t="s">
        <v>201</v>
      </c>
      <c r="C29" s="84"/>
      <c r="D29" s="84"/>
      <c r="E29" s="28"/>
      <c r="F29" s="35"/>
      <c r="G29" s="36"/>
      <c r="H29" s="37"/>
      <c r="I29" s="62"/>
      <c r="J29" s="63"/>
    </row>
    <row r="30" spans="1:10" ht="39.950000000000003" customHeight="1">
      <c r="A30" s="10"/>
      <c r="B30" s="75" t="s">
        <v>202</v>
      </c>
      <c r="C30" s="76"/>
      <c r="D30" s="76"/>
      <c r="E30" s="9">
        <v>10</v>
      </c>
      <c r="F30" s="26">
        <v>7</v>
      </c>
      <c r="G30" s="33">
        <f t="shared" si="0"/>
        <v>0.7</v>
      </c>
      <c r="H30" s="34" t="str">
        <f t="shared" si="1"/>
        <v>جيد</v>
      </c>
      <c r="I30" s="52"/>
      <c r="J30" s="53"/>
    </row>
    <row r="31" spans="1:10" ht="30" customHeight="1">
      <c r="A31" s="10"/>
      <c r="B31" s="75" t="s">
        <v>203</v>
      </c>
      <c r="C31" s="76"/>
      <c r="D31" s="76"/>
      <c r="E31" s="9">
        <v>10</v>
      </c>
      <c r="F31" s="26">
        <v>7</v>
      </c>
      <c r="G31" s="33">
        <f t="shared" si="0"/>
        <v>0.7</v>
      </c>
      <c r="H31" s="34" t="str">
        <f t="shared" si="1"/>
        <v>جيد</v>
      </c>
      <c r="I31" s="52"/>
      <c r="J31" s="53"/>
    </row>
    <row r="32" spans="1:10" ht="30" customHeight="1" thickBot="1">
      <c r="A32" s="10"/>
      <c r="B32" s="77" t="s">
        <v>204</v>
      </c>
      <c r="C32" s="78"/>
      <c r="D32" s="78"/>
      <c r="E32" s="29">
        <v>10</v>
      </c>
      <c r="F32" s="27">
        <v>7</v>
      </c>
      <c r="G32" s="38">
        <f t="shared" si="0"/>
        <v>0.7</v>
      </c>
      <c r="H32" s="39" t="str">
        <f t="shared" si="1"/>
        <v>جيد</v>
      </c>
      <c r="I32" s="54"/>
      <c r="J32" s="55"/>
    </row>
    <row r="33" spans="1:10" ht="39.950000000000003" customHeight="1">
      <c r="A33" s="10"/>
      <c r="B33" s="83" t="s">
        <v>205</v>
      </c>
      <c r="C33" s="84"/>
      <c r="D33" s="84"/>
      <c r="E33" s="28"/>
      <c r="F33" s="35"/>
      <c r="G33" s="36"/>
      <c r="H33" s="37"/>
      <c r="I33" s="62"/>
      <c r="J33" s="63"/>
    </row>
    <row r="34" spans="1:10" ht="30" customHeight="1">
      <c r="A34" s="10"/>
      <c r="B34" s="75" t="s">
        <v>206</v>
      </c>
      <c r="C34" s="76"/>
      <c r="D34" s="76"/>
      <c r="E34" s="9">
        <v>5</v>
      </c>
      <c r="F34" s="26">
        <v>3.5</v>
      </c>
      <c r="G34" s="33">
        <f t="shared" si="0"/>
        <v>0.7</v>
      </c>
      <c r="H34" s="34" t="str">
        <f t="shared" si="1"/>
        <v>جيد</v>
      </c>
      <c r="I34" s="52"/>
      <c r="J34" s="53"/>
    </row>
    <row r="35" spans="1:10" ht="30" customHeight="1">
      <c r="A35" s="10"/>
      <c r="B35" s="75" t="s">
        <v>207</v>
      </c>
      <c r="C35" s="76"/>
      <c r="D35" s="76"/>
      <c r="E35" s="9">
        <v>5</v>
      </c>
      <c r="F35" s="26">
        <v>3.5</v>
      </c>
      <c r="G35" s="33">
        <f t="shared" si="0"/>
        <v>0.7</v>
      </c>
      <c r="H35" s="34" t="str">
        <f t="shared" si="1"/>
        <v>جيد</v>
      </c>
      <c r="I35" s="52"/>
      <c r="J35" s="53"/>
    </row>
    <row r="36" spans="1:10" ht="39.950000000000003" customHeight="1">
      <c r="A36" s="10"/>
      <c r="B36" s="75" t="s">
        <v>208</v>
      </c>
      <c r="C36" s="76"/>
      <c r="D36" s="76"/>
      <c r="E36" s="9">
        <v>5</v>
      </c>
      <c r="F36" s="26">
        <v>3.5</v>
      </c>
      <c r="G36" s="33">
        <f t="shared" si="0"/>
        <v>0.7</v>
      </c>
      <c r="H36" s="34" t="str">
        <f t="shared" si="1"/>
        <v>جيد</v>
      </c>
      <c r="I36" s="52"/>
      <c r="J36" s="53"/>
    </row>
    <row r="37" spans="1:10" ht="52.5" customHeight="1">
      <c r="A37" s="10"/>
      <c r="B37" s="75" t="s">
        <v>209</v>
      </c>
      <c r="C37" s="76"/>
      <c r="D37" s="76"/>
      <c r="E37" s="9">
        <v>5</v>
      </c>
      <c r="F37" s="26">
        <v>3.5</v>
      </c>
      <c r="G37" s="33">
        <f t="shared" si="0"/>
        <v>0.7</v>
      </c>
      <c r="H37" s="34" t="str">
        <f t="shared" si="1"/>
        <v>جيد</v>
      </c>
      <c r="I37" s="52"/>
      <c r="J37" s="53"/>
    </row>
    <row r="38" spans="1:10" ht="39.950000000000003" customHeight="1">
      <c r="A38" s="10"/>
      <c r="B38" s="75" t="s">
        <v>210</v>
      </c>
      <c r="C38" s="76"/>
      <c r="D38" s="76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2"/>
      <c r="J38" s="53"/>
    </row>
    <row r="39" spans="1:10" ht="30" customHeight="1" thickBot="1">
      <c r="A39" s="10"/>
      <c r="B39" s="77" t="s">
        <v>211</v>
      </c>
      <c r="C39" s="78"/>
      <c r="D39" s="78"/>
      <c r="E39" s="29">
        <v>5</v>
      </c>
      <c r="F39" s="27">
        <v>3.5</v>
      </c>
      <c r="G39" s="38">
        <f t="shared" si="0"/>
        <v>0.7</v>
      </c>
      <c r="H39" s="39" t="str">
        <f t="shared" si="1"/>
        <v>جيد</v>
      </c>
      <c r="I39" s="54"/>
      <c r="J39" s="55"/>
    </row>
    <row r="40" spans="1:10" ht="30" customHeight="1">
      <c r="A40" s="10"/>
      <c r="B40" s="83" t="s">
        <v>212</v>
      </c>
      <c r="C40" s="84"/>
      <c r="D40" s="84"/>
      <c r="E40" s="28"/>
      <c r="F40" s="35"/>
      <c r="G40" s="36"/>
      <c r="H40" s="37"/>
      <c r="I40" s="62"/>
      <c r="J40" s="63"/>
    </row>
    <row r="41" spans="1:10" ht="30" customHeight="1">
      <c r="A41" s="10"/>
      <c r="B41" s="75" t="s">
        <v>213</v>
      </c>
      <c r="C41" s="76"/>
      <c r="D41" s="76"/>
      <c r="E41" s="9">
        <v>5</v>
      </c>
      <c r="F41" s="26">
        <v>3.5</v>
      </c>
      <c r="G41" s="33">
        <f t="shared" si="0"/>
        <v>0.7</v>
      </c>
      <c r="H41" s="34" t="str">
        <f t="shared" si="1"/>
        <v>جيد</v>
      </c>
      <c r="I41" s="52"/>
      <c r="J41" s="53"/>
    </row>
    <row r="42" spans="1:10" ht="39.950000000000003" customHeight="1">
      <c r="A42" s="10"/>
      <c r="B42" s="75" t="s">
        <v>214</v>
      </c>
      <c r="C42" s="76"/>
      <c r="D42" s="76"/>
      <c r="E42" s="9">
        <v>5</v>
      </c>
      <c r="F42" s="26">
        <v>3.5</v>
      </c>
      <c r="G42" s="33">
        <f t="shared" si="0"/>
        <v>0.7</v>
      </c>
      <c r="H42" s="34" t="str">
        <f t="shared" si="1"/>
        <v>جيد</v>
      </c>
      <c r="I42" s="52"/>
      <c r="J42" s="53"/>
    </row>
    <row r="43" spans="1:10" ht="30" customHeight="1" thickBot="1">
      <c r="A43" s="10"/>
      <c r="B43" s="77" t="s">
        <v>215</v>
      </c>
      <c r="C43" s="78"/>
      <c r="D43" s="78"/>
      <c r="E43" s="29">
        <v>5</v>
      </c>
      <c r="F43" s="40">
        <v>3.5</v>
      </c>
      <c r="G43" s="38">
        <f t="shared" si="0"/>
        <v>0.7</v>
      </c>
      <c r="H43" s="39" t="str">
        <f t="shared" si="1"/>
        <v>جيد</v>
      </c>
      <c r="I43" s="54"/>
      <c r="J43" s="55"/>
    </row>
    <row r="44" spans="1:10" ht="30" customHeight="1">
      <c r="A44" s="10"/>
      <c r="B44" s="83" t="s">
        <v>216</v>
      </c>
      <c r="C44" s="84"/>
      <c r="D44" s="84"/>
      <c r="E44" s="30"/>
      <c r="F44" s="40"/>
      <c r="G44" s="36"/>
      <c r="H44" s="37"/>
      <c r="I44" s="62"/>
      <c r="J44" s="63"/>
    </row>
    <row r="45" spans="1:10" ht="30" customHeight="1">
      <c r="A45" s="10"/>
      <c r="B45" s="75" t="s">
        <v>217</v>
      </c>
      <c r="C45" s="76"/>
      <c r="D45" s="76"/>
      <c r="E45" s="9">
        <v>5</v>
      </c>
      <c r="F45" s="40">
        <v>3.5</v>
      </c>
      <c r="G45" s="33">
        <f t="shared" si="0"/>
        <v>0.7</v>
      </c>
      <c r="H45" s="34" t="str">
        <f t="shared" si="1"/>
        <v>جيد</v>
      </c>
      <c r="I45" s="52"/>
      <c r="J45" s="53"/>
    </row>
    <row r="46" spans="1:10" ht="30" customHeight="1">
      <c r="A46" s="10"/>
      <c r="B46" s="75" t="s">
        <v>218</v>
      </c>
      <c r="C46" s="76"/>
      <c r="D46" s="76"/>
      <c r="E46" s="9">
        <v>5</v>
      </c>
      <c r="F46" s="40">
        <v>3.5</v>
      </c>
      <c r="G46" s="33">
        <f t="shared" si="0"/>
        <v>0.7</v>
      </c>
      <c r="H46" s="34" t="str">
        <f t="shared" si="1"/>
        <v>جيد</v>
      </c>
      <c r="I46" s="52"/>
      <c r="J46" s="53"/>
    </row>
    <row r="47" spans="1:10" ht="30" customHeight="1">
      <c r="A47" s="10"/>
      <c r="B47" s="75" t="s">
        <v>219</v>
      </c>
      <c r="C47" s="76"/>
      <c r="D47" s="76"/>
      <c r="E47" s="9">
        <v>5</v>
      </c>
      <c r="F47" s="40">
        <v>3.5</v>
      </c>
      <c r="G47" s="33">
        <f t="shared" si="0"/>
        <v>0.7</v>
      </c>
      <c r="H47" s="34" t="str">
        <f t="shared" si="1"/>
        <v>جيد</v>
      </c>
      <c r="I47" s="52"/>
      <c r="J47" s="53"/>
    </row>
    <row r="48" spans="1:10" ht="30" customHeight="1">
      <c r="A48" s="10"/>
      <c r="B48" s="75" t="s">
        <v>220</v>
      </c>
      <c r="C48" s="76"/>
      <c r="D48" s="76"/>
      <c r="E48" s="9">
        <v>5</v>
      </c>
      <c r="F48" s="40">
        <v>3.5</v>
      </c>
      <c r="G48" s="33">
        <f t="shared" si="0"/>
        <v>0.7</v>
      </c>
      <c r="H48" s="34" t="str">
        <f t="shared" si="1"/>
        <v>جيد</v>
      </c>
      <c r="I48" s="52"/>
      <c r="J48" s="53"/>
    </row>
    <row r="49" spans="1:10" ht="30" customHeight="1">
      <c r="A49" s="10"/>
      <c r="B49" s="75" t="s">
        <v>221</v>
      </c>
      <c r="C49" s="76"/>
      <c r="D49" s="76"/>
      <c r="E49" s="9">
        <v>5</v>
      </c>
      <c r="F49" s="40">
        <v>3.5</v>
      </c>
      <c r="G49" s="33">
        <f t="shared" si="0"/>
        <v>0.7</v>
      </c>
      <c r="H49" s="34" t="str">
        <f t="shared" si="1"/>
        <v>جيد</v>
      </c>
      <c r="I49" s="52"/>
      <c r="J49" s="53"/>
    </row>
    <row r="50" spans="1:10" ht="30" customHeight="1" thickBot="1">
      <c r="A50" s="10"/>
      <c r="B50" s="77" t="s">
        <v>222</v>
      </c>
      <c r="C50" s="78"/>
      <c r="D50" s="78"/>
      <c r="E50" s="29">
        <v>10</v>
      </c>
      <c r="F50" s="40">
        <v>7</v>
      </c>
      <c r="G50" s="38">
        <f t="shared" si="0"/>
        <v>0.7</v>
      </c>
      <c r="H50" s="39" t="str">
        <f t="shared" si="1"/>
        <v>جيد</v>
      </c>
      <c r="I50" s="54"/>
      <c r="J50" s="55"/>
    </row>
    <row r="51" spans="1:10" ht="30" customHeight="1" thickBot="1">
      <c r="A51" s="4"/>
      <c r="B51" s="79" t="s">
        <v>5</v>
      </c>
      <c r="C51" s="80"/>
      <c r="D51" s="80"/>
      <c r="E51" s="32">
        <f>SUM(E8:E50)</f>
        <v>240</v>
      </c>
      <c r="F51" s="32">
        <f>SUM(F8:F50)</f>
        <v>171.25</v>
      </c>
      <c r="G51" s="72"/>
      <c r="H51" s="73"/>
      <c r="I51" s="73"/>
      <c r="J51" s="74"/>
    </row>
    <row r="52" spans="1:10" ht="30" customHeight="1" thickBot="1">
      <c r="A52" s="4"/>
      <c r="B52" s="81" t="s">
        <v>54</v>
      </c>
      <c r="C52" s="82"/>
      <c r="D52" s="82"/>
      <c r="E52" s="48">
        <f>F51/E51/100*100</f>
        <v>0.71354166666666663</v>
      </c>
      <c r="F52" s="48"/>
      <c r="G52" s="48"/>
      <c r="H52" s="48"/>
      <c r="I52" s="48"/>
      <c r="J52" s="49"/>
    </row>
    <row r="53" spans="1:10" ht="30" customHeight="1" thickBot="1">
      <c r="A53" s="4"/>
      <c r="B53" s="81" t="s">
        <v>55</v>
      </c>
      <c r="C53" s="82"/>
      <c r="D53" s="82"/>
      <c r="E53" s="68" t="str">
        <f>_xlfn.IFS(E52&gt;=90%,"ممتاز",E52&gt;=80%,"جيد جداً",E52&gt;=70%,"جيد",E52&gt;=60%,"مقبول",E52&lt;60%,"راسب")</f>
        <v>جيد</v>
      </c>
      <c r="F53" s="68"/>
      <c r="G53" s="68"/>
      <c r="H53" s="68"/>
      <c r="I53" s="68"/>
      <c r="J53" s="69"/>
    </row>
    <row r="54" spans="1:10" ht="42" customHeight="1">
      <c r="B54" s="64" t="s">
        <v>174</v>
      </c>
      <c r="C54" s="64"/>
      <c r="D54" s="64"/>
      <c r="E54" s="70" t="s">
        <v>52</v>
      </c>
      <c r="F54" s="70"/>
      <c r="G54" s="66" t="s">
        <v>130</v>
      </c>
      <c r="H54" s="66"/>
      <c r="I54" s="66"/>
      <c r="J54" s="66"/>
    </row>
    <row r="55" spans="1:10" ht="51" customHeight="1">
      <c r="A55" s="5"/>
      <c r="B55" s="65"/>
      <c r="C55" s="65"/>
      <c r="D55" s="65"/>
      <c r="E55" s="71" t="s">
        <v>53</v>
      </c>
      <c r="F55" s="71"/>
      <c r="G55" s="67"/>
      <c r="H55" s="67"/>
      <c r="I55" s="67"/>
      <c r="J55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2025-09-22T05:51:08Z</dcterms:modified>
</cp:coreProperties>
</file>