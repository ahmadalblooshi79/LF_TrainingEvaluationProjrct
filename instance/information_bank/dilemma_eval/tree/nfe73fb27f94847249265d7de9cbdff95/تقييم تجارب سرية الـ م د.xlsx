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3EFBE55-200B-42B7-89B6-32AE727D5E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F42" i="2"/>
  <c r="E42" i="2"/>
  <c r="E43" i="2"/>
  <c r="E44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<sst xmlns="http://schemas.openxmlformats.org/spreadsheetml/2006/main" count="267" uniqueCount="211">
  <si>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</si>
  <si>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</si>
  <si>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</si>
  <si>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</si>
  <si>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</si>
  <si>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</si>
  <si>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</si>
  <si>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</si>
  <si>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</si>
  <si>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</si>
  <si>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</si>
  <si>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</si>
  <si>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</si>
  <si>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</si>
  <si>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</si>
  <si>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</si>
  <si>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</si>
  <si>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</si>
  <si>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</si>
  <si>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</si>
  <si>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</si>
  <si>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</si>
  <si>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</si>
  <si>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</si>
  <si>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</si>
  <si>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</si>
  <si>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</si>
  <si>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</si>
  <si>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</si>
  <si>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</si>
  <si>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</si>
  <si>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</si>
  <si>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</si>
  <si>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</si>
  <si>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</si>
  <si>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</si>
  <si>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</si>
  <si>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</si>
  <si>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</si>
  <si>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</si>
  <si>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</si>
  <si>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</si>
  <si>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</si>
  <si>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</si>
  <si>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</si>
  <si>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</si>
  <si>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</si>
  <si>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</si>
  <si>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</si>
  <si>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</si>
  <si>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</si>
  <si>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</si>
  <si>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</si>
  <si>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</si>
  <si>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</si>
  <si>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</si>
  <si>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</si>
  <si>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</si>
  <si>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</si>
  <si>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</si>
  <si>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</si>
  <si>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</si>
  <si>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</si>
  <si>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</si>
  <si>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</si>
  <si>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</si>
  <si>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</si>
  <si>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</si>
  <si>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</si>
  <si>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</si>
  <si>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</si>
  <si>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</si>
  <si>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</si>
  <si>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</si>
  <si>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</si>
  <si>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</si>
  <si>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</si>
  <si>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</si>
  <si>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</si>
  <si>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</si>
  <si>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</si>
  <si>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</si>
  <si>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</si>
  <si>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</si>
  <si>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</si>
  <si>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</si>
  <si>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</si>
  <si>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</si>
  <si>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</si>
  <si>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</si>
  <si>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</si>
  <si>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</si>
  <si>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</si>
  <si>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</si>
  <si>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</si>
  <si>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</si>
  <si>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</si>
  <si>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</si>
  <si>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</si>
  <si>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</si>
  <si>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</si>
  <si>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</si>
  <si>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</si>
  <si>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</si>
  <si>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</si>
  <si>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</si>
  <si>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</si>
  <si>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</si>
  <si>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</si>
  <si>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</si>
  <si>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</si>
  <si>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</si>
  <si>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</si>
  <si>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</si>
  <si>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</si>
  <si>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</si>
  <si>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</si>
  <si>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</si>
  <si>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</si>
  <si>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</si>
  <si>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</si>
  <si>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</si>
  <si>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</si>
  <si>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</si>
  <si>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</si>
  <si>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</si>
  <si>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</si>
  <si>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</si>
  <si>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</si>
  <si>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</si>
  <si>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</si>
  <si>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</si>
  <si>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</si>
  <si>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</si>
  <si>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</si>
  <si>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</si>
  <si>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</si>
  <si>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</si>
  <si>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</si>
  <si>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</si>
  <si>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</si>
  <si>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</si>
  <si>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</si>
  <si>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</si>
  <si>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</si>
  <si>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</si>
  <si>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</si>
  <si>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</si>
  <si>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</si>
  <si>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</si>
  <si>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</si>
  <si>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</si>
  <si>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</si>
  <si>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</si>
  <si>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</si>
  <si>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</si>
  <si>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</si>
  <si>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</si>
  <si>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</si>
  <si>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</si>
  <si>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</si>
  <si>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</si>
  <si>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</si>
  <si>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</si>
  <si>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</si>
  <si>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</si>
  <si>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</si>
  <si>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</si>
  <si>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</si>
  <si>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</si>
  <si>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</si>
  <si>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</si>
  <si>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</si>
  <si>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</si>
  <si>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</si>
  <si>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</si>
  <si>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</si>
  <si>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فهم القادة في السرية للموقف باستخدام معدات الاتصال المتوفرة، والخرائط، وملخصات الاستخبارات، وتقارير الموقف، ومصادر المعلومات المتوفرة الأخرى.</t>
    </r>
  </si>
  <si>
    <t>أ. اختيار نوع التجارب الذي سيتم تنفيذه (الإيجازات التأكيدية، إيجازات القادة المرؤوسين، تجارب الأسلحة الموحدة).</t>
  </si>
  <si>
    <t>ب. اختيار الأحداث التي سيتم إجراء التجارب عليها وترتيبها حسب الأولوية وتحديد التوقيتات اللازمة لكل حدث.</t>
  </si>
  <si>
    <t>جـ. تحديد المشاركين في التجارب.</t>
  </si>
  <si>
    <t>د. اختيار عمل العدو الذي سيتم تمثيله خلال التجارب.</t>
  </si>
  <si>
    <t>هـ. اختيار مكان التجارب.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</si>
  <si>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اختيار أحد أساليب التجارب مثل التجارب باستخدام كامل القوة، باستخدام جزء من القوة، باستخدام نماذج تمثل طبيعة الأرض، باستخدام المخططات، باستخدام الخارطة أو التجارب باستخدام شبكة الاتصالات.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</si>
  <si>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التأكيد على زمان ومكان التجربة وكما جاء في أمر عمليات السرية أو الأمر الإنذاري.</t>
    </r>
  </si>
  <si>
    <t>مرحلة التحضير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</si>
  <si>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</si>
  <si>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t>أ. تدقيق قائمة الأحداث الهامة المشمولة في التجارب.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</si>
  <si>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</si>
  <si>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</si>
  <si>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</si>
  <si>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</si>
  <si>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 xml:space="preserve">و. التأكد من توفر الشفافات والمخططات اللازمة. 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</si>
  <si>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Arial"/>
        <family val="2"/>
      </rPr>
      <t>يكمل القادة المرؤوسين تحضيراتهم للتجارب من خلال:</t>
    </r>
  </si>
  <si>
    <t>أ. إنهاء عملية التخطيط الخاصة بهم.</t>
  </si>
  <si>
    <t>ب. تحضير أية أمور تتعلق بتنفيذ المهمة لمناقشتها أثناء التجارب مع قيادة السرية.</t>
  </si>
  <si>
    <t>مرحلة التنفيذ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</si>
  <si>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يقوم قائد السرية بما يلي:</t>
    </r>
  </si>
  <si>
    <t>أ. إيجاز المشاركين عن أسلوب تنفيذ التجارب.</t>
  </si>
  <si>
    <t>ب. التأكيد على التجميع للواجب للعملية.</t>
  </si>
  <si>
    <t>جـ. عرض مفهوم السرية.</t>
  </si>
  <si>
    <t>د. تأكيد الأحداث الهامة التي سيتم التركيز عليها خلال التجارب.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</si>
  <si>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Arial"/>
        <family val="2"/>
      </rPr>
      <t>يدير القائد التجارب كما يلي:</t>
    </r>
  </si>
  <si>
    <t>أ. تفقد المشاركين والمعدات الضرورية.</t>
  </si>
  <si>
    <t>ب. اعتماد التجميع للواجب للعملية.</t>
  </si>
  <si>
    <t>جـ. الالتزام بالتوقيتات خلال إجراء التجارب.</t>
  </si>
  <si>
    <t>د. تنفيذ الأحداث الهامة حسب تسلسلها والأولوية لكل حدث وتكون الأحداث ضد عمل العدو الذي تم اختياره في مرحلة التخطيط.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</si>
  <si>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قادة الفصائل بتطبيق أدوارهم في العملية وحسب تسلسل الأحداث.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</si>
  <si>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بعد انتهاء التجارب يتم تعديل الخطة حسب الحاجة وإبلاغ المعنيين بذلك حسب الأوامر التعبوية المستديمة.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</si>
  <si>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عمل قائد السرية على تخطيط وترتيب أولويات العمل خلال التجارب وكما يلي:</t>
    </r>
  </si>
  <si>
    <t>تقييم تجارب سرية الـ م/د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</si>
</sst>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6" fillId="0" borderId="18" xfId="0" applyFont="1" applyBorder="1" applyAlignment="1" applyProtection="1">
      <alignment vertical="center" wrapText="1" readingOrder="2"/>
      <protection locked="0"/>
    </xf>
    <xf numFmtId="0" fontId="6" fillId="0" borderId="18" xfId="0" applyFont="1" applyBorder="1" applyAlignment="1" applyProtection="1">
      <alignment horizontal="right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3" xfId="0" applyFont="1" applyFill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72371</xdr:colOff>
      <xdr:row>44</xdr:row>
      <xdr:rowOff>429240</xdr:rowOff>
    </xdr:from>
    <xdr:to>
      <xdr:col>9</xdr:col>
      <xdr:colOff>436363</xdr:colOff>
      <xdr:row>50</xdr:row>
      <xdr:rowOff>107510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1002041A-B254-C0A6-51B8-83D32B93EFBB}"/>
                </a:ext>
              </a:extLst>
            </xdr14:cNvPr>
            <xdr14:cNvContentPartPr/>
          </xdr14:nvContentPartPr>
          <xdr14:nvPr macro=""/>
          <xdr14:xfrm>
            <a:off x="11456912509" y="21765240"/>
            <a:ext cx="2504520" cy="155556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1002041A-B254-C0A6-51B8-83D32B93EF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56903509" y="21756600"/>
              <a:ext cx="2522160" cy="1573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7:23:47.3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835 1239,'0'0,"0"0,0 0,0 0,0 0,0 0,0 20,-18-1,18-8,0-1,-17 28,-2-16,3-4,-19 61,-13-16,9-9,-47 65,40-45,5-11,-47 55,40-54,10-10,-66 84,67-75,4-9,-19 45,34-68,1-3,-1 31,10-38,-1-3,26 2,-8-10,0 0,26-10,22-11,-10 2,127-69,-63 15,-13 7,145-101,-98 54,-12 10,145-84,-121 73,-18 11,296-202,-227 151,-16 12,173-104,-191 123,-18 11,122-56,-168 96,-11 6,75-2,-111 26,-4 4,63-31,-105 69,0 0,-17 29,-17 2,0-3,-70 100,23-47,6-5,-12-8,42-37,4-3,-115 158,56-92,9-11,23-34,51-49,0-1,0-28,17 9,0 0,35-9,-23 8,-6 2,47-30,-33 28,-5 2,21-31,-25 30,-4 1,-7 9,-8 0,-1 0,-42 40,17-20,-1-1,-52 59,25-26,3-6,-27 33,24-37,3-5,-10 41,24-56,4-4,6 2,27-20,0 0,8-40,-9 30,1 0,27-28,-19 16,0 4,18-21,-18 29,1 0,-1-10,-8 10,-1 1,1-2,-35 41,7-20,3 0,-19 29,27-28,-1-2,-25 31,14-30,4-1,-1 10,17-8,0-2,27-23,-19 8,44-13,-9-12,1 3,95-51,-74 48,-8 3,65-30,-77 37,-3 2,62-20,-75 29,-6 0,-6 10,-17 11,0-2,17 10,-25 2,-1-3,9 22,-17-20,0-1,-18 40,27-27,-1-5,-9 12,9-17,1-4,8 1,0-8,35-41,2 10,-5 0,90-78,-49 37,-7 5,143-102,-101 76,-8 7,144-102,-116 93,-13 11,94-65,-126 86,-10 6,32-33,-60 47,-3 5,10-12,-44 18,1 2,8 19,3-20,-4 1,1-1,-8 20,-1 0,-25 20,0 1,-1-3,-122 80,41-25,8-8,-188 152,97-94,16-10,-251 181,163-108,21-17,-253 165,229-148,27-19,-258 207,243-179,21-17,-210 156,242-178,18-16,-122 134,160-160,12-11,-33 16,103-68,4-4,-20 12,53-49,0-1,-1 11,10-10,34-40,8-10,20-20,-3 3,123-100,-66 43,-8 11,179-152,-97 79,-16 17,216-214,-180 176,-22 21,238-218,-208 196,-20 22,209-197,-216 198,-18 16,166-156,-185 192,-14 10,94-84,-161 135,-9 7,32-43,-60 66,-4 4,-6 9,-36 19,0 0,-34 0,24 0,5 0,-117 39,40-9,9-1,-118 50,73-38,11-4,-135 42,122-38,14-3,-32 1,91-29,8 0,-64 29,84-19,4-1,-36 1,40 1,5-3,-62 61,49-49,4-1,-19 30,34-18,1-3,-1 41,18-39,0-2,53 20,1-27,-4-2,107 30,-49-49,-7-1,124 11,-96-20,-14 0,111 0,-135-10,-8 0,21-9,-58 19,-5 0,11 0,-35 10,1-1,17 30,-18-17,1-4,-18 41,-9-8,0-4,-43 91,15-66,5-7,-38 54,24-47,4-7,-9 53,22-77,6-3,5 41,9-59,1-2,25 22,1-19,-1-3,52 2,-4-20,-8 0,135-59,-73 17,-12 6,171-83,-139 46,-18 9,158-93,-151 63,-12 11,57-55,-110 86,-4 6,28-33,-59 58,-4 2,28-19,-26 17,-69 21,43-10,0 1,-35 9,-39 21,9-2,-109 39,37 4,14-6,-191 82,114-35,18-9,-253 122,224-82,22-12,-246 133,242-120,21-15,-176 116,192-121,16-13,-103 75,169-115,9-7,-40 24,68-59,5 0,15-1,8-9,53-59,-36 49,1 0,-9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6"/>
  <sheetViews>
    <sheetView rightToLeft="1" tabSelected="1" view="pageBreakPreview" topLeftCell="B39" zoomScale="130" zoomScaleNormal="100" zoomScaleSheetLayoutView="130" workbookViewId="0">
      <selection activeCell="G46" sqref="G46:J4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52" t="s">
        <v>210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3">
      <c r="B2" s="11" t="s">
        <v>8</v>
      </c>
      <c r="C2" s="58" t="s">
        <v>27</v>
      </c>
      <c r="D2" s="58"/>
      <c r="E2" s="11" t="s">
        <v>7</v>
      </c>
      <c r="F2" s="53">
        <v>45951</v>
      </c>
      <c r="G2" s="53"/>
      <c r="H2" s="53"/>
      <c r="I2" s="53"/>
      <c r="J2" s="53"/>
    </row>
    <row r="3" spans="1:10" ht="30" customHeight="1" x14ac:dyDescent="0.3">
      <c r="B3" s="11" t="s">
        <v>9</v>
      </c>
      <c r="C3" s="58" t="s">
        <v>70</v>
      </c>
      <c r="D3" s="58"/>
      <c r="E3" s="11" t="s">
        <v>6</v>
      </c>
      <c r="F3" s="58" t="s">
        <v>116</v>
      </c>
      <c r="G3" s="58"/>
      <c r="H3" s="58"/>
      <c r="I3" s="58"/>
      <c r="J3" s="58"/>
    </row>
    <row r="4" spans="1:10" ht="30" customHeight="1" thickBot="1" x14ac:dyDescent="0.35">
      <c r="B4" s="70"/>
      <c r="C4" s="70"/>
      <c r="D4" s="70"/>
      <c r="E4" s="6"/>
      <c r="F4" s="71"/>
      <c r="G4" s="71"/>
      <c r="H4" s="71"/>
      <c r="I4" s="71"/>
      <c r="J4" s="71"/>
    </row>
    <row r="5" spans="1:10" ht="24.9" customHeight="1" x14ac:dyDescent="0.3">
      <c r="A5" s="9"/>
      <c r="B5" s="54" t="s">
        <v>0</v>
      </c>
      <c r="C5" s="55"/>
      <c r="D5" s="55"/>
      <c r="E5" s="46" t="s">
        <v>1</v>
      </c>
      <c r="F5" s="46"/>
      <c r="G5" s="46"/>
      <c r="H5" s="46"/>
      <c r="I5" s="46" t="s">
        <v>2</v>
      </c>
      <c r="J5" s="47"/>
    </row>
    <row r="6" spans="1:10" ht="24.9" customHeight="1" thickBot="1" x14ac:dyDescent="0.35">
      <c r="A6" s="9"/>
      <c r="B6" s="56"/>
      <c r="C6" s="57"/>
      <c r="D6" s="57"/>
      <c r="E6" s="10" t="s">
        <v>3</v>
      </c>
      <c r="F6" s="10" t="s">
        <v>4</v>
      </c>
      <c r="G6" s="10" t="s">
        <v>23</v>
      </c>
      <c r="H6" s="10" t="s">
        <v>24</v>
      </c>
      <c r="I6" s="48"/>
      <c r="J6" s="49"/>
    </row>
    <row r="7" spans="1:10" ht="24.9" customHeight="1" thickBot="1" x14ac:dyDescent="0.35">
      <c r="A7" s="9"/>
      <c r="B7" s="72" t="s">
        <v>21</v>
      </c>
      <c r="C7" s="73"/>
      <c r="D7" s="73"/>
      <c r="E7" s="27" t="s">
        <v>18</v>
      </c>
      <c r="F7" s="27" t="s">
        <v>19</v>
      </c>
      <c r="G7" s="27" t="s">
        <v>22</v>
      </c>
      <c r="H7" s="27" t="s">
        <v>20</v>
      </c>
      <c r="I7" s="50" t="s">
        <v>25</v>
      </c>
      <c r="J7" s="51"/>
    </row>
    <row r="8" spans="1:10" ht="39.9" customHeight="1" x14ac:dyDescent="0.3">
      <c r="A8" s="9"/>
      <c r="B8" s="79" t="s">
        <v>176</v>
      </c>
      <c r="C8" s="80"/>
      <c r="D8" s="80"/>
      <c r="E8" s="80"/>
      <c r="F8" s="80"/>
      <c r="G8" s="80"/>
      <c r="H8" s="80"/>
      <c r="I8" s="80"/>
      <c r="J8" s="81"/>
    </row>
    <row r="9" spans="1:10" ht="50.25" customHeight="1" x14ac:dyDescent="0.3">
      <c r="A9" s="9"/>
      <c r="B9" s="68" t="s">
        <v>177</v>
      </c>
      <c r="C9" s="69"/>
      <c r="D9" s="69"/>
      <c r="E9" s="7">
        <v>5</v>
      </c>
      <c r="F9" s="25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2"/>
      <c r="J9" s="43"/>
    </row>
    <row r="10" spans="1:10" ht="39.9" customHeight="1" x14ac:dyDescent="0.3">
      <c r="A10" s="9"/>
      <c r="B10" s="68" t="s">
        <v>209</v>
      </c>
      <c r="C10" s="69"/>
      <c r="D10" s="69"/>
      <c r="E10" s="7"/>
      <c r="F10" s="25"/>
      <c r="G10" s="28"/>
      <c r="H10" s="29"/>
      <c r="I10" s="42"/>
      <c r="J10" s="43"/>
    </row>
    <row r="11" spans="1:10" ht="39.9" customHeight="1" x14ac:dyDescent="0.3">
      <c r="A11" s="9"/>
      <c r="B11" s="66" t="s">
        <v>178</v>
      </c>
      <c r="C11" s="67"/>
      <c r="D11" s="67"/>
      <c r="E11" s="7">
        <v>5</v>
      </c>
      <c r="F11" s="25">
        <v>3.75</v>
      </c>
      <c r="G11" s="28">
        <f t="shared" ref="G11:G41" si="0">IFERROR(F11/E11,"")</f>
        <v>0.75</v>
      </c>
      <c r="H11" s="29" t="str">
        <f t="shared" ref="H11:H41" si="1">_xlfn.IFS(F11="أدخل العلامة","",F11="لا ينطبق","تم الإلغاء",G11&gt;=90%,"ممتاز",G11&gt;=80%,"جيد جداً",G11&gt;=70%,"جيد",G11&gt;=60%,"مقبول",G11&lt;60%,"راسب")</f>
        <v>جيد</v>
      </c>
      <c r="I11" s="42"/>
      <c r="J11" s="43"/>
    </row>
    <row r="12" spans="1:10" ht="39.9" customHeight="1" x14ac:dyDescent="0.3">
      <c r="A12" s="9"/>
      <c r="B12" s="66" t="s">
        <v>179</v>
      </c>
      <c r="C12" s="67"/>
      <c r="D12" s="67"/>
      <c r="E12" s="7">
        <v>5</v>
      </c>
      <c r="F12" s="25">
        <v>3.75</v>
      </c>
      <c r="G12" s="28">
        <f t="shared" si="0"/>
        <v>0.75</v>
      </c>
      <c r="H12" s="29" t="str">
        <f t="shared" si="1"/>
        <v>جيد</v>
      </c>
      <c r="I12" s="42"/>
      <c r="J12" s="43"/>
    </row>
    <row r="13" spans="1:10" ht="39.9" customHeight="1" x14ac:dyDescent="0.3">
      <c r="A13" s="9"/>
      <c r="B13" s="66" t="s">
        <v>180</v>
      </c>
      <c r="C13" s="67"/>
      <c r="D13" s="67"/>
      <c r="E13" s="7">
        <v>5</v>
      </c>
      <c r="F13" s="25">
        <v>3.75</v>
      </c>
      <c r="G13" s="28">
        <f t="shared" si="0"/>
        <v>0.75</v>
      </c>
      <c r="H13" s="29" t="str">
        <f t="shared" si="1"/>
        <v>جيد</v>
      </c>
      <c r="I13" s="42"/>
      <c r="J13" s="43"/>
    </row>
    <row r="14" spans="1:10" ht="39.9" customHeight="1" x14ac:dyDescent="0.3">
      <c r="A14" s="9"/>
      <c r="B14" s="66" t="s">
        <v>181</v>
      </c>
      <c r="C14" s="67"/>
      <c r="D14" s="67"/>
      <c r="E14" s="7">
        <v>5</v>
      </c>
      <c r="F14" s="25">
        <v>3.75</v>
      </c>
      <c r="G14" s="28">
        <f t="shared" si="0"/>
        <v>0.75</v>
      </c>
      <c r="H14" s="29" t="str">
        <f t="shared" si="1"/>
        <v>جيد</v>
      </c>
      <c r="I14" s="42"/>
      <c r="J14" s="43"/>
    </row>
    <row r="15" spans="1:10" ht="39.9" customHeight="1" x14ac:dyDescent="0.3">
      <c r="A15" s="9"/>
      <c r="B15" s="66" t="s">
        <v>182</v>
      </c>
      <c r="C15" s="67"/>
      <c r="D15" s="67"/>
      <c r="E15" s="7">
        <v>5</v>
      </c>
      <c r="F15" s="25">
        <v>3.75</v>
      </c>
      <c r="G15" s="28">
        <f t="shared" si="0"/>
        <v>0.75</v>
      </c>
      <c r="H15" s="29" t="str">
        <f t="shared" si="1"/>
        <v>جيد</v>
      </c>
      <c r="I15" s="42"/>
      <c r="J15" s="43"/>
    </row>
    <row r="16" spans="1:10" ht="54.75" customHeight="1" x14ac:dyDescent="0.3">
      <c r="A16" s="9"/>
      <c r="B16" s="68" t="s">
        <v>183</v>
      </c>
      <c r="C16" s="69"/>
      <c r="D16" s="69"/>
      <c r="E16" s="7">
        <v>5</v>
      </c>
      <c r="F16" s="25">
        <v>3.5</v>
      </c>
      <c r="G16" s="28">
        <f t="shared" si="0"/>
        <v>0.7</v>
      </c>
      <c r="H16" s="29" t="str">
        <f t="shared" si="1"/>
        <v>جيد</v>
      </c>
      <c r="I16" s="42"/>
      <c r="J16" s="43"/>
    </row>
    <row r="17" spans="1:10" ht="39.9" customHeight="1" thickBot="1" x14ac:dyDescent="0.35">
      <c r="A17" s="9"/>
      <c r="B17" s="74" t="s">
        <v>184</v>
      </c>
      <c r="C17" s="75"/>
      <c r="D17" s="75"/>
      <c r="E17" s="31">
        <v>5</v>
      </c>
      <c r="F17" s="26">
        <v>3.5</v>
      </c>
      <c r="G17" s="32">
        <f t="shared" si="0"/>
        <v>0.7</v>
      </c>
      <c r="H17" s="33" t="str">
        <f t="shared" si="1"/>
        <v>جيد</v>
      </c>
      <c r="I17" s="34"/>
      <c r="J17" s="35"/>
    </row>
    <row r="18" spans="1:10" ht="39.9" customHeight="1" x14ac:dyDescent="0.3">
      <c r="A18" s="9"/>
      <c r="B18" s="76" t="s">
        <v>185</v>
      </c>
      <c r="C18" s="77"/>
      <c r="D18" s="77"/>
      <c r="E18" s="77"/>
      <c r="F18" s="77"/>
      <c r="G18" s="77"/>
      <c r="H18" s="77"/>
      <c r="I18" s="77"/>
      <c r="J18" s="78"/>
    </row>
    <row r="19" spans="1:10" ht="39.9" customHeight="1" x14ac:dyDescent="0.3">
      <c r="A19" s="9"/>
      <c r="B19" s="68" t="s">
        <v>186</v>
      </c>
      <c r="C19" s="69"/>
      <c r="D19" s="69"/>
      <c r="E19" s="7"/>
      <c r="F19" s="25"/>
      <c r="G19" s="28"/>
      <c r="H19" s="29"/>
      <c r="I19" s="42"/>
      <c r="J19" s="43"/>
    </row>
    <row r="20" spans="1:10" ht="39.9" customHeight="1" x14ac:dyDescent="0.3">
      <c r="A20" s="9"/>
      <c r="B20" s="66" t="s">
        <v>187</v>
      </c>
      <c r="C20" s="67"/>
      <c r="D20" s="67"/>
      <c r="E20" s="7">
        <v>5</v>
      </c>
      <c r="F20" s="25">
        <v>3.5</v>
      </c>
      <c r="G20" s="28">
        <f t="shared" si="0"/>
        <v>0.7</v>
      </c>
      <c r="H20" s="29" t="str">
        <f t="shared" si="1"/>
        <v>جيد</v>
      </c>
      <c r="I20" s="42"/>
      <c r="J20" s="43"/>
    </row>
    <row r="21" spans="1:10" ht="39.9" customHeight="1" x14ac:dyDescent="0.3">
      <c r="A21" s="9"/>
      <c r="B21" s="66" t="s">
        <v>188</v>
      </c>
      <c r="C21" s="67"/>
      <c r="D21" s="67"/>
      <c r="E21" s="7">
        <v>5</v>
      </c>
      <c r="F21" s="25">
        <v>3.5</v>
      </c>
      <c r="G21" s="28">
        <f t="shared" si="0"/>
        <v>0.7</v>
      </c>
      <c r="H21" s="29" t="str">
        <f t="shared" si="1"/>
        <v>جيد</v>
      </c>
      <c r="I21" s="42"/>
      <c r="J21" s="43"/>
    </row>
    <row r="22" spans="1:10" ht="39.9" customHeight="1" x14ac:dyDescent="0.3">
      <c r="A22" s="9"/>
      <c r="B22" s="66" t="s">
        <v>189</v>
      </c>
      <c r="C22" s="67"/>
      <c r="D22" s="67"/>
      <c r="E22" s="7">
        <v>5</v>
      </c>
      <c r="F22" s="25">
        <v>3.75</v>
      </c>
      <c r="G22" s="28">
        <f t="shared" si="0"/>
        <v>0.75</v>
      </c>
      <c r="H22" s="29" t="str">
        <f t="shared" si="1"/>
        <v>جيد</v>
      </c>
      <c r="I22" s="42"/>
      <c r="J22" s="43"/>
    </row>
    <row r="23" spans="1:10" ht="39.9" customHeight="1" x14ac:dyDescent="0.3">
      <c r="A23" s="9"/>
      <c r="B23" s="66" t="s">
        <v>190</v>
      </c>
      <c r="C23" s="67"/>
      <c r="D23" s="67"/>
      <c r="E23" s="7">
        <v>5</v>
      </c>
      <c r="F23" s="25">
        <v>4</v>
      </c>
      <c r="G23" s="28">
        <f t="shared" si="0"/>
        <v>0.8</v>
      </c>
      <c r="H23" s="29" t="str">
        <f t="shared" si="1"/>
        <v>جيد جداً</v>
      </c>
      <c r="I23" s="42"/>
      <c r="J23" s="43"/>
    </row>
    <row r="24" spans="1:10" ht="39.9" customHeight="1" x14ac:dyDescent="0.3">
      <c r="A24" s="9"/>
      <c r="B24" s="66" t="s">
        <v>191</v>
      </c>
      <c r="C24" s="67"/>
      <c r="D24" s="67"/>
      <c r="E24" s="7">
        <v>5</v>
      </c>
      <c r="F24" s="25">
        <v>3.5</v>
      </c>
      <c r="G24" s="28">
        <f t="shared" si="0"/>
        <v>0.7</v>
      </c>
      <c r="H24" s="29" t="str">
        <f t="shared" si="1"/>
        <v>جيد</v>
      </c>
      <c r="I24" s="42"/>
      <c r="J24" s="43"/>
    </row>
    <row r="25" spans="1:10" ht="39.9" customHeight="1" x14ac:dyDescent="0.3">
      <c r="A25" s="9"/>
      <c r="B25" s="66" t="s">
        <v>192</v>
      </c>
      <c r="C25" s="67"/>
      <c r="D25" s="67"/>
      <c r="E25" s="7">
        <v>5</v>
      </c>
      <c r="F25" s="25">
        <v>3.5</v>
      </c>
      <c r="G25" s="28">
        <f t="shared" si="0"/>
        <v>0.7</v>
      </c>
      <c r="H25" s="29" t="str">
        <f t="shared" si="1"/>
        <v>جيد</v>
      </c>
      <c r="I25" s="42"/>
      <c r="J25" s="43"/>
    </row>
    <row r="26" spans="1:10" ht="39.9" customHeight="1" x14ac:dyDescent="0.3">
      <c r="A26" s="9"/>
      <c r="B26" s="68" t="s">
        <v>193</v>
      </c>
      <c r="C26" s="69"/>
      <c r="D26" s="69"/>
      <c r="E26" s="30"/>
      <c r="F26" s="25"/>
      <c r="G26" s="28"/>
      <c r="H26" s="29"/>
      <c r="I26" s="42"/>
      <c r="J26" s="43"/>
    </row>
    <row r="27" spans="1:10" ht="39.9" customHeight="1" x14ac:dyDescent="0.3">
      <c r="A27" s="9"/>
      <c r="B27" s="66" t="s">
        <v>194</v>
      </c>
      <c r="C27" s="67"/>
      <c r="D27" s="67"/>
      <c r="E27" s="7">
        <v>5</v>
      </c>
      <c r="F27" s="25">
        <v>3.5</v>
      </c>
      <c r="G27" s="28">
        <f t="shared" si="0"/>
        <v>0.7</v>
      </c>
      <c r="H27" s="29" t="str">
        <f t="shared" si="1"/>
        <v>جيد</v>
      </c>
      <c r="I27" s="42"/>
      <c r="J27" s="43"/>
    </row>
    <row r="28" spans="1:10" ht="39.9" customHeight="1" thickBot="1" x14ac:dyDescent="0.35">
      <c r="A28" s="9"/>
      <c r="B28" s="82" t="s">
        <v>195</v>
      </c>
      <c r="C28" s="83"/>
      <c r="D28" s="83"/>
      <c r="E28" s="31">
        <v>5</v>
      </c>
      <c r="F28" s="26">
        <v>3.75</v>
      </c>
      <c r="G28" s="32">
        <f t="shared" si="0"/>
        <v>0.75</v>
      </c>
      <c r="H28" s="33" t="str">
        <f t="shared" si="1"/>
        <v>جيد</v>
      </c>
      <c r="I28" s="34"/>
      <c r="J28" s="35"/>
    </row>
    <row r="29" spans="1:10" ht="39.9" customHeight="1" x14ac:dyDescent="0.3">
      <c r="A29" s="9"/>
      <c r="B29" s="76" t="s">
        <v>196</v>
      </c>
      <c r="C29" s="77"/>
      <c r="D29" s="77"/>
      <c r="E29" s="77"/>
      <c r="F29" s="77"/>
      <c r="G29" s="77"/>
      <c r="H29" s="77"/>
      <c r="I29" s="77"/>
      <c r="J29" s="78"/>
    </row>
    <row r="30" spans="1:10" ht="39.9" customHeight="1" x14ac:dyDescent="0.3">
      <c r="A30" s="9"/>
      <c r="B30" s="68" t="s">
        <v>197</v>
      </c>
      <c r="C30" s="69"/>
      <c r="D30" s="69"/>
      <c r="E30" s="7"/>
      <c r="F30" s="25"/>
      <c r="G30" s="28"/>
      <c r="H30" s="29"/>
      <c r="I30" s="42"/>
      <c r="J30" s="43"/>
    </row>
    <row r="31" spans="1:10" ht="39.9" customHeight="1" x14ac:dyDescent="0.3">
      <c r="A31" s="9"/>
      <c r="B31" s="66" t="s">
        <v>198</v>
      </c>
      <c r="C31" s="67"/>
      <c r="D31" s="67"/>
      <c r="E31" s="7">
        <v>5</v>
      </c>
      <c r="F31" s="25">
        <v>3.75</v>
      </c>
      <c r="G31" s="28">
        <f t="shared" si="0"/>
        <v>0.75</v>
      </c>
      <c r="H31" s="29" t="str">
        <f t="shared" si="1"/>
        <v>جيد</v>
      </c>
      <c r="I31" s="42"/>
      <c r="J31" s="43"/>
    </row>
    <row r="32" spans="1:10" ht="39.9" customHeight="1" x14ac:dyDescent="0.3">
      <c r="A32" s="9"/>
      <c r="B32" s="66" t="s">
        <v>199</v>
      </c>
      <c r="C32" s="67"/>
      <c r="D32" s="67"/>
      <c r="E32" s="7">
        <v>5</v>
      </c>
      <c r="F32" s="25">
        <v>3.75</v>
      </c>
      <c r="G32" s="28">
        <f t="shared" si="0"/>
        <v>0.75</v>
      </c>
      <c r="H32" s="29" t="str">
        <f t="shared" si="1"/>
        <v>جيد</v>
      </c>
      <c r="I32" s="42"/>
      <c r="J32" s="43"/>
    </row>
    <row r="33" spans="1:10" ht="39.9" customHeight="1" x14ac:dyDescent="0.3">
      <c r="A33" s="9"/>
      <c r="B33" s="66" t="s">
        <v>200</v>
      </c>
      <c r="C33" s="67"/>
      <c r="D33" s="67"/>
      <c r="E33" s="7">
        <v>5</v>
      </c>
      <c r="F33" s="25">
        <v>3.75</v>
      </c>
      <c r="G33" s="28">
        <f t="shared" si="0"/>
        <v>0.75</v>
      </c>
      <c r="H33" s="29" t="str">
        <f t="shared" si="1"/>
        <v>جيد</v>
      </c>
      <c r="I33" s="42"/>
      <c r="J33" s="43"/>
    </row>
    <row r="34" spans="1:10" ht="39.9" customHeight="1" x14ac:dyDescent="0.3">
      <c r="A34" s="9"/>
      <c r="B34" s="66" t="s">
        <v>201</v>
      </c>
      <c r="C34" s="67"/>
      <c r="D34" s="67"/>
      <c r="E34" s="7">
        <v>5</v>
      </c>
      <c r="F34" s="25">
        <v>3.75</v>
      </c>
      <c r="G34" s="28">
        <f t="shared" si="0"/>
        <v>0.75</v>
      </c>
      <c r="H34" s="29" t="str">
        <f t="shared" si="1"/>
        <v>جيد</v>
      </c>
      <c r="I34" s="42"/>
      <c r="J34" s="43"/>
    </row>
    <row r="35" spans="1:10" ht="39.9" customHeight="1" x14ac:dyDescent="0.3">
      <c r="A35" s="9"/>
      <c r="B35" s="68" t="s">
        <v>202</v>
      </c>
      <c r="C35" s="69"/>
      <c r="D35" s="69"/>
      <c r="E35" s="7"/>
      <c r="F35" s="25"/>
      <c r="G35" s="28"/>
      <c r="H35" s="29"/>
      <c r="I35" s="42"/>
      <c r="J35" s="43"/>
    </row>
    <row r="36" spans="1:10" ht="39.9" customHeight="1" x14ac:dyDescent="0.3">
      <c r="A36" s="9"/>
      <c r="B36" s="66" t="s">
        <v>203</v>
      </c>
      <c r="C36" s="67"/>
      <c r="D36" s="67"/>
      <c r="E36" s="7">
        <v>5</v>
      </c>
      <c r="F36" s="25">
        <v>3.75</v>
      </c>
      <c r="G36" s="28">
        <f t="shared" si="0"/>
        <v>0.75</v>
      </c>
      <c r="H36" s="29" t="str">
        <f t="shared" si="1"/>
        <v>جيد</v>
      </c>
      <c r="I36" s="42"/>
      <c r="J36" s="43"/>
    </row>
    <row r="37" spans="1:10" ht="39.9" customHeight="1" x14ac:dyDescent="0.3">
      <c r="A37" s="9"/>
      <c r="B37" s="66" t="s">
        <v>204</v>
      </c>
      <c r="C37" s="67"/>
      <c r="D37" s="67"/>
      <c r="E37" s="7">
        <v>5</v>
      </c>
      <c r="F37" s="25">
        <v>3.75</v>
      </c>
      <c r="G37" s="28">
        <f t="shared" si="0"/>
        <v>0.75</v>
      </c>
      <c r="H37" s="29" t="str">
        <f t="shared" si="1"/>
        <v>جيد</v>
      </c>
      <c r="I37" s="42"/>
      <c r="J37" s="43"/>
    </row>
    <row r="38" spans="1:10" ht="39.9" customHeight="1" x14ac:dyDescent="0.3">
      <c r="A38" s="9"/>
      <c r="B38" s="66" t="s">
        <v>205</v>
      </c>
      <c r="C38" s="67"/>
      <c r="D38" s="67"/>
      <c r="E38" s="7">
        <v>5</v>
      </c>
      <c r="F38" s="25">
        <v>3.75</v>
      </c>
      <c r="G38" s="28">
        <f t="shared" si="0"/>
        <v>0.75</v>
      </c>
      <c r="H38" s="29" t="str">
        <f t="shared" si="1"/>
        <v>جيد</v>
      </c>
      <c r="I38" s="42"/>
      <c r="J38" s="43"/>
    </row>
    <row r="39" spans="1:10" ht="39.9" customHeight="1" x14ac:dyDescent="0.3">
      <c r="A39" s="9"/>
      <c r="B39" s="66" t="s">
        <v>206</v>
      </c>
      <c r="C39" s="67"/>
      <c r="D39" s="67"/>
      <c r="E39" s="7">
        <v>5</v>
      </c>
      <c r="F39" s="25">
        <v>3.75</v>
      </c>
      <c r="G39" s="28">
        <f t="shared" si="0"/>
        <v>0.75</v>
      </c>
      <c r="H39" s="29" t="str">
        <f t="shared" si="1"/>
        <v>جيد</v>
      </c>
      <c r="I39" s="42"/>
      <c r="J39" s="43"/>
    </row>
    <row r="40" spans="1:10" ht="39.9" customHeight="1" x14ac:dyDescent="0.3">
      <c r="A40" s="9"/>
      <c r="B40" s="68" t="s">
        <v>207</v>
      </c>
      <c r="C40" s="69"/>
      <c r="D40" s="69"/>
      <c r="E40" s="7">
        <v>5</v>
      </c>
      <c r="F40" s="25">
        <v>3.75</v>
      </c>
      <c r="G40" s="28">
        <f t="shared" si="0"/>
        <v>0.75</v>
      </c>
      <c r="H40" s="29" t="str">
        <f t="shared" si="1"/>
        <v>جيد</v>
      </c>
      <c r="I40" s="42"/>
      <c r="J40" s="43"/>
    </row>
    <row r="41" spans="1:10" ht="39.9" customHeight="1" thickBot="1" x14ac:dyDescent="0.35">
      <c r="A41" s="9"/>
      <c r="B41" s="74" t="s">
        <v>208</v>
      </c>
      <c r="C41" s="75"/>
      <c r="D41" s="75"/>
      <c r="E41" s="31">
        <v>5</v>
      </c>
      <c r="F41" s="26">
        <v>3.5</v>
      </c>
      <c r="G41" s="32">
        <f t="shared" si="0"/>
        <v>0.7</v>
      </c>
      <c r="H41" s="33" t="str">
        <f t="shared" si="1"/>
        <v>جيد</v>
      </c>
      <c r="I41" s="34"/>
      <c r="J41" s="35"/>
    </row>
    <row r="42" spans="1:10" ht="30" customHeight="1" thickBot="1" x14ac:dyDescent="0.35">
      <c r="A42" s="4"/>
      <c r="B42" s="44" t="s">
        <v>5</v>
      </c>
      <c r="C42" s="45"/>
      <c r="D42" s="45"/>
      <c r="E42" s="8">
        <f>SUM(E8:E41)</f>
        <v>130</v>
      </c>
      <c r="F42" s="8">
        <f>SUM(F8:F41)</f>
        <v>96</v>
      </c>
      <c r="G42" s="61"/>
      <c r="H42" s="62"/>
      <c r="I42" s="62"/>
      <c r="J42" s="63"/>
    </row>
    <row r="43" spans="1:10" ht="30" customHeight="1" thickBot="1" x14ac:dyDescent="0.35">
      <c r="A43" s="4"/>
      <c r="B43" s="44" t="s">
        <v>54</v>
      </c>
      <c r="C43" s="45"/>
      <c r="D43" s="45"/>
      <c r="E43" s="64">
        <f>F42/E42/100*100</f>
        <v>0.7384615384615385</v>
      </c>
      <c r="F43" s="64"/>
      <c r="G43" s="64"/>
      <c r="H43" s="64"/>
      <c r="I43" s="64"/>
      <c r="J43" s="65"/>
    </row>
    <row r="44" spans="1:10" ht="30" customHeight="1" thickBot="1" x14ac:dyDescent="0.35">
      <c r="A44" s="4"/>
      <c r="B44" s="44" t="s">
        <v>55</v>
      </c>
      <c r="C44" s="45"/>
      <c r="D44" s="45"/>
      <c r="E44" s="40" t="str">
        <f>_xlfn.IFS(E43&gt;=90%,"ممتاز",E43&gt;=80%,"جيد جداً",E43&gt;=70%,"جيد",E43&gt;=60%,"مقبول",E43&lt;60%,"راسب")</f>
        <v>جيد</v>
      </c>
      <c r="F44" s="40"/>
      <c r="G44" s="40"/>
      <c r="H44" s="40"/>
      <c r="I44" s="40"/>
      <c r="J44" s="41"/>
    </row>
    <row r="45" spans="1:10" ht="42" customHeight="1" x14ac:dyDescent="0.3">
      <c r="B45" s="36" t="s">
        <v>175</v>
      </c>
      <c r="C45" s="36"/>
      <c r="D45" s="36"/>
      <c r="E45" s="59" t="s">
        <v>52</v>
      </c>
      <c r="F45" s="59"/>
      <c r="G45" s="38" t="s">
        <v>116</v>
      </c>
      <c r="H45" s="38"/>
      <c r="I45" s="38"/>
      <c r="J45" s="38"/>
    </row>
    <row r="46" spans="1:10" ht="51" customHeight="1" x14ac:dyDescent="0.3">
      <c r="A46" s="5"/>
      <c r="B46" s="37"/>
      <c r="C46" s="37"/>
      <c r="D46" s="37"/>
      <c r="E46" s="60" t="s">
        <v>53</v>
      </c>
      <c r="F46" s="60"/>
      <c r="G46" s="39"/>
      <c r="H46" s="39"/>
      <c r="I46" s="39"/>
      <c r="J46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8">
    <mergeCell ref="B35:D35"/>
    <mergeCell ref="B36:D36"/>
    <mergeCell ref="B37:D37"/>
    <mergeCell ref="B38:D38"/>
    <mergeCell ref="B39:D39"/>
    <mergeCell ref="B40:D40"/>
    <mergeCell ref="B41:D41"/>
    <mergeCell ref="B29:J29"/>
    <mergeCell ref="B8:J8"/>
    <mergeCell ref="B18:J18"/>
    <mergeCell ref="B26:D26"/>
    <mergeCell ref="B27:D27"/>
    <mergeCell ref="B28:D28"/>
    <mergeCell ref="B30:D30"/>
    <mergeCell ref="B31:D31"/>
    <mergeCell ref="B32:D32"/>
    <mergeCell ref="B33:D33"/>
    <mergeCell ref="B34:D34"/>
    <mergeCell ref="B17:D17"/>
    <mergeCell ref="B19:D19"/>
    <mergeCell ref="B20:D20"/>
    <mergeCell ref="B21:D21"/>
    <mergeCell ref="B22:D22"/>
    <mergeCell ref="B23:D23"/>
    <mergeCell ref="B24:D24"/>
    <mergeCell ref="B25:D25"/>
    <mergeCell ref="B14:D14"/>
    <mergeCell ref="B15:D15"/>
    <mergeCell ref="B16:D16"/>
    <mergeCell ref="B4:D4"/>
    <mergeCell ref="F4:J4"/>
    <mergeCell ref="I9:J9"/>
    <mergeCell ref="B7:D7"/>
    <mergeCell ref="I16:J16"/>
    <mergeCell ref="B9:D9"/>
    <mergeCell ref="B10:D10"/>
    <mergeCell ref="B11:D11"/>
    <mergeCell ref="B12:D12"/>
    <mergeCell ref="B13:D13"/>
    <mergeCell ref="I26:J26"/>
    <mergeCell ref="I27:J27"/>
    <mergeCell ref="E43:J43"/>
    <mergeCell ref="I38:J38"/>
    <mergeCell ref="I39:J39"/>
    <mergeCell ref="I30:J30"/>
    <mergeCell ref="I21:J21"/>
    <mergeCell ref="I22:J22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11:J11"/>
    <mergeCell ref="I12:J12"/>
    <mergeCell ref="I13:J13"/>
    <mergeCell ref="I14:J14"/>
    <mergeCell ref="I15:J15"/>
    <mergeCell ref="I19:J19"/>
    <mergeCell ref="I17:J17"/>
    <mergeCell ref="I28:J28"/>
    <mergeCell ref="B45:D46"/>
    <mergeCell ref="G45:J45"/>
    <mergeCell ref="G46:J46"/>
    <mergeCell ref="E44:J44"/>
    <mergeCell ref="I40:J40"/>
    <mergeCell ref="I41:J41"/>
    <mergeCell ref="B42:D42"/>
    <mergeCell ref="B43:D43"/>
    <mergeCell ref="B44:D44"/>
    <mergeCell ref="I31:J31"/>
    <mergeCell ref="E45:F45"/>
    <mergeCell ref="E46:F46"/>
    <mergeCell ref="G42:J42"/>
    <mergeCell ref="I20:J2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4">
    <cfRule type="expression" dxfId="21" priority="57">
      <formula>$E44="راسب"</formula>
    </cfRule>
  </conditionalFormatting>
  <conditionalFormatting sqref="E44:J44">
    <cfRule type="expression" dxfId="20" priority="60">
      <formula>$E44="جيد جداً"</formula>
    </cfRule>
    <cfRule type="expression" dxfId="19" priority="59">
      <formula>$E44="جيد"</formula>
    </cfRule>
    <cfRule type="expression" dxfId="18" priority="58">
      <formula>$E44="مقبول"</formula>
    </cfRule>
    <cfRule type="expression" dxfId="17" priority="61">
      <formula>$E44="ممتاز"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8 F30:F41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5:J45">
    <cfRule type="containsText" dxfId="12" priority="15" operator="containsText" text="أدخل اسم المحكم">
      <formula>NOT(ISERROR(SEARCH("أدخل اسم المحكم",G45)))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8 H30:H41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F36:F41 F31:F34 F27:F28 F20:F25 F11:F17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G45:J45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2025-10-21T19:40:45Z</dcterms:modified>
</cp:coreProperties>
</file>