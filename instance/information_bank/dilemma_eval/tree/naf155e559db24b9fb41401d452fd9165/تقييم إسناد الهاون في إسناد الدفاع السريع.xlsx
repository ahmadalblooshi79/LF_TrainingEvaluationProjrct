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0FE4764D-80A6-B143-97DF-2EFD3880093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<sst xmlns="http://schemas.openxmlformats.org/spreadsheetml/2006/main" count="247" uniqueCount="191">
  <si>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</si>
  <si>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</si>
  <si>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</si>
  <si>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</si>
  <si>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</si>
  <si>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</si>
  <si>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</si>
  <si>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</si>
  <si>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</si>
  <si>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</si>
  <si>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</si>
  <si>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</si>
  <si>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</si>
  <si>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</si>
  <si>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</si>
  <si>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</si>
  <si>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</si>
  <si>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</si>
  <si>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</si>
  <si>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</si>
  <si>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</si>
  <si>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</si>
  <si>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</si>
  <si>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</si>
  <si>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</si>
  <si>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</si>
  <si>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</si>
  <si>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</si>
  <si>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</si>
  <si>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</si>
  <si>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</si>
  <si>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</si>
  <si>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</si>
  <si>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</si>
  <si>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</si>
  <si>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</si>
  <si>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</si>
  <si>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</si>
  <si>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</si>
  <si>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</si>
  <si>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</si>
  <si>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</si>
  <si>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</si>
  <si>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</si>
  <si>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</si>
  <si>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</si>
  <si>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</si>
  <si>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</si>
  <si>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</si>
  <si>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</si>
  <si>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</si>
  <si>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</si>
  <si>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</si>
  <si>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</si>
  <si>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</si>
  <si>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</si>
  <si>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</si>
  <si>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</si>
  <si>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</si>
  <si>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</si>
  <si>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</si>
  <si>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</si>
  <si>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</si>
  <si>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</si>
  <si>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</si>
  <si>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</si>
  <si>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</si>
  <si>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</si>
  <si>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</si>
  <si>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</si>
  <si>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</si>
  <si>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</si>
  <si>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</si>
  <si>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</si>
  <si>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</si>
  <si>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</si>
  <si>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</si>
  <si>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</si>
  <si>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</si>
  <si>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</si>
  <si>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</si>
  <si>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</si>
  <si>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</si>
  <si>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</si>
  <si>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</si>
  <si>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</si>
  <si>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</si>
  <si>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</si>
  <si>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</si>
  <si>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</si>
  <si>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</si>
  <si>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</si>
  <si>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</si>
  <si>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</si>
  <si>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</si>
  <si>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</si>
  <si>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</si>
  <si>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</si>
  <si>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</si>
  <si>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</si>
  <si>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</si>
  <si>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</si>
  <si>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</si>
  <si>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</si>
  <si>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</si>
  <si>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</si>
  <si>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</si>
  <si>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</si>
  <si>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</si>
  <si>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</si>
  <si>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</si>
  <si>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</si>
  <si>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</si>
  <si>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</si>
  <si>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</si>
  <si>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</si>
  <si>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</si>
  <si>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</si>
  <si>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</si>
  <si>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</si>
  <si>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</si>
  <si>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</si>
  <si>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</si>
  <si>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</si>
  <si>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</si>
  <si>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</si>
  <si>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</si>
  <si>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</si>
  <si>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</si>
  <si>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</si>
  <si>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</si>
  <si>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</si>
  <si>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</si>
  <si>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</si>
  <si>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</si>
  <si>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</si>
  <si>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</si>
  <si>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</si>
  <si>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</si>
  <si>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</si>
  <si>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</si>
  <si>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</si>
  <si>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</si>
  <si>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</si>
  <si>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</si>
  <si>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</si>
  <si>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</si>
  <si>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</si>
  <si>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</si>
  <si>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</si>
  <si>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</si>
  <si>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</si>
  <si>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</si>
  <si>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</si>
  <si>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</si>
  <si>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</si>
  <si>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</si>
  <si>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</si>
  <si>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</si>
  <si>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</si>
  <si>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</si>
  <si>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</si>
  <si>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</si>
  <si>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</si>
  <si>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</si>
  <si>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</si>
  <si>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</si>
  <si>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</si>
  <si>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</si>
  <si>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</si>
  <si>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</si>
  <si>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</si>
  <si>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</si>
  <si>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</si>
  <si>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</si>
  <si>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</si>
  <si>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</si>
  <si>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</si>
  <si>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</si>
  <si>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</si>
  <si>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إسناد سرية الهاون 120 ملم في إسناد الدفاع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</si>
  <si>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    توفير نيران غير مباشرة سريعة الاستجابة لإسناد قائد وحدة المناورة.</t>
  </si>
  <si>
    <t>2.    تكامل نيران الهاون مع نيران أسلحة الاسناد الأخرى.</t>
  </si>
  <si>
    <t>3.    الرماية بمعدلات رمي وقدرة تدميرية عالية لسد الفجوات أثناء فترات نقل وتحويل نيران المدفعية.</t>
  </si>
  <si>
    <t>4.    توفير قاعدة إسناد بالنيران غير المباشرة واستهداف نقاط ضعف العدو.</t>
  </si>
  <si>
    <t>5.    توفير كثافة نيران دفاعية مؤثرة لإسكات وتشتيت وتدمير قوات العدو أو وحدات الاستطلاع.</t>
  </si>
  <si>
    <t>6.    استخدام مواقع الرمي المُحضَّرة خلف سواتر الحماية للاستمرار في الإسناد بالنيران غير المباشرة</t>
  </si>
  <si>
    <t>7.    التأكد من دخول الهاونات في العمل.</t>
  </si>
  <si>
    <t>8.    تحضير النماذج واجراء التحضيرات اللازمة لخطط الرمي.</t>
  </si>
  <si>
    <t>9.    تنسيق الاهداف والسيطرة على تنفيذ جدول توقيت الرماية في الوقت المحدد.</t>
  </si>
  <si>
    <r>
      <t>10.</t>
    </r>
    <r>
      <rPr>
        <sz val="14"/>
        <color rgb="FF000000"/>
        <rFont val="Times New Roman"/>
        <family val="1"/>
      </rPr>
      <t>  </t>
    </r>
    <r>
      <rPr>
        <sz val="14"/>
        <color rgb="FF000000"/>
        <rFont val="Arial"/>
        <family val="2"/>
      </rPr>
      <t>ستر حركة ومناورة القوات الصديقة في المواقع الدفاعية.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</si>
</sst>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470729</xdr:colOff>
      <xdr:row>20</xdr:row>
      <xdr:rowOff>394494</xdr:rowOff>
    </xdr:from>
    <xdr:to>
      <xdr:col>8</xdr:col>
      <xdr:colOff>513547</xdr:colOff>
      <xdr:row>22</xdr:row>
      <xdr:rowOff>131530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3D1D217-302E-B5AE-DDD4-2EA18077DE23}"/>
                </a:ext>
              </a:extLst>
            </xdr14:cNvPr>
            <xdr14:cNvContentPartPr/>
          </xdr14:nvContentPartPr>
          <xdr14:nvPr macro=""/>
          <xdr14:xfrm>
            <a:off x="10436538109" y="10515240"/>
            <a:ext cx="1359000" cy="9216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3D1D217-302E-B5AE-DDD4-2EA18077DE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531989" y="10509120"/>
              <a:ext cx="1371240" cy="93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519329</xdr:colOff>
      <xdr:row>22</xdr:row>
      <xdr:rowOff>117490</xdr:rowOff>
    </xdr:from>
    <xdr:to>
      <xdr:col>6</xdr:col>
      <xdr:colOff>519689</xdr:colOff>
      <xdr:row>22</xdr:row>
      <xdr:rowOff>117850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A5C90A5-F23E-9013-1730-AFFD8CCC737C}"/>
                </a:ext>
              </a:extLst>
            </xdr14:cNvPr>
            <xdr14:cNvContentPartPr/>
          </xdr14:nvContentPartPr>
          <xdr14:nvPr macro=""/>
          <xdr14:xfrm>
            <a:off x="10437848149" y="1142280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A5C90A5-F23E-9013-1730-AFFD8CCC737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7842029" y="114166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5T16:46:46.1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2908 1868,'0'0,"0"0,0 0,0 0,0 0,0 0,0 0,0 0,0 0,0 0,0 0,0 0,0 0,0 0,0 0,0 0,-19 0,17 0,-15-20,-2 20,16 0,-33 0,-2-19,33 16,-48 6,-5-22,51 16,-44 6,-6-3,50 0,-44 0,-7 0,51 0,-43 0,-8 0,51 0,-25 0,-25 0,49 0,-42 0,-8 0,51 0,-24 0,-27 0,51 0,-25 0,-6 0,33 0,-9 0,-25 0,34 0,-9 0,-5 0,16 0,-13 0,-4 0,18 0,-15 0,-2 0,-20-19,20 19,-39 0,49 0,-39 19,-29-19,65 0,-92 19,-30-19,112 0,-110 39,-42-20,148-16,-82 13,-8 3,97-16,-96 33,18-17,83-16,-68 13,24 3,49-16,-20-6,-10 3,32 0,-24 20,-8-20,32 0,-24 0,12 0,16 0,-33 0,17 0,17 0,-15 0,14 0,6-20,-3 19,19-17,-17 17,15 2,22-20,-34 16,28-13,6-4,-34 17,67-13,24-22,-82 32,87-27,53-5,-130 32,106-27,24-24,-130 47,87-19,24-9,-116 32,58-27,0 14,-65 16,33-13,-6-4,-34 17,28-13,-13-3,-18 16,15 6,2-22,-16 16,13 6,-6-3,-39 0,-9 19,-20-19,48 0,-57 19,-10 0,65-15,-91 31,-51 3,127-31,-120 44,13-12,112-33,-72 26,-2-13,79-16,-62 33,2 2,65-31,-34 6,8 6,30-16,-4 13,10-14,-15-4,-2 21,17-16,23-6,-18 3,33-19,21 0,-47 15,115-31,48-22,-144 47,154-57,67-49,-209 97,187-77,80-20,-257 97,206-96,70-39,-276 130,187-87,51-43,-241 129,154-85,29-5,-193 96,78-58,-20 0,-82 64,68-32,-24 6,-49 33,20-26,-29 13,0 15,-19-12,-19-3,33 16,-29-32,-81-4,95 33,-114-26,-59-7,162 33,-207-7,-70 13,260 0,-250 19,-87 0,327-16,-250 33,0 2,260-31,-173 44,-49-12,232-34,-154 67,38-34,130-32,-49 27,-4 5,65-32,-14 27,-13 24,32-47,-5 19,12 29,0-49,0 39,19 87,-16-113,52 110,22 41,-65-145,92 98,30 28,-112-129,110 104,41 25,-141-127,167 119,13-31,-178-96,163 59,-5 18,-158-80,106 45,-6 16,-112-64,52 12,23 33,-83-49,49 1,-6 10,-47-17,38 13,-9 3,-32-16,24 13,-31-16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5T16:46:46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B6" zoomScaleNormal="100" zoomScaleSheetLayoutView="100" workbookViewId="0">
      <selection activeCell="G22" sqref="G22:J2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37" t="s">
        <v>180</v>
      </c>
      <c r="C1" s="37"/>
      <c r="D1" s="37"/>
      <c r="E1" s="37"/>
      <c r="F1" s="37"/>
      <c r="G1" s="37"/>
      <c r="H1" s="37"/>
      <c r="I1" s="37"/>
      <c r="J1" s="37"/>
    </row>
    <row r="2" spans="1:10" ht="30" customHeight="1" x14ac:dyDescent="0.2">
      <c r="B2" s="12" t="s">
        <v>8</v>
      </c>
      <c r="C2" s="43" t="s">
        <v>11</v>
      </c>
      <c r="D2" s="43"/>
      <c r="E2" s="12" t="s">
        <v>7</v>
      </c>
      <c r="F2" s="38">
        <v>45955</v>
      </c>
      <c r="G2" s="38"/>
      <c r="H2" s="38"/>
      <c r="I2" s="38"/>
      <c r="J2" s="38"/>
    </row>
    <row r="3" spans="1:10" ht="30" customHeight="1" x14ac:dyDescent="0.2">
      <c r="B3" s="12" t="s">
        <v>9</v>
      </c>
      <c r="C3" s="43" t="s">
        <v>69</v>
      </c>
      <c r="D3" s="43"/>
      <c r="E3" s="12" t="s">
        <v>6</v>
      </c>
      <c r="F3" s="43" t="s">
        <v>134</v>
      </c>
      <c r="G3" s="43"/>
      <c r="H3" s="43"/>
      <c r="I3" s="43"/>
      <c r="J3" s="43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39" t="s">
        <v>0</v>
      </c>
      <c r="C5" s="40"/>
      <c r="D5" s="40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25">
      <c r="A6" s="10"/>
      <c r="B6" s="41"/>
      <c r="C6" s="42"/>
      <c r="D6" s="42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x14ac:dyDescent="0.2">
      <c r="A7" s="10"/>
      <c r="B7" s="46" t="s">
        <v>21</v>
      </c>
      <c r="C7" s="47"/>
      <c r="D7" s="47"/>
      <c r="E7" s="27" t="s">
        <v>18</v>
      </c>
      <c r="F7" s="27" t="s">
        <v>19</v>
      </c>
      <c r="G7" s="27" t="s">
        <v>22</v>
      </c>
      <c r="H7" s="27" t="s">
        <v>20</v>
      </c>
      <c r="I7" s="52" t="s">
        <v>25</v>
      </c>
      <c r="J7" s="53"/>
    </row>
    <row r="8" spans="1:10" ht="50.1" customHeight="1" x14ac:dyDescent="0.2">
      <c r="A8" s="10"/>
      <c r="B8" s="31" t="s">
        <v>181</v>
      </c>
      <c r="C8" s="31"/>
      <c r="D8" s="31"/>
      <c r="E8" s="9">
        <v>10</v>
      </c>
      <c r="F8" s="26">
        <v>8</v>
      </c>
      <c r="G8" s="29">
        <f>IFERROR(F8/E8,"")</f>
        <v>0.8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4"/>
      <c r="J8" s="54"/>
    </row>
    <row r="9" spans="1:10" ht="50.1" customHeight="1" x14ac:dyDescent="0.2">
      <c r="A9" s="10"/>
      <c r="B9" s="31" t="s">
        <v>182</v>
      </c>
      <c r="C9" s="31"/>
      <c r="D9" s="31"/>
      <c r="E9" s="9">
        <v>10</v>
      </c>
      <c r="F9" s="26">
        <v>7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4"/>
    </row>
    <row r="10" spans="1:10" ht="50.1" customHeight="1" x14ac:dyDescent="0.2">
      <c r="A10" s="10"/>
      <c r="B10" s="31" t="s">
        <v>183</v>
      </c>
      <c r="C10" s="31"/>
      <c r="D10" s="31"/>
      <c r="E10" s="9">
        <v>10</v>
      </c>
      <c r="F10" s="26">
        <v>7.5</v>
      </c>
      <c r="G10" s="29">
        <f t="shared" ref="G10:G17" si="0">IFERROR(F10/E10,"")</f>
        <v>0.75</v>
      </c>
      <c r="H10" s="30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4"/>
    </row>
    <row r="11" spans="1:10" ht="50.1" customHeight="1" x14ac:dyDescent="0.2">
      <c r="A11" s="10"/>
      <c r="B11" s="31" t="s">
        <v>184</v>
      </c>
      <c r="C11" s="31"/>
      <c r="D11" s="31"/>
      <c r="E11" s="9">
        <v>10</v>
      </c>
      <c r="F11" s="26">
        <v>7.75</v>
      </c>
      <c r="G11" s="29">
        <f t="shared" si="0"/>
        <v>0.77500000000000002</v>
      </c>
      <c r="H11" s="30" t="str">
        <f t="shared" si="1"/>
        <v>جيد</v>
      </c>
      <c r="I11" s="54"/>
      <c r="J11" s="54"/>
    </row>
    <row r="12" spans="1:10" ht="50.1" customHeight="1" x14ac:dyDescent="0.2">
      <c r="A12" s="10"/>
      <c r="B12" s="31" t="s">
        <v>185</v>
      </c>
      <c r="C12" s="31"/>
      <c r="D12" s="31"/>
      <c r="E12" s="9">
        <v>10</v>
      </c>
      <c r="F12" s="26">
        <v>7.75</v>
      </c>
      <c r="G12" s="29">
        <f t="shared" si="0"/>
        <v>0.77500000000000002</v>
      </c>
      <c r="H12" s="30" t="str">
        <f t="shared" si="1"/>
        <v>جيد</v>
      </c>
      <c r="I12" s="54"/>
      <c r="J12" s="54"/>
    </row>
    <row r="13" spans="1:10" ht="50.1" customHeight="1" x14ac:dyDescent="0.2">
      <c r="A13" s="10"/>
      <c r="B13" s="31" t="s">
        <v>186</v>
      </c>
      <c r="C13" s="31"/>
      <c r="D13" s="31"/>
      <c r="E13" s="9">
        <v>10</v>
      </c>
      <c r="F13" s="26">
        <v>7.25</v>
      </c>
      <c r="G13" s="29">
        <f t="shared" si="0"/>
        <v>0.72499999999999998</v>
      </c>
      <c r="H13" s="30" t="str">
        <f t="shared" si="1"/>
        <v>جيد</v>
      </c>
      <c r="I13" s="54"/>
      <c r="J13" s="54"/>
    </row>
    <row r="14" spans="1:10" ht="50.1" customHeight="1" x14ac:dyDescent="0.2">
      <c r="A14" s="10"/>
      <c r="B14" s="31" t="s">
        <v>187</v>
      </c>
      <c r="C14" s="31"/>
      <c r="D14" s="31"/>
      <c r="E14" s="9">
        <v>10</v>
      </c>
      <c r="F14" s="26">
        <v>7.5</v>
      </c>
      <c r="G14" s="29">
        <f t="shared" si="0"/>
        <v>0.75</v>
      </c>
      <c r="H14" s="30" t="str">
        <f t="shared" si="1"/>
        <v>جيد</v>
      </c>
      <c r="I14" s="54"/>
      <c r="J14" s="54"/>
    </row>
    <row r="15" spans="1:10" ht="50.1" customHeight="1" x14ac:dyDescent="0.2">
      <c r="A15" s="10"/>
      <c r="B15" s="31" t="s">
        <v>188</v>
      </c>
      <c r="C15" s="31"/>
      <c r="D15" s="31"/>
      <c r="E15" s="9">
        <v>10</v>
      </c>
      <c r="F15" s="26">
        <v>7.5</v>
      </c>
      <c r="G15" s="29">
        <f t="shared" si="0"/>
        <v>0.75</v>
      </c>
      <c r="H15" s="30" t="str">
        <f t="shared" si="1"/>
        <v>جيد</v>
      </c>
      <c r="I15" s="54"/>
      <c r="J15" s="54"/>
    </row>
    <row r="16" spans="1:10" ht="50.1" customHeight="1" x14ac:dyDescent="0.2">
      <c r="A16" s="10"/>
      <c r="B16" s="31" t="s">
        <v>189</v>
      </c>
      <c r="C16" s="31"/>
      <c r="D16" s="31"/>
      <c r="E16" s="9">
        <v>10</v>
      </c>
      <c r="F16" s="26">
        <v>7.75</v>
      </c>
      <c r="G16" s="29">
        <f t="shared" si="0"/>
        <v>0.77500000000000002</v>
      </c>
      <c r="H16" s="30" t="str">
        <f t="shared" si="1"/>
        <v>جيد</v>
      </c>
      <c r="I16" s="54"/>
      <c r="J16" s="54"/>
    </row>
    <row r="17" spans="1:10" ht="50.1" customHeight="1" x14ac:dyDescent="0.2">
      <c r="A17" s="10"/>
      <c r="B17" s="31" t="s">
        <v>190</v>
      </c>
      <c r="C17" s="31"/>
      <c r="D17" s="31"/>
      <c r="E17" s="9">
        <v>10</v>
      </c>
      <c r="F17" s="26">
        <v>7</v>
      </c>
      <c r="G17" s="29">
        <f t="shared" si="0"/>
        <v>0.7</v>
      </c>
      <c r="H17" s="30" t="str">
        <f t="shared" si="1"/>
        <v>جيد</v>
      </c>
      <c r="I17" s="54"/>
      <c r="J17" s="54"/>
    </row>
    <row r="18" spans="1:10" ht="30" customHeight="1" thickBot="1" x14ac:dyDescent="0.25">
      <c r="A18" s="4"/>
      <c r="B18" s="61" t="s">
        <v>5</v>
      </c>
      <c r="C18" s="62"/>
      <c r="D18" s="62"/>
      <c r="E18" s="28">
        <f>SUM(E8:E17)</f>
        <v>100</v>
      </c>
      <c r="F18" s="28">
        <f>SUM(F8:F17)</f>
        <v>75</v>
      </c>
      <c r="G18" s="34"/>
      <c r="H18" s="35"/>
      <c r="I18" s="35"/>
      <c r="J18" s="36"/>
    </row>
    <row r="19" spans="1:10" ht="30" customHeight="1" thickBot="1" x14ac:dyDescent="0.25">
      <c r="A19" s="4"/>
      <c r="B19" s="63" t="s">
        <v>54</v>
      </c>
      <c r="C19" s="64"/>
      <c r="D19" s="64"/>
      <c r="E19" s="44">
        <f>F18/E18/100*100</f>
        <v>0.75</v>
      </c>
      <c r="F19" s="44"/>
      <c r="G19" s="44"/>
      <c r="H19" s="44"/>
      <c r="I19" s="44"/>
      <c r="J19" s="45"/>
    </row>
    <row r="20" spans="1:10" ht="30" customHeight="1" thickBot="1" x14ac:dyDescent="0.25">
      <c r="A20" s="4"/>
      <c r="B20" s="63" t="s">
        <v>55</v>
      </c>
      <c r="C20" s="64"/>
      <c r="D20" s="64"/>
      <c r="E20" s="59" t="str">
        <f>_xlfn.IFS(E19&gt;=90%,"ممتاز",E19&gt;=80%,"جيد جداً",E19&gt;=70%,"جيد",E19&gt;=60%,"مقبول",E19&lt;60%,"راسب")</f>
        <v>جيد</v>
      </c>
      <c r="F20" s="59"/>
      <c r="G20" s="59"/>
      <c r="H20" s="59"/>
      <c r="I20" s="59"/>
      <c r="J20" s="60"/>
    </row>
    <row r="21" spans="1:10" ht="42" customHeight="1" x14ac:dyDescent="0.2">
      <c r="B21" s="55" t="s">
        <v>174</v>
      </c>
      <c r="C21" s="55"/>
      <c r="D21" s="55"/>
      <c r="E21" s="32" t="s">
        <v>52</v>
      </c>
      <c r="F21" s="32"/>
      <c r="G21" s="57" t="s">
        <v>134</v>
      </c>
      <c r="H21" s="57"/>
      <c r="I21" s="57"/>
      <c r="J21" s="57"/>
    </row>
    <row r="22" spans="1:10" ht="51" customHeight="1" x14ac:dyDescent="0.2">
      <c r="A22" s="5"/>
      <c r="B22" s="56"/>
      <c r="C22" s="56"/>
      <c r="D22" s="56"/>
      <c r="E22" s="33" t="s">
        <v>53</v>
      </c>
      <c r="F22" s="33"/>
      <c r="G22" s="58"/>
      <c r="H22" s="58"/>
      <c r="I22" s="58"/>
      <c r="J22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60">
      <formula>$E20="جيد جداً"</formula>
    </cfRule>
    <cfRule type="expression" dxfId="12" priority="59">
      <formula>$E20="جيد"</formula>
    </cfRule>
    <cfRule type="expression" dxfId="11" priority="58">
      <formula>$E20="مقبول"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G21:J21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3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2025-10-22T08:56:04Z</dcterms:modified>
</cp:coreProperties>
</file>