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29B2EA7-1C10-7A42-BCA9-4C5FFE9A2C5F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F33" i="2"/>
  <c r="E33" i="2"/>
  <c r="E34" i="2"/>
  <c r="E35" i="2"/>
</calcChain>
</file>

<file path=xl/sharedStrings.xml><?xml version="1.0" encoding="utf-8"?>
<sst xmlns="http://schemas.openxmlformats.org/spreadsheetml/2006/main" count="263" uniqueCount="206">
  <si>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</si>
  <si>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</si>
  <si>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</si>
  <si>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</si>
  <si>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</si>
  <si>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</si>
  <si>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</si>
  <si>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</si>
  <si>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</si>
  <si>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</si>
  <si>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</si>
  <si>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</si>
  <si>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</si>
  <si>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</si>
  <si>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</si>
  <si>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</si>
  <si>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</si>
  <si>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</si>
  <si>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</si>
  <si>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</si>
  <si>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</si>
  <si>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</si>
  <si>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</si>
  <si>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</si>
  <si>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</si>
  <si>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</si>
  <si>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</si>
  <si>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</si>
  <si>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</si>
  <si>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</si>
  <si>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</si>
  <si>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</si>
  <si>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</si>
  <si>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</si>
  <si>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</si>
  <si>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</si>
  <si>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</si>
  <si>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</si>
  <si>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</si>
  <si>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</si>
  <si>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</si>
  <si>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</si>
  <si>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</si>
  <si>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</si>
  <si>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</si>
  <si>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</si>
  <si>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</si>
  <si>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</si>
  <si>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</si>
  <si>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</si>
  <si>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</si>
  <si>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</si>
  <si>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</si>
  <si>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</si>
  <si>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</si>
  <si>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</si>
  <si>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</si>
  <si>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</si>
  <si>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</si>
  <si>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</si>
  <si>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</si>
  <si>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</si>
  <si>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</si>
  <si>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</si>
  <si>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</si>
  <si>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</si>
  <si>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</si>
  <si>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</si>
  <si>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</si>
  <si>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</si>
  <si>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</si>
  <si>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</si>
  <si>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</si>
  <si>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</si>
  <si>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</si>
  <si>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</si>
  <si>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</si>
  <si>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</si>
  <si>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</si>
  <si>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</si>
  <si>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</si>
  <si>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</si>
  <si>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</si>
  <si>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</si>
  <si>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</si>
  <si>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</si>
  <si>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</si>
  <si>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</si>
  <si>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</si>
  <si>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</si>
  <si>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</si>
  <si>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</si>
  <si>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</si>
  <si>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</si>
  <si>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</si>
  <si>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</si>
  <si>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</si>
  <si>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</si>
  <si>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</si>
  <si>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</si>
  <si>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</si>
  <si>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</si>
  <si>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</si>
  <si>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</si>
  <si>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</si>
  <si>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</si>
  <si>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</si>
  <si>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</si>
  <si>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</si>
  <si>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</si>
  <si>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</si>
  <si>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</si>
  <si>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</si>
  <si>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</si>
  <si>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</si>
  <si>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</si>
  <si>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</si>
  <si>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</si>
  <si>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</si>
  <si>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</si>
  <si>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</si>
  <si>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</si>
  <si>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</si>
  <si>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</si>
  <si>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</si>
  <si>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</si>
  <si>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</si>
  <si>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</si>
  <si>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</si>
  <si>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</si>
  <si>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</si>
  <si>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</si>
  <si>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</si>
  <si>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</si>
  <si>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</si>
  <si>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</si>
  <si>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</si>
  <si>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</si>
  <si>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</si>
  <si>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</si>
  <si>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</si>
  <si>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</si>
  <si>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</si>
  <si>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</si>
  <si>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</si>
  <si>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</si>
  <si>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</si>
  <si>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</si>
  <si>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</si>
  <si>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</si>
  <si>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</si>
  <si>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</si>
  <si>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</si>
  <si>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</si>
  <si>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</si>
  <si>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</si>
  <si>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</si>
  <si>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</si>
  <si>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</si>
  <si>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</si>
  <si>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</si>
  <si>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</si>
  <si>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</si>
  <si>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</si>
  <si>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</si>
  <si>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</si>
  <si>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</si>
  <si>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</si>
  <si>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</si>
  <si>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</si>
  <si>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</si>
  <si>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</si>
  <si>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</si>
  <si>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</si>
  <si>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</si>
  <si>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</si>
  <si>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</si>
  <si>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</si>
  <si>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</si>
  <si>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</si>
  <si>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</si>
  <si>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يعمل القادة في السرية على فهم الموقف باستخدام معدات الاتصال المتوفرة، والخرائط، وملخصات الاستخبارات، وتقارير الموقف، ومصادر المعلومات المتوفرة الأخرى.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</si>
  <si>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تستلم قيادة سرية الاستطلاع أمر العمليات من مجموعة اللواء وتقوم بما يلي:</t>
    </r>
  </si>
  <si>
    <t>أ. التخطيط من خلال خطوات إجراءات المعركة الثمانية.</t>
  </si>
  <si>
    <t>ب. تنفيذ الاستطلاع من الخارطة.</t>
  </si>
  <si>
    <t>جـ. تنفيذ التحضير الاستخباري لميدان المعركة.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</si>
  <si>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وضع خطة الاستطلاع بالتنسيق مع ركن استخبارات اللواء.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</si>
  <si>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أسلوب العمل في الدفاع السريع بناءً على قصد القائد ومتغيرات المهمة.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</si>
  <si>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تخطيط وتنسيق عمليات التزويد قبل واثناء وبعد العملية خلال ساعات الرؤية المحدودة للحد من فرص اعتراضها من قبل قوات العدو.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</si>
  <si>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إصدار الأوامر للمرؤوسين وتقديم إيجازات تأكيدية من قبل القادة المرؤوسين مباشرة بعد استلام أمر العمليات لضمان فهمهم لقصد القائد ومفهوم عملياته.</t>
    </r>
  </si>
  <si>
    <t>مرحلة التحضير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</si>
  <si>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تقوم سرية الاستطلاع بالتحضير لتنفيذ واجباتها في الدفاع السريع من خلال الإجراءات التالية:</t>
    </r>
  </si>
  <si>
    <t>أ. تنقيح الخطة بناءً على المعلومات الاستخبارية المحدثة باستمرار.</t>
  </si>
  <si>
    <t>ب. تنفيذ خطة المراقبة والاستطلاع.</t>
  </si>
  <si>
    <t>جـ. تنفيذ تفقدات وتفتيشات ما قبل القتال.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</si>
  <si>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توضيع القوات حسب الخطة.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</si>
  <si>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التجارب.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</si>
  <si>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الاستمرار بعملية الاستطلاع والمراقبة وجمع المعلومات حسب متطلبات القائد من المعلومات الهامة.</t>
    </r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</si>
  <si>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</si>
  <si>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اتجاه اقتراب وهجوم قوات العدو وتحديد قوتها وتكوينها وأماكن تمركزها ومناطق المأوى ومناطق التشكيل وخط البدء.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</si>
  <si>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اكتشاف وتحديد مواقع المدفعية الصاروخية التي يمكنها استخدام ذخائر أسلحة التدمير الشامـل.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</si>
  <si>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توقيت وأسلوب هجوم العدو والاتجاه المحتمل لتركيز مجهوده الرئيس.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</si>
  <si>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أماكن مواقع المدفعية والهاونات والمقذوفات الموجهة المضادة للدبابات ومراكز القيادة والسيطرة ووسائل الحرب الإلكترونية.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</si>
  <si>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اكتشاف مناطق وحجم قوات الإبرار الجوي (إن وجد).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</si>
  <si>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اكتشاف والحصول على معلومات عن طبيعة الأرض قد تؤثر على أعمال قواتنا وقوات العدو.</t>
    </r>
  </si>
  <si>
    <r>
      <rPr>
        <b/>
        <sz val="14"/>
        <color rgb="FF000000"/>
        <rFont val="Arial"/>
        <family val="2"/>
      </rPr>
      <t>تقييم سرية الاستطلاع في الدفاع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</si>
</sst>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2"/>
    </xf>
    <xf numFmtId="0" fontId="7" fillId="6" borderId="4" xfId="0" applyFont="1" applyFill="1" applyBorder="1" applyAlignment="1">
      <alignment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7" fillId="6" borderId="24" xfId="0" applyFont="1" applyFill="1" applyBorder="1" applyAlignment="1">
      <alignment vertical="center" wrapText="1" readingOrder="2"/>
    </xf>
    <xf numFmtId="0" fontId="7" fillId="6" borderId="25" xfId="0" applyFont="1" applyFill="1" applyBorder="1" applyAlignment="1">
      <alignment vertical="center" wrapText="1" readingOrder="2"/>
    </xf>
    <xf numFmtId="0" fontId="7" fillId="6" borderId="26" xfId="0" applyFont="1" applyFill="1" applyBorder="1" applyAlignment="1">
      <alignment vertical="center" wrapText="1" readingOrder="2"/>
    </xf>
    <xf numFmtId="0" fontId="7" fillId="6" borderId="5" xfId="0" applyFont="1" applyFill="1" applyBorder="1" applyAlignment="1">
      <alignment vertical="center" wrapText="1" readingOrder="2"/>
    </xf>
    <xf numFmtId="0" fontId="7" fillId="6" borderId="4" xfId="0" applyFont="1" applyFill="1" applyBorder="1" applyAlignment="1">
      <alignment vertical="center" wrapText="1" readingOrder="2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274785</xdr:colOff>
      <xdr:row>36</xdr:row>
      <xdr:rowOff>66453</xdr:rowOff>
    </xdr:from>
    <xdr:to>
      <xdr:col>8</xdr:col>
      <xdr:colOff>293484</xdr:colOff>
      <xdr:row>36</xdr:row>
      <xdr:rowOff>536253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C42BB86-DFB9-093D-93B2-49FE265517D1}"/>
                </a:ext>
              </a:extLst>
            </xdr14:cNvPr>
            <xdr14:cNvContentPartPr/>
          </xdr14:nvContentPartPr>
          <xdr14:nvPr macro=""/>
          <xdr14:xfrm>
            <a:off x="10398951425" y="15808680"/>
            <a:ext cx="1334880" cy="4698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C42BB86-DFB9-093D-93B2-49FE265517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42785" y="15800040"/>
              <a:ext cx="1352520" cy="48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303215</xdr:colOff>
      <xdr:row>36</xdr:row>
      <xdr:rowOff>611133</xdr:rowOff>
    </xdr:from>
    <xdr:to>
      <xdr:col>7</xdr:col>
      <xdr:colOff>324455</xdr:colOff>
      <xdr:row>36</xdr:row>
      <xdr:rowOff>614013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70F7D56-09F4-14FD-FC7F-C58EB800970F}"/>
                </a:ext>
              </a:extLst>
            </xdr14:cNvPr>
            <xdr14:cNvContentPartPr/>
          </xdr14:nvContentPartPr>
          <xdr14:nvPr macro=""/>
          <xdr14:xfrm>
            <a:off x="10399578545" y="16353360"/>
            <a:ext cx="21240" cy="28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0F7D56-09F4-14FD-FC7F-C58EB800970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569545" y="16344360"/>
              <a:ext cx="38880" cy="20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8:05:12.4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3707 253 8665,'0'0'0,"-24"-26"488,0 2-504,24 24 16,-31-24 24,9 5 177,8 15 31,-8 0 80,22 4-312,-14-5 136,-10 5-192,0 3-152,-3 16-144,27-19 352,-33 21-329,1 6-23,-4 7 48,0 9 56,36-43 248,-38 47-216,2 8 192,4 6 40,-1 2 32,33-63-48,-32 61 80,6-6-80,2-9-40,7-8-8,17-38 48,-7 30-48,2-9-48,3-6 16,2-11-88,0-4 168,0 4-192,7 0 8,5-1-48,0-3 128,-12 0 104,17 0-104,2-4 24,3-14 32,4-1 0,-26 19 48,26-23-64,3-4-8,0 0 16,-2-3 16,-27 30 40,26-28-56,-2 2 32,-2 4-8,-1 2 32,-21 20 0,15-14 72,-3 2 120,-10 8 80,3 1 168,-5 3-440,0-1 736,3 1 232,-3 0 153,-3 2 47,3-2-1168,-7 5 776,-12 9-352,-1-1-232,-4 5-224,24-18 32,-29 24 0,-2 5 8,-7 4-24,-8 5-40,46-38 56,-48 43 0,0 3-144,-3 1 32,-2-4-48,53-43 160,-50 37-96,-1-4 72,3-5 112,3-1 16,45-27-104,-44 23-64,1 0-24,0-1-176,2 1-24,41-23 288,-44 21-312,1-2-48,5-3 64,-3-4 0,41-12 296,-34 5-192,5 6 32,0-11 88,10 0 24,19 0 48,-17-1-16,3-5-104,4-10-80,-2 3-121,12 13 321,-12-15-456,0-7 80,7-3-112,3-6 80,2 31 408,-5-39-328,5-3 48,0-8 104,12-6 96,-12 56 80,12-61-80,5-3 40,2-1 48,3 2-8,-22 63 0,19-61 8,5 2-8,-2 3 56,2 6 0,-24 50-56,19-45 96,0 4 16,5 4-88,1 3-8,-25 34-16,24-29-8,-5 2-16,-2 4 56,0 5 16,-17 18-48,14-14 40,-9 9 48,7 1-72,-12 3 32,0 1-48,0 0 104,0 3 48,0 1 136,-5 10 32,5-14-320,-7 16 304,-10 5-72,0 7-72,-2 8-80,19-36-80,-27 40 40,-1 4 8,-9 4 0,-1 3-8,38-51-40,-41 54 80,-2 0 0,-3-1 48,0-5 24,46-48-152,-43 43 113,0-3-1,-1-3-24,4-3-40,40-34-48,-46 33 8,3-5-112,-3-2-169,0-7-47,46-19 320,-46 16-352,8-3 64,2-10 136,2 1 48,34-4 104,-29 3-104,1-3-64,3-2-112,1-2-56,24 4 336,-19-11-312,-5 6 72,2 0 144,-2-8 64,24 13 32,-19-4 56,2-8 80,1 10 104,-1-3 56,17 5-296,-15-4 320,-2 1 0,3 2-48,-3 1-16,17 0-256,-12 0 160,0 0-24,-5 3-40,3 1-80,14-4-16,-17 4 32,-2 7-48,2-8-24,-2 2 32,19-5 8,-17 12-16,-5-9 24,3 1 24,0 1 24,19-5-56,-22 4 96,5-4-16,0 0 24,1 0-32,16 0-72,-15-1 48,5-4-48,-4 0-72,7-11-40,7 16 112,-12-14-272,9-5-32,-1-1-104,-1-4-72,5 24 480,-3-25-464,3-1 8,0-2 48,3-2 32,-3 30 376,14-33-336,1-1 80,1-3 64,-1 1 80,-15 36 112,22-35-32,-1-1 16,3 1 24,3-1 56,-27 36-64,24-34 104,2 3 40,-4 3 72,2 1-8,-24 27-208,24-25 176,-5 4-8,0 4-40,-2 1-32,-17 16-96,15-12 104,-13 6-16,13-6 24,-13 11 104,-2 1-216,5-1 352,-3-1 192,-2 2 128,0 0 8,0 0-680,-2 3 569,-5 1-233,-8 9-200,1 1-192,14-14 56,-20 20-64,-4 6-32,-4 7-48,-6 2-40,34-35 184,-34 40-257,-2 1-15,-2 3 40,-3 0 40,41-44 192,-44 44-168,4-1-16,-6-3-16,0 0-56,46-40 256,-48 36-264,-2 3 0,-1 1 16,-4 1 0,55-41 248,-58 40-288,-5 1-128,-4-1-16,0 0 40,67-40 392,-68 38-304,3-1 144,1-3 71,3-3 41,61-31 48,-60 29-32,7-7 24,8 0 72,6-5 73,39-17-137,-36 13 208,12-9-8,2 10-16,8-11-96,14-3-88,-5 3 72,3-3-160,2 0-80,0 0 8,0 0 160,17 0-152,-3 0 160,10-3 32,0-1 8,-24 4-48,36-12 24,7 7-48,6-11 32,6 2-16,-55 14 8,67-19 16,1-2 16,6-5-32,3-2 48,-77 28-48,84-34 16,3-2 24,-3-2-40,5-3 16,-89 41-16,89-49 0,-2-6 0,9-3-8,2-5 16,-98 63-8,97-65 16,4-2 16,-3-3 8,-6 1 40,-92 69-80,89-67 152,-12 4 48,-5 6-40,-7 6-72,-65 51-88,60-44 24,-12 9 16,-7 3 40,-5 5 72,-36 27-152,31-22 248,-4 0 40,-6 7 56,-9 3 72,-12 12-416,3-3 600,-1 2 440,-2 1 329,-2 0 71,2 0-1440,-12 3 1192,0 8-632,-12 2-336,-3 4-167,27-17-57,-33 24 40,-3 6 0,-1 7 8,-8 7 8,45-44-56,-41 54 88,-5 6-48,0 7-8,8 2 48,38-69-80,-39 73 48,6-1 40,4-2-16,7 0-48,22-70-24,-19 65-40,5-1-72,11 0-208,-2-2-265,5-62 585,-2 64-1120,2 2-792,5 1-457,7-1 153,-12-66 2216,5 71-4441,-5-71 4441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8:05:12.7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58 2 16323,'0'0'0,"-15"0"496,3 0-712,12 0 216,-19 3-456,7 0-528,12-3-977,0 0-1151,0 0 3112,3-3-3105,9-2-2256,-12 5 5361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7"/>
  <sheetViews>
    <sheetView rightToLeft="1" tabSelected="1" view="pageBreakPreview" topLeftCell="B1" zoomScale="130" zoomScaleNormal="100" zoomScaleSheetLayoutView="130" workbookViewId="0">
      <selection activeCell="G37" sqref="G37:J3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9" t="s">
        <v>205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2">
      <c r="B2" s="11" t="s">
        <v>8</v>
      </c>
      <c r="C2" s="65" t="s">
        <v>10</v>
      </c>
      <c r="D2" s="65"/>
      <c r="E2" s="11" t="s">
        <v>7</v>
      </c>
      <c r="F2" s="60" t="s">
        <v>56</v>
      </c>
      <c r="G2" s="60"/>
      <c r="H2" s="60"/>
      <c r="I2" s="60"/>
      <c r="J2" s="60"/>
    </row>
    <row r="3" spans="1:10" ht="30" customHeight="1" x14ac:dyDescent="0.2">
      <c r="B3" s="11" t="s">
        <v>9</v>
      </c>
      <c r="C3" s="65" t="s">
        <v>65</v>
      </c>
      <c r="D3" s="65"/>
      <c r="E3" s="11" t="s">
        <v>6</v>
      </c>
      <c r="F3" s="65" t="s">
        <v>113</v>
      </c>
      <c r="G3" s="65"/>
      <c r="H3" s="65"/>
      <c r="I3" s="65"/>
      <c r="J3" s="65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1" t="s">
        <v>0</v>
      </c>
      <c r="C5" s="62"/>
      <c r="D5" s="62"/>
      <c r="E5" s="70" t="s">
        <v>1</v>
      </c>
      <c r="F5" s="70"/>
      <c r="G5" s="70"/>
      <c r="H5" s="70"/>
      <c r="I5" s="70" t="s">
        <v>2</v>
      </c>
      <c r="J5" s="71"/>
    </row>
    <row r="6" spans="1:10" ht="24.95" customHeight="1" thickBot="1" x14ac:dyDescent="0.25">
      <c r="A6" s="9"/>
      <c r="B6" s="63"/>
      <c r="C6" s="64"/>
      <c r="D6" s="64"/>
      <c r="E6" s="10" t="s">
        <v>3</v>
      </c>
      <c r="F6" s="10" t="s">
        <v>4</v>
      </c>
      <c r="G6" s="10" t="s">
        <v>23</v>
      </c>
      <c r="H6" s="10" t="s">
        <v>24</v>
      </c>
      <c r="I6" s="72"/>
      <c r="J6" s="73"/>
    </row>
    <row r="7" spans="1:10" ht="24.95" customHeight="1" thickBot="1" x14ac:dyDescent="0.25">
      <c r="A7" s="9"/>
      <c r="B7" s="68" t="s">
        <v>21</v>
      </c>
      <c r="C7" s="69"/>
      <c r="D7" s="69"/>
      <c r="E7" s="27" t="s">
        <v>18</v>
      </c>
      <c r="F7" s="27" t="s">
        <v>19</v>
      </c>
      <c r="G7" s="27" t="s">
        <v>22</v>
      </c>
      <c r="H7" s="27" t="s">
        <v>20</v>
      </c>
      <c r="I7" s="74" t="s">
        <v>25</v>
      </c>
      <c r="J7" s="75"/>
    </row>
    <row r="8" spans="1:10" ht="30" customHeight="1" x14ac:dyDescent="0.2">
      <c r="A8" s="9"/>
      <c r="B8" s="43" t="s">
        <v>180</v>
      </c>
      <c r="C8" s="44"/>
      <c r="D8" s="44"/>
      <c r="E8" s="44"/>
      <c r="F8" s="44"/>
      <c r="G8" s="44"/>
      <c r="H8" s="44"/>
      <c r="I8" s="44"/>
      <c r="J8" s="45"/>
    </row>
    <row r="9" spans="1:10" ht="57" customHeight="1" x14ac:dyDescent="0.2">
      <c r="A9" s="9"/>
      <c r="B9" s="39" t="s">
        <v>181</v>
      </c>
      <c r="C9" s="40"/>
      <c r="D9" s="40"/>
      <c r="E9" s="31">
        <v>5</v>
      </c>
      <c r="F9" s="25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0"/>
      <c r="J9" s="51"/>
    </row>
    <row r="10" spans="1:10" ht="39.950000000000003" customHeight="1" x14ac:dyDescent="0.2">
      <c r="A10" s="9"/>
      <c r="B10" s="39" t="s">
        <v>182</v>
      </c>
      <c r="C10" s="40"/>
      <c r="D10" s="40"/>
      <c r="E10" s="31"/>
      <c r="F10" s="25"/>
      <c r="G10" s="29"/>
      <c r="H10" s="30"/>
      <c r="I10" s="50"/>
      <c r="J10" s="51"/>
    </row>
    <row r="11" spans="1:10" ht="30" customHeight="1" x14ac:dyDescent="0.2">
      <c r="A11" s="9"/>
      <c r="B11" s="48" t="s">
        <v>183</v>
      </c>
      <c r="C11" s="49"/>
      <c r="D11" s="49"/>
      <c r="E11" s="31">
        <v>5</v>
      </c>
      <c r="F11" s="25">
        <v>3.75</v>
      </c>
      <c r="G11" s="29">
        <f t="shared" ref="G10:G32" si="0">IFERROR(F11/E11,"")</f>
        <v>0.75</v>
      </c>
      <c r="H11" s="30" t="str">
        <f t="shared" ref="H10:H32" si="1">_xlfn.IFS(F11="أدخل العلامة","",F11="لا ينطبق","تم الإلغاء",G11&gt;=90%,"ممتاز",G11&gt;=80%,"جيد جداً",G11&gt;=70%,"جيد",G11&gt;=60%,"مقبول",G11&lt;60%,"راسب")</f>
        <v>جيد</v>
      </c>
      <c r="I11" s="50"/>
      <c r="J11" s="51"/>
    </row>
    <row r="12" spans="1:10" ht="30" customHeight="1" x14ac:dyDescent="0.2">
      <c r="A12" s="9"/>
      <c r="B12" s="48" t="s">
        <v>184</v>
      </c>
      <c r="C12" s="49"/>
      <c r="D12" s="49"/>
      <c r="E12" s="31">
        <v>5</v>
      </c>
      <c r="F12" s="25">
        <v>4.25</v>
      </c>
      <c r="G12" s="29">
        <f t="shared" si="0"/>
        <v>0.85</v>
      </c>
      <c r="H12" s="30" t="str">
        <f t="shared" si="1"/>
        <v>جيد جداً</v>
      </c>
      <c r="I12" s="50"/>
      <c r="J12" s="51"/>
    </row>
    <row r="13" spans="1:10" ht="30" customHeight="1" x14ac:dyDescent="0.2">
      <c r="A13" s="9"/>
      <c r="B13" s="48" t="s">
        <v>185</v>
      </c>
      <c r="C13" s="49"/>
      <c r="D13" s="49"/>
      <c r="E13" s="31">
        <v>5</v>
      </c>
      <c r="F13" s="25">
        <v>3.75</v>
      </c>
      <c r="G13" s="29">
        <f t="shared" si="0"/>
        <v>0.75</v>
      </c>
      <c r="H13" s="30" t="str">
        <f t="shared" si="1"/>
        <v>جيد</v>
      </c>
      <c r="I13" s="50"/>
      <c r="J13" s="51"/>
    </row>
    <row r="14" spans="1:10" ht="30" customHeight="1" x14ac:dyDescent="0.2">
      <c r="A14" s="9"/>
      <c r="B14" s="39" t="s">
        <v>186</v>
      </c>
      <c r="C14" s="40"/>
      <c r="D14" s="40"/>
      <c r="E14" s="31">
        <v>5</v>
      </c>
      <c r="F14" s="25">
        <v>3.75</v>
      </c>
      <c r="G14" s="29">
        <f t="shared" si="0"/>
        <v>0.75</v>
      </c>
      <c r="H14" s="30" t="str">
        <f t="shared" si="1"/>
        <v>جيد</v>
      </c>
      <c r="I14" s="50"/>
      <c r="J14" s="51"/>
    </row>
    <row r="15" spans="1:10" ht="39.950000000000003" customHeight="1" x14ac:dyDescent="0.2">
      <c r="A15" s="9"/>
      <c r="B15" s="39" t="s">
        <v>187</v>
      </c>
      <c r="C15" s="40"/>
      <c r="D15" s="40"/>
      <c r="E15" s="31">
        <v>5</v>
      </c>
      <c r="F15" s="25">
        <v>3.75</v>
      </c>
      <c r="G15" s="29">
        <f t="shared" si="0"/>
        <v>0.75</v>
      </c>
      <c r="H15" s="30" t="str">
        <f t="shared" si="1"/>
        <v>جيد</v>
      </c>
      <c r="I15" s="50"/>
      <c r="J15" s="51"/>
    </row>
    <row r="16" spans="1:10" ht="39.950000000000003" customHeight="1" x14ac:dyDescent="0.2">
      <c r="A16" s="9"/>
      <c r="B16" s="39" t="s">
        <v>188</v>
      </c>
      <c r="C16" s="40"/>
      <c r="D16" s="40"/>
      <c r="E16" s="31">
        <v>5</v>
      </c>
      <c r="F16" s="25">
        <v>3.75</v>
      </c>
      <c r="G16" s="29">
        <f t="shared" si="0"/>
        <v>0.75</v>
      </c>
      <c r="H16" s="30" t="str">
        <f t="shared" si="1"/>
        <v>جيد</v>
      </c>
      <c r="I16" s="50"/>
      <c r="J16" s="51"/>
    </row>
    <row r="17" spans="1:10" ht="51" customHeight="1" thickBot="1" x14ac:dyDescent="0.25">
      <c r="A17" s="9"/>
      <c r="B17" s="41" t="s">
        <v>189</v>
      </c>
      <c r="C17" s="42"/>
      <c r="D17" s="42"/>
      <c r="E17" s="36">
        <v>5</v>
      </c>
      <c r="F17" s="26">
        <v>3.75</v>
      </c>
      <c r="G17" s="37">
        <f t="shared" si="0"/>
        <v>0.75</v>
      </c>
      <c r="H17" s="38" t="str">
        <f t="shared" si="1"/>
        <v>جيد</v>
      </c>
      <c r="I17" s="57"/>
      <c r="J17" s="58"/>
    </row>
    <row r="18" spans="1:10" ht="30" customHeight="1" x14ac:dyDescent="0.2">
      <c r="A18" s="9"/>
      <c r="B18" s="46" t="s">
        <v>190</v>
      </c>
      <c r="C18" s="47"/>
      <c r="D18" s="47"/>
      <c r="E18" s="32"/>
      <c r="F18" s="33"/>
      <c r="G18" s="34"/>
      <c r="H18" s="35"/>
      <c r="I18" s="86"/>
      <c r="J18" s="87"/>
    </row>
    <row r="19" spans="1:10" ht="39.950000000000003" customHeight="1" x14ac:dyDescent="0.2">
      <c r="A19" s="9"/>
      <c r="B19" s="39" t="s">
        <v>191</v>
      </c>
      <c r="C19" s="40"/>
      <c r="D19" s="40"/>
      <c r="E19" s="31"/>
      <c r="F19" s="25"/>
      <c r="G19" s="29"/>
      <c r="H19" s="30"/>
      <c r="I19" s="50"/>
      <c r="J19" s="51"/>
    </row>
    <row r="20" spans="1:10" ht="30" customHeight="1" x14ac:dyDescent="0.2">
      <c r="A20" s="9"/>
      <c r="B20" s="48" t="s">
        <v>192</v>
      </c>
      <c r="C20" s="49"/>
      <c r="D20" s="49"/>
      <c r="E20" s="31">
        <v>5</v>
      </c>
      <c r="F20" s="25">
        <v>3.75</v>
      </c>
      <c r="G20" s="29">
        <f t="shared" si="0"/>
        <v>0.75</v>
      </c>
      <c r="H20" s="30" t="str">
        <f t="shared" si="1"/>
        <v>جيد</v>
      </c>
      <c r="I20" s="50"/>
      <c r="J20" s="51"/>
    </row>
    <row r="21" spans="1:10" ht="30" customHeight="1" x14ac:dyDescent="0.2">
      <c r="A21" s="9"/>
      <c r="B21" s="48" t="s">
        <v>193</v>
      </c>
      <c r="C21" s="49"/>
      <c r="D21" s="49"/>
      <c r="E21" s="31">
        <v>5</v>
      </c>
      <c r="F21" s="25">
        <v>3.75</v>
      </c>
      <c r="G21" s="29">
        <f t="shared" si="0"/>
        <v>0.75</v>
      </c>
      <c r="H21" s="30" t="str">
        <f t="shared" si="1"/>
        <v>جيد</v>
      </c>
      <c r="I21" s="50"/>
      <c r="J21" s="51"/>
    </row>
    <row r="22" spans="1:10" ht="30" customHeight="1" x14ac:dyDescent="0.2">
      <c r="A22" s="9"/>
      <c r="B22" s="48" t="s">
        <v>194</v>
      </c>
      <c r="C22" s="49"/>
      <c r="D22" s="49"/>
      <c r="E22" s="31">
        <v>5</v>
      </c>
      <c r="F22" s="25">
        <v>4.25</v>
      </c>
      <c r="G22" s="29">
        <f t="shared" si="0"/>
        <v>0.85</v>
      </c>
      <c r="H22" s="30" t="str">
        <f t="shared" si="1"/>
        <v>جيد جداً</v>
      </c>
      <c r="I22" s="50"/>
      <c r="J22" s="51"/>
    </row>
    <row r="23" spans="1:10" ht="30" customHeight="1" x14ac:dyDescent="0.2">
      <c r="A23" s="9"/>
      <c r="B23" s="39" t="s">
        <v>195</v>
      </c>
      <c r="C23" s="40"/>
      <c r="D23" s="40"/>
      <c r="E23" s="31">
        <v>5</v>
      </c>
      <c r="F23" s="25">
        <v>4.25</v>
      </c>
      <c r="G23" s="29">
        <f t="shared" si="0"/>
        <v>0.85</v>
      </c>
      <c r="H23" s="30" t="str">
        <f t="shared" si="1"/>
        <v>جيد جداً</v>
      </c>
      <c r="I23" s="50"/>
      <c r="J23" s="51"/>
    </row>
    <row r="24" spans="1:10" ht="30" customHeight="1" x14ac:dyDescent="0.2">
      <c r="A24" s="9"/>
      <c r="B24" s="39" t="s">
        <v>196</v>
      </c>
      <c r="C24" s="40"/>
      <c r="D24" s="40"/>
      <c r="E24" s="31">
        <v>5</v>
      </c>
      <c r="F24" s="25">
        <v>4.25</v>
      </c>
      <c r="G24" s="29">
        <f t="shared" si="0"/>
        <v>0.85</v>
      </c>
      <c r="H24" s="30" t="str">
        <f t="shared" si="1"/>
        <v>جيد جداً</v>
      </c>
      <c r="I24" s="50"/>
      <c r="J24" s="51"/>
    </row>
    <row r="25" spans="1:10" ht="39.950000000000003" customHeight="1" thickBot="1" x14ac:dyDescent="0.25">
      <c r="A25" s="9"/>
      <c r="B25" s="41" t="s">
        <v>197</v>
      </c>
      <c r="C25" s="42"/>
      <c r="D25" s="42"/>
      <c r="E25" s="36">
        <v>5</v>
      </c>
      <c r="F25" s="26">
        <v>3.75</v>
      </c>
      <c r="G25" s="37">
        <f t="shared" si="0"/>
        <v>0.75</v>
      </c>
      <c r="H25" s="38" t="str">
        <f t="shared" si="1"/>
        <v>جيد</v>
      </c>
      <c r="I25" s="57"/>
      <c r="J25" s="58"/>
    </row>
    <row r="26" spans="1:10" ht="30" customHeight="1" x14ac:dyDescent="0.2">
      <c r="A26" s="9"/>
      <c r="B26" s="43" t="s">
        <v>198</v>
      </c>
      <c r="C26" s="44"/>
      <c r="D26" s="44"/>
      <c r="E26" s="44"/>
      <c r="F26" s="44"/>
      <c r="G26" s="44"/>
      <c r="H26" s="44"/>
      <c r="I26" s="44"/>
      <c r="J26" s="45"/>
    </row>
    <row r="27" spans="1:10" ht="39.950000000000003" customHeight="1" x14ac:dyDescent="0.2">
      <c r="A27" s="9"/>
      <c r="B27" s="39" t="s">
        <v>199</v>
      </c>
      <c r="C27" s="40"/>
      <c r="D27" s="40"/>
      <c r="E27" s="31">
        <v>5</v>
      </c>
      <c r="F27" s="25">
        <v>3.75</v>
      </c>
      <c r="G27" s="29">
        <f t="shared" si="0"/>
        <v>0.75</v>
      </c>
      <c r="H27" s="30" t="str">
        <f t="shared" si="1"/>
        <v>جيد</v>
      </c>
      <c r="I27" s="50"/>
      <c r="J27" s="51"/>
    </row>
    <row r="28" spans="1:10" ht="39.950000000000003" customHeight="1" x14ac:dyDescent="0.2">
      <c r="A28" s="9"/>
      <c r="B28" s="39" t="s">
        <v>200</v>
      </c>
      <c r="C28" s="40"/>
      <c r="D28" s="40"/>
      <c r="E28" s="31">
        <v>5</v>
      </c>
      <c r="F28" s="25">
        <v>3.75</v>
      </c>
      <c r="G28" s="29">
        <f t="shared" si="0"/>
        <v>0.75</v>
      </c>
      <c r="H28" s="30" t="str">
        <f t="shared" si="1"/>
        <v>جيد</v>
      </c>
      <c r="I28" s="50"/>
      <c r="J28" s="51"/>
    </row>
    <row r="29" spans="1:10" ht="39.950000000000003" customHeight="1" x14ac:dyDescent="0.2">
      <c r="A29" s="9"/>
      <c r="B29" s="39" t="s">
        <v>201</v>
      </c>
      <c r="C29" s="40"/>
      <c r="D29" s="40"/>
      <c r="E29" s="31">
        <v>5</v>
      </c>
      <c r="F29" s="25">
        <v>3.75</v>
      </c>
      <c r="G29" s="29">
        <f t="shared" si="0"/>
        <v>0.75</v>
      </c>
      <c r="H29" s="30" t="str">
        <f t="shared" si="1"/>
        <v>جيد</v>
      </c>
      <c r="I29" s="50"/>
      <c r="J29" s="51"/>
    </row>
    <row r="30" spans="1:10" ht="39.950000000000003" customHeight="1" x14ac:dyDescent="0.2">
      <c r="A30" s="9"/>
      <c r="B30" s="39" t="s">
        <v>202</v>
      </c>
      <c r="C30" s="40"/>
      <c r="D30" s="40"/>
      <c r="E30" s="31">
        <v>5</v>
      </c>
      <c r="F30" s="25">
        <v>3.75</v>
      </c>
      <c r="G30" s="29">
        <f t="shared" si="0"/>
        <v>0.75</v>
      </c>
      <c r="H30" s="30" t="str">
        <f t="shared" si="1"/>
        <v>جيد</v>
      </c>
      <c r="I30" s="50"/>
      <c r="J30" s="51"/>
    </row>
    <row r="31" spans="1:10" ht="30" customHeight="1" x14ac:dyDescent="0.2">
      <c r="A31" s="9"/>
      <c r="B31" s="39" t="s">
        <v>203</v>
      </c>
      <c r="C31" s="40"/>
      <c r="D31" s="40"/>
      <c r="E31" s="31">
        <v>5</v>
      </c>
      <c r="F31" s="25">
        <v>3.75</v>
      </c>
      <c r="G31" s="29">
        <f t="shared" si="0"/>
        <v>0.75</v>
      </c>
      <c r="H31" s="30" t="str">
        <f t="shared" si="1"/>
        <v>جيد</v>
      </c>
      <c r="I31" s="50"/>
      <c r="J31" s="51"/>
    </row>
    <row r="32" spans="1:10" ht="39.950000000000003" customHeight="1" thickBot="1" x14ac:dyDescent="0.25">
      <c r="A32" s="9"/>
      <c r="B32" s="41" t="s">
        <v>204</v>
      </c>
      <c r="C32" s="42"/>
      <c r="D32" s="42"/>
      <c r="E32" s="36">
        <v>5</v>
      </c>
      <c r="F32" s="26">
        <v>3.75</v>
      </c>
      <c r="G32" s="37">
        <f t="shared" si="0"/>
        <v>0.75</v>
      </c>
      <c r="H32" s="38" t="str">
        <f t="shared" si="1"/>
        <v>جيد</v>
      </c>
      <c r="I32" s="57"/>
      <c r="J32" s="58"/>
    </row>
    <row r="33" spans="1:10" ht="30" customHeight="1" thickBot="1" x14ac:dyDescent="0.25">
      <c r="A33" s="4"/>
      <c r="B33" s="82" t="s">
        <v>5</v>
      </c>
      <c r="C33" s="83"/>
      <c r="D33" s="83"/>
      <c r="E33" s="28">
        <f>SUM(E8:E32)</f>
        <v>100</v>
      </c>
      <c r="F33" s="28">
        <f>SUM(F8:F32)</f>
        <v>77</v>
      </c>
      <c r="G33" s="54"/>
      <c r="H33" s="55"/>
      <c r="I33" s="55"/>
      <c r="J33" s="56"/>
    </row>
    <row r="34" spans="1:10" ht="30" customHeight="1" thickBot="1" x14ac:dyDescent="0.25">
      <c r="A34" s="4"/>
      <c r="B34" s="84" t="s">
        <v>54</v>
      </c>
      <c r="C34" s="85"/>
      <c r="D34" s="85"/>
      <c r="E34" s="66">
        <f>F33/E33/100*100</f>
        <v>0.77</v>
      </c>
      <c r="F34" s="66"/>
      <c r="G34" s="66"/>
      <c r="H34" s="66"/>
      <c r="I34" s="66"/>
      <c r="J34" s="67"/>
    </row>
    <row r="35" spans="1:10" ht="30" customHeight="1" thickBot="1" x14ac:dyDescent="0.25">
      <c r="A35" s="4"/>
      <c r="B35" s="84" t="s">
        <v>55</v>
      </c>
      <c r="C35" s="85"/>
      <c r="D35" s="85"/>
      <c r="E35" s="80" t="str">
        <f>_xlfn.IFS(E34&gt;=90%,"ممتاز",E34&gt;=80%,"جيد جداً",E34&gt;=70%,"جيد",E34&gt;=60%,"مقبول",E34&lt;60%,"راسب")</f>
        <v>جيد</v>
      </c>
      <c r="F35" s="80"/>
      <c r="G35" s="80"/>
      <c r="H35" s="80"/>
      <c r="I35" s="80"/>
      <c r="J35" s="81"/>
    </row>
    <row r="36" spans="1:10" ht="42" customHeight="1" x14ac:dyDescent="0.2">
      <c r="B36" s="76" t="s">
        <v>174</v>
      </c>
      <c r="C36" s="76"/>
      <c r="D36" s="76"/>
      <c r="E36" s="52" t="s">
        <v>52</v>
      </c>
      <c r="F36" s="52"/>
      <c r="G36" s="78" t="s">
        <v>113</v>
      </c>
      <c r="H36" s="78"/>
      <c r="I36" s="78"/>
      <c r="J36" s="78"/>
    </row>
    <row r="37" spans="1:10" ht="51" customHeight="1" x14ac:dyDescent="0.2">
      <c r="A37" s="5"/>
      <c r="B37" s="77"/>
      <c r="C37" s="77"/>
      <c r="D37" s="77"/>
      <c r="E37" s="53" t="s">
        <v>53</v>
      </c>
      <c r="F37" s="53"/>
      <c r="G37" s="79"/>
      <c r="H37" s="79"/>
      <c r="I37" s="79"/>
      <c r="J37" s="7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9">
    <mergeCell ref="B36:D37"/>
    <mergeCell ref="G36:J36"/>
    <mergeCell ref="G37:J37"/>
    <mergeCell ref="E35:J35"/>
    <mergeCell ref="I32:J32"/>
    <mergeCell ref="B33:D33"/>
    <mergeCell ref="B34:D34"/>
    <mergeCell ref="B35:D35"/>
    <mergeCell ref="B7:D7"/>
    <mergeCell ref="I30:J30"/>
    <mergeCell ref="I31:J31"/>
    <mergeCell ref="E5:H5"/>
    <mergeCell ref="I5:J6"/>
    <mergeCell ref="I7:J7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B1:J1"/>
    <mergeCell ref="F2:J2"/>
    <mergeCell ref="B5:D6"/>
    <mergeCell ref="C2:D2"/>
    <mergeCell ref="C3:D3"/>
    <mergeCell ref="F3:J3"/>
    <mergeCell ref="E36:F36"/>
    <mergeCell ref="E37:F37"/>
    <mergeCell ref="G33:J33"/>
    <mergeCell ref="I19:J19"/>
    <mergeCell ref="I20:J20"/>
    <mergeCell ref="I21:J21"/>
    <mergeCell ref="I22:J22"/>
    <mergeCell ref="I23:J23"/>
    <mergeCell ref="I24:J24"/>
    <mergeCell ref="I25:J25"/>
    <mergeCell ref="I27:J27"/>
    <mergeCell ref="E34:J34"/>
    <mergeCell ref="I29:J29"/>
    <mergeCell ref="B13:D13"/>
    <mergeCell ref="B14:D14"/>
    <mergeCell ref="B15:D15"/>
    <mergeCell ref="B16:D16"/>
    <mergeCell ref="I9:J9"/>
    <mergeCell ref="B32:D32"/>
    <mergeCell ref="B26:J26"/>
    <mergeCell ref="B8:J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9:D9"/>
    <mergeCell ref="B10:D10"/>
    <mergeCell ref="B11:D11"/>
    <mergeCell ref="B12:D12"/>
    <mergeCell ref="B27:D27"/>
    <mergeCell ref="B28:D28"/>
    <mergeCell ref="B29:D29"/>
    <mergeCell ref="B30:D30"/>
    <mergeCell ref="B31:D31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5">
    <cfRule type="expression" dxfId="21" priority="57">
      <formula>$E35="راسب"</formula>
    </cfRule>
  </conditionalFormatting>
  <conditionalFormatting sqref="E35:J35">
    <cfRule type="expression" dxfId="20" priority="60">
      <formula>$E35="جيد جداً"</formula>
    </cfRule>
    <cfRule type="expression" dxfId="19" priority="59">
      <formula>$E35="جيد"</formula>
    </cfRule>
    <cfRule type="expression" dxfId="18" priority="58">
      <formula>$E35="مقبول"</formula>
    </cfRule>
    <cfRule type="expression" dxfId="17" priority="61">
      <formula>$E35="ممتاز"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2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6:J36">
    <cfRule type="containsText" dxfId="12" priority="15" operator="containsText" text="أدخل اسم المحكم">
      <formula>NOT(ISERROR(SEARCH("أدخل اسم المحكم",G36)))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2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F27:F32 F20:F25 F11:F17 F9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G36:J36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134" sqref="A13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45931</v>
      </c>
    </row>
    <row r="40" spans="1:9" ht="20.100000000000001" customHeight="1" thickBot="1" x14ac:dyDescent="0.3">
      <c r="A40" s="12">
        <v>45932</v>
      </c>
    </row>
    <row r="41" spans="1:9" ht="20.100000000000001" customHeight="1" thickBot="1" x14ac:dyDescent="0.3">
      <c r="A41" s="12">
        <v>45933</v>
      </c>
    </row>
    <row r="42" spans="1:9" ht="20.100000000000001" customHeight="1" thickBot="1" x14ac:dyDescent="0.3">
      <c r="A42" s="12">
        <v>45934</v>
      </c>
    </row>
    <row r="43" spans="1:9" ht="20.100000000000001" customHeight="1" thickBot="1" x14ac:dyDescent="0.3">
      <c r="A43" s="12">
        <v>45935</v>
      </c>
    </row>
    <row r="44" spans="1:9" ht="20.100000000000001" customHeight="1" thickBot="1" x14ac:dyDescent="0.3">
      <c r="A44" s="12">
        <v>45936</v>
      </c>
    </row>
    <row r="45" spans="1:9" ht="20.100000000000001" customHeight="1" thickBot="1" x14ac:dyDescent="0.3">
      <c r="A45" s="12">
        <v>45937</v>
      </c>
    </row>
    <row r="46" spans="1:9" ht="20.100000000000001" customHeight="1" thickBot="1" x14ac:dyDescent="0.3">
      <c r="A46" s="12">
        <v>45938</v>
      </c>
    </row>
    <row r="47" spans="1:9" ht="20.100000000000001" customHeight="1" thickBot="1" x14ac:dyDescent="0.3">
      <c r="A47" s="12">
        <v>45939</v>
      </c>
    </row>
    <row r="48" spans="1:9" ht="20.100000000000001" customHeight="1" thickBot="1" x14ac:dyDescent="0.3">
      <c r="A48" s="12">
        <v>45940</v>
      </c>
    </row>
    <row r="49" spans="1:1" ht="20.100000000000001" customHeight="1" thickBot="1" x14ac:dyDescent="0.3">
      <c r="A49" s="12">
        <v>45941</v>
      </c>
    </row>
    <row r="50" spans="1:1" ht="20.100000000000001" customHeight="1" thickBot="1" x14ac:dyDescent="0.3">
      <c r="A50" s="12">
        <v>45942</v>
      </c>
    </row>
    <row r="51" spans="1:1" ht="20.100000000000001" customHeight="1" thickBot="1" x14ac:dyDescent="0.3">
      <c r="A51" s="12">
        <v>45943</v>
      </c>
    </row>
    <row r="52" spans="1:1" ht="20.100000000000001" customHeight="1" thickBot="1" x14ac:dyDescent="0.3">
      <c r="A52" s="12">
        <v>45944</v>
      </c>
    </row>
    <row r="53" spans="1:1" ht="20.100000000000001" customHeight="1" thickBot="1" x14ac:dyDescent="0.3">
      <c r="A53" s="12">
        <v>45945</v>
      </c>
    </row>
    <row r="54" spans="1:1" ht="20.100000000000001" customHeight="1" thickBot="1" x14ac:dyDescent="0.3">
      <c r="A54" s="12">
        <v>45946</v>
      </c>
    </row>
    <row r="55" spans="1:1" ht="20.100000000000001" customHeight="1" thickBot="1" x14ac:dyDescent="0.3">
      <c r="A55" s="12">
        <v>45947</v>
      </c>
    </row>
    <row r="56" spans="1:1" ht="20.100000000000001" customHeight="1" thickBot="1" x14ac:dyDescent="0.3">
      <c r="A56" s="12">
        <v>45948</v>
      </c>
    </row>
    <row r="57" spans="1:1" ht="20.100000000000001" customHeight="1" thickBot="1" x14ac:dyDescent="0.3">
      <c r="A57" s="12">
        <v>45949</v>
      </c>
    </row>
    <row r="58" spans="1:1" ht="20.100000000000001" customHeight="1" thickBot="1" x14ac:dyDescent="0.3">
      <c r="A58" s="12">
        <v>45950</v>
      </c>
    </row>
    <row r="59" spans="1:1" ht="20.100000000000001" customHeight="1" thickBot="1" x14ac:dyDescent="0.3">
      <c r="A59" s="12">
        <v>45951</v>
      </c>
    </row>
    <row r="60" spans="1:1" ht="20.100000000000001" customHeight="1" thickBot="1" x14ac:dyDescent="0.3">
      <c r="A60" s="12">
        <v>45952</v>
      </c>
    </row>
    <row r="61" spans="1:1" ht="20.100000000000001" customHeight="1" thickBot="1" x14ac:dyDescent="0.3">
      <c r="A61" s="12">
        <v>45953</v>
      </c>
    </row>
    <row r="62" spans="1:1" ht="20.100000000000001" customHeight="1" thickBot="1" x14ac:dyDescent="0.3">
      <c r="A62" s="12">
        <v>45954</v>
      </c>
    </row>
    <row r="63" spans="1:1" ht="20.100000000000001" customHeight="1" thickBot="1" x14ac:dyDescent="0.3">
      <c r="A63" s="12">
        <v>45955</v>
      </c>
    </row>
    <row r="64" spans="1:1" ht="20.100000000000001" customHeight="1" thickBot="1" x14ac:dyDescent="0.3">
      <c r="A64" s="12">
        <v>45956</v>
      </c>
    </row>
    <row r="65" spans="1:1" ht="20.100000000000001" customHeight="1" thickBot="1" x14ac:dyDescent="0.3">
      <c r="A65" s="12">
        <v>45957</v>
      </c>
    </row>
    <row r="66" spans="1:1" ht="20.100000000000001" customHeight="1" thickBot="1" x14ac:dyDescent="0.3">
      <c r="A66" s="12">
        <v>45958</v>
      </c>
    </row>
    <row r="67" spans="1:1" ht="20.100000000000001" customHeight="1" thickBot="1" x14ac:dyDescent="0.3">
      <c r="A67" s="12">
        <v>45959</v>
      </c>
    </row>
    <row r="68" spans="1:1" ht="20.100000000000001" customHeight="1" thickBot="1" x14ac:dyDescent="0.3">
      <c r="A68" s="12">
        <v>45960</v>
      </c>
    </row>
    <row r="69" spans="1:1" ht="20.100000000000001" customHeight="1" thickBot="1" x14ac:dyDescent="0.3">
      <c r="A69" s="12">
        <v>45961</v>
      </c>
    </row>
    <row r="70" spans="1:1" ht="20.100000000000001" customHeight="1" thickBot="1" x14ac:dyDescent="0.25">
      <c r="A70" s="12"/>
    </row>
    <row r="71" spans="1:1" ht="20.100000000000001" customHeight="1" thickBot="1" x14ac:dyDescent="0.25">
      <c r="A71" s="12"/>
    </row>
    <row r="72" spans="1:1" ht="20.100000000000001" customHeight="1" thickBot="1" x14ac:dyDescent="0.25">
      <c r="A72" s="12"/>
    </row>
    <row r="73" spans="1:1" ht="20.100000000000001" customHeight="1" thickBot="1" x14ac:dyDescent="0.25">
      <c r="A73" s="12"/>
    </row>
    <row r="74" spans="1:1" ht="20.100000000000001" customHeight="1" thickBot="1" x14ac:dyDescent="0.25">
      <c r="A74" s="12"/>
    </row>
    <row r="75" spans="1:1" ht="20.100000000000001" customHeight="1" thickBot="1" x14ac:dyDescent="0.25">
      <c r="A75" s="12"/>
    </row>
    <row r="76" spans="1:1" ht="20.100000000000001" customHeight="1" thickBot="1" x14ac:dyDescent="0.25">
      <c r="A76" s="12"/>
    </row>
    <row r="77" spans="1:1" ht="20.100000000000001" customHeight="1" thickBot="1" x14ac:dyDescent="0.25">
      <c r="A77" s="12"/>
    </row>
    <row r="78" spans="1:1" ht="20.100000000000001" customHeight="1" thickBot="1" x14ac:dyDescent="0.25">
      <c r="A78" s="12"/>
    </row>
    <row r="79" spans="1:1" ht="20.100000000000001" customHeight="1" thickBot="1" x14ac:dyDescent="0.25">
      <c r="A79" s="12"/>
    </row>
    <row r="80" spans="1:1" ht="20.100000000000001" customHeight="1" thickBot="1" x14ac:dyDescent="0.25">
      <c r="A80" s="12"/>
    </row>
    <row r="81" spans="1:1" ht="20.100000000000001" customHeight="1" thickBot="1" x14ac:dyDescent="0.25">
      <c r="A81" s="12"/>
    </row>
    <row r="82" spans="1:1" ht="20.100000000000001" customHeight="1" thickBot="1" x14ac:dyDescent="0.25">
      <c r="A82" s="12"/>
    </row>
    <row r="83" spans="1:1" ht="20.100000000000001" customHeight="1" thickBot="1" x14ac:dyDescent="0.25">
      <c r="A83" s="12"/>
    </row>
    <row r="84" spans="1:1" ht="20.100000000000001" customHeight="1" thickBot="1" x14ac:dyDescent="0.25">
      <c r="A84" s="12"/>
    </row>
    <row r="85" spans="1:1" ht="20.100000000000001" customHeight="1" thickBot="1" x14ac:dyDescent="0.25">
      <c r="A85" s="12"/>
    </row>
    <row r="86" spans="1:1" ht="20.100000000000001" customHeight="1" thickBot="1" x14ac:dyDescent="0.25">
      <c r="A86" s="12"/>
    </row>
    <row r="87" spans="1:1" ht="20.100000000000001" customHeight="1" thickBot="1" x14ac:dyDescent="0.25">
      <c r="A87" s="12"/>
    </row>
    <row r="88" spans="1:1" ht="20.100000000000001" customHeight="1" thickBot="1" x14ac:dyDescent="0.25">
      <c r="A88" s="12"/>
    </row>
    <row r="89" spans="1:1" ht="20.100000000000001" customHeight="1" thickBot="1" x14ac:dyDescent="0.25">
      <c r="A89" s="12"/>
    </row>
    <row r="90" spans="1:1" ht="20.100000000000001" customHeight="1" thickBot="1" x14ac:dyDescent="0.25">
      <c r="A90" s="12"/>
    </row>
    <row r="91" spans="1:1" ht="20.100000000000001" customHeight="1" thickBot="1" x14ac:dyDescent="0.25">
      <c r="A91" s="12"/>
    </row>
    <row r="92" spans="1:1" ht="20.100000000000001" customHeight="1" thickBot="1" x14ac:dyDescent="0.25">
      <c r="A92" s="12"/>
    </row>
    <row r="93" spans="1:1" ht="20.100000000000001" customHeight="1" thickBot="1" x14ac:dyDescent="0.25">
      <c r="A93" s="12"/>
    </row>
    <row r="94" spans="1:1" ht="20.100000000000001" customHeight="1" thickBot="1" x14ac:dyDescent="0.25">
      <c r="A94" s="12"/>
    </row>
    <row r="95" spans="1:1" ht="20.100000000000001" customHeight="1" thickBot="1" x14ac:dyDescent="0.25">
      <c r="A95" s="12"/>
    </row>
    <row r="96" spans="1:1" ht="20.100000000000001" customHeight="1" thickBot="1" x14ac:dyDescent="0.25">
      <c r="A96" s="12"/>
    </row>
    <row r="97" spans="1:9" ht="20.100000000000001" customHeight="1" thickBot="1" x14ac:dyDescent="0.25">
      <c r="A97" s="12"/>
    </row>
    <row r="98" spans="1:9" ht="20.100000000000001" customHeight="1" thickBot="1" x14ac:dyDescent="0.25">
      <c r="A98" s="12"/>
    </row>
    <row r="99" spans="1:9" ht="20.100000000000001" customHeight="1" thickBot="1" x14ac:dyDescent="0.25">
      <c r="A99" s="12"/>
    </row>
    <row r="100" spans="1:9" ht="20.100000000000001" customHeight="1" thickBot="1" x14ac:dyDescent="0.25">
      <c r="A100" s="12"/>
    </row>
    <row r="101" spans="1:9" ht="20.100000000000001" customHeight="1" thickBot="1" x14ac:dyDescent="0.25">
      <c r="A101" s="12"/>
    </row>
    <row r="102" spans="1:9" ht="20.100000000000001" customHeight="1" thickBot="1" x14ac:dyDescent="0.25">
      <c r="A102" s="12"/>
    </row>
    <row r="103" spans="1:9" ht="20.100000000000001" customHeight="1" thickBot="1" x14ac:dyDescent="0.25">
      <c r="A103" s="12"/>
    </row>
    <row r="104" spans="1:9" ht="20.100000000000001" customHeight="1" thickBot="1" x14ac:dyDescent="0.25">
      <c r="A104" s="12"/>
    </row>
    <row r="105" spans="1:9" ht="20.100000000000001" customHeight="1" thickBot="1" x14ac:dyDescent="0.25">
      <c r="A105" s="12"/>
    </row>
    <row r="106" spans="1:9" ht="20.100000000000001" customHeight="1" thickBot="1" x14ac:dyDescent="0.25">
      <c r="A106" s="12"/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2025-10-22T07:13:41Z</dcterms:modified>
</cp:coreProperties>
</file>