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322786E-3C82-4254-A7C3-F6BE7E85FD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2" i="2"/>
  <c r="H12" i="2"/>
  <c r="G13" i="2"/>
  <c r="H13" i="2"/>
  <c r="G14" i="2"/>
  <c r="H14" i="2"/>
  <c r="G15" i="2"/>
  <c r="H15" i="2" s="1"/>
  <c r="G16" i="2"/>
  <c r="H16" i="2"/>
  <c r="G17" i="2"/>
  <c r="H17" i="2" s="1"/>
  <c r="G18" i="2"/>
  <c r="H18" i="2" s="1"/>
  <c r="G19" i="2"/>
  <c r="H19" i="2" s="1"/>
  <c r="G21" i="2"/>
  <c r="H21" i="2"/>
  <c r="G22" i="2"/>
  <c r="H22" i="2"/>
  <c r="G23" i="2"/>
  <c r="H23" i="2" s="1"/>
  <c r="G24" i="2"/>
  <c r="H24" i="2"/>
  <c r="G25" i="2"/>
  <c r="H25" i="2" s="1"/>
  <c r="G26" i="2"/>
  <c r="H26" i="2"/>
  <c r="G27" i="2"/>
  <c r="H27" i="2"/>
  <c r="G28" i="2"/>
  <c r="H28" i="2" s="1"/>
  <c r="G29" i="2"/>
  <c r="H29" i="2" s="1"/>
  <c r="G30" i="2"/>
  <c r="H30" i="2" s="1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/>
  <c r="G46" i="2"/>
  <c r="H46" i="2"/>
  <c r="G47" i="2"/>
  <c r="H47" i="2"/>
  <c r="G48" i="2"/>
  <c r="H48" i="2" s="1"/>
  <c r="G50" i="2"/>
  <c r="H50" i="2"/>
  <c r="G51" i="2"/>
  <c r="H51" i="2"/>
  <c r="G52" i="2"/>
  <c r="H52" i="2"/>
  <c r="G53" i="2"/>
  <c r="H53" i="2" s="1"/>
  <c r="G54" i="2"/>
  <c r="H54" i="2" s="1"/>
  <c r="G8" i="2"/>
  <c r="H8" i="2"/>
  <c r="F55" i="2"/>
  <c r="E56" i="2" s="1"/>
  <c r="E57" i="2" s="1"/>
  <c r="E55" i="2"/>
</calcChain>
</file>

<file path=xl/sharedStrings.xml><?xml version="1.0" encoding="utf-8"?>
<sst xmlns="http://schemas.openxmlformats.org/spreadsheetml/2006/main" count="284" uniqueCount="228">
  <si>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</si>
  <si>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</si>
  <si>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</si>
  <si>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</si>
  <si>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</si>
  <si>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</si>
  <si>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</si>
  <si>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</si>
  <si>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</si>
  <si>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</si>
  <si>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</si>
  <si>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</si>
  <si>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</si>
  <si>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</si>
  <si>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</si>
  <si>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</si>
  <si>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</si>
  <si>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</si>
  <si>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</si>
  <si>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</si>
  <si>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</si>
  <si>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</si>
  <si>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</si>
  <si>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</si>
  <si>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</si>
  <si>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</si>
  <si>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</si>
  <si>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</si>
  <si>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</si>
  <si>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</si>
  <si>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</si>
  <si>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</si>
  <si>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</si>
  <si>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</si>
  <si>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</si>
  <si>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</si>
  <si>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</si>
  <si>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</si>
  <si>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</si>
  <si>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</si>
  <si>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</si>
  <si>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</si>
  <si>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</si>
  <si>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</si>
  <si>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</si>
  <si>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</si>
  <si>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</si>
  <si>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</si>
  <si>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</si>
  <si>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</si>
  <si>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</si>
  <si>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</si>
  <si>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</si>
  <si>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</si>
  <si>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</si>
  <si>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</si>
  <si>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</si>
  <si>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</si>
  <si>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</si>
  <si>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</si>
  <si>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</si>
  <si>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</si>
  <si>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</si>
  <si>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</si>
  <si>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</si>
  <si>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</si>
  <si>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</si>
  <si>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</si>
  <si>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</si>
  <si>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</si>
  <si>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</si>
  <si>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</si>
  <si>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</si>
  <si>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</si>
  <si>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</si>
  <si>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</si>
  <si>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</si>
  <si>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</si>
  <si>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</si>
  <si>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</si>
  <si>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</si>
  <si>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</si>
  <si>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</si>
  <si>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</si>
  <si>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</si>
  <si>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</si>
  <si>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</si>
  <si>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</si>
  <si>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</si>
  <si>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</si>
  <si>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</si>
  <si>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</si>
  <si>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</si>
  <si>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</si>
  <si>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</si>
  <si>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</si>
  <si>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</si>
  <si>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</si>
  <si>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</si>
  <si>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</si>
  <si>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</si>
  <si>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</si>
  <si>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</si>
  <si>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</si>
  <si>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</si>
  <si>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</si>
  <si>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</si>
  <si>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</si>
  <si>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</si>
  <si>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</si>
  <si>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</si>
  <si>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</si>
  <si>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</si>
  <si>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</si>
  <si>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</si>
  <si>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</si>
  <si>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</si>
  <si>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</si>
  <si>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</si>
  <si>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</si>
  <si>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</si>
  <si>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</si>
  <si>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</si>
  <si>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</si>
  <si>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</si>
  <si>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</si>
  <si>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</si>
  <si>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</si>
  <si>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</si>
  <si>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</si>
  <si>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</si>
  <si>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</si>
  <si>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</si>
  <si>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</si>
  <si>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</si>
  <si>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</si>
  <si>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</si>
  <si>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</si>
  <si>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</si>
  <si>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</si>
  <si>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</si>
  <si>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</si>
  <si>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</si>
  <si>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</si>
  <si>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</si>
  <si>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</si>
  <si>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</si>
  <si>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</si>
  <si>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</si>
  <si>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</si>
  <si>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</si>
  <si>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</si>
  <si>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</si>
  <si>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</si>
  <si>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</si>
  <si>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</si>
  <si>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</si>
  <si>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</si>
  <si>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</si>
  <si>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</si>
  <si>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</si>
  <si>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</si>
  <si>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</si>
  <si>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</si>
  <si>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</si>
  <si>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</si>
  <si>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</si>
  <si>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</si>
  <si>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</si>
  <si>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</si>
  <si>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</si>
  <si>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</si>
  <si>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</si>
  <si>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</si>
  <si>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</si>
  <si>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</si>
  <si>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</si>
  <si>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</si>
  <si>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</si>
  <si>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الصيانة في التنقل التعبوي من منطقة الحشد إلى منطقة التجمع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</si>
  <si>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تهيئه وتحضير القوة للحركة وإصدار امر التنقل.</t>
    </r>
  </si>
  <si>
    <r>
      <t xml:space="preserve">أ.   </t>
    </r>
    <r>
      <rPr>
        <b/>
        <u/>
        <sz val="12"/>
        <color rgb="FF000000"/>
        <rFont val="Arial"/>
        <family val="2"/>
      </rPr>
      <t>التخطيط</t>
    </r>
    <r>
      <rPr>
        <sz val="12"/>
        <color rgb="FF000000"/>
        <rFont val="Arial"/>
        <family val="2"/>
      </rPr>
      <t>.</t>
    </r>
  </si>
  <si>
    <r>
      <t>(1)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خطة الاخلاء والإنقاذ والإصلاح للآليات.</t>
    </r>
  </si>
  <si>
    <r>
      <t xml:space="preserve">ب. </t>
    </r>
    <r>
      <rPr>
        <b/>
        <u/>
        <sz val="12"/>
        <color rgb="FF000000"/>
        <rFont val="Arial"/>
        <family val="2"/>
      </rPr>
      <t>أمر التنقل</t>
    </r>
    <r>
      <rPr>
        <sz val="12"/>
        <color rgb="FF000000"/>
        <rFont val="Arial"/>
        <family val="2"/>
      </rPr>
      <t>.</t>
    </r>
  </si>
  <si>
    <t>(1)   خط المسير التعبوي ونقاط التفقد.</t>
  </si>
  <si>
    <t>(2)   خط المسير البديل.</t>
  </si>
  <si>
    <t>(3)   موقع نقطة التجمع عند الوصول.</t>
  </si>
  <si>
    <t>(4)   توقيتات الحركة.</t>
  </si>
  <si>
    <t>(5)   تنظيم القافلة.</t>
  </si>
  <si>
    <t>(6)   سرعة القافلة.</t>
  </si>
  <si>
    <t>(7)   المسافات الفاصلة بين الآليات.</t>
  </si>
  <si>
    <t>(8)   الإمداد / التوقف للاستراحة.</t>
  </si>
  <si>
    <r>
      <t xml:space="preserve">جـ. </t>
    </r>
    <r>
      <rPr>
        <b/>
        <u/>
        <sz val="12"/>
        <color rgb="FF000000"/>
        <rFont val="Arial"/>
        <family val="2"/>
      </rPr>
      <t>الجسم الرئيسي للقافلة</t>
    </r>
    <r>
      <rPr>
        <sz val="12"/>
        <color rgb="FF000000"/>
        <rFont val="Arial"/>
        <family val="2"/>
      </rPr>
      <t>.</t>
    </r>
  </si>
  <si>
    <t>(1)   تجهيز الأفراد والمعدات للحركة.</t>
  </si>
  <si>
    <t>(2)   تجهيز الخرائط والأوامر للحركة وتفقدات ما قبل القتال من قبل الضباط.</t>
  </si>
  <si>
    <t>(3)   إصدار الأوامر والخرائط والشفافات وتدريب الوحدة عليها.</t>
  </si>
  <si>
    <t>(4)   توفر عدد (2) آلية إنقاذ (ب).</t>
  </si>
  <si>
    <t>(5)   تفقد أجهزة اللاسلكي.</t>
  </si>
  <si>
    <t>(6)   توفر منظومة القيادة والسيطرة (C4I).</t>
  </si>
  <si>
    <t>(7)   الحركة إلى منطقة الاستعداد.</t>
  </si>
  <si>
    <t>(8)   استكمال الطاقم الفني المؤهل بالنسبة لعدد الآليات.</t>
  </si>
  <si>
    <t>(9)   توفر الأسلحة الشخصية والخوذة والبيكات.</t>
  </si>
  <si>
    <r>
      <t>(10)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تواجد معدات فنية للطاقم الفني.</t>
    </r>
  </si>
  <si>
    <r>
      <t>(11)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آليات مستودع قطع غيار.</t>
    </r>
  </si>
  <si>
    <r>
      <t>(12)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آليات الورشة.</t>
    </r>
  </si>
  <si>
    <r>
      <t>(13)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آلية الخيمة الخاصة بالصيانة.</t>
    </r>
  </si>
  <si>
    <r>
      <t>(14)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عدد (5) آليات انقاذ لوكليرك.</t>
    </r>
  </si>
  <si>
    <r>
      <t>(15)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عدد (5) آليات انقاذ بي ام بي.</t>
    </r>
  </si>
  <si>
    <r>
      <t xml:space="preserve">د.   </t>
    </r>
    <r>
      <rPr>
        <b/>
        <u/>
        <sz val="12"/>
        <color rgb="FF000000"/>
        <rFont val="Arial"/>
        <family val="2"/>
      </rPr>
      <t>توفر قطع غيار للخط الأول والخط الثاني</t>
    </r>
    <r>
      <rPr>
        <sz val="12"/>
        <color rgb="FF000000"/>
        <rFont val="Arial"/>
        <family val="2"/>
      </rPr>
      <t>.</t>
    </r>
  </si>
  <si>
    <t>(1)   توفر فصيلة الصيانة قطع غيار بنسبة 8% للخط الأول.</t>
  </si>
  <si>
    <t>(2)   توفر سرية الصيانة قطع غيار للخط الأول والثاني بنسبة 17%.</t>
  </si>
  <si>
    <t>(3)   توفر بطاريات.</t>
  </si>
  <si>
    <t>(4)   توفر إطارات.</t>
  </si>
  <si>
    <t>(5)   توفر سفايف ودرامات.</t>
  </si>
  <si>
    <t>(6)   توفر دينمة سلف.</t>
  </si>
  <si>
    <t>(7)   توفر مولد الكهرباء.</t>
  </si>
  <si>
    <t>(8)   توفر منظم الكهرباء.</t>
  </si>
  <si>
    <t>(9)   توفر كل من (سيور – فلاتر – فيوزات).</t>
  </si>
  <si>
    <r>
      <t>(10)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كل من (اكسلات – شيالات – رودات).</t>
    </r>
  </si>
  <si>
    <r>
      <t>(11)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أسطوانات تعبئة غاز المكيف.</t>
    </r>
  </si>
  <si>
    <r>
      <t>(12)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راديترات.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</si>
  <si>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تنفيذ التنقل التعبوي</t>
    </r>
    <r>
      <rPr>
        <b/>
        <sz val="12"/>
        <color rgb="FF000000"/>
        <rFont val="Arial"/>
        <family val="2"/>
      </rPr>
      <t>.</t>
    </r>
  </si>
  <si>
    <t>أ. عبور نقطة البدء على التوقيت المحدد.</t>
  </si>
  <si>
    <t>ب. توفر المناظير الليلية.</t>
  </si>
  <si>
    <t>جـ. الحفاظ على السرعة المحددة.</t>
  </si>
  <si>
    <t>د. الحفاظ على المسافات الفاصلة.</t>
  </si>
  <si>
    <t>هـ. تمركز القائد مناسب لتحقيق أفضل سيطرة على الوحدة.</t>
  </si>
  <si>
    <t>ملاحظـــات: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</si>
</sst>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14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2" fillId="0" borderId="24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12" fillId="0" borderId="24" xfId="0" applyFont="1" applyBorder="1" applyAlignment="1">
      <alignment horizontal="right" vertical="center" wrapText="1" indent="4" readingOrder="2"/>
    </xf>
    <xf numFmtId="0" fontId="12" fillId="0" borderId="3" xfId="0" applyFont="1" applyBorder="1" applyAlignment="1">
      <alignment horizontal="right" vertical="center" wrapText="1" indent="4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4" readingOrder="2"/>
    </xf>
    <xf numFmtId="0" fontId="12" fillId="0" borderId="12" xfId="0" applyFont="1" applyBorder="1" applyAlignment="1">
      <alignment horizontal="right" vertical="center" wrapText="1" indent="4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485375</xdr:colOff>
      <xdr:row>58</xdr:row>
      <xdr:rowOff>353068</xdr:rowOff>
    </xdr:from>
    <xdr:to>
      <xdr:col>7</xdr:col>
      <xdr:colOff>485735</xdr:colOff>
      <xdr:row>58</xdr:row>
      <xdr:rowOff>353428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883C107-5E37-9244-BEB5-9A27185D3794}"/>
                </a:ext>
              </a:extLst>
            </xdr14:cNvPr>
            <xdr14:cNvContentPartPr/>
          </xdr14:nvContentPartPr>
          <xdr14:nvPr macro=""/>
          <xdr14:xfrm>
            <a:off x="10399417265" y="226011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883C107-5E37-9244-BEB5-9A27185D37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411145" y="22595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454775</xdr:colOff>
      <xdr:row>58</xdr:row>
      <xdr:rowOff>283228</xdr:rowOff>
    </xdr:from>
    <xdr:to>
      <xdr:col>7</xdr:col>
      <xdr:colOff>633695</xdr:colOff>
      <xdr:row>58</xdr:row>
      <xdr:rowOff>587428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B0F4122-4ADD-98B4-D165-E0A956A69A7D}"/>
                </a:ext>
              </a:extLst>
            </xdr14:cNvPr>
            <xdr14:cNvContentPartPr/>
          </xdr14:nvContentPartPr>
          <xdr14:nvPr macro=""/>
          <xdr14:xfrm>
            <a:off x="10399269305" y="22531320"/>
            <a:ext cx="178920" cy="304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B0F4122-4ADD-98B4-D165-E0A956A69A7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263185" y="22525200"/>
              <a:ext cx="191160" cy="31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34655</xdr:colOff>
      <xdr:row>58</xdr:row>
      <xdr:rowOff>116188</xdr:rowOff>
    </xdr:from>
    <xdr:to>
      <xdr:col>8</xdr:col>
      <xdr:colOff>352164</xdr:colOff>
      <xdr:row>58</xdr:row>
      <xdr:rowOff>517588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45B77B7-EE7C-4788-F712-8FB5BF912D8B}"/>
                </a:ext>
              </a:extLst>
            </xdr14:cNvPr>
            <xdr14:cNvContentPartPr/>
          </xdr14:nvContentPartPr>
          <xdr14:nvPr macro=""/>
          <xdr14:xfrm>
            <a:off x="10398892745" y="22364280"/>
            <a:ext cx="975600" cy="4014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45B77B7-EE7C-4788-F712-8FB5BF912D8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886625" y="22358160"/>
              <a:ext cx="987840" cy="41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104124</xdr:colOff>
      <xdr:row>58</xdr:row>
      <xdr:rowOff>462148</xdr:rowOff>
    </xdr:from>
    <xdr:to>
      <xdr:col>8</xdr:col>
      <xdr:colOff>197364</xdr:colOff>
      <xdr:row>58</xdr:row>
      <xdr:rowOff>520828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5E25393-A528-9B6C-D899-97217E47CAF3}"/>
                </a:ext>
              </a:extLst>
            </xdr14:cNvPr>
            <xdr14:cNvContentPartPr/>
          </xdr14:nvContentPartPr>
          <xdr14:nvPr macro=""/>
          <xdr14:xfrm>
            <a:off x="10399047545" y="22710240"/>
            <a:ext cx="93240" cy="586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5E25393-A528-9B6C-D899-97217E47CAF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041425" y="22704120"/>
              <a:ext cx="10548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329495</xdr:colOff>
      <xdr:row>58</xdr:row>
      <xdr:rowOff>54268</xdr:rowOff>
    </xdr:from>
    <xdr:to>
      <xdr:col>9</xdr:col>
      <xdr:colOff>295274</xdr:colOff>
      <xdr:row>58</xdr:row>
      <xdr:rowOff>502828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F5241F41-5CC6-EA1A-3428-0B7665C051F5}"/>
                </a:ext>
              </a:extLst>
            </xdr14:cNvPr>
            <xdr14:cNvContentPartPr/>
          </xdr14:nvContentPartPr>
          <xdr14:nvPr macro=""/>
          <xdr14:xfrm>
            <a:off x="10398291545" y="22302360"/>
            <a:ext cx="1281960" cy="4485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5241F41-5CC6-EA1A-3428-0B7665C051F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8285425" y="22296240"/>
              <a:ext cx="1294200" cy="46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441084</xdr:colOff>
      <xdr:row>58</xdr:row>
      <xdr:rowOff>296908</xdr:rowOff>
    </xdr:from>
    <xdr:to>
      <xdr:col>8</xdr:col>
      <xdr:colOff>557364</xdr:colOff>
      <xdr:row>58</xdr:row>
      <xdr:rowOff>396988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97D0529-3210-C4D4-5C51-F6B7D0A56A25}"/>
                </a:ext>
              </a:extLst>
            </xdr14:cNvPr>
            <xdr14:cNvContentPartPr/>
          </xdr14:nvContentPartPr>
          <xdr14:nvPr macro=""/>
          <xdr14:xfrm>
            <a:off x="10398687545" y="22545000"/>
            <a:ext cx="116280" cy="1000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97D0529-3210-C4D4-5C51-F6B7D0A56A2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398681425" y="22538880"/>
              <a:ext cx="12852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547284</xdr:colOff>
      <xdr:row>58</xdr:row>
      <xdr:rowOff>342988</xdr:rowOff>
    </xdr:from>
    <xdr:to>
      <xdr:col>9</xdr:col>
      <xdr:colOff>46514</xdr:colOff>
      <xdr:row>58</xdr:row>
      <xdr:rowOff>447388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29D1F0AF-3FB7-DFC8-9E77-059B40801416}"/>
                </a:ext>
              </a:extLst>
            </xdr14:cNvPr>
            <xdr14:cNvContentPartPr/>
          </xdr14:nvContentPartPr>
          <xdr14:nvPr macro=""/>
          <xdr14:xfrm>
            <a:off x="10398540305" y="22591080"/>
            <a:ext cx="157320" cy="1044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9D1F0AF-3FB7-DFC8-9E77-059B40801416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398534185" y="22584960"/>
              <a:ext cx="169560" cy="116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3T08:12:35.6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1,'0'0,"0"0,0 0,0 0,0 0,0 0,0 0,0 0,0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2:39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474 208 816,'0'0'0,"0"0"0,0-2 296,-2-2-200,-10 1-88,9 1-24,3 2 16,-7 0-32,2 0 0,1 0 24,-1 0 8,5 0 0,-5-2 24,-7 1 24,7 1-16,-7-2 8,12 2-40,-5 0 40,-9 0-24,-1 0 40,3 0 16,12 0-72,-14 0 72,0 0-8,-3 0-24,-3 0 0,20 0-40,-14 0 32,-3 0 48,0-1 80,5-3 152,12 4-312,-12-5 328,8 0 128,-6-8 136,5 1-64,5 12-528,-2-11 601,2-2-161,0 0-256,12 1-112,-12 12-72,5-15-8,11 3-48,1-3 8,0 1 8,-17 14 40,17-11-24,2 5-24,-4-7-8,1 9-32,-16 4 88,15-4-88,-1 0 8,-11 1-80,11 1-41,-14 2 201,2 0-216,6 0-8,-6 0 64,-2 0 24,0 0 136,0 0-112,0 3 48,0 0 8,-2 0 24,2-3 32,-12 4 0,0 0-24,-5 9 32,-5-9-8,22-4 0,-24 18 16,-10-6 32,1 5 0,-1 2-8,34-19-40,-34 23 24,-2 1-24,5-1 16,0-1-16,31-22 0,-24 20-16,5 0-8,4 0-32,10-2-40,5-18 96,-2 20-96,-1-1 0,3 1 0,12 1 48,-12-21 48,13 23-88,1 0 24,5 1 8,0 1 16,-19-25 40,27 24-40,-5 2 24,2 0-16,2-1-32,-26-25 64,24 26-48,5-1-40,-3 1-8,8 1 8,-34-27 88,31 27-32,1-1 96,4-1 88,-5-2 112,-31-23-264,29 23 160,-3-3-56,-4 1-104,-22 9-1896,0-30 1896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2:39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2163 48 3056,'0'0'0,"-3"-14"1112,1 8-583,-8-11-361,10 17-168,-4-3 40,-1 0-40,2 2 0,-1-1 8,4 2-8,-4-1 24,4 1 0,-3 0-8,1 0-48,2 0 32,-5 0-8,3 0-8,-1 3 32,-4 1 24,7-4-40,-12 13 40,7-9-8,-8 10-40,8-2 8,5-12 0,-5 11-16,3 2 16,2-9 0,0 12-24,0-16 24,12 4-8,1 0-16,11 8 8,4-12 8,-28 0 8,36 0-40,7 0 48,4 0-24,0-3 48,-47 3-32,52-4 48,-3-1-48,1 1 0,-10 0-24,-40 4 24,39-5-16,-1 4 24,-9 1-64,-8 0-24,-21 0 80,16 4-377,-11 9-39,-2-9 96,-3 16 24,0-20 296,-15 15-40,-13 2 16,-7 4-8,-12 0 16,47-21 16,-64 24-8,-7 3 32,-11 0 24,-12 2-8,94-29-40,-104 30 24,-5 0 8,-12-1-8,-5 0 16,126-29-40,-131 28 64,2-2-16,-5-1 16,8 1-16,126-26-48,-124 26 40,-6-1 40,7-2-24,8-3 0,115-20-56,-111 17 24,19-3 16,10-3-40,8 1 0,74-12 0,-59 4 48,9 9-48,13-10 32,9 0-48,28-3 16,-14 4-8,9-1-8,0 0 0,5-3 0,0 0 16,0 4-8,0-1 0,2 1-16,10 9 8,-12-13 16,10 3-32,3 8 8,2-7 8,2 9-8,-17-13 24,14 4-16,0 10 8,0-9-8,-4 9-32,-10-14 48,4 4-16,1 10 0,-2-9 8,-3 7 16,0-12-8,0 5-8,-3 6 8,-2-8 8,-7 1 8,12-4-16,-12 12 32,0-10-24,-3 3 0,-2 9 24,17-14-32,-20 3 8,5 8 8,-5-7 24,4 8-64,16-12 24,-19 3 8,0 11 8,1-10-40,1 9 16,17-13 8,-19 4-24,5 13-48,0-13 8,-1 14 0,15-18 64,-12 11-112,1 2-8,7-1-40,-1 3 48,5-15 112,-5 15-40,0 1 24,5-2-528,0 0-1360,0-14 1904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2:40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82 4472,'0'0'0,"-5"-33"1337,5 33-1337,-19-27 1080,-10 6-760,-12 24-416,-2 25-48,43-28 144,-41 26-272,10-2-88,7-3-48,9-8-40,15-13 448,-4 4-344,-1 8 72,5-12-65,0 3 89,0-3 248,0 2-168,0-2 112,0 3 216,2 0 48,-2-3-208,3 4 248,1 1-103,1-1-490,10 0-1039,-15-4 1384,9 3-2400,-9-3 2400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2:41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1034 841 2520,'0'0'0,"0"0"0,-4-1 1080,0-1-552,-8 1-416,7 1-128,5 0-32,0 0 48,-5 0-80,3 4-24,-1 9 24,-3-9 16,6-4 64,-2 11-136,-5-6-240,-3 8-40,5-9 0,5-4 416,-13 17-336,-2-4 240,2 1 80,-4 0 16,17-14 0,-23 16 8,0 1-8,-6 1-48,-6 2 48,35-20 0,-39 21 0,-3 2-8,-3 0 24,-1 0 24,46-23-40,-45 20-8,-1 0-8,-1-2 24,24-14-24,23-4 16,-30 14 16,1-9 0,-5 9-24,-1-10 8,35-4 0,-43 13 0,3-9 24,-6 8-16,4-10 8,42-2-16,-40 3 16,7 0 16,3-3 56,5 0 24,25 0-112,-19-4 216,5-9 0,9 7-16,3-12-64,2 18-136,2-16 40,19-4-32,3-1 32,9-3-8,-33 24-32,41-27 40,69-30 8,9 2-48,0 2 32,-119 53-32,121-47 8,-9-4 24,10-4 32,4-4-8,-126 59-56,131-61 64,4 3-16,7-2 24,5 3-24,-147 57-48,144-57 80,-3 3 0,-3 5 24,-3 0 32,-135 49-136,131-44 64,-8 4-8,-6 6-40,-10 6 0,-107 28-16,96-26 32,-8 5 8,-8 4-16,-7 1-24,-73 16 0,63-11-32,-5 5 0,-11-5-8,-8 7 24,-39 4 16,30-5-8,-4 1 8,-5 1 16,-7 2-8,-14 1-8,4-2 16,8 1 8,-12 1-32,3 0 0,-3 0 8,2 0-16,-2 3-16,0 0 0,0 8 32,0-11 0,0 3-24,0 11 16,0-3-32,0 2-72,0-13 112,-2 13-80,2 3 16,0-1-32,2 2 16,-2-17 80,14 19-192,0-2-80,4 0-32,1 1 24,-19-18 280,26 19-192,-1 2 64,6 1 16,-1 0 16,-30-22 96,33 24-72,-5-1 56,-9 8-1432,-19-31 1448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2:41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 1784,'0'0'0,"0"-4"296,0 4-296,0-6-64,0 1-32,0 5-72,0 0 8,0 0 160,0 4-128,2 10 72,3-10 32,7 9-16,-12-13 40,3 3-48,14 1 40,-5 8 8,0-9-32,-12-3 32,12 11 32,2-11-32,-2 11-16,3-8 24,-15-3-8,16 12-16,1-8 0,0 11 8,2-10 0,-19-5 8,17 14-16,2-10-24,-2 10 32,2-9-40,-19-5 48,17 15-16,0-10 0,-7 13 8,2-7 32,-12-11-24,2 15 64,3-3 32,-3 1 16,-2-1 0,0-12-112,-2 4 16,-3 10-184,-9-11-888,14-3 1056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2:42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19 1688,'0'0'0,"-4"-11"344,0 8-120,4 3-224,-11-4 120,11 4-144,-4 11-56,4 2 0,0-13 80,0 13-64,2-1 8,8 0-8,1-8 8,-11-4 56,13 14 0,-2-9 8,7 6 0,0-7 24,-18-4-32,16 12-32,4-8-24,-2 10-24,-1-10 16,-17-4 64,19 17-80,1-13-48,-2 13 16,-3-5-48,-15-12 160,15 11-104,-3 0 48,-7 1 16,8-8 32,-13-4 8,1 16-32,2-12 48,-3 7 16,0-8 8,0-3-40,-7 4 24,-5 1 0,-3-1-16,-2 0-8,17-4 0,-24 12 32,3-12-8,-4 2-32,2 1 24,23-3-16,-23 0 32,-2 0-48,-1-1 48,5-3 24,21 4-56,-28-6 88,3-6 56,4 7 80,0-8 96,21 13-320,-15-6 352,5-6 104,3 7-40,3-8-56,4 13-360,-7-2 304,5-3-88,-2 1-8,4 3-88,0 1-120,0-2 113,0 1-57,0 1-88,0 0 32,4 0-65,-2 0 65,3 4 41,5 7-33,-10-11-8,0 3-385,3 9-1015,-3-8-808,0-4 2208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9"/>
  <sheetViews>
    <sheetView rightToLeft="1" tabSelected="1" view="pageBreakPreview" topLeftCell="A51" zoomScale="130" zoomScaleNormal="100" zoomScaleSheetLayoutView="130" workbookViewId="0">
      <selection activeCell="F29" sqref="F2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0" t="s">
        <v>179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3">
      <c r="B2" s="10" t="s">
        <v>8</v>
      </c>
      <c r="C2" s="66" t="s">
        <v>32</v>
      </c>
      <c r="D2" s="66"/>
      <c r="E2" s="10" t="s">
        <v>7</v>
      </c>
      <c r="F2" s="61">
        <v>45952</v>
      </c>
      <c r="G2" s="61"/>
      <c r="H2" s="61"/>
      <c r="I2" s="61"/>
      <c r="J2" s="61"/>
    </row>
    <row r="3" spans="1:10" ht="30" customHeight="1" x14ac:dyDescent="0.3">
      <c r="B3" s="10" t="s">
        <v>9</v>
      </c>
      <c r="C3" s="66" t="s">
        <v>67</v>
      </c>
      <c r="D3" s="66"/>
      <c r="E3" s="10" t="s">
        <v>6</v>
      </c>
      <c r="F3" s="66" t="s">
        <v>136</v>
      </c>
      <c r="G3" s="66"/>
      <c r="H3" s="66"/>
      <c r="I3" s="66"/>
      <c r="J3" s="66"/>
    </row>
    <row r="4" spans="1:10" ht="30" customHeight="1" thickBot="1" x14ac:dyDescent="0.35">
      <c r="B4" s="6"/>
      <c r="C4" s="40"/>
      <c r="D4" s="40"/>
      <c r="E4" s="6"/>
      <c r="F4" s="40"/>
      <c r="G4" s="40"/>
      <c r="H4" s="40"/>
      <c r="I4" s="40"/>
      <c r="J4" s="40"/>
    </row>
    <row r="5" spans="1:10" ht="24.9" customHeight="1" x14ac:dyDescent="0.3">
      <c r="A5" s="8"/>
      <c r="B5" s="62" t="s">
        <v>0</v>
      </c>
      <c r="C5" s="63"/>
      <c r="D5" s="63"/>
      <c r="E5" s="71" t="s">
        <v>1</v>
      </c>
      <c r="F5" s="71"/>
      <c r="G5" s="71"/>
      <c r="H5" s="71"/>
      <c r="I5" s="71" t="s">
        <v>2</v>
      </c>
      <c r="J5" s="72"/>
    </row>
    <row r="6" spans="1:10" ht="24.9" customHeight="1" thickBot="1" x14ac:dyDescent="0.35">
      <c r="A6" s="8"/>
      <c r="B6" s="64"/>
      <c r="C6" s="65"/>
      <c r="D6" s="65"/>
      <c r="E6" s="9" t="s">
        <v>3</v>
      </c>
      <c r="F6" s="9" t="s">
        <v>4</v>
      </c>
      <c r="G6" s="9" t="s">
        <v>23</v>
      </c>
      <c r="H6" s="9" t="s">
        <v>24</v>
      </c>
      <c r="I6" s="73"/>
      <c r="J6" s="74"/>
    </row>
    <row r="7" spans="1:10" ht="24.9" customHeight="1" thickBot="1" x14ac:dyDescent="0.35">
      <c r="A7" s="8"/>
      <c r="B7" s="69" t="s">
        <v>21</v>
      </c>
      <c r="C7" s="70"/>
      <c r="D7" s="70"/>
      <c r="E7" s="31" t="s">
        <v>18</v>
      </c>
      <c r="F7" s="31" t="s">
        <v>19</v>
      </c>
      <c r="G7" s="31" t="s">
        <v>22</v>
      </c>
      <c r="H7" s="31" t="s">
        <v>20</v>
      </c>
      <c r="I7" s="75" t="s">
        <v>25</v>
      </c>
      <c r="J7" s="76"/>
    </row>
    <row r="8" spans="1:10" ht="30" customHeight="1" x14ac:dyDescent="0.3">
      <c r="A8" s="8"/>
      <c r="B8" s="81" t="s">
        <v>180</v>
      </c>
      <c r="C8" s="82"/>
      <c r="D8" s="82"/>
      <c r="E8" s="26">
        <v>5</v>
      </c>
      <c r="F8" s="35">
        <v>3.5</v>
      </c>
      <c r="G8" s="36">
        <f>IFERROR(F8/E8,"")</f>
        <v>0.7</v>
      </c>
      <c r="H8" s="37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3"/>
      <c r="J8" s="44"/>
    </row>
    <row r="9" spans="1:10" ht="30" customHeight="1" x14ac:dyDescent="0.3">
      <c r="A9" s="8"/>
      <c r="B9" s="49" t="s">
        <v>181</v>
      </c>
      <c r="C9" s="50"/>
      <c r="D9" s="50"/>
      <c r="E9" s="7"/>
      <c r="F9" s="24"/>
      <c r="G9" s="33"/>
      <c r="H9" s="34"/>
      <c r="I9" s="41"/>
      <c r="J9" s="42"/>
    </row>
    <row r="10" spans="1:10" ht="30" customHeight="1" x14ac:dyDescent="0.3">
      <c r="A10" s="8"/>
      <c r="B10" s="83" t="s">
        <v>182</v>
      </c>
      <c r="C10" s="84"/>
      <c r="D10" s="84"/>
      <c r="E10" s="7">
        <v>5</v>
      </c>
      <c r="F10" s="24">
        <v>4</v>
      </c>
      <c r="G10" s="33">
        <f t="shared" ref="G10:G54" si="0">IFERROR(F10/E10,"")</f>
        <v>0.8</v>
      </c>
      <c r="H10" s="34" t="str">
        <f t="shared" ref="H10:H54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1"/>
      <c r="J10" s="42"/>
    </row>
    <row r="11" spans="1:10" ht="30" customHeight="1" x14ac:dyDescent="0.3">
      <c r="A11" s="8"/>
      <c r="B11" s="49" t="s">
        <v>183</v>
      </c>
      <c r="C11" s="50"/>
      <c r="D11" s="50"/>
      <c r="E11" s="7"/>
      <c r="F11" s="24"/>
      <c r="G11" s="33"/>
      <c r="H11" s="34"/>
      <c r="I11" s="41"/>
      <c r="J11" s="42"/>
    </row>
    <row r="12" spans="1:10" ht="30" customHeight="1" x14ac:dyDescent="0.3">
      <c r="A12" s="8"/>
      <c r="B12" s="83" t="s">
        <v>184</v>
      </c>
      <c r="C12" s="84"/>
      <c r="D12" s="84"/>
      <c r="E12" s="7">
        <v>5</v>
      </c>
      <c r="F12" s="24">
        <v>3.5</v>
      </c>
      <c r="G12" s="33">
        <f t="shared" si="0"/>
        <v>0.7</v>
      </c>
      <c r="H12" s="34" t="str">
        <f t="shared" si="1"/>
        <v>جيد</v>
      </c>
      <c r="I12" s="41"/>
      <c r="J12" s="42"/>
    </row>
    <row r="13" spans="1:10" ht="30" customHeight="1" x14ac:dyDescent="0.3">
      <c r="A13" s="8"/>
      <c r="B13" s="83" t="s">
        <v>185</v>
      </c>
      <c r="C13" s="84"/>
      <c r="D13" s="84"/>
      <c r="E13" s="7">
        <v>5</v>
      </c>
      <c r="F13" s="24">
        <v>3.5</v>
      </c>
      <c r="G13" s="33">
        <f t="shared" si="0"/>
        <v>0.7</v>
      </c>
      <c r="H13" s="34" t="str">
        <f t="shared" si="1"/>
        <v>جيد</v>
      </c>
      <c r="I13" s="41"/>
      <c r="J13" s="42"/>
    </row>
    <row r="14" spans="1:10" ht="30" customHeight="1" x14ac:dyDescent="0.3">
      <c r="A14" s="8"/>
      <c r="B14" s="83" t="s">
        <v>186</v>
      </c>
      <c r="C14" s="84"/>
      <c r="D14" s="84"/>
      <c r="E14" s="7">
        <v>5</v>
      </c>
      <c r="F14" s="24">
        <v>4</v>
      </c>
      <c r="G14" s="33">
        <f t="shared" si="0"/>
        <v>0.8</v>
      </c>
      <c r="H14" s="34" t="str">
        <f t="shared" si="1"/>
        <v>جيد جداً</v>
      </c>
      <c r="I14" s="41"/>
      <c r="J14" s="42"/>
    </row>
    <row r="15" spans="1:10" ht="30" customHeight="1" x14ac:dyDescent="0.3">
      <c r="A15" s="8"/>
      <c r="B15" s="83" t="s">
        <v>187</v>
      </c>
      <c r="C15" s="84"/>
      <c r="D15" s="84"/>
      <c r="E15" s="7">
        <v>5</v>
      </c>
      <c r="F15" s="24">
        <v>3.75</v>
      </c>
      <c r="G15" s="33">
        <f t="shared" si="0"/>
        <v>0.75</v>
      </c>
      <c r="H15" s="34" t="str">
        <f t="shared" si="1"/>
        <v>جيد</v>
      </c>
      <c r="I15" s="41"/>
      <c r="J15" s="42"/>
    </row>
    <row r="16" spans="1:10" ht="30" customHeight="1" x14ac:dyDescent="0.3">
      <c r="A16" s="8"/>
      <c r="B16" s="83" t="s">
        <v>188</v>
      </c>
      <c r="C16" s="84"/>
      <c r="D16" s="84"/>
      <c r="E16" s="7">
        <v>5</v>
      </c>
      <c r="F16" s="24">
        <v>3.75</v>
      </c>
      <c r="G16" s="33">
        <f t="shared" si="0"/>
        <v>0.75</v>
      </c>
      <c r="H16" s="34" t="str">
        <f t="shared" si="1"/>
        <v>جيد</v>
      </c>
      <c r="I16" s="41"/>
      <c r="J16" s="42"/>
    </row>
    <row r="17" spans="1:10" ht="30" customHeight="1" x14ac:dyDescent="0.3">
      <c r="A17" s="8"/>
      <c r="B17" s="83" t="s">
        <v>189</v>
      </c>
      <c r="C17" s="84"/>
      <c r="D17" s="84"/>
      <c r="E17" s="7">
        <v>5</v>
      </c>
      <c r="F17" s="24">
        <v>4</v>
      </c>
      <c r="G17" s="33">
        <f t="shared" si="0"/>
        <v>0.8</v>
      </c>
      <c r="H17" s="34" t="str">
        <f t="shared" si="1"/>
        <v>جيد جداً</v>
      </c>
      <c r="I17" s="41"/>
      <c r="J17" s="42"/>
    </row>
    <row r="18" spans="1:10" ht="30" customHeight="1" x14ac:dyDescent="0.3">
      <c r="A18" s="8"/>
      <c r="B18" s="83" t="s">
        <v>190</v>
      </c>
      <c r="C18" s="84"/>
      <c r="D18" s="84"/>
      <c r="E18" s="7">
        <v>5</v>
      </c>
      <c r="F18" s="24">
        <v>3.75</v>
      </c>
      <c r="G18" s="33">
        <f t="shared" si="0"/>
        <v>0.75</v>
      </c>
      <c r="H18" s="34" t="str">
        <f t="shared" si="1"/>
        <v>جيد</v>
      </c>
      <c r="I18" s="41"/>
      <c r="J18" s="42"/>
    </row>
    <row r="19" spans="1:10" ht="30" customHeight="1" x14ac:dyDescent="0.3">
      <c r="A19" s="8"/>
      <c r="B19" s="83" t="s">
        <v>191</v>
      </c>
      <c r="C19" s="84"/>
      <c r="D19" s="84"/>
      <c r="E19" s="7">
        <v>5</v>
      </c>
      <c r="F19" s="24">
        <v>3.75</v>
      </c>
      <c r="G19" s="33">
        <f t="shared" si="0"/>
        <v>0.75</v>
      </c>
      <c r="H19" s="34" t="str">
        <f t="shared" si="1"/>
        <v>جيد</v>
      </c>
      <c r="I19" s="41"/>
      <c r="J19" s="42"/>
    </row>
    <row r="20" spans="1:10" ht="30" customHeight="1" x14ac:dyDescent="0.3">
      <c r="A20" s="8"/>
      <c r="B20" s="49" t="s">
        <v>192</v>
      </c>
      <c r="C20" s="50"/>
      <c r="D20" s="50"/>
      <c r="E20" s="7"/>
      <c r="F20" s="24"/>
      <c r="G20" s="33"/>
      <c r="H20" s="34"/>
      <c r="I20" s="41"/>
      <c r="J20" s="42"/>
    </row>
    <row r="21" spans="1:10" ht="30" customHeight="1" x14ac:dyDescent="0.3">
      <c r="A21" s="8"/>
      <c r="B21" s="83" t="s">
        <v>193</v>
      </c>
      <c r="C21" s="84"/>
      <c r="D21" s="84"/>
      <c r="E21" s="7">
        <v>5</v>
      </c>
      <c r="F21" s="24">
        <v>3.5</v>
      </c>
      <c r="G21" s="33">
        <f t="shared" si="0"/>
        <v>0.7</v>
      </c>
      <c r="H21" s="34" t="str">
        <f t="shared" si="1"/>
        <v>جيد</v>
      </c>
      <c r="I21" s="41"/>
      <c r="J21" s="42"/>
    </row>
    <row r="22" spans="1:10" ht="30" customHeight="1" x14ac:dyDescent="0.3">
      <c r="A22" s="8"/>
      <c r="B22" s="83" t="s">
        <v>194</v>
      </c>
      <c r="C22" s="84"/>
      <c r="D22" s="84"/>
      <c r="E22" s="7">
        <v>5</v>
      </c>
      <c r="F22" s="24">
        <v>3.5</v>
      </c>
      <c r="G22" s="33">
        <f t="shared" si="0"/>
        <v>0.7</v>
      </c>
      <c r="H22" s="34" t="str">
        <f t="shared" si="1"/>
        <v>جيد</v>
      </c>
      <c r="I22" s="41"/>
      <c r="J22" s="42"/>
    </row>
    <row r="23" spans="1:10" ht="30" customHeight="1" x14ac:dyDescent="0.3">
      <c r="A23" s="8"/>
      <c r="B23" s="83" t="s">
        <v>195</v>
      </c>
      <c r="C23" s="84"/>
      <c r="D23" s="84"/>
      <c r="E23" s="7">
        <v>5</v>
      </c>
      <c r="F23" s="24">
        <v>4</v>
      </c>
      <c r="G23" s="33">
        <f t="shared" si="0"/>
        <v>0.8</v>
      </c>
      <c r="H23" s="34" t="str">
        <f t="shared" si="1"/>
        <v>جيد جداً</v>
      </c>
      <c r="I23" s="41"/>
      <c r="J23" s="42"/>
    </row>
    <row r="24" spans="1:10" ht="30" customHeight="1" x14ac:dyDescent="0.3">
      <c r="A24" s="8"/>
      <c r="B24" s="83" t="s">
        <v>196</v>
      </c>
      <c r="C24" s="84"/>
      <c r="D24" s="84"/>
      <c r="E24" s="7">
        <v>5</v>
      </c>
      <c r="F24" s="24">
        <v>3.5</v>
      </c>
      <c r="G24" s="33">
        <f t="shared" si="0"/>
        <v>0.7</v>
      </c>
      <c r="H24" s="34" t="str">
        <f t="shared" si="1"/>
        <v>جيد</v>
      </c>
      <c r="I24" s="41"/>
      <c r="J24" s="42"/>
    </row>
    <row r="25" spans="1:10" ht="30" customHeight="1" x14ac:dyDescent="0.3">
      <c r="A25" s="8"/>
      <c r="B25" s="83" t="s">
        <v>197</v>
      </c>
      <c r="C25" s="84"/>
      <c r="D25" s="84"/>
      <c r="E25" s="7">
        <v>5</v>
      </c>
      <c r="F25" s="24">
        <v>3.75</v>
      </c>
      <c r="G25" s="33">
        <f t="shared" si="0"/>
        <v>0.75</v>
      </c>
      <c r="H25" s="34" t="str">
        <f t="shared" si="1"/>
        <v>جيد</v>
      </c>
      <c r="I25" s="41"/>
      <c r="J25" s="42"/>
    </row>
    <row r="26" spans="1:10" ht="30" customHeight="1" x14ac:dyDescent="0.3">
      <c r="A26" s="8"/>
      <c r="B26" s="83" t="s">
        <v>198</v>
      </c>
      <c r="C26" s="84"/>
      <c r="D26" s="84"/>
      <c r="E26" s="7">
        <v>5</v>
      </c>
      <c r="F26" s="24">
        <v>3.75</v>
      </c>
      <c r="G26" s="33">
        <f t="shared" si="0"/>
        <v>0.75</v>
      </c>
      <c r="H26" s="34" t="str">
        <f t="shared" si="1"/>
        <v>جيد</v>
      </c>
      <c r="I26" s="41"/>
      <c r="J26" s="42"/>
    </row>
    <row r="27" spans="1:10" ht="30" customHeight="1" x14ac:dyDescent="0.3">
      <c r="A27" s="8"/>
      <c r="B27" s="83" t="s">
        <v>199</v>
      </c>
      <c r="C27" s="84"/>
      <c r="D27" s="84"/>
      <c r="E27" s="7">
        <v>5</v>
      </c>
      <c r="F27" s="24">
        <v>3.75</v>
      </c>
      <c r="G27" s="33">
        <f t="shared" si="0"/>
        <v>0.75</v>
      </c>
      <c r="H27" s="34" t="str">
        <f t="shared" si="1"/>
        <v>جيد</v>
      </c>
      <c r="I27" s="41"/>
      <c r="J27" s="42"/>
    </row>
    <row r="28" spans="1:10" ht="30" customHeight="1" x14ac:dyDescent="0.3">
      <c r="A28" s="8"/>
      <c r="B28" s="83" t="s">
        <v>200</v>
      </c>
      <c r="C28" s="84"/>
      <c r="D28" s="84"/>
      <c r="E28" s="7">
        <v>5</v>
      </c>
      <c r="F28" s="24">
        <v>3.75</v>
      </c>
      <c r="G28" s="33">
        <f t="shared" si="0"/>
        <v>0.75</v>
      </c>
      <c r="H28" s="34" t="str">
        <f t="shared" si="1"/>
        <v>جيد</v>
      </c>
      <c r="I28" s="41"/>
      <c r="J28" s="42"/>
    </row>
    <row r="29" spans="1:10" ht="30" customHeight="1" x14ac:dyDescent="0.3">
      <c r="A29" s="8"/>
      <c r="B29" s="83" t="s">
        <v>201</v>
      </c>
      <c r="C29" s="84"/>
      <c r="D29" s="84"/>
      <c r="E29" s="7">
        <v>5</v>
      </c>
      <c r="F29" s="24">
        <v>3.75</v>
      </c>
      <c r="G29" s="33">
        <f t="shared" si="0"/>
        <v>0.75</v>
      </c>
      <c r="H29" s="34" t="str">
        <f t="shared" si="1"/>
        <v>جيد</v>
      </c>
      <c r="I29" s="41"/>
      <c r="J29" s="42"/>
    </row>
    <row r="30" spans="1:10" ht="30" customHeight="1" x14ac:dyDescent="0.3">
      <c r="A30" s="8"/>
      <c r="B30" s="83" t="s">
        <v>202</v>
      </c>
      <c r="C30" s="84"/>
      <c r="D30" s="84"/>
      <c r="E30" s="7">
        <v>5</v>
      </c>
      <c r="F30" s="24">
        <v>4</v>
      </c>
      <c r="G30" s="33">
        <f t="shared" si="0"/>
        <v>0.8</v>
      </c>
      <c r="H30" s="34" t="str">
        <f t="shared" si="1"/>
        <v>جيد جداً</v>
      </c>
      <c r="I30" s="41"/>
      <c r="J30" s="42"/>
    </row>
    <row r="31" spans="1:10" ht="30" customHeight="1" x14ac:dyDescent="0.3">
      <c r="A31" s="8"/>
      <c r="B31" s="83" t="s">
        <v>203</v>
      </c>
      <c r="C31" s="84"/>
      <c r="D31" s="84"/>
      <c r="E31" s="27">
        <v>5</v>
      </c>
      <c r="F31" s="24">
        <v>3.5</v>
      </c>
      <c r="G31" s="33">
        <f t="shared" si="0"/>
        <v>0.7</v>
      </c>
      <c r="H31" s="34" t="str">
        <f t="shared" si="1"/>
        <v>جيد</v>
      </c>
      <c r="I31" s="41"/>
      <c r="J31" s="42"/>
    </row>
    <row r="32" spans="1:10" ht="30" customHeight="1" x14ac:dyDescent="0.3">
      <c r="A32" s="8"/>
      <c r="B32" s="83" t="s">
        <v>204</v>
      </c>
      <c r="C32" s="84"/>
      <c r="D32" s="84"/>
      <c r="E32" s="27">
        <v>5</v>
      </c>
      <c r="F32" s="24">
        <v>3.5</v>
      </c>
      <c r="G32" s="33">
        <f t="shared" si="0"/>
        <v>0.7</v>
      </c>
      <c r="H32" s="34" t="str">
        <f t="shared" si="1"/>
        <v>جيد</v>
      </c>
      <c r="I32" s="41"/>
      <c r="J32" s="42"/>
    </row>
    <row r="33" spans="1:10" ht="30" customHeight="1" x14ac:dyDescent="0.3">
      <c r="A33" s="8"/>
      <c r="B33" s="83" t="s">
        <v>205</v>
      </c>
      <c r="C33" s="84"/>
      <c r="D33" s="84"/>
      <c r="E33" s="27">
        <v>5</v>
      </c>
      <c r="F33" s="24">
        <v>3.5</v>
      </c>
      <c r="G33" s="33">
        <f t="shared" si="0"/>
        <v>0.7</v>
      </c>
      <c r="H33" s="34" t="str">
        <f t="shared" si="1"/>
        <v>جيد</v>
      </c>
      <c r="I33" s="41"/>
      <c r="J33" s="42"/>
    </row>
    <row r="34" spans="1:10" ht="30" customHeight="1" x14ac:dyDescent="0.3">
      <c r="A34" s="8"/>
      <c r="B34" s="83" t="s">
        <v>206</v>
      </c>
      <c r="C34" s="84"/>
      <c r="D34" s="84"/>
      <c r="E34" s="27">
        <v>5</v>
      </c>
      <c r="F34" s="24">
        <v>3.5</v>
      </c>
      <c r="G34" s="33">
        <f t="shared" si="0"/>
        <v>0.7</v>
      </c>
      <c r="H34" s="34" t="str">
        <f t="shared" si="1"/>
        <v>جيد</v>
      </c>
      <c r="I34" s="41"/>
      <c r="J34" s="42"/>
    </row>
    <row r="35" spans="1:10" ht="30" customHeight="1" x14ac:dyDescent="0.3">
      <c r="A35" s="8"/>
      <c r="B35" s="83" t="s">
        <v>207</v>
      </c>
      <c r="C35" s="84"/>
      <c r="D35" s="84"/>
      <c r="E35" s="27">
        <v>5</v>
      </c>
      <c r="F35" s="24">
        <v>4</v>
      </c>
      <c r="G35" s="33">
        <f t="shared" si="0"/>
        <v>0.8</v>
      </c>
      <c r="H35" s="34" t="str">
        <f t="shared" si="1"/>
        <v>جيد جداً</v>
      </c>
      <c r="I35" s="41"/>
      <c r="J35" s="42"/>
    </row>
    <row r="36" spans="1:10" ht="30" customHeight="1" x14ac:dyDescent="0.3">
      <c r="A36" s="8"/>
      <c r="B36" s="49" t="s">
        <v>208</v>
      </c>
      <c r="C36" s="50"/>
      <c r="D36" s="50"/>
      <c r="E36" s="27"/>
      <c r="F36" s="24"/>
      <c r="G36" s="33"/>
      <c r="H36" s="34"/>
      <c r="I36" s="41"/>
      <c r="J36" s="42"/>
    </row>
    <row r="37" spans="1:10" ht="30" customHeight="1" x14ac:dyDescent="0.3">
      <c r="A37" s="8"/>
      <c r="B37" s="83" t="s">
        <v>209</v>
      </c>
      <c r="C37" s="84"/>
      <c r="D37" s="84"/>
      <c r="E37" s="27">
        <v>5</v>
      </c>
      <c r="F37" s="24">
        <v>3.75</v>
      </c>
      <c r="G37" s="33">
        <f t="shared" si="0"/>
        <v>0.75</v>
      </c>
      <c r="H37" s="34" t="str">
        <f t="shared" si="1"/>
        <v>جيد</v>
      </c>
      <c r="I37" s="41"/>
      <c r="J37" s="42"/>
    </row>
    <row r="38" spans="1:10" ht="30" customHeight="1" x14ac:dyDescent="0.3">
      <c r="A38" s="8"/>
      <c r="B38" s="83" t="s">
        <v>210</v>
      </c>
      <c r="C38" s="84"/>
      <c r="D38" s="84"/>
      <c r="E38" s="27">
        <v>5</v>
      </c>
      <c r="F38" s="24">
        <v>3.75</v>
      </c>
      <c r="G38" s="33">
        <f t="shared" si="0"/>
        <v>0.75</v>
      </c>
      <c r="H38" s="34" t="str">
        <f t="shared" si="1"/>
        <v>جيد</v>
      </c>
      <c r="I38" s="41"/>
      <c r="J38" s="42"/>
    </row>
    <row r="39" spans="1:10" ht="30" customHeight="1" x14ac:dyDescent="0.3">
      <c r="A39" s="8"/>
      <c r="B39" s="83" t="s">
        <v>211</v>
      </c>
      <c r="C39" s="84"/>
      <c r="D39" s="84"/>
      <c r="E39" s="27">
        <v>5</v>
      </c>
      <c r="F39" s="24">
        <v>4</v>
      </c>
      <c r="G39" s="33">
        <f t="shared" si="0"/>
        <v>0.8</v>
      </c>
      <c r="H39" s="34" t="str">
        <f t="shared" si="1"/>
        <v>جيد جداً</v>
      </c>
      <c r="I39" s="41"/>
      <c r="J39" s="42"/>
    </row>
    <row r="40" spans="1:10" ht="30" customHeight="1" x14ac:dyDescent="0.3">
      <c r="A40" s="8"/>
      <c r="B40" s="83" t="s">
        <v>212</v>
      </c>
      <c r="C40" s="84"/>
      <c r="D40" s="84"/>
      <c r="E40" s="27">
        <v>5</v>
      </c>
      <c r="F40" s="24">
        <v>3.75</v>
      </c>
      <c r="G40" s="33">
        <f t="shared" si="0"/>
        <v>0.75</v>
      </c>
      <c r="H40" s="34" t="str">
        <f t="shared" si="1"/>
        <v>جيد</v>
      </c>
      <c r="I40" s="41"/>
      <c r="J40" s="42"/>
    </row>
    <row r="41" spans="1:10" ht="30" customHeight="1" x14ac:dyDescent="0.3">
      <c r="A41" s="8"/>
      <c r="B41" s="83" t="s">
        <v>213</v>
      </c>
      <c r="C41" s="84"/>
      <c r="D41" s="84"/>
      <c r="E41" s="27">
        <v>5</v>
      </c>
      <c r="F41" s="24">
        <v>3.75</v>
      </c>
      <c r="G41" s="33">
        <f t="shared" si="0"/>
        <v>0.75</v>
      </c>
      <c r="H41" s="34" t="str">
        <f t="shared" si="1"/>
        <v>جيد</v>
      </c>
      <c r="I41" s="41"/>
      <c r="J41" s="42"/>
    </row>
    <row r="42" spans="1:10" ht="30" customHeight="1" x14ac:dyDescent="0.3">
      <c r="A42" s="8"/>
      <c r="B42" s="83" t="s">
        <v>214</v>
      </c>
      <c r="C42" s="84"/>
      <c r="D42" s="84"/>
      <c r="E42" s="27">
        <v>5</v>
      </c>
      <c r="F42" s="24">
        <v>4</v>
      </c>
      <c r="G42" s="33">
        <f t="shared" si="0"/>
        <v>0.8</v>
      </c>
      <c r="H42" s="34" t="str">
        <f t="shared" si="1"/>
        <v>جيد جداً</v>
      </c>
      <c r="I42" s="41"/>
      <c r="J42" s="42"/>
    </row>
    <row r="43" spans="1:10" ht="30" customHeight="1" x14ac:dyDescent="0.3">
      <c r="A43" s="8"/>
      <c r="B43" s="83" t="s">
        <v>215</v>
      </c>
      <c r="C43" s="84"/>
      <c r="D43" s="84"/>
      <c r="E43" s="27">
        <v>5</v>
      </c>
      <c r="F43" s="24">
        <v>4</v>
      </c>
      <c r="G43" s="33">
        <f t="shared" si="0"/>
        <v>0.8</v>
      </c>
      <c r="H43" s="34" t="str">
        <f t="shared" si="1"/>
        <v>جيد جداً</v>
      </c>
      <c r="I43" s="41"/>
      <c r="J43" s="42"/>
    </row>
    <row r="44" spans="1:10" ht="30" customHeight="1" x14ac:dyDescent="0.3">
      <c r="A44" s="8"/>
      <c r="B44" s="83" t="s">
        <v>216</v>
      </c>
      <c r="C44" s="84"/>
      <c r="D44" s="84"/>
      <c r="E44" s="27">
        <v>5</v>
      </c>
      <c r="F44" s="24">
        <v>4</v>
      </c>
      <c r="G44" s="33">
        <f t="shared" si="0"/>
        <v>0.8</v>
      </c>
      <c r="H44" s="34" t="str">
        <f t="shared" si="1"/>
        <v>جيد جداً</v>
      </c>
      <c r="I44" s="41"/>
      <c r="J44" s="42"/>
    </row>
    <row r="45" spans="1:10" ht="30" customHeight="1" x14ac:dyDescent="0.3">
      <c r="A45" s="8"/>
      <c r="B45" s="83" t="s">
        <v>217</v>
      </c>
      <c r="C45" s="84"/>
      <c r="D45" s="84"/>
      <c r="E45" s="27">
        <v>5</v>
      </c>
      <c r="F45" s="24">
        <v>3.75</v>
      </c>
      <c r="G45" s="33">
        <f t="shared" si="0"/>
        <v>0.75</v>
      </c>
      <c r="H45" s="34" t="str">
        <f t="shared" si="1"/>
        <v>جيد</v>
      </c>
      <c r="I45" s="41"/>
      <c r="J45" s="42"/>
    </row>
    <row r="46" spans="1:10" ht="30" customHeight="1" x14ac:dyDescent="0.3">
      <c r="A46" s="8"/>
      <c r="B46" s="83" t="s">
        <v>218</v>
      </c>
      <c r="C46" s="84"/>
      <c r="D46" s="84"/>
      <c r="E46" s="27">
        <v>5</v>
      </c>
      <c r="F46" s="24">
        <v>3.5</v>
      </c>
      <c r="G46" s="33">
        <f t="shared" si="0"/>
        <v>0.7</v>
      </c>
      <c r="H46" s="34" t="str">
        <f t="shared" si="1"/>
        <v>جيد</v>
      </c>
      <c r="I46" s="41"/>
      <c r="J46" s="42"/>
    </row>
    <row r="47" spans="1:10" ht="30" customHeight="1" x14ac:dyDescent="0.3">
      <c r="A47" s="8"/>
      <c r="B47" s="83" t="s">
        <v>219</v>
      </c>
      <c r="C47" s="84"/>
      <c r="D47" s="84"/>
      <c r="E47" s="27">
        <v>5</v>
      </c>
      <c r="F47" s="24">
        <v>3.5</v>
      </c>
      <c r="G47" s="33">
        <f t="shared" si="0"/>
        <v>0.7</v>
      </c>
      <c r="H47" s="34" t="str">
        <f t="shared" si="1"/>
        <v>جيد</v>
      </c>
      <c r="I47" s="41"/>
      <c r="J47" s="42"/>
    </row>
    <row r="48" spans="1:10" ht="30" customHeight="1" thickBot="1" x14ac:dyDescent="0.35">
      <c r="A48" s="8"/>
      <c r="B48" s="87" t="s">
        <v>220</v>
      </c>
      <c r="C48" s="88"/>
      <c r="D48" s="88"/>
      <c r="E48" s="28">
        <v>5</v>
      </c>
      <c r="F48" s="25">
        <v>4</v>
      </c>
      <c r="G48" s="38">
        <f t="shared" si="0"/>
        <v>0.8</v>
      </c>
      <c r="H48" s="39" t="str">
        <f t="shared" si="1"/>
        <v>جيد جداً</v>
      </c>
      <c r="I48" s="47"/>
      <c r="J48" s="48"/>
    </row>
    <row r="49" spans="1:10" ht="30" customHeight="1" x14ac:dyDescent="0.3">
      <c r="A49" s="8"/>
      <c r="B49" s="81" t="s">
        <v>221</v>
      </c>
      <c r="C49" s="82"/>
      <c r="D49" s="82"/>
      <c r="E49" s="29"/>
      <c r="F49" s="35"/>
      <c r="G49" s="36"/>
      <c r="H49" s="37"/>
      <c r="I49" s="43"/>
      <c r="J49" s="44"/>
    </row>
    <row r="50" spans="1:10" ht="30" customHeight="1" x14ac:dyDescent="0.3">
      <c r="A50" s="8"/>
      <c r="B50" s="49" t="s">
        <v>222</v>
      </c>
      <c r="C50" s="50"/>
      <c r="D50" s="50"/>
      <c r="E50" s="7">
        <v>5</v>
      </c>
      <c r="F50" s="24">
        <v>3.5</v>
      </c>
      <c r="G50" s="33">
        <f t="shared" si="0"/>
        <v>0.7</v>
      </c>
      <c r="H50" s="34" t="str">
        <f t="shared" si="1"/>
        <v>جيد</v>
      </c>
      <c r="I50" s="41"/>
      <c r="J50" s="42"/>
    </row>
    <row r="51" spans="1:10" ht="30" customHeight="1" x14ac:dyDescent="0.3">
      <c r="A51" s="8"/>
      <c r="B51" s="49" t="s">
        <v>223</v>
      </c>
      <c r="C51" s="50"/>
      <c r="D51" s="50"/>
      <c r="E51" s="7">
        <v>5</v>
      </c>
      <c r="F51" s="24">
        <v>3.5</v>
      </c>
      <c r="G51" s="33">
        <f t="shared" si="0"/>
        <v>0.7</v>
      </c>
      <c r="H51" s="34" t="str">
        <f t="shared" si="1"/>
        <v>جيد</v>
      </c>
      <c r="I51" s="41"/>
      <c r="J51" s="42"/>
    </row>
    <row r="52" spans="1:10" ht="30" customHeight="1" x14ac:dyDescent="0.3">
      <c r="A52" s="8"/>
      <c r="B52" s="49" t="s">
        <v>224</v>
      </c>
      <c r="C52" s="50"/>
      <c r="D52" s="50"/>
      <c r="E52" s="7">
        <v>5</v>
      </c>
      <c r="F52" s="24">
        <v>3.5</v>
      </c>
      <c r="G52" s="33">
        <f t="shared" si="0"/>
        <v>0.7</v>
      </c>
      <c r="H52" s="34" t="str">
        <f t="shared" si="1"/>
        <v>جيد</v>
      </c>
      <c r="I52" s="41"/>
      <c r="J52" s="42"/>
    </row>
    <row r="53" spans="1:10" ht="30" customHeight="1" x14ac:dyDescent="0.3">
      <c r="A53" s="8"/>
      <c r="B53" s="49" t="s">
        <v>225</v>
      </c>
      <c r="C53" s="50"/>
      <c r="D53" s="50"/>
      <c r="E53" s="7">
        <v>5</v>
      </c>
      <c r="F53" s="24">
        <v>4</v>
      </c>
      <c r="G53" s="33">
        <f t="shared" si="0"/>
        <v>0.8</v>
      </c>
      <c r="H53" s="34" t="str">
        <f t="shared" si="1"/>
        <v>جيد جداً</v>
      </c>
      <c r="I53" s="41"/>
      <c r="J53" s="42"/>
    </row>
    <row r="54" spans="1:10" ht="30" customHeight="1" thickBot="1" x14ac:dyDescent="0.35">
      <c r="A54" s="8"/>
      <c r="B54" s="85" t="s">
        <v>226</v>
      </c>
      <c r="C54" s="86"/>
      <c r="D54" s="86"/>
      <c r="E54" s="30">
        <v>5</v>
      </c>
      <c r="F54" s="25">
        <v>4.25</v>
      </c>
      <c r="G54" s="38">
        <f t="shared" si="0"/>
        <v>0.85</v>
      </c>
      <c r="H54" s="39" t="str">
        <f t="shared" si="1"/>
        <v>جيد جداً</v>
      </c>
      <c r="I54" s="47"/>
      <c r="J54" s="48"/>
    </row>
    <row r="55" spans="1:10" ht="30" customHeight="1" thickBot="1" x14ac:dyDescent="0.35">
      <c r="A55" s="4"/>
      <c r="B55" s="45" t="s">
        <v>5</v>
      </c>
      <c r="C55" s="46"/>
      <c r="D55" s="46"/>
      <c r="E55" s="32">
        <f>SUM(E8:E54)</f>
        <v>210</v>
      </c>
      <c r="F55" s="32">
        <f>SUM(F8:F54)</f>
        <v>157.25</v>
      </c>
      <c r="G55" s="57"/>
      <c r="H55" s="58"/>
      <c r="I55" s="58"/>
      <c r="J55" s="59"/>
    </row>
    <row r="56" spans="1:10" ht="30" customHeight="1" thickBot="1" x14ac:dyDescent="0.35">
      <c r="A56" s="4"/>
      <c r="B56" s="51" t="s">
        <v>54</v>
      </c>
      <c r="C56" s="52"/>
      <c r="D56" s="52"/>
      <c r="E56" s="67">
        <f>F55/E55/100*100</f>
        <v>0.74880952380952381</v>
      </c>
      <c r="F56" s="67"/>
      <c r="G56" s="67"/>
      <c r="H56" s="67"/>
      <c r="I56" s="67"/>
      <c r="J56" s="68"/>
    </row>
    <row r="57" spans="1:10" ht="30" customHeight="1" thickBot="1" x14ac:dyDescent="0.35">
      <c r="A57" s="4"/>
      <c r="B57" s="51" t="s">
        <v>55</v>
      </c>
      <c r="C57" s="52"/>
      <c r="D57" s="52"/>
      <c r="E57" s="53" t="str">
        <f>_xlfn.IFS(E56&gt;=90%,"ممتاز",E56&gt;=80%,"جيد جداً",E56&gt;=70%,"جيد",E56&gt;=60%,"مقبول",E56&lt;60%,"راسب")</f>
        <v>جيد</v>
      </c>
      <c r="F57" s="53"/>
      <c r="G57" s="53"/>
      <c r="H57" s="53"/>
      <c r="I57" s="53"/>
      <c r="J57" s="54"/>
    </row>
    <row r="58" spans="1:10" ht="42" customHeight="1" x14ac:dyDescent="0.3">
      <c r="B58" s="77" t="s">
        <v>227</v>
      </c>
      <c r="C58" s="77"/>
      <c r="D58" s="77"/>
      <c r="E58" s="55" t="s">
        <v>52</v>
      </c>
      <c r="F58" s="55"/>
      <c r="G58" s="79" t="s">
        <v>136</v>
      </c>
      <c r="H58" s="79"/>
      <c r="I58" s="79"/>
      <c r="J58" s="79"/>
    </row>
    <row r="59" spans="1:10" ht="51" customHeight="1" x14ac:dyDescent="0.3">
      <c r="A59" s="5"/>
      <c r="B59" s="78"/>
      <c r="C59" s="78"/>
      <c r="D59" s="78"/>
      <c r="E59" s="56" t="s">
        <v>53</v>
      </c>
      <c r="F59" s="56"/>
      <c r="G59" s="80"/>
      <c r="H59" s="80"/>
      <c r="I59" s="80"/>
      <c r="J59" s="8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7">
    <mergeCell ref="B37:D37"/>
    <mergeCell ref="B38:D38"/>
    <mergeCell ref="B39:D39"/>
    <mergeCell ref="B40:D40"/>
    <mergeCell ref="B41:D41"/>
    <mergeCell ref="B42:D42"/>
    <mergeCell ref="B43:D43"/>
    <mergeCell ref="B53:D53"/>
    <mergeCell ref="B54:D54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E58:F58"/>
    <mergeCell ref="E59:F59"/>
    <mergeCell ref="G55:J55"/>
    <mergeCell ref="B1:J1"/>
    <mergeCell ref="F2:J2"/>
    <mergeCell ref="B5:D6"/>
    <mergeCell ref="C2:D2"/>
    <mergeCell ref="C3:D3"/>
    <mergeCell ref="F3:J3"/>
    <mergeCell ref="E56:J56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B58:D59"/>
    <mergeCell ref="G58:J58"/>
    <mergeCell ref="G59:J59"/>
    <mergeCell ref="B8:D8"/>
    <mergeCell ref="B56:D56"/>
    <mergeCell ref="B57:D57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19:J19"/>
    <mergeCell ref="I20:J20"/>
    <mergeCell ref="I21:J21"/>
    <mergeCell ref="I22:J22"/>
    <mergeCell ref="I23:J23"/>
    <mergeCell ref="I24:J24"/>
    <mergeCell ref="I25:J25"/>
    <mergeCell ref="E57:J57"/>
    <mergeCell ref="I40:J40"/>
    <mergeCell ref="I41:J41"/>
    <mergeCell ref="I42:J42"/>
    <mergeCell ref="I43:J43"/>
    <mergeCell ref="F4:J4"/>
    <mergeCell ref="C4:D4"/>
    <mergeCell ref="I32:J32"/>
    <mergeCell ref="I33:J33"/>
    <mergeCell ref="I34:J34"/>
    <mergeCell ref="I35:J35"/>
    <mergeCell ref="I36:J36"/>
    <mergeCell ref="I8:J8"/>
    <mergeCell ref="B55:D55"/>
    <mergeCell ref="I26:J26"/>
    <mergeCell ref="I27:J27"/>
    <mergeCell ref="I45:J45"/>
    <mergeCell ref="I46:J46"/>
    <mergeCell ref="I47:J47"/>
    <mergeCell ref="I48:J48"/>
    <mergeCell ref="I44:J44"/>
    <mergeCell ref="I49:J49"/>
    <mergeCell ref="I50:J50"/>
    <mergeCell ref="I51:J51"/>
    <mergeCell ref="I52:J52"/>
    <mergeCell ref="I53:J53"/>
    <mergeCell ref="I54:J54"/>
    <mergeCell ref="I9:J9"/>
    <mergeCell ref="B9:D9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7">
    <cfRule type="expression" dxfId="14" priority="57">
      <formula>$E57="راسب"</formula>
    </cfRule>
  </conditionalFormatting>
  <conditionalFormatting sqref="E57:J57">
    <cfRule type="expression" dxfId="13" priority="58">
      <formula>$E57="مقبول"</formula>
    </cfRule>
    <cfRule type="expression" dxfId="12" priority="59">
      <formula>$E57="جيد"</formula>
    </cfRule>
    <cfRule type="expression" dxfId="11" priority="60">
      <formula>$E57="جيد جداً"</formula>
    </cfRule>
    <cfRule type="expression" dxfId="10" priority="61">
      <formula>$E57="ممتاز"</formula>
    </cfRule>
  </conditionalFormatting>
  <conditionalFormatting sqref="F8:F5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8:J58">
    <cfRule type="containsText" dxfId="6" priority="15" operator="containsText" text="أدخل اسم المحكم">
      <formula>NOT(ISERROR(SEARCH("أدخل اسم المحكم",G58)))</formula>
    </cfRule>
  </conditionalFormatting>
  <conditionalFormatting sqref="H8:H5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F50:F54 F37:F48 F21:F35 F12:F19 F8 F10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G58:J58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176</v>
      </c>
    </row>
    <row r="30" spans="1:3" ht="20.100000000000001" customHeight="1" thickBot="1" x14ac:dyDescent="0.35">
      <c r="A30" s="2" t="s">
        <v>32</v>
      </c>
      <c r="C30" s="17" t="s">
        <v>177</v>
      </c>
    </row>
    <row r="31" spans="1:3" ht="20.100000000000001" customHeight="1" thickBot="1" x14ac:dyDescent="0.35">
      <c r="A31" s="2" t="s">
        <v>33</v>
      </c>
      <c r="C31" s="17" t="s">
        <v>178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45931</v>
      </c>
    </row>
    <row r="40" spans="1:9" ht="20.100000000000001" customHeight="1" thickBot="1" x14ac:dyDescent="0.35">
      <c r="A40" s="11">
        <v>45932</v>
      </c>
    </row>
    <row r="41" spans="1:9" ht="20.100000000000001" customHeight="1" thickBot="1" x14ac:dyDescent="0.35">
      <c r="A41" s="11">
        <v>45933</v>
      </c>
    </row>
    <row r="42" spans="1:9" ht="20.100000000000001" customHeight="1" thickBot="1" x14ac:dyDescent="0.35">
      <c r="A42" s="11">
        <v>45934</v>
      </c>
    </row>
    <row r="43" spans="1:9" ht="20.100000000000001" customHeight="1" thickBot="1" x14ac:dyDescent="0.35">
      <c r="A43" s="11">
        <v>45935</v>
      </c>
    </row>
    <row r="44" spans="1:9" ht="20.100000000000001" customHeight="1" thickBot="1" x14ac:dyDescent="0.35">
      <c r="A44" s="11">
        <v>45936</v>
      </c>
    </row>
    <row r="45" spans="1:9" ht="20.100000000000001" customHeight="1" thickBot="1" x14ac:dyDescent="0.35">
      <c r="A45" s="11">
        <v>45937</v>
      </c>
    </row>
    <row r="46" spans="1:9" ht="20.100000000000001" customHeight="1" thickBot="1" x14ac:dyDescent="0.35">
      <c r="A46" s="11">
        <v>45938</v>
      </c>
    </row>
    <row r="47" spans="1:9" ht="20.100000000000001" customHeight="1" thickBot="1" x14ac:dyDescent="0.35">
      <c r="A47" s="11">
        <v>45939</v>
      </c>
    </row>
    <row r="48" spans="1:9" ht="20.100000000000001" customHeight="1" thickBot="1" x14ac:dyDescent="0.35">
      <c r="A48" s="11">
        <v>45940</v>
      </c>
    </row>
    <row r="49" spans="1:1" ht="20.100000000000001" customHeight="1" thickBot="1" x14ac:dyDescent="0.35">
      <c r="A49" s="11">
        <v>45941</v>
      </c>
    </row>
    <row r="50" spans="1:1" ht="20.100000000000001" customHeight="1" thickBot="1" x14ac:dyDescent="0.35">
      <c r="A50" s="11">
        <v>45942</v>
      </c>
    </row>
    <row r="51" spans="1:1" ht="20.100000000000001" customHeight="1" thickBot="1" x14ac:dyDescent="0.35">
      <c r="A51" s="11">
        <v>45943</v>
      </c>
    </row>
    <row r="52" spans="1:1" ht="20.100000000000001" customHeight="1" thickBot="1" x14ac:dyDescent="0.35">
      <c r="A52" s="11">
        <v>45944</v>
      </c>
    </row>
    <row r="53" spans="1:1" ht="20.100000000000001" customHeight="1" thickBot="1" x14ac:dyDescent="0.35">
      <c r="A53" s="11">
        <v>45945</v>
      </c>
    </row>
    <row r="54" spans="1:1" ht="20.100000000000001" customHeight="1" thickBot="1" x14ac:dyDescent="0.35">
      <c r="A54" s="11">
        <v>45946</v>
      </c>
    </row>
    <row r="55" spans="1:1" ht="20.100000000000001" customHeight="1" thickBot="1" x14ac:dyDescent="0.35">
      <c r="A55" s="11">
        <v>45947</v>
      </c>
    </row>
    <row r="56" spans="1:1" ht="20.100000000000001" customHeight="1" thickBot="1" x14ac:dyDescent="0.35">
      <c r="A56" s="11">
        <v>45948</v>
      </c>
    </row>
    <row r="57" spans="1:1" ht="20.100000000000001" customHeight="1" thickBot="1" x14ac:dyDescent="0.35">
      <c r="A57" s="11">
        <v>45949</v>
      </c>
    </row>
    <row r="58" spans="1:1" ht="20.100000000000001" customHeight="1" thickBot="1" x14ac:dyDescent="0.35">
      <c r="A58" s="11">
        <v>45950</v>
      </c>
    </row>
    <row r="59" spans="1:1" ht="20.100000000000001" customHeight="1" thickBot="1" x14ac:dyDescent="0.35">
      <c r="A59" s="11">
        <v>45951</v>
      </c>
    </row>
    <row r="60" spans="1:1" ht="20.100000000000001" customHeight="1" thickBot="1" x14ac:dyDescent="0.35">
      <c r="A60" s="11">
        <v>45952</v>
      </c>
    </row>
    <row r="61" spans="1:1" ht="20.100000000000001" customHeight="1" thickBot="1" x14ac:dyDescent="0.35">
      <c r="A61" s="11">
        <v>45953</v>
      </c>
    </row>
    <row r="62" spans="1:1" ht="20.100000000000001" customHeight="1" thickBot="1" x14ac:dyDescent="0.35">
      <c r="A62" s="11">
        <v>45954</v>
      </c>
    </row>
    <row r="63" spans="1:1" ht="20.100000000000001" customHeight="1" thickBot="1" x14ac:dyDescent="0.35">
      <c r="A63" s="11">
        <v>45955</v>
      </c>
    </row>
    <row r="64" spans="1:1" ht="20.100000000000001" customHeight="1" thickBot="1" x14ac:dyDescent="0.35">
      <c r="A64" s="11">
        <v>45956</v>
      </c>
    </row>
    <row r="65" spans="1:1" ht="20.100000000000001" customHeight="1" thickBot="1" x14ac:dyDescent="0.35">
      <c r="A65" s="11">
        <v>45957</v>
      </c>
    </row>
    <row r="66" spans="1:1" ht="20.100000000000001" customHeight="1" thickBot="1" x14ac:dyDescent="0.35">
      <c r="A66" s="11">
        <v>45958</v>
      </c>
    </row>
    <row r="67" spans="1:1" ht="20.100000000000001" customHeight="1" thickBot="1" x14ac:dyDescent="0.35">
      <c r="A67" s="11">
        <v>45959</v>
      </c>
    </row>
    <row r="68" spans="1:1" ht="20.100000000000001" customHeight="1" thickBot="1" x14ac:dyDescent="0.35">
      <c r="A68" s="11">
        <v>45960</v>
      </c>
    </row>
    <row r="69" spans="1:1" ht="20.100000000000001" customHeight="1" thickBot="1" x14ac:dyDescent="0.35">
      <c r="A69" s="11">
        <v>45961</v>
      </c>
    </row>
    <row r="70" spans="1:1" ht="20.100000000000001" customHeight="1" thickBot="1" x14ac:dyDescent="0.35">
      <c r="A70" s="11"/>
    </row>
    <row r="71" spans="1:1" ht="20.100000000000001" customHeight="1" thickBot="1" x14ac:dyDescent="0.35">
      <c r="A71" s="11"/>
    </row>
    <row r="72" spans="1:1" ht="20.100000000000001" customHeight="1" thickBot="1" x14ac:dyDescent="0.35">
      <c r="A72" s="11"/>
    </row>
    <row r="73" spans="1:1" ht="20.100000000000001" customHeight="1" thickBot="1" x14ac:dyDescent="0.35">
      <c r="A73" s="11"/>
    </row>
    <row r="74" spans="1:1" ht="20.100000000000001" customHeight="1" thickBot="1" x14ac:dyDescent="0.35">
      <c r="A74" s="11"/>
    </row>
    <row r="75" spans="1:1" ht="20.100000000000001" customHeight="1" thickBot="1" x14ac:dyDescent="0.35">
      <c r="A75" s="11"/>
    </row>
    <row r="76" spans="1:1" ht="20.100000000000001" customHeight="1" thickBot="1" x14ac:dyDescent="0.35">
      <c r="A76" s="11"/>
    </row>
    <row r="77" spans="1:1" ht="20.100000000000001" customHeight="1" thickBot="1" x14ac:dyDescent="0.35">
      <c r="A77" s="11"/>
    </row>
    <row r="78" spans="1:1" ht="20.100000000000001" customHeight="1" thickBot="1" x14ac:dyDescent="0.35">
      <c r="A78" s="11"/>
    </row>
    <row r="79" spans="1:1" ht="20.100000000000001" customHeight="1" thickBot="1" x14ac:dyDescent="0.35">
      <c r="A79" s="11"/>
    </row>
    <row r="80" spans="1:1" ht="20.100000000000001" customHeight="1" thickBot="1" x14ac:dyDescent="0.35">
      <c r="A80" s="11"/>
    </row>
    <row r="81" spans="1:1" ht="20.100000000000001" customHeight="1" thickBot="1" x14ac:dyDescent="0.35">
      <c r="A81" s="11"/>
    </row>
    <row r="82" spans="1:1" ht="20.100000000000001" customHeight="1" thickBot="1" x14ac:dyDescent="0.35">
      <c r="A82" s="11"/>
    </row>
    <row r="83" spans="1:1" ht="20.100000000000001" customHeight="1" thickBot="1" x14ac:dyDescent="0.35">
      <c r="A83" s="11"/>
    </row>
    <row r="84" spans="1:1" ht="20.100000000000001" customHeight="1" thickBot="1" x14ac:dyDescent="0.35">
      <c r="A84" s="11"/>
    </row>
    <row r="85" spans="1:1" ht="20.100000000000001" customHeight="1" thickBot="1" x14ac:dyDescent="0.35">
      <c r="A85" s="11"/>
    </row>
    <row r="86" spans="1:1" ht="20.100000000000001" customHeight="1" thickBot="1" x14ac:dyDescent="0.35">
      <c r="A86" s="11"/>
    </row>
    <row r="87" spans="1:1" ht="20.100000000000001" customHeight="1" thickBot="1" x14ac:dyDescent="0.35">
      <c r="A87" s="11"/>
    </row>
    <row r="88" spans="1:1" ht="20.100000000000001" customHeight="1" thickBot="1" x14ac:dyDescent="0.35">
      <c r="A88" s="11"/>
    </row>
    <row r="89" spans="1:1" ht="20.100000000000001" customHeight="1" thickBot="1" x14ac:dyDescent="0.35">
      <c r="A89" s="11"/>
    </row>
    <row r="90" spans="1:1" ht="20.100000000000001" customHeight="1" thickBot="1" x14ac:dyDescent="0.35">
      <c r="A90" s="11"/>
    </row>
    <row r="91" spans="1:1" ht="20.100000000000001" customHeight="1" thickBot="1" x14ac:dyDescent="0.35">
      <c r="A91" s="11"/>
    </row>
    <row r="92" spans="1:1" ht="20.100000000000001" customHeight="1" thickBot="1" x14ac:dyDescent="0.35">
      <c r="A92" s="11"/>
    </row>
    <row r="93" spans="1:1" ht="20.100000000000001" customHeight="1" thickBot="1" x14ac:dyDescent="0.35">
      <c r="A93" s="11"/>
    </row>
    <row r="94" spans="1:1" ht="20.100000000000001" customHeight="1" thickBot="1" x14ac:dyDescent="0.35">
      <c r="A94" s="11"/>
    </row>
    <row r="95" spans="1:1" ht="20.100000000000001" customHeight="1" thickBot="1" x14ac:dyDescent="0.35">
      <c r="A95" s="11"/>
    </row>
    <row r="96" spans="1:1" ht="20.100000000000001" customHeight="1" thickBot="1" x14ac:dyDescent="0.35">
      <c r="A96" s="11"/>
    </row>
    <row r="97" spans="1:9" ht="20.100000000000001" customHeight="1" thickBot="1" x14ac:dyDescent="0.35">
      <c r="A97" s="11"/>
    </row>
    <row r="98" spans="1:9" ht="20.100000000000001" customHeight="1" thickBot="1" x14ac:dyDescent="0.35">
      <c r="A98" s="11"/>
    </row>
    <row r="99" spans="1:9" ht="20.100000000000001" customHeight="1" thickBot="1" x14ac:dyDescent="0.35">
      <c r="A99" s="11"/>
    </row>
    <row r="100" spans="1:9" ht="20.100000000000001" customHeight="1" thickBot="1" x14ac:dyDescent="0.35">
      <c r="A100" s="11"/>
    </row>
    <row r="101" spans="1:9" ht="20.100000000000001" customHeight="1" thickBot="1" x14ac:dyDescent="0.35">
      <c r="A101" s="11"/>
    </row>
    <row r="102" spans="1:9" ht="20.100000000000001" customHeight="1" thickBot="1" x14ac:dyDescent="0.35">
      <c r="A102" s="11"/>
    </row>
    <row r="103" spans="1:9" ht="20.100000000000001" customHeight="1" thickBot="1" x14ac:dyDescent="0.35">
      <c r="A103" s="11"/>
    </row>
    <row r="104" spans="1:9" ht="20.100000000000001" customHeight="1" thickBot="1" x14ac:dyDescent="0.35">
      <c r="A104" s="11"/>
    </row>
    <row r="105" spans="1:9" ht="20.100000000000001" customHeight="1" thickBot="1" x14ac:dyDescent="0.35">
      <c r="A105" s="11"/>
    </row>
    <row r="106" spans="1:9" ht="20.100000000000001" customHeight="1" thickBot="1" x14ac:dyDescent="0.35">
      <c r="A106" s="11"/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174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175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2025-10-25T03:21:09Z</dcterms:modified>
</cp:coreProperties>
</file>