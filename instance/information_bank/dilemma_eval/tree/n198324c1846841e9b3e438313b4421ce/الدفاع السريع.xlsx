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2AA103E-6D8C-402D-8F8E-E47921E53F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 s="1"/>
  <c r="G12" i="2"/>
  <c r="H12" i="2"/>
  <c r="G13" i="2"/>
  <c r="H13" i="2"/>
  <c r="G14" i="2"/>
  <c r="H14" i="2" s="1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 s="1"/>
  <c r="G22" i="2"/>
  <c r="H22" i="2"/>
  <c r="G23" i="2"/>
  <c r="H23" i="2"/>
  <c r="G24" i="2"/>
  <c r="H24" i="2" s="1"/>
  <c r="G25" i="2"/>
  <c r="H25" i="2"/>
  <c r="G26" i="2"/>
  <c r="H26" i="2" s="1"/>
  <c r="G27" i="2"/>
  <c r="H27" i="2"/>
  <c r="G28" i="2"/>
  <c r="H28" i="2" s="1"/>
  <c r="G29" i="2"/>
  <c r="H29" i="2"/>
  <c r="G30" i="2"/>
  <c r="H30" i="2" s="1"/>
  <c r="G31" i="2"/>
  <c r="H31" i="2"/>
  <c r="G32" i="2"/>
  <c r="H32" i="2" s="1"/>
  <c r="G33" i="2"/>
  <c r="H33" i="2"/>
  <c r="G8" i="2"/>
  <c r="H8" i="2" s="1"/>
  <c r="F34" i="2"/>
  <c r="E35" i="2" s="1"/>
  <c r="E36" i="2" s="1"/>
  <c r="E34" i="2"/>
</calcChain>
</file>

<file path=xl/sharedStrings.xml><?xml version="1.0" encoding="utf-8"?>
<sst xmlns="http://schemas.openxmlformats.org/spreadsheetml/2006/main" count="265" uniqueCount="208">
  <si>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</si>
  <si>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</si>
  <si>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</si>
  <si>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</si>
  <si>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</si>
  <si>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</si>
  <si>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</si>
  <si>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</si>
  <si>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</si>
  <si>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</si>
  <si>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</si>
  <si>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</si>
  <si>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</si>
  <si>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</si>
  <si>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</si>
  <si>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</si>
  <si>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</si>
  <si>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</si>
  <si>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</si>
  <si>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</si>
  <si>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</si>
  <si>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</si>
  <si>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</si>
  <si>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</si>
  <si>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</si>
  <si>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</si>
  <si>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</si>
  <si>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</si>
  <si>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</si>
  <si>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</si>
  <si>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</si>
  <si>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</si>
  <si>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</si>
  <si>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</si>
  <si>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</si>
  <si>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</si>
  <si>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</si>
  <si>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</si>
  <si>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</si>
  <si>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</si>
  <si>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</si>
  <si>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</si>
  <si>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</si>
  <si>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</si>
  <si>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</si>
  <si>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</si>
  <si>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</si>
  <si>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</si>
  <si>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</si>
  <si>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</si>
  <si>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</si>
  <si>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</si>
  <si>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</si>
  <si>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</si>
  <si>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</si>
  <si>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</si>
  <si>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</si>
  <si>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</si>
  <si>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</si>
  <si>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</si>
  <si>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</si>
  <si>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</si>
  <si>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</si>
  <si>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</si>
  <si>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</si>
  <si>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</si>
  <si>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</si>
  <si>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</si>
  <si>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</si>
  <si>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</si>
  <si>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</si>
  <si>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</si>
  <si>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</si>
  <si>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</si>
  <si>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</si>
  <si>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</si>
  <si>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</si>
  <si>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</si>
  <si>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</si>
  <si>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</si>
  <si>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</si>
  <si>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</si>
  <si>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</si>
  <si>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</si>
  <si>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</si>
  <si>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</si>
  <si>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</si>
  <si>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</si>
  <si>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</si>
  <si>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</si>
  <si>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</si>
  <si>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</si>
  <si>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</si>
  <si>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</si>
  <si>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</si>
  <si>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</si>
  <si>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</si>
  <si>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</si>
  <si>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</si>
  <si>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</si>
  <si>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</si>
  <si>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</si>
  <si>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</si>
  <si>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</si>
  <si>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</si>
  <si>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</si>
  <si>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</si>
  <si>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</si>
  <si>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</si>
  <si>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</si>
  <si>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</si>
  <si>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</si>
  <si>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</si>
  <si>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</si>
  <si>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</si>
  <si>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</si>
  <si>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</si>
  <si>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</si>
  <si>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</si>
  <si>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</si>
  <si>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</si>
  <si>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</si>
  <si>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</si>
  <si>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</si>
  <si>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</si>
  <si>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</si>
  <si>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</si>
  <si>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</si>
  <si>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</si>
  <si>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</si>
  <si>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</si>
  <si>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</si>
  <si>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</si>
  <si>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</si>
  <si>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</si>
  <si>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</si>
  <si>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</si>
  <si>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</si>
  <si>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</si>
  <si>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</si>
  <si>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</si>
  <si>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</si>
  <si>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</si>
  <si>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</si>
  <si>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</si>
  <si>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</si>
  <si>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</si>
  <si>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</si>
  <si>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</si>
  <si>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</si>
  <si>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</si>
  <si>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</si>
  <si>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</si>
  <si>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</si>
  <si>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</si>
  <si>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</si>
  <si>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</si>
  <si>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</si>
  <si>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</si>
  <si>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</si>
  <si>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</si>
  <si>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</si>
  <si>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</si>
  <si>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</si>
  <si>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</si>
  <si>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</si>
  <si>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</si>
  <si>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</si>
  <si>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</si>
  <si>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</si>
  <si>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</si>
  <si>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</si>
  <si>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</si>
  <si>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</si>
  <si>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</si>
  <si>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</si>
  <si>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</si>
  <si>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</si>
  <si>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</si>
  <si>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</si>
  <si>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</si>
  <si>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</si>
  <si>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</si>
  <si>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</si>
  <si>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</si>
  <si>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</si>
  <si>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</si>
  <si>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</si>
  <si>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</si>
  <si>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</si>
  <si>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</si>
  <si>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</si>
  <si>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</si>
  <si>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</si>
  <si>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</si>
  <si>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</si>
  <si>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</si>
  <si>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</si>
  <si>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</si>
  <si>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</si>
  <si>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</si>
  <si>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</si>
  <si>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</si>
  <si>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</si>
  <si>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</si>
  <si>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</si>
  <si>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</si>
  <si>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العقيد الركن/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</si>
</sst>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26" zoomScaleNormal="100" zoomScaleSheetLayoutView="100" workbookViewId="0">
      <selection activeCell="F32" sqref="F3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4" t="s">
        <v>206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3">
      <c r="B2" s="11" t="s">
        <v>8</v>
      </c>
      <c r="C2" s="70" t="s">
        <v>35</v>
      </c>
      <c r="D2" s="70"/>
      <c r="E2" s="11" t="s">
        <v>7</v>
      </c>
      <c r="F2" s="65" t="s">
        <v>56</v>
      </c>
      <c r="G2" s="65"/>
      <c r="H2" s="65"/>
      <c r="I2" s="65"/>
      <c r="J2" s="65"/>
    </row>
    <row r="3" spans="1:10" ht="30" customHeight="1" x14ac:dyDescent="0.3">
      <c r="B3" s="11" t="s">
        <v>9</v>
      </c>
      <c r="C3" s="70" t="s">
        <v>62</v>
      </c>
      <c r="D3" s="70"/>
      <c r="E3" s="11" t="s">
        <v>6</v>
      </c>
      <c r="F3" s="70" t="s">
        <v>59</v>
      </c>
      <c r="G3" s="70"/>
      <c r="H3" s="70"/>
      <c r="I3" s="70"/>
      <c r="J3" s="70"/>
    </row>
    <row r="4" spans="1:10" ht="30" customHeight="1" thickBot="1" x14ac:dyDescent="0.35">
      <c r="B4" s="6"/>
      <c r="C4" s="7"/>
      <c r="D4" s="7"/>
      <c r="E4" s="6"/>
      <c r="F4" s="86" t="s">
        <v>207</v>
      </c>
      <c r="G4" s="86"/>
      <c r="H4" s="86"/>
      <c r="I4" s="86"/>
      <c r="J4" s="86"/>
    </row>
    <row r="5" spans="1:10" ht="24.9" customHeight="1" x14ac:dyDescent="0.3">
      <c r="A5" s="9"/>
      <c r="B5" s="66" t="s">
        <v>0</v>
      </c>
      <c r="C5" s="67"/>
      <c r="D5" s="67"/>
      <c r="E5" s="56" t="s">
        <v>1</v>
      </c>
      <c r="F5" s="56"/>
      <c r="G5" s="56"/>
      <c r="H5" s="56"/>
      <c r="I5" s="56" t="s">
        <v>2</v>
      </c>
      <c r="J5" s="57"/>
    </row>
    <row r="6" spans="1:10" ht="24.9" customHeight="1" thickBot="1" x14ac:dyDescent="0.35">
      <c r="A6" s="9"/>
      <c r="B6" s="68"/>
      <c r="C6" s="69"/>
      <c r="D6" s="69"/>
      <c r="E6" s="10" t="s">
        <v>3</v>
      </c>
      <c r="F6" s="10" t="s">
        <v>4</v>
      </c>
      <c r="G6" s="10" t="s">
        <v>23</v>
      </c>
      <c r="H6" s="10" t="s">
        <v>24</v>
      </c>
      <c r="I6" s="58"/>
      <c r="J6" s="59"/>
    </row>
    <row r="7" spans="1:10" ht="24.9" customHeight="1" thickBot="1" x14ac:dyDescent="0.35">
      <c r="A7" s="9"/>
      <c r="B7" s="54" t="s">
        <v>21</v>
      </c>
      <c r="C7" s="55"/>
      <c r="D7" s="55"/>
      <c r="E7" s="27" t="s">
        <v>18</v>
      </c>
      <c r="F7" s="27" t="s">
        <v>19</v>
      </c>
      <c r="G7" s="27" t="s">
        <v>22</v>
      </c>
      <c r="H7" s="27" t="s">
        <v>20</v>
      </c>
      <c r="I7" s="60" t="s">
        <v>25</v>
      </c>
      <c r="J7" s="61"/>
    </row>
    <row r="8" spans="1:10" ht="39.9" customHeight="1" thickBot="1" x14ac:dyDescent="0.35">
      <c r="A8" s="9"/>
      <c r="B8" s="82" t="s">
        <v>180</v>
      </c>
      <c r="C8" s="83"/>
      <c r="D8" s="83"/>
      <c r="E8" s="31">
        <v>5</v>
      </c>
      <c r="F8" s="32">
        <v>3.75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2"/>
      <c r="J8" s="63"/>
    </row>
    <row r="9" spans="1:10" ht="39.9" customHeight="1" thickBot="1" x14ac:dyDescent="0.35">
      <c r="A9" s="9"/>
      <c r="B9" s="80" t="s">
        <v>181</v>
      </c>
      <c r="C9" s="81"/>
      <c r="D9" s="81"/>
      <c r="E9" s="8">
        <v>5</v>
      </c>
      <c r="F9" s="39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9.9" customHeight="1" thickBot="1" x14ac:dyDescent="0.35">
      <c r="A10" s="9"/>
      <c r="B10" s="80" t="s">
        <v>182</v>
      </c>
      <c r="C10" s="81"/>
      <c r="D10" s="81"/>
      <c r="E10" s="8">
        <v>5</v>
      </c>
      <c r="F10" s="39">
        <v>3.75</v>
      </c>
      <c r="G10" s="29">
        <f t="shared" ref="G10:G33" si="0">IFERROR(F10/E10,"")</f>
        <v>0.75</v>
      </c>
      <c r="H10" s="30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9.9" customHeight="1" thickBot="1" x14ac:dyDescent="0.35">
      <c r="A11" s="9"/>
      <c r="B11" s="80" t="s">
        <v>183</v>
      </c>
      <c r="C11" s="81"/>
      <c r="D11" s="81"/>
      <c r="E11" s="8">
        <v>5</v>
      </c>
      <c r="F11" s="39">
        <v>3.75</v>
      </c>
      <c r="G11" s="29">
        <f t="shared" si="0"/>
        <v>0.75</v>
      </c>
      <c r="H11" s="30" t="str">
        <f t="shared" si="1"/>
        <v>جيد</v>
      </c>
      <c r="I11" s="46"/>
      <c r="J11" s="47"/>
    </row>
    <row r="12" spans="1:10" ht="39.9" customHeight="1" x14ac:dyDescent="0.3">
      <c r="A12" s="9"/>
      <c r="B12" s="80" t="s">
        <v>184</v>
      </c>
      <c r="C12" s="81"/>
      <c r="D12" s="81"/>
      <c r="E12" s="8">
        <v>5</v>
      </c>
      <c r="F12" s="39">
        <v>3.75</v>
      </c>
      <c r="G12" s="29">
        <f t="shared" si="0"/>
        <v>0.75</v>
      </c>
      <c r="H12" s="30" t="str">
        <f t="shared" si="1"/>
        <v>جيد</v>
      </c>
      <c r="I12" s="46"/>
      <c r="J12" s="47"/>
    </row>
    <row r="13" spans="1:10" ht="39.9" customHeight="1" x14ac:dyDescent="0.3">
      <c r="A13" s="9"/>
      <c r="B13" s="80" t="s">
        <v>185</v>
      </c>
      <c r="C13" s="81"/>
      <c r="D13" s="81"/>
      <c r="E13" s="8">
        <v>5</v>
      </c>
      <c r="F13" s="25">
        <v>3.5</v>
      </c>
      <c r="G13" s="29">
        <f t="shared" si="0"/>
        <v>0.7</v>
      </c>
      <c r="H13" s="30" t="str">
        <f t="shared" si="1"/>
        <v>جيد</v>
      </c>
      <c r="I13" s="46"/>
      <c r="J13" s="47"/>
    </row>
    <row r="14" spans="1:10" ht="39.9" customHeight="1" x14ac:dyDescent="0.3">
      <c r="A14" s="9"/>
      <c r="B14" s="80" t="s">
        <v>186</v>
      </c>
      <c r="C14" s="81"/>
      <c r="D14" s="81"/>
      <c r="E14" s="8">
        <v>5</v>
      </c>
      <c r="F14" s="38">
        <v>3.5</v>
      </c>
      <c r="G14" s="29">
        <f t="shared" si="0"/>
        <v>0.7</v>
      </c>
      <c r="H14" s="30" t="str">
        <f t="shared" si="1"/>
        <v>جيد</v>
      </c>
      <c r="I14" s="46"/>
      <c r="J14" s="47"/>
    </row>
    <row r="15" spans="1:10" ht="39.9" customHeight="1" x14ac:dyDescent="0.3">
      <c r="A15" s="9"/>
      <c r="B15" s="80" t="s">
        <v>187</v>
      </c>
      <c r="C15" s="81"/>
      <c r="D15" s="81"/>
      <c r="E15" s="8">
        <v>5</v>
      </c>
      <c r="F15" s="25">
        <v>4</v>
      </c>
      <c r="G15" s="29">
        <f t="shared" si="0"/>
        <v>0.8</v>
      </c>
      <c r="H15" s="30" t="str">
        <f t="shared" si="1"/>
        <v>جيد جداً</v>
      </c>
      <c r="I15" s="46"/>
      <c r="J15" s="47"/>
    </row>
    <row r="16" spans="1:10" ht="39.9" customHeight="1" x14ac:dyDescent="0.3">
      <c r="A16" s="9"/>
      <c r="B16" s="80" t="s">
        <v>188</v>
      </c>
      <c r="C16" s="81"/>
      <c r="D16" s="81"/>
      <c r="E16" s="8">
        <v>5</v>
      </c>
      <c r="F16" s="25">
        <v>4</v>
      </c>
      <c r="G16" s="29">
        <f t="shared" si="0"/>
        <v>0.8</v>
      </c>
      <c r="H16" s="30" t="str">
        <f t="shared" si="1"/>
        <v>جيد جداً</v>
      </c>
      <c r="I16" s="46"/>
      <c r="J16" s="47"/>
    </row>
    <row r="17" spans="1:10" ht="39.9" customHeight="1" x14ac:dyDescent="0.3">
      <c r="A17" s="9"/>
      <c r="B17" s="80" t="s">
        <v>189</v>
      </c>
      <c r="C17" s="81"/>
      <c r="D17" s="81"/>
      <c r="E17" s="8">
        <v>5</v>
      </c>
      <c r="F17" s="25">
        <v>3.75</v>
      </c>
      <c r="G17" s="29">
        <f t="shared" si="0"/>
        <v>0.75</v>
      </c>
      <c r="H17" s="30" t="str">
        <f t="shared" si="1"/>
        <v>جيد</v>
      </c>
      <c r="I17" s="46"/>
      <c r="J17" s="47"/>
    </row>
    <row r="18" spans="1:10" ht="39.9" customHeight="1" x14ac:dyDescent="0.3">
      <c r="A18" s="9"/>
      <c r="B18" s="80" t="s">
        <v>190</v>
      </c>
      <c r="C18" s="81"/>
      <c r="D18" s="81"/>
      <c r="E18" s="8">
        <v>5</v>
      </c>
      <c r="F18" s="25">
        <v>3.75</v>
      </c>
      <c r="G18" s="29">
        <f t="shared" si="0"/>
        <v>0.75</v>
      </c>
      <c r="H18" s="30" t="str">
        <f t="shared" si="1"/>
        <v>جيد</v>
      </c>
      <c r="I18" s="46"/>
      <c r="J18" s="47"/>
    </row>
    <row r="19" spans="1:10" ht="39.9" customHeight="1" x14ac:dyDescent="0.3">
      <c r="A19" s="9"/>
      <c r="B19" s="80" t="s">
        <v>191</v>
      </c>
      <c r="C19" s="81"/>
      <c r="D19" s="81"/>
      <c r="E19" s="8">
        <v>5</v>
      </c>
      <c r="F19" s="25">
        <v>4</v>
      </c>
      <c r="G19" s="29">
        <f t="shared" si="0"/>
        <v>0.8</v>
      </c>
      <c r="H19" s="30" t="str">
        <f t="shared" si="1"/>
        <v>جيد جداً</v>
      </c>
      <c r="I19" s="46"/>
      <c r="J19" s="47"/>
    </row>
    <row r="20" spans="1:10" ht="39.9" customHeight="1" x14ac:dyDescent="0.3">
      <c r="A20" s="9"/>
      <c r="B20" s="80" t="s">
        <v>192</v>
      </c>
      <c r="C20" s="81"/>
      <c r="D20" s="81"/>
      <c r="E20" s="8">
        <v>5</v>
      </c>
      <c r="F20" s="25">
        <v>3.75</v>
      </c>
      <c r="G20" s="29">
        <f t="shared" si="0"/>
        <v>0.75</v>
      </c>
      <c r="H20" s="30" t="str">
        <f t="shared" si="1"/>
        <v>جيد</v>
      </c>
      <c r="I20" s="46"/>
      <c r="J20" s="47"/>
    </row>
    <row r="21" spans="1:10" ht="39.9" customHeight="1" x14ac:dyDescent="0.3">
      <c r="A21" s="9"/>
      <c r="B21" s="78" t="s">
        <v>193</v>
      </c>
      <c r="C21" s="79"/>
      <c r="D21" s="79"/>
      <c r="E21" s="8">
        <v>5</v>
      </c>
      <c r="F21" s="38">
        <v>3.75</v>
      </c>
      <c r="G21" s="29">
        <f t="shared" si="0"/>
        <v>0.75</v>
      </c>
      <c r="H21" s="30" t="str">
        <f t="shared" si="1"/>
        <v>جيد</v>
      </c>
      <c r="I21" s="46"/>
      <c r="J21" s="47"/>
    </row>
    <row r="22" spans="1:10" ht="39.9" customHeight="1" x14ac:dyDescent="0.3">
      <c r="A22" s="9"/>
      <c r="B22" s="78" t="s">
        <v>194</v>
      </c>
      <c r="C22" s="79"/>
      <c r="D22" s="79"/>
      <c r="E22" s="8">
        <v>5</v>
      </c>
      <c r="F22" s="38">
        <v>3.75</v>
      </c>
      <c r="G22" s="29">
        <f t="shared" si="0"/>
        <v>0.75</v>
      </c>
      <c r="H22" s="30" t="str">
        <f t="shared" si="1"/>
        <v>جيد</v>
      </c>
      <c r="I22" s="46"/>
      <c r="J22" s="47"/>
    </row>
    <row r="23" spans="1:10" ht="39.9" customHeight="1" x14ac:dyDescent="0.3">
      <c r="A23" s="9"/>
      <c r="B23" s="78" t="s">
        <v>195</v>
      </c>
      <c r="C23" s="79"/>
      <c r="D23" s="79"/>
      <c r="E23" s="8">
        <v>5</v>
      </c>
      <c r="F23" s="38">
        <v>3.75</v>
      </c>
      <c r="G23" s="29">
        <f t="shared" si="0"/>
        <v>0.75</v>
      </c>
      <c r="H23" s="30" t="str">
        <f t="shared" si="1"/>
        <v>جيد</v>
      </c>
      <c r="I23" s="46"/>
      <c r="J23" s="47"/>
    </row>
    <row r="24" spans="1:10" ht="39.9" customHeight="1" x14ac:dyDescent="0.3">
      <c r="A24" s="9"/>
      <c r="B24" s="78" t="s">
        <v>196</v>
      </c>
      <c r="C24" s="79"/>
      <c r="D24" s="79"/>
      <c r="E24" s="8">
        <v>5</v>
      </c>
      <c r="F24" s="38">
        <v>3.75</v>
      </c>
      <c r="G24" s="29">
        <f t="shared" si="0"/>
        <v>0.75</v>
      </c>
      <c r="H24" s="30" t="str">
        <f t="shared" si="1"/>
        <v>جيد</v>
      </c>
      <c r="I24" s="46"/>
      <c r="J24" s="47"/>
    </row>
    <row r="25" spans="1:10" ht="39.9" customHeight="1" x14ac:dyDescent="0.3">
      <c r="A25" s="9"/>
      <c r="B25" s="78" t="s">
        <v>197</v>
      </c>
      <c r="C25" s="79"/>
      <c r="D25" s="79"/>
      <c r="E25" s="8">
        <v>5</v>
      </c>
      <c r="F25" s="25">
        <v>4</v>
      </c>
      <c r="G25" s="29">
        <f t="shared" si="0"/>
        <v>0.8</v>
      </c>
      <c r="H25" s="30" t="str">
        <f t="shared" si="1"/>
        <v>جيد جداً</v>
      </c>
      <c r="I25" s="46"/>
      <c r="J25" s="47"/>
    </row>
    <row r="26" spans="1:10" ht="39.9" customHeight="1" x14ac:dyDescent="0.3">
      <c r="A26" s="9"/>
      <c r="B26" s="78" t="s">
        <v>198</v>
      </c>
      <c r="C26" s="79"/>
      <c r="D26" s="79"/>
      <c r="E26" s="8">
        <v>5</v>
      </c>
      <c r="F26" s="25">
        <v>3.5</v>
      </c>
      <c r="G26" s="29">
        <f t="shared" si="0"/>
        <v>0.7</v>
      </c>
      <c r="H26" s="30" t="str">
        <f t="shared" si="1"/>
        <v>جيد</v>
      </c>
      <c r="I26" s="46"/>
      <c r="J26" s="47"/>
    </row>
    <row r="27" spans="1:10" ht="39.9" customHeight="1" x14ac:dyDescent="0.3">
      <c r="A27" s="9"/>
      <c r="B27" s="78" t="s">
        <v>199</v>
      </c>
      <c r="C27" s="79"/>
      <c r="D27" s="79"/>
      <c r="E27" s="8">
        <v>5</v>
      </c>
      <c r="F27" s="38">
        <v>3.5</v>
      </c>
      <c r="G27" s="29">
        <f t="shared" si="0"/>
        <v>0.7</v>
      </c>
      <c r="H27" s="30" t="str">
        <f t="shared" si="1"/>
        <v>جيد</v>
      </c>
      <c r="I27" s="46"/>
      <c r="J27" s="47"/>
    </row>
    <row r="28" spans="1:10" ht="39.9" customHeight="1" x14ac:dyDescent="0.3">
      <c r="A28" s="9"/>
      <c r="B28" s="78" t="s">
        <v>200</v>
      </c>
      <c r="C28" s="79"/>
      <c r="D28" s="79"/>
      <c r="E28" s="8">
        <v>5</v>
      </c>
      <c r="F28" s="38">
        <v>3.5</v>
      </c>
      <c r="G28" s="29">
        <f t="shared" si="0"/>
        <v>0.7</v>
      </c>
      <c r="H28" s="30" t="str">
        <f t="shared" si="1"/>
        <v>جيد</v>
      </c>
      <c r="I28" s="46"/>
      <c r="J28" s="47"/>
    </row>
    <row r="29" spans="1:10" ht="39.9" customHeight="1" x14ac:dyDescent="0.3">
      <c r="A29" s="9"/>
      <c r="B29" s="78" t="s">
        <v>201</v>
      </c>
      <c r="C29" s="79"/>
      <c r="D29" s="79"/>
      <c r="E29" s="8">
        <v>5</v>
      </c>
      <c r="F29" s="38">
        <v>3.5</v>
      </c>
      <c r="G29" s="29">
        <f t="shared" si="0"/>
        <v>0.7</v>
      </c>
      <c r="H29" s="30" t="str">
        <f t="shared" si="1"/>
        <v>جيد</v>
      </c>
      <c r="I29" s="46"/>
      <c r="J29" s="47"/>
    </row>
    <row r="30" spans="1:10" ht="39.9" customHeight="1" x14ac:dyDescent="0.3">
      <c r="A30" s="9"/>
      <c r="B30" s="78" t="s">
        <v>202</v>
      </c>
      <c r="C30" s="79"/>
      <c r="D30" s="79"/>
      <c r="E30" s="8">
        <v>5</v>
      </c>
      <c r="F30" s="38">
        <v>3.5</v>
      </c>
      <c r="G30" s="29">
        <f t="shared" si="0"/>
        <v>0.7</v>
      </c>
      <c r="H30" s="30" t="str">
        <f t="shared" si="1"/>
        <v>جيد</v>
      </c>
      <c r="I30" s="46"/>
      <c r="J30" s="47"/>
    </row>
    <row r="31" spans="1:10" ht="39.9" customHeight="1" x14ac:dyDescent="0.3">
      <c r="A31" s="9"/>
      <c r="B31" s="78" t="s">
        <v>203</v>
      </c>
      <c r="C31" s="79"/>
      <c r="D31" s="79"/>
      <c r="E31" s="8">
        <v>5</v>
      </c>
      <c r="F31" s="25">
        <v>4</v>
      </c>
      <c r="G31" s="29">
        <f t="shared" si="0"/>
        <v>0.8</v>
      </c>
      <c r="H31" s="30" t="str">
        <f t="shared" si="1"/>
        <v>جيد جداً</v>
      </c>
      <c r="I31" s="46"/>
      <c r="J31" s="47"/>
    </row>
    <row r="32" spans="1:10" ht="39.9" customHeight="1" x14ac:dyDescent="0.3">
      <c r="A32" s="9"/>
      <c r="B32" s="78" t="s">
        <v>204</v>
      </c>
      <c r="C32" s="79"/>
      <c r="D32" s="79"/>
      <c r="E32" s="8">
        <v>5</v>
      </c>
      <c r="F32" s="25">
        <v>3.75</v>
      </c>
      <c r="G32" s="29">
        <f t="shared" si="0"/>
        <v>0.75</v>
      </c>
      <c r="H32" s="30" t="str">
        <f t="shared" si="1"/>
        <v>جيد</v>
      </c>
      <c r="I32" s="46"/>
      <c r="J32" s="47"/>
    </row>
    <row r="33" spans="1:10" ht="39.9" customHeight="1" thickBot="1" x14ac:dyDescent="0.35">
      <c r="A33" s="9"/>
      <c r="B33" s="84" t="s">
        <v>205</v>
      </c>
      <c r="C33" s="85"/>
      <c r="D33" s="85"/>
      <c r="E33" s="35">
        <v>5</v>
      </c>
      <c r="F33" s="26">
        <v>3.75</v>
      </c>
      <c r="G33" s="36">
        <f t="shared" si="0"/>
        <v>0.75</v>
      </c>
      <c r="H33" s="37" t="str">
        <f t="shared" si="1"/>
        <v>جيد</v>
      </c>
      <c r="I33" s="48"/>
      <c r="J33" s="49"/>
    </row>
    <row r="34" spans="1:10" ht="30" customHeight="1" thickBot="1" x14ac:dyDescent="0.35">
      <c r="A34" s="4"/>
      <c r="B34" s="50" t="s">
        <v>5</v>
      </c>
      <c r="C34" s="51"/>
      <c r="D34" s="51"/>
      <c r="E34" s="28">
        <f>SUM(E8:E33)</f>
        <v>130</v>
      </c>
      <c r="F34" s="28">
        <f>SUM(F8:F33)</f>
        <v>97</v>
      </c>
      <c r="G34" s="73"/>
      <c r="H34" s="74"/>
      <c r="I34" s="74"/>
      <c r="J34" s="75"/>
    </row>
    <row r="35" spans="1:10" ht="30" customHeight="1" thickBot="1" x14ac:dyDescent="0.35">
      <c r="A35" s="4"/>
      <c r="B35" s="52" t="s">
        <v>54</v>
      </c>
      <c r="C35" s="53"/>
      <c r="D35" s="53"/>
      <c r="E35" s="76">
        <f>F34/E34/100*100</f>
        <v>0.74615384615384617</v>
      </c>
      <c r="F35" s="76"/>
      <c r="G35" s="76"/>
      <c r="H35" s="76"/>
      <c r="I35" s="76"/>
      <c r="J35" s="77"/>
    </row>
    <row r="36" spans="1:10" ht="30" customHeight="1" thickBot="1" x14ac:dyDescent="0.35">
      <c r="A36" s="4"/>
      <c r="B36" s="52" t="s">
        <v>55</v>
      </c>
      <c r="C36" s="53"/>
      <c r="D36" s="53"/>
      <c r="E36" s="44" t="str">
        <f>_xlfn.IFS(E35&gt;=90%,"ممتاز",E35&gt;=80%,"جيد جداً",E35&gt;=70%,"جيد",E35&gt;=60%,"مقبول",E35&lt;60%,"راسب")</f>
        <v>جيد</v>
      </c>
      <c r="F36" s="44"/>
      <c r="G36" s="44"/>
      <c r="H36" s="44"/>
      <c r="I36" s="44"/>
      <c r="J36" s="45"/>
    </row>
    <row r="37" spans="1:10" ht="42" customHeight="1" x14ac:dyDescent="0.3">
      <c r="B37" s="40" t="s">
        <v>174</v>
      </c>
      <c r="C37" s="40"/>
      <c r="D37" s="40"/>
      <c r="E37" s="71" t="s">
        <v>52</v>
      </c>
      <c r="F37" s="71"/>
      <c r="G37" s="42" t="s">
        <v>59</v>
      </c>
      <c r="H37" s="42"/>
      <c r="I37" s="42"/>
      <c r="J37" s="42"/>
    </row>
    <row r="38" spans="1:10" ht="51" customHeight="1" x14ac:dyDescent="0.3">
      <c r="A38" s="5"/>
      <c r="B38" s="41"/>
      <c r="C38" s="41"/>
      <c r="D38" s="41"/>
      <c r="E38" s="72" t="s">
        <v>53</v>
      </c>
      <c r="F38" s="72"/>
      <c r="G38" s="43"/>
      <c r="H38" s="43"/>
      <c r="I38" s="43"/>
      <c r="J38" s="43"/>
    </row>
  </sheetData>
  <sheetProtection formatCells="0" formatColumns="0" formatRows="0" insertColumns="0" insertRows="0" insertHyperlinks="0" deleteColumns="0" deleteRows="0" selectLockedCells="1" sort="0" autoFilter="0" pivotTables="0"/>
  <mergeCells count="74">
    <mergeCell ref="B29:D29"/>
    <mergeCell ref="B30:D30"/>
    <mergeCell ref="B31:D31"/>
    <mergeCell ref="B32:D32"/>
    <mergeCell ref="F4:J4"/>
    <mergeCell ref="B21:D21"/>
    <mergeCell ref="B22:D22"/>
    <mergeCell ref="B23:D23"/>
    <mergeCell ref="B24:D24"/>
    <mergeCell ref="B28:D28"/>
    <mergeCell ref="B25:D25"/>
    <mergeCell ref="B27:D27"/>
    <mergeCell ref="B26:D26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33:D3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2025-10-30T05:48:20Z</dcterms:modified>
</cp:coreProperties>
</file>