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B1414A6F-BD63-48B7-A81D-A2EFB26D547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2" l="1"/>
  <c r="E16" i="2" s="1"/>
  <c r="E17" i="2" s="1"/>
  <c r="E15" i="2"/>
  <c r="G11" i="2"/>
  <c r="H11" i="2" s="1"/>
  <c r="G10" i="2"/>
  <c r="H10" i="2"/>
  <c r="G8" i="2"/>
  <c r="H8" i="2"/>
  <c r="G9" i="2"/>
  <c r="H9" i="2" s="1"/>
  <c r="G13" i="2"/>
  <c r="H13" i="2" s="1"/>
  <c r="G14" i="2"/>
  <c r="H14" i="2" s="1"/>
  <c r="G12" i="2"/>
  <c r="H12" i="2"/>
</calcChain>
</file>

<file path=xl/sharedStrings.xml><?xml version="1.0" encoding="utf-8"?>
<sst xmlns="http://schemas.openxmlformats.org/spreadsheetml/2006/main" count="241" uniqueCount="185">
  <si>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</si>
  <si>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</si>
  <si>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</si>
  <si>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</si>
  <si>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</si>
  <si>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</si>
  <si>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</si>
  <si>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</si>
  <si>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</si>
  <si>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</si>
  <si>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</si>
  <si>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</si>
  <si>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</si>
  <si>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</si>
  <si>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</si>
  <si>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</si>
  <si>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</si>
  <si>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</si>
  <si>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</si>
  <si>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</si>
  <si>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</si>
  <si>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</si>
  <si>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</si>
  <si>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</si>
  <si>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</si>
  <si>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</si>
  <si>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</si>
  <si>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</si>
  <si>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</si>
  <si>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</si>
  <si>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</si>
  <si>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</si>
  <si>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</si>
  <si>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</si>
  <si>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</si>
  <si>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</si>
  <si>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</si>
  <si>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</si>
  <si>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</si>
  <si>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</si>
  <si>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</si>
  <si>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</si>
  <si>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</si>
  <si>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</si>
  <si>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</si>
  <si>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</si>
  <si>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</si>
  <si>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</si>
  <si>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</si>
  <si>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</si>
  <si>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</si>
  <si>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</si>
  <si>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</si>
  <si>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</si>
  <si>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</si>
  <si>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</si>
  <si>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</si>
  <si>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</si>
  <si>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</si>
  <si>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</si>
  <si>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</si>
  <si>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</si>
  <si>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</si>
  <si>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</si>
  <si>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</si>
  <si>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</si>
  <si>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</si>
  <si>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</si>
  <si>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</si>
  <si>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</si>
  <si>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</si>
  <si>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</si>
  <si>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</si>
  <si>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</si>
  <si>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</si>
  <si>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</si>
  <si>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</si>
  <si>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</si>
  <si>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</si>
  <si>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</si>
  <si>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</si>
  <si>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</si>
  <si>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</si>
  <si>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</si>
  <si>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</si>
  <si>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</si>
  <si>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</si>
  <si>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</si>
  <si>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</si>
  <si>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</si>
  <si>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</si>
  <si>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</si>
  <si>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</si>
  <si>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</si>
  <si>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</si>
  <si>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</si>
  <si>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</si>
  <si>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</si>
  <si>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</si>
  <si>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</si>
  <si>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</si>
  <si>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</si>
  <si>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</si>
  <si>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</si>
  <si>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</si>
  <si>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</si>
  <si>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</si>
  <si>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</si>
  <si>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</si>
  <si>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</si>
  <si>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</si>
  <si>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</si>
  <si>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</si>
  <si>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</si>
  <si>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</si>
  <si>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</si>
  <si>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</si>
  <si>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</si>
  <si>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</si>
  <si>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</si>
  <si>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</si>
  <si>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</si>
  <si>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</si>
  <si>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</si>
  <si>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</si>
  <si>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</si>
  <si>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</si>
  <si>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</si>
  <si>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</si>
  <si>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</si>
  <si>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</si>
  <si>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</si>
  <si>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</si>
  <si>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</si>
  <si>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</si>
  <si>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</si>
  <si>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</si>
  <si>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</si>
  <si>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</si>
  <si>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</si>
  <si>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</si>
  <si>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</si>
  <si>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</si>
  <si>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</si>
  <si>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</si>
  <si>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</si>
  <si>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</si>
  <si>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</si>
  <si>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</si>
  <si>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</si>
  <si>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</si>
  <si>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</si>
  <si>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</si>
  <si>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</si>
  <si>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</si>
  <si>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</si>
  <si>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</si>
  <si>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</si>
  <si>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</si>
  <si>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</si>
  <si>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</si>
  <si>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</si>
  <si>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</si>
  <si>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</si>
  <si>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</si>
  <si>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</si>
  <si>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</si>
  <si>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</si>
  <si>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</si>
  <si>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</si>
  <si>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</si>
  <si>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</si>
  <si>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</si>
  <si>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</si>
  <si>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</si>
  <si>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</si>
  <si>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2.	استخدام مواقع رمي مموهه ومخفية بشكل جيد.</t>
  </si>
  <si>
    <t>3.	تنفيذ مهام الرمي باستخدام أقل حشوة وارتفاع.</t>
  </si>
  <si>
    <t>4.	التغيير المتكرر للمواقع للرماية من مواقع محضرة وغير محضرة.</t>
  </si>
  <si>
    <t>5.	رماية نيران مكثفة من أقسام متعددة.</t>
  </si>
  <si>
    <t>6.	تحويل نيران الهاون إلى مواقع عمق العدو أو مواقع إسناده عند وصول عناصر الاقتحام إلى خط البدء المحدد.</t>
  </si>
  <si>
    <t>7.	تنفيذ الاقتحام النهائي بجميع أسلحة الرمي المباشر المتوفرة من مواقع الإسناد بالنيران ومن عناصر الاقتحام.</t>
  </si>
  <si>
    <r>
      <rPr>
        <b/>
        <sz val="14"/>
        <color rgb="FF000000"/>
        <rFont val="Arial"/>
        <family val="2"/>
      </rPr>
      <t>تقييم فصيل الهاون 120 ملم في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</si>
  <si>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	تحضير الذخيرة، ومعايرة المدافع، وإعادة التزويد قبل بدء الهجوم.</t>
  </si>
  <si>
    <t>ملازم/1 خليفة سعيد المسافري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</si>
</sst>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449762</xdr:colOff>
      <xdr:row>17</xdr:row>
      <xdr:rowOff>249316</xdr:rowOff>
    </xdr:from>
    <xdr:to>
      <xdr:col>8</xdr:col>
      <xdr:colOff>207820</xdr:colOff>
      <xdr:row>19</xdr:row>
      <xdr:rowOff>104072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B60DB24-4ABD-ACC1-0AEF-A514524809F9}"/>
                </a:ext>
              </a:extLst>
            </xdr14:cNvPr>
            <xdr14:cNvContentPartPr/>
          </xdr14:nvContentPartPr>
          <xdr14:nvPr macro=""/>
          <xdr14:xfrm>
            <a:off x="10436843836" y="7606080"/>
            <a:ext cx="1074240" cy="10393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B60DB24-4ABD-ACC1-0AEF-A514524809F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6837716" y="7599960"/>
              <a:ext cx="1086480" cy="10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172922</xdr:colOff>
      <xdr:row>19</xdr:row>
      <xdr:rowOff>75992</xdr:rowOff>
    </xdr:from>
    <xdr:to>
      <xdr:col>6</xdr:col>
      <xdr:colOff>187322</xdr:colOff>
      <xdr:row>19</xdr:row>
      <xdr:rowOff>90032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2B6EA80-9F1B-90E2-F104-8B8F59399496}"/>
                </a:ext>
              </a:extLst>
            </xdr14:cNvPr>
            <xdr14:cNvContentPartPr/>
          </xdr14:nvContentPartPr>
          <xdr14:nvPr macro=""/>
          <xdr14:xfrm>
            <a:off x="10438180516" y="8617320"/>
            <a:ext cx="14400" cy="14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2B6EA80-9F1B-90E2-F104-8B8F5939949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8174396" y="8611200"/>
              <a:ext cx="26640" cy="26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37:02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2506 2250,'0'0,"0"0,0 0,0 0,0 0,0 0,-19 0,10 0,-1 0,-8 19,9-19,-1 0,-27 0,19 10,-1-1,-18 10,18-9,1 0,-38 9,36-9,3-1,-20 10,-3 1,5-1,-20 0,25 1,5-2,-31 2,37-10,1-1,-20 10,18-19,4 0,-22 0,18 0,3 0,-2 0,10 0,0 0,-10 0,10-10,0 1,-5 9,10 0,-6 0,1 0,9-10,0 1,-19 9,10 0,0 0,-9 0,8 10,0-1,-8-9,-3 0,5 0,-21 0,15 0,7 0,-4 0,-11 10,5-1,-31-9,35 11,4-3,-1-8,-22 11,6-2,-59 29,63-28,4-1,-29 30,16-19,4-2,-21 21,26-19,4-2,-48 21,53-29,5-1,-22 10,18-8,4-2,-3-9,10 0,37 0,-10 0,0 0,57-39,-17 9,-4 2,112-68,-68 45,-10 6,134-90,-91 42,-20 13,130-73,-120 70,-20 12,86-64,-100 64,-8 8,32-33,-61 65,-6 4,30-31,-65 38,1 2,26-21,-26 29,-1 1,10-10,-11 19,2 0,-28 0,8 10,1-1,-46 10,15 12,5-4,-77 31,43-18,9-3,-33 40,23-26,10-6,-32 12,43-26,4-4,-10 12,34-19,5-2,-40 21,29-20,17-19,0 5,38-10,-9-14,0-2,-1 3,19-1,-18-1,0 1,17-19,-5 7,-6 4,13-11,-18 17,-4 3,40-20,-35 17,-5 3,22-20,-30 27,2 3,8-12,-8 10,-1 1,10-10,-10 9,0 20,-4-10,-28 0,13 0,1 0,-10 19,11-19,-2 0,-27 19,6-8,6-2,-12 29,7-28,5-1,-31 30,26-19,4-2,-30 21,26-19,5-2,-31 40,26-37,4-4,-11 22,28-29,-1-1,-27 30,28-29,0-1,-9-9,18 10,0-1,0-28,9 19,0 0,46-39,-34 19,-4 2,75-59,-13 5,-9 9,78-91,-60 73,-9 8,88-119,-78 99,-10 13,14-36,-54 55,-4 7,21-23,-48 37,2 4,-10-22,0 17,0 5,-18-60,-13 55,6 5,-87-79,42 73,11 7,-164-62,93 56,19 5,-186 17,148 19,19 0,-167 58,140-17,17-5,-101 60,122-25,15-7,-45 51,80-53,9-8,-33 79,63-61,5-9,5 53,12-34,-2-11,10 103,21-92,-4-10,57 101,-5-81,-9-11,70 73,-39-92,-15-9,147 62,-93-63,-19-8,130 14,-111-58,-18 0,129 0,-123 0,-13 0,99-39,-107 19,-8 2,59-21,-78 29,-10 1,-60 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7T17:37:02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1,'0'0,"0"0,0 0,0 0,0 0,0 0,19 19,0 0,-19-19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9"/>
  <sheetViews>
    <sheetView rightToLeft="1" tabSelected="1" view="pageBreakPreview" topLeftCell="A9" zoomScale="130" zoomScaleNormal="100" zoomScaleSheetLayoutView="130" workbookViewId="0">
      <selection activeCell="K16" sqref="K1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182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8</v>
      </c>
      <c r="C2" s="65" t="s">
        <v>11</v>
      </c>
      <c r="D2" s="65"/>
      <c r="E2" s="12" t="s">
        <v>7</v>
      </c>
      <c r="F2" s="60">
        <v>45937</v>
      </c>
      <c r="G2" s="60"/>
      <c r="H2" s="60"/>
      <c r="I2" s="60"/>
      <c r="J2" s="60"/>
    </row>
    <row r="3" spans="1:10" ht="30" customHeight="1" x14ac:dyDescent="0.3">
      <c r="B3" s="12" t="s">
        <v>9</v>
      </c>
      <c r="C3" s="65" t="s">
        <v>60</v>
      </c>
      <c r="D3" s="65"/>
      <c r="E3" s="12" t="s">
        <v>6</v>
      </c>
      <c r="F3" s="65" t="s">
        <v>135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 t="s">
        <v>184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1" t="s">
        <v>1</v>
      </c>
      <c r="F5" s="41"/>
      <c r="G5" s="41"/>
      <c r="H5" s="41"/>
      <c r="I5" s="41" t="s">
        <v>2</v>
      </c>
      <c r="J5" s="42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23</v>
      </c>
      <c r="H6" s="11" t="s">
        <v>24</v>
      </c>
      <c r="I6" s="43"/>
      <c r="J6" s="44"/>
    </row>
    <row r="7" spans="1:10" ht="24.9" customHeight="1" thickBot="1" x14ac:dyDescent="0.35">
      <c r="A7" s="10"/>
      <c r="B7" s="39" t="s">
        <v>21</v>
      </c>
      <c r="C7" s="40"/>
      <c r="D7" s="40"/>
      <c r="E7" s="26" t="s">
        <v>18</v>
      </c>
      <c r="F7" s="26" t="s">
        <v>19</v>
      </c>
      <c r="G7" s="26" t="s">
        <v>22</v>
      </c>
      <c r="H7" s="26" t="s">
        <v>20</v>
      </c>
      <c r="I7" s="45" t="s">
        <v>25</v>
      </c>
      <c r="J7" s="46"/>
    </row>
    <row r="8" spans="1:10" ht="39.9" customHeight="1" x14ac:dyDescent="0.3">
      <c r="A8" s="10"/>
      <c r="B8" s="55" t="s">
        <v>183</v>
      </c>
      <c r="C8" s="56"/>
      <c r="D8" s="56"/>
      <c r="E8" s="30">
        <v>5</v>
      </c>
      <c r="F8" s="37">
        <v>3.5</v>
      </c>
      <c r="G8" s="31">
        <f t="shared" ref="G8:G13" si="0">IFERROR(F8/E8,"")</f>
        <v>0.7</v>
      </c>
      <c r="H8" s="32" t="str">
        <f t="shared" ref="H8:H13" si="1">_xlfn.IFS(F8="أدخل العلامة","",F8="لا ينطبق","تم الإلغاء",G8&gt;=90%,"ممتاز",G8&gt;=80%,"جيد جداً",G8&gt;=70%,"جيد",G8&gt;=60%,"مقبول",G8&lt;60%,"راسب")</f>
        <v>جيد</v>
      </c>
      <c r="I8" s="57"/>
      <c r="J8" s="58"/>
    </row>
    <row r="9" spans="1:10" ht="39.9" customHeight="1" x14ac:dyDescent="0.3">
      <c r="A9" s="10"/>
      <c r="B9" s="51" t="s">
        <v>176</v>
      </c>
      <c r="C9" s="52"/>
      <c r="D9" s="52"/>
      <c r="E9" s="9">
        <v>5</v>
      </c>
      <c r="F9" s="36">
        <v>4</v>
      </c>
      <c r="G9" s="28">
        <f t="shared" si="0"/>
        <v>0.8</v>
      </c>
      <c r="H9" s="29" t="str">
        <f t="shared" si="1"/>
        <v>جيد جداً</v>
      </c>
      <c r="I9" s="49"/>
      <c r="J9" s="50"/>
    </row>
    <row r="10" spans="1:10" ht="39.9" customHeight="1" x14ac:dyDescent="0.3">
      <c r="A10" s="10"/>
      <c r="B10" s="51" t="s">
        <v>177</v>
      </c>
      <c r="C10" s="52"/>
      <c r="D10" s="52"/>
      <c r="E10" s="9">
        <v>5</v>
      </c>
      <c r="F10" s="36">
        <v>3.5</v>
      </c>
      <c r="G10" s="28">
        <f t="shared" si="0"/>
        <v>0.7</v>
      </c>
      <c r="H10" s="29" t="str">
        <f t="shared" si="1"/>
        <v>جيد</v>
      </c>
      <c r="I10" s="49"/>
      <c r="J10" s="50"/>
    </row>
    <row r="11" spans="1:10" ht="39.9" customHeight="1" x14ac:dyDescent="0.3">
      <c r="A11" s="10"/>
      <c r="B11" s="51" t="s">
        <v>178</v>
      </c>
      <c r="C11" s="52"/>
      <c r="D11" s="52"/>
      <c r="E11" s="9">
        <v>5</v>
      </c>
      <c r="F11" s="36">
        <v>3.5</v>
      </c>
      <c r="G11" s="28">
        <f t="shared" si="0"/>
        <v>0.7</v>
      </c>
      <c r="H11" s="29" t="str">
        <f t="shared" si="1"/>
        <v>جيد</v>
      </c>
      <c r="I11" s="49"/>
      <c r="J11" s="50"/>
    </row>
    <row r="12" spans="1:10" ht="39.9" customHeight="1" x14ac:dyDescent="0.3">
      <c r="A12" s="10"/>
      <c r="B12" s="51" t="s">
        <v>179</v>
      </c>
      <c r="C12" s="52"/>
      <c r="D12" s="52"/>
      <c r="E12" s="9">
        <v>5</v>
      </c>
      <c r="F12" s="36">
        <v>3.5</v>
      </c>
      <c r="G12" s="28">
        <f t="shared" si="0"/>
        <v>0.7</v>
      </c>
      <c r="H12" s="29" t="str">
        <f t="shared" si="1"/>
        <v>جيد</v>
      </c>
      <c r="I12" s="49"/>
      <c r="J12" s="50"/>
    </row>
    <row r="13" spans="1:10" ht="39.9" customHeight="1" x14ac:dyDescent="0.3">
      <c r="A13" s="10"/>
      <c r="B13" s="51" t="s">
        <v>180</v>
      </c>
      <c r="C13" s="52"/>
      <c r="D13" s="52"/>
      <c r="E13" s="9">
        <v>5</v>
      </c>
      <c r="F13" s="36">
        <v>3.75</v>
      </c>
      <c r="G13" s="28">
        <f t="shared" si="0"/>
        <v>0.75</v>
      </c>
      <c r="H13" s="29" t="str">
        <f t="shared" si="1"/>
        <v>جيد</v>
      </c>
      <c r="I13" s="49"/>
      <c r="J13" s="50"/>
    </row>
    <row r="14" spans="1:10" ht="39.9" customHeight="1" thickBot="1" x14ac:dyDescent="0.35">
      <c r="A14" s="10"/>
      <c r="B14" s="53" t="s">
        <v>181</v>
      </c>
      <c r="C14" s="54"/>
      <c r="D14" s="54"/>
      <c r="E14" s="33">
        <v>5</v>
      </c>
      <c r="F14" s="38">
        <v>4</v>
      </c>
      <c r="G14" s="34">
        <f t="shared" ref="G14" si="2">IFERROR(F14/E14,"")</f>
        <v>0.8</v>
      </c>
      <c r="H14" s="35" t="str">
        <f t="shared" ref="H14" si="3">_xlfn.IFS(F14="أدخل العلامة","",F14="لا ينطبق","تم الإلغاء",G14&gt;=90%,"ممتاز",G14&gt;=80%,"جيد جداً",G14&gt;=70%,"جيد",G14&gt;=60%,"مقبول",G14&lt;60%,"راسب")</f>
        <v>جيد جداً</v>
      </c>
      <c r="I14" s="47"/>
      <c r="J14" s="48"/>
    </row>
    <row r="15" spans="1:10" ht="30" customHeight="1" thickBot="1" x14ac:dyDescent="0.35">
      <c r="A15" s="4"/>
      <c r="B15" s="79" t="s">
        <v>5</v>
      </c>
      <c r="C15" s="80"/>
      <c r="D15" s="80"/>
      <c r="E15" s="27">
        <f>SUM(E8:E14)</f>
        <v>35</v>
      </c>
      <c r="F15" s="27">
        <f>SUM(F8:F14)</f>
        <v>25.75</v>
      </c>
      <c r="G15" s="68"/>
      <c r="H15" s="69"/>
      <c r="I15" s="69"/>
      <c r="J15" s="70"/>
    </row>
    <row r="16" spans="1:10" ht="30" customHeight="1" thickBot="1" x14ac:dyDescent="0.35">
      <c r="A16" s="4"/>
      <c r="B16" s="81" t="s">
        <v>54</v>
      </c>
      <c r="C16" s="82"/>
      <c r="D16" s="82"/>
      <c r="E16" s="71">
        <f>F15/E15/100*100</f>
        <v>0.73571428571428577</v>
      </c>
      <c r="F16" s="71"/>
      <c r="G16" s="71"/>
      <c r="H16" s="71"/>
      <c r="I16" s="71"/>
      <c r="J16" s="72"/>
    </row>
    <row r="17" spans="1:10" ht="30" customHeight="1" thickBot="1" x14ac:dyDescent="0.35">
      <c r="A17" s="4"/>
      <c r="B17" s="81" t="s">
        <v>55</v>
      </c>
      <c r="C17" s="82"/>
      <c r="D17" s="82"/>
      <c r="E17" s="77" t="str">
        <f>_xlfn.IFS(E16&gt;=90%,"ممتاز",E16&gt;=80%,"جيد جداً",E16&gt;=70%,"جيد",E16&gt;=60%,"مقبول",E16&lt;60%,"راسب")</f>
        <v>جيد</v>
      </c>
      <c r="F17" s="77"/>
      <c r="G17" s="77"/>
      <c r="H17" s="77"/>
      <c r="I17" s="77"/>
      <c r="J17" s="78"/>
    </row>
    <row r="18" spans="1:10" ht="42" customHeight="1" x14ac:dyDescent="0.3">
      <c r="B18" s="73" t="s">
        <v>175</v>
      </c>
      <c r="C18" s="73"/>
      <c r="D18" s="73"/>
      <c r="E18" s="66" t="s">
        <v>52</v>
      </c>
      <c r="F18" s="66"/>
      <c r="G18" s="75" t="s">
        <v>135</v>
      </c>
      <c r="H18" s="75"/>
      <c r="I18" s="75"/>
      <c r="J18" s="75"/>
    </row>
    <row r="19" spans="1:10" ht="51" customHeight="1" x14ac:dyDescent="0.3">
      <c r="A19" s="5"/>
      <c r="B19" s="74"/>
      <c r="C19" s="74"/>
      <c r="D19" s="74"/>
      <c r="E19" s="67" t="s">
        <v>53</v>
      </c>
      <c r="F19" s="67"/>
      <c r="G19" s="76"/>
      <c r="H19" s="76"/>
      <c r="I19" s="76"/>
      <c r="J19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5">
    <mergeCell ref="B10:D10"/>
    <mergeCell ref="I10:J10"/>
    <mergeCell ref="E18:F18"/>
    <mergeCell ref="E19:F19"/>
    <mergeCell ref="G15:J15"/>
    <mergeCell ref="E16:J16"/>
    <mergeCell ref="B18:D19"/>
    <mergeCell ref="G18:J18"/>
    <mergeCell ref="G19:J19"/>
    <mergeCell ref="E17:J17"/>
    <mergeCell ref="B15:D15"/>
    <mergeCell ref="B16:D16"/>
    <mergeCell ref="B17:D17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4:J14"/>
    <mergeCell ref="I12:J12"/>
    <mergeCell ref="I13:J13"/>
    <mergeCell ref="B12:D12"/>
    <mergeCell ref="B13:D13"/>
    <mergeCell ref="B14:D14"/>
    <mergeCell ref="B11:D11"/>
    <mergeCell ref="I11:J11"/>
    <mergeCell ref="B9:D9"/>
    <mergeCell ref="I9:J9"/>
    <mergeCell ref="B8:D8"/>
    <mergeCell ref="I8:J8"/>
  </mergeCells>
  <conditionalFormatting sqref="C2:D2">
    <cfRule type="containsText" dxfId="16" priority="46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45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7">
    <cfRule type="expression" dxfId="14" priority="85">
      <formula>$E17="راسب"</formula>
    </cfRule>
  </conditionalFormatting>
  <conditionalFormatting sqref="E17:J17">
    <cfRule type="expression" dxfId="13" priority="86">
      <formula>$E17="مقبول"</formula>
    </cfRule>
    <cfRule type="expression" dxfId="12" priority="87">
      <formula>$E17="جيد"</formula>
    </cfRule>
    <cfRule type="expression" dxfId="11" priority="88">
      <formula>$E17="جيد جداً"</formula>
    </cfRule>
    <cfRule type="expression" dxfId="10" priority="89">
      <formula>$E17="ممتاز"</formula>
    </cfRule>
  </conditionalFormatting>
  <conditionalFormatting sqref="F8:F14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47" operator="containsText" text="أدخل التاريخ">
      <formula>NOT(ISERROR(SEARCH("أدخل التاريخ",F2)))</formula>
    </cfRule>
  </conditionalFormatting>
  <conditionalFormatting sqref="F3:J3">
    <cfRule type="containsText" dxfId="7" priority="44" operator="containsText" text="أدخل أسم المحكم">
      <formula>NOT(ISERROR(SEARCH("أدخل أسم المحكم",F3)))</formula>
    </cfRule>
  </conditionalFormatting>
  <conditionalFormatting sqref="G18:J18">
    <cfRule type="containsText" dxfId="6" priority="43" operator="containsText" text="أدخل اسم المحكم">
      <formula>NOT(ISERROR(SEARCH("أدخل اسم المحكم",G18)))</formula>
    </cfRule>
  </conditionalFormatting>
  <conditionalFormatting sqref="H8:H14">
    <cfRule type="containsText" dxfId="5" priority="2" operator="containsText" text="أدخل العلامة">
      <formula>NOT(ISERROR(SEARCH("أدخل العلامة",H8)))</formula>
    </cfRule>
    <cfRule type="containsText" dxfId="4" priority="3" operator="containsText" text="ممتاز">
      <formula>NOT(ISERROR(SEARCH("ممتاز",H8)))</formula>
    </cfRule>
    <cfRule type="containsText" dxfId="3" priority="4" operator="containsText" text="جيد جداً">
      <formula>NOT(ISERROR(SEARCH("جيد جداً",H8)))</formula>
    </cfRule>
    <cfRule type="containsText" dxfId="2" priority="5" operator="containsText" text="جيد">
      <formula>NOT(ISERROR(SEARCH("جيد",H8)))</formula>
    </cfRule>
    <cfRule type="containsText" dxfId="1" priority="6" operator="containsText" text="مقبول">
      <formula>NOT(ISERROR(SEARCH("مقبول",H8)))</formula>
    </cfRule>
    <cfRule type="containsText" dxfId="0" priority="7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F8:F14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G18:J18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45901</v>
      </c>
    </row>
    <row r="40" spans="1:9" ht="20.100000000000001" customHeight="1" thickBot="1" x14ac:dyDescent="0.35">
      <c r="A40" s="13">
        <v>45902</v>
      </c>
    </row>
    <row r="41" spans="1:9" ht="20.100000000000001" customHeight="1" thickBot="1" x14ac:dyDescent="0.35">
      <c r="A41" s="13">
        <v>45903</v>
      </c>
    </row>
    <row r="42" spans="1:9" ht="20.100000000000001" customHeight="1" thickBot="1" x14ac:dyDescent="0.35">
      <c r="A42" s="13">
        <v>45904</v>
      </c>
    </row>
    <row r="43" spans="1:9" ht="20.100000000000001" customHeight="1" thickBot="1" x14ac:dyDescent="0.35">
      <c r="A43" s="13">
        <v>45905</v>
      </c>
    </row>
    <row r="44" spans="1:9" ht="20.100000000000001" customHeight="1" thickBot="1" x14ac:dyDescent="0.35">
      <c r="A44" s="13">
        <v>45906</v>
      </c>
    </row>
    <row r="45" spans="1:9" ht="20.100000000000001" customHeight="1" thickBot="1" x14ac:dyDescent="0.35">
      <c r="A45" s="13">
        <v>45907</v>
      </c>
    </row>
    <row r="46" spans="1:9" ht="20.100000000000001" customHeight="1" thickBot="1" x14ac:dyDescent="0.35">
      <c r="A46" s="13">
        <v>45908</v>
      </c>
    </row>
    <row r="47" spans="1:9" ht="20.100000000000001" customHeight="1" thickBot="1" x14ac:dyDescent="0.35">
      <c r="A47" s="13">
        <v>45909</v>
      </c>
    </row>
    <row r="48" spans="1:9" ht="20.100000000000001" customHeight="1" thickBot="1" x14ac:dyDescent="0.35">
      <c r="A48" s="13">
        <v>45910</v>
      </c>
    </row>
    <row r="49" spans="1:1" ht="20.100000000000001" customHeight="1" thickBot="1" x14ac:dyDescent="0.35">
      <c r="A49" s="13">
        <v>45911</v>
      </c>
    </row>
    <row r="50" spans="1:1" ht="20.100000000000001" customHeight="1" thickBot="1" x14ac:dyDescent="0.35">
      <c r="A50" s="13">
        <v>45912</v>
      </c>
    </row>
    <row r="51" spans="1:1" ht="20.100000000000001" customHeight="1" thickBot="1" x14ac:dyDescent="0.35">
      <c r="A51" s="13">
        <v>45913</v>
      </c>
    </row>
    <row r="52" spans="1:1" ht="20.100000000000001" customHeight="1" thickBot="1" x14ac:dyDescent="0.35">
      <c r="A52" s="13">
        <v>45914</v>
      </c>
    </row>
    <row r="53" spans="1:1" ht="20.100000000000001" customHeight="1" thickBot="1" x14ac:dyDescent="0.35">
      <c r="A53" s="13">
        <v>45915</v>
      </c>
    </row>
    <row r="54" spans="1:1" ht="20.100000000000001" customHeight="1" thickBot="1" x14ac:dyDescent="0.35">
      <c r="A54" s="13">
        <v>45916</v>
      </c>
    </row>
    <row r="55" spans="1:1" ht="20.100000000000001" customHeight="1" thickBot="1" x14ac:dyDescent="0.35">
      <c r="A55" s="13">
        <v>45917</v>
      </c>
    </row>
    <row r="56" spans="1:1" ht="20.100000000000001" customHeight="1" thickBot="1" x14ac:dyDescent="0.35">
      <c r="A56" s="13">
        <v>45918</v>
      </c>
    </row>
    <row r="57" spans="1:1" ht="20.100000000000001" customHeight="1" thickBot="1" x14ac:dyDescent="0.35">
      <c r="A57" s="13">
        <v>45919</v>
      </c>
    </row>
    <row r="58" spans="1:1" ht="20.100000000000001" customHeight="1" thickBot="1" x14ac:dyDescent="0.35">
      <c r="A58" s="13">
        <v>45920</v>
      </c>
    </row>
    <row r="59" spans="1:1" ht="20.100000000000001" customHeight="1" thickBot="1" x14ac:dyDescent="0.35">
      <c r="A59" s="13">
        <v>45921</v>
      </c>
    </row>
    <row r="60" spans="1:1" ht="20.100000000000001" customHeight="1" thickBot="1" x14ac:dyDescent="0.35">
      <c r="A60" s="13">
        <v>45922</v>
      </c>
    </row>
    <row r="61" spans="1:1" ht="20.100000000000001" customHeight="1" thickBot="1" x14ac:dyDescent="0.35">
      <c r="A61" s="13">
        <v>45923</v>
      </c>
    </row>
    <row r="62" spans="1:1" ht="20.100000000000001" customHeight="1" thickBot="1" x14ac:dyDescent="0.35">
      <c r="A62" s="13">
        <v>45924</v>
      </c>
    </row>
    <row r="63" spans="1:1" ht="20.100000000000001" customHeight="1" thickBot="1" x14ac:dyDescent="0.35">
      <c r="A63" s="13">
        <v>45925</v>
      </c>
    </row>
    <row r="64" spans="1:1" ht="20.100000000000001" customHeight="1" thickBot="1" x14ac:dyDescent="0.35">
      <c r="A64" s="13">
        <v>45926</v>
      </c>
    </row>
    <row r="65" spans="1:1" ht="20.100000000000001" customHeight="1" thickBot="1" x14ac:dyDescent="0.35">
      <c r="A65" s="13">
        <v>45927</v>
      </c>
    </row>
    <row r="66" spans="1:1" ht="20.100000000000001" customHeight="1" thickBot="1" x14ac:dyDescent="0.35">
      <c r="A66" s="13">
        <v>45928</v>
      </c>
    </row>
    <row r="67" spans="1:1" ht="20.100000000000001" customHeight="1" thickBot="1" x14ac:dyDescent="0.35">
      <c r="A67" s="13">
        <v>45929</v>
      </c>
    </row>
    <row r="68" spans="1:1" ht="20.100000000000001" customHeight="1" thickBot="1" x14ac:dyDescent="0.35">
      <c r="A68" s="13">
        <v>45930</v>
      </c>
    </row>
    <row r="69" spans="1:1" ht="20.100000000000001" customHeight="1" thickBot="1" x14ac:dyDescent="0.35">
      <c r="A69" s="13">
        <v>45931</v>
      </c>
    </row>
    <row r="70" spans="1:1" ht="20.100000000000001" customHeight="1" thickBot="1" x14ac:dyDescent="0.35">
      <c r="A70" s="13">
        <v>45932</v>
      </c>
    </row>
    <row r="71" spans="1:1" ht="20.100000000000001" customHeight="1" thickBot="1" x14ac:dyDescent="0.35">
      <c r="A71" s="13">
        <v>45933</v>
      </c>
    </row>
    <row r="72" spans="1:1" ht="20.100000000000001" customHeight="1" thickBot="1" x14ac:dyDescent="0.35">
      <c r="A72" s="13">
        <v>45934</v>
      </c>
    </row>
    <row r="73" spans="1:1" ht="20.100000000000001" customHeight="1" thickBot="1" x14ac:dyDescent="0.35">
      <c r="A73" s="13">
        <v>45935</v>
      </c>
    </row>
    <row r="74" spans="1:1" ht="20.100000000000001" customHeight="1" thickBot="1" x14ac:dyDescent="0.35">
      <c r="A74" s="13">
        <v>45936</v>
      </c>
    </row>
    <row r="75" spans="1:1" ht="20.100000000000001" customHeight="1" thickBot="1" x14ac:dyDescent="0.35">
      <c r="A75" s="13">
        <v>45937</v>
      </c>
    </row>
    <row r="76" spans="1:1" ht="20.100000000000001" customHeight="1" thickBot="1" x14ac:dyDescent="0.35">
      <c r="A76" s="13">
        <v>45938</v>
      </c>
    </row>
    <row r="77" spans="1:1" ht="20.100000000000001" customHeight="1" thickBot="1" x14ac:dyDescent="0.35">
      <c r="A77" s="13">
        <v>45939</v>
      </c>
    </row>
    <row r="78" spans="1:1" ht="20.100000000000001" customHeight="1" thickBot="1" x14ac:dyDescent="0.35">
      <c r="A78" s="13">
        <v>45940</v>
      </c>
    </row>
    <row r="79" spans="1:1" ht="20.100000000000001" customHeight="1" thickBot="1" x14ac:dyDescent="0.35">
      <c r="A79" s="13">
        <v>45941</v>
      </c>
    </row>
    <row r="80" spans="1:1" ht="20.100000000000001" customHeight="1" thickBot="1" x14ac:dyDescent="0.35">
      <c r="A80" s="13">
        <v>45942</v>
      </c>
    </row>
    <row r="81" spans="1:1" ht="20.100000000000001" customHeight="1" thickBot="1" x14ac:dyDescent="0.35">
      <c r="A81" s="13">
        <v>45943</v>
      </c>
    </row>
    <row r="82" spans="1:1" ht="20.100000000000001" customHeight="1" thickBot="1" x14ac:dyDescent="0.35">
      <c r="A82" s="13">
        <v>45944</v>
      </c>
    </row>
    <row r="83" spans="1:1" ht="20.100000000000001" customHeight="1" thickBot="1" x14ac:dyDescent="0.35">
      <c r="A83" s="13">
        <v>45945</v>
      </c>
    </row>
    <row r="84" spans="1:1" ht="20.100000000000001" customHeight="1" thickBot="1" x14ac:dyDescent="0.35">
      <c r="A84" s="13">
        <v>45946</v>
      </c>
    </row>
    <row r="85" spans="1:1" ht="20.100000000000001" customHeight="1" thickBot="1" x14ac:dyDescent="0.35">
      <c r="A85" s="13">
        <v>45947</v>
      </c>
    </row>
    <row r="86" spans="1:1" ht="20.100000000000001" customHeight="1" thickBot="1" x14ac:dyDescent="0.35">
      <c r="A86" s="13">
        <v>45948</v>
      </c>
    </row>
    <row r="87" spans="1:1" ht="20.100000000000001" customHeight="1" thickBot="1" x14ac:dyDescent="0.35">
      <c r="A87" s="13">
        <v>45949</v>
      </c>
    </row>
    <row r="88" spans="1:1" ht="20.100000000000001" customHeight="1" thickBot="1" x14ac:dyDescent="0.35">
      <c r="A88" s="13">
        <v>45950</v>
      </c>
    </row>
    <row r="89" spans="1:1" ht="20.100000000000001" customHeight="1" thickBot="1" x14ac:dyDescent="0.35">
      <c r="A89" s="13">
        <v>45951</v>
      </c>
    </row>
    <row r="90" spans="1:1" ht="20.100000000000001" customHeight="1" thickBot="1" x14ac:dyDescent="0.35">
      <c r="A90" s="13">
        <v>45952</v>
      </c>
    </row>
    <row r="91" spans="1:1" ht="20.100000000000001" customHeight="1" thickBot="1" x14ac:dyDescent="0.35">
      <c r="A91" s="13">
        <v>45953</v>
      </c>
    </row>
    <row r="92" spans="1:1" ht="20.100000000000001" customHeight="1" thickBot="1" x14ac:dyDescent="0.35">
      <c r="A92" s="13">
        <v>45954</v>
      </c>
    </row>
    <row r="93" spans="1:1" ht="20.100000000000001" customHeight="1" thickBot="1" x14ac:dyDescent="0.35">
      <c r="A93" s="13">
        <v>45955</v>
      </c>
    </row>
    <row r="94" spans="1:1" ht="20.100000000000001" customHeight="1" thickBot="1" x14ac:dyDescent="0.35">
      <c r="A94" s="13">
        <v>45956</v>
      </c>
    </row>
    <row r="95" spans="1:1" ht="20.100000000000001" customHeight="1" thickBot="1" x14ac:dyDescent="0.35">
      <c r="A95" s="13">
        <v>45957</v>
      </c>
    </row>
    <row r="96" spans="1:1" ht="20.100000000000001" customHeight="1" thickBot="1" x14ac:dyDescent="0.35">
      <c r="A96" s="13">
        <v>45958</v>
      </c>
    </row>
    <row r="97" spans="1:9" ht="20.100000000000001" customHeight="1" thickBot="1" x14ac:dyDescent="0.35">
      <c r="A97" s="13">
        <v>45959</v>
      </c>
    </row>
    <row r="98" spans="1:9" ht="20.100000000000001" customHeight="1" thickBot="1" x14ac:dyDescent="0.35">
      <c r="A98" s="13">
        <v>45960</v>
      </c>
    </row>
    <row r="99" spans="1:9" ht="20.100000000000001" customHeight="1" thickBot="1" x14ac:dyDescent="0.35">
      <c r="A99" s="13">
        <v>45961</v>
      </c>
    </row>
    <row r="100" spans="1:9" ht="20.100000000000001" customHeight="1" thickBot="1" x14ac:dyDescent="0.35">
      <c r="A100" s="13">
        <v>45962</v>
      </c>
    </row>
    <row r="101" spans="1:9" ht="20.100000000000001" customHeight="1" thickBot="1" x14ac:dyDescent="0.35">
      <c r="A101" s="13">
        <v>45963</v>
      </c>
    </row>
    <row r="102" spans="1:9" ht="20.100000000000001" customHeight="1" thickBot="1" x14ac:dyDescent="0.35">
      <c r="A102" s="13">
        <v>45964</v>
      </c>
    </row>
    <row r="103" spans="1:9" ht="20.100000000000001" customHeight="1" thickBot="1" x14ac:dyDescent="0.35">
      <c r="A103" s="13">
        <v>45965</v>
      </c>
    </row>
    <row r="104" spans="1:9" ht="20.100000000000001" customHeight="1" thickBot="1" x14ac:dyDescent="0.35">
      <c r="A104" s="13">
        <v>45966</v>
      </c>
    </row>
    <row r="105" spans="1:9" ht="20.100000000000001" customHeight="1" thickBot="1" x14ac:dyDescent="0.35">
      <c r="A105" s="13">
        <v>45967</v>
      </c>
    </row>
    <row r="106" spans="1:9" ht="20.100000000000001" customHeight="1" thickBot="1" x14ac:dyDescent="0.35">
      <c r="A106" s="13">
        <v>45968</v>
      </c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102</v>
      </c>
    </row>
    <row r="213" spans="1:1" ht="20.100000000000001" customHeight="1" x14ac:dyDescent="0.3">
      <c r="A213" s="20" t="s">
        <v>103</v>
      </c>
    </row>
    <row r="214" spans="1:1" ht="20.100000000000001" customHeight="1" x14ac:dyDescent="0.3">
      <c r="A214" s="20" t="s">
        <v>104</v>
      </c>
    </row>
    <row r="215" spans="1:1" ht="20.100000000000001" customHeight="1" x14ac:dyDescent="0.3">
      <c r="A215" s="20" t="s">
        <v>105</v>
      </c>
    </row>
    <row r="216" spans="1:1" ht="20.100000000000001" customHeight="1" x14ac:dyDescent="0.3">
      <c r="A216" s="20" t="s">
        <v>106</v>
      </c>
    </row>
    <row r="217" spans="1:1" ht="20.100000000000001" customHeight="1" x14ac:dyDescent="0.3">
      <c r="A217" s="20" t="s">
        <v>107</v>
      </c>
    </row>
    <row r="218" spans="1:1" ht="20.100000000000001" customHeight="1" x14ac:dyDescent="0.3">
      <c r="A218" s="20" t="s">
        <v>108</v>
      </c>
    </row>
    <row r="219" spans="1:1" ht="20.100000000000001" customHeight="1" x14ac:dyDescent="0.3">
      <c r="A219" s="20" t="s">
        <v>109</v>
      </c>
    </row>
    <row r="220" spans="1:1" ht="20.100000000000001" customHeight="1" x14ac:dyDescent="0.3">
      <c r="A220" s="20" t="s">
        <v>110</v>
      </c>
    </row>
    <row r="221" spans="1:1" ht="20.100000000000001" customHeight="1" x14ac:dyDescent="0.3">
      <c r="A221" s="20" t="s">
        <v>111</v>
      </c>
    </row>
    <row r="222" spans="1:1" ht="20.100000000000001" customHeight="1" x14ac:dyDescent="0.3">
      <c r="A222" s="20" t="s">
        <v>112</v>
      </c>
    </row>
    <row r="223" spans="1:1" ht="20.100000000000001" customHeight="1" x14ac:dyDescent="0.3">
      <c r="A223" s="20" t="s">
        <v>113</v>
      </c>
    </row>
    <row r="224" spans="1:1" ht="20.100000000000001" customHeight="1" x14ac:dyDescent="0.3">
      <c r="A224" s="20" t="s">
        <v>114</v>
      </c>
    </row>
    <row r="225" spans="1:1" ht="20.100000000000001" customHeight="1" x14ac:dyDescent="0.3">
      <c r="A225" s="20" t="s">
        <v>115</v>
      </c>
    </row>
    <row r="226" spans="1:1" ht="20.100000000000001" customHeight="1" x14ac:dyDescent="0.3">
      <c r="A226" s="20" t="s">
        <v>116</v>
      </c>
    </row>
    <row r="227" spans="1:1" ht="20.100000000000001" customHeight="1" x14ac:dyDescent="0.3">
      <c r="A227" s="20" t="s">
        <v>117</v>
      </c>
    </row>
    <row r="228" spans="1:1" ht="20.100000000000001" customHeight="1" x14ac:dyDescent="0.3">
      <c r="A228" s="20" t="s">
        <v>118</v>
      </c>
    </row>
    <row r="229" spans="1:1" ht="20.100000000000001" customHeight="1" x14ac:dyDescent="0.3">
      <c r="A229" s="20" t="s">
        <v>119</v>
      </c>
    </row>
    <row r="230" spans="1:1" ht="20.100000000000001" customHeight="1" x14ac:dyDescent="0.3">
      <c r="A230" s="20" t="s">
        <v>120</v>
      </c>
    </row>
    <row r="231" spans="1:1" ht="20.100000000000001" customHeight="1" x14ac:dyDescent="0.3">
      <c r="A231" s="20" t="s">
        <v>121</v>
      </c>
    </row>
    <row r="232" spans="1:1" ht="20.100000000000001" customHeight="1" x14ac:dyDescent="0.3">
      <c r="A232" s="20" t="s">
        <v>122</v>
      </c>
    </row>
    <row r="233" spans="1:1" ht="20.100000000000001" customHeight="1" x14ac:dyDescent="0.3">
      <c r="A233" s="20" t="s">
        <v>123</v>
      </c>
    </row>
    <row r="234" spans="1:1" ht="20.100000000000001" customHeight="1" x14ac:dyDescent="0.3">
      <c r="A234" s="20" t="s">
        <v>124</v>
      </c>
    </row>
    <row r="235" spans="1:1" ht="20.100000000000001" customHeight="1" x14ac:dyDescent="0.3">
      <c r="A235" s="22" t="s">
        <v>125</v>
      </c>
    </row>
    <row r="236" spans="1:1" ht="20.100000000000001" customHeight="1" x14ac:dyDescent="0.3">
      <c r="A236" s="20" t="s">
        <v>126</v>
      </c>
    </row>
    <row r="237" spans="1:1" ht="20.100000000000001" customHeight="1" x14ac:dyDescent="0.3">
      <c r="A237" s="20" t="s">
        <v>127</v>
      </c>
    </row>
    <row r="238" spans="1:1" ht="20.100000000000001" customHeight="1" x14ac:dyDescent="0.3">
      <c r="A238" s="20" t="s">
        <v>128</v>
      </c>
    </row>
    <row r="239" spans="1:1" ht="20.100000000000001" customHeight="1" x14ac:dyDescent="0.3">
      <c r="A239" s="20" t="s">
        <v>129</v>
      </c>
    </row>
    <row r="240" spans="1:1" ht="20.100000000000001" customHeight="1" x14ac:dyDescent="0.3">
      <c r="A240" s="20" t="s">
        <v>130</v>
      </c>
    </row>
    <row r="241" spans="1:1" ht="20.100000000000001" customHeight="1" x14ac:dyDescent="0.3">
      <c r="A241" s="20" t="s">
        <v>131</v>
      </c>
    </row>
    <row r="242" spans="1:1" ht="20.100000000000001" customHeight="1" x14ac:dyDescent="0.3">
      <c r="A242" s="20" t="s">
        <v>132</v>
      </c>
    </row>
    <row r="243" spans="1:1" ht="20.100000000000001" customHeight="1" x14ac:dyDescent="0.3">
      <c r="A243" s="20" t="s">
        <v>133</v>
      </c>
    </row>
    <row r="244" spans="1:1" ht="20.100000000000001" customHeight="1" x14ac:dyDescent="0.3">
      <c r="A244" s="20" t="s">
        <v>134</v>
      </c>
    </row>
    <row r="245" spans="1:1" ht="20.100000000000001" customHeight="1" x14ac:dyDescent="0.3">
      <c r="A245" s="20" t="s">
        <v>135</v>
      </c>
    </row>
    <row r="246" spans="1:1" ht="20.100000000000001" customHeight="1" x14ac:dyDescent="0.3">
      <c r="A246" s="20" t="s">
        <v>136</v>
      </c>
    </row>
    <row r="247" spans="1:1" ht="20.100000000000001" customHeight="1" x14ac:dyDescent="0.3">
      <c r="A247" s="20" t="s">
        <v>127</v>
      </c>
    </row>
    <row r="248" spans="1:1" ht="20.100000000000001" customHeight="1" x14ac:dyDescent="0.3">
      <c r="A248" s="20" t="s">
        <v>137</v>
      </c>
    </row>
    <row r="249" spans="1:1" ht="20.100000000000001" customHeight="1" x14ac:dyDescent="0.3">
      <c r="A249" s="20" t="s">
        <v>138</v>
      </c>
    </row>
    <row r="250" spans="1:1" ht="20.100000000000001" customHeight="1" x14ac:dyDescent="0.3">
      <c r="A250" s="22" t="s">
        <v>139</v>
      </c>
    </row>
    <row r="251" spans="1:1" ht="20.100000000000001" customHeight="1" x14ac:dyDescent="0.3">
      <c r="A251" s="23" t="s">
        <v>140</v>
      </c>
    </row>
    <row r="252" spans="1:1" ht="20.100000000000001" customHeight="1" x14ac:dyDescent="0.3">
      <c r="A252" s="20" t="s">
        <v>141</v>
      </c>
    </row>
    <row r="253" spans="1:1" ht="20.100000000000001" customHeight="1" x14ac:dyDescent="0.3">
      <c r="A253" s="20" t="s">
        <v>142</v>
      </c>
    </row>
    <row r="254" spans="1:1" ht="20.100000000000001" customHeight="1" x14ac:dyDescent="0.3">
      <c r="A254" s="24" t="s">
        <v>143</v>
      </c>
    </row>
    <row r="255" spans="1:1" ht="20.100000000000001" customHeight="1" x14ac:dyDescent="0.3">
      <c r="A255" s="24" t="s">
        <v>144</v>
      </c>
    </row>
    <row r="256" spans="1:1" ht="20.100000000000001" customHeight="1" x14ac:dyDescent="0.3">
      <c r="A256" s="25" t="s">
        <v>145</v>
      </c>
    </row>
    <row r="257" spans="1:1" ht="20.100000000000001" customHeight="1" x14ac:dyDescent="0.3">
      <c r="A257" s="20" t="s">
        <v>146</v>
      </c>
    </row>
    <row r="258" spans="1:1" ht="20.100000000000001" customHeight="1" x14ac:dyDescent="0.3">
      <c r="A258" s="25" t="s">
        <v>147</v>
      </c>
    </row>
    <row r="259" spans="1:1" ht="20.100000000000001" customHeight="1" x14ac:dyDescent="0.3">
      <c r="A259" s="20" t="s">
        <v>148</v>
      </c>
    </row>
    <row r="260" spans="1:1" ht="20.100000000000001" customHeight="1" x14ac:dyDescent="0.3">
      <c r="A260" s="25" t="s">
        <v>149</v>
      </c>
    </row>
    <row r="261" spans="1:1" ht="20.100000000000001" customHeight="1" x14ac:dyDescent="0.3">
      <c r="A261" s="20" t="s">
        <v>150</v>
      </c>
    </row>
    <row r="262" spans="1:1" ht="20.100000000000001" customHeight="1" x14ac:dyDescent="0.3">
      <c r="A262" s="20" t="s">
        <v>151</v>
      </c>
    </row>
    <row r="263" spans="1:1" ht="20.100000000000001" customHeight="1" x14ac:dyDescent="0.3">
      <c r="A263" s="25" t="s">
        <v>152</v>
      </c>
    </row>
    <row r="264" spans="1:1" ht="20.100000000000001" customHeight="1" x14ac:dyDescent="0.3">
      <c r="A264" s="25" t="s">
        <v>153</v>
      </c>
    </row>
    <row r="265" spans="1:1" ht="20.100000000000001" customHeight="1" x14ac:dyDescent="0.3">
      <c r="A265" s="25" t="s">
        <v>154</v>
      </c>
    </row>
    <row r="266" spans="1:1" ht="20.100000000000001" customHeight="1" x14ac:dyDescent="0.3">
      <c r="A266" s="20" t="s">
        <v>155</v>
      </c>
    </row>
    <row r="267" spans="1:1" ht="20.100000000000001" customHeight="1" x14ac:dyDescent="0.3">
      <c r="A267" s="20" t="s">
        <v>156</v>
      </c>
    </row>
    <row r="268" spans="1:1" ht="20.100000000000001" customHeight="1" x14ac:dyDescent="0.3">
      <c r="A268" s="20" t="s">
        <v>157</v>
      </c>
    </row>
    <row r="269" spans="1:1" ht="20.100000000000001" customHeight="1" x14ac:dyDescent="0.3">
      <c r="A269" s="20" t="s">
        <v>158</v>
      </c>
    </row>
    <row r="270" spans="1:1" ht="20.100000000000001" customHeight="1" x14ac:dyDescent="0.3">
      <c r="A270" s="25" t="s">
        <v>159</v>
      </c>
    </row>
    <row r="271" spans="1:1" ht="20.100000000000001" customHeight="1" x14ac:dyDescent="0.3">
      <c r="A271" s="25" t="s">
        <v>160</v>
      </c>
    </row>
    <row r="272" spans="1:1" ht="20.100000000000001" customHeight="1" x14ac:dyDescent="0.3">
      <c r="A272" s="20" t="s">
        <v>161</v>
      </c>
    </row>
    <row r="273" spans="1:1" ht="20.100000000000001" customHeight="1" x14ac:dyDescent="0.3">
      <c r="A273" s="25" t="s">
        <v>162</v>
      </c>
    </row>
    <row r="274" spans="1:1" ht="20.100000000000001" customHeight="1" x14ac:dyDescent="0.3">
      <c r="A274" s="25" t="s">
        <v>163</v>
      </c>
    </row>
    <row r="275" spans="1:1" ht="20.100000000000001" customHeight="1" x14ac:dyDescent="0.3">
      <c r="A275" s="20" t="s">
        <v>164</v>
      </c>
    </row>
    <row r="276" spans="1:1" ht="20.100000000000001" customHeight="1" x14ac:dyDescent="0.3">
      <c r="A276" s="20" t="s">
        <v>165</v>
      </c>
    </row>
    <row r="277" spans="1:1" ht="20.100000000000001" customHeight="1" x14ac:dyDescent="0.3">
      <c r="A277" s="25" t="s">
        <v>166</v>
      </c>
    </row>
    <row r="278" spans="1:1" ht="20.100000000000001" customHeight="1" x14ac:dyDescent="0.3">
      <c r="A278" s="20" t="s">
        <v>167</v>
      </c>
    </row>
    <row r="279" spans="1:1" ht="20.100000000000001" customHeight="1" x14ac:dyDescent="0.3">
      <c r="A279" s="20" t="s">
        <v>168</v>
      </c>
    </row>
    <row r="280" spans="1:1" ht="20.100000000000001" customHeight="1" x14ac:dyDescent="0.3">
      <c r="A280" s="20" t="s">
        <v>169</v>
      </c>
    </row>
    <row r="281" spans="1:1" ht="20.100000000000001" customHeight="1" x14ac:dyDescent="0.3">
      <c r="A281" s="20" t="s">
        <v>170</v>
      </c>
    </row>
    <row r="282" spans="1:1" ht="20.100000000000001" customHeight="1" x14ac:dyDescent="0.3">
      <c r="A282" s="25" t="s">
        <v>171</v>
      </c>
    </row>
    <row r="283" spans="1:1" ht="20.100000000000001" customHeight="1" x14ac:dyDescent="0.3">
      <c r="A283" s="25" t="s">
        <v>172</v>
      </c>
    </row>
    <row r="284" spans="1:1" ht="20.100000000000001" customHeight="1" x14ac:dyDescent="0.3">
      <c r="A284" s="25" t="s">
        <v>173</v>
      </c>
    </row>
    <row r="285" spans="1:1" ht="20.100000000000001" customHeight="1" thickBot="1" x14ac:dyDescent="0.35">
      <c r="A285" s="20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2025-10-08T21:12:02Z</dcterms:modified>
</cp:coreProperties>
</file>