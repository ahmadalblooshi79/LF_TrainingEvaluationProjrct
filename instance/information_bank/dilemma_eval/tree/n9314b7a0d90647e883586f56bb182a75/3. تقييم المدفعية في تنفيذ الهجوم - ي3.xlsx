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8" i="2"/>
  <c r="H18" i="2" s="1"/>
  <c r="G19" i="2"/>
  <c r="H19" i="2" s="1"/>
  <c r="G20" i="2"/>
  <c r="H20" i="2" s="1"/>
  <c r="G21" i="2"/>
  <c r="H21" i="2" s="1"/>
  <c r="G22" i="2"/>
  <c r="H22" i="2" s="1"/>
  <c r="G23" i="2"/>
  <c r="H23" i="2" s="1"/>
  <c r="G24" i="2"/>
  <c r="H24" i="2" s="1"/>
  <c r="G25" i="2"/>
  <c r="H25" i="2" s="1"/>
  <c r="G26" i="2"/>
  <c r="H26" i="2" s="1"/>
  <c r="G27" i="2"/>
  <c r="H27" i="2" s="1"/>
  <c r="G28" i="2"/>
  <c r="H28" i="2" s="1"/>
  <c r="G29" i="2"/>
  <c r="H29" i="2" s="1"/>
  <c r="G31" i="2"/>
  <c r="H31" i="2" s="1"/>
  <c r="G32" i="2"/>
  <c r="H32" i="2" s="1"/>
  <c r="F33" i="2" l="1"/>
  <c r="E33" i="2" l="1"/>
  <c r="E34" i="2" l="1"/>
  <c r="E35" i="2" s="1"/>
</calcChain>
</file>

<file path=xl/sharedStrings.xml><?xml version="1.0" encoding="utf-8"?>
<sst xmlns="http://schemas.openxmlformats.org/spreadsheetml/2006/main" count="76" uniqueCount="54">
  <si>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</si>
  <si>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</si>
  <si>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</si>
  <si>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</si>
  <si>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</si>
  <si>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</si>
  <si>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</si>
  <si>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</si>
  <si>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</si>
  <si>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</si>
  <si>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</si>
  <si>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</si>
  <si>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</si>
  <si>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</si>
  <si>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</si>
  <si>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</si>
  <si>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</si>
  <si>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</si>
  <si>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</si>
  <si>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</si>
  <si>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</si>
  <si>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</si>
  <si>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</si>
  <si>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</si>
  <si>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</si>
  <si>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</si>
  <si>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</si>
  <si>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</si>
  <si>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على قائد كتيبة المدفعية عند الهجوم تنفيذ التالي:</t>
    </r>
  </si>
  <si>
    <t>أ. توفير الإسناد الناري أثناء الهجوم من خلال استخدام جميع وسائل الإسناد الناري المتوفرة لتدمير أو تحييد أو إسكات الأهداف التي من الممكن أن تعيق الهجوم أو تقوم بالردّ عليه من خلال انشاء خطة رمي.</t>
  </si>
  <si>
    <t>ب. استخدام رمايات الدخان والتي تحسّن من فرص وحدة المناورة للبقاء في ميدان المعركة، وذلك من خلال توفير التخفية في لحظات حرجة من العملية.</t>
  </si>
  <si>
    <t>جـ. استخدام الدخان لستر حركة القوّات الصديقة في نقاط ضيقة وفي الأرض ذات الطبيعة الصعبة.</t>
  </si>
  <si>
    <t>د. رماية الدخان التضليليّ "لأغراض خداع العدو" التي تجعل العدو يركّز على اتجاه واحد، بعيداً عن القوّات الصديقة، مما يسمح لها بأن تقترب من الأهداف وتدمرها.</t>
  </si>
  <si>
    <t>هـ. التنسيق التمهيديّ مع وحدة المناورة مفتاحاً لتفهّم خطة مناورة القوّات الصديقة وكيفية تقديم الإسناد الناري لها من النيران غير المباشرة.</t>
  </si>
  <si>
    <t>و. توفير نيران فوري للجهد الرئيسي.</t>
  </si>
  <si>
    <t>ز. تخطيط الأهداف من اجل تدميرها أو تحييدها أو إسكاتها.</t>
  </si>
  <si>
    <t>ح. تخطيط رمايات الدخان.</t>
  </si>
  <si>
    <r>
      <t>2.</t>
    </r>
    <r>
      <rPr>
        <sz val="7"/>
        <color rgb="FF000000"/>
        <rFont val="Times New Roman"/>
        <family val="1"/>
      </rPr>
      <t xml:space="preserve">        </t>
    </r>
    <r>
      <rPr>
        <sz val="12"/>
        <color rgb="FF000000"/>
        <rFont val="Arial"/>
        <family val="2"/>
      </rPr>
      <t>اعتبارات الإسناد الناري للهجوم المدبر كما يلي:</t>
    </r>
  </si>
  <si>
    <t>أ. اسناد هجوم مجموعة اللواء على الهدف.</t>
  </si>
  <si>
    <t>ب. منع انسحاب العدو من الهدف.</t>
  </si>
  <si>
    <t xml:space="preserve">جـ. أحدث فجوةً في دفاعات العدو، أو اجعل العدو يقوم برد الفعل في المكان الذي يكون فيه واهناً. </t>
  </si>
  <si>
    <t>د. رماية مصادر نيران العدو غير المباشرة حتى تمنعها من الرماية على القوّات الصديقة، عندما تقوم بالتقدّم.</t>
  </si>
  <si>
    <t>هـ. استخدام نيران القصف التمهيدي وتنسّيقها مع المناورة.</t>
  </si>
  <si>
    <t>و. رماية المناطق الواقعة خلف الهدف حتى تمنع التعزيزات وإعادة التزويد.</t>
  </si>
  <si>
    <t>ز. استخدام الدخان على الأجنحة وعند عبور المناطق المكشوفة للعدو.</t>
  </si>
  <si>
    <t>ح. وضع خطّط للنيران على أجنحة مقدمة وحدة المناورة، لمنع وصول الهجوم المعاكس إليها أو التعزيزات.</t>
  </si>
  <si>
    <t>ط. التأكدّ من توضيع وتزويد الإسناد الناري حتى يوفر الإسناد المستمر أثناء الهجوم.</t>
  </si>
  <si>
    <t>ي. العمل على خداع/ تضليل العدو حتى يعتقد بأن الهجوم سيحدث في مكان آخر من ميدان المعركة، وخطط للنيران لإسناد خطة الخدعة وقم بالرماية.</t>
  </si>
  <si>
    <t>ك. خطّط لتنسيق خطوط النيران في الأمام بشكل جيد، حتى تحافظ على قوّات المناورة بعيدة عن تأثيرات النيران، ولإعطاء القوّات مجالاً كافياً للمناورة.</t>
  </si>
  <si>
    <t xml:space="preserve">ل. عدم تكديس الذخيرة في الأمام في وقت مبكر للغاية، وينبغي حمايتها لمنع فقدان كميات منها. </t>
  </si>
  <si>
    <r>
      <t>3.</t>
    </r>
    <r>
      <rPr>
        <sz val="7"/>
        <color rgb="FF000000"/>
        <rFont val="Times New Roman"/>
        <family val="1"/>
      </rPr>
      <t xml:space="preserve">        </t>
    </r>
    <r>
      <rPr>
        <sz val="12"/>
        <color rgb="FF000000"/>
        <rFont val="Arial"/>
        <family val="2"/>
      </rPr>
      <t>أدوار كتيبة المدفعية في الهجوم (المدبر).</t>
    </r>
  </si>
  <si>
    <t>أ. أبطال فعالية العدو لتمكين القوات المهاجمة من التقدم واحتلال أهدافها.</t>
  </si>
  <si>
    <t>ب. عزل الهدف ومنع انسحاب قوات العدو وذلك بالرماية على ابعد منه وعلى جوانبه.</t>
  </si>
  <si>
    <t>تقييم كتيبة المدفعية في تنفيذ الهجوم (المدبر)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</si>
</sst>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7"/>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7" fillId="0" borderId="21"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0" fontId="7" fillId="0" borderId="4" xfId="0" applyFont="1" applyBorder="1" applyAlignment="1">
      <alignment horizontal="right" vertical="center" wrapText="1" readingOrder="2"/>
    </xf>
    <xf numFmtId="0" fontId="7" fillId="0" borderId="3" xfId="0" applyFont="1" applyBorder="1" applyAlignment="1">
      <alignment horizontal="right"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68" t="s">
        <v>53</v>
      </c>
      <c r="C1" s="68"/>
      <c r="D1" s="68"/>
      <c r="E1" s="68"/>
      <c r="F1" s="68"/>
      <c r="G1" s="68"/>
      <c r="H1" s="68"/>
      <c r="I1" s="68"/>
      <c r="J1" s="68"/>
    </row>
    <row r="2" spans="1:10" ht="30" customHeight="1" x14ac:dyDescent="0.25">
      <c r="B2" s="11" t="s">
        <v>8</v>
      </c>
      <c r="C2" s="54" t="s">
        <v>23</v>
      </c>
      <c r="D2" s="54"/>
      <c r="E2" s="11" t="s">
        <v>7</v>
      </c>
      <c r="F2" s="49" t="s">
        <v>22</v>
      </c>
      <c r="G2" s="49"/>
      <c r="H2" s="49"/>
      <c r="I2" s="49"/>
      <c r="J2" s="49"/>
    </row>
    <row r="3" spans="1:10" ht="30" customHeight="1" x14ac:dyDescent="0.25">
      <c r="B3" s="11" t="s">
        <v>9</v>
      </c>
      <c r="C3" s="54" t="s">
        <v>25</v>
      </c>
      <c r="D3" s="54"/>
      <c r="E3" s="11" t="s">
        <v>6</v>
      </c>
      <c r="F3" s="54" t="s">
        <v>24</v>
      </c>
      <c r="G3" s="54"/>
      <c r="H3" s="54"/>
      <c r="I3" s="54"/>
      <c r="J3" s="54"/>
    </row>
    <row r="4" spans="1:10" ht="30" customHeight="1" thickBot="1" x14ac:dyDescent="0.3">
      <c r="B4" s="5"/>
      <c r="C4" s="6"/>
      <c r="D4" s="6"/>
      <c r="E4" s="5"/>
      <c r="F4" s="6"/>
      <c r="G4" s="6"/>
      <c r="H4" s="7"/>
      <c r="I4" s="6"/>
      <c r="J4" s="6"/>
    </row>
    <row r="5" spans="1:10" ht="24.95" customHeight="1" x14ac:dyDescent="0.25">
      <c r="A5" s="9"/>
      <c r="B5" s="50" t="s">
        <v>0</v>
      </c>
      <c r="C5" s="51"/>
      <c r="D5" s="51"/>
      <c r="E5" s="43" t="s">
        <v>1</v>
      </c>
      <c r="F5" s="43"/>
      <c r="G5" s="43"/>
      <c r="H5" s="43"/>
      <c r="I5" s="43" t="s">
        <v>2</v>
      </c>
      <c r="J5" s="44"/>
    </row>
    <row r="6" spans="1:10" ht="24.95" customHeight="1" thickBot="1" x14ac:dyDescent="0.3">
      <c r="A6" s="9"/>
      <c r="B6" s="52"/>
      <c r="C6" s="53"/>
      <c r="D6" s="53"/>
      <c r="E6" s="10" t="s">
        <v>3</v>
      </c>
      <c r="F6" s="10" t="s">
        <v>4</v>
      </c>
      <c r="G6" s="10" t="s">
        <v>15</v>
      </c>
      <c r="H6" s="10" t="s">
        <v>16</v>
      </c>
      <c r="I6" s="45"/>
      <c r="J6" s="46"/>
    </row>
    <row r="7" spans="1:10" ht="24.95" customHeight="1" thickBot="1" x14ac:dyDescent="0.3">
      <c r="A7" s="9"/>
      <c r="B7" s="37" t="s">
        <v>13</v>
      </c>
      <c r="C7" s="38"/>
      <c r="D7" s="38"/>
      <c r="E7" s="14" t="s">
        <v>10</v>
      </c>
      <c r="F7" s="14" t="s">
        <v>11</v>
      </c>
      <c r="G7" s="14" t="s">
        <v>14</v>
      </c>
      <c r="H7" s="14" t="s">
        <v>12</v>
      </c>
      <c r="I7" s="47" t="s">
        <v>17</v>
      </c>
      <c r="J7" s="48"/>
    </row>
    <row r="8" spans="1:10" ht="39.950000000000003" customHeight="1" x14ac:dyDescent="0.25">
      <c r="A8" s="9"/>
      <c r="B8" s="66" t="s">
        <v>28</v>
      </c>
      <c r="C8" s="67"/>
      <c r="D8" s="67"/>
      <c r="E8" s="18"/>
      <c r="F8" s="19"/>
      <c r="G8" s="20"/>
      <c r="H8" s="21"/>
      <c r="I8" s="39"/>
      <c r="J8" s="40"/>
    </row>
    <row r="9" spans="1:10" ht="51.75" customHeight="1" x14ac:dyDescent="0.25">
      <c r="A9" s="9"/>
      <c r="B9" s="62" t="s">
        <v>29</v>
      </c>
      <c r="C9" s="63"/>
      <c r="D9" s="63"/>
      <c r="E9" s="8">
        <v>5</v>
      </c>
      <c r="F9" s="12" t="s">
        <v>26</v>
      </c>
      <c r="G9" s="16" t="str">
        <f>IFERROR(F9/E9,"")</f>
        <v/>
      </c>
      <c r="H9" s="17" t="str">
        <f>_xlfn.IFS(F9="أدخل العلامة","",F9="لا ينطبق","تم الإلغاء",G9&gt;=90%,"ممتاز",G9&gt;=80%,"جيد جداً",G9&gt;=70%,"جيد",G9&gt;=60%,"مقبول",G9&lt;60%,"راسب")</f>
        <v/>
      </c>
      <c r="I9" s="41"/>
      <c r="J9" s="42"/>
    </row>
    <row r="10" spans="1:10" ht="51.75" customHeight="1" x14ac:dyDescent="0.25">
      <c r="A10" s="9"/>
      <c r="B10" s="62" t="s">
        <v>30</v>
      </c>
      <c r="C10" s="63"/>
      <c r="D10" s="63"/>
      <c r="E10" s="8">
        <v>5</v>
      </c>
      <c r="F10" s="12" t="s">
        <v>26</v>
      </c>
      <c r="G10" s="16" t="str">
        <f t="shared" ref="G10:G32" si="0">IFERROR(F10/E10,"")</f>
        <v/>
      </c>
      <c r="H10" s="17" t="str">
        <f t="shared" ref="H10:H32" si="1">_xlfn.IFS(F10="أدخل العلامة","",F10="لا ينطبق","تم الإلغاء",G10&gt;=90%,"ممتاز",G10&gt;=80%,"جيد جداً",G10&gt;=70%,"جيد",G10&gt;=60%,"مقبول",G10&lt;60%,"راسب")</f>
        <v/>
      </c>
      <c r="I10" s="41"/>
      <c r="J10" s="42"/>
    </row>
    <row r="11" spans="1:10" ht="39.950000000000003" customHeight="1" x14ac:dyDescent="0.25">
      <c r="A11" s="9"/>
      <c r="B11" s="62" t="s">
        <v>31</v>
      </c>
      <c r="C11" s="63"/>
      <c r="D11" s="63"/>
      <c r="E11" s="8">
        <v>5</v>
      </c>
      <c r="F11" s="12" t="s">
        <v>26</v>
      </c>
      <c r="G11" s="16" t="str">
        <f t="shared" si="0"/>
        <v/>
      </c>
      <c r="H11" s="17" t="str">
        <f t="shared" si="1"/>
        <v/>
      </c>
      <c r="I11" s="41"/>
      <c r="J11" s="42"/>
    </row>
    <row r="12" spans="1:10" ht="51.75" customHeight="1" x14ac:dyDescent="0.25">
      <c r="A12" s="9"/>
      <c r="B12" s="62" t="s">
        <v>32</v>
      </c>
      <c r="C12" s="63"/>
      <c r="D12" s="63"/>
      <c r="E12" s="8">
        <v>5</v>
      </c>
      <c r="F12" s="12" t="s">
        <v>26</v>
      </c>
      <c r="G12" s="16" t="str">
        <f t="shared" si="0"/>
        <v/>
      </c>
      <c r="H12" s="17" t="str">
        <f t="shared" si="1"/>
        <v/>
      </c>
      <c r="I12" s="41"/>
      <c r="J12" s="42"/>
    </row>
    <row r="13" spans="1:10" ht="39.950000000000003" customHeight="1" x14ac:dyDescent="0.25">
      <c r="A13" s="9"/>
      <c r="B13" s="62" t="s">
        <v>33</v>
      </c>
      <c r="C13" s="63"/>
      <c r="D13" s="63"/>
      <c r="E13" s="8">
        <v>5</v>
      </c>
      <c r="F13" s="12" t="s">
        <v>26</v>
      </c>
      <c r="G13" s="16" t="str">
        <f t="shared" si="0"/>
        <v/>
      </c>
      <c r="H13" s="17" t="str">
        <f t="shared" si="1"/>
        <v/>
      </c>
      <c r="I13" s="41"/>
      <c r="J13" s="42"/>
    </row>
    <row r="14" spans="1:10" ht="39.950000000000003" customHeight="1" x14ac:dyDescent="0.25">
      <c r="A14" s="9"/>
      <c r="B14" s="62" t="s">
        <v>34</v>
      </c>
      <c r="C14" s="63"/>
      <c r="D14" s="63"/>
      <c r="E14" s="8">
        <v>5</v>
      </c>
      <c r="F14" s="12" t="s">
        <v>26</v>
      </c>
      <c r="G14" s="16" t="str">
        <f t="shared" si="0"/>
        <v/>
      </c>
      <c r="H14" s="17" t="str">
        <f t="shared" si="1"/>
        <v/>
      </c>
      <c r="I14" s="41"/>
      <c r="J14" s="42"/>
    </row>
    <row r="15" spans="1:10" ht="39.950000000000003" customHeight="1" x14ac:dyDescent="0.25">
      <c r="A15" s="9"/>
      <c r="B15" s="62" t="s">
        <v>35</v>
      </c>
      <c r="C15" s="63"/>
      <c r="D15" s="63"/>
      <c r="E15" s="8">
        <v>5</v>
      </c>
      <c r="F15" s="12" t="s">
        <v>26</v>
      </c>
      <c r="G15" s="16" t="str">
        <f t="shared" si="0"/>
        <v/>
      </c>
      <c r="H15" s="17" t="str">
        <f t="shared" si="1"/>
        <v/>
      </c>
      <c r="I15" s="41"/>
      <c r="J15" s="42"/>
    </row>
    <row r="16" spans="1:10" ht="39.950000000000003" customHeight="1" thickBot="1" x14ac:dyDescent="0.3">
      <c r="A16" s="9"/>
      <c r="B16" s="64" t="s">
        <v>36</v>
      </c>
      <c r="C16" s="65"/>
      <c r="D16" s="65"/>
      <c r="E16" s="22">
        <v>5</v>
      </c>
      <c r="F16" s="13" t="s">
        <v>26</v>
      </c>
      <c r="G16" s="23" t="str">
        <f t="shared" si="0"/>
        <v/>
      </c>
      <c r="H16" s="24" t="str">
        <f t="shared" si="1"/>
        <v/>
      </c>
      <c r="I16" s="31"/>
      <c r="J16" s="32"/>
    </row>
    <row r="17" spans="1:10" ht="39.950000000000003" customHeight="1" x14ac:dyDescent="0.25">
      <c r="A17" s="9"/>
      <c r="B17" s="66" t="s">
        <v>37</v>
      </c>
      <c r="C17" s="67"/>
      <c r="D17" s="67"/>
      <c r="E17" s="18"/>
      <c r="F17" s="19"/>
      <c r="G17" s="20"/>
      <c r="H17" s="21"/>
      <c r="I17" s="39"/>
      <c r="J17" s="40"/>
    </row>
    <row r="18" spans="1:10" ht="39.950000000000003" customHeight="1" x14ac:dyDescent="0.25">
      <c r="A18" s="9"/>
      <c r="B18" s="62" t="s">
        <v>38</v>
      </c>
      <c r="C18" s="63"/>
      <c r="D18" s="63"/>
      <c r="E18" s="8">
        <v>5</v>
      </c>
      <c r="F18" s="12" t="s">
        <v>26</v>
      </c>
      <c r="G18" s="16" t="str">
        <f t="shared" si="0"/>
        <v/>
      </c>
      <c r="H18" s="17" t="str">
        <f t="shared" si="1"/>
        <v/>
      </c>
      <c r="I18" s="41"/>
      <c r="J18" s="42"/>
    </row>
    <row r="19" spans="1:10" ht="39.950000000000003" customHeight="1" x14ac:dyDescent="0.25">
      <c r="A19" s="9"/>
      <c r="B19" s="62" t="s">
        <v>39</v>
      </c>
      <c r="C19" s="63"/>
      <c r="D19" s="63"/>
      <c r="E19" s="8">
        <v>5</v>
      </c>
      <c r="F19" s="12" t="s">
        <v>26</v>
      </c>
      <c r="G19" s="16" t="str">
        <f t="shared" si="0"/>
        <v/>
      </c>
      <c r="H19" s="17" t="str">
        <f t="shared" si="1"/>
        <v/>
      </c>
      <c r="I19" s="41"/>
      <c r="J19" s="42"/>
    </row>
    <row r="20" spans="1:10" ht="39.950000000000003" customHeight="1" x14ac:dyDescent="0.25">
      <c r="A20" s="9"/>
      <c r="B20" s="62" t="s">
        <v>40</v>
      </c>
      <c r="C20" s="63"/>
      <c r="D20" s="63"/>
      <c r="E20" s="8">
        <v>5</v>
      </c>
      <c r="F20" s="12" t="s">
        <v>26</v>
      </c>
      <c r="G20" s="16" t="str">
        <f t="shared" si="0"/>
        <v/>
      </c>
      <c r="H20" s="17" t="str">
        <f t="shared" si="1"/>
        <v/>
      </c>
      <c r="I20" s="41"/>
      <c r="J20" s="42"/>
    </row>
    <row r="21" spans="1:10" ht="39.950000000000003" customHeight="1" x14ac:dyDescent="0.25">
      <c r="A21" s="9"/>
      <c r="B21" s="62" t="s">
        <v>41</v>
      </c>
      <c r="C21" s="63"/>
      <c r="D21" s="63"/>
      <c r="E21" s="8">
        <v>5</v>
      </c>
      <c r="F21" s="12" t="s">
        <v>26</v>
      </c>
      <c r="G21" s="16" t="str">
        <f t="shared" si="0"/>
        <v/>
      </c>
      <c r="H21" s="17" t="str">
        <f t="shared" si="1"/>
        <v/>
      </c>
      <c r="I21" s="41"/>
      <c r="J21" s="42"/>
    </row>
    <row r="22" spans="1:10" ht="39.950000000000003" customHeight="1" x14ac:dyDescent="0.25">
      <c r="A22" s="9"/>
      <c r="B22" s="62" t="s">
        <v>42</v>
      </c>
      <c r="C22" s="63"/>
      <c r="D22" s="63"/>
      <c r="E22" s="8">
        <v>5</v>
      </c>
      <c r="F22" s="12" t="s">
        <v>26</v>
      </c>
      <c r="G22" s="16" t="str">
        <f t="shared" si="0"/>
        <v/>
      </c>
      <c r="H22" s="17" t="str">
        <f t="shared" si="1"/>
        <v/>
      </c>
      <c r="I22" s="41"/>
      <c r="J22" s="42"/>
    </row>
    <row r="23" spans="1:10" ht="39.950000000000003" customHeight="1" x14ac:dyDescent="0.25">
      <c r="A23" s="9"/>
      <c r="B23" s="62" t="s">
        <v>43</v>
      </c>
      <c r="C23" s="63"/>
      <c r="D23" s="63"/>
      <c r="E23" s="8">
        <v>5</v>
      </c>
      <c r="F23" s="12" t="s">
        <v>26</v>
      </c>
      <c r="G23" s="16" t="str">
        <f t="shared" si="0"/>
        <v/>
      </c>
      <c r="H23" s="17" t="str">
        <f t="shared" si="1"/>
        <v/>
      </c>
      <c r="I23" s="41"/>
      <c r="J23" s="42"/>
    </row>
    <row r="24" spans="1:10" ht="39.950000000000003" customHeight="1" x14ac:dyDescent="0.25">
      <c r="A24" s="9"/>
      <c r="B24" s="62" t="s">
        <v>44</v>
      </c>
      <c r="C24" s="63"/>
      <c r="D24" s="63"/>
      <c r="E24" s="8">
        <v>5</v>
      </c>
      <c r="F24" s="12" t="s">
        <v>26</v>
      </c>
      <c r="G24" s="16" t="str">
        <f t="shared" si="0"/>
        <v/>
      </c>
      <c r="H24" s="17" t="str">
        <f t="shared" si="1"/>
        <v/>
      </c>
      <c r="I24" s="41"/>
      <c r="J24" s="42"/>
    </row>
    <row r="25" spans="1:10" ht="39.950000000000003" customHeight="1" x14ac:dyDescent="0.25">
      <c r="A25" s="9"/>
      <c r="B25" s="62" t="s">
        <v>45</v>
      </c>
      <c r="C25" s="63"/>
      <c r="D25" s="63"/>
      <c r="E25" s="8">
        <v>5</v>
      </c>
      <c r="F25" s="12" t="s">
        <v>26</v>
      </c>
      <c r="G25" s="16" t="str">
        <f t="shared" si="0"/>
        <v/>
      </c>
      <c r="H25" s="17" t="str">
        <f t="shared" si="1"/>
        <v/>
      </c>
      <c r="I25" s="41"/>
      <c r="J25" s="42"/>
    </row>
    <row r="26" spans="1:10" ht="39.950000000000003" customHeight="1" x14ac:dyDescent="0.25">
      <c r="A26" s="9"/>
      <c r="B26" s="62" t="s">
        <v>46</v>
      </c>
      <c r="C26" s="63"/>
      <c r="D26" s="63"/>
      <c r="E26" s="8">
        <v>5</v>
      </c>
      <c r="F26" s="12" t="s">
        <v>26</v>
      </c>
      <c r="G26" s="16" t="str">
        <f t="shared" si="0"/>
        <v/>
      </c>
      <c r="H26" s="17" t="str">
        <f t="shared" si="1"/>
        <v/>
      </c>
      <c r="I26" s="41"/>
      <c r="J26" s="42"/>
    </row>
    <row r="27" spans="1:10" ht="51.75" customHeight="1" x14ac:dyDescent="0.25">
      <c r="A27" s="9"/>
      <c r="B27" s="62" t="s">
        <v>47</v>
      </c>
      <c r="C27" s="63"/>
      <c r="D27" s="63"/>
      <c r="E27" s="8">
        <v>5</v>
      </c>
      <c r="F27" s="12" t="s">
        <v>26</v>
      </c>
      <c r="G27" s="16" t="str">
        <f t="shared" si="0"/>
        <v/>
      </c>
      <c r="H27" s="17" t="str">
        <f t="shared" si="1"/>
        <v/>
      </c>
      <c r="I27" s="41"/>
      <c r="J27" s="42"/>
    </row>
    <row r="28" spans="1:10" ht="51.75" customHeight="1" x14ac:dyDescent="0.25">
      <c r="A28" s="9"/>
      <c r="B28" s="62" t="s">
        <v>48</v>
      </c>
      <c r="C28" s="63"/>
      <c r="D28" s="63"/>
      <c r="E28" s="8">
        <v>5</v>
      </c>
      <c r="F28" s="12" t="s">
        <v>26</v>
      </c>
      <c r="G28" s="16" t="str">
        <f t="shared" si="0"/>
        <v/>
      </c>
      <c r="H28" s="17" t="str">
        <f t="shared" si="1"/>
        <v/>
      </c>
      <c r="I28" s="41"/>
      <c r="J28" s="42"/>
    </row>
    <row r="29" spans="1:10" ht="39.950000000000003" customHeight="1" thickBot="1" x14ac:dyDescent="0.3">
      <c r="A29" s="9"/>
      <c r="B29" s="64" t="s">
        <v>49</v>
      </c>
      <c r="C29" s="65"/>
      <c r="D29" s="65"/>
      <c r="E29" s="22">
        <v>5</v>
      </c>
      <c r="F29" s="13" t="s">
        <v>26</v>
      </c>
      <c r="G29" s="23" t="str">
        <f t="shared" si="0"/>
        <v/>
      </c>
      <c r="H29" s="24" t="str">
        <f t="shared" si="1"/>
        <v/>
      </c>
      <c r="I29" s="31"/>
      <c r="J29" s="32"/>
    </row>
    <row r="30" spans="1:10" ht="39.950000000000003" customHeight="1" x14ac:dyDescent="0.25">
      <c r="A30" s="9"/>
      <c r="B30" s="66" t="s">
        <v>50</v>
      </c>
      <c r="C30" s="67"/>
      <c r="D30" s="67"/>
      <c r="E30" s="18"/>
      <c r="F30" s="19"/>
      <c r="G30" s="20"/>
      <c r="H30" s="21"/>
      <c r="I30" s="39"/>
      <c r="J30" s="40"/>
    </row>
    <row r="31" spans="1:10" ht="39.950000000000003" customHeight="1" x14ac:dyDescent="0.25">
      <c r="A31" s="9"/>
      <c r="B31" s="62" t="s">
        <v>51</v>
      </c>
      <c r="C31" s="63"/>
      <c r="D31" s="63"/>
      <c r="E31" s="8">
        <v>5</v>
      </c>
      <c r="F31" s="12" t="s">
        <v>26</v>
      </c>
      <c r="G31" s="16" t="str">
        <f t="shared" si="0"/>
        <v/>
      </c>
      <c r="H31" s="17" t="str">
        <f t="shared" si="1"/>
        <v/>
      </c>
      <c r="I31" s="41"/>
      <c r="J31" s="42"/>
    </row>
    <row r="32" spans="1:10" ht="39.950000000000003" customHeight="1" thickBot="1" x14ac:dyDescent="0.3">
      <c r="A32" s="9"/>
      <c r="B32" s="64" t="s">
        <v>52</v>
      </c>
      <c r="C32" s="65"/>
      <c r="D32" s="65"/>
      <c r="E32" s="22">
        <v>5</v>
      </c>
      <c r="F32" s="13" t="s">
        <v>26</v>
      </c>
      <c r="G32" s="23" t="str">
        <f t="shared" si="0"/>
        <v/>
      </c>
      <c r="H32" s="24" t="str">
        <f t="shared" si="1"/>
        <v/>
      </c>
      <c r="I32" s="31"/>
      <c r="J32" s="32"/>
    </row>
    <row r="33" spans="1:10" ht="30" customHeight="1" thickBot="1" x14ac:dyDescent="0.3">
      <c r="A33" s="3"/>
      <c r="B33" s="33" t="s">
        <v>5</v>
      </c>
      <c r="C33" s="34"/>
      <c r="D33" s="34"/>
      <c r="E33" s="15">
        <f>SUM(E8:E32)</f>
        <v>110</v>
      </c>
      <c r="F33" s="15">
        <f>SUM(F8:F32)</f>
        <v>0</v>
      </c>
      <c r="G33" s="57"/>
      <c r="H33" s="58"/>
      <c r="I33" s="58"/>
      <c r="J33" s="59"/>
    </row>
    <row r="34" spans="1:10" ht="30" customHeight="1" thickBot="1" x14ac:dyDescent="0.3">
      <c r="A34" s="3"/>
      <c r="B34" s="35" t="s">
        <v>20</v>
      </c>
      <c r="C34" s="36"/>
      <c r="D34" s="36"/>
      <c r="E34" s="60">
        <f>F33/E33/100*100</f>
        <v>0</v>
      </c>
      <c r="F34" s="60"/>
      <c r="G34" s="60"/>
      <c r="H34" s="60"/>
      <c r="I34" s="60"/>
      <c r="J34" s="61"/>
    </row>
    <row r="35" spans="1:10" ht="30" customHeight="1" thickBot="1" x14ac:dyDescent="0.3">
      <c r="A35" s="3"/>
      <c r="B35" s="35" t="s">
        <v>21</v>
      </c>
      <c r="C35" s="36"/>
      <c r="D35" s="36"/>
      <c r="E35" s="29" t="str">
        <f>_xlfn.IFS(E34&gt;=90%,"ممتاز",E34&gt;=80%,"جيد جداً",E34&gt;=70%,"جيد",E34&gt;=60%,"مقبول",E34&lt;60%,"راسب")</f>
        <v>راسب</v>
      </c>
      <c r="F35" s="29"/>
      <c r="G35" s="29"/>
      <c r="H35" s="29"/>
      <c r="I35" s="29"/>
      <c r="J35" s="30"/>
    </row>
    <row r="36" spans="1:10" ht="42" customHeight="1" x14ac:dyDescent="0.25">
      <c r="B36" s="25" t="s">
        <v>27</v>
      </c>
      <c r="C36" s="25"/>
      <c r="D36" s="25"/>
      <c r="E36" s="55" t="s">
        <v>18</v>
      </c>
      <c r="F36" s="55"/>
      <c r="G36" s="27" t="s">
        <v>24</v>
      </c>
      <c r="H36" s="27"/>
      <c r="I36" s="27"/>
      <c r="J36" s="27"/>
    </row>
    <row r="37" spans="1:10" ht="51" customHeight="1" x14ac:dyDescent="0.25">
      <c r="A37" s="4"/>
      <c r="B37" s="26"/>
      <c r="C37" s="26"/>
      <c r="D37" s="26"/>
      <c r="E37" s="56" t="s">
        <v>19</v>
      </c>
      <c r="F37" s="56"/>
      <c r="G37" s="28"/>
      <c r="H37" s="28"/>
      <c r="I37" s="28"/>
      <c r="J37" s="28"/>
    </row>
  </sheetData>
  <sheetProtection sheet="1" formatCells="0" formatColumns="0" formatRows="0" insertColumns="0" insertRows="0" insertHyperlinks="0" deleteColumns="0" deleteRows="0" selectLockedCells="1" sort="0" autoFilter="0" pivotTables="0"/>
  <mergeCells count="71">
    <mergeCell ref="B31:D31"/>
    <mergeCell ref="B32:D32"/>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8:D8"/>
    <mergeCell ref="B9:D9"/>
    <mergeCell ref="B10:D10"/>
    <mergeCell ref="B11:D11"/>
    <mergeCell ref="B12:D12"/>
    <mergeCell ref="B13:D13"/>
    <mergeCell ref="B14:D14"/>
    <mergeCell ref="B15:D15"/>
    <mergeCell ref="B16:D16"/>
    <mergeCell ref="I9:J9"/>
    <mergeCell ref="I24:J24"/>
    <mergeCell ref="I25:J25"/>
    <mergeCell ref="I26:J26"/>
    <mergeCell ref="I27:J27"/>
    <mergeCell ref="E34:J34"/>
    <mergeCell ref="I28:J28"/>
    <mergeCell ref="I29:J29"/>
    <mergeCell ref="I19:J19"/>
    <mergeCell ref="I20:J20"/>
    <mergeCell ref="I21:J21"/>
    <mergeCell ref="I22:J22"/>
    <mergeCell ref="I23:J23"/>
    <mergeCell ref="B1:J1"/>
    <mergeCell ref="F2:J2"/>
    <mergeCell ref="B5:D6"/>
    <mergeCell ref="C2:D2"/>
    <mergeCell ref="C3:D3"/>
    <mergeCell ref="F3:J3"/>
    <mergeCell ref="B7:D7"/>
    <mergeCell ref="I30:J30"/>
    <mergeCell ref="I31:J31"/>
    <mergeCell ref="E5:H5"/>
    <mergeCell ref="I5:J6"/>
    <mergeCell ref="I7:J7"/>
    <mergeCell ref="I10:J10"/>
    <mergeCell ref="I8:J8"/>
    <mergeCell ref="I11:J11"/>
    <mergeCell ref="I12:J12"/>
    <mergeCell ref="I13:J13"/>
    <mergeCell ref="I14:J14"/>
    <mergeCell ref="I15:J15"/>
    <mergeCell ref="I16:J16"/>
    <mergeCell ref="I17:J17"/>
    <mergeCell ref="I18:J18"/>
    <mergeCell ref="B36:D37"/>
    <mergeCell ref="G36:J36"/>
    <mergeCell ref="G37:J37"/>
    <mergeCell ref="E35:J35"/>
    <mergeCell ref="I32:J32"/>
    <mergeCell ref="B33:D33"/>
    <mergeCell ref="B34:D34"/>
    <mergeCell ref="B35:D35"/>
    <mergeCell ref="E36:F36"/>
    <mergeCell ref="E37:F37"/>
    <mergeCell ref="G33:J33"/>
  </mergeCells>
  <conditionalFormatting sqref="E35">
    <cfRule type="expression" dxfId="23" priority="57">
      <formula>$E35="راسب"</formula>
    </cfRule>
  </conditionalFormatting>
  <conditionalFormatting sqref="E35:J35">
    <cfRule type="expression" dxfId="22" priority="58">
      <formula>$E35="مقبول"</formula>
    </cfRule>
    <cfRule type="expression" dxfId="21" priority="59">
      <formula>$E35="جيد"</formula>
    </cfRule>
    <cfRule type="expression" dxfId="20" priority="60">
      <formula>$E35="جيد جداً"</formula>
    </cfRule>
    <cfRule type="expression" dxfId="19" priority="61">
      <formula>$E35="ممتاز"</formula>
    </cfRule>
  </conditionalFormatting>
  <conditionalFormatting sqref="H8 H10:H32">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2">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6:J36">
    <cfRule type="containsText" dxfId="8" priority="15" operator="containsText" text="أدخل اسم المحكم">
      <formula>NOT(ISERROR(SEARCH("أدخل اسم المحكم",G36)))</formula>
    </cfRule>
  </conditionalFormatting>
  <conditionalFormatting sqref="F8 F10:F32">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F31:F32 F18:F29 F9:F16</xm:sqref>
        </x14:dataValidation>
        <x14:dataValidation type="list" allowBlank="1" showInputMessage="1" showErrorMessage="1">
          <x14:formula1>
            <xm:f>#REF!</xm:f>
          </x14:formula1>
          <xm:sqref>G36:J36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2026-08-30T05:15:31Z</dcterms:modified>
</cp:coreProperties>
</file>