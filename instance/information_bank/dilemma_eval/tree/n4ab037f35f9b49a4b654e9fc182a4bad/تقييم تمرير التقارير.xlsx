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B6F9D729-F431-3F4A-A98D-7A611908DE7B}"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<sst xmlns="http://schemas.openxmlformats.org/spreadsheetml/2006/main" count="258" uniqueCount="202">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</sst>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6</xdr:col>
      <xdr:colOff>399863</xdr:colOff>
      <xdr:row>35</xdr:row>
      <xdr:rowOff>526102</xdr:rowOff>
    </xdr:from>
    <xdr:to>
      <xdr:col>8</xdr:col>
      <xdr:colOff>384721</xdr:colOff>
      <xdr:row>36</xdr:row>
      <xdr:rowOff>632782</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60CFDD5D-1B86-66F6-771C-EE8FCDA86DEA}"/>
                </a:ext>
              </a:extLst>
            </xdr14:cNvPr>
            <xdr14:cNvContentPartPr/>
          </xdr14:nvContentPartPr>
          <xdr14:nvPr macro=""/>
          <xdr14:xfrm>
            <a:off x="10436666935" y="18259920"/>
            <a:ext cx="1301040" cy="640080"/>
          </xdr14:xfrm>
        </xdr:contentPart>
      </mc:Choice>
      <mc:Fallback>
        <xdr:pic>
          <xdr:nvPicPr>
            <xdr:cNvPr id="2" name="Ink 1">
              <a:extLst>
                <a:ext uri="{FF2B5EF4-FFF2-40B4-BE49-F238E27FC236}">
                  <a16:creationId xmlns:a16="http://schemas.microsoft.com/office/drawing/2014/main" id="{60CFDD5D-1B86-66F6-771C-EE8FCDA86DEA}"/>
                </a:ext>
              </a:extLst>
            </xdr:cNvPr>
            <xdr:cNvPicPr/>
          </xdr:nvPicPr>
          <xdr:blipFill>
            <a:blip xmlns:r="http://schemas.openxmlformats.org/officeDocument/2006/relationships" r:embed="rId2"/>
            <a:stretch>
              <a:fillRect/>
            </a:stretch>
          </xdr:blipFill>
          <xdr:spPr>
            <a:xfrm>
              <a:off x="10436658295" y="18250920"/>
              <a:ext cx="1318680" cy="6577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4T17:14:58.767"/>
    </inkml:context>
    <inkml:brush xml:id="br0">
      <inkml:brushProperty name="width" value="0.05" units="cm"/>
      <inkml:brushProperty name="height" value="0.05" units="cm"/>
    </inkml:brush>
  </inkml:definitions>
  <inkml:trace contextRef="#ctx0" brushRef="#br0">3614 860 14667,'0'0'0,"0"0"0,-5-2 488,0-1-480,-9-2-72,9 0 72,5 5-8,0-5-24,0-2 48,2 2-24,3-1 0,-5 6 0,0-5-24,2 2 24,-2 0 32,0 1 72,0 2-104,0-2 32,0 2 40,0 0-32,0 0-120,0 0 80,0 0-128,-2 4-112,-3-1-64,0 2-48,5-5 352,-4 14-305,-4-9 41,-6 19 24,0-2 48,14-22 192,-15 25-128,-4 3 24,-3 2 32,3 3 72,19-33 0,-22 32 8,1 2 0,-1 2 32,-4 2-16,26-38-24,-25 37-32,-3 1 56,1-2-8,-4-1-16,31-35 0,-27 31 72,-1-4-32,4-3 48,2-5 24,22-19-112,-19 17 112,4-3 32,1-9-16,9 0 48,5-5-176,-12 5 265,7-1 31,3-4 112,-3 0 24,5 0-432,0-4 360,-3-3-64,1-10-184,0 4-152,2 13 40,0-17-128,-3-2 56,1-2 88,-1 1 0,3 20-16,-2-22 48,2 0-48,0-1-56,0 3 8,0 20 48,0-19-16,0 2 16,5 3-16,0 8 40,-5 6-24,4-14 0,-1 11-24,-3-3 16,0 1-56,0 5 64,0-3-40,0-2-48,5 0-8,-3-2-72,-2 7 168,5-14-184,-5 11 0,2-4 24,-2 0 120,0 7 40,0-7-56,0-6 112,0 9 16,0-1 16,0 5-88,0-5 88,0 0 16,0 1-24,-2 1-32,2 3-48,0-3 80,-2-1-56,-3 1-16,2 1-32,3 2 24,-2-2-32,-3 1-32,3-1 8,-1 2-32,3 0 88,-2 0-96,-1 0-64,-1 0-64,-1 0-8,5 0 232,0 5-280,-5 0 31,-2 0 9,2 12 40,5-17 200,-14 6-160,11 16 0,-14-5 40,13 2-8,4-19 128,-22 20-112,5 0 48,3 1 8,-6-4 48,20-17 8,-14 19 0,-5-4 16,2 2 56,-5-1 16,22-16-88,-17 5 120,1 12 64,-4-14 0,3 2 16,17-5-200,-4 5 240,-18 0-88,17-1 41,-9-4 79,14 0-272,-5 0 216,3 0 8,-3 0 104,-2-2-40,7 2-288,-5-5 264,5-9-96,-3 9-200,-2-13-128,5 18 160,0-18-168,0-2 88,0-2 0,3-4-32,-3 26 112,5-27-96,0 1 24,2 2-32,7 2 136,-14 22-32,0-15-40,3 8 0,1-7 48,-4 11-64,0 3 56,3-3 0,-3 1-112,0 2-80,0 0-128,0 0 320,0 3-401,-3 1-79,3-1-8,-4 2 40,4-5 448,-5 17-368,-10-3 120,11 3 16,-11 4 64,15-21 168,-5 23-112,-12 0 48,3-1 96,0-2 112,14-20-144,-15 19 120,1 1 40,-3-1 8,0-2-32,17-17-136,-19 19 216,-5-4 16,2 1 64,-2-1 32,24-15-328,-19 14 328,2-9 16,0 12-8,3-14-23,14-3-313,-8 4 344,-6-4 64,9 0-16,-9 0 8,14 0-400,-5 0 456,0 0-16,0-4 32,-2-1 0,7 5-472,-5-5 360,5-2-24,-2-8-136,2 8-160,0 7-40,0-22-16,0-4-104,14-6 40,-2-9 64,-12 41 16,20-51-48,4-5 24,0-9-56,2-7 40,-26 72 40,31-75-48,3-2-128,2-1-48,-2 1-24,-34 77 248,34-77-288,-3 2 112,-5 2 56,1 3-48,-27 70 168,26-65 8,-7 7-8,1 4 16,-3 7-16,-17 47 0,14-44-16,0 3 88,-9 7-40,14 8 16,-19 26-48,0-17 56,3 14 0,-3 1-160,0 2-88,0 0 192,0 5-632,-5 18-192,-2 0 128,-10 12 111,17-35 585,-17 46-384,-4 7 96,-4 8 56,-1 5-56,26-66 288,-31 72-144,-3 7-48,-4 1 32,-8 2 48,46-82 112,-43 83-64,-6 1 232,4-2 0,1-6 80,44-76-248,-45 72 320,1-4 56,1-5 48,0-5 105,43-58-529,-43 55 424,-1-6-160,3-2 40,3-5-32,38-42-272,-36 39 200,2-4-8,0-5-48,3-2-72,31-28-72,-26 23 120,2-4 8,4-5 64,1-11-88,19-3-104,-17 5 168,5 0 104,8-5-112,-11 0-80,15 0-80,-2-1 48,-1-4-120,-1-12-136,4 3 104,0 14 104,-3-17-208,3-4-80,0-2 152,3-8 24,-3 31 112,4-33-104,16-2 40,-16-3-16,13 2-112,-17 36 192,7-37-112,15-1 80,-8 1-32,3 1 32,-17 36 32,15-36-40,-1 5-80,-2 4 56,-7 7 40,-5 20 24,5-14-32,-3 9 112,-2 3-136,0 0-32,0 2 88,0 0-168,0 4-144,-7 11-32,2-10-24,5-5 368,-19 24-305,5-2 41,-3 4 120,-3 1 96,20-27 48,-19 26-8,-2-2 40,1 0 24,1-4-24,19-20-32,-17 17 32,0-2 8,5-9 16,5 11 56,7-17-112,-7 0 120,-7 3 33,14 0 47,-5-3-32,5 0-168,-3 0 152,1 0-40,0 0-80,-1-1-48,3 1 16,-2-4-64,-1-1-128,1 0-24,2 0-17,0 5 233,-3-5-240,3 3 80,0 0 16,-2 2 16,2 0 128,-2 0-168,-1 4-40,-2-1 24,1 11-40,4-14 224,-8 5-168,-6 15 32,7 1 24,-10 1 96,17-22 16,-17 26 0,0-1 48,0-1 72,3-2 32,14-22-152,-14 19 240,-3-2 80,2-1 32,1-11 32,14-5-384,-5 5 377,-7 0-1,10-2 40,-1-3 40,3 0-456,0-1 336,0-5-24,0-11-240,0 0-176,0-5-48,0 22 152,5-34-192,7-7 96,-7-7 24,14-10 56,-19 58 16,17-66-16,7-13-16,2-9 0,-26 88 32,32-96-64,1-5 0,-1 3 16,4-1 32,-36 99 16,31-92 32,0 6 0,-2 11-24,-5 9-40,-24 66 32,19-57 0,-4 8 0,-1 10 24,-9 6 32,0 11-16,-5 22-40,5-15 48,-5 11 16,0 3-56,-3 1-208,3 0 200,-4 5-288,-16 15-80,3 1 8,-4 9 127,21-30 233,-27 40-168,-2 7 16,-7 11 56,-4 9 80,40-67 16,-41 70 0,0 3 48,-5 7 40,-4 6 32,50-86-120,-53 87 168,-3 1 41,-4 1 55,5-5-48,55-84-216,-53 81 336,0-5 40,0-8 32,0-2-16,53-66-392,-50 62 328,4-4-32,5-4-72,0-6-16,41-48-208,-36 41 128,5-7-72,2-5 0,2-3 72,27-26-128,-16 18 88,-4-2 24,13-13 0,-7 2-24,14-5-88,-3 4 40,1-4-80,2-2-72,0-3-136,0 5 248,0-15-264,2-1 0,3-3 56,0-6 80,-5 25 128,14-31-88,-2-5 56,-4-5 8,16 0-24,-24 41 48,21-44-8,-4 3-8,5 2 8,-3 5 16,-19 34-8,19-33-24,-4 8-8,-1 4 32,-9 3-24,-5 18 24,12-7 16,-7-9-16,-3 13-24,3-2 24,-5 5 0,2-2-32,-2 0 8,0 2-24,0 0-40,0 0 88,0 0-16,-2 4 32,0-1-16,-3 2 8,5-5-8,-17 6 0,3 7-32,-6-9 40,-4 11 88,24-15-96,-29 5 96,1 12-16,-13-3 48,5-9-32,36-5-96,-44 24 96,-1-7 56,-6 2 80,3 1 40,48-20-272,-53 21 264,-5-1-24,1 2-64,-4 0-40,61-22-136,-57 23 120,6-3-16,3 0-40,5-2-16,43-18-48,-39 15 0,8-10 32,5 14 9,6-16-41,20-3 0,-14 5 24,9 0-40,-2-1-33,7-4-47,0 0 96,0 0-168,0 0-80,5 0 16,14 0 48,-19 0 184,19 0-104,15 0 16,7-2 8,12-5 48,-53 7 32,62-22-16,15-2-8,12-6 24,7-8 16,-96 38-16,106-43-40,7-6 88,8-2-48,13-7 48,-134 58-48,137-60 152,10-5 40,2-3 104,-4-2 16,-145 70-312,141-73 289,-3 1-9,-1-1-48,-10 1-72,-127 72-160,123-70 80,-13 7 0,-16 5-8,-12 7-8,-82 51-64,67-46 64,-11 8 16,-18 6 24,-16 8 80,-22 24-184,14-17 344,-14 3 40,0 9 72,0-2 0,0 7-456,-7-13 352,-24 9-112,-1-1-144,-18 0-48,50 5-48,-65-5-40,-5 5 72,-24 3 16,-9 14-64,103-17 16,-118 19 0,-14 5-112,-15 5 16,-9 3 56,156-32 40,-161 36-80,-8 2 136,6-1-96,2 1-40,161-38 80,-157 36-24,20-1-176,17 1 16,14-5-48,106-31 232,-94 31-464,20-4-200,14-1-464,11-1-705,49-25 1833,-28 24-3072,8 0-4658,20-24 7730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B21" zoomScale="130" zoomScaleNormal="100" zoomScaleSheetLayoutView="130" workbookViewId="0">
      <selection activeCell="G36" sqref="G36:J36"/>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60" t="s">
        <v>201</v>
      </c>
      <c r="C1" s="60"/>
      <c r="D1" s="60"/>
      <c r="E1" s="60"/>
      <c r="F1" s="60"/>
      <c r="G1" s="60"/>
      <c r="H1" s="60"/>
      <c r="I1" s="60"/>
      <c r="J1" s="60"/>
    </row>
    <row r="2" spans="1:10" ht="30" customHeight="1" x14ac:dyDescent="0.2">
      <c r="B2" s="13" t="s">
        <v>8</v>
      </c>
      <c r="C2" s="66" t="s">
        <v>39</v>
      </c>
      <c r="D2" s="66"/>
      <c r="E2" s="13" t="s">
        <v>7</v>
      </c>
      <c r="F2" s="61">
        <v>45954</v>
      </c>
      <c r="G2" s="61"/>
      <c r="H2" s="61"/>
      <c r="I2" s="61"/>
      <c r="J2" s="61"/>
    </row>
    <row r="3" spans="1:10" ht="30" customHeight="1" x14ac:dyDescent="0.2">
      <c r="B3" s="13" t="s">
        <v>9</v>
      </c>
      <c r="C3" s="66" t="s">
        <v>80</v>
      </c>
      <c r="D3" s="66"/>
      <c r="E3" s="13" t="s">
        <v>6</v>
      </c>
      <c r="F3" s="66" t="s">
        <v>142</v>
      </c>
      <c r="G3" s="66"/>
      <c r="H3" s="66"/>
      <c r="I3" s="66"/>
      <c r="J3" s="66"/>
    </row>
    <row r="4" spans="1:10" ht="30" customHeight="1" thickBot="1" x14ac:dyDescent="0.25">
      <c r="B4" s="6"/>
      <c r="C4" s="7"/>
      <c r="D4" s="7"/>
      <c r="E4" s="6"/>
      <c r="F4" s="7"/>
      <c r="G4" s="7"/>
      <c r="H4" s="8"/>
      <c r="I4" s="7"/>
      <c r="J4" s="7"/>
    </row>
    <row r="5" spans="1:10" ht="24.95" customHeight="1" x14ac:dyDescent="0.2">
      <c r="A5" s="11"/>
      <c r="B5" s="62" t="s">
        <v>0</v>
      </c>
      <c r="C5" s="63"/>
      <c r="D5" s="63"/>
      <c r="E5" s="71" t="s">
        <v>1</v>
      </c>
      <c r="F5" s="71"/>
      <c r="G5" s="71"/>
      <c r="H5" s="71"/>
      <c r="I5" s="71" t="s">
        <v>2</v>
      </c>
      <c r="J5" s="72"/>
    </row>
    <row r="6" spans="1:10" ht="24.95" customHeight="1" thickBot="1" x14ac:dyDescent="0.25">
      <c r="A6" s="11"/>
      <c r="B6" s="64"/>
      <c r="C6" s="65"/>
      <c r="D6" s="65"/>
      <c r="E6" s="12" t="s">
        <v>3</v>
      </c>
      <c r="F6" s="12" t="s">
        <v>4</v>
      </c>
      <c r="G6" s="12" t="s">
        <v>23</v>
      </c>
      <c r="H6" s="12" t="s">
        <v>24</v>
      </c>
      <c r="I6" s="73"/>
      <c r="J6" s="74"/>
    </row>
    <row r="7" spans="1:10" ht="24.95" customHeight="1" thickBot="1" x14ac:dyDescent="0.25">
      <c r="A7" s="11"/>
      <c r="B7" s="69" t="s">
        <v>21</v>
      </c>
      <c r="C7" s="70"/>
      <c r="D7" s="70"/>
      <c r="E7" s="30" t="s">
        <v>18</v>
      </c>
      <c r="F7" s="30" t="s">
        <v>19</v>
      </c>
      <c r="G7" s="30" t="s">
        <v>22</v>
      </c>
      <c r="H7" s="30" t="s">
        <v>20</v>
      </c>
      <c r="I7" s="50" t="s">
        <v>25</v>
      </c>
      <c r="J7" s="51"/>
    </row>
    <row r="8" spans="1:10" ht="39.950000000000003" customHeight="1" thickBot="1" x14ac:dyDescent="0.25">
      <c r="A8" s="11"/>
      <c r="B8" s="89" t="s">
        <v>195</v>
      </c>
      <c r="C8" s="90"/>
      <c r="D8" s="90"/>
      <c r="E8" s="10">
        <v>5</v>
      </c>
      <c r="F8" s="41">
        <v>3.75</v>
      </c>
      <c r="G8" s="42">
        <f>IFERROR(F8/E8,"")</f>
        <v>0.75</v>
      </c>
      <c r="H8" s="28" t="str">
        <f>_xlfn.IFS(F8="أدخل العلامة","",F8="لا ينطبق","تم الإلغاء",G8&gt;=90%,"ممتاز",G8&gt;=80%,"جيد جداً",G8&gt;=70%,"جيد",G8&gt;=60%,"مقبول",G8&lt;60%,"راسب")</f>
        <v>جيد</v>
      </c>
      <c r="I8" s="48"/>
      <c r="J8" s="49"/>
    </row>
    <row r="9" spans="1:10" ht="39.950000000000003" customHeight="1" thickBot="1" x14ac:dyDescent="0.25">
      <c r="A9" s="11"/>
      <c r="B9" s="91" t="s">
        <v>196</v>
      </c>
      <c r="C9" s="92"/>
      <c r="D9" s="92"/>
      <c r="E9" s="10">
        <v>5</v>
      </c>
      <c r="F9" s="41">
        <v>3.5</v>
      </c>
      <c r="G9" s="42">
        <f>IFERROR(F9/E9,"")</f>
        <v>0.7</v>
      </c>
      <c r="H9" s="28" t="str">
        <f>_xlfn.IFS(F9="أدخل العلامة","",F9="لا ينطبق","تم الإلغاء",G9&gt;=90%,"ممتاز",G9&gt;=80%,"جيد جداً",G9&gt;=70%,"جيد",G9&gt;=60%,"مقبول",G9&lt;60%,"راسب")</f>
        <v>جيد</v>
      </c>
      <c r="I9" s="48"/>
      <c r="J9" s="49"/>
    </row>
    <row r="10" spans="1:10" ht="39.950000000000003" customHeight="1" thickBot="1" x14ac:dyDescent="0.25">
      <c r="A10" s="11"/>
      <c r="B10" s="91" t="s">
        <v>197</v>
      </c>
      <c r="C10" s="92"/>
      <c r="D10" s="92"/>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48"/>
      <c r="J10" s="49"/>
    </row>
    <row r="11" spans="1:10" ht="39.950000000000003" customHeight="1" x14ac:dyDescent="0.2">
      <c r="A11" s="11"/>
      <c r="B11" s="93" t="s">
        <v>198</v>
      </c>
      <c r="C11" s="94"/>
      <c r="D11" s="94"/>
      <c r="E11" s="40"/>
      <c r="F11" s="34"/>
      <c r="G11" s="35"/>
      <c r="H11" s="36"/>
      <c r="I11" s="79"/>
      <c r="J11" s="80"/>
    </row>
    <row r="12" spans="1:10" ht="39.950000000000003" customHeight="1" x14ac:dyDescent="0.2">
      <c r="A12" s="11"/>
      <c r="B12" s="83" t="s">
        <v>176</v>
      </c>
      <c r="C12" s="84"/>
      <c r="D12" s="84"/>
      <c r="E12" s="9">
        <v>5</v>
      </c>
      <c r="F12" s="27">
        <v>3.5</v>
      </c>
      <c r="G12" s="32">
        <f t="shared" si="0"/>
        <v>0.7</v>
      </c>
      <c r="H12" s="33" t="str">
        <f t="shared" si="1"/>
        <v>جيد</v>
      </c>
      <c r="I12" s="52"/>
      <c r="J12" s="53"/>
    </row>
    <row r="13" spans="1:10" ht="54.95" customHeight="1" x14ac:dyDescent="0.2">
      <c r="A13" s="11"/>
      <c r="B13" s="83" t="s">
        <v>177</v>
      </c>
      <c r="C13" s="84"/>
      <c r="D13" s="84"/>
      <c r="E13" s="9">
        <v>5</v>
      </c>
      <c r="F13" s="27">
        <v>3.75</v>
      </c>
      <c r="G13" s="32">
        <f t="shared" si="0"/>
        <v>0.75</v>
      </c>
      <c r="H13" s="33" t="str">
        <f t="shared" si="1"/>
        <v>جيد</v>
      </c>
      <c r="I13" s="52"/>
      <c r="J13" s="53"/>
    </row>
    <row r="14" spans="1:10" ht="71.25" customHeight="1" x14ac:dyDescent="0.2">
      <c r="A14" s="11"/>
      <c r="B14" s="83" t="s">
        <v>178</v>
      </c>
      <c r="C14" s="84"/>
      <c r="D14" s="84"/>
      <c r="E14" s="9">
        <v>5</v>
      </c>
      <c r="F14" s="27">
        <v>3.5</v>
      </c>
      <c r="G14" s="32">
        <f t="shared" si="0"/>
        <v>0.7</v>
      </c>
      <c r="H14" s="33" t="str">
        <f t="shared" si="1"/>
        <v>جيد</v>
      </c>
      <c r="I14" s="52"/>
      <c r="J14" s="53"/>
    </row>
    <row r="15" spans="1:10" ht="39.950000000000003" customHeight="1" x14ac:dyDescent="0.2">
      <c r="A15" s="11"/>
      <c r="B15" s="83" t="s">
        <v>179</v>
      </c>
      <c r="C15" s="84"/>
      <c r="D15" s="84"/>
      <c r="E15" s="9">
        <v>5</v>
      </c>
      <c r="F15" s="27">
        <v>3.75</v>
      </c>
      <c r="G15" s="32">
        <f t="shared" si="0"/>
        <v>0.75</v>
      </c>
      <c r="H15" s="33" t="str">
        <f t="shared" si="1"/>
        <v>جيد</v>
      </c>
      <c r="I15" s="52"/>
      <c r="J15" s="53"/>
    </row>
    <row r="16" spans="1:10" ht="68.25" customHeight="1" x14ac:dyDescent="0.2">
      <c r="A16" s="11"/>
      <c r="B16" s="83" t="s">
        <v>180</v>
      </c>
      <c r="C16" s="84"/>
      <c r="D16" s="84"/>
      <c r="E16" s="9">
        <v>5</v>
      </c>
      <c r="F16" s="27">
        <v>3.5</v>
      </c>
      <c r="G16" s="32">
        <f t="shared" si="0"/>
        <v>0.7</v>
      </c>
      <c r="H16" s="33" t="str">
        <f t="shared" si="1"/>
        <v>جيد</v>
      </c>
      <c r="I16" s="52"/>
      <c r="J16" s="53"/>
    </row>
    <row r="17" spans="1:10" ht="65.099999999999994" customHeight="1" thickBot="1" x14ac:dyDescent="0.25">
      <c r="A17" s="11"/>
      <c r="B17" s="85" t="s">
        <v>181</v>
      </c>
      <c r="C17" s="86"/>
      <c r="D17" s="86"/>
      <c r="E17" s="37">
        <v>5</v>
      </c>
      <c r="F17" s="29">
        <v>3.75</v>
      </c>
      <c r="G17" s="38">
        <f t="shared" si="0"/>
        <v>0.75</v>
      </c>
      <c r="H17" s="39" t="str">
        <f t="shared" si="1"/>
        <v>جيد</v>
      </c>
      <c r="I17" s="81"/>
      <c r="J17" s="82"/>
    </row>
    <row r="18" spans="1:10" ht="39.950000000000003" customHeight="1" x14ac:dyDescent="0.2">
      <c r="A18" s="11"/>
      <c r="B18" s="87" t="s">
        <v>199</v>
      </c>
      <c r="C18" s="88"/>
      <c r="D18" s="88"/>
      <c r="E18" s="40"/>
      <c r="F18" s="34"/>
      <c r="G18" s="35"/>
      <c r="H18" s="36"/>
      <c r="I18" s="79"/>
      <c r="J18" s="80"/>
    </row>
    <row r="19" spans="1:10" ht="39.950000000000003" customHeight="1" x14ac:dyDescent="0.2">
      <c r="A19" s="11"/>
      <c r="B19" s="83" t="s">
        <v>182</v>
      </c>
      <c r="C19" s="84"/>
      <c r="D19" s="84"/>
      <c r="E19" s="9">
        <v>5</v>
      </c>
      <c r="F19" s="27">
        <v>3.75</v>
      </c>
      <c r="G19" s="32">
        <f t="shared" si="0"/>
        <v>0.75</v>
      </c>
      <c r="H19" s="33" t="str">
        <f t="shared" si="1"/>
        <v>جيد</v>
      </c>
      <c r="I19" s="52"/>
      <c r="J19" s="53"/>
    </row>
    <row r="20" spans="1:10" ht="39.950000000000003" customHeight="1" x14ac:dyDescent="0.2">
      <c r="A20" s="11"/>
      <c r="B20" s="83" t="s">
        <v>183</v>
      </c>
      <c r="C20" s="84"/>
      <c r="D20" s="84"/>
      <c r="E20" s="9">
        <v>5</v>
      </c>
      <c r="F20" s="27">
        <v>3.75</v>
      </c>
      <c r="G20" s="32">
        <f t="shared" si="0"/>
        <v>0.75</v>
      </c>
      <c r="H20" s="33" t="str">
        <f t="shared" si="1"/>
        <v>جيد</v>
      </c>
      <c r="I20" s="52"/>
      <c r="J20" s="53"/>
    </row>
    <row r="21" spans="1:10" ht="39.950000000000003" customHeight="1" x14ac:dyDescent="0.2">
      <c r="A21" s="11"/>
      <c r="B21" s="83" t="s">
        <v>184</v>
      </c>
      <c r="C21" s="84"/>
      <c r="D21" s="84"/>
      <c r="E21" s="9">
        <v>5</v>
      </c>
      <c r="F21" s="27">
        <v>3.5</v>
      </c>
      <c r="G21" s="32">
        <f t="shared" si="0"/>
        <v>0.7</v>
      </c>
      <c r="H21" s="33" t="str">
        <f t="shared" si="1"/>
        <v>جيد</v>
      </c>
      <c r="I21" s="52"/>
      <c r="J21" s="53"/>
    </row>
    <row r="22" spans="1:10" ht="39.950000000000003" customHeight="1" x14ac:dyDescent="0.2">
      <c r="A22" s="11"/>
      <c r="B22" s="83" t="s">
        <v>185</v>
      </c>
      <c r="C22" s="84"/>
      <c r="D22" s="84"/>
      <c r="E22" s="9">
        <v>5</v>
      </c>
      <c r="F22" s="27">
        <v>3.75</v>
      </c>
      <c r="G22" s="32">
        <f t="shared" si="0"/>
        <v>0.75</v>
      </c>
      <c r="H22" s="33" t="str">
        <f t="shared" si="1"/>
        <v>جيد</v>
      </c>
      <c r="I22" s="52"/>
      <c r="J22" s="53"/>
    </row>
    <row r="23" spans="1:10" ht="39.950000000000003" customHeight="1" x14ac:dyDescent="0.2">
      <c r="A23" s="11"/>
      <c r="B23" s="83" t="s">
        <v>186</v>
      </c>
      <c r="C23" s="84"/>
      <c r="D23" s="84"/>
      <c r="E23" s="9">
        <v>5</v>
      </c>
      <c r="F23" s="27">
        <v>3.75</v>
      </c>
      <c r="G23" s="32">
        <f t="shared" si="0"/>
        <v>0.75</v>
      </c>
      <c r="H23" s="33" t="str">
        <f t="shared" si="1"/>
        <v>جيد</v>
      </c>
      <c r="I23" s="52"/>
      <c r="J23" s="53"/>
    </row>
    <row r="24" spans="1:10" ht="39.950000000000003" customHeight="1" x14ac:dyDescent="0.2">
      <c r="A24" s="11"/>
      <c r="B24" s="83" t="s">
        <v>187</v>
      </c>
      <c r="C24" s="84"/>
      <c r="D24" s="84"/>
      <c r="E24" s="9">
        <v>5</v>
      </c>
      <c r="F24" s="27">
        <v>3.5</v>
      </c>
      <c r="G24" s="32">
        <f t="shared" si="0"/>
        <v>0.7</v>
      </c>
      <c r="H24" s="33" t="str">
        <f t="shared" si="1"/>
        <v>جيد</v>
      </c>
      <c r="I24" s="52"/>
      <c r="J24" s="53"/>
    </row>
    <row r="25" spans="1:10" ht="39.950000000000003" customHeight="1" x14ac:dyDescent="0.2">
      <c r="A25" s="11"/>
      <c r="B25" s="83" t="s">
        <v>188</v>
      </c>
      <c r="C25" s="84"/>
      <c r="D25" s="84"/>
      <c r="E25" s="9">
        <v>5</v>
      </c>
      <c r="F25" s="27">
        <v>3.75</v>
      </c>
      <c r="G25" s="32">
        <f t="shared" si="0"/>
        <v>0.75</v>
      </c>
      <c r="H25" s="33" t="str">
        <f t="shared" si="1"/>
        <v>جيد</v>
      </c>
      <c r="I25" s="52"/>
      <c r="J25" s="53"/>
    </row>
    <row r="26" spans="1:10" ht="39.950000000000003" customHeight="1" thickBot="1" x14ac:dyDescent="0.25">
      <c r="A26" s="11"/>
      <c r="B26" s="85" t="s">
        <v>189</v>
      </c>
      <c r="C26" s="86"/>
      <c r="D26" s="86"/>
      <c r="E26" s="37">
        <v>5</v>
      </c>
      <c r="F26" s="29">
        <v>3.75</v>
      </c>
      <c r="G26" s="38">
        <f t="shared" si="0"/>
        <v>0.75</v>
      </c>
      <c r="H26" s="39" t="str">
        <f t="shared" si="1"/>
        <v>جيد</v>
      </c>
      <c r="I26" s="81"/>
      <c r="J26" s="82"/>
    </row>
    <row r="27" spans="1:10" ht="39.950000000000003" customHeight="1" x14ac:dyDescent="0.2">
      <c r="A27" s="11"/>
      <c r="B27" s="93" t="s">
        <v>200</v>
      </c>
      <c r="C27" s="94"/>
      <c r="D27" s="94"/>
      <c r="E27" s="40"/>
      <c r="F27" s="34"/>
      <c r="G27" s="35"/>
      <c r="H27" s="36"/>
      <c r="I27" s="79"/>
      <c r="J27" s="80"/>
    </row>
    <row r="28" spans="1:10" ht="39.950000000000003" customHeight="1" x14ac:dyDescent="0.2">
      <c r="A28" s="11"/>
      <c r="B28" s="83" t="s">
        <v>190</v>
      </c>
      <c r="C28" s="84"/>
      <c r="D28" s="84"/>
      <c r="E28" s="9">
        <v>5</v>
      </c>
      <c r="F28" s="27">
        <v>3.75</v>
      </c>
      <c r="G28" s="32">
        <f t="shared" si="0"/>
        <v>0.75</v>
      </c>
      <c r="H28" s="33" t="str">
        <f t="shared" si="1"/>
        <v>جيد</v>
      </c>
      <c r="I28" s="52"/>
      <c r="J28" s="53"/>
    </row>
    <row r="29" spans="1:10" ht="39.950000000000003" customHeight="1" x14ac:dyDescent="0.2">
      <c r="A29" s="11"/>
      <c r="B29" s="83" t="s">
        <v>191</v>
      </c>
      <c r="C29" s="84"/>
      <c r="D29" s="84"/>
      <c r="E29" s="9">
        <v>5</v>
      </c>
      <c r="F29" s="27">
        <v>3.75</v>
      </c>
      <c r="G29" s="32">
        <f t="shared" si="0"/>
        <v>0.75</v>
      </c>
      <c r="H29" s="33" t="str">
        <f t="shared" si="1"/>
        <v>جيد</v>
      </c>
      <c r="I29" s="52"/>
      <c r="J29" s="53"/>
    </row>
    <row r="30" spans="1:10" ht="39.950000000000003" customHeight="1" x14ac:dyDescent="0.2">
      <c r="A30" s="11"/>
      <c r="B30" s="83" t="s">
        <v>192</v>
      </c>
      <c r="C30" s="84"/>
      <c r="D30" s="84"/>
      <c r="E30" s="9">
        <v>5</v>
      </c>
      <c r="F30" s="27">
        <v>3.5</v>
      </c>
      <c r="G30" s="32">
        <f t="shared" si="0"/>
        <v>0.7</v>
      </c>
      <c r="H30" s="33" t="str">
        <f t="shared" si="1"/>
        <v>جيد</v>
      </c>
      <c r="I30" s="52"/>
      <c r="J30" s="53"/>
    </row>
    <row r="31" spans="1:10" ht="39.950000000000003" customHeight="1" x14ac:dyDescent="0.2">
      <c r="A31" s="11"/>
      <c r="B31" s="83" t="s">
        <v>193</v>
      </c>
      <c r="C31" s="84"/>
      <c r="D31" s="84"/>
      <c r="E31" s="9">
        <v>5</v>
      </c>
      <c r="F31" s="27">
        <v>3.75</v>
      </c>
      <c r="G31" s="32">
        <f t="shared" si="0"/>
        <v>0.75</v>
      </c>
      <c r="H31" s="33" t="str">
        <f t="shared" si="1"/>
        <v>جيد</v>
      </c>
      <c r="I31" s="52"/>
      <c r="J31" s="53"/>
    </row>
    <row r="32" spans="1:10" ht="39.950000000000003" customHeight="1" thickBot="1" x14ac:dyDescent="0.25">
      <c r="A32" s="11"/>
      <c r="B32" s="85" t="s">
        <v>194</v>
      </c>
      <c r="C32" s="86"/>
      <c r="D32" s="86"/>
      <c r="E32" s="37">
        <v>5</v>
      </c>
      <c r="F32" s="29">
        <v>3.75</v>
      </c>
      <c r="G32" s="38">
        <f t="shared" si="0"/>
        <v>0.75</v>
      </c>
      <c r="H32" s="39" t="str">
        <f t="shared" si="1"/>
        <v>جيد</v>
      </c>
      <c r="I32" s="81"/>
      <c r="J32" s="82"/>
    </row>
    <row r="33" spans="1:10" ht="30" customHeight="1" thickBot="1" x14ac:dyDescent="0.25">
      <c r="A33" s="4"/>
      <c r="B33" s="75" t="s">
        <v>5</v>
      </c>
      <c r="C33" s="76"/>
      <c r="D33" s="76"/>
      <c r="E33" s="31">
        <f>SUM(E8:E32)</f>
        <v>110</v>
      </c>
      <c r="F33" s="31">
        <f>SUM(F8:F32)</f>
        <v>80.75</v>
      </c>
      <c r="G33" s="45"/>
      <c r="H33" s="46"/>
      <c r="I33" s="46"/>
      <c r="J33" s="47"/>
    </row>
    <row r="34" spans="1:10" ht="30" customHeight="1" thickBot="1" x14ac:dyDescent="0.25">
      <c r="A34" s="4"/>
      <c r="B34" s="77" t="s">
        <v>54</v>
      </c>
      <c r="C34" s="78"/>
      <c r="D34" s="78"/>
      <c r="E34" s="67">
        <f>F33/E33/100*100</f>
        <v>0.73409090909090913</v>
      </c>
      <c r="F34" s="67"/>
      <c r="G34" s="67"/>
      <c r="H34" s="67"/>
      <c r="I34" s="67"/>
      <c r="J34" s="68"/>
    </row>
    <row r="35" spans="1:10" ht="30" customHeight="1" thickBot="1" x14ac:dyDescent="0.25">
      <c r="A35" s="4"/>
      <c r="B35" s="77" t="s">
        <v>55</v>
      </c>
      <c r="C35" s="78"/>
      <c r="D35" s="78"/>
      <c r="E35" s="58" t="str">
        <f>_xlfn.IFS(E34&gt;=90%,"ممتاز",E34&gt;=80%,"جيد جداً",E34&gt;=70%,"جيد",E34&gt;=60%,"مقبول",E34&lt;60%,"راسب")</f>
        <v>جيد</v>
      </c>
      <c r="F35" s="58"/>
      <c r="G35" s="58"/>
      <c r="H35" s="58"/>
      <c r="I35" s="58"/>
      <c r="J35" s="59"/>
    </row>
    <row r="36" spans="1:10" ht="42" customHeight="1" x14ac:dyDescent="0.2">
      <c r="B36" s="54" t="s">
        <v>175</v>
      </c>
      <c r="C36" s="54"/>
      <c r="D36" s="54"/>
      <c r="E36" s="43" t="s">
        <v>52</v>
      </c>
      <c r="F36" s="43"/>
      <c r="G36" s="56" t="s">
        <v>142</v>
      </c>
      <c r="H36" s="56"/>
      <c r="I36" s="56"/>
      <c r="J36" s="56"/>
    </row>
    <row r="37" spans="1:10" ht="51" customHeight="1" x14ac:dyDescent="0.2">
      <c r="A37" s="5"/>
      <c r="B37" s="55"/>
      <c r="C37" s="55"/>
      <c r="D37" s="55"/>
      <c r="E37" s="44" t="s">
        <v>53</v>
      </c>
      <c r="F37" s="44"/>
      <c r="G37" s="57"/>
      <c r="H37" s="57"/>
      <c r="I37" s="57"/>
      <c r="J37" s="57"/>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2025-10-22T03:36:33Z</dcterms:modified>
</cp:coreProperties>
</file>