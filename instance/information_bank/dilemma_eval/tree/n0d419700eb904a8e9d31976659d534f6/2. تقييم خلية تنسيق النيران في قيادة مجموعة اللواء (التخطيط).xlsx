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9C61BCFB-E11B-4616-B000-8D6BDFAC4FCA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التقييم'!$A$1:$J$101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1" i="2" l="1"/>
  <c r="H61" i="2" s="1"/>
  <c r="G41" i="2"/>
  <c r="H41" i="2" s="1"/>
  <c r="G9" i="2" l="1"/>
  <c r="H9" i="2" s="1"/>
  <c r="G10" i="2" l="1"/>
  <c r="H10" i="2" s="1"/>
  <c r="G11" i="2"/>
  <c r="H11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7" i="2"/>
  <c r="H27" i="2" s="1"/>
  <c r="G29" i="2"/>
  <c r="H29" i="2" s="1"/>
  <c r="G31" i="2"/>
  <c r="H31" i="2" s="1"/>
  <c r="G32" i="2"/>
  <c r="H32" i="2" s="1"/>
  <c r="G33" i="2"/>
  <c r="H33" i="2" s="1"/>
  <c r="G34" i="2"/>
  <c r="H34" i="2" s="1"/>
  <c r="G35" i="2"/>
  <c r="H35" i="2" s="1"/>
  <c r="G38" i="2"/>
  <c r="H38" i="2" s="1"/>
  <c r="G39" i="2"/>
  <c r="H39" i="2" s="1"/>
  <c r="G40" i="2"/>
  <c r="H40" i="2" s="1"/>
  <c r="G42" i="2"/>
  <c r="H42" i="2" s="1"/>
  <c r="G44" i="2"/>
  <c r="H44" i="2" s="1"/>
  <c r="G45" i="2"/>
  <c r="H45" i="2" s="1"/>
  <c r="G46" i="2"/>
  <c r="H46" i="2" s="1"/>
  <c r="G47" i="2"/>
  <c r="H47" i="2" s="1"/>
  <c r="G48" i="2"/>
  <c r="H48" i="2" s="1"/>
  <c r="G50" i="2"/>
  <c r="H50" i="2" s="1"/>
  <c r="G51" i="2"/>
  <c r="H51" i="2" s="1"/>
  <c r="G52" i="2"/>
  <c r="H52" i="2" s="1"/>
  <c r="G54" i="2"/>
  <c r="H54" i="2" s="1"/>
  <c r="G55" i="2"/>
  <c r="H55" i="2" s="1"/>
  <c r="G56" i="2"/>
  <c r="H56" i="2" s="1"/>
  <c r="G57" i="2"/>
  <c r="H57" i="2" s="1"/>
  <c r="G59" i="2"/>
  <c r="H59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2" i="2"/>
  <c r="H92" i="2" s="1"/>
  <c r="G93" i="2"/>
  <c r="H93" i="2" s="1"/>
  <c r="G94" i="2"/>
  <c r="H94" i="2" s="1"/>
  <c r="G95" i="2"/>
  <c r="H95" i="2" s="1"/>
  <c r="G96" i="2"/>
  <c r="H96" i="2" s="1"/>
  <c r="F97" i="2" l="1"/>
  <c r="E97" i="2" l="1"/>
  <c r="E98" i="2" l="1"/>
  <c r="E99" i="2" s="1"/>
</calcChain>
</file>

<file path=xl/sharedStrings.xml><?xml version="1.0" encoding="utf-8"?>
<sst xmlns="http://schemas.openxmlformats.org/spreadsheetml/2006/main" count="189" uniqueCount="118">
  <si>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</si>
  <si>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</si>
  <si>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</si>
  <si>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</si>
  <si>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</si>
  <si>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</si>
  <si>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</si>
  <si>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</si>
  <si>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</si>
  <si>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</si>
  <si>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</si>
  <si>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</si>
  <si>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</si>
  <si>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</si>
  <si>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</si>
  <si>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</si>
  <si>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</si>
  <si>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</si>
  <si>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</si>
  <si>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</si>
  <si>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</si>
  <si>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</si>
  <si>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</si>
  <si>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</si>
  <si>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</si>
  <si>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</si>
  <si>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</si>
  <si>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</si>
  <si>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عند استلام المهمة، تحضر خلية تنسيق النيران مع قائد اللواء عند إصدار الأوامر من المستوى الأعلى وتبدأ بتحليل المهمة عن طريق:</t>
    </r>
  </si>
  <si>
    <t>أ. القيام بتحليل مُفصّل لأوامر المستوى الأعلى، والنيران، وخطط الإسناد.</t>
  </si>
  <si>
    <t>ب. القيام بتقييم أولي لأوامر المستوى الأعلى، ليتضمن معلومات تحديد الأهداف للحصول على معلومات النيران.</t>
  </si>
  <si>
    <t>جـ. الحصول على دليل التخطيط الأولي من قبل القائد وتزويد المعلومات المتعلقة بالنيران لخلية الخطط لتضمينها في الأمر الإنذاري رقم 1.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</si>
  <si>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أثناء تحليل المهمة، تقوم خلية تنسيق النيران بإنجاز التخطيط والتنسيق المُفصّل.</t>
    </r>
  </si>
  <si>
    <t>أ. تحليل مُفصّل لأوامر المستوى الأعلى والنيران وخطط الإسناد لتحديد: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</si>
  <si>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قائمة الأهداف عالية القيمة. 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</si>
  <si>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خطط جمع المعلومات.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</si>
  <si>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معايير اختيار الأهداف.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</si>
  <si>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النيران الأساسية وواجبات التأثير.</t>
    </r>
  </si>
  <si>
    <r>
      <t>(5)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النيران والتأثيرات.</t>
    </r>
  </si>
  <si>
    <r>
      <t>(6)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توقيتات الحركة.</t>
    </r>
  </si>
  <si>
    <r>
      <t>(7)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الألغام المبعثرة (في حال وجودها).</t>
    </r>
  </si>
  <si>
    <r>
      <t>(8)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القيود والتحديدات.</t>
    </r>
  </si>
  <si>
    <r>
      <t>(9)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تخصيص الموارد.</t>
    </r>
  </si>
  <si>
    <r>
      <t>(10)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 xml:space="preserve">إجراءات تنسيق إسناد النيران. </t>
    </r>
  </si>
  <si>
    <r>
      <t>(11)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قواعد الاشتباك للنيران غير المباشرة والقيادة والسيطرة على المجال الجوي.</t>
    </r>
  </si>
  <si>
    <r>
      <t>(12)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خطة النيران والتأثيرات المرغوبة.</t>
    </r>
  </si>
  <si>
    <t>ب. التنسيق لجميع المعلومات ذات الصلة والمدخلات الضرورية لإعداد وتطوير خطة إسناد النيران كما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</si>
  <si>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التنسيق مع هيئة ركن العمليات للحصول على تقديراتهم الجارية ومراجعتها.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</si>
  <si>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تنفيذ التحضير الاستخباري لميدان المعركة والتنسيق مع هيئة ركن الاستخبارات لتوفير:</t>
    </r>
  </si>
  <si>
    <t xml:space="preserve">(ب) المعرفة بعقيدة مدفعية العدو وخططه. </t>
  </si>
  <si>
    <t xml:space="preserve">(جـ) وحدات مدفعية العدو المعروفة وقدراتها التي قد تؤثر على العملية. </t>
  </si>
  <si>
    <t>(هـ) قدرات ووضعية أسلحة الدمار الشامل الخاصة بالعدو.</t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</si>
  <si>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ينسق مع أقسام هيئة الركن والمرؤوسين في وحدات مدفعية الميدان لتحديد متطلبات تضاريس مدفعية الميدان. 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</si>
  <si>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ينسق متطلبات الإسناد اللوجستي مع هيئة ركن الإمداد.</t>
    </r>
  </si>
  <si>
    <t>(1)   تحديد الحقائق المعروفة عن عمليات إسناد النيران والوضع الحالي لوحدات النيران ليتضمن ما يلي: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</si>
  <si>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بعد تحليل المهمة، تساعد خلية تنسيق النيران القائد في تنفيذ توجيهات القائد للتخطيط للإسناد الناري والتأثيرات المرغوبة والتي تصف ما الذي يجب أن تنجزه من خلال توفير المدخلات التالية:</t>
    </r>
  </si>
  <si>
    <t xml:space="preserve">ب. التوصية بأهداف للاشتباك معها (النوع، الموقع، والوقت). </t>
  </si>
  <si>
    <t>جـ. تحديد ما إذا كان بالإمكان استمكان الأهداف الموصي بها.</t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</si>
  <si>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تحصل خلية تنسيق النيران على التوجيهات التالية من القائد لتخطيط الإسناد الناري كما يلي:</t>
    </r>
  </si>
  <si>
    <t xml:space="preserve">أ.    قائمة الأهداف ذات الأولوية العالية المعتمدة. </t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</si>
  <si>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خلية تنسيق النيران المعلومات الحديثة عن النيران لهيئة الركن.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</si>
  <si>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تعمل خلية تنسيق النيران أثناء إعداد وتطوير العمل الممكن على:</t>
    </r>
  </si>
  <si>
    <t>أ.   المشاركة في إعداد وتطوير العمل الممكن وتقديم النصيحة لاستخدام إسناد النيران ليشمل ذلك:</t>
  </si>
  <si>
    <t xml:space="preserve">(1)   تحليل القوة القتالية ذات الصلة لتخصيص إسناد النيران لإنجاز الواجبات </t>
  </si>
  <si>
    <r>
      <t>(2)    تحديد الأهداف عالية القيمة مع طرق الاشتباك (المناورة، المميتة، غير المميتة) والتأثيرات المرجوة للأهداف عالية القيمة الأولية.</t>
    </r>
    <r>
      <rPr>
        <sz val="14"/>
        <color theme="1"/>
        <rFont val="Calibri Light"/>
        <family val="2"/>
      </rPr>
      <t xml:space="preserve"> </t>
    </r>
  </si>
  <si>
    <t xml:space="preserve">(3)   الاختيار الأولي لمواقع المدافع. </t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</si>
  <si>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 xml:space="preserve"> أثناء لعبة الحرب، تقوم خلية تنسيق النيران بإكمال خطة النيران كما يلي:</t>
    </r>
  </si>
  <si>
    <t xml:space="preserve">(1)    تسلسل واضح للواجبات. </t>
  </si>
  <si>
    <t>(2)    إجراءات لتنفيذ الواجبات.</t>
  </si>
  <si>
    <t>(3)    تخصيص ومواقع الأجهزة المستخدمة للحصول على المعلومات (المجسات).</t>
  </si>
  <si>
    <r>
      <t>ب.    مراجعة خطة النيران لتشمل قائمة الأهداف عالية القيمة وجدول التأثيرات وتوجيه الهجوم ونظام استمكان الأهداف وجدول إسناد التأثيرات والأهداف.</t>
    </r>
    <r>
      <rPr>
        <sz val="14"/>
        <color theme="1"/>
        <rFont val="Calibri Light"/>
        <family val="2"/>
      </rPr>
      <t xml:space="preserve"> </t>
    </r>
  </si>
  <si>
    <r>
      <t>أ‌.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تتأكد من احتواء الخطة على توجيهات القائد التي يتم إصدارها بعد تحليل المهمة لتشمل:</t>
    </r>
    <r>
      <rPr>
        <sz val="14"/>
        <color theme="1"/>
        <rFont val="Calibri Light"/>
        <family val="2"/>
      </rPr>
      <t xml:space="preserve"> </t>
    </r>
  </si>
  <si>
    <t xml:space="preserve">(1)   مفهوم النيران. </t>
  </si>
  <si>
    <t>ب.   إسناد القوات التي في التماس.</t>
  </si>
  <si>
    <t>جـ.   مزامنة أنظمة إسناد النيران.</t>
  </si>
  <si>
    <t>د.   إدامة نظام إسناد النيران.</t>
  </si>
  <si>
    <t xml:space="preserve">هـ.   استخدام مبادئ إسناد النيران. </t>
  </si>
  <si>
    <t>و.   وضع تأثيرات جمع قدرات الإسناد الناري حسب الأولوية لتلبية قصد القائد.</t>
  </si>
  <si>
    <t>ي.   وجود توجيهات حول إسكات الدفاعات الجوية للعدو في حال وجودها.</t>
  </si>
  <si>
    <r>
      <t>10.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Arial"/>
        <family val="2"/>
      </rPr>
      <t xml:space="preserve"> عند نشر الأمر، تستمر خلية تنسيق النيران بالتنسيق وتحديث ومراجعة التقدير الجاري لإسناد النيران.</t>
    </r>
  </si>
  <si>
    <t xml:space="preserve">(ب)   توافر قدرات مدفعية ميدان أُخرى بما في ذلك المدافع، وأنظمة إطلاق الصواريخ المتعددة، والذخيرة، والقدرات ومتطلبات استمكان الأهداف لتتضمن القدرات والتحديدات. </t>
  </si>
  <si>
    <t xml:space="preserve">( أ )   مواقع وحدة إسناد النيران والقدرات والتحديدات. </t>
  </si>
  <si>
    <t>(جـ)   توفر مصادر إسناد النيران ليشمل ذلك: الإسناد الجوي القريب، إسناد نيران البحرية السطحية، الحرب الإلكترونية، الطيران المشترك، المراقبة وإمكانات الاستطلاع.</t>
  </si>
  <si>
    <t>(3)     إعداد مسودة واجبات التأثيرات والنيران الأساسية لكل واحدة مكونة من أربعة أجزاء: الواجب والقصد والطريقة والتأثير.</t>
  </si>
  <si>
    <t>(ب)   الإسناد الجوي القريب.</t>
  </si>
  <si>
    <t xml:space="preserve">(جـ)   أسلحة البحرية. </t>
  </si>
  <si>
    <t>( د)   الطيران المشترك.</t>
  </si>
  <si>
    <t xml:space="preserve">(هـ)   الحرب الإلكترونية. </t>
  </si>
  <si>
    <t xml:space="preserve">( أ )   مدفعية الميدان. </t>
  </si>
  <si>
    <t>أ.   التوصية بواجبات التأثيرات والنيران الأساسية للعملية ليشمل ذلك الواجب والقصد.</t>
  </si>
  <si>
    <t>ب.   كيف ينوي القائد التأثير في البيئة العملياتية باستخدام النيران فيما يتعلق بالوقت والمساحة.</t>
  </si>
  <si>
    <t xml:space="preserve">جـ.   متطلبات تقييم أضرار المعركة (الخسائر في المعدات). </t>
  </si>
  <si>
    <t xml:space="preserve">(4)   وضع الأهداف حسب الأولوية والتي يجب مهاجمتها أثناء العمليات الرئيسية والمساندة. </t>
  </si>
  <si>
    <t>(5)   تحديد التأثير على الأهداف.</t>
  </si>
  <si>
    <t xml:space="preserve">(6)   اختيار الإجراءات الأولية للبدء بإنزال النيران أو توضيع القدرات. </t>
  </si>
  <si>
    <t xml:space="preserve">(7)   وضع أولوية الأهداف / توقيتات النيران الضرورية لإسناد كل عمل ممكن. </t>
  </si>
  <si>
    <t xml:space="preserve">(8)   تخصيص قدرات النيران شاملاً الإسناد الجوي القريب لتلبية قصد القائد وإنجاز الواجبات الأساسية وتأثيرات النيران. </t>
  </si>
  <si>
    <t xml:space="preserve">(9)   تخصيص مناطق الأهداف والرادارات. </t>
  </si>
  <si>
    <t>(4)    أنظمة الهجوم والنيران المحددة.</t>
  </si>
  <si>
    <t>(5)    تحليل سريع للوقت الضروري (أوقات الحركة وجاهزية الرماية).</t>
  </si>
  <si>
    <t>(6)    عند الضرورة التخطيط للأهداف من الوحدات الأعلى والمجاورة في الخطة.</t>
  </si>
  <si>
    <t>(7)    تعيين ضباط رصد رئيسيين وبدلاء لجميع الأهداف على ورقة عمل قائمة الأهداف.</t>
  </si>
  <si>
    <t xml:space="preserve">(2)   قائمة بالأهداف عالية القيمة. </t>
  </si>
  <si>
    <t>(3)   الواجبات الأساسية وتأثيرات النيران.</t>
  </si>
  <si>
    <t xml:space="preserve">( أ )  المعلومات الحالية (المحدثة) حول العدو وقدراته لإسناد النيران. </t>
  </si>
  <si>
    <t>( د)  قدرات مدفعية الميدان الأُخرى، الإسناد الجوي، أسلحة البحرية التي قد يستخدمها العدو.</t>
  </si>
  <si>
    <t>جـ.    تضع خلية تنسيق النيران الحقائق والفرضيات حول عمليات إسناد النيران بناءً على المعلومات التي تم جمعها من خلال تحليل أوامر العمليات والتنسيق مع هيئة الركن وكما يلي:</t>
  </si>
  <si>
    <t>(2)  إعداد الافتراضات بخصوص توفر وقدرات واستخدام إمكانيات استمكان الأهداف وتحديد حالة وحدة إسناد النيران المتوقعة</t>
  </si>
  <si>
    <r>
      <t>(4)</t>
    </r>
    <r>
      <rPr>
        <sz val="7"/>
        <color theme="1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 xml:space="preserve">   تنظيم إمكانيات إسناد النيران لإسناد العمليات والخطط المستقبلية لتغيير الموقع وإعادة التزويد وكما يلي:</t>
    </r>
  </si>
  <si>
    <t>ب.   إعداد وتطوير خطة إسناد النيران بالتنسيق مع هيئة ركن العمليات وكما يلي:</t>
  </si>
  <si>
    <t>أ.     التأكد من مزامنة خطة النيران وإسنادها لخطة المناورة، ويشمل ذلك:</t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</si>
  <si>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عند الموافقة على العمل الممكن، تقوم خلية تنسيق النيران بالتنسيق مع هيئة الركن بإكمال خطة إسناد النيران على النحو التالي: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</si>
  <si>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تقوم خلية تنسيق النيران بإعداد فقرة النيران من فقرة مفهوم العمليات ليتم تضمينها بالأمر وتشمل النقاط التالية:</t>
    </r>
  </si>
  <si>
    <t xml:space="preserve">أ.    الواجب. </t>
  </si>
  <si>
    <t xml:space="preserve">ب.  القصد. </t>
  </si>
  <si>
    <t xml:space="preserve">جـ.  الطريقة. </t>
  </si>
  <si>
    <t>د.   التأثير.</t>
  </si>
  <si>
    <t>تقييم خلية تنسيق النيران في قيادة مجموعة اللواء (التخطيط)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</si>
</sst>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4"/>
      <color theme="1"/>
      <name val="Calibri Light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9" fontId="3" fillId="0" borderId="13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 readingOrder="2"/>
    </xf>
    <xf numFmtId="0" fontId="10" fillId="0" borderId="22" xfId="0" applyFont="1" applyBorder="1" applyAlignment="1">
      <alignment horizontal="right" vertical="center" wrapText="1" indent="2" readingOrder="2"/>
    </xf>
    <xf numFmtId="0" fontId="10" fillId="0" borderId="2" xfId="0" applyFont="1" applyBorder="1" applyAlignment="1">
      <alignment horizontal="right" vertical="center" wrapText="1" indent="2" readingOrder="2"/>
    </xf>
    <xf numFmtId="0" fontId="10" fillId="0" borderId="10" xfId="0" applyFont="1" applyBorder="1" applyAlignment="1">
      <alignment horizontal="right" vertical="center" wrapText="1" indent="2" readingOrder="2"/>
    </xf>
    <xf numFmtId="0" fontId="10" fillId="0" borderId="11" xfId="0" applyFont="1" applyBorder="1" applyAlignment="1">
      <alignment horizontal="right" vertical="center" wrapText="1" indent="2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0" fillId="0" borderId="7" xfId="0" applyFont="1" applyBorder="1" applyAlignment="1">
      <alignment horizontal="right" vertical="center" wrapText="1" readingOrder="2"/>
    </xf>
    <xf numFmtId="0" fontId="10" fillId="0" borderId="8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7" fillId="0" borderId="22" xfId="0" applyFont="1" applyBorder="1" applyAlignment="1">
      <alignment horizontal="right" vertical="center" wrapText="1" indent="2" readingOrder="2"/>
    </xf>
    <xf numFmtId="0" fontId="7" fillId="0" borderId="2" xfId="0" applyFont="1" applyBorder="1" applyAlignment="1">
      <alignment horizontal="right" vertical="center" wrapText="1" indent="2" readingOrder="2"/>
    </xf>
    <xf numFmtId="0" fontId="10" fillId="0" borderId="22" xfId="0" applyFont="1" applyBorder="1" applyAlignment="1">
      <alignment horizontal="right" vertical="center" wrapText="1" indent="4" readingOrder="2"/>
    </xf>
    <xf numFmtId="0" fontId="10" fillId="0" borderId="2" xfId="0" applyFont="1" applyBorder="1" applyAlignment="1">
      <alignment horizontal="right" vertical="center" wrapText="1" indent="4" readingOrder="2"/>
    </xf>
    <xf numFmtId="0" fontId="10" fillId="0" borderId="10" xfId="0" applyFont="1" applyBorder="1" applyAlignment="1">
      <alignment horizontal="right" vertical="center" wrapText="1" indent="4" readingOrder="2"/>
    </xf>
    <xf numFmtId="0" fontId="10" fillId="0" borderId="11" xfId="0" applyFont="1" applyBorder="1" applyAlignment="1">
      <alignment horizontal="right" vertical="center" wrapText="1" indent="4" readingOrder="2"/>
    </xf>
    <xf numFmtId="0" fontId="10" fillId="0" borderId="22" xfId="0" applyFont="1" applyBorder="1" applyAlignment="1">
      <alignment horizontal="right" vertical="center" wrapText="1" indent="6" readingOrder="2"/>
    </xf>
    <xf numFmtId="0" fontId="10" fillId="0" borderId="2" xfId="0" applyFont="1" applyBorder="1" applyAlignment="1">
      <alignment horizontal="right" vertical="center" wrapText="1" indent="6" readingOrder="2"/>
    </xf>
    <xf numFmtId="0" fontId="10" fillId="0" borderId="10" xfId="0" applyFont="1" applyBorder="1" applyAlignment="1">
      <alignment horizontal="right" vertical="center" wrapText="1" indent="6" readingOrder="2"/>
    </xf>
    <xf numFmtId="0" fontId="10" fillId="0" borderId="11" xfId="0" applyFont="1" applyBorder="1" applyAlignment="1">
      <alignment horizontal="right" vertical="center" wrapText="1" indent="6" readingOrder="2"/>
    </xf>
    <xf numFmtId="0" fontId="13" fillId="0" borderId="22" xfId="0" applyFont="1" applyBorder="1" applyAlignment="1">
      <alignment horizontal="right" vertical="center" wrapText="1" indent="4" readingOrder="2"/>
    </xf>
    <xf numFmtId="0" fontId="13" fillId="0" borderId="2" xfId="0" applyFont="1" applyBorder="1" applyAlignment="1">
      <alignment horizontal="right" vertical="center" wrapText="1" indent="4" readingOrder="2"/>
    </xf>
    <xf numFmtId="0" fontId="10" fillId="0" borderId="23" xfId="0" applyFont="1" applyBorder="1" applyAlignment="1">
      <alignment horizontal="right" vertical="center" wrapText="1" indent="2" readingOrder="2"/>
    </xf>
    <xf numFmtId="0" fontId="10" fillId="0" borderId="13" xfId="0" applyFont="1" applyBorder="1" applyAlignment="1">
      <alignment horizontal="right" vertical="center" wrapText="1" indent="2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19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6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3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1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2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103" t="s">
        <v>117</v>
      </c>
      <c r="C1" s="103"/>
      <c r="D1" s="103"/>
      <c r="E1" s="103"/>
      <c r="F1" s="103"/>
      <c r="G1" s="103"/>
      <c r="H1" s="103"/>
      <c r="I1" s="103"/>
      <c r="J1" s="103"/>
    </row>
    <row r="2" spans="1:10" ht="30" customHeight="1" x14ac:dyDescent="0.2">
      <c r="B2" s="11" t="s">
        <v>8</v>
      </c>
      <c r="C2" s="87" t="s">
        <v>23</v>
      </c>
      <c r="D2" s="87"/>
      <c r="E2" s="11" t="s">
        <v>7</v>
      </c>
      <c r="F2" s="82" t="s">
        <v>22</v>
      </c>
      <c r="G2" s="82"/>
      <c r="H2" s="82"/>
      <c r="I2" s="82"/>
      <c r="J2" s="82"/>
    </row>
    <row r="3" spans="1:10" ht="30" customHeight="1" x14ac:dyDescent="0.2">
      <c r="B3" s="11" t="s">
        <v>9</v>
      </c>
      <c r="C3" s="87" t="s">
        <v>25</v>
      </c>
      <c r="D3" s="87"/>
      <c r="E3" s="11" t="s">
        <v>6</v>
      </c>
      <c r="F3" s="87" t="s">
        <v>24</v>
      </c>
      <c r="G3" s="87"/>
      <c r="H3" s="87"/>
      <c r="I3" s="87"/>
      <c r="J3" s="87"/>
    </row>
    <row r="4" spans="1:10" ht="30" customHeight="1" thickBot="1" x14ac:dyDescent="0.25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">
      <c r="A5" s="9"/>
      <c r="B5" s="83" t="s">
        <v>0</v>
      </c>
      <c r="C5" s="84"/>
      <c r="D5" s="84"/>
      <c r="E5" s="92" t="s">
        <v>1</v>
      </c>
      <c r="F5" s="92"/>
      <c r="G5" s="92"/>
      <c r="H5" s="92"/>
      <c r="I5" s="92" t="s">
        <v>2</v>
      </c>
      <c r="J5" s="93"/>
    </row>
    <row r="6" spans="1:10" ht="24.95" customHeight="1" thickBot="1" x14ac:dyDescent="0.25">
      <c r="A6" s="9"/>
      <c r="B6" s="85"/>
      <c r="C6" s="86"/>
      <c r="D6" s="86"/>
      <c r="E6" s="10" t="s">
        <v>3</v>
      </c>
      <c r="F6" s="10" t="s">
        <v>4</v>
      </c>
      <c r="G6" s="10" t="s">
        <v>15</v>
      </c>
      <c r="H6" s="10" t="s">
        <v>16</v>
      </c>
      <c r="I6" s="94"/>
      <c r="J6" s="95"/>
    </row>
    <row r="7" spans="1:10" ht="24.95" customHeight="1" thickBot="1" x14ac:dyDescent="0.25">
      <c r="A7" s="9"/>
      <c r="B7" s="90" t="s">
        <v>13</v>
      </c>
      <c r="C7" s="91"/>
      <c r="D7" s="91"/>
      <c r="E7" s="15" t="s">
        <v>10</v>
      </c>
      <c r="F7" s="15" t="s">
        <v>11</v>
      </c>
      <c r="G7" s="15" t="s">
        <v>14</v>
      </c>
      <c r="H7" s="15" t="s">
        <v>12</v>
      </c>
      <c r="I7" s="96" t="s">
        <v>17</v>
      </c>
      <c r="J7" s="97"/>
    </row>
    <row r="8" spans="1:10" ht="39.950000000000003" customHeight="1" x14ac:dyDescent="0.2">
      <c r="A8" s="9"/>
      <c r="B8" s="46" t="s">
        <v>28</v>
      </c>
      <c r="C8" s="47"/>
      <c r="D8" s="47"/>
      <c r="E8" s="22"/>
      <c r="F8" s="23"/>
      <c r="G8" s="24"/>
      <c r="H8" s="25"/>
      <c r="I8" s="64"/>
      <c r="J8" s="65"/>
    </row>
    <row r="9" spans="1:10" ht="39.950000000000003" customHeight="1" x14ac:dyDescent="0.2">
      <c r="A9" s="9"/>
      <c r="B9" s="38" t="s">
        <v>29</v>
      </c>
      <c r="C9" s="39"/>
      <c r="D9" s="39"/>
      <c r="E9" s="8">
        <v>5</v>
      </c>
      <c r="F9" s="12" t="s">
        <v>26</v>
      </c>
      <c r="G9" s="17" t="str">
        <f>IFERROR(F9/E9,"")</f>
        <v/>
      </c>
      <c r="H9" s="18" t="str">
        <f>_xlfn.IFS(F9="أدخل العلامة","",F9="لا ينطبق","تم الإلغاء",G9&gt;=90%,"ممتاز",G9&gt;=80%,"جيد جداً",G9&gt;=70%,"جيد",G9&gt;=60%,"مقبول",G9&lt;60%,"راسب")</f>
        <v/>
      </c>
      <c r="I9" s="62"/>
      <c r="J9" s="63"/>
    </row>
    <row r="10" spans="1:10" ht="39.950000000000003" customHeight="1" x14ac:dyDescent="0.2">
      <c r="A10" s="9"/>
      <c r="B10" s="38" t="s">
        <v>30</v>
      </c>
      <c r="C10" s="39"/>
      <c r="D10" s="39"/>
      <c r="E10" s="8">
        <v>5</v>
      </c>
      <c r="F10" s="12" t="s">
        <v>26</v>
      </c>
      <c r="G10" s="17" t="str">
        <f t="shared" ref="G10:G73" si="0">IFERROR(F10/E10,"")</f>
        <v/>
      </c>
      <c r="H10" s="18" t="str">
        <f t="shared" ref="H10:H73" si="1">_xlfn.IFS(F10="أدخل العلامة","",F10="لا ينطبق","تم الإلغاء",G10&gt;=90%,"ممتاز",G10&gt;=80%,"جيد جداً",G10&gt;=70%,"جيد",G10&gt;=60%,"مقبول",G10&lt;60%,"راسب")</f>
        <v/>
      </c>
      <c r="I10" s="62"/>
      <c r="J10" s="63"/>
    </row>
    <row r="11" spans="1:10" ht="39.950000000000003" customHeight="1" thickBot="1" x14ac:dyDescent="0.25">
      <c r="A11" s="9"/>
      <c r="B11" s="60" t="s">
        <v>31</v>
      </c>
      <c r="C11" s="61"/>
      <c r="D11" s="61"/>
      <c r="E11" s="37">
        <v>5</v>
      </c>
      <c r="F11" s="29" t="s">
        <v>26</v>
      </c>
      <c r="G11" s="30" t="str">
        <f t="shared" si="0"/>
        <v/>
      </c>
      <c r="H11" s="31" t="str">
        <f t="shared" si="1"/>
        <v/>
      </c>
      <c r="I11" s="70"/>
      <c r="J11" s="71"/>
    </row>
    <row r="12" spans="1:10" ht="39.950000000000003" customHeight="1" x14ac:dyDescent="0.2">
      <c r="A12" s="9"/>
      <c r="B12" s="46" t="s">
        <v>32</v>
      </c>
      <c r="C12" s="47"/>
      <c r="D12" s="47"/>
      <c r="E12" s="22"/>
      <c r="F12" s="23"/>
      <c r="G12" s="24"/>
      <c r="H12" s="25"/>
      <c r="I12" s="64"/>
      <c r="J12" s="65"/>
    </row>
    <row r="13" spans="1:10" ht="30" customHeight="1" x14ac:dyDescent="0.2">
      <c r="A13" s="9"/>
      <c r="B13" s="38" t="s">
        <v>33</v>
      </c>
      <c r="C13" s="39"/>
      <c r="D13" s="39"/>
      <c r="E13" s="8"/>
      <c r="F13" s="12"/>
      <c r="G13" s="17"/>
      <c r="H13" s="18"/>
      <c r="I13" s="62"/>
      <c r="J13" s="63"/>
    </row>
    <row r="14" spans="1:10" ht="30" customHeight="1" x14ac:dyDescent="0.2">
      <c r="A14" s="9"/>
      <c r="B14" s="50" t="s">
        <v>34</v>
      </c>
      <c r="C14" s="51"/>
      <c r="D14" s="51"/>
      <c r="E14" s="8">
        <v>5</v>
      </c>
      <c r="F14" s="12" t="s">
        <v>26</v>
      </c>
      <c r="G14" s="17" t="str">
        <f t="shared" si="0"/>
        <v/>
      </c>
      <c r="H14" s="18" t="str">
        <f t="shared" si="1"/>
        <v/>
      </c>
      <c r="I14" s="62"/>
      <c r="J14" s="63"/>
    </row>
    <row r="15" spans="1:10" ht="30" customHeight="1" x14ac:dyDescent="0.2">
      <c r="A15" s="9"/>
      <c r="B15" s="50" t="s">
        <v>35</v>
      </c>
      <c r="C15" s="51"/>
      <c r="D15" s="51"/>
      <c r="E15" s="8">
        <v>5</v>
      </c>
      <c r="F15" s="12" t="s">
        <v>26</v>
      </c>
      <c r="G15" s="17" t="str">
        <f t="shared" si="0"/>
        <v/>
      </c>
      <c r="H15" s="18" t="str">
        <f t="shared" si="1"/>
        <v/>
      </c>
      <c r="I15" s="62"/>
      <c r="J15" s="63"/>
    </row>
    <row r="16" spans="1:10" ht="30" customHeight="1" x14ac:dyDescent="0.2">
      <c r="A16" s="9"/>
      <c r="B16" s="50" t="s">
        <v>36</v>
      </c>
      <c r="C16" s="51"/>
      <c r="D16" s="51"/>
      <c r="E16" s="8">
        <v>5</v>
      </c>
      <c r="F16" s="12" t="s">
        <v>26</v>
      </c>
      <c r="G16" s="17" t="str">
        <f t="shared" si="0"/>
        <v/>
      </c>
      <c r="H16" s="18" t="str">
        <f t="shared" si="1"/>
        <v/>
      </c>
      <c r="I16" s="62"/>
      <c r="J16" s="63"/>
    </row>
    <row r="17" spans="1:10" ht="30" customHeight="1" x14ac:dyDescent="0.2">
      <c r="A17" s="9"/>
      <c r="B17" s="50" t="s">
        <v>37</v>
      </c>
      <c r="C17" s="51"/>
      <c r="D17" s="51"/>
      <c r="E17" s="8">
        <v>5</v>
      </c>
      <c r="F17" s="12" t="s">
        <v>26</v>
      </c>
      <c r="G17" s="17" t="str">
        <f t="shared" si="0"/>
        <v/>
      </c>
      <c r="H17" s="18" t="str">
        <f t="shared" si="1"/>
        <v/>
      </c>
      <c r="I17" s="62"/>
      <c r="J17" s="63"/>
    </row>
    <row r="18" spans="1:10" ht="30" customHeight="1" x14ac:dyDescent="0.2">
      <c r="A18" s="9"/>
      <c r="B18" s="50" t="s">
        <v>38</v>
      </c>
      <c r="C18" s="51"/>
      <c r="D18" s="51"/>
      <c r="E18" s="8">
        <v>5</v>
      </c>
      <c r="F18" s="12" t="s">
        <v>26</v>
      </c>
      <c r="G18" s="17" t="str">
        <f t="shared" si="0"/>
        <v/>
      </c>
      <c r="H18" s="18" t="str">
        <f t="shared" si="1"/>
        <v/>
      </c>
      <c r="I18" s="62"/>
      <c r="J18" s="63"/>
    </row>
    <row r="19" spans="1:10" ht="30" customHeight="1" x14ac:dyDescent="0.2">
      <c r="A19" s="9"/>
      <c r="B19" s="50" t="s">
        <v>39</v>
      </c>
      <c r="C19" s="51"/>
      <c r="D19" s="51"/>
      <c r="E19" s="8">
        <v>5</v>
      </c>
      <c r="F19" s="12" t="s">
        <v>26</v>
      </c>
      <c r="G19" s="17" t="str">
        <f t="shared" si="0"/>
        <v/>
      </c>
      <c r="H19" s="18" t="str">
        <f t="shared" si="1"/>
        <v/>
      </c>
      <c r="I19" s="62"/>
      <c r="J19" s="63"/>
    </row>
    <row r="20" spans="1:10" ht="30" customHeight="1" x14ac:dyDescent="0.2">
      <c r="A20" s="9"/>
      <c r="B20" s="50" t="s">
        <v>40</v>
      </c>
      <c r="C20" s="51"/>
      <c r="D20" s="51"/>
      <c r="E20" s="8">
        <v>5</v>
      </c>
      <c r="F20" s="12" t="s">
        <v>26</v>
      </c>
      <c r="G20" s="17" t="str">
        <f t="shared" si="0"/>
        <v/>
      </c>
      <c r="H20" s="18" t="str">
        <f t="shared" si="1"/>
        <v/>
      </c>
      <c r="I20" s="62"/>
      <c r="J20" s="63"/>
    </row>
    <row r="21" spans="1:10" ht="30" customHeight="1" x14ac:dyDescent="0.2">
      <c r="A21" s="9"/>
      <c r="B21" s="50" t="s">
        <v>41</v>
      </c>
      <c r="C21" s="51"/>
      <c r="D21" s="51"/>
      <c r="E21" s="8">
        <v>5</v>
      </c>
      <c r="F21" s="12" t="s">
        <v>26</v>
      </c>
      <c r="G21" s="17" t="str">
        <f t="shared" si="0"/>
        <v/>
      </c>
      <c r="H21" s="18" t="str">
        <f t="shared" si="1"/>
        <v/>
      </c>
      <c r="I21" s="62"/>
      <c r="J21" s="63"/>
    </row>
    <row r="22" spans="1:10" ht="30" customHeight="1" x14ac:dyDescent="0.2">
      <c r="A22" s="9"/>
      <c r="B22" s="50" t="s">
        <v>42</v>
      </c>
      <c r="C22" s="51"/>
      <c r="D22" s="51"/>
      <c r="E22" s="8">
        <v>5</v>
      </c>
      <c r="F22" s="12" t="s">
        <v>26</v>
      </c>
      <c r="G22" s="17" t="str">
        <f t="shared" si="0"/>
        <v/>
      </c>
      <c r="H22" s="18" t="str">
        <f t="shared" si="1"/>
        <v/>
      </c>
      <c r="I22" s="62"/>
      <c r="J22" s="63"/>
    </row>
    <row r="23" spans="1:10" ht="30" customHeight="1" x14ac:dyDescent="0.2">
      <c r="A23" s="9"/>
      <c r="B23" s="50" t="s">
        <v>43</v>
      </c>
      <c r="C23" s="51"/>
      <c r="D23" s="51"/>
      <c r="E23" s="8">
        <v>5</v>
      </c>
      <c r="F23" s="12" t="s">
        <v>26</v>
      </c>
      <c r="G23" s="17" t="str">
        <f t="shared" si="0"/>
        <v/>
      </c>
      <c r="H23" s="18" t="str">
        <f t="shared" si="1"/>
        <v/>
      </c>
      <c r="I23" s="62"/>
      <c r="J23" s="63"/>
    </row>
    <row r="24" spans="1:10" ht="39.950000000000003" customHeight="1" x14ac:dyDescent="0.2">
      <c r="A24" s="9"/>
      <c r="B24" s="50" t="s">
        <v>44</v>
      </c>
      <c r="C24" s="51"/>
      <c r="D24" s="51"/>
      <c r="E24" s="8">
        <v>5</v>
      </c>
      <c r="F24" s="12" t="s">
        <v>26</v>
      </c>
      <c r="G24" s="17" t="str">
        <f t="shared" si="0"/>
        <v/>
      </c>
      <c r="H24" s="18" t="str">
        <f t="shared" si="1"/>
        <v/>
      </c>
      <c r="I24" s="62"/>
      <c r="J24" s="63"/>
    </row>
    <row r="25" spans="1:10" ht="30" customHeight="1" x14ac:dyDescent="0.2">
      <c r="A25" s="9"/>
      <c r="B25" s="50" t="s">
        <v>45</v>
      </c>
      <c r="C25" s="51"/>
      <c r="D25" s="51"/>
      <c r="E25" s="8">
        <v>5</v>
      </c>
      <c r="F25" s="12" t="s">
        <v>26</v>
      </c>
      <c r="G25" s="17" t="str">
        <f t="shared" si="0"/>
        <v/>
      </c>
      <c r="H25" s="18" t="str">
        <f t="shared" si="1"/>
        <v/>
      </c>
      <c r="I25" s="62"/>
      <c r="J25" s="63"/>
    </row>
    <row r="26" spans="1:10" ht="39.950000000000003" customHeight="1" x14ac:dyDescent="0.2">
      <c r="A26" s="9"/>
      <c r="B26" s="38" t="s">
        <v>46</v>
      </c>
      <c r="C26" s="39"/>
      <c r="D26" s="39"/>
      <c r="E26" s="8"/>
      <c r="F26" s="12"/>
      <c r="G26" s="17"/>
      <c r="H26" s="18"/>
      <c r="I26" s="62"/>
      <c r="J26" s="63"/>
    </row>
    <row r="27" spans="1:10" ht="39.950000000000003" customHeight="1" x14ac:dyDescent="0.2">
      <c r="A27" s="9"/>
      <c r="B27" s="50" t="s">
        <v>47</v>
      </c>
      <c r="C27" s="51"/>
      <c r="D27" s="51"/>
      <c r="E27" s="8">
        <v>5</v>
      </c>
      <c r="F27" s="12" t="s">
        <v>26</v>
      </c>
      <c r="G27" s="17" t="str">
        <f t="shared" si="0"/>
        <v/>
      </c>
      <c r="H27" s="18" t="str">
        <f t="shared" si="1"/>
        <v/>
      </c>
      <c r="I27" s="62"/>
      <c r="J27" s="63"/>
    </row>
    <row r="28" spans="1:10" ht="39.950000000000003" customHeight="1" x14ac:dyDescent="0.2">
      <c r="A28" s="9"/>
      <c r="B28" s="50" t="s">
        <v>48</v>
      </c>
      <c r="C28" s="51"/>
      <c r="D28" s="51"/>
      <c r="E28" s="8"/>
      <c r="F28" s="12"/>
      <c r="G28" s="17"/>
      <c r="H28" s="18"/>
      <c r="I28" s="62"/>
      <c r="J28" s="63"/>
    </row>
    <row r="29" spans="1:10" ht="39.950000000000003" customHeight="1" x14ac:dyDescent="0.2">
      <c r="A29" s="9"/>
      <c r="B29" s="54" t="s">
        <v>104</v>
      </c>
      <c r="C29" s="55"/>
      <c r="D29" s="55"/>
      <c r="E29" s="8">
        <v>5</v>
      </c>
      <c r="F29" s="12" t="s">
        <v>26</v>
      </c>
      <c r="G29" s="17" t="str">
        <f t="shared" si="0"/>
        <v/>
      </c>
      <c r="H29" s="18" t="str">
        <f t="shared" si="1"/>
        <v/>
      </c>
      <c r="I29" s="62"/>
      <c r="J29" s="63"/>
    </row>
    <row r="30" spans="1:10" ht="30" customHeight="1" x14ac:dyDescent="0.2">
      <c r="A30" s="9"/>
      <c r="B30" s="54" t="s">
        <v>49</v>
      </c>
      <c r="C30" s="55"/>
      <c r="D30" s="55"/>
      <c r="E30" s="8"/>
      <c r="F30" s="12"/>
      <c r="G30" s="17"/>
      <c r="H30" s="18"/>
      <c r="I30" s="62"/>
      <c r="J30" s="63"/>
    </row>
    <row r="31" spans="1:10" ht="39.950000000000003" customHeight="1" x14ac:dyDescent="0.2">
      <c r="A31" s="9"/>
      <c r="B31" s="54" t="s">
        <v>50</v>
      </c>
      <c r="C31" s="55"/>
      <c r="D31" s="55"/>
      <c r="E31" s="8">
        <v>5</v>
      </c>
      <c r="F31" s="12" t="s">
        <v>26</v>
      </c>
      <c r="G31" s="17" t="str">
        <f t="shared" si="0"/>
        <v/>
      </c>
      <c r="H31" s="18" t="str">
        <f t="shared" si="1"/>
        <v/>
      </c>
      <c r="I31" s="62"/>
      <c r="J31" s="63"/>
    </row>
    <row r="32" spans="1:10" ht="39.950000000000003" customHeight="1" x14ac:dyDescent="0.2">
      <c r="A32" s="9"/>
      <c r="B32" s="54" t="s">
        <v>105</v>
      </c>
      <c r="C32" s="55"/>
      <c r="D32" s="55"/>
      <c r="E32" s="8">
        <v>5</v>
      </c>
      <c r="F32" s="12" t="s">
        <v>26</v>
      </c>
      <c r="G32" s="17" t="str">
        <f t="shared" si="0"/>
        <v/>
      </c>
      <c r="H32" s="18" t="str">
        <f t="shared" si="1"/>
        <v/>
      </c>
      <c r="I32" s="62"/>
      <c r="J32" s="63"/>
    </row>
    <row r="33" spans="1:10" ht="30" customHeight="1" x14ac:dyDescent="0.2">
      <c r="A33" s="9"/>
      <c r="B33" s="54" t="s">
        <v>51</v>
      </c>
      <c r="C33" s="55"/>
      <c r="D33" s="55"/>
      <c r="E33" s="8">
        <v>5</v>
      </c>
      <c r="F33" s="12" t="s">
        <v>26</v>
      </c>
      <c r="G33" s="17" t="str">
        <f t="shared" si="0"/>
        <v/>
      </c>
      <c r="H33" s="18" t="str">
        <f t="shared" si="1"/>
        <v/>
      </c>
      <c r="I33" s="62"/>
      <c r="J33" s="63"/>
    </row>
    <row r="34" spans="1:10" ht="39.950000000000003" customHeight="1" x14ac:dyDescent="0.2">
      <c r="A34" s="9"/>
      <c r="B34" s="50" t="s">
        <v>52</v>
      </c>
      <c r="C34" s="51"/>
      <c r="D34" s="51"/>
      <c r="E34" s="8">
        <v>5</v>
      </c>
      <c r="F34" s="12" t="s">
        <v>26</v>
      </c>
      <c r="G34" s="17" t="str">
        <f t="shared" si="0"/>
        <v/>
      </c>
      <c r="H34" s="18" t="str">
        <f t="shared" si="1"/>
        <v/>
      </c>
      <c r="I34" s="62"/>
      <c r="J34" s="63"/>
    </row>
    <row r="35" spans="1:10" ht="30" customHeight="1" x14ac:dyDescent="0.2">
      <c r="A35" s="9"/>
      <c r="B35" s="50" t="s">
        <v>53</v>
      </c>
      <c r="C35" s="51"/>
      <c r="D35" s="51"/>
      <c r="E35" s="8">
        <v>5</v>
      </c>
      <c r="F35" s="12" t="s">
        <v>26</v>
      </c>
      <c r="G35" s="17" t="str">
        <f t="shared" si="0"/>
        <v/>
      </c>
      <c r="H35" s="18" t="str">
        <f t="shared" si="1"/>
        <v/>
      </c>
      <c r="I35" s="62"/>
      <c r="J35" s="63"/>
    </row>
    <row r="36" spans="1:10" ht="50.1" customHeight="1" x14ac:dyDescent="0.2">
      <c r="A36" s="9"/>
      <c r="B36" s="38" t="s">
        <v>106</v>
      </c>
      <c r="C36" s="39"/>
      <c r="D36" s="39"/>
      <c r="E36" s="19"/>
      <c r="F36" s="12"/>
      <c r="G36" s="17"/>
      <c r="H36" s="18"/>
      <c r="I36" s="62"/>
      <c r="J36" s="63"/>
    </row>
    <row r="37" spans="1:10" ht="39.950000000000003" customHeight="1" x14ac:dyDescent="0.2">
      <c r="A37" s="9"/>
      <c r="B37" s="50" t="s">
        <v>54</v>
      </c>
      <c r="C37" s="51"/>
      <c r="D37" s="51"/>
      <c r="E37" s="19"/>
      <c r="F37" s="12"/>
      <c r="G37" s="17"/>
      <c r="H37" s="18"/>
      <c r="I37" s="62"/>
      <c r="J37" s="63"/>
    </row>
    <row r="38" spans="1:10" ht="30" customHeight="1" x14ac:dyDescent="0.2">
      <c r="A38" s="9"/>
      <c r="B38" s="54" t="s">
        <v>81</v>
      </c>
      <c r="C38" s="55"/>
      <c r="D38" s="55"/>
      <c r="E38" s="8">
        <v>5</v>
      </c>
      <c r="F38" s="12" t="s">
        <v>26</v>
      </c>
      <c r="G38" s="17" t="str">
        <f t="shared" si="0"/>
        <v/>
      </c>
      <c r="H38" s="18" t="str">
        <f t="shared" si="1"/>
        <v/>
      </c>
      <c r="I38" s="62"/>
      <c r="J38" s="63"/>
    </row>
    <row r="39" spans="1:10" ht="50.1" customHeight="1" x14ac:dyDescent="0.2">
      <c r="A39" s="9"/>
      <c r="B39" s="54" t="s">
        <v>80</v>
      </c>
      <c r="C39" s="55"/>
      <c r="D39" s="55"/>
      <c r="E39" s="8">
        <v>5</v>
      </c>
      <c r="F39" s="12" t="s">
        <v>26</v>
      </c>
      <c r="G39" s="17" t="str">
        <f t="shared" si="0"/>
        <v/>
      </c>
      <c r="H39" s="18" t="str">
        <f t="shared" si="1"/>
        <v/>
      </c>
      <c r="I39" s="62"/>
      <c r="J39" s="63"/>
    </row>
    <row r="40" spans="1:10" ht="50.1" customHeight="1" x14ac:dyDescent="0.2">
      <c r="A40" s="9"/>
      <c r="B40" s="54" t="s">
        <v>82</v>
      </c>
      <c r="C40" s="55"/>
      <c r="D40" s="55"/>
      <c r="E40" s="8">
        <v>5</v>
      </c>
      <c r="F40" s="12" t="s">
        <v>26</v>
      </c>
      <c r="G40" s="17" t="str">
        <f t="shared" si="0"/>
        <v/>
      </c>
      <c r="H40" s="18" t="str">
        <f t="shared" si="1"/>
        <v/>
      </c>
      <c r="I40" s="62"/>
      <c r="J40" s="63"/>
    </row>
    <row r="41" spans="1:10" ht="39.75" customHeight="1" x14ac:dyDescent="0.2">
      <c r="A41" s="9"/>
      <c r="B41" s="50" t="s">
        <v>107</v>
      </c>
      <c r="C41" s="51"/>
      <c r="D41" s="51"/>
      <c r="E41" s="8">
        <v>5</v>
      </c>
      <c r="F41" s="12" t="s">
        <v>26</v>
      </c>
      <c r="G41" s="17" t="str">
        <f t="shared" ref="G41" si="2">IFERROR(F41/E41,"")</f>
        <v/>
      </c>
      <c r="H41" s="18" t="str">
        <f t="shared" ref="H41" si="3">_xlfn.IFS(F41="أدخل العلامة","",F41="لا ينطبق","تم الإلغاء",G41&gt;=90%,"ممتاز",G41&gt;=80%,"جيد جداً",G41&gt;=70%,"جيد",G41&gt;=60%,"مقبول",G41&lt;60%,"راسب")</f>
        <v/>
      </c>
      <c r="I41" s="62"/>
      <c r="J41" s="63"/>
    </row>
    <row r="42" spans="1:10" ht="39.950000000000003" customHeight="1" x14ac:dyDescent="0.2">
      <c r="A42" s="9"/>
      <c r="B42" s="50" t="s">
        <v>83</v>
      </c>
      <c r="C42" s="51"/>
      <c r="D42" s="51"/>
      <c r="E42" s="20">
        <v>5</v>
      </c>
      <c r="F42" s="12" t="s">
        <v>26</v>
      </c>
      <c r="G42" s="17" t="str">
        <f t="shared" si="0"/>
        <v/>
      </c>
      <c r="H42" s="18" t="str">
        <f t="shared" si="1"/>
        <v/>
      </c>
      <c r="I42" s="62"/>
      <c r="J42" s="63"/>
    </row>
    <row r="43" spans="1:10" ht="39.950000000000003" customHeight="1" x14ac:dyDescent="0.2">
      <c r="A43" s="9"/>
      <c r="B43" s="58" t="s">
        <v>108</v>
      </c>
      <c r="C43" s="59"/>
      <c r="D43" s="59"/>
      <c r="E43" s="21"/>
      <c r="F43" s="12"/>
      <c r="G43" s="17"/>
      <c r="H43" s="18"/>
      <c r="I43" s="62"/>
      <c r="J43" s="63"/>
    </row>
    <row r="44" spans="1:10" ht="30" customHeight="1" x14ac:dyDescent="0.2">
      <c r="A44" s="9"/>
      <c r="B44" s="54" t="s">
        <v>88</v>
      </c>
      <c r="C44" s="55"/>
      <c r="D44" s="55"/>
      <c r="E44" s="20">
        <v>5</v>
      </c>
      <c r="F44" s="12" t="s">
        <v>26</v>
      </c>
      <c r="G44" s="17" t="str">
        <f t="shared" si="0"/>
        <v/>
      </c>
      <c r="H44" s="18" t="str">
        <f t="shared" si="1"/>
        <v/>
      </c>
      <c r="I44" s="62"/>
      <c r="J44" s="63"/>
    </row>
    <row r="45" spans="1:10" ht="30" customHeight="1" x14ac:dyDescent="0.2">
      <c r="A45" s="9"/>
      <c r="B45" s="54" t="s">
        <v>84</v>
      </c>
      <c r="C45" s="55"/>
      <c r="D45" s="55"/>
      <c r="E45" s="20">
        <v>5</v>
      </c>
      <c r="F45" s="12" t="s">
        <v>26</v>
      </c>
      <c r="G45" s="17" t="str">
        <f t="shared" si="0"/>
        <v/>
      </c>
      <c r="H45" s="18" t="str">
        <f t="shared" si="1"/>
        <v/>
      </c>
      <c r="I45" s="62"/>
      <c r="J45" s="63"/>
    </row>
    <row r="46" spans="1:10" ht="30" customHeight="1" x14ac:dyDescent="0.2">
      <c r="A46" s="9"/>
      <c r="B46" s="54" t="s">
        <v>85</v>
      </c>
      <c r="C46" s="55"/>
      <c r="D46" s="55"/>
      <c r="E46" s="20">
        <v>5</v>
      </c>
      <c r="F46" s="12" t="s">
        <v>26</v>
      </c>
      <c r="G46" s="17" t="str">
        <f t="shared" si="0"/>
        <v/>
      </c>
      <c r="H46" s="18" t="str">
        <f t="shared" si="1"/>
        <v/>
      </c>
      <c r="I46" s="62"/>
      <c r="J46" s="63"/>
    </row>
    <row r="47" spans="1:10" ht="30" customHeight="1" x14ac:dyDescent="0.2">
      <c r="A47" s="9"/>
      <c r="B47" s="54" t="s">
        <v>86</v>
      </c>
      <c r="C47" s="55"/>
      <c r="D47" s="55"/>
      <c r="E47" s="20">
        <v>5</v>
      </c>
      <c r="F47" s="12" t="s">
        <v>26</v>
      </c>
      <c r="G47" s="17" t="str">
        <f t="shared" si="0"/>
        <v/>
      </c>
      <c r="H47" s="18" t="str">
        <f t="shared" si="1"/>
        <v/>
      </c>
      <c r="I47" s="62"/>
      <c r="J47" s="63"/>
    </row>
    <row r="48" spans="1:10" ht="30" customHeight="1" thickBot="1" x14ac:dyDescent="0.25">
      <c r="A48" s="9"/>
      <c r="B48" s="56" t="s">
        <v>87</v>
      </c>
      <c r="C48" s="57"/>
      <c r="D48" s="57"/>
      <c r="E48" s="26">
        <v>5</v>
      </c>
      <c r="F48" s="14" t="s">
        <v>26</v>
      </c>
      <c r="G48" s="27" t="str">
        <f t="shared" si="0"/>
        <v/>
      </c>
      <c r="H48" s="28" t="str">
        <f t="shared" si="1"/>
        <v/>
      </c>
      <c r="I48" s="78"/>
      <c r="J48" s="79"/>
    </row>
    <row r="49" spans="1:10" ht="50.1" customHeight="1" x14ac:dyDescent="0.2">
      <c r="A49" s="9"/>
      <c r="B49" s="46" t="s">
        <v>55</v>
      </c>
      <c r="C49" s="47"/>
      <c r="D49" s="47"/>
      <c r="E49" s="35"/>
      <c r="F49" s="23"/>
      <c r="G49" s="24"/>
      <c r="H49" s="25"/>
      <c r="I49" s="64"/>
      <c r="J49" s="65"/>
    </row>
    <row r="50" spans="1:10" ht="39.950000000000003" customHeight="1" x14ac:dyDescent="0.2">
      <c r="A50" s="9"/>
      <c r="B50" s="38" t="s">
        <v>89</v>
      </c>
      <c r="C50" s="39"/>
      <c r="D50" s="39"/>
      <c r="E50" s="20">
        <v>5</v>
      </c>
      <c r="F50" s="12" t="s">
        <v>26</v>
      </c>
      <c r="G50" s="17" t="str">
        <f t="shared" si="0"/>
        <v/>
      </c>
      <c r="H50" s="18" t="str">
        <f t="shared" si="1"/>
        <v/>
      </c>
      <c r="I50" s="62"/>
      <c r="J50" s="63"/>
    </row>
    <row r="51" spans="1:10" ht="30" customHeight="1" x14ac:dyDescent="0.2">
      <c r="A51" s="9"/>
      <c r="B51" s="38" t="s">
        <v>56</v>
      </c>
      <c r="C51" s="39"/>
      <c r="D51" s="39"/>
      <c r="E51" s="20">
        <v>5</v>
      </c>
      <c r="F51" s="12" t="s">
        <v>26</v>
      </c>
      <c r="G51" s="17" t="str">
        <f t="shared" si="0"/>
        <v/>
      </c>
      <c r="H51" s="18" t="str">
        <f t="shared" si="1"/>
        <v/>
      </c>
      <c r="I51" s="62"/>
      <c r="J51" s="63"/>
    </row>
    <row r="52" spans="1:10" ht="30" customHeight="1" thickBot="1" x14ac:dyDescent="0.25">
      <c r="A52" s="9"/>
      <c r="B52" s="40" t="s">
        <v>57</v>
      </c>
      <c r="C52" s="41"/>
      <c r="D52" s="41"/>
      <c r="E52" s="26">
        <v>5</v>
      </c>
      <c r="F52" s="14" t="s">
        <v>26</v>
      </c>
      <c r="G52" s="27" t="str">
        <f t="shared" si="0"/>
        <v/>
      </c>
      <c r="H52" s="28" t="str">
        <f t="shared" si="1"/>
        <v/>
      </c>
      <c r="I52" s="78"/>
      <c r="J52" s="79"/>
    </row>
    <row r="53" spans="1:10" ht="39.950000000000003" customHeight="1" x14ac:dyDescent="0.2">
      <c r="A53" s="9"/>
      <c r="B53" s="46" t="s">
        <v>58</v>
      </c>
      <c r="C53" s="47"/>
      <c r="D53" s="47"/>
      <c r="E53" s="35"/>
      <c r="F53" s="23"/>
      <c r="G53" s="24"/>
      <c r="H53" s="25"/>
      <c r="I53" s="64"/>
      <c r="J53" s="65"/>
    </row>
    <row r="54" spans="1:10" ht="30" customHeight="1" x14ac:dyDescent="0.2">
      <c r="A54" s="9"/>
      <c r="B54" s="38" t="s">
        <v>59</v>
      </c>
      <c r="C54" s="39"/>
      <c r="D54" s="39"/>
      <c r="E54" s="20">
        <v>5</v>
      </c>
      <c r="F54" s="12" t="s">
        <v>26</v>
      </c>
      <c r="G54" s="17" t="str">
        <f t="shared" si="0"/>
        <v/>
      </c>
      <c r="H54" s="18" t="str">
        <f t="shared" si="1"/>
        <v/>
      </c>
      <c r="I54" s="62"/>
      <c r="J54" s="63"/>
    </row>
    <row r="55" spans="1:10" ht="39.950000000000003" customHeight="1" x14ac:dyDescent="0.2">
      <c r="A55" s="9"/>
      <c r="B55" s="38" t="s">
        <v>90</v>
      </c>
      <c r="C55" s="39"/>
      <c r="D55" s="39"/>
      <c r="E55" s="20">
        <v>5</v>
      </c>
      <c r="F55" s="12" t="s">
        <v>26</v>
      </c>
      <c r="G55" s="17" t="str">
        <f t="shared" si="0"/>
        <v/>
      </c>
      <c r="H55" s="18" t="str">
        <f t="shared" si="1"/>
        <v/>
      </c>
      <c r="I55" s="62"/>
      <c r="J55" s="63"/>
    </row>
    <row r="56" spans="1:10" ht="30" customHeight="1" thickBot="1" x14ac:dyDescent="0.25">
      <c r="A56" s="9"/>
      <c r="B56" s="40" t="s">
        <v>91</v>
      </c>
      <c r="C56" s="41"/>
      <c r="D56" s="41"/>
      <c r="E56" s="26">
        <v>5</v>
      </c>
      <c r="F56" s="14" t="s">
        <v>26</v>
      </c>
      <c r="G56" s="27" t="str">
        <f t="shared" si="0"/>
        <v/>
      </c>
      <c r="H56" s="28" t="str">
        <f t="shared" si="1"/>
        <v/>
      </c>
      <c r="I56" s="78"/>
      <c r="J56" s="79"/>
    </row>
    <row r="57" spans="1:10" ht="30" customHeight="1" thickBot="1" x14ac:dyDescent="0.25">
      <c r="A57" s="9"/>
      <c r="B57" s="44" t="s">
        <v>60</v>
      </c>
      <c r="C57" s="45"/>
      <c r="D57" s="45"/>
      <c r="E57" s="32">
        <v>5</v>
      </c>
      <c r="F57" s="33" t="s">
        <v>26</v>
      </c>
      <c r="G57" s="34" t="str">
        <f t="shared" si="0"/>
        <v/>
      </c>
      <c r="H57" s="13" t="str">
        <f t="shared" si="1"/>
        <v/>
      </c>
      <c r="I57" s="80"/>
      <c r="J57" s="81"/>
    </row>
    <row r="58" spans="1:10" ht="30" customHeight="1" x14ac:dyDescent="0.2">
      <c r="A58" s="9"/>
      <c r="B58" s="46" t="s">
        <v>61</v>
      </c>
      <c r="C58" s="47"/>
      <c r="D58" s="47"/>
      <c r="E58" s="36"/>
      <c r="F58" s="23"/>
      <c r="G58" s="24"/>
      <c r="H58" s="25"/>
      <c r="I58" s="64"/>
      <c r="J58" s="65"/>
    </row>
    <row r="59" spans="1:10" ht="39.950000000000003" customHeight="1" x14ac:dyDescent="0.2">
      <c r="A59" s="9"/>
      <c r="B59" s="38" t="s">
        <v>62</v>
      </c>
      <c r="C59" s="39"/>
      <c r="D59" s="39"/>
      <c r="E59" s="20">
        <v>5</v>
      </c>
      <c r="F59" s="12" t="s">
        <v>26</v>
      </c>
      <c r="G59" s="17" t="str">
        <f t="shared" si="0"/>
        <v/>
      </c>
      <c r="H59" s="18" t="str">
        <f t="shared" si="1"/>
        <v/>
      </c>
      <c r="I59" s="62"/>
      <c r="J59" s="63"/>
    </row>
    <row r="60" spans="1:10" ht="39.950000000000003" customHeight="1" x14ac:dyDescent="0.2">
      <c r="A60" s="9"/>
      <c r="B60" s="38" t="s">
        <v>109</v>
      </c>
      <c r="C60" s="39"/>
      <c r="D60" s="39"/>
      <c r="E60" s="20"/>
      <c r="F60" s="12"/>
      <c r="G60" s="17"/>
      <c r="H60" s="18"/>
      <c r="I60" s="62"/>
      <c r="J60" s="63"/>
    </row>
    <row r="61" spans="1:10" ht="39.950000000000003" customHeight="1" x14ac:dyDescent="0.2">
      <c r="A61" s="9"/>
      <c r="B61" s="50" t="s">
        <v>63</v>
      </c>
      <c r="C61" s="51"/>
      <c r="D61" s="51"/>
      <c r="E61" s="20">
        <v>5</v>
      </c>
      <c r="F61" s="12" t="s">
        <v>26</v>
      </c>
      <c r="G61" s="17" t="str">
        <f t="shared" ref="G61" si="4">IFERROR(F61/E61,"")</f>
        <v/>
      </c>
      <c r="H61" s="18" t="str">
        <f t="shared" ref="H61" si="5">_xlfn.IFS(F61="أدخل العلامة","",F61="لا ينطبق","تم الإلغاء",G61&gt;=90%,"ممتاز",G61&gt;=80%,"جيد جداً",G61&gt;=70%,"جيد",G61&gt;=60%,"مقبول",G61&lt;60%,"راسب")</f>
        <v/>
      </c>
      <c r="I61" s="62"/>
      <c r="J61" s="63"/>
    </row>
    <row r="62" spans="1:10" ht="50.1" customHeight="1" x14ac:dyDescent="0.2">
      <c r="A62" s="9"/>
      <c r="B62" s="50" t="s">
        <v>64</v>
      </c>
      <c r="C62" s="51"/>
      <c r="D62" s="51"/>
      <c r="E62" s="20">
        <v>5</v>
      </c>
      <c r="F62" s="12" t="s">
        <v>26</v>
      </c>
      <c r="G62" s="17" t="str">
        <f t="shared" si="0"/>
        <v/>
      </c>
      <c r="H62" s="18" t="str">
        <f t="shared" si="1"/>
        <v/>
      </c>
      <c r="I62" s="62"/>
      <c r="J62" s="63"/>
    </row>
    <row r="63" spans="1:10" ht="30" customHeight="1" x14ac:dyDescent="0.2">
      <c r="A63" s="9"/>
      <c r="B63" s="50" t="s">
        <v>65</v>
      </c>
      <c r="C63" s="51"/>
      <c r="D63" s="51"/>
      <c r="E63" s="20">
        <v>5</v>
      </c>
      <c r="F63" s="12" t="s">
        <v>26</v>
      </c>
      <c r="G63" s="17" t="str">
        <f t="shared" si="0"/>
        <v/>
      </c>
      <c r="H63" s="18" t="str">
        <f t="shared" si="1"/>
        <v/>
      </c>
      <c r="I63" s="62"/>
      <c r="J63" s="63"/>
    </row>
    <row r="64" spans="1:10" ht="39.950000000000003" customHeight="1" x14ac:dyDescent="0.2">
      <c r="A64" s="9"/>
      <c r="B64" s="50" t="s">
        <v>92</v>
      </c>
      <c r="C64" s="51"/>
      <c r="D64" s="51"/>
      <c r="E64" s="20">
        <v>5</v>
      </c>
      <c r="F64" s="12" t="s">
        <v>26</v>
      </c>
      <c r="G64" s="17" t="str">
        <f t="shared" si="0"/>
        <v/>
      </c>
      <c r="H64" s="18" t="str">
        <f t="shared" si="1"/>
        <v/>
      </c>
      <c r="I64" s="62"/>
      <c r="J64" s="63"/>
    </row>
    <row r="65" spans="1:10" ht="30" customHeight="1" x14ac:dyDescent="0.2">
      <c r="A65" s="9"/>
      <c r="B65" s="50" t="s">
        <v>93</v>
      </c>
      <c r="C65" s="51"/>
      <c r="D65" s="51"/>
      <c r="E65" s="20">
        <v>5</v>
      </c>
      <c r="F65" s="12" t="s">
        <v>26</v>
      </c>
      <c r="G65" s="17" t="str">
        <f t="shared" si="0"/>
        <v/>
      </c>
      <c r="H65" s="18" t="str">
        <f t="shared" si="1"/>
        <v/>
      </c>
      <c r="I65" s="62"/>
      <c r="J65" s="63"/>
    </row>
    <row r="66" spans="1:10" ht="39.950000000000003" customHeight="1" x14ac:dyDescent="0.2">
      <c r="A66" s="9"/>
      <c r="B66" s="50" t="s">
        <v>94</v>
      </c>
      <c r="C66" s="51"/>
      <c r="D66" s="51"/>
      <c r="E66" s="20">
        <v>5</v>
      </c>
      <c r="F66" s="12" t="s">
        <v>26</v>
      </c>
      <c r="G66" s="17" t="str">
        <f t="shared" si="0"/>
        <v/>
      </c>
      <c r="H66" s="18" t="str">
        <f t="shared" si="1"/>
        <v/>
      </c>
      <c r="I66" s="62"/>
      <c r="J66" s="63"/>
    </row>
    <row r="67" spans="1:10" ht="39.950000000000003" customHeight="1" x14ac:dyDescent="0.2">
      <c r="A67" s="9"/>
      <c r="B67" s="50" t="s">
        <v>95</v>
      </c>
      <c r="C67" s="51"/>
      <c r="D67" s="51"/>
      <c r="E67" s="20">
        <v>5</v>
      </c>
      <c r="F67" s="12" t="s">
        <v>26</v>
      </c>
      <c r="G67" s="17" t="str">
        <f t="shared" si="0"/>
        <v/>
      </c>
      <c r="H67" s="18" t="str">
        <f t="shared" si="1"/>
        <v/>
      </c>
      <c r="I67" s="62"/>
      <c r="J67" s="63"/>
    </row>
    <row r="68" spans="1:10" ht="39.950000000000003" customHeight="1" x14ac:dyDescent="0.2">
      <c r="A68" s="9"/>
      <c r="B68" s="50" t="s">
        <v>96</v>
      </c>
      <c r="C68" s="51"/>
      <c r="D68" s="51"/>
      <c r="E68" s="20">
        <v>5</v>
      </c>
      <c r="F68" s="12" t="s">
        <v>26</v>
      </c>
      <c r="G68" s="17" t="str">
        <f t="shared" si="0"/>
        <v/>
      </c>
      <c r="H68" s="18" t="str">
        <f t="shared" si="1"/>
        <v/>
      </c>
      <c r="I68" s="62"/>
      <c r="J68" s="63"/>
    </row>
    <row r="69" spans="1:10" ht="30" customHeight="1" thickBot="1" x14ac:dyDescent="0.25">
      <c r="A69" s="9"/>
      <c r="B69" s="52" t="s">
        <v>97</v>
      </c>
      <c r="C69" s="53"/>
      <c r="D69" s="53"/>
      <c r="E69" s="26">
        <v>5</v>
      </c>
      <c r="F69" s="14" t="s">
        <v>26</v>
      </c>
      <c r="G69" s="27" t="str">
        <f t="shared" si="0"/>
        <v/>
      </c>
      <c r="H69" s="28" t="str">
        <f t="shared" si="1"/>
        <v/>
      </c>
      <c r="I69" s="78"/>
      <c r="J69" s="79"/>
    </row>
    <row r="70" spans="1:10" ht="39.950000000000003" customHeight="1" x14ac:dyDescent="0.2">
      <c r="A70" s="9"/>
      <c r="B70" s="42" t="s">
        <v>66</v>
      </c>
      <c r="C70" s="43"/>
      <c r="D70" s="43"/>
      <c r="E70" s="36"/>
      <c r="F70" s="23"/>
      <c r="G70" s="24"/>
      <c r="H70" s="25"/>
      <c r="I70" s="64"/>
      <c r="J70" s="65"/>
    </row>
    <row r="71" spans="1:10" ht="39.950000000000003" customHeight="1" x14ac:dyDescent="0.2">
      <c r="A71" s="9"/>
      <c r="B71" s="38" t="s">
        <v>110</v>
      </c>
      <c r="C71" s="39"/>
      <c r="D71" s="39"/>
      <c r="E71" s="21"/>
      <c r="F71" s="12"/>
      <c r="G71" s="17"/>
      <c r="H71" s="18"/>
      <c r="I71" s="62"/>
      <c r="J71" s="63"/>
    </row>
    <row r="72" spans="1:10" ht="30" customHeight="1" x14ac:dyDescent="0.2">
      <c r="A72" s="9"/>
      <c r="B72" s="50" t="s">
        <v>67</v>
      </c>
      <c r="C72" s="51"/>
      <c r="D72" s="51"/>
      <c r="E72" s="20">
        <v>5</v>
      </c>
      <c r="F72" s="12" t="s">
        <v>26</v>
      </c>
      <c r="G72" s="17" t="str">
        <f t="shared" si="0"/>
        <v/>
      </c>
      <c r="H72" s="18" t="str">
        <f t="shared" si="1"/>
        <v/>
      </c>
      <c r="I72" s="62"/>
      <c r="J72" s="63"/>
    </row>
    <row r="73" spans="1:10" ht="30" customHeight="1" x14ac:dyDescent="0.2">
      <c r="A73" s="9"/>
      <c r="B73" s="50" t="s">
        <v>68</v>
      </c>
      <c r="C73" s="51"/>
      <c r="D73" s="51"/>
      <c r="E73" s="20">
        <v>5</v>
      </c>
      <c r="F73" s="12" t="s">
        <v>26</v>
      </c>
      <c r="G73" s="17" t="str">
        <f t="shared" si="0"/>
        <v/>
      </c>
      <c r="H73" s="18" t="str">
        <f t="shared" si="1"/>
        <v/>
      </c>
      <c r="I73" s="62"/>
      <c r="J73" s="63"/>
    </row>
    <row r="74" spans="1:10" ht="39.950000000000003" customHeight="1" x14ac:dyDescent="0.2">
      <c r="A74" s="9"/>
      <c r="B74" s="50" t="s">
        <v>69</v>
      </c>
      <c r="C74" s="51"/>
      <c r="D74" s="51"/>
      <c r="E74" s="20">
        <v>5</v>
      </c>
      <c r="F74" s="12" t="s">
        <v>26</v>
      </c>
      <c r="G74" s="17" t="str">
        <f t="shared" ref="G74:G96" si="6">IFERROR(F74/E74,"")</f>
        <v/>
      </c>
      <c r="H74" s="18" t="str">
        <f t="shared" ref="H74:H96" si="7">_xlfn.IFS(F74="أدخل العلامة","",F74="لا ينطبق","تم الإلغاء",G74&gt;=90%,"ممتاز",G74&gt;=80%,"جيد جداً",G74&gt;=70%,"جيد",G74&gt;=60%,"مقبول",G74&lt;60%,"راسب")</f>
        <v/>
      </c>
      <c r="I74" s="62"/>
      <c r="J74" s="63"/>
    </row>
    <row r="75" spans="1:10" ht="30" customHeight="1" x14ac:dyDescent="0.2">
      <c r="A75" s="9"/>
      <c r="B75" s="50" t="s">
        <v>98</v>
      </c>
      <c r="C75" s="51"/>
      <c r="D75" s="51"/>
      <c r="E75" s="20">
        <v>5</v>
      </c>
      <c r="F75" s="12" t="s">
        <v>26</v>
      </c>
      <c r="G75" s="17" t="str">
        <f t="shared" si="6"/>
        <v/>
      </c>
      <c r="H75" s="18" t="str">
        <f t="shared" si="7"/>
        <v/>
      </c>
      <c r="I75" s="62"/>
      <c r="J75" s="63"/>
    </row>
    <row r="76" spans="1:10" ht="39.950000000000003" customHeight="1" x14ac:dyDescent="0.2">
      <c r="A76" s="9"/>
      <c r="B76" s="50" t="s">
        <v>99</v>
      </c>
      <c r="C76" s="51"/>
      <c r="D76" s="51"/>
      <c r="E76" s="20">
        <v>5</v>
      </c>
      <c r="F76" s="12" t="s">
        <v>26</v>
      </c>
      <c r="G76" s="17" t="str">
        <f t="shared" si="6"/>
        <v/>
      </c>
      <c r="H76" s="18" t="str">
        <f t="shared" si="7"/>
        <v/>
      </c>
      <c r="I76" s="62"/>
      <c r="J76" s="63"/>
    </row>
    <row r="77" spans="1:10" ht="39.950000000000003" customHeight="1" x14ac:dyDescent="0.2">
      <c r="A77" s="9"/>
      <c r="B77" s="50" t="s">
        <v>100</v>
      </c>
      <c r="C77" s="51"/>
      <c r="D77" s="51"/>
      <c r="E77" s="20">
        <v>5</v>
      </c>
      <c r="F77" s="12" t="s">
        <v>26</v>
      </c>
      <c r="G77" s="17" t="str">
        <f t="shared" si="6"/>
        <v/>
      </c>
      <c r="H77" s="18" t="str">
        <f t="shared" si="7"/>
        <v/>
      </c>
      <c r="I77" s="62"/>
      <c r="J77" s="63"/>
    </row>
    <row r="78" spans="1:10" ht="39.950000000000003" customHeight="1" x14ac:dyDescent="0.2">
      <c r="A78" s="9"/>
      <c r="B78" s="50" t="s">
        <v>101</v>
      </c>
      <c r="C78" s="51"/>
      <c r="D78" s="51"/>
      <c r="E78" s="20">
        <v>5</v>
      </c>
      <c r="F78" s="12" t="s">
        <v>26</v>
      </c>
      <c r="G78" s="17" t="str">
        <f t="shared" si="6"/>
        <v/>
      </c>
      <c r="H78" s="18" t="str">
        <f t="shared" si="7"/>
        <v/>
      </c>
      <c r="I78" s="62"/>
      <c r="J78" s="63"/>
    </row>
    <row r="79" spans="1:10" ht="50.1" customHeight="1" thickBot="1" x14ac:dyDescent="0.25">
      <c r="A79" s="9"/>
      <c r="B79" s="40" t="s">
        <v>70</v>
      </c>
      <c r="C79" s="41"/>
      <c r="D79" s="41"/>
      <c r="E79" s="26">
        <v>5</v>
      </c>
      <c r="F79" s="14" t="s">
        <v>26</v>
      </c>
      <c r="G79" s="27" t="str">
        <f t="shared" si="6"/>
        <v/>
      </c>
      <c r="H79" s="28" t="str">
        <f t="shared" si="7"/>
        <v/>
      </c>
      <c r="I79" s="78"/>
      <c r="J79" s="79"/>
    </row>
    <row r="80" spans="1:10" ht="39.950000000000003" customHeight="1" x14ac:dyDescent="0.2">
      <c r="A80" s="9"/>
      <c r="B80" s="46" t="s">
        <v>111</v>
      </c>
      <c r="C80" s="47"/>
      <c r="D80" s="47"/>
      <c r="E80" s="36"/>
      <c r="F80" s="23"/>
      <c r="G80" s="24"/>
      <c r="H80" s="25"/>
      <c r="I80" s="64"/>
      <c r="J80" s="65"/>
    </row>
    <row r="81" spans="1:10" ht="39.950000000000003" customHeight="1" x14ac:dyDescent="0.2">
      <c r="A81" s="9"/>
      <c r="B81" s="48" t="s">
        <v>71</v>
      </c>
      <c r="C81" s="49"/>
      <c r="D81" s="49"/>
      <c r="E81" s="21"/>
      <c r="F81" s="12"/>
      <c r="G81" s="17"/>
      <c r="H81" s="18"/>
      <c r="I81" s="62"/>
      <c r="J81" s="63"/>
    </row>
    <row r="82" spans="1:10" ht="30" customHeight="1" x14ac:dyDescent="0.2">
      <c r="A82" s="9"/>
      <c r="B82" s="50" t="s">
        <v>72</v>
      </c>
      <c r="C82" s="51"/>
      <c r="D82" s="51"/>
      <c r="E82" s="20">
        <v>5</v>
      </c>
      <c r="F82" s="12" t="s">
        <v>26</v>
      </c>
      <c r="G82" s="17" t="str">
        <f t="shared" si="6"/>
        <v/>
      </c>
      <c r="H82" s="18" t="str">
        <f t="shared" si="7"/>
        <v/>
      </c>
      <c r="I82" s="62"/>
      <c r="J82" s="63"/>
    </row>
    <row r="83" spans="1:10" ht="30" customHeight="1" x14ac:dyDescent="0.2">
      <c r="A83" s="9"/>
      <c r="B83" s="50" t="s">
        <v>102</v>
      </c>
      <c r="C83" s="51"/>
      <c r="D83" s="51"/>
      <c r="E83" s="20">
        <v>5</v>
      </c>
      <c r="F83" s="12" t="s">
        <v>26</v>
      </c>
      <c r="G83" s="17" t="str">
        <f t="shared" si="6"/>
        <v/>
      </c>
      <c r="H83" s="18" t="str">
        <f t="shared" si="7"/>
        <v/>
      </c>
      <c r="I83" s="62"/>
      <c r="J83" s="63"/>
    </row>
    <row r="84" spans="1:10" ht="30" customHeight="1" x14ac:dyDescent="0.2">
      <c r="A84" s="9"/>
      <c r="B84" s="50" t="s">
        <v>103</v>
      </c>
      <c r="C84" s="51"/>
      <c r="D84" s="51"/>
      <c r="E84" s="20">
        <v>5</v>
      </c>
      <c r="F84" s="12" t="s">
        <v>26</v>
      </c>
      <c r="G84" s="17" t="str">
        <f t="shared" si="6"/>
        <v/>
      </c>
      <c r="H84" s="18" t="str">
        <f t="shared" si="7"/>
        <v/>
      </c>
      <c r="I84" s="62"/>
      <c r="J84" s="63"/>
    </row>
    <row r="85" spans="1:10" ht="30" customHeight="1" x14ac:dyDescent="0.2">
      <c r="A85" s="9"/>
      <c r="B85" s="38" t="s">
        <v>73</v>
      </c>
      <c r="C85" s="39"/>
      <c r="D85" s="39"/>
      <c r="E85" s="20">
        <v>5</v>
      </c>
      <c r="F85" s="12" t="s">
        <v>26</v>
      </c>
      <c r="G85" s="17" t="str">
        <f t="shared" si="6"/>
        <v/>
      </c>
      <c r="H85" s="18" t="str">
        <f t="shared" si="7"/>
        <v/>
      </c>
      <c r="I85" s="62"/>
      <c r="J85" s="63"/>
    </row>
    <row r="86" spans="1:10" ht="30" customHeight="1" x14ac:dyDescent="0.2">
      <c r="A86" s="9"/>
      <c r="B86" s="38" t="s">
        <v>74</v>
      </c>
      <c r="C86" s="39"/>
      <c r="D86" s="39"/>
      <c r="E86" s="20">
        <v>5</v>
      </c>
      <c r="F86" s="12" t="s">
        <v>26</v>
      </c>
      <c r="G86" s="17" t="str">
        <f t="shared" si="6"/>
        <v/>
      </c>
      <c r="H86" s="18" t="str">
        <f t="shared" si="7"/>
        <v/>
      </c>
      <c r="I86" s="62"/>
      <c r="J86" s="63"/>
    </row>
    <row r="87" spans="1:10" ht="30" customHeight="1" x14ac:dyDescent="0.2">
      <c r="A87" s="9"/>
      <c r="B87" s="38" t="s">
        <v>75</v>
      </c>
      <c r="C87" s="39"/>
      <c r="D87" s="39"/>
      <c r="E87" s="20">
        <v>5</v>
      </c>
      <c r="F87" s="12" t="s">
        <v>26</v>
      </c>
      <c r="G87" s="17" t="str">
        <f t="shared" si="6"/>
        <v/>
      </c>
      <c r="H87" s="18" t="str">
        <f t="shared" si="7"/>
        <v/>
      </c>
      <c r="I87" s="62"/>
      <c r="J87" s="63"/>
    </row>
    <row r="88" spans="1:10" ht="30" customHeight="1" x14ac:dyDescent="0.2">
      <c r="A88" s="9"/>
      <c r="B88" s="38" t="s">
        <v>76</v>
      </c>
      <c r="C88" s="39"/>
      <c r="D88" s="39"/>
      <c r="E88" s="20">
        <v>5</v>
      </c>
      <c r="F88" s="12" t="s">
        <v>26</v>
      </c>
      <c r="G88" s="17" t="str">
        <f t="shared" si="6"/>
        <v/>
      </c>
      <c r="H88" s="18" t="str">
        <f t="shared" si="7"/>
        <v/>
      </c>
      <c r="I88" s="62"/>
      <c r="J88" s="63"/>
    </row>
    <row r="89" spans="1:10" ht="39.950000000000003" customHeight="1" x14ac:dyDescent="0.2">
      <c r="A89" s="9"/>
      <c r="B89" s="38" t="s">
        <v>77</v>
      </c>
      <c r="C89" s="39"/>
      <c r="D89" s="39"/>
      <c r="E89" s="20">
        <v>5</v>
      </c>
      <c r="F89" s="12" t="s">
        <v>26</v>
      </c>
      <c r="G89" s="17" t="str">
        <f t="shared" si="6"/>
        <v/>
      </c>
      <c r="H89" s="18" t="str">
        <f t="shared" si="7"/>
        <v/>
      </c>
      <c r="I89" s="62"/>
      <c r="J89" s="63"/>
    </row>
    <row r="90" spans="1:10" ht="39.950000000000003" customHeight="1" thickBot="1" x14ac:dyDescent="0.25">
      <c r="A90" s="9"/>
      <c r="B90" s="40" t="s">
        <v>78</v>
      </c>
      <c r="C90" s="41"/>
      <c r="D90" s="41"/>
      <c r="E90" s="26">
        <v>5</v>
      </c>
      <c r="F90" s="14" t="s">
        <v>26</v>
      </c>
      <c r="G90" s="27" t="str">
        <f t="shared" si="6"/>
        <v/>
      </c>
      <c r="H90" s="28" t="str">
        <f t="shared" si="7"/>
        <v/>
      </c>
      <c r="I90" s="78"/>
      <c r="J90" s="79"/>
    </row>
    <row r="91" spans="1:10" ht="39.950000000000003" customHeight="1" x14ac:dyDescent="0.2">
      <c r="A91" s="9"/>
      <c r="B91" s="42" t="s">
        <v>112</v>
      </c>
      <c r="C91" s="43"/>
      <c r="D91" s="43"/>
      <c r="E91" s="35"/>
      <c r="F91" s="23"/>
      <c r="G91" s="24"/>
      <c r="H91" s="25"/>
      <c r="I91" s="64"/>
      <c r="J91" s="65"/>
    </row>
    <row r="92" spans="1:10" ht="30" customHeight="1" x14ac:dyDescent="0.2">
      <c r="A92" s="9"/>
      <c r="B92" s="38" t="s">
        <v>113</v>
      </c>
      <c r="C92" s="39"/>
      <c r="D92" s="39"/>
      <c r="E92" s="20">
        <v>5</v>
      </c>
      <c r="F92" s="12" t="s">
        <v>26</v>
      </c>
      <c r="G92" s="17" t="str">
        <f t="shared" si="6"/>
        <v/>
      </c>
      <c r="H92" s="18" t="str">
        <f t="shared" si="7"/>
        <v/>
      </c>
      <c r="I92" s="62"/>
      <c r="J92" s="63"/>
    </row>
    <row r="93" spans="1:10" ht="30" customHeight="1" x14ac:dyDescent="0.2">
      <c r="A93" s="9"/>
      <c r="B93" s="38" t="s">
        <v>114</v>
      </c>
      <c r="C93" s="39"/>
      <c r="D93" s="39"/>
      <c r="E93" s="20">
        <v>5</v>
      </c>
      <c r="F93" s="12" t="s">
        <v>26</v>
      </c>
      <c r="G93" s="17" t="str">
        <f t="shared" si="6"/>
        <v/>
      </c>
      <c r="H93" s="18" t="str">
        <f t="shared" si="7"/>
        <v/>
      </c>
      <c r="I93" s="62"/>
      <c r="J93" s="63"/>
    </row>
    <row r="94" spans="1:10" ht="30" customHeight="1" x14ac:dyDescent="0.2">
      <c r="A94" s="9"/>
      <c r="B94" s="38" t="s">
        <v>115</v>
      </c>
      <c r="C94" s="39"/>
      <c r="D94" s="39"/>
      <c r="E94" s="20">
        <v>5</v>
      </c>
      <c r="F94" s="12" t="s">
        <v>26</v>
      </c>
      <c r="G94" s="17" t="str">
        <f t="shared" si="6"/>
        <v/>
      </c>
      <c r="H94" s="18" t="str">
        <f t="shared" si="7"/>
        <v/>
      </c>
      <c r="I94" s="62"/>
      <c r="J94" s="63"/>
    </row>
    <row r="95" spans="1:10" ht="30" customHeight="1" thickBot="1" x14ac:dyDescent="0.25">
      <c r="A95" s="9"/>
      <c r="B95" s="40" t="s">
        <v>116</v>
      </c>
      <c r="C95" s="41"/>
      <c r="D95" s="41"/>
      <c r="E95" s="26">
        <v>5</v>
      </c>
      <c r="F95" s="14" t="s">
        <v>26</v>
      </c>
      <c r="G95" s="27" t="str">
        <f t="shared" si="6"/>
        <v/>
      </c>
      <c r="H95" s="28" t="str">
        <f t="shared" si="7"/>
        <v/>
      </c>
      <c r="I95" s="78"/>
      <c r="J95" s="79"/>
    </row>
    <row r="96" spans="1:10" ht="39.950000000000003" customHeight="1" thickBot="1" x14ac:dyDescent="0.25">
      <c r="A96" s="9"/>
      <c r="B96" s="44" t="s">
        <v>79</v>
      </c>
      <c r="C96" s="45"/>
      <c r="D96" s="45"/>
      <c r="E96" s="32">
        <v>5</v>
      </c>
      <c r="F96" s="33" t="s">
        <v>26</v>
      </c>
      <c r="G96" s="34" t="str">
        <f t="shared" si="6"/>
        <v/>
      </c>
      <c r="H96" s="13" t="str">
        <f t="shared" si="7"/>
        <v/>
      </c>
      <c r="I96" s="80"/>
      <c r="J96" s="81"/>
    </row>
    <row r="97" spans="1:10" ht="30" customHeight="1" thickBot="1" x14ac:dyDescent="0.25">
      <c r="A97" s="3"/>
      <c r="B97" s="66" t="s">
        <v>5</v>
      </c>
      <c r="C97" s="67"/>
      <c r="D97" s="67"/>
      <c r="E97" s="16">
        <f>SUM(E8:E96)</f>
        <v>355</v>
      </c>
      <c r="F97" s="16">
        <f>SUM(F8:F96)</f>
        <v>0</v>
      </c>
      <c r="G97" s="100"/>
      <c r="H97" s="101"/>
      <c r="I97" s="101"/>
      <c r="J97" s="102"/>
    </row>
    <row r="98" spans="1:10" ht="30" customHeight="1" thickBot="1" x14ac:dyDescent="0.25">
      <c r="A98" s="3"/>
      <c r="B98" s="68" t="s">
        <v>20</v>
      </c>
      <c r="C98" s="69"/>
      <c r="D98" s="69"/>
      <c r="E98" s="88">
        <f>F97/E97/100*100</f>
        <v>0</v>
      </c>
      <c r="F98" s="88"/>
      <c r="G98" s="88"/>
      <c r="H98" s="88"/>
      <c r="I98" s="88"/>
      <c r="J98" s="89"/>
    </row>
    <row r="99" spans="1:10" ht="30" customHeight="1" thickBot="1" x14ac:dyDescent="0.25">
      <c r="A99" s="3"/>
      <c r="B99" s="68" t="s">
        <v>21</v>
      </c>
      <c r="C99" s="69"/>
      <c r="D99" s="69"/>
      <c r="E99" s="76" t="str">
        <f>_xlfn.IFS(E98&gt;=90%,"ممتاز",E98&gt;=80%,"جيد جداً",E98&gt;=70%,"جيد",E98&gt;=60%,"مقبول",E98&lt;60%,"راسب")</f>
        <v>راسب</v>
      </c>
      <c r="F99" s="76"/>
      <c r="G99" s="76"/>
      <c r="H99" s="76"/>
      <c r="I99" s="76"/>
      <c r="J99" s="77"/>
    </row>
    <row r="100" spans="1:10" ht="42" customHeight="1" x14ac:dyDescent="0.2">
      <c r="B100" s="72" t="s">
        <v>27</v>
      </c>
      <c r="C100" s="72"/>
      <c r="D100" s="72"/>
      <c r="E100" s="98" t="s">
        <v>18</v>
      </c>
      <c r="F100" s="98"/>
      <c r="G100" s="74" t="s">
        <v>24</v>
      </c>
      <c r="H100" s="74"/>
      <c r="I100" s="74"/>
      <c r="J100" s="74"/>
    </row>
    <row r="101" spans="1:10" ht="51" customHeight="1" x14ac:dyDescent="0.2">
      <c r="A101" s="4"/>
      <c r="B101" s="73"/>
      <c r="C101" s="73"/>
      <c r="D101" s="73"/>
      <c r="E101" s="99" t="s">
        <v>19</v>
      </c>
      <c r="F101" s="99"/>
      <c r="G101" s="75"/>
      <c r="H101" s="75"/>
      <c r="I101" s="75"/>
      <c r="J101" s="7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9">
    <mergeCell ref="I9:J9"/>
    <mergeCell ref="I69:J69"/>
    <mergeCell ref="I70:J70"/>
    <mergeCell ref="I71:J71"/>
    <mergeCell ref="E100:F100"/>
    <mergeCell ref="E101:F101"/>
    <mergeCell ref="G97:J97"/>
    <mergeCell ref="I72:J72"/>
    <mergeCell ref="I73:J73"/>
    <mergeCell ref="I74:J74"/>
    <mergeCell ref="I75:J75"/>
    <mergeCell ref="I76:J76"/>
    <mergeCell ref="I77:J77"/>
    <mergeCell ref="I78:J78"/>
    <mergeCell ref="I79:J79"/>
    <mergeCell ref="I92:J92"/>
    <mergeCell ref="I93:J93"/>
    <mergeCell ref="I94:J94"/>
    <mergeCell ref="I95:J95"/>
    <mergeCell ref="I96:J9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20:J20"/>
    <mergeCell ref="I21:J21"/>
    <mergeCell ref="I22:J22"/>
    <mergeCell ref="I23:J23"/>
    <mergeCell ref="I24:J24"/>
    <mergeCell ref="I25:J25"/>
    <mergeCell ref="I26:J26"/>
    <mergeCell ref="I27:J27"/>
    <mergeCell ref="I45:J45"/>
    <mergeCell ref="B1:J1"/>
    <mergeCell ref="F2:J2"/>
    <mergeCell ref="B5:D6"/>
    <mergeCell ref="C2:D2"/>
    <mergeCell ref="C3:D3"/>
    <mergeCell ref="F3:J3"/>
    <mergeCell ref="E98:J98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B100:D101"/>
    <mergeCell ref="G100:J100"/>
    <mergeCell ref="G101:J101"/>
    <mergeCell ref="E99:J99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32:J32"/>
    <mergeCell ref="I33:J33"/>
    <mergeCell ref="I34:J34"/>
    <mergeCell ref="I35:J35"/>
    <mergeCell ref="I36:J36"/>
    <mergeCell ref="I8:J8"/>
    <mergeCell ref="B97:D97"/>
    <mergeCell ref="B98:D98"/>
    <mergeCell ref="B99:D99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19:J1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9:D89"/>
    <mergeCell ref="B90:D90"/>
    <mergeCell ref="B91:D91"/>
    <mergeCell ref="B92:D92"/>
    <mergeCell ref="B93:D93"/>
    <mergeCell ref="B94:D94"/>
    <mergeCell ref="B95:D95"/>
    <mergeCell ref="B96:D96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</mergeCells>
  <conditionalFormatting sqref="E99">
    <cfRule type="expression" dxfId="37" priority="71">
      <formula>$E99="راسب"</formula>
    </cfRule>
  </conditionalFormatting>
  <conditionalFormatting sqref="E99:J99">
    <cfRule type="expression" dxfId="36" priority="72">
      <formula>$E99="مقبول"</formula>
    </cfRule>
    <cfRule type="expression" dxfId="35" priority="73">
      <formula>$E99="جيد"</formula>
    </cfRule>
    <cfRule type="expression" dxfId="34" priority="74">
      <formula>$E99="جيد جداً"</formula>
    </cfRule>
    <cfRule type="expression" dxfId="33" priority="75">
      <formula>$E99="ممتاز"</formula>
    </cfRule>
  </conditionalFormatting>
  <conditionalFormatting sqref="H8 H10:H40 H42:H60 H62:H96">
    <cfRule type="containsText" dxfId="32" priority="53" operator="containsText" text="ممتاز">
      <formula>NOT(ISERROR(SEARCH("ممتاز",H8)))</formula>
    </cfRule>
    <cfRule type="containsText" dxfId="31" priority="54" operator="containsText" text="جيد جداً">
      <formula>NOT(ISERROR(SEARCH("جيد جداً",H8)))</formula>
    </cfRule>
    <cfRule type="containsText" dxfId="30" priority="55" operator="containsText" text="جيد">
      <formula>NOT(ISERROR(SEARCH("جيد",H8)))</formula>
    </cfRule>
    <cfRule type="containsText" dxfId="29" priority="56" operator="containsText" text="مقبول">
      <formula>NOT(ISERROR(SEARCH("مقبول",H8)))</formula>
    </cfRule>
    <cfRule type="containsText" dxfId="28" priority="57" operator="containsText" text="راسب">
      <formula>NOT(ISERROR(SEARCH("راسب",H8)))</formula>
    </cfRule>
  </conditionalFormatting>
  <conditionalFormatting sqref="H8 H10:H40 H42:H60 H62:H96 F62:F96">
    <cfRule type="containsText" dxfId="27" priority="52" operator="containsText" text="أدخل العلامة">
      <formula>NOT(ISERROR(SEARCH("أدخل العلامة",F8)))</formula>
    </cfRule>
  </conditionalFormatting>
  <conditionalFormatting sqref="F2:J2">
    <cfRule type="containsText" dxfId="26" priority="33" operator="containsText" text="أدخل التاريخ">
      <formula>NOT(ISERROR(SEARCH("أدخل التاريخ",F2)))</formula>
    </cfRule>
  </conditionalFormatting>
  <conditionalFormatting sqref="C2:D2">
    <cfRule type="containsText" dxfId="25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4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23" priority="30" operator="containsText" text="أدخل أسم المحكم">
      <formula>NOT(ISERROR(SEARCH("أدخل أسم المحكم",F3)))</formula>
    </cfRule>
  </conditionalFormatting>
  <conditionalFormatting sqref="G100:J100">
    <cfRule type="containsText" dxfId="22" priority="29" operator="containsText" text="أدخل اسم المحكم">
      <formula>NOT(ISERROR(SEARCH("أدخل اسم المحكم",G100)))</formula>
    </cfRule>
  </conditionalFormatting>
  <conditionalFormatting sqref="F8 F10:F40 F42:F60">
    <cfRule type="containsText" dxfId="21" priority="28" operator="containsText" text="أدخل العلامة">
      <formula>NOT(ISERROR(SEARCH("أدخل العلامة",F8)))</formula>
    </cfRule>
  </conditionalFormatting>
  <conditionalFormatting sqref="H9">
    <cfRule type="containsText" dxfId="20" priority="20" operator="containsText" text="ممتاز">
      <formula>NOT(ISERROR(SEARCH("ممتاز",H9)))</formula>
    </cfRule>
    <cfRule type="containsText" dxfId="19" priority="21" operator="containsText" text="جيد جداً">
      <formula>NOT(ISERROR(SEARCH("جيد جداً",H9)))</formula>
    </cfRule>
    <cfRule type="containsText" dxfId="18" priority="22" operator="containsText" text="جيد">
      <formula>NOT(ISERROR(SEARCH("جيد",H9)))</formula>
    </cfRule>
    <cfRule type="containsText" dxfId="17" priority="23" operator="containsText" text="مقبول">
      <formula>NOT(ISERROR(SEARCH("مقبول",H9)))</formula>
    </cfRule>
    <cfRule type="containsText" dxfId="16" priority="24" operator="containsText" text="راسب">
      <formula>NOT(ISERROR(SEARCH("راسب",H9)))</formula>
    </cfRule>
  </conditionalFormatting>
  <conditionalFormatting sqref="H9">
    <cfRule type="containsText" dxfId="15" priority="19" operator="containsText" text="أدخل العلامة">
      <formula>NOT(ISERROR(SEARCH("أدخل العلامة",H9)))</formula>
    </cfRule>
  </conditionalFormatting>
  <conditionalFormatting sqref="F9">
    <cfRule type="containsText" dxfId="14" priority="18" operator="containsText" text="أدخل العلامة">
      <formula>NOT(ISERROR(SEARCH("أدخل العلامة",F9)))</formula>
    </cfRule>
  </conditionalFormatting>
  <conditionalFormatting sqref="H41">
    <cfRule type="containsText" dxfId="13" priority="10" operator="containsText" text="ممتاز">
      <formula>NOT(ISERROR(SEARCH("ممتاز",H41)))</formula>
    </cfRule>
    <cfRule type="containsText" dxfId="12" priority="11" operator="containsText" text="جيد جداً">
      <formula>NOT(ISERROR(SEARCH("جيد جداً",H41)))</formula>
    </cfRule>
    <cfRule type="containsText" dxfId="11" priority="12" operator="containsText" text="جيد">
      <formula>NOT(ISERROR(SEARCH("جيد",H41)))</formula>
    </cfRule>
    <cfRule type="containsText" dxfId="10" priority="13" operator="containsText" text="مقبول">
      <formula>NOT(ISERROR(SEARCH("مقبول",H41)))</formula>
    </cfRule>
    <cfRule type="containsText" dxfId="9" priority="14" operator="containsText" text="راسب">
      <formula>NOT(ISERROR(SEARCH("راسب",H41)))</formula>
    </cfRule>
  </conditionalFormatting>
  <conditionalFormatting sqref="H41">
    <cfRule type="containsText" dxfId="8" priority="9" operator="containsText" text="أدخل العلامة">
      <formula>NOT(ISERROR(SEARCH("أدخل العلامة",H41)))</formula>
    </cfRule>
  </conditionalFormatting>
  <conditionalFormatting sqref="F41">
    <cfRule type="containsText" dxfId="7" priority="8" operator="containsText" text="أدخل العلامة">
      <formula>NOT(ISERROR(SEARCH("أدخل العلامة",F41)))</formula>
    </cfRule>
  </conditionalFormatting>
  <conditionalFormatting sqref="H61">
    <cfRule type="containsText" dxfId="6" priority="3" operator="containsText" text="ممتاز">
      <formula>NOT(ISERROR(SEARCH("ممتاز",H61)))</formula>
    </cfRule>
    <cfRule type="containsText" dxfId="5" priority="4" operator="containsText" text="جيد جداً">
      <formula>NOT(ISERROR(SEARCH("جيد جداً",H61)))</formula>
    </cfRule>
    <cfRule type="containsText" dxfId="4" priority="5" operator="containsText" text="جيد">
      <formula>NOT(ISERROR(SEARCH("جيد",H61)))</formula>
    </cfRule>
    <cfRule type="containsText" dxfId="3" priority="6" operator="containsText" text="مقبول">
      <formula>NOT(ISERROR(SEARCH("مقبول",H61)))</formula>
    </cfRule>
    <cfRule type="containsText" dxfId="2" priority="7" operator="containsText" text="راسب">
      <formula>NOT(ISERROR(SEARCH("راسب",H61)))</formula>
    </cfRule>
  </conditionalFormatting>
  <conditionalFormatting sqref="H61">
    <cfRule type="containsText" dxfId="1" priority="2" operator="containsText" text="أدخل العلامة">
      <formula>NOT(ISERROR(SEARCH("أدخل العلامة",H61)))</formula>
    </cfRule>
  </conditionalFormatting>
  <conditionalFormatting sqref="F61">
    <cfRule type="containsText" dxfId="0" priority="1" operator="containsText" text="أدخل العلامة">
      <formula>NOT(ISERROR(SEARCH("أدخل العلامة",F61)))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90" max="9" man="1"/>
  </row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#REF!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F92:F96 F82:F90 F72:F79 F14:F25 F54:F57 F50:F52 F44:F48 F38:F42 F31:F35 F29 F27 F9:F11 F59 F61:F69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G100:J100 F3:J3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2026-08-30T04:34:41Z</dcterms:modified>
</cp:coreProperties>
</file>