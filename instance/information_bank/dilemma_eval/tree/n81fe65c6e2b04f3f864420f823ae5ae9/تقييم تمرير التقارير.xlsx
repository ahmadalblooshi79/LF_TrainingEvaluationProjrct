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2B68365B-92BC-4517-818E-120E09B74908}"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<sst xmlns="http://schemas.openxmlformats.org/spreadsheetml/2006/main" count="258" uniqueCount="202">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</sst>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537225</xdr:colOff>
      <xdr:row>36</xdr:row>
      <xdr:rowOff>108335</xdr:rowOff>
    </xdr:from>
    <xdr:to>
      <xdr:col>7</xdr:col>
      <xdr:colOff>416255</xdr:colOff>
      <xdr:row>36</xdr:row>
      <xdr:rowOff>376895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2646DEB7-65AE-35AA-43A1-6ABCDB71B874}"/>
                </a:ext>
              </a:extLst>
            </xdr14:cNvPr>
            <xdr14:cNvContentPartPr/>
          </xdr14:nvContentPartPr>
          <xdr14:nvPr macro=""/>
          <xdr14:xfrm>
            <a:off x="10399486745" y="18407880"/>
            <a:ext cx="537120" cy="268560"/>
          </xdr14:xfrm>
        </xdr:contentPart>
      </mc:Choice>
      <mc:Fallback xmlns="">
        <xdr:pic>
          <xdr:nvPicPr>
            <xdr:cNvPr id="2" name="Ink 1">
              <a:extLst>
                <a:ext uri="{FF2B5EF4-FFF2-40B4-BE49-F238E27FC236}">
                  <a16:creationId xmlns:a16="http://schemas.microsoft.com/office/drawing/2014/main" id="{2646DEB7-65AE-35AA-43A1-6ABCDB71B874}"/>
                </a:ext>
              </a:extLst>
            </xdr:cNvPr>
            <xdr:cNvPicPr/>
          </xdr:nvPicPr>
          <xdr:blipFill>
            <a:blip xmlns:r="http://schemas.openxmlformats.org/officeDocument/2006/relationships" r:embed="rId2"/>
            <a:stretch>
              <a:fillRect/>
            </a:stretch>
          </xdr:blipFill>
          <xdr:spPr>
            <a:xfrm>
              <a:off x="10399480625" y="18401760"/>
              <a:ext cx="549360" cy="280800"/>
            </a:xfrm>
            <a:prstGeom prst="rect">
              <a:avLst/>
            </a:prstGeom>
          </xdr:spPr>
        </xdr:pic>
      </mc:Fallback>
    </mc:AlternateContent>
    <xdr:clientData/>
  </xdr:twoCellAnchor>
  <xdr:twoCellAnchor editAs="oneCell">
    <xdr:from>
      <xdr:col>7</xdr:col>
      <xdr:colOff>332735</xdr:colOff>
      <xdr:row>36</xdr:row>
      <xdr:rowOff>93935</xdr:rowOff>
    </xdr:from>
    <xdr:to>
      <xdr:col>9</xdr:col>
      <xdr:colOff>283754</xdr:colOff>
      <xdr:row>36</xdr:row>
      <xdr:rowOff>466175</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97EB0A23-DBA8-44E9-DFCB-3FF41E521C91}"/>
                </a:ext>
              </a:extLst>
            </xdr14:cNvPr>
            <xdr14:cNvContentPartPr/>
          </xdr14:nvContentPartPr>
          <xdr14:nvPr macro=""/>
          <xdr14:xfrm>
            <a:off x="10398303065" y="18393480"/>
            <a:ext cx="1267200" cy="372240"/>
          </xdr14:xfrm>
        </xdr:contentPart>
      </mc:Choice>
      <mc:Fallback xmlns="">
        <xdr:pic>
          <xdr:nvPicPr>
            <xdr:cNvPr id="3" name="Ink 2">
              <a:extLst>
                <a:ext uri="{FF2B5EF4-FFF2-40B4-BE49-F238E27FC236}">
                  <a16:creationId xmlns:a16="http://schemas.microsoft.com/office/drawing/2014/main" id="{97EB0A23-DBA8-44E9-DFCB-3FF41E521C91}"/>
                </a:ext>
              </a:extLst>
            </xdr:cNvPr>
            <xdr:cNvPicPr/>
          </xdr:nvPicPr>
          <xdr:blipFill>
            <a:blip xmlns:r="http://schemas.openxmlformats.org/officeDocument/2006/relationships" r:embed="rId4"/>
            <a:stretch>
              <a:fillRect/>
            </a:stretch>
          </xdr:blipFill>
          <xdr:spPr>
            <a:xfrm>
              <a:off x="10398296945" y="18387360"/>
              <a:ext cx="1279440" cy="38448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18:05:13.813"/>
    </inkml:context>
    <inkml:brush xml:id="br0">
      <inkml:brushProperty name="width" value="0.035" units="cm"/>
      <inkml:brushProperty name="height" value="0.035" units="cm"/>
    </inkml:brush>
  </inkml:definitions>
  <inkml:trace contextRef="#ctx0" brushRef="#br0">921 746 5921,'0'0'0,"0"0"3128,0 0-1079,0 0-217,0 0-1832,0-2 1601,0 2-273,0 0-360,0 0-192,0 0-776,0 0 616,0 0-39,0 0-65,0 0 8,0 0-2745,0 0 4938,0 0-2201,0 0-56,2 0 96,-2 0-552,3 0 552,-3-3-64,0 3-32,0 0-23,0 0-433,0-3 440,0 0-8,0 3 56,0-3-152,0 3-336,0 0 328,0-3-120,0 3 136,0-2-96,0 2-248,0 0 128,0-3 144,0 3-184,-3-3 48,3 3-136,-4 0 128,4-3-8,0 3 112,-3-3-144,3 3-88,0-3 72,0 3 80,-2-2-200,-2-1 112,4 3-64,-5-5 105,5 1-97,-5 0 96,5 0 96,0 4-200,-2-13-48,2 9 112,0-9 160,-2 9-216,2 4-8,-3-18 320,3 7-264,-2-2 24,2 0 8,0 13-88,-5-12 184,1-3-304,-1-2 160,-4-1 40,9 18-80,-5-20-80,-4 0 536,9 0-496,-4-1 80,4 21-40,-3-21-56,-9 1-72,12-2 160,-11 4 64,11 18-96,0-18 16,-5 2-16,0 1 16,3 0-48,2 15 32,-2-12 56,2 7-160,-5-8-80,1 9 112,4 4 72,0-4 40,0-7 128,-2 8-104,2 0-32,0 3-32,-3-4 40,3-1-96,0 1 240,0 0-144,0 4-40,0-4-192,0-1 96,0 1-56,0 1 32,0 3 120,0-3-32,3 1 48,-3 2-120,2 0-32,-2 0 136,13-3 16,-8 3 0,9 0 0,-2 0 104,-12 0-120,11 1 0,1 1 40,2-1-8,0 0 88,-14-1-120,18 0 16,-4 0-72,2 0 208,3 0-280,-19 0 128,14-2 32,4-1-48,1 0 0,0 0-72,-19 3 88,18-4-88,1-1 112,-3 1 72,2-9-24,-18 13-72,22-2 32,-6-3-32,2 1-184,-1-10 232,-17 14-48,18-3 152,3-10-200,-5 9 8,3-10 80,-19 14-40,15-5 0,5-10 96,-4 11 24,2-8-168,-18 12 48,14-4 96,-3-7 24,1 6-120,0-6 120,-12 11-120,11-3 16,-6-1-48,11-8-104,-14 12 200,-2 0-64,12-4-128,-7 0 120,0 0 96,-1-1-208,-4 5 120,5-4-96,-3 0 8,0 1 192,-2 0-152,0 3 48,0-3 160,0 3-192,0-3-48,0 3 64,0 0 16,0 0-184,0-2 216,0 2-360,-2 0 328,2 0 0,-2 0 0,2 0-120,-8 0 24,0 0 8,8 0 88,-3 1-56,-9 2-80,10 1 280,-7-1-272,9-3 128,-4 4 0,-8 1 0,7-1-16,-9 1-16,14-5 32,-12 12-176,1-8 216,-6 2-80,2 7 80,15-13-40,-14 4-40,0 9 8,0-9-72,0 9 56,14-13 48,-11 5 136,-6 11-288,-1-3 184,1-2-168,17-11 136,-18 12-56,-1 0-1,3 1-39,-3 1 128,19-14-32,-20 13 64,1-1 169,-2-1-81,7-5 40,14-6-192,-19 14 16,3-9-80,0 10 64,2-10 0,14-5 0,-18 15 16,3-11-72,2 10 88,-3-8-128,16-6 96,-14 13-40,0-8 80,-5 8-80,3-9 24,16-4 16,-17 6 0,1 5 72,3-6 32,1 1-40,12-6-64,-14 12 16,3-9-80,-1 1 32,7 0 64,5-4-32,-14 4-16,12 1 0,-12-3 80,10 1-96,4-3 32,-5 2 32,-7-1-16,9-1-16,0 0 16,3 0-16,-12 0 0,7 0-344,-4-3 192,7 0 31,2 3 121,-17-2 89,12-3 231,-8 1-264,-2-7-40,15 11-16,-13-3-48,-2-11 48,-1 10 0,3-10 48,13 14-48,-17-12-16,1-1 48,0 1 40,0-3-40,16 15-32,-15-11-16,2 0 72,-1 6 80,-5-12-136,19 17 0,-13-4 64,-2-12-64,2 12-80,-2-11 40,15 15 40,-13-5-48,8-10-24,-11 10-136,14-6 232,2 11-24,-17-3 64,12-8-24,-8 8 8,8 0 56,5 3-104,-2-4 16,-3 0 56,2-1-24,0 1-32,3 4-16,-5-4 152,0-1-152,0 1 176,3 0-128,2 4-48,0-4 0,-5 1 104,3 0-176,-2 0 88,4 3-16,0 0-32,0 0 0,0 0-16,0 0-40,0 0 88,0 0-120,0 3-48,0 8 216,2 2-96,-2-13 48,4 16 168,8-1-304,-7 3 104,11-3 80,-16-15-48,12 17-88,-1-1 280,1-2-224,1 0 144,-13-14-112,10 14 104,2-1 32,-1 0-120,1 1 40,-12-14-56,13 12 48,-1 0-80,-1-6 248,1 10-216,-12-16 0,12 6 120,2 9-136,-5-10 0,-5 10-72,-4-15 88,12 4-112,-7 7 144,2-7-136,-3 9 176,-4-13-72,10 5-224,-8 0 208,3 1-16,-3 0-72,-2-6 104,5 4-120,-3 2-168,-2-2 336,0-1-80,0-3 32,0 3 168,0-2-168,-2 2-16,-3 0 64,5-3-48,-2 2 72,-3 0 128,0-1-280,-6 1 32,11-2 48,-4 0-88,-13 0 152,6 0-64,-4 0-104,15 0 104,-13 0 0,-4 0-112,-1-3 176,2 3-128,16 0 64,-19-3-144,-2 3-184,-2 0 224,2 0 112,21 0-8,-19-3-8,3 3-56,3 0-201,1-3 25,12 3 240,-3-2-376,-8 2 168,11-3-48,-2 0-80,2 3 336,0-4-272,0-1 32,0 1-32,4-7-112,-4 11 384,2-3-232,3 0 32,-3-1-8,1-1 336,-3 5-128,5-2 24,-3-1-64,-2 0 96,0 0-96,0 3 40,0 0 80,0 0 88,-5 0-72,3 0-8,2 0-88,-12 1 0,8 2 40,-15 3 72,3 5 48,16-11-160,-18 5 112,-2 0 16,2 1 40,2-2-24,16-4-144,-14 5 24,-2-4-24,4 0-136,-1 1-320,13-2 456,-15 0-936,2 0-921,1-4-991,-2-1-1561,14 5 4409,-12-13-9314,12 13 9314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18:05:14.634"/>
    </inkml:context>
    <inkml:brush xml:id="br0">
      <inkml:brushProperty name="width" value="0.035" units="cm"/>
      <inkml:brushProperty name="height" value="0.035" units="cm"/>
    </inkml:brush>
  </inkml:definitions>
  <inkml:trace contextRef="#ctx0" brushRef="#br0">1917 470 16875,'0'0'0,"0"6"1440,0-6-1440,-1 11 785,1-7 71,0 9 80,11-10-96,-11-3-840,14 6 704,2 8-64,10-10-71,0 10-89,-26-14-480,26 5 416,6 6 56,-4-7 48,10 8 72,-38-12-592,39 4 624,3 1-120,2 1 56,3-2-680,-47-4 120,49 2 561,0-2 23,7 0-208,-2-4 664,-54 4-1040,60-13 248,-2 9-64,-1-14-96,1 4-192,-58 14 104,56-15-112,0-2-40,-4-2 152,1-1 152,-53 20-152,51-20 0,1-1-16,1 0-104,-6-1 152,-47 22-32,46-21 120,-11 1-8,0 2-208,0 1-576,-35 17 672,28-18-184,-5 1-48,-3 3 232,-7 0 440,-13 14-440,7-11-72,-4-2 120,-1 0 104,-2 2 32,0 11-184,-2-13 200,-1 1 0,-17 1-184,5 0-16,15 11 0,-18-14 48,-7-2 104,0 0 160,-7-2-280,32 18-32,-33-17 184,-3-2-248,-7 2 176,-4 3-16,47 14-96,-53-13 16,-3 9 16,-4 0-208,-11 1 320,71 3-144,-72 0 0,-5 5 176,-2 14-104,-7 1-24,86-20-48,-90 23-96,-3 4-8,2 2-88,1 3-320,90-32 512,-91 32-944,-2 1 336,-3 1 256,4-1 344,92-33 8,-93 34 680,0-1-256,-1 1-176,1 0-32,93-34-216,-93 36 184,5 0-136,1 0-152,-2 2-120,89-38 224,-88 40 48,-3 0 184,-1-2-88,4 1-8,88-39-136,-96 35-200,1 1-528,-1 2 16,45-16-464,51-22 1176,-65 25-1809,-1 4-799,-11 5-1569,-14 10-4657,91-44 8834,-98 45-8266,98-45 8266</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zoomScale="130" zoomScaleNormal="100" zoomScaleSheetLayoutView="130" workbookViewId="0">
      <selection activeCell="C2" sqref="C2:D2"/>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0" t="s">
        <v>201</v>
      </c>
      <c r="C1" s="60"/>
      <c r="D1" s="60"/>
      <c r="E1" s="60"/>
      <c r="F1" s="60"/>
      <c r="G1" s="60"/>
      <c r="H1" s="60"/>
      <c r="I1" s="60"/>
      <c r="J1" s="60"/>
    </row>
    <row r="2" spans="1:10" ht="30" customHeight="1" x14ac:dyDescent="0.3">
      <c r="B2" s="13" t="s">
        <v>8</v>
      </c>
      <c r="C2" s="66" t="s">
        <v>46</v>
      </c>
      <c r="D2" s="66"/>
      <c r="E2" s="13" t="s">
        <v>7</v>
      </c>
      <c r="F2" s="61">
        <v>45955</v>
      </c>
      <c r="G2" s="61"/>
      <c r="H2" s="61"/>
      <c r="I2" s="61"/>
      <c r="J2" s="61"/>
    </row>
    <row r="3" spans="1:10" ht="30" customHeight="1" x14ac:dyDescent="0.3">
      <c r="B3" s="13" t="s">
        <v>9</v>
      </c>
      <c r="C3" s="66" t="s">
        <v>87</v>
      </c>
      <c r="D3" s="66"/>
      <c r="E3" s="13" t="s">
        <v>6</v>
      </c>
      <c r="F3" s="66" t="s">
        <v>104</v>
      </c>
      <c r="G3" s="66"/>
      <c r="H3" s="66"/>
      <c r="I3" s="66"/>
      <c r="J3" s="66"/>
    </row>
    <row r="4" spans="1:10" ht="30" customHeight="1" thickBot="1" x14ac:dyDescent="0.35">
      <c r="B4" s="6"/>
      <c r="C4" s="7"/>
      <c r="D4" s="7"/>
      <c r="E4" s="6"/>
      <c r="F4" s="7"/>
      <c r="G4" s="7"/>
      <c r="H4" s="8"/>
      <c r="I4" s="7"/>
      <c r="J4" s="7"/>
    </row>
    <row r="5" spans="1:10" ht="24.9" customHeight="1" x14ac:dyDescent="0.3">
      <c r="A5" s="11"/>
      <c r="B5" s="62" t="s">
        <v>0</v>
      </c>
      <c r="C5" s="63"/>
      <c r="D5" s="63"/>
      <c r="E5" s="71" t="s">
        <v>1</v>
      </c>
      <c r="F5" s="71"/>
      <c r="G5" s="71"/>
      <c r="H5" s="71"/>
      <c r="I5" s="71" t="s">
        <v>2</v>
      </c>
      <c r="J5" s="72"/>
    </row>
    <row r="6" spans="1:10" ht="24.9" customHeight="1" thickBot="1" x14ac:dyDescent="0.35">
      <c r="A6" s="11"/>
      <c r="B6" s="64"/>
      <c r="C6" s="65"/>
      <c r="D6" s="65"/>
      <c r="E6" s="12" t="s">
        <v>3</v>
      </c>
      <c r="F6" s="12" t="s">
        <v>4</v>
      </c>
      <c r="G6" s="12" t="s">
        <v>23</v>
      </c>
      <c r="H6" s="12" t="s">
        <v>24</v>
      </c>
      <c r="I6" s="73"/>
      <c r="J6" s="74"/>
    </row>
    <row r="7" spans="1:10" ht="24.9" customHeight="1" thickBot="1" x14ac:dyDescent="0.35">
      <c r="A7" s="11"/>
      <c r="B7" s="69" t="s">
        <v>21</v>
      </c>
      <c r="C7" s="70"/>
      <c r="D7" s="70"/>
      <c r="E7" s="30" t="s">
        <v>18</v>
      </c>
      <c r="F7" s="30" t="s">
        <v>19</v>
      </c>
      <c r="G7" s="30" t="s">
        <v>22</v>
      </c>
      <c r="H7" s="30" t="s">
        <v>20</v>
      </c>
      <c r="I7" s="50" t="s">
        <v>25</v>
      </c>
      <c r="J7" s="51"/>
    </row>
    <row r="8" spans="1:10" ht="39.9" customHeight="1" thickBot="1" x14ac:dyDescent="0.35">
      <c r="A8" s="11"/>
      <c r="B8" s="89" t="s">
        <v>195</v>
      </c>
      <c r="C8" s="90"/>
      <c r="D8" s="90"/>
      <c r="E8" s="10">
        <v>5</v>
      </c>
      <c r="F8" s="41">
        <v>3.5</v>
      </c>
      <c r="G8" s="42">
        <f>IFERROR(F8/E8,"")</f>
        <v>0.7</v>
      </c>
      <c r="H8" s="28" t="str">
        <f>_xlfn.IFS(F8="أدخل العلامة","",F8="لا ينطبق","تم الإلغاء",G8&gt;=90%,"ممتاز",G8&gt;=80%,"جيد جداً",G8&gt;=70%,"جيد",G8&gt;=60%,"مقبول",G8&lt;60%,"راسب")</f>
        <v>جيد</v>
      </c>
      <c r="I8" s="48"/>
      <c r="J8" s="49"/>
    </row>
    <row r="9" spans="1:10" ht="39.9" customHeight="1" thickBot="1" x14ac:dyDescent="0.35">
      <c r="A9" s="11"/>
      <c r="B9" s="91" t="s">
        <v>196</v>
      </c>
      <c r="C9" s="92"/>
      <c r="D9" s="92"/>
      <c r="E9" s="10">
        <v>5</v>
      </c>
      <c r="F9" s="41">
        <v>3.5</v>
      </c>
      <c r="G9" s="42">
        <f>IFERROR(F9/E9,"")</f>
        <v>0.7</v>
      </c>
      <c r="H9" s="28" t="str">
        <f>_xlfn.IFS(F9="أدخل العلامة","",F9="لا ينطبق","تم الإلغاء",G9&gt;=90%,"ممتاز",G9&gt;=80%,"جيد جداً",G9&gt;=70%,"جيد",G9&gt;=60%,"مقبول",G9&lt;60%,"راسب")</f>
        <v>جيد</v>
      </c>
      <c r="I9" s="48"/>
      <c r="J9" s="49"/>
    </row>
    <row r="10" spans="1:10" ht="39.9" customHeight="1" thickBot="1" x14ac:dyDescent="0.35">
      <c r="A10" s="11"/>
      <c r="B10" s="91" t="s">
        <v>197</v>
      </c>
      <c r="C10" s="92"/>
      <c r="D10" s="92"/>
      <c r="E10" s="10">
        <v>5</v>
      </c>
      <c r="F10" s="41">
        <v>3.75</v>
      </c>
      <c r="G10" s="42">
        <f t="shared" ref="G10:G32" si="0">IFERROR(F10/E10,"")</f>
        <v>0.75</v>
      </c>
      <c r="H10" s="28" t="str">
        <f t="shared" ref="H10:H32" si="1">_xlfn.IFS(F10="أدخل العلامة","",F10="لا ينطبق","تم الإلغاء",G10&gt;=90%,"ممتاز",G10&gt;=80%,"جيد جداً",G10&gt;=70%,"جيد",G10&gt;=60%,"مقبول",G10&lt;60%,"راسب")</f>
        <v>جيد</v>
      </c>
      <c r="I10" s="48"/>
      <c r="J10" s="49"/>
    </row>
    <row r="11" spans="1:10" ht="39.9" customHeight="1" x14ac:dyDescent="0.3">
      <c r="A11" s="11"/>
      <c r="B11" s="93" t="s">
        <v>198</v>
      </c>
      <c r="C11" s="94"/>
      <c r="D11" s="94"/>
      <c r="E11" s="40"/>
      <c r="F11" s="34"/>
      <c r="G11" s="35"/>
      <c r="H11" s="36"/>
      <c r="I11" s="79"/>
      <c r="J11" s="80"/>
    </row>
    <row r="12" spans="1:10" ht="39.9" customHeight="1" x14ac:dyDescent="0.3">
      <c r="A12" s="11"/>
      <c r="B12" s="83" t="s">
        <v>176</v>
      </c>
      <c r="C12" s="84"/>
      <c r="D12" s="84"/>
      <c r="E12" s="9">
        <v>5</v>
      </c>
      <c r="F12" s="27">
        <v>3.5</v>
      </c>
      <c r="G12" s="32">
        <f t="shared" si="0"/>
        <v>0.7</v>
      </c>
      <c r="H12" s="33" t="str">
        <f t="shared" si="1"/>
        <v>جيد</v>
      </c>
      <c r="I12" s="52"/>
      <c r="J12" s="53"/>
    </row>
    <row r="13" spans="1:10" ht="54.9" customHeight="1" x14ac:dyDescent="0.3">
      <c r="A13" s="11"/>
      <c r="B13" s="83" t="s">
        <v>177</v>
      </c>
      <c r="C13" s="84"/>
      <c r="D13" s="84"/>
      <c r="E13" s="9">
        <v>5</v>
      </c>
      <c r="F13" s="27">
        <v>3.75</v>
      </c>
      <c r="G13" s="32">
        <f t="shared" si="0"/>
        <v>0.75</v>
      </c>
      <c r="H13" s="33" t="str">
        <f t="shared" si="1"/>
        <v>جيد</v>
      </c>
      <c r="I13" s="52"/>
      <c r="J13" s="53"/>
    </row>
    <row r="14" spans="1:10" ht="71.25" customHeight="1" x14ac:dyDescent="0.3">
      <c r="A14" s="11"/>
      <c r="B14" s="83" t="s">
        <v>178</v>
      </c>
      <c r="C14" s="84"/>
      <c r="D14" s="84"/>
      <c r="E14" s="9">
        <v>5</v>
      </c>
      <c r="F14" s="27">
        <v>3.5</v>
      </c>
      <c r="G14" s="32">
        <f t="shared" si="0"/>
        <v>0.7</v>
      </c>
      <c r="H14" s="33" t="str">
        <f t="shared" si="1"/>
        <v>جيد</v>
      </c>
      <c r="I14" s="52"/>
      <c r="J14" s="53"/>
    </row>
    <row r="15" spans="1:10" ht="39.9" customHeight="1" x14ac:dyDescent="0.3">
      <c r="A15" s="11"/>
      <c r="B15" s="83" t="s">
        <v>179</v>
      </c>
      <c r="C15" s="84"/>
      <c r="D15" s="84"/>
      <c r="E15" s="9">
        <v>5</v>
      </c>
      <c r="F15" s="27">
        <v>3.75</v>
      </c>
      <c r="G15" s="32">
        <f t="shared" si="0"/>
        <v>0.75</v>
      </c>
      <c r="H15" s="33" t="str">
        <f t="shared" si="1"/>
        <v>جيد</v>
      </c>
      <c r="I15" s="52"/>
      <c r="J15" s="53"/>
    </row>
    <row r="16" spans="1:10" ht="68.25" customHeight="1" x14ac:dyDescent="0.3">
      <c r="A16" s="11"/>
      <c r="B16" s="83" t="s">
        <v>180</v>
      </c>
      <c r="C16" s="84"/>
      <c r="D16" s="84"/>
      <c r="E16" s="9">
        <v>5</v>
      </c>
      <c r="F16" s="27">
        <v>3.75</v>
      </c>
      <c r="G16" s="32">
        <f t="shared" si="0"/>
        <v>0.75</v>
      </c>
      <c r="H16" s="33" t="str">
        <f t="shared" si="1"/>
        <v>جيد</v>
      </c>
      <c r="I16" s="52"/>
      <c r="J16" s="53"/>
    </row>
    <row r="17" spans="1:10" ht="65.099999999999994" customHeight="1" thickBot="1" x14ac:dyDescent="0.35">
      <c r="A17" s="11"/>
      <c r="B17" s="85" t="s">
        <v>181</v>
      </c>
      <c r="C17" s="86"/>
      <c r="D17" s="86"/>
      <c r="E17" s="37">
        <v>5</v>
      </c>
      <c r="F17" s="29">
        <v>3.75</v>
      </c>
      <c r="G17" s="38">
        <f t="shared" si="0"/>
        <v>0.75</v>
      </c>
      <c r="H17" s="39" t="str">
        <f t="shared" si="1"/>
        <v>جيد</v>
      </c>
      <c r="I17" s="81"/>
      <c r="J17" s="82"/>
    </row>
    <row r="18" spans="1:10" ht="39.9" customHeight="1" x14ac:dyDescent="0.3">
      <c r="A18" s="11"/>
      <c r="B18" s="87" t="s">
        <v>199</v>
      </c>
      <c r="C18" s="88"/>
      <c r="D18" s="88"/>
      <c r="E18" s="40"/>
      <c r="F18" s="34"/>
      <c r="G18" s="35"/>
      <c r="H18" s="36"/>
      <c r="I18" s="79"/>
      <c r="J18" s="80"/>
    </row>
    <row r="19" spans="1:10" ht="39.9" customHeight="1" x14ac:dyDescent="0.3">
      <c r="A19" s="11"/>
      <c r="B19" s="83" t="s">
        <v>182</v>
      </c>
      <c r="C19" s="84"/>
      <c r="D19" s="84"/>
      <c r="E19" s="9">
        <v>5</v>
      </c>
      <c r="F19" s="27">
        <v>3.5</v>
      </c>
      <c r="G19" s="32">
        <f t="shared" si="0"/>
        <v>0.7</v>
      </c>
      <c r="H19" s="33" t="str">
        <f t="shared" si="1"/>
        <v>جيد</v>
      </c>
      <c r="I19" s="52"/>
      <c r="J19" s="53"/>
    </row>
    <row r="20" spans="1:10" ht="39.9" customHeight="1" x14ac:dyDescent="0.3">
      <c r="A20" s="11"/>
      <c r="B20" s="83" t="s">
        <v>183</v>
      </c>
      <c r="C20" s="84"/>
      <c r="D20" s="84"/>
      <c r="E20" s="9">
        <v>5</v>
      </c>
      <c r="F20" s="27">
        <v>3.5</v>
      </c>
      <c r="G20" s="32">
        <f t="shared" si="0"/>
        <v>0.7</v>
      </c>
      <c r="H20" s="33" t="str">
        <f t="shared" si="1"/>
        <v>جيد</v>
      </c>
      <c r="I20" s="52"/>
      <c r="J20" s="53"/>
    </row>
    <row r="21" spans="1:10" ht="39.9" customHeight="1" x14ac:dyDescent="0.3">
      <c r="A21" s="11"/>
      <c r="B21" s="83" t="s">
        <v>184</v>
      </c>
      <c r="C21" s="84"/>
      <c r="D21" s="84"/>
      <c r="E21" s="9">
        <v>5</v>
      </c>
      <c r="F21" s="27">
        <v>3.5</v>
      </c>
      <c r="G21" s="32">
        <f t="shared" si="0"/>
        <v>0.7</v>
      </c>
      <c r="H21" s="33" t="str">
        <f t="shared" si="1"/>
        <v>جيد</v>
      </c>
      <c r="I21" s="52"/>
      <c r="J21" s="53"/>
    </row>
    <row r="22" spans="1:10" ht="39.9" customHeight="1" x14ac:dyDescent="0.3">
      <c r="A22" s="11"/>
      <c r="B22" s="83" t="s">
        <v>185</v>
      </c>
      <c r="C22" s="84"/>
      <c r="D22" s="84"/>
      <c r="E22" s="9">
        <v>5</v>
      </c>
      <c r="F22" s="27">
        <v>3.5</v>
      </c>
      <c r="G22" s="32">
        <f t="shared" si="0"/>
        <v>0.7</v>
      </c>
      <c r="H22" s="33" t="str">
        <f t="shared" si="1"/>
        <v>جيد</v>
      </c>
      <c r="I22" s="52"/>
      <c r="J22" s="53"/>
    </row>
    <row r="23" spans="1:10" ht="39.9" customHeight="1" x14ac:dyDescent="0.3">
      <c r="A23" s="11"/>
      <c r="B23" s="83" t="s">
        <v>186</v>
      </c>
      <c r="C23" s="84"/>
      <c r="D23" s="84"/>
      <c r="E23" s="9">
        <v>5</v>
      </c>
      <c r="F23" s="27">
        <v>3.75</v>
      </c>
      <c r="G23" s="32">
        <f t="shared" si="0"/>
        <v>0.75</v>
      </c>
      <c r="H23" s="33" t="str">
        <f t="shared" si="1"/>
        <v>جيد</v>
      </c>
      <c r="I23" s="52"/>
      <c r="J23" s="53"/>
    </row>
    <row r="24" spans="1:10" ht="39.9" customHeight="1" x14ac:dyDescent="0.3">
      <c r="A24" s="11"/>
      <c r="B24" s="83" t="s">
        <v>187</v>
      </c>
      <c r="C24" s="84"/>
      <c r="D24" s="84"/>
      <c r="E24" s="9">
        <v>5</v>
      </c>
      <c r="F24" s="27">
        <v>3.5</v>
      </c>
      <c r="G24" s="32">
        <f t="shared" si="0"/>
        <v>0.7</v>
      </c>
      <c r="H24" s="33" t="str">
        <f t="shared" si="1"/>
        <v>جيد</v>
      </c>
      <c r="I24" s="52"/>
      <c r="J24" s="53"/>
    </row>
    <row r="25" spans="1:10" ht="39.9" customHeight="1" x14ac:dyDescent="0.3">
      <c r="A25" s="11"/>
      <c r="B25" s="83" t="s">
        <v>188</v>
      </c>
      <c r="C25" s="84"/>
      <c r="D25" s="84"/>
      <c r="E25" s="9">
        <v>5</v>
      </c>
      <c r="F25" s="27">
        <v>3.75</v>
      </c>
      <c r="G25" s="32">
        <f t="shared" si="0"/>
        <v>0.75</v>
      </c>
      <c r="H25" s="33" t="str">
        <f t="shared" si="1"/>
        <v>جيد</v>
      </c>
      <c r="I25" s="52"/>
      <c r="J25" s="53"/>
    </row>
    <row r="26" spans="1:10" ht="39.9" customHeight="1" thickBot="1" x14ac:dyDescent="0.35">
      <c r="A26" s="11"/>
      <c r="B26" s="85" t="s">
        <v>189</v>
      </c>
      <c r="C26" s="86"/>
      <c r="D26" s="86"/>
      <c r="E26" s="37">
        <v>5</v>
      </c>
      <c r="F26" s="29">
        <v>3.75</v>
      </c>
      <c r="G26" s="38">
        <f t="shared" si="0"/>
        <v>0.75</v>
      </c>
      <c r="H26" s="39" t="str">
        <f t="shared" si="1"/>
        <v>جيد</v>
      </c>
      <c r="I26" s="81"/>
      <c r="J26" s="82"/>
    </row>
    <row r="27" spans="1:10" ht="39.9" customHeight="1" x14ac:dyDescent="0.3">
      <c r="A27" s="11"/>
      <c r="B27" s="93" t="s">
        <v>200</v>
      </c>
      <c r="C27" s="94"/>
      <c r="D27" s="94"/>
      <c r="E27" s="40"/>
      <c r="F27" s="34"/>
      <c r="G27" s="35"/>
      <c r="H27" s="36"/>
      <c r="I27" s="79"/>
      <c r="J27" s="80"/>
    </row>
    <row r="28" spans="1:10" ht="39.9" customHeight="1" x14ac:dyDescent="0.3">
      <c r="A28" s="11"/>
      <c r="B28" s="83" t="s">
        <v>190</v>
      </c>
      <c r="C28" s="84"/>
      <c r="D28" s="84"/>
      <c r="E28" s="9">
        <v>5</v>
      </c>
      <c r="F28" s="27">
        <v>3.75</v>
      </c>
      <c r="G28" s="32">
        <f t="shared" si="0"/>
        <v>0.75</v>
      </c>
      <c r="H28" s="33" t="str">
        <f t="shared" si="1"/>
        <v>جيد</v>
      </c>
      <c r="I28" s="52"/>
      <c r="J28" s="53"/>
    </row>
    <row r="29" spans="1:10" ht="39.9" customHeight="1" x14ac:dyDescent="0.3">
      <c r="A29" s="11"/>
      <c r="B29" s="83" t="s">
        <v>191</v>
      </c>
      <c r="C29" s="84"/>
      <c r="D29" s="84"/>
      <c r="E29" s="9">
        <v>5</v>
      </c>
      <c r="F29" s="27">
        <v>3.5</v>
      </c>
      <c r="G29" s="32">
        <f t="shared" si="0"/>
        <v>0.7</v>
      </c>
      <c r="H29" s="33" t="str">
        <f t="shared" si="1"/>
        <v>جيد</v>
      </c>
      <c r="I29" s="52"/>
      <c r="J29" s="53"/>
    </row>
    <row r="30" spans="1:10" ht="39.9" customHeight="1" x14ac:dyDescent="0.3">
      <c r="A30" s="11"/>
      <c r="B30" s="83" t="s">
        <v>192</v>
      </c>
      <c r="C30" s="84"/>
      <c r="D30" s="84"/>
      <c r="E30" s="9">
        <v>5</v>
      </c>
      <c r="F30" s="27">
        <v>3.5</v>
      </c>
      <c r="G30" s="32">
        <f t="shared" si="0"/>
        <v>0.7</v>
      </c>
      <c r="H30" s="33" t="str">
        <f t="shared" si="1"/>
        <v>جيد</v>
      </c>
      <c r="I30" s="52"/>
      <c r="J30" s="53"/>
    </row>
    <row r="31" spans="1:10" ht="39.9" customHeight="1" x14ac:dyDescent="0.3">
      <c r="A31" s="11"/>
      <c r="B31" s="83" t="s">
        <v>193</v>
      </c>
      <c r="C31" s="84"/>
      <c r="D31" s="84"/>
      <c r="E31" s="9">
        <v>5</v>
      </c>
      <c r="F31" s="27">
        <v>3.5</v>
      </c>
      <c r="G31" s="32">
        <f t="shared" si="0"/>
        <v>0.7</v>
      </c>
      <c r="H31" s="33" t="str">
        <f t="shared" si="1"/>
        <v>جيد</v>
      </c>
      <c r="I31" s="52"/>
      <c r="J31" s="53"/>
    </row>
    <row r="32" spans="1:10" ht="39.9" customHeight="1" thickBot="1" x14ac:dyDescent="0.35">
      <c r="A32" s="11"/>
      <c r="B32" s="85" t="s">
        <v>194</v>
      </c>
      <c r="C32" s="86"/>
      <c r="D32" s="86"/>
      <c r="E32" s="37">
        <v>5</v>
      </c>
      <c r="F32" s="29">
        <v>3.5</v>
      </c>
      <c r="G32" s="38">
        <f t="shared" si="0"/>
        <v>0.7</v>
      </c>
      <c r="H32" s="39" t="str">
        <f t="shared" si="1"/>
        <v>جيد</v>
      </c>
      <c r="I32" s="81"/>
      <c r="J32" s="82"/>
    </row>
    <row r="33" spans="1:10" ht="30" customHeight="1" thickBot="1" x14ac:dyDescent="0.35">
      <c r="A33" s="4"/>
      <c r="B33" s="75" t="s">
        <v>5</v>
      </c>
      <c r="C33" s="76"/>
      <c r="D33" s="76"/>
      <c r="E33" s="31">
        <f>SUM(E8:E32)</f>
        <v>110</v>
      </c>
      <c r="F33" s="31">
        <f>SUM(F8:F32)</f>
        <v>79.25</v>
      </c>
      <c r="G33" s="45"/>
      <c r="H33" s="46"/>
      <c r="I33" s="46"/>
      <c r="J33" s="47"/>
    </row>
    <row r="34" spans="1:10" ht="30" customHeight="1" thickBot="1" x14ac:dyDescent="0.35">
      <c r="A34" s="4"/>
      <c r="B34" s="77" t="s">
        <v>54</v>
      </c>
      <c r="C34" s="78"/>
      <c r="D34" s="78"/>
      <c r="E34" s="67">
        <f>F33/E33/100*100</f>
        <v>0.72045454545454546</v>
      </c>
      <c r="F34" s="67"/>
      <c r="G34" s="67"/>
      <c r="H34" s="67"/>
      <c r="I34" s="67"/>
      <c r="J34" s="68"/>
    </row>
    <row r="35" spans="1:10" ht="30" customHeight="1" thickBot="1" x14ac:dyDescent="0.35">
      <c r="A35" s="4"/>
      <c r="B35" s="77" t="s">
        <v>55</v>
      </c>
      <c r="C35" s="78"/>
      <c r="D35" s="78"/>
      <c r="E35" s="58" t="str">
        <f>_xlfn.IFS(E34&gt;=90%,"ممتاز",E34&gt;=80%,"جيد جداً",E34&gt;=70%,"جيد",E34&gt;=60%,"مقبول",E34&lt;60%,"راسب")</f>
        <v>جيد</v>
      </c>
      <c r="F35" s="58"/>
      <c r="G35" s="58"/>
      <c r="H35" s="58"/>
      <c r="I35" s="58"/>
      <c r="J35" s="59"/>
    </row>
    <row r="36" spans="1:10" ht="42" customHeight="1" x14ac:dyDescent="0.3">
      <c r="B36" s="54" t="s">
        <v>175</v>
      </c>
      <c r="C36" s="54"/>
      <c r="D36" s="54"/>
      <c r="E36" s="43" t="s">
        <v>52</v>
      </c>
      <c r="F36" s="43"/>
      <c r="G36" s="56" t="s">
        <v>104</v>
      </c>
      <c r="H36" s="56"/>
      <c r="I36" s="56"/>
      <c r="J36" s="56"/>
    </row>
    <row r="37" spans="1:10" ht="51" customHeight="1" x14ac:dyDescent="0.3">
      <c r="A37" s="5"/>
      <c r="B37" s="55"/>
      <c r="C37" s="55"/>
      <c r="D37" s="55"/>
      <c r="E37" s="44" t="s">
        <v>53</v>
      </c>
      <c r="F37" s="44"/>
      <c r="G37" s="57"/>
      <c r="H37" s="57"/>
      <c r="I37" s="57"/>
      <c r="J37" s="57"/>
    </row>
  </sheetData>
  <sheetProtection sheet="1" formatCells="0" formatColumns="0" formatRows="0" insertColumns="0" insertRows="0" insertHyperlinks="0" deleteColumns="0" deleteRows="0" selectLockedCells="1" sort="0" autoFilter="0" pivotTables="0"/>
  <mergeCells count="71">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E36:F36"/>
    <mergeCell ref="E37:F37"/>
    <mergeCell ref="G33:J33"/>
    <mergeCell ref="I9:J9"/>
    <mergeCell ref="I7:J7"/>
    <mergeCell ref="I10:J10"/>
    <mergeCell ref="I19:J19"/>
    <mergeCell ref="I20:J20"/>
    <mergeCell ref="I21:J21"/>
    <mergeCell ref="I8:J8"/>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2025-10-27T16:34:00Z</dcterms:modified>
</cp:coreProperties>
</file>