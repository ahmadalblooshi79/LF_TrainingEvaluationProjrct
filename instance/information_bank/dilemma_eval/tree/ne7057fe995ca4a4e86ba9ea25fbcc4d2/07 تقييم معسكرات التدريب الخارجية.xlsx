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B48C3EA8-D29D-2848-AEC0-54CFCC97E081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التقييم'!$A$1:$J$55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4" i="2"/>
  <c r="H24" i="2"/>
  <c r="G25" i="2"/>
  <c r="H25" i="2"/>
  <c r="G26" i="2"/>
  <c r="H26" i="2"/>
  <c r="G27" i="2"/>
  <c r="H27" i="2"/>
  <c r="G28" i="2"/>
  <c r="H28" i="2"/>
  <c r="G30" i="2"/>
  <c r="H30" i="2"/>
  <c r="G31" i="2"/>
  <c r="H31" i="2"/>
  <c r="G32" i="2"/>
  <c r="H32" i="2"/>
  <c r="G34" i="2"/>
  <c r="H34" i="2"/>
  <c r="G35" i="2"/>
  <c r="H35" i="2"/>
  <c r="G36" i="2"/>
  <c r="H36" i="2"/>
  <c r="G37" i="2"/>
  <c r="H37" i="2"/>
  <c r="G38" i="2"/>
  <c r="H38" i="2"/>
  <c r="G39" i="2"/>
  <c r="H39" i="2"/>
  <c r="G41" i="2"/>
  <c r="H41" i="2"/>
  <c r="G42" i="2"/>
  <c r="H42" i="2"/>
  <c r="G43" i="2"/>
  <c r="H43" i="2"/>
  <c r="G45" i="2"/>
  <c r="H45" i="2"/>
  <c r="G46" i="2"/>
  <c r="H46" i="2"/>
  <c r="G47" i="2"/>
  <c r="H47" i="2"/>
  <c r="G48" i="2"/>
  <c r="H48" i="2"/>
  <c r="G49" i="2"/>
  <c r="H49" i="2"/>
  <c r="G50" i="2"/>
  <c r="H50" i="2"/>
  <c r="F51" i="2"/>
  <c r="E51" i="2"/>
  <c r="E52" i="2"/>
  <c r="E53" i="2"/>
</calcChain>
</file>

<file path=xl/sharedStrings.xml><?xml version="1.0" encoding="utf-8"?>
<sst xmlns="http://schemas.openxmlformats.org/spreadsheetml/2006/main" count="280" uniqueCount="224">
  <si>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</si>
  <si>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</si>
  <si>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</si>
  <si>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</si>
  <si>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</si>
  <si>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</si>
  <si>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</si>
  <si>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</si>
  <si>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</si>
  <si>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</si>
  <si>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</si>
  <si>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</si>
  <si>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</si>
  <si>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</si>
  <si>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</si>
  <si>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</si>
  <si>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</si>
  <si>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</si>
  <si>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</si>
  <si>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</si>
  <si>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</si>
  <si>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</si>
  <si>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</si>
  <si>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</si>
  <si>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</si>
  <si>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</si>
  <si>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</si>
  <si>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</si>
  <si>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</si>
  <si>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</si>
  <si>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</si>
  <si>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</si>
  <si>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</si>
  <si>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</si>
  <si>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</si>
  <si>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</si>
  <si>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</si>
  <si>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</si>
  <si>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</si>
  <si>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</si>
  <si>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</si>
  <si>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</si>
  <si>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</si>
  <si>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</si>
  <si>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</si>
  <si>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</si>
  <si>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</si>
  <si>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</si>
  <si>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</si>
  <si>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</si>
  <si>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</si>
  <si>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</si>
  <si>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</si>
  <si>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</si>
  <si>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</si>
  <si>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</si>
  <si>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</si>
  <si>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</si>
  <si>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</si>
  <si>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</si>
  <si>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</si>
  <si>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</si>
  <si>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</si>
  <si>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</si>
  <si>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</si>
  <si>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</si>
  <si>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</si>
  <si>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</si>
  <si>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</si>
  <si>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</si>
  <si>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</si>
  <si>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</si>
  <si>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</si>
  <si>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</si>
  <si>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</si>
  <si>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</si>
  <si>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</si>
  <si>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</si>
  <si>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</si>
  <si>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</si>
  <si>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</si>
  <si>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</si>
  <si>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</si>
  <si>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</si>
  <si>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</si>
  <si>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</si>
  <si>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</si>
  <si>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</si>
  <si>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</si>
  <si>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</si>
  <si>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</si>
  <si>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</si>
  <si>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</si>
  <si>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</si>
  <si>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</si>
  <si>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</si>
  <si>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</si>
  <si>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</si>
  <si>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</si>
  <si>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</si>
  <si>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</si>
  <si>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</si>
  <si>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</si>
  <si>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</si>
  <si>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</si>
  <si>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</si>
  <si>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</si>
  <si>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</si>
  <si>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</si>
  <si>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</si>
  <si>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</si>
  <si>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</si>
  <si>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</si>
  <si>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</si>
  <si>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</si>
  <si>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</si>
  <si>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</si>
  <si>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</si>
  <si>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</si>
  <si>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</si>
  <si>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</si>
  <si>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</si>
  <si>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</si>
  <si>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</si>
  <si>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</si>
  <si>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</si>
  <si>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</si>
  <si>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</si>
  <si>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</si>
  <si>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</si>
  <si>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</si>
  <si>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</si>
  <si>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</si>
  <si>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</si>
  <si>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</si>
  <si>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</si>
  <si>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</si>
  <si>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</si>
  <si>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</si>
  <si>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</si>
  <si>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</si>
  <si>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</si>
  <si>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</si>
  <si>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</si>
  <si>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</si>
  <si>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</si>
  <si>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</si>
  <si>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</si>
  <si>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</si>
  <si>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</si>
  <si>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</si>
  <si>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</si>
  <si>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</si>
  <si>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</si>
  <si>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</si>
  <si>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</si>
  <si>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</si>
  <si>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</si>
  <si>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</si>
  <si>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</si>
  <si>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</si>
  <si>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</si>
  <si>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</si>
  <si>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</si>
  <si>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</si>
  <si>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</si>
  <si>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</si>
  <si>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</si>
  <si>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</si>
  <si>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</si>
  <si>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</si>
  <si>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</si>
  <si>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</si>
  <si>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</si>
  <si>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</si>
  <si>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</si>
  <si>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</si>
  <si>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</si>
  <si>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</si>
  <si>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</si>
  <si>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الشؤون الإدارية</t>
    </r>
    <r>
      <rPr>
        <b/>
        <sz val="12"/>
        <color rgb="FF000000"/>
        <rFont val="Arial"/>
        <family val="2"/>
      </rPr>
      <t xml:space="preserve"> (يتم التأكد من التالي) :</t>
    </r>
  </si>
  <si>
    <r>
      <t>1.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المظهر العام للمعسكر من حيث (نصب الخيام، النظافة، مداخل ومخارج الطرق واللوحات الإرشادية للمعسكر).</t>
    </r>
  </si>
  <si>
    <r>
      <t>2.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وصلاحية سور المعسكر.</t>
    </r>
  </si>
  <si>
    <r>
      <t>3.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وصلاحية مخازن الأسلحة والذخيرة والأرزاق.</t>
    </r>
  </si>
  <si>
    <r>
      <t>4.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وصلاحية السكن والنوادي (ضباط، ضباط صف، أفراد) وتجهيزها بالأثاث والمهمات الضرورية.</t>
    </r>
  </si>
  <si>
    <r>
      <t>5.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وصلاحية مكاتب قيادة الوحدة.</t>
    </r>
  </si>
  <si>
    <r>
      <t>6.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وصلاحية مكتب المخابرة.</t>
    </r>
  </si>
  <si>
    <r>
      <t>7.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مواقف للآليات (مقاتلة، إدارية، وقود).</t>
    </r>
  </si>
  <si>
    <r>
      <t>8.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ميدان للوحدة مع سارية العلم (علم الوحدة، علم الوحدة الأم).</t>
    </r>
  </si>
  <si>
    <r>
      <t>9.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بوابة مع حراسة (التقيد بالذخائر المخصصة للحراسة).</t>
    </r>
  </si>
  <si>
    <r>
      <t>10.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وجـود وصلاحية العيادة والإسعاف والأدوية والتأكد من وجود طبيب وممرض / ممرضة.</t>
    </r>
  </si>
  <si>
    <r>
      <t>11.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وجـود وصلاحية ورشـة الإصلاح وتجهيزها بالوسائل اللازمة (فريـق إصـلاح، آليـة إنقـاذ وقطـع غيار).</t>
    </r>
  </si>
  <si>
    <r>
      <t>12.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توفر خيمة للمحاضرات مزودة بمساعدات التدريب.</t>
    </r>
  </si>
  <si>
    <r>
      <t>13.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وجود نظــام للتخلــص مـن النفايــات والمخلـفـات (الطبية والعضوية).</t>
    </r>
  </si>
  <si>
    <r>
      <t>14.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توفر مسجد مجهز للصلاة (الفرش، مصاحف، مكبر صوت، السعة مقارنة بالموجود).</t>
    </r>
  </si>
  <si>
    <t>القوى البشرية والآليـات</t>
  </si>
  <si>
    <r>
      <t>1.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نسبة الاستكمال من القوى البشرية وتشمل (المرتب، الموجود، المدربين، الموجود اليومي).</t>
    </r>
  </si>
  <si>
    <r>
      <t>2.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مدى استكمال التخصصات للمرتب.</t>
    </r>
  </si>
  <si>
    <r>
      <t>3.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مدى استكمال التخصصات الأخرى الملحقة والمعينة (الإسناد الناري والإداري).</t>
    </r>
  </si>
  <si>
    <r>
      <t>4.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نسبـة استكمال الآليات والمعدات الموجودة على المرتب.</t>
    </r>
  </si>
  <si>
    <r>
      <t>5.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الحالة الفنية للآليات (أ، ب).</t>
    </r>
  </si>
  <si>
    <t>الأسلحــة والذخائــر</t>
  </si>
  <si>
    <r>
      <t>1.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ذخيرة العمليات حسب مقياس الذخائر وتعليمات رفع حالات الاستعداد القتالي.</t>
    </r>
  </si>
  <si>
    <r>
      <t>2.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ذخيرة التدريب حسب المقياس.</t>
    </r>
  </si>
  <si>
    <r>
      <t>3.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الحالة الفنية للذخائر.</t>
    </r>
  </si>
  <si>
    <t>مواقف الآليات (أثناء معسكرات التدريب الخارجية / عندما تكون محملة بالذخائر والوقود)</t>
  </si>
  <si>
    <r>
      <t>1.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وصلاحية الإنارة في منطقة مواقف الآليات.</t>
    </r>
  </si>
  <si>
    <r>
      <t>2.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وصلاحية وسيلة الاتصال.</t>
    </r>
  </si>
  <si>
    <r>
      <t>3.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وصلاحية طفايات الحريق ووجود بطاقة الصلاحية عليها بمواقف الآليات.</t>
    </r>
  </si>
  <si>
    <r>
      <t>4.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جميع أفراد الحراسة في مكان مناوبتهم وارتدائهم اللباس المقرر للحراسات ووجود أسلحتهم الشخصية والذخيرة المقررة ومدى إلمامهم باستخدام أسلحتهم الشخصية.</t>
    </r>
  </si>
  <si>
    <r>
      <t>5.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مدى معرفة فرد الحراسة لعدد الآليات المتواجدة بالمواقف وعدم السماح بخروج أي آلية إلا بأوامر من ضابط الخفر شخصياً.</t>
    </r>
  </si>
  <si>
    <r>
      <t>6.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مدى التقيد بالنظافة العامة في مواقف الآليات.</t>
    </r>
  </si>
  <si>
    <t>التدريب</t>
  </si>
  <si>
    <r>
      <t>1.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تعليمات وخطة التدريب.</t>
    </r>
  </si>
  <si>
    <r>
      <t>2.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مدى تطابق خطة وتعليمات التدريب الخارجي مع خطة التدريب / الزمنية الشهرية للمستوى الأعلى.</t>
    </r>
  </si>
  <si>
    <r>
      <t>3.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برامج التدريب ومدى تطابقها مع خطة التدريب الشهرية.</t>
    </r>
  </si>
  <si>
    <t>مساعدات التدريب</t>
  </si>
  <si>
    <r>
      <t>1.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وملائمة مناطق التدريب مع برنامج التدريب.</t>
    </r>
  </si>
  <si>
    <r>
      <t>2.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وصلاحية النماذج والمجسمات.</t>
    </r>
  </si>
  <si>
    <r>
      <t>3.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وصلاحية وسائل الإيضاح.</t>
    </r>
  </si>
  <si>
    <r>
      <t>4.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وثائق وتعليمات التمرين.</t>
    </r>
  </si>
  <si>
    <r>
      <t>5.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التعليمات التنظيمية للمعسكر.</t>
    </r>
  </si>
  <si>
    <r>
      <t>6.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خطة الدفاع والحراسة و خطة الحريق.</t>
    </r>
  </si>
  <si>
    <t>تقييم معسكرات التدريب الخارجية لوحدات المناورة - 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</si>
</sst>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7"/>
      <color rgb="FF000000"/>
      <name val="Times New Roman"/>
      <family val="1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14" fillId="0" borderId="4" xfId="0" applyFont="1" applyBorder="1" applyAlignment="1">
      <alignment vertical="center" wrapText="1"/>
    </xf>
    <xf numFmtId="0" fontId="2" fillId="0" borderId="12" xfId="0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2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7" Type="http://schemas.openxmlformats.org/officeDocument/2006/relationships/customXml" Target="../customXml/item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 /><Relationship Id="rId1" Type="http://schemas.openxmlformats.org/officeDocument/2006/relationships/customXml" Target="../ink/ink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474242</xdr:colOff>
      <xdr:row>53</xdr:row>
      <xdr:rowOff>334996</xdr:rowOff>
    </xdr:from>
    <xdr:to>
      <xdr:col>8</xdr:col>
      <xdr:colOff>417340</xdr:colOff>
      <xdr:row>55</xdr:row>
      <xdr:rowOff>30632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1165D9EA-1A93-3C9D-970E-8F709F431E49}"/>
                </a:ext>
              </a:extLst>
            </xdr14:cNvPr>
            <xdr14:cNvContentPartPr/>
          </xdr14:nvContentPartPr>
          <xdr14:nvPr macro=""/>
          <xdr14:xfrm>
            <a:off x="10436634316" y="22322160"/>
            <a:ext cx="1259280" cy="8802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1165D9EA-1A93-3C9D-970E-8F709F431E4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36625316" y="22313520"/>
              <a:ext cx="1276920" cy="8978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15:57:13.11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3245 1543 624,'0'0'0,"0"-2"904,0 2-904,-5-2 1168,-7 2-48,5 0-127,2-2-281,5 2-712,-2-3 456,2 0 88,-5 1 72,5 0-8,0 2-608,0-1 576,0 1 48,0 0-183,-3 0 143,3 0-584,0 0 456,-2 0-80,2-2 16,-2 2-16,2 0-376,-3 0 544,1 0-40,-3 0-56,0 0-112,5 0-336,-2 3 240,-3 2-112,-10 12-8,11-11-64,4-6-56,-20 23-40,6 0 144,-5-1 1,-3 3 23,22-25-128,-24 24 104,2 0 32,-2 0-56,3-2 0,21-22-80,-24 21 96,4-1-40,1-1 32,2-2 40,17-17-128,-19 14 208,0-9-104,0 12 0,4-14 56,15-3-160,-14 5-16,7 0 72,-10-1 8,12-1-144,5-3 80,-15 4 24,11-1 8,-4-3-24,1 0 64,5 0-96,2 0 24,0 0-120,0 0-80,0-2-64,0 2 264,0-5-216,5-8 56,14-3 56,0-8 120,0-6-56,-19 30 40,24-34-56,0-2-8,3-2 24,-1 2-32,-26 36 72,27-34-48,-3 4 40,-10 4-168,3 7 176,-17 19 0,5-13-56,0 9 56,0 2 96,-1 1 8,-4 1-104,0 0 152,0 0 16,0 0 48,0 0-184,0 0-600,-7 5 1136,-5 10-600,7-1-32,-12 6 8,17-20 56,-19 28-8,0 1-40,-5 3-96,-3-1 120,27-31 24,-24 32-40,-2-3 72,0 0-24,-1-2 32,27-27-40,-22 24 56,1-5-16,4-4-16,3-9 16,14-6-40,-8 15 48,-6-12-80,11 1 144,-1-1-88,4-3-24,-5 0 32,2 0-24,1 0-48,2-2 0,0 2 40,-2-3-128,-1-2-32,3-10 64,0 9-24,0 6 120,0-17-64,5 11 104,-3-13-80,1 12-64,-3 7 104,5-17 8,-3 12-40,-2 0 80,0 3 56,0 2-104,0-2 72,0 2 32,-5 0 8,0 14 0,5-14-112,-14 5 16,0 19 0,-3-5-56,-3 3 16,20-22 24,-19 27 16,-2 0-48,-3 2 64,4-1-32,20-28 0,-17 22 32,3-2 16,7-6 8,-8-11 8,15-3-64,-2 4 56,0-4 80,-1 0-48,3-4-88,0 4 0,0-15-24,0-2-112,3-9 24,11-4 48,-14 30 64,14-38-72,3-8 8,7-5 8,3-7 8,-27 58 48,26-67-16,8-1-56,-3-7 96,3-5 48,-34 80-72,34-82 64,2-7 24,-3 4-56,-1 5-64,-32 80 32,31-75 0,-5 13 32,-6 11 40,-4 14-8,-16 37-64,8-28 8,-4 11 80,-4 12 8,0-2 72,0 7-168,-2-1 296,0 1-72,-6 0-48,-6 13-40,14-13-136,-17 19 32,-2 8 0,-5 11-40,-5 8 8,29-46 0,-31 49-24,-5 6 48,-5 1-16,0 6-16,41-62 8,-43 65 0,-1 1-24,-4 4-56,2 2 72,46-72 8,-50 73-16,-1-1 40,-2 1 32,3-6 8,50-67-64,-43 59 112,-1-4 48,8-11-24,3-5 24,33-39-160,-27 33 136,3-8-32,7-6 24,12-5-32,5-14-96,-14 3 64,14 1 0,0-4-128,0 0-24,0 0 88,0-2-128,0-12 24,7-3 56,-2-7 40,-5 24 8,17-32-24,-3-7 0,3-2-56,5-9 56,-22 50 24,19-51-24,5-2-16,-2-3 0,4 0 0,-26 56 40,29-51-56,-2 1 64,-3 6 64,0 4-64,-24 40-8,19-32-24,0 5-120,-4 6-40,-11 8-48,-4 13 232,17-4-248,-17 1 0,3 3 8,-3 0 32,0 0 208,-3 15-168,-4 6 48,-10 9 48,-5 10-16,22-40 88,-21 49-88,-10 6 56,-3 6 0,-2 4 80,36-65-48,-34 66 40,-2-1 24,0-3 8,2-4 48,34-58-120,-36 53 96,3-6-8,4-9 0,2-9-48,27-29-40,-17 19 80,13-16-8,1 0-24,1-3-40,2 0-8,-3 0-40,3 0-8,0-1-24,0-6 56,0 7 16,5-17 32,0 3-32,0-3 16,9 0-32,-14 17 16,7-15 16,5 1 16,-12 7 0,5-6 48,-5 13-80,0-4 120,0 1 64,-2 1 72,-1 0 24,3 2-280,-4 0 280,-1 0-16,0 4-104,-2-1-64,7-3-96,-17 5 56,10 12-24,-12-12 8,4 11 24,15-16-64,-5 3 48,-12 2 8,10-1 112,2-4 8,5 0-176,-4 0 248,-4-4-64,6-18-48,0-7-64,2 29-72,0-39-24,0-12 48,4-12-48,16-7 32,-20 70-8,16-79 0,1-11 64,7-4-16,0-5-40,-24 99-8,29-97 40,0 5-56,-7 8 16,-3 9 16,-19 75-16,19-66 0,-14 9-16,10 11 40,-15 14-48,0 32 24,2-22 24,-2 8 16,0 11-16,0-3 48,0 6-72,-7 0 32,-8 0-32,3 19-48,-7 8-24,19-27 72,-22 41-72,-11 14 0,-3 10 16,-3 5 32,39-70 24,-41 71 8,-4 4 8,-4 4-16,-3 1-16,52-80 16,-53 79-24,-3-3 16,6-4-16,2-5 48,48-67-24,-44 63 72,3-10-16,10-4 56,0-8-56,31-41-56,-27 32 88,8-4-56,2-8 33,13-6-41,4-14-24,-5 3 56,2 1-136,1-4-137,2 0 25,0 0 192,0 0-304,5-6 216,12-7 72,-1-6 16,-16 19 0,20-24 16,6-7-40,3-4-48,2-3 0,-31 38 72,34-41-72,4 0 0,-4 2 24,2 1 48,-36 38 0,31-34-32,-4 4-16,-3 4 40,-7 7-16,-17 19 24,5-13-40,-1 9 80,-1 1-16,-3 1 64,0 2-88,-5 0 120,-14 0-40,-3 4 8,-2 11-32,24-15-56,-31 19 32,-15 6 104,-9 8-8,-13 6-64,68-39-64,-77 44 80,-4 6-104,-13 4 72,-2 6-104,96-60 56,-104 63 0,-6 4 96,-8-3-24,7 0 120,111-64-192,-113 58 49,10-6 79,6-2 120,11-7-56,86-43-192,-75 34 424,15-5-304,14-12-144,15-12 136,31-5-112,-19 5 0,17-5 0,-1-2-144,8-20-96,-5 22 240,26-34-256,8-12 168,19-17 48,17-16-104,-70 79 144,86-93-8,18-15-104,18-11 64,13-9 128,-135 128-80,152-137-8,6-4 16,8 2 72,8 5-96,-174 134 16,182-132-48,13 3 24,-2 1-40,-1 3 56,-192 125 8,183-112-48,-8 6 104,-4 12 56,-12 12-24,-159 82-88,147-73 104,-15 13-104,-17 9-80,-16 12 16,-99 39 64,79-31-48,-11 11 40,-18 6 32,-9 12-16,-41 2-8,22-1 16,-17 1 40,-1 3 120,-6 14-8,2-17-168,-24 19 208,-10 6-72,-16 9-80,-15 11-32,65-45-24,-77 56 32,-17 12-32,-17 11-24,-14 11-64,125-90 88,-139 101-120,-10 11 104,-12 16 8,-3 11 56,164-139-48,-176 148 48,-6 5-80,-6 3 16,0 2 40,188-158-24,-182 156 72,20-13-8,16-10-24,23-22-16,123-111-24,-103 88-64,26-21 56,33-28-232,25-18-576,19-21 816,2 0-1361,27-2-1063,15-30-2273,25-18-1657,-69 50 6354,0 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55"/>
  <sheetViews>
    <sheetView rightToLeft="1" tabSelected="1" view="pageBreakPreview" topLeftCell="B1" zoomScale="130" zoomScaleNormal="100" zoomScaleSheetLayoutView="130" workbookViewId="0">
      <selection activeCell="F2" sqref="F2:J2"/>
    </sheetView>
  </sheetViews>
  <sheetFormatPr defaultColWidth="9.01171875" defaultRowHeight="15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>
      <c r="B1" s="67" t="s">
        <v>223</v>
      </c>
      <c r="C1" s="67"/>
      <c r="D1" s="67"/>
      <c r="E1" s="67"/>
      <c r="F1" s="67"/>
      <c r="G1" s="67"/>
      <c r="H1" s="67"/>
      <c r="I1" s="67"/>
      <c r="J1" s="67"/>
    </row>
    <row r="2" spans="1:10" ht="30" customHeight="1">
      <c r="B2" s="12" t="s">
        <v>8</v>
      </c>
      <c r="C2" s="73" t="s">
        <v>39</v>
      </c>
      <c r="D2" s="73"/>
      <c r="E2" s="12" t="s">
        <v>7</v>
      </c>
      <c r="F2" s="68">
        <v>45938</v>
      </c>
      <c r="G2" s="68"/>
      <c r="H2" s="68"/>
      <c r="I2" s="68"/>
      <c r="J2" s="68"/>
    </row>
    <row r="3" spans="1:10" ht="30" customHeight="1">
      <c r="B3" s="12" t="s">
        <v>9</v>
      </c>
      <c r="C3" s="73" t="s">
        <v>80</v>
      </c>
      <c r="D3" s="73"/>
      <c r="E3" s="12" t="s">
        <v>6</v>
      </c>
      <c r="F3" s="73" t="s">
        <v>141</v>
      </c>
      <c r="G3" s="73"/>
      <c r="H3" s="73"/>
      <c r="I3" s="73"/>
      <c r="J3" s="73"/>
    </row>
    <row r="4" spans="1:10" ht="30" customHeight="1" thickBot="1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>
      <c r="A5" s="10"/>
      <c r="B5" s="69" t="s">
        <v>0</v>
      </c>
      <c r="C5" s="70"/>
      <c r="D5" s="70"/>
      <c r="E5" s="78" t="s">
        <v>1</v>
      </c>
      <c r="F5" s="78"/>
      <c r="G5" s="78"/>
      <c r="H5" s="78"/>
      <c r="I5" s="78" t="s">
        <v>2</v>
      </c>
      <c r="J5" s="79"/>
    </row>
    <row r="6" spans="1:10" ht="24.95" customHeight="1" thickBot="1">
      <c r="A6" s="10"/>
      <c r="B6" s="71"/>
      <c r="C6" s="72"/>
      <c r="D6" s="72"/>
      <c r="E6" s="11" t="s">
        <v>3</v>
      </c>
      <c r="F6" s="11" t="s">
        <v>4</v>
      </c>
      <c r="G6" s="11" t="s">
        <v>23</v>
      </c>
      <c r="H6" s="11" t="s">
        <v>24</v>
      </c>
      <c r="I6" s="80"/>
      <c r="J6" s="81"/>
    </row>
    <row r="7" spans="1:10" ht="24.95" customHeight="1" thickBot="1">
      <c r="A7" s="10"/>
      <c r="B7" s="76" t="s">
        <v>21</v>
      </c>
      <c r="C7" s="77"/>
      <c r="D7" s="77"/>
      <c r="E7" s="31" t="s">
        <v>18</v>
      </c>
      <c r="F7" s="31" t="s">
        <v>19</v>
      </c>
      <c r="G7" s="31" t="s">
        <v>22</v>
      </c>
      <c r="H7" s="31" t="s">
        <v>20</v>
      </c>
      <c r="I7" s="82" t="s">
        <v>25</v>
      </c>
      <c r="J7" s="83"/>
    </row>
    <row r="8" spans="1:10" ht="30" customHeight="1">
      <c r="A8" s="10"/>
      <c r="B8" s="42" t="s">
        <v>180</v>
      </c>
      <c r="C8" s="43"/>
      <c r="D8" s="43"/>
      <c r="E8" s="28"/>
      <c r="F8" s="35"/>
      <c r="G8" s="36"/>
      <c r="H8" s="37"/>
      <c r="I8" s="48"/>
      <c r="J8" s="49"/>
    </row>
    <row r="9" spans="1:10" ht="39.950000000000003" customHeight="1">
      <c r="A9" s="10"/>
      <c r="B9" s="44" t="s">
        <v>181</v>
      </c>
      <c r="C9" s="45"/>
      <c r="D9" s="45"/>
      <c r="E9" s="9">
        <v>10</v>
      </c>
      <c r="F9" s="26">
        <v>7</v>
      </c>
      <c r="G9" s="33">
        <f>IFERROR(F9/E9,"")</f>
        <v>0.7</v>
      </c>
      <c r="H9" s="34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0"/>
      <c r="J9" s="51"/>
    </row>
    <row r="10" spans="1:10" ht="30" customHeight="1">
      <c r="A10" s="10"/>
      <c r="B10" s="44" t="s">
        <v>182</v>
      </c>
      <c r="C10" s="45"/>
      <c r="D10" s="45"/>
      <c r="E10" s="9">
        <v>5</v>
      </c>
      <c r="F10" s="26">
        <v>3.5</v>
      </c>
      <c r="G10" s="33">
        <f t="shared" ref="G10:G50" si="0">IFERROR(F10/E10,"")</f>
        <v>0.7</v>
      </c>
      <c r="H10" s="34" t="str">
        <f t="shared" ref="H10:H50" si="1">_xlfn.IFS(F10="أدخل العلامة","",F10="لا ينطبق","تم الإلغاء",G10&gt;=90%,"ممتاز",G10&gt;=80%,"جيد جداً",G10&gt;=70%,"جيد",G10&gt;=60%,"مقبول",G10&lt;60%,"راسب")</f>
        <v>جيد</v>
      </c>
      <c r="I10" s="50"/>
      <c r="J10" s="51"/>
    </row>
    <row r="11" spans="1:10" ht="30" customHeight="1">
      <c r="A11" s="10"/>
      <c r="B11" s="44" t="s">
        <v>183</v>
      </c>
      <c r="C11" s="45"/>
      <c r="D11" s="45"/>
      <c r="E11" s="9">
        <v>10</v>
      </c>
      <c r="F11" s="26">
        <v>7</v>
      </c>
      <c r="G11" s="33">
        <f t="shared" si="0"/>
        <v>0.7</v>
      </c>
      <c r="H11" s="34" t="str">
        <f t="shared" si="1"/>
        <v>جيد</v>
      </c>
      <c r="I11" s="50"/>
      <c r="J11" s="51"/>
    </row>
    <row r="12" spans="1:10" ht="39.950000000000003" customHeight="1">
      <c r="A12" s="10"/>
      <c r="B12" s="44" t="s">
        <v>184</v>
      </c>
      <c r="C12" s="45"/>
      <c r="D12" s="45"/>
      <c r="E12" s="9">
        <v>8</v>
      </c>
      <c r="F12" s="26">
        <v>6</v>
      </c>
      <c r="G12" s="33">
        <f t="shared" si="0"/>
        <v>0.75</v>
      </c>
      <c r="H12" s="34" t="str">
        <f t="shared" si="1"/>
        <v>جيد</v>
      </c>
      <c r="I12" s="50"/>
      <c r="J12" s="51"/>
    </row>
    <row r="13" spans="1:10" ht="30" customHeight="1">
      <c r="A13" s="10"/>
      <c r="B13" s="44" t="s">
        <v>185</v>
      </c>
      <c r="C13" s="45"/>
      <c r="D13" s="45"/>
      <c r="E13" s="9">
        <v>5</v>
      </c>
      <c r="F13" s="26">
        <v>3.75</v>
      </c>
      <c r="G13" s="33">
        <f t="shared" si="0"/>
        <v>0.75</v>
      </c>
      <c r="H13" s="34" t="str">
        <f t="shared" si="1"/>
        <v>جيد</v>
      </c>
      <c r="I13" s="50"/>
      <c r="J13" s="51"/>
    </row>
    <row r="14" spans="1:10" ht="30" customHeight="1">
      <c r="A14" s="10"/>
      <c r="B14" s="44" t="s">
        <v>186</v>
      </c>
      <c r="C14" s="45"/>
      <c r="D14" s="45"/>
      <c r="E14" s="9">
        <v>6</v>
      </c>
      <c r="F14" s="26">
        <v>4.75</v>
      </c>
      <c r="G14" s="33">
        <f t="shared" si="0"/>
        <v>0.79166666666666663</v>
      </c>
      <c r="H14" s="34" t="str">
        <f t="shared" si="1"/>
        <v>جيد</v>
      </c>
      <c r="I14" s="50"/>
      <c r="J14" s="51"/>
    </row>
    <row r="15" spans="1:10" ht="30" customHeight="1">
      <c r="A15" s="10"/>
      <c r="B15" s="44" t="s">
        <v>187</v>
      </c>
      <c r="C15" s="45"/>
      <c r="D15" s="45"/>
      <c r="E15" s="9">
        <v>5</v>
      </c>
      <c r="F15" s="26">
        <v>3.25</v>
      </c>
      <c r="G15" s="33">
        <f t="shared" si="0"/>
        <v>0.65</v>
      </c>
      <c r="H15" s="34" t="str">
        <f t="shared" si="1"/>
        <v>مقبول</v>
      </c>
      <c r="I15" s="50"/>
      <c r="J15" s="51"/>
    </row>
    <row r="16" spans="1:10" ht="30" customHeight="1">
      <c r="A16" s="10"/>
      <c r="B16" s="44" t="s">
        <v>188</v>
      </c>
      <c r="C16" s="45"/>
      <c r="D16" s="45"/>
      <c r="E16" s="9">
        <v>5</v>
      </c>
      <c r="F16" s="26">
        <v>3.5</v>
      </c>
      <c r="G16" s="33">
        <f t="shared" si="0"/>
        <v>0.7</v>
      </c>
      <c r="H16" s="34" t="str">
        <f t="shared" si="1"/>
        <v>جيد</v>
      </c>
      <c r="I16" s="50"/>
      <c r="J16" s="51"/>
    </row>
    <row r="17" spans="1:10" ht="30" customHeight="1">
      <c r="A17" s="10"/>
      <c r="B17" s="44" t="s">
        <v>189</v>
      </c>
      <c r="C17" s="45"/>
      <c r="D17" s="45"/>
      <c r="E17" s="9">
        <v>6</v>
      </c>
      <c r="F17" s="26">
        <v>4.25</v>
      </c>
      <c r="G17" s="33">
        <f t="shared" si="0"/>
        <v>0.70833333333333337</v>
      </c>
      <c r="H17" s="34" t="str">
        <f t="shared" si="1"/>
        <v>جيد</v>
      </c>
      <c r="I17" s="50"/>
      <c r="J17" s="51"/>
    </row>
    <row r="18" spans="1:10" ht="39.950000000000003" customHeight="1">
      <c r="A18" s="10"/>
      <c r="B18" s="44" t="s">
        <v>190</v>
      </c>
      <c r="C18" s="45"/>
      <c r="D18" s="45"/>
      <c r="E18" s="9">
        <v>8</v>
      </c>
      <c r="F18" s="26">
        <v>6</v>
      </c>
      <c r="G18" s="33">
        <f t="shared" si="0"/>
        <v>0.75</v>
      </c>
      <c r="H18" s="34" t="str">
        <f t="shared" si="1"/>
        <v>جيد</v>
      </c>
      <c r="I18" s="50"/>
      <c r="J18" s="51"/>
    </row>
    <row r="19" spans="1:10" ht="39.950000000000003" customHeight="1">
      <c r="A19" s="10"/>
      <c r="B19" s="44" t="s">
        <v>191</v>
      </c>
      <c r="C19" s="45"/>
      <c r="D19" s="45"/>
      <c r="E19" s="9">
        <v>8</v>
      </c>
      <c r="F19" s="26">
        <v>6.25</v>
      </c>
      <c r="G19" s="33">
        <f t="shared" si="0"/>
        <v>0.78125</v>
      </c>
      <c r="H19" s="34" t="str">
        <f t="shared" si="1"/>
        <v>جيد</v>
      </c>
      <c r="I19" s="50"/>
      <c r="J19" s="51"/>
    </row>
    <row r="20" spans="1:10" ht="30" customHeight="1">
      <c r="A20" s="10"/>
      <c r="B20" s="44" t="s">
        <v>192</v>
      </c>
      <c r="C20" s="45"/>
      <c r="D20" s="45"/>
      <c r="E20" s="9">
        <v>5</v>
      </c>
      <c r="F20" s="26">
        <v>3.75</v>
      </c>
      <c r="G20" s="33">
        <f t="shared" si="0"/>
        <v>0.75</v>
      </c>
      <c r="H20" s="34" t="str">
        <f t="shared" si="1"/>
        <v>جيد</v>
      </c>
      <c r="I20" s="50"/>
      <c r="J20" s="51"/>
    </row>
    <row r="21" spans="1:10" ht="30" customHeight="1">
      <c r="A21" s="10"/>
      <c r="B21" s="44" t="s">
        <v>193</v>
      </c>
      <c r="C21" s="45"/>
      <c r="D21" s="45"/>
      <c r="E21" s="9">
        <v>5</v>
      </c>
      <c r="F21" s="26">
        <v>3.5</v>
      </c>
      <c r="G21" s="33">
        <f t="shared" si="0"/>
        <v>0.7</v>
      </c>
      <c r="H21" s="34" t="str">
        <f t="shared" si="1"/>
        <v>جيد</v>
      </c>
      <c r="I21" s="50"/>
      <c r="J21" s="51"/>
    </row>
    <row r="22" spans="1:10" ht="39.950000000000003" customHeight="1" thickBot="1">
      <c r="A22" s="10"/>
      <c r="B22" s="40" t="s">
        <v>194</v>
      </c>
      <c r="C22" s="41"/>
      <c r="D22" s="41"/>
      <c r="E22" s="29">
        <v>5</v>
      </c>
      <c r="F22" s="27">
        <v>3.5</v>
      </c>
      <c r="G22" s="38">
        <f t="shared" si="0"/>
        <v>0.7</v>
      </c>
      <c r="H22" s="39" t="str">
        <f t="shared" si="1"/>
        <v>جيد</v>
      </c>
      <c r="I22" s="46"/>
      <c r="J22" s="47"/>
    </row>
    <row r="23" spans="1:10" ht="30" customHeight="1">
      <c r="A23" s="10"/>
      <c r="B23" s="42" t="s">
        <v>195</v>
      </c>
      <c r="C23" s="43"/>
      <c r="D23" s="43"/>
      <c r="E23" s="28"/>
      <c r="F23" s="35"/>
      <c r="G23" s="36"/>
      <c r="H23" s="37"/>
      <c r="I23" s="48"/>
      <c r="J23" s="49"/>
    </row>
    <row r="24" spans="1:10" ht="39.950000000000003" customHeight="1">
      <c r="A24" s="10"/>
      <c r="B24" s="44" t="s">
        <v>196</v>
      </c>
      <c r="C24" s="45"/>
      <c r="D24" s="45"/>
      <c r="E24" s="9">
        <v>8</v>
      </c>
      <c r="F24" s="26">
        <v>6.25</v>
      </c>
      <c r="G24" s="33">
        <f t="shared" si="0"/>
        <v>0.78125</v>
      </c>
      <c r="H24" s="34" t="str">
        <f t="shared" si="1"/>
        <v>جيد</v>
      </c>
      <c r="I24" s="50"/>
      <c r="J24" s="51"/>
    </row>
    <row r="25" spans="1:10" ht="30" customHeight="1">
      <c r="A25" s="10"/>
      <c r="B25" s="44" t="s">
        <v>197</v>
      </c>
      <c r="C25" s="45"/>
      <c r="D25" s="45"/>
      <c r="E25" s="9">
        <v>7</v>
      </c>
      <c r="F25" s="26">
        <v>5.5</v>
      </c>
      <c r="G25" s="33">
        <f t="shared" si="0"/>
        <v>0.7857142857142857</v>
      </c>
      <c r="H25" s="34" t="str">
        <f t="shared" si="1"/>
        <v>جيد</v>
      </c>
      <c r="I25" s="50"/>
      <c r="J25" s="51"/>
    </row>
    <row r="26" spans="1:10" ht="39.950000000000003" customHeight="1">
      <c r="A26" s="10"/>
      <c r="B26" s="44" t="s">
        <v>198</v>
      </c>
      <c r="C26" s="45"/>
      <c r="D26" s="45"/>
      <c r="E26" s="9">
        <v>8</v>
      </c>
      <c r="F26" s="26">
        <v>6</v>
      </c>
      <c r="G26" s="33">
        <f t="shared" si="0"/>
        <v>0.75</v>
      </c>
      <c r="H26" s="34" t="str">
        <f t="shared" si="1"/>
        <v>جيد</v>
      </c>
      <c r="I26" s="50"/>
      <c r="J26" s="51"/>
    </row>
    <row r="27" spans="1:10" ht="30" customHeight="1">
      <c r="A27" s="10"/>
      <c r="B27" s="44" t="s">
        <v>199</v>
      </c>
      <c r="C27" s="45"/>
      <c r="D27" s="45"/>
      <c r="E27" s="9">
        <v>8</v>
      </c>
      <c r="F27" s="26">
        <v>5.75</v>
      </c>
      <c r="G27" s="33">
        <f t="shared" si="0"/>
        <v>0.71875</v>
      </c>
      <c r="H27" s="34" t="str">
        <f t="shared" si="1"/>
        <v>جيد</v>
      </c>
      <c r="I27" s="50"/>
      <c r="J27" s="51"/>
    </row>
    <row r="28" spans="1:10" ht="30" customHeight="1" thickBot="1">
      <c r="A28" s="10"/>
      <c r="B28" s="40" t="s">
        <v>200</v>
      </c>
      <c r="C28" s="41"/>
      <c r="D28" s="41"/>
      <c r="E28" s="29">
        <v>8</v>
      </c>
      <c r="F28" s="27">
        <v>6</v>
      </c>
      <c r="G28" s="38">
        <f t="shared" si="0"/>
        <v>0.75</v>
      </c>
      <c r="H28" s="39" t="str">
        <f t="shared" si="1"/>
        <v>جيد</v>
      </c>
      <c r="I28" s="46"/>
      <c r="J28" s="47"/>
    </row>
    <row r="29" spans="1:10" ht="30" customHeight="1">
      <c r="A29" s="10"/>
      <c r="B29" s="42" t="s">
        <v>201</v>
      </c>
      <c r="C29" s="43"/>
      <c r="D29" s="43"/>
      <c r="E29" s="28"/>
      <c r="F29" s="35"/>
      <c r="G29" s="36"/>
      <c r="H29" s="37"/>
      <c r="I29" s="48"/>
      <c r="J29" s="49"/>
    </row>
    <row r="30" spans="1:10" ht="39.950000000000003" customHeight="1">
      <c r="A30" s="10"/>
      <c r="B30" s="44" t="s">
        <v>202</v>
      </c>
      <c r="C30" s="45"/>
      <c r="D30" s="45"/>
      <c r="E30" s="9">
        <v>10</v>
      </c>
      <c r="F30" s="26">
        <v>7.75</v>
      </c>
      <c r="G30" s="33">
        <f t="shared" si="0"/>
        <v>0.77500000000000002</v>
      </c>
      <c r="H30" s="34" t="str">
        <f t="shared" si="1"/>
        <v>جيد</v>
      </c>
      <c r="I30" s="50"/>
      <c r="J30" s="51"/>
    </row>
    <row r="31" spans="1:10" ht="30" customHeight="1">
      <c r="A31" s="10"/>
      <c r="B31" s="44" t="s">
        <v>203</v>
      </c>
      <c r="C31" s="45"/>
      <c r="D31" s="45"/>
      <c r="E31" s="9">
        <v>10</v>
      </c>
      <c r="F31" s="26">
        <v>7.25</v>
      </c>
      <c r="G31" s="33">
        <f t="shared" si="0"/>
        <v>0.72499999999999998</v>
      </c>
      <c r="H31" s="34" t="str">
        <f t="shared" si="1"/>
        <v>جيد</v>
      </c>
      <c r="I31" s="50"/>
      <c r="J31" s="51"/>
    </row>
    <row r="32" spans="1:10" ht="30" customHeight="1" thickBot="1">
      <c r="A32" s="10"/>
      <c r="B32" s="40" t="s">
        <v>204</v>
      </c>
      <c r="C32" s="41"/>
      <c r="D32" s="41"/>
      <c r="E32" s="29">
        <v>10</v>
      </c>
      <c r="F32" s="27">
        <v>7.75</v>
      </c>
      <c r="G32" s="38">
        <f t="shared" si="0"/>
        <v>0.77500000000000002</v>
      </c>
      <c r="H32" s="39" t="str">
        <f t="shared" si="1"/>
        <v>جيد</v>
      </c>
      <c r="I32" s="46"/>
      <c r="J32" s="47"/>
    </row>
    <row r="33" spans="1:10" ht="39.950000000000003" customHeight="1">
      <c r="A33" s="10"/>
      <c r="B33" s="42" t="s">
        <v>205</v>
      </c>
      <c r="C33" s="43"/>
      <c r="D33" s="43"/>
      <c r="E33" s="28"/>
      <c r="F33" s="35"/>
      <c r="G33" s="36"/>
      <c r="H33" s="37"/>
      <c r="I33" s="48"/>
      <c r="J33" s="49"/>
    </row>
    <row r="34" spans="1:10" ht="30" customHeight="1">
      <c r="A34" s="10"/>
      <c r="B34" s="44" t="s">
        <v>206</v>
      </c>
      <c r="C34" s="45"/>
      <c r="D34" s="45"/>
      <c r="E34" s="9">
        <v>5</v>
      </c>
      <c r="F34" s="26">
        <v>3.75</v>
      </c>
      <c r="G34" s="33">
        <f t="shared" si="0"/>
        <v>0.75</v>
      </c>
      <c r="H34" s="34" t="str">
        <f t="shared" si="1"/>
        <v>جيد</v>
      </c>
      <c r="I34" s="50"/>
      <c r="J34" s="51"/>
    </row>
    <row r="35" spans="1:10" ht="30" customHeight="1">
      <c r="A35" s="10"/>
      <c r="B35" s="44" t="s">
        <v>207</v>
      </c>
      <c r="C35" s="45"/>
      <c r="D35" s="45"/>
      <c r="E35" s="9">
        <v>5</v>
      </c>
      <c r="F35" s="26">
        <v>3.75</v>
      </c>
      <c r="G35" s="33">
        <f t="shared" si="0"/>
        <v>0.75</v>
      </c>
      <c r="H35" s="34" t="str">
        <f t="shared" si="1"/>
        <v>جيد</v>
      </c>
      <c r="I35" s="50"/>
      <c r="J35" s="51"/>
    </row>
    <row r="36" spans="1:10" ht="39.950000000000003" customHeight="1">
      <c r="A36" s="10"/>
      <c r="B36" s="44" t="s">
        <v>208</v>
      </c>
      <c r="C36" s="45"/>
      <c r="D36" s="45"/>
      <c r="E36" s="9">
        <v>5</v>
      </c>
      <c r="F36" s="26">
        <v>3.5</v>
      </c>
      <c r="G36" s="33">
        <f t="shared" si="0"/>
        <v>0.7</v>
      </c>
      <c r="H36" s="34" t="str">
        <f t="shared" si="1"/>
        <v>جيد</v>
      </c>
      <c r="I36" s="50"/>
      <c r="J36" s="51"/>
    </row>
    <row r="37" spans="1:10" ht="52.5" customHeight="1">
      <c r="A37" s="10"/>
      <c r="B37" s="44" t="s">
        <v>209</v>
      </c>
      <c r="C37" s="45"/>
      <c r="D37" s="45"/>
      <c r="E37" s="9">
        <v>5</v>
      </c>
      <c r="F37" s="26">
        <v>3.75</v>
      </c>
      <c r="G37" s="33">
        <f t="shared" si="0"/>
        <v>0.75</v>
      </c>
      <c r="H37" s="34" t="str">
        <f t="shared" si="1"/>
        <v>جيد</v>
      </c>
      <c r="I37" s="50"/>
      <c r="J37" s="51"/>
    </row>
    <row r="38" spans="1:10" ht="39.950000000000003" customHeight="1">
      <c r="A38" s="10"/>
      <c r="B38" s="44" t="s">
        <v>210</v>
      </c>
      <c r="C38" s="45"/>
      <c r="D38" s="45"/>
      <c r="E38" s="9">
        <v>5</v>
      </c>
      <c r="F38" s="26">
        <v>3.5</v>
      </c>
      <c r="G38" s="33">
        <f t="shared" si="0"/>
        <v>0.7</v>
      </c>
      <c r="H38" s="34" t="str">
        <f t="shared" si="1"/>
        <v>جيد</v>
      </c>
      <c r="I38" s="50"/>
      <c r="J38" s="51"/>
    </row>
    <row r="39" spans="1:10" ht="30" customHeight="1" thickBot="1">
      <c r="A39" s="10"/>
      <c r="B39" s="40" t="s">
        <v>211</v>
      </c>
      <c r="C39" s="41"/>
      <c r="D39" s="41"/>
      <c r="E39" s="29">
        <v>5</v>
      </c>
      <c r="F39" s="27">
        <v>3</v>
      </c>
      <c r="G39" s="38">
        <f t="shared" si="0"/>
        <v>0.6</v>
      </c>
      <c r="H39" s="39" t="str">
        <f t="shared" si="1"/>
        <v>مقبول</v>
      </c>
      <c r="I39" s="46"/>
      <c r="J39" s="47"/>
    </row>
    <row r="40" spans="1:10" ht="30" customHeight="1">
      <c r="A40" s="10"/>
      <c r="B40" s="42" t="s">
        <v>212</v>
      </c>
      <c r="C40" s="43"/>
      <c r="D40" s="43"/>
      <c r="E40" s="28"/>
      <c r="F40" s="35"/>
      <c r="G40" s="36"/>
      <c r="H40" s="37"/>
      <c r="I40" s="48"/>
      <c r="J40" s="49"/>
    </row>
    <row r="41" spans="1:10" ht="30" customHeight="1">
      <c r="A41" s="10"/>
      <c r="B41" s="44" t="s">
        <v>213</v>
      </c>
      <c r="C41" s="45"/>
      <c r="D41" s="45"/>
      <c r="E41" s="9">
        <v>5</v>
      </c>
      <c r="F41" s="26">
        <v>3.75</v>
      </c>
      <c r="G41" s="33">
        <f t="shared" si="0"/>
        <v>0.75</v>
      </c>
      <c r="H41" s="34" t="str">
        <f t="shared" si="1"/>
        <v>جيد</v>
      </c>
      <c r="I41" s="50"/>
      <c r="J41" s="51"/>
    </row>
    <row r="42" spans="1:10" ht="39.950000000000003" customHeight="1">
      <c r="A42" s="10"/>
      <c r="B42" s="44" t="s">
        <v>214</v>
      </c>
      <c r="C42" s="45"/>
      <c r="D42" s="45"/>
      <c r="E42" s="9">
        <v>5</v>
      </c>
      <c r="F42" s="26">
        <v>3.5</v>
      </c>
      <c r="G42" s="33">
        <f t="shared" si="0"/>
        <v>0.7</v>
      </c>
      <c r="H42" s="34" t="str">
        <f t="shared" si="1"/>
        <v>جيد</v>
      </c>
      <c r="I42" s="50"/>
      <c r="J42" s="51"/>
    </row>
    <row r="43" spans="1:10" ht="30" customHeight="1" thickBot="1">
      <c r="A43" s="10"/>
      <c r="B43" s="40" t="s">
        <v>215</v>
      </c>
      <c r="C43" s="41"/>
      <c r="D43" s="41"/>
      <c r="E43" s="29">
        <v>5</v>
      </c>
      <c r="F43" s="27">
        <v>3.75</v>
      </c>
      <c r="G43" s="38">
        <f t="shared" si="0"/>
        <v>0.75</v>
      </c>
      <c r="H43" s="39" t="str">
        <f t="shared" si="1"/>
        <v>جيد</v>
      </c>
      <c r="I43" s="46"/>
      <c r="J43" s="47"/>
    </row>
    <row r="44" spans="1:10" ht="30" customHeight="1">
      <c r="A44" s="10"/>
      <c r="B44" s="42" t="s">
        <v>216</v>
      </c>
      <c r="C44" s="43"/>
      <c r="D44" s="43"/>
      <c r="E44" s="30"/>
      <c r="F44" s="35"/>
      <c r="G44" s="36"/>
      <c r="H44" s="37"/>
      <c r="I44" s="48"/>
      <c r="J44" s="49"/>
    </row>
    <row r="45" spans="1:10" ht="30" customHeight="1">
      <c r="A45" s="10"/>
      <c r="B45" s="44" t="s">
        <v>217</v>
      </c>
      <c r="C45" s="45"/>
      <c r="D45" s="45"/>
      <c r="E45" s="9">
        <v>5</v>
      </c>
      <c r="F45" s="26">
        <v>3.75</v>
      </c>
      <c r="G45" s="33">
        <f t="shared" si="0"/>
        <v>0.75</v>
      </c>
      <c r="H45" s="34" t="str">
        <f t="shared" si="1"/>
        <v>جيد</v>
      </c>
      <c r="I45" s="50"/>
      <c r="J45" s="51"/>
    </row>
    <row r="46" spans="1:10" ht="30" customHeight="1">
      <c r="A46" s="10"/>
      <c r="B46" s="44" t="s">
        <v>218</v>
      </c>
      <c r="C46" s="45"/>
      <c r="D46" s="45"/>
      <c r="E46" s="9">
        <v>5</v>
      </c>
      <c r="F46" s="26">
        <v>3.75</v>
      </c>
      <c r="G46" s="33">
        <f t="shared" si="0"/>
        <v>0.75</v>
      </c>
      <c r="H46" s="34" t="str">
        <f t="shared" si="1"/>
        <v>جيد</v>
      </c>
      <c r="I46" s="50"/>
      <c r="J46" s="51"/>
    </row>
    <row r="47" spans="1:10" ht="30" customHeight="1">
      <c r="A47" s="10"/>
      <c r="B47" s="44" t="s">
        <v>219</v>
      </c>
      <c r="C47" s="45"/>
      <c r="D47" s="45"/>
      <c r="E47" s="9">
        <v>5</v>
      </c>
      <c r="F47" s="26">
        <v>3.75</v>
      </c>
      <c r="G47" s="33">
        <f t="shared" si="0"/>
        <v>0.75</v>
      </c>
      <c r="H47" s="34" t="str">
        <f t="shared" si="1"/>
        <v>جيد</v>
      </c>
      <c r="I47" s="50"/>
      <c r="J47" s="51"/>
    </row>
    <row r="48" spans="1:10" ht="30" customHeight="1">
      <c r="A48" s="10"/>
      <c r="B48" s="44" t="s">
        <v>220</v>
      </c>
      <c r="C48" s="45"/>
      <c r="D48" s="45"/>
      <c r="E48" s="9">
        <v>5</v>
      </c>
      <c r="F48" s="26">
        <v>3.5</v>
      </c>
      <c r="G48" s="33">
        <f t="shared" si="0"/>
        <v>0.7</v>
      </c>
      <c r="H48" s="34" t="str">
        <f t="shared" si="1"/>
        <v>جيد</v>
      </c>
      <c r="I48" s="50"/>
      <c r="J48" s="51"/>
    </row>
    <row r="49" spans="1:10" ht="30" customHeight="1">
      <c r="A49" s="10"/>
      <c r="B49" s="44" t="s">
        <v>221</v>
      </c>
      <c r="C49" s="45"/>
      <c r="D49" s="45"/>
      <c r="E49" s="9">
        <v>5</v>
      </c>
      <c r="F49" s="26">
        <v>3.5</v>
      </c>
      <c r="G49" s="33">
        <f t="shared" si="0"/>
        <v>0.7</v>
      </c>
      <c r="H49" s="34" t="str">
        <f t="shared" si="1"/>
        <v>جيد</v>
      </c>
      <c r="I49" s="50"/>
      <c r="J49" s="51"/>
    </row>
    <row r="50" spans="1:10" ht="30" customHeight="1" thickBot="1">
      <c r="A50" s="10"/>
      <c r="B50" s="40" t="s">
        <v>222</v>
      </c>
      <c r="C50" s="41"/>
      <c r="D50" s="41"/>
      <c r="E50" s="29">
        <v>10</v>
      </c>
      <c r="F50" s="27">
        <v>7.5</v>
      </c>
      <c r="G50" s="38">
        <f t="shared" si="0"/>
        <v>0.75</v>
      </c>
      <c r="H50" s="39" t="str">
        <f t="shared" si="1"/>
        <v>جيد</v>
      </c>
      <c r="I50" s="46"/>
      <c r="J50" s="47"/>
    </row>
    <row r="51" spans="1:10" ht="30" customHeight="1" thickBot="1">
      <c r="A51" s="4"/>
      <c r="B51" s="52" t="s">
        <v>5</v>
      </c>
      <c r="C51" s="53"/>
      <c r="D51" s="53"/>
      <c r="E51" s="32">
        <f>SUM(E8:E50)</f>
        <v>240</v>
      </c>
      <c r="F51" s="32">
        <f>SUM(F8:F50)</f>
        <v>176.25</v>
      </c>
      <c r="G51" s="64"/>
      <c r="H51" s="65"/>
      <c r="I51" s="65"/>
      <c r="J51" s="66"/>
    </row>
    <row r="52" spans="1:10" ht="30" customHeight="1" thickBot="1">
      <c r="A52" s="4"/>
      <c r="B52" s="54" t="s">
        <v>54</v>
      </c>
      <c r="C52" s="55"/>
      <c r="D52" s="55"/>
      <c r="E52" s="74">
        <f>F51/E51/100*100</f>
        <v>0.734375</v>
      </c>
      <c r="F52" s="74"/>
      <c r="G52" s="74"/>
      <c r="H52" s="74"/>
      <c r="I52" s="74"/>
      <c r="J52" s="75"/>
    </row>
    <row r="53" spans="1:10" ht="30" customHeight="1" thickBot="1">
      <c r="A53" s="4"/>
      <c r="B53" s="54" t="s">
        <v>55</v>
      </c>
      <c r="C53" s="55"/>
      <c r="D53" s="55"/>
      <c r="E53" s="60" t="str">
        <f>_xlfn.IFS(E52&gt;=90%,"ممتاز",E52&gt;=80%,"جيد جداً",E52&gt;=70%,"جيد",E52&gt;=60%,"مقبول",E52&lt;60%,"راسب")</f>
        <v>جيد</v>
      </c>
      <c r="F53" s="60"/>
      <c r="G53" s="60"/>
      <c r="H53" s="60"/>
      <c r="I53" s="60"/>
      <c r="J53" s="61"/>
    </row>
    <row r="54" spans="1:10" ht="42" customHeight="1">
      <c r="B54" s="56" t="s">
        <v>174</v>
      </c>
      <c r="C54" s="56"/>
      <c r="D54" s="56"/>
      <c r="E54" s="62" t="s">
        <v>52</v>
      </c>
      <c r="F54" s="62"/>
      <c r="G54" s="58" t="s">
        <v>141</v>
      </c>
      <c r="H54" s="58"/>
      <c r="I54" s="58"/>
      <c r="J54" s="58"/>
    </row>
    <row r="55" spans="1:10" ht="51" customHeight="1">
      <c r="A55" s="5"/>
      <c r="B55" s="57"/>
      <c r="C55" s="57"/>
      <c r="D55" s="57"/>
      <c r="E55" s="63" t="s">
        <v>53</v>
      </c>
      <c r="F55" s="63"/>
      <c r="G55" s="59"/>
      <c r="H55" s="59"/>
      <c r="I55" s="59"/>
      <c r="J55" s="59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07">
    <mergeCell ref="B1:J1"/>
    <mergeCell ref="F2:J2"/>
    <mergeCell ref="B5:D6"/>
    <mergeCell ref="C2:D2"/>
    <mergeCell ref="C3:D3"/>
    <mergeCell ref="F3:J3"/>
    <mergeCell ref="E52:J52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  <mergeCell ref="B54:D55"/>
    <mergeCell ref="G54:J54"/>
    <mergeCell ref="G55:J55"/>
    <mergeCell ref="E53:J53"/>
    <mergeCell ref="I40:J40"/>
    <mergeCell ref="I41:J41"/>
    <mergeCell ref="I42:J42"/>
    <mergeCell ref="I43:J43"/>
    <mergeCell ref="I44:J44"/>
    <mergeCell ref="I49:J49"/>
    <mergeCell ref="I50:J50"/>
    <mergeCell ref="I45:J45"/>
    <mergeCell ref="I46:J46"/>
    <mergeCell ref="I47:J47"/>
    <mergeCell ref="I48:J48"/>
    <mergeCell ref="E54:F54"/>
    <mergeCell ref="E55:F55"/>
    <mergeCell ref="G51:J51"/>
    <mergeCell ref="B46:D46"/>
    <mergeCell ref="B47:D47"/>
    <mergeCell ref="B48:D48"/>
    <mergeCell ref="B49:D49"/>
    <mergeCell ref="B50:D50"/>
    <mergeCell ref="I32:J32"/>
    <mergeCell ref="I33:J33"/>
    <mergeCell ref="I34:J34"/>
    <mergeCell ref="I35:J35"/>
    <mergeCell ref="I36:J36"/>
    <mergeCell ref="I8:J8"/>
    <mergeCell ref="B51:D51"/>
    <mergeCell ref="B52:D52"/>
    <mergeCell ref="B53:D53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6:J26"/>
    <mergeCell ref="I27:J27"/>
    <mergeCell ref="I9:J9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44:D44"/>
    <mergeCell ref="B45:D45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53">
    <cfRule type="expression" dxfId="14" priority="57">
      <formula>$E53="راسب"</formula>
    </cfRule>
  </conditionalFormatting>
  <conditionalFormatting sqref="E53:J53">
    <cfRule type="expression" dxfId="13" priority="58">
      <formula>$E53="مقبول"</formula>
    </cfRule>
    <cfRule type="expression" dxfId="12" priority="59">
      <formula>$E53="جيد"</formula>
    </cfRule>
    <cfRule type="expression" dxfId="11" priority="60">
      <formula>$E53="جيد جداً"</formula>
    </cfRule>
    <cfRule type="expression" dxfId="10" priority="61">
      <formula>$E53="ممتاز"</formula>
    </cfRule>
  </conditionalFormatting>
  <conditionalFormatting sqref="F8:F50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54:J54">
    <cfRule type="containsText" dxfId="6" priority="15" operator="containsText" text="أدخل اسم المحكم">
      <formula>NOT(ISERROR(SEARCH("أدخل اسم المحكم",G54)))</formula>
    </cfRule>
  </conditionalFormatting>
  <conditionalFormatting sqref="H8:H50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F10 F41:F43 F34:F39 F45:F49 F15:F16 F20:F22 F13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G54:J54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F852B454-6D5D-4C33-9175-D7259D3C738D}">
          <x14:formula1>
            <xm:f>'بيانات التقييم'!$A$111:$A$153</xm:f>
          </x14:formula1>
          <xm:sqref>F9 F11 F30 F31 F32 F50</xm:sqref>
        </x14:dataValidation>
        <x14:dataValidation type="list" allowBlank="1" showInputMessage="1" showErrorMessage="1" xr:uid="{82A2A182-0965-4C61-A9F0-3A98764AF07E}">
          <x14:formula1>
            <xm:f>'بيانات التقييم'!$A$111:$A$145</xm:f>
          </x14:formula1>
          <xm:sqref>F12 F18 F19 F24 F26:F28</xm:sqref>
        </x14:dataValidation>
        <x14:dataValidation type="list" allowBlank="1" showInputMessage="1" showErrorMessage="1" xr:uid="{19037988-FC9F-40EA-8210-A979C2DA42BA}">
          <x14:formula1>
            <xm:f>'بيانات التقييم'!$A$111:$A$137</xm:f>
          </x14:formula1>
          <xm:sqref>F14 F17</xm:sqref>
        </x14:dataValidation>
        <x14:dataValidation type="list" allowBlank="1" showInputMessage="1" showErrorMessage="1" xr:uid="{69F002C2-061D-4B07-BEB4-294B39B24212}">
          <x14:formula1>
            <xm:f>'بيانات التقييم'!$A$111:$A$141</xm:f>
          </x14:formula1>
          <xm:sqref>F25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15" workbookViewId="0">
      <selection activeCell="C33" sqref="C33"/>
    </sheetView>
  </sheetViews>
  <sheetFormatPr defaultRowHeight="20.100000000000001" customHeight="1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>
      <c r="A1" s="2" t="s">
        <v>57</v>
      </c>
      <c r="C1" s="2" t="s">
        <v>60</v>
      </c>
    </row>
    <row r="2" spans="1:3" ht="20.100000000000001" customHeight="1" thickBot="1">
      <c r="A2" s="2" t="s">
        <v>35</v>
      </c>
      <c r="C2" s="19" t="s">
        <v>62</v>
      </c>
    </row>
    <row r="3" spans="1:3" ht="20.100000000000001" customHeight="1" thickBot="1">
      <c r="A3" s="2" t="s">
        <v>26</v>
      </c>
      <c r="C3" s="19" t="s">
        <v>63</v>
      </c>
    </row>
    <row r="4" spans="1:3" ht="20.100000000000001" customHeight="1" thickBot="1">
      <c r="A4" s="2" t="s">
        <v>36</v>
      </c>
      <c r="C4" s="19" t="s">
        <v>64</v>
      </c>
    </row>
    <row r="5" spans="1:3" ht="20.100000000000001" customHeight="1" thickBot="1">
      <c r="A5" s="2" t="s">
        <v>37</v>
      </c>
      <c r="C5" s="19" t="s">
        <v>65</v>
      </c>
    </row>
    <row r="6" spans="1:3" ht="20.100000000000001" customHeight="1" thickBot="1">
      <c r="A6" s="2" t="s">
        <v>38</v>
      </c>
      <c r="C6" s="19" t="s">
        <v>66</v>
      </c>
    </row>
    <row r="7" spans="1:3" ht="20.100000000000001" customHeight="1" thickBot="1">
      <c r="A7" s="2" t="s">
        <v>39</v>
      </c>
      <c r="C7" s="19" t="s">
        <v>67</v>
      </c>
    </row>
    <row r="8" spans="1:3" ht="20.100000000000001" customHeight="1" thickBot="1">
      <c r="A8" s="2" t="s">
        <v>40</v>
      </c>
      <c r="C8" s="19" t="s">
        <v>68</v>
      </c>
    </row>
    <row r="9" spans="1:3" ht="20.100000000000001" customHeight="1" thickBot="1">
      <c r="A9" s="2" t="s">
        <v>41</v>
      </c>
      <c r="C9" s="19" t="s">
        <v>69</v>
      </c>
    </row>
    <row r="10" spans="1:3" ht="20.100000000000001" customHeight="1" thickBot="1">
      <c r="A10" s="2" t="s">
        <v>42</v>
      </c>
      <c r="C10" s="19" t="s">
        <v>70</v>
      </c>
    </row>
    <row r="11" spans="1:3" ht="20.100000000000001" customHeight="1" thickBot="1">
      <c r="A11" s="2" t="s">
        <v>43</v>
      </c>
      <c r="C11" s="19" t="s">
        <v>71</v>
      </c>
    </row>
    <row r="12" spans="1:3" ht="20.100000000000001" customHeight="1" thickBot="1">
      <c r="A12" s="2" t="s">
        <v>44</v>
      </c>
      <c r="C12" s="19" t="s">
        <v>72</v>
      </c>
    </row>
    <row r="13" spans="1:3" ht="20.100000000000001" customHeight="1" thickBot="1">
      <c r="A13" s="2" t="s">
        <v>45</v>
      </c>
      <c r="C13" s="19" t="s">
        <v>73</v>
      </c>
    </row>
    <row r="14" spans="1:3" ht="20.100000000000001" customHeight="1" thickBot="1">
      <c r="A14" s="2" t="s">
        <v>46</v>
      </c>
      <c r="C14" s="19" t="s">
        <v>74</v>
      </c>
    </row>
    <row r="15" spans="1:3" ht="20.100000000000001" customHeight="1" thickBot="1">
      <c r="A15" s="2" t="s">
        <v>47</v>
      </c>
      <c r="C15" s="19" t="s">
        <v>75</v>
      </c>
    </row>
    <row r="16" spans="1:3" ht="20.100000000000001" customHeight="1" thickBot="1">
      <c r="A16" s="2" t="s">
        <v>10</v>
      </c>
      <c r="C16" s="19" t="s">
        <v>76</v>
      </c>
    </row>
    <row r="17" spans="1:3" ht="20.100000000000001" customHeight="1" thickBot="1">
      <c r="A17" s="2" t="s">
        <v>27</v>
      </c>
      <c r="C17" s="19" t="s">
        <v>77</v>
      </c>
    </row>
    <row r="18" spans="1:3" ht="20.100000000000001" customHeight="1" thickBot="1">
      <c r="A18" s="2" t="s">
        <v>48</v>
      </c>
      <c r="C18" s="19" t="s">
        <v>78</v>
      </c>
    </row>
    <row r="19" spans="1:3" ht="20.100000000000001" customHeight="1" thickBot="1">
      <c r="A19" s="2" t="s">
        <v>49</v>
      </c>
      <c r="C19" s="19" t="s">
        <v>79</v>
      </c>
    </row>
    <row r="20" spans="1:3" ht="20.100000000000001" customHeight="1" thickBot="1">
      <c r="A20" s="2" t="s">
        <v>50</v>
      </c>
      <c r="C20" s="19" t="s">
        <v>80</v>
      </c>
    </row>
    <row r="21" spans="1:3" ht="20.100000000000001" customHeight="1" thickBot="1">
      <c r="A21" s="2" t="s">
        <v>51</v>
      </c>
      <c r="C21" s="19" t="s">
        <v>81</v>
      </c>
    </row>
    <row r="22" spans="1:3" ht="20.100000000000001" customHeight="1" thickBot="1">
      <c r="A22" s="2" t="s">
        <v>11</v>
      </c>
      <c r="C22" s="19" t="s">
        <v>82</v>
      </c>
    </row>
    <row r="23" spans="1:3" ht="20.100000000000001" customHeight="1" thickBot="1">
      <c r="A23" s="2" t="s">
        <v>12</v>
      </c>
      <c r="C23" s="19" t="s">
        <v>83</v>
      </c>
    </row>
    <row r="24" spans="1:3" ht="20.100000000000001" customHeight="1" thickBot="1">
      <c r="A24" s="2" t="s">
        <v>15</v>
      </c>
      <c r="C24" s="19" t="s">
        <v>84</v>
      </c>
    </row>
    <row r="25" spans="1:3" ht="20.100000000000001" customHeight="1" thickBot="1">
      <c r="A25" s="2" t="s">
        <v>28</v>
      </c>
      <c r="C25" s="19" t="s">
        <v>85</v>
      </c>
    </row>
    <row r="26" spans="1:3" ht="20.100000000000001" customHeight="1" thickBot="1">
      <c r="A26" s="2" t="s">
        <v>29</v>
      </c>
      <c r="C26" s="19" t="s">
        <v>86</v>
      </c>
    </row>
    <row r="27" spans="1:3" ht="20.100000000000001" customHeight="1" thickBot="1">
      <c r="A27" s="2" t="s">
        <v>13</v>
      </c>
      <c r="C27" s="19" t="s">
        <v>87</v>
      </c>
    </row>
    <row r="28" spans="1:3" ht="20.100000000000001" customHeight="1" thickBot="1">
      <c r="A28" s="2" t="s">
        <v>30</v>
      </c>
      <c r="C28" s="19" t="s">
        <v>88</v>
      </c>
    </row>
    <row r="29" spans="1:3" ht="20.100000000000001" customHeight="1" thickBot="1">
      <c r="A29" s="2" t="s">
        <v>31</v>
      </c>
      <c r="C29" s="19" t="s">
        <v>177</v>
      </c>
    </row>
    <row r="30" spans="1:3" ht="20.100000000000001" customHeight="1" thickBot="1">
      <c r="A30" s="2" t="s">
        <v>32</v>
      </c>
      <c r="C30" s="19" t="s">
        <v>178</v>
      </c>
    </row>
    <row r="31" spans="1:3" ht="20.100000000000001" customHeight="1" thickBot="1">
      <c r="A31" s="2" t="s">
        <v>33</v>
      </c>
      <c r="C31" s="19" t="s">
        <v>179</v>
      </c>
    </row>
    <row r="32" spans="1:3" ht="20.100000000000001" customHeight="1" thickBot="1">
      <c r="A32" s="2" t="s">
        <v>16</v>
      </c>
      <c r="C32" s="19"/>
    </row>
    <row r="33" spans="1:9" ht="20.100000000000001" customHeight="1" thickBot="1">
      <c r="A33" s="2" t="s">
        <v>14</v>
      </c>
      <c r="C33" s="19"/>
    </row>
    <row r="34" spans="1:9" ht="20.100000000000001" customHeight="1" thickBot="1">
      <c r="A34" s="2" t="s">
        <v>34</v>
      </c>
      <c r="C34" s="19"/>
    </row>
    <row r="35" spans="1:9" ht="20.100000000000001" customHeight="1">
      <c r="A35" s="18"/>
    </row>
    <row r="36" spans="1:9" s="17" customFormat="1" ht="20.100000000000001" customHeight="1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/>
    <row r="38" spans="1:9" ht="20.100000000000001" customHeight="1" thickBot="1">
      <c r="A38" s="2" t="s">
        <v>56</v>
      </c>
    </row>
    <row r="39" spans="1:9" ht="20.100000000000001" customHeight="1" thickBot="1">
      <c r="A39" s="13">
        <v>45901</v>
      </c>
    </row>
    <row r="40" spans="1:9" ht="20.100000000000001" customHeight="1" thickBot="1">
      <c r="A40" s="13">
        <v>45902</v>
      </c>
    </row>
    <row r="41" spans="1:9" ht="20.100000000000001" customHeight="1" thickBot="1">
      <c r="A41" s="13">
        <v>45903</v>
      </c>
    </row>
    <row r="42" spans="1:9" ht="20.100000000000001" customHeight="1" thickBot="1">
      <c r="A42" s="13">
        <v>45904</v>
      </c>
    </row>
    <row r="43" spans="1:9" ht="20.100000000000001" customHeight="1" thickBot="1">
      <c r="A43" s="13">
        <v>45905</v>
      </c>
    </row>
    <row r="44" spans="1:9" ht="20.100000000000001" customHeight="1" thickBot="1">
      <c r="A44" s="13">
        <v>45906</v>
      </c>
    </row>
    <row r="45" spans="1:9" ht="20.100000000000001" customHeight="1" thickBot="1">
      <c r="A45" s="13">
        <v>45907</v>
      </c>
    </row>
    <row r="46" spans="1:9" ht="20.100000000000001" customHeight="1" thickBot="1">
      <c r="A46" s="13">
        <v>45908</v>
      </c>
    </row>
    <row r="47" spans="1:9" ht="20.100000000000001" customHeight="1" thickBot="1">
      <c r="A47" s="13">
        <v>45909</v>
      </c>
    </row>
    <row r="48" spans="1:9" ht="20.100000000000001" customHeight="1" thickBot="1">
      <c r="A48" s="13">
        <v>45910</v>
      </c>
    </row>
    <row r="49" spans="1:1" ht="20.100000000000001" customHeight="1" thickBot="1">
      <c r="A49" s="13">
        <v>45911</v>
      </c>
    </row>
    <row r="50" spans="1:1" ht="20.100000000000001" customHeight="1" thickBot="1">
      <c r="A50" s="13">
        <v>45912</v>
      </c>
    </row>
    <row r="51" spans="1:1" ht="20.100000000000001" customHeight="1" thickBot="1">
      <c r="A51" s="13">
        <v>45913</v>
      </c>
    </row>
    <row r="52" spans="1:1" ht="20.100000000000001" customHeight="1" thickBot="1">
      <c r="A52" s="13">
        <v>45914</v>
      </c>
    </row>
    <row r="53" spans="1:1" ht="20.100000000000001" customHeight="1" thickBot="1">
      <c r="A53" s="13">
        <v>45915</v>
      </c>
    </row>
    <row r="54" spans="1:1" ht="20.100000000000001" customHeight="1" thickBot="1">
      <c r="A54" s="13">
        <v>45916</v>
      </c>
    </row>
    <row r="55" spans="1:1" ht="20.100000000000001" customHeight="1" thickBot="1">
      <c r="A55" s="13">
        <v>45917</v>
      </c>
    </row>
    <row r="56" spans="1:1" ht="20.100000000000001" customHeight="1" thickBot="1">
      <c r="A56" s="13">
        <v>45918</v>
      </c>
    </row>
    <row r="57" spans="1:1" ht="20.100000000000001" customHeight="1" thickBot="1">
      <c r="A57" s="13">
        <v>45919</v>
      </c>
    </row>
    <row r="58" spans="1:1" ht="20.100000000000001" customHeight="1" thickBot="1">
      <c r="A58" s="13">
        <v>45920</v>
      </c>
    </row>
    <row r="59" spans="1:1" ht="20.100000000000001" customHeight="1" thickBot="1">
      <c r="A59" s="13">
        <v>45921</v>
      </c>
    </row>
    <row r="60" spans="1:1" ht="20.100000000000001" customHeight="1" thickBot="1">
      <c r="A60" s="13">
        <v>45922</v>
      </c>
    </row>
    <row r="61" spans="1:1" ht="20.100000000000001" customHeight="1" thickBot="1">
      <c r="A61" s="13">
        <v>45923</v>
      </c>
    </row>
    <row r="62" spans="1:1" ht="20.100000000000001" customHeight="1" thickBot="1">
      <c r="A62" s="13">
        <v>45924</v>
      </c>
    </row>
    <row r="63" spans="1:1" ht="20.100000000000001" customHeight="1" thickBot="1">
      <c r="A63" s="13">
        <v>45925</v>
      </c>
    </row>
    <row r="64" spans="1:1" ht="20.100000000000001" customHeight="1" thickBot="1">
      <c r="A64" s="13">
        <v>45926</v>
      </c>
    </row>
    <row r="65" spans="1:1" ht="20.100000000000001" customHeight="1" thickBot="1">
      <c r="A65" s="13">
        <v>45927</v>
      </c>
    </row>
    <row r="66" spans="1:1" ht="20.100000000000001" customHeight="1" thickBot="1">
      <c r="A66" s="13">
        <v>45928</v>
      </c>
    </row>
    <row r="67" spans="1:1" ht="20.100000000000001" customHeight="1" thickBot="1">
      <c r="A67" s="13">
        <v>45929</v>
      </c>
    </row>
    <row r="68" spans="1:1" ht="20.100000000000001" customHeight="1" thickBot="1">
      <c r="A68" s="13">
        <v>45930</v>
      </c>
    </row>
    <row r="69" spans="1:1" ht="20.100000000000001" customHeight="1" thickBot="1">
      <c r="A69" s="13">
        <v>45931</v>
      </c>
    </row>
    <row r="70" spans="1:1" ht="20.100000000000001" customHeight="1" thickBot="1">
      <c r="A70" s="13">
        <v>45932</v>
      </c>
    </row>
    <row r="71" spans="1:1" ht="20.100000000000001" customHeight="1" thickBot="1">
      <c r="A71" s="13">
        <v>45933</v>
      </c>
    </row>
    <row r="72" spans="1:1" ht="20.100000000000001" customHeight="1" thickBot="1">
      <c r="A72" s="13">
        <v>45934</v>
      </c>
    </row>
    <row r="73" spans="1:1" ht="20.100000000000001" customHeight="1" thickBot="1">
      <c r="A73" s="13">
        <v>45935</v>
      </c>
    </row>
    <row r="74" spans="1:1" ht="20.100000000000001" customHeight="1" thickBot="1">
      <c r="A74" s="13">
        <v>45936</v>
      </c>
    </row>
    <row r="75" spans="1:1" ht="20.100000000000001" customHeight="1" thickBot="1">
      <c r="A75" s="13">
        <v>45937</v>
      </c>
    </row>
    <row r="76" spans="1:1" ht="20.100000000000001" customHeight="1" thickBot="1">
      <c r="A76" s="13">
        <v>45938</v>
      </c>
    </row>
    <row r="77" spans="1:1" ht="20.100000000000001" customHeight="1" thickBot="1">
      <c r="A77" s="13">
        <v>45939</v>
      </c>
    </row>
    <row r="78" spans="1:1" ht="20.100000000000001" customHeight="1" thickBot="1">
      <c r="A78" s="13">
        <v>45940</v>
      </c>
    </row>
    <row r="79" spans="1:1" ht="20.100000000000001" customHeight="1" thickBot="1">
      <c r="A79" s="13">
        <v>45941</v>
      </c>
    </row>
    <row r="80" spans="1:1" ht="20.100000000000001" customHeight="1" thickBot="1">
      <c r="A80" s="13">
        <v>45942</v>
      </c>
    </row>
    <row r="81" spans="1:1" ht="20.100000000000001" customHeight="1" thickBot="1">
      <c r="A81" s="13">
        <v>45943</v>
      </c>
    </row>
    <row r="82" spans="1:1" ht="20.100000000000001" customHeight="1" thickBot="1">
      <c r="A82" s="13">
        <v>45944</v>
      </c>
    </row>
    <row r="83" spans="1:1" ht="20.100000000000001" customHeight="1" thickBot="1">
      <c r="A83" s="13">
        <v>45945</v>
      </c>
    </row>
    <row r="84" spans="1:1" ht="20.100000000000001" customHeight="1" thickBot="1">
      <c r="A84" s="13">
        <v>45946</v>
      </c>
    </row>
    <row r="85" spans="1:1" ht="20.100000000000001" customHeight="1" thickBot="1">
      <c r="A85" s="13">
        <v>45947</v>
      </c>
    </row>
    <row r="86" spans="1:1" ht="20.100000000000001" customHeight="1" thickBot="1">
      <c r="A86" s="13">
        <v>45948</v>
      </c>
    </row>
    <row r="87" spans="1:1" ht="20.100000000000001" customHeight="1" thickBot="1">
      <c r="A87" s="13">
        <v>45949</v>
      </c>
    </row>
    <row r="88" spans="1:1" ht="20.100000000000001" customHeight="1" thickBot="1">
      <c r="A88" s="13">
        <v>45950</v>
      </c>
    </row>
    <row r="89" spans="1:1" ht="20.100000000000001" customHeight="1" thickBot="1">
      <c r="A89" s="13">
        <v>45951</v>
      </c>
    </row>
    <row r="90" spans="1:1" ht="20.100000000000001" customHeight="1" thickBot="1">
      <c r="A90" s="13">
        <v>45952</v>
      </c>
    </row>
    <row r="91" spans="1:1" ht="20.100000000000001" customHeight="1" thickBot="1">
      <c r="A91" s="13">
        <v>45953</v>
      </c>
    </row>
    <row r="92" spans="1:1" ht="20.100000000000001" customHeight="1" thickBot="1">
      <c r="A92" s="13">
        <v>45954</v>
      </c>
    </row>
    <row r="93" spans="1:1" ht="20.100000000000001" customHeight="1" thickBot="1">
      <c r="A93" s="13">
        <v>45955</v>
      </c>
    </row>
    <row r="94" spans="1:1" ht="20.100000000000001" customHeight="1" thickBot="1">
      <c r="A94" s="13">
        <v>45956</v>
      </c>
    </row>
    <row r="95" spans="1:1" ht="20.100000000000001" customHeight="1" thickBot="1">
      <c r="A95" s="13">
        <v>45957</v>
      </c>
    </row>
    <row r="96" spans="1:1" ht="20.100000000000001" customHeight="1" thickBot="1">
      <c r="A96" s="13">
        <v>45958</v>
      </c>
    </row>
    <row r="97" spans="1:9" ht="20.100000000000001" customHeight="1" thickBot="1">
      <c r="A97" s="13">
        <v>45959</v>
      </c>
    </row>
    <row r="98" spans="1:9" ht="20.100000000000001" customHeight="1" thickBot="1">
      <c r="A98" s="13">
        <v>45960</v>
      </c>
    </row>
    <row r="99" spans="1:9" ht="20.100000000000001" customHeight="1" thickBot="1">
      <c r="A99" s="13">
        <v>45961</v>
      </c>
    </row>
    <row r="100" spans="1:9" ht="20.100000000000001" customHeight="1" thickBot="1">
      <c r="A100" s="13">
        <v>45962</v>
      </c>
    </row>
    <row r="101" spans="1:9" ht="20.100000000000001" customHeight="1" thickBot="1">
      <c r="A101" s="13">
        <v>45963</v>
      </c>
    </row>
    <row r="102" spans="1:9" ht="20.100000000000001" customHeight="1" thickBot="1">
      <c r="A102" s="13">
        <v>45964</v>
      </c>
    </row>
    <row r="103" spans="1:9" ht="20.100000000000001" customHeight="1" thickBot="1">
      <c r="A103" s="13">
        <v>45965</v>
      </c>
    </row>
    <row r="104" spans="1:9" ht="20.100000000000001" customHeight="1" thickBot="1">
      <c r="A104" s="13">
        <v>45966</v>
      </c>
    </row>
    <row r="105" spans="1:9" ht="20.100000000000001" customHeight="1" thickBot="1">
      <c r="A105" s="13">
        <v>45967</v>
      </c>
    </row>
    <row r="106" spans="1:9" ht="20.100000000000001" customHeight="1" thickBot="1">
      <c r="A106" s="13">
        <v>45968</v>
      </c>
    </row>
    <row r="107" spans="1:9" ht="20.100000000000001" customHeight="1">
      <c r="A107" s="14"/>
    </row>
    <row r="108" spans="1:9" ht="20.100000000000001" customHeight="1">
      <c r="A108" s="14"/>
    </row>
    <row r="109" spans="1:9" s="17" customFormat="1" ht="20.100000000000001" customHeight="1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/>
    <row r="111" spans="1:9" ht="20.100000000000001" customHeight="1" thickBot="1">
      <c r="A111" s="2" t="s">
        <v>61</v>
      </c>
    </row>
    <row r="112" spans="1:9" ht="20.100000000000001" customHeight="1" thickBot="1">
      <c r="A112" s="2" t="s">
        <v>17</v>
      </c>
    </row>
    <row r="113" spans="1:1" ht="20.100000000000001" customHeight="1" thickBot="1">
      <c r="A113" s="2">
        <v>0</v>
      </c>
    </row>
    <row r="114" spans="1:1" ht="20.100000000000001" customHeight="1" thickBot="1">
      <c r="A114" s="2">
        <v>0.25</v>
      </c>
    </row>
    <row r="115" spans="1:1" ht="20.100000000000001" customHeight="1" thickBot="1">
      <c r="A115" s="2">
        <v>0.5</v>
      </c>
    </row>
    <row r="116" spans="1:1" ht="20.100000000000001" customHeight="1" thickBot="1">
      <c r="A116" s="2">
        <v>0.75</v>
      </c>
    </row>
    <row r="117" spans="1:1" ht="20.100000000000001" customHeight="1" thickBot="1">
      <c r="A117" s="2">
        <v>1</v>
      </c>
    </row>
    <row r="118" spans="1:1" ht="20.100000000000001" customHeight="1" thickBot="1">
      <c r="A118" s="2">
        <v>1.25</v>
      </c>
    </row>
    <row r="119" spans="1:1" ht="20.100000000000001" customHeight="1" thickBot="1">
      <c r="A119" s="2">
        <v>1.5</v>
      </c>
    </row>
    <row r="120" spans="1:1" ht="20.100000000000001" customHeight="1" thickBot="1">
      <c r="A120" s="2">
        <v>1.75</v>
      </c>
    </row>
    <row r="121" spans="1:1" ht="20.100000000000001" customHeight="1" thickBot="1">
      <c r="A121" s="2">
        <v>2</v>
      </c>
    </row>
    <row r="122" spans="1:1" ht="20.100000000000001" customHeight="1" thickBot="1">
      <c r="A122" s="2">
        <v>2.25</v>
      </c>
    </row>
    <row r="123" spans="1:1" ht="20.100000000000001" customHeight="1" thickBot="1">
      <c r="A123" s="2">
        <v>2.5</v>
      </c>
    </row>
    <row r="124" spans="1:1" ht="20.100000000000001" customHeight="1" thickBot="1">
      <c r="A124" s="2">
        <v>2.75</v>
      </c>
    </row>
    <row r="125" spans="1:1" ht="20.100000000000001" customHeight="1" thickBot="1">
      <c r="A125" s="2">
        <v>3</v>
      </c>
    </row>
    <row r="126" spans="1:1" ht="20.100000000000001" customHeight="1" thickBot="1">
      <c r="A126" s="2">
        <v>3.25</v>
      </c>
    </row>
    <row r="127" spans="1:1" ht="20.100000000000001" customHeight="1" thickBot="1">
      <c r="A127" s="2">
        <v>3.5</v>
      </c>
    </row>
    <row r="128" spans="1:1" ht="20.100000000000001" customHeight="1" thickBot="1">
      <c r="A128" s="2">
        <v>3.75</v>
      </c>
    </row>
    <row r="129" spans="1:1" ht="20.100000000000001" customHeight="1" thickBot="1">
      <c r="A129" s="2">
        <v>4</v>
      </c>
    </row>
    <row r="130" spans="1:1" ht="20.100000000000001" customHeight="1" thickBot="1">
      <c r="A130" s="2">
        <v>4.25</v>
      </c>
    </row>
    <row r="131" spans="1:1" ht="20.100000000000001" customHeight="1" thickBot="1">
      <c r="A131" s="2">
        <v>4.5</v>
      </c>
    </row>
    <row r="132" spans="1:1" ht="20.100000000000001" customHeight="1" thickBot="1">
      <c r="A132" s="2">
        <v>4.75</v>
      </c>
    </row>
    <row r="133" spans="1:1" ht="20.100000000000001" customHeight="1" thickBot="1">
      <c r="A133" s="2">
        <v>5</v>
      </c>
    </row>
    <row r="134" spans="1:1" ht="20.100000000000001" customHeight="1" thickBot="1">
      <c r="A134" s="2">
        <v>5.25</v>
      </c>
    </row>
    <row r="135" spans="1:1" ht="20.100000000000001" customHeight="1" thickBot="1">
      <c r="A135" s="2">
        <v>5.5</v>
      </c>
    </row>
    <row r="136" spans="1:1" ht="20.100000000000001" customHeight="1" thickBot="1">
      <c r="A136" s="2">
        <v>5.75</v>
      </c>
    </row>
    <row r="137" spans="1:1" ht="20.100000000000001" customHeight="1" thickBot="1">
      <c r="A137" s="2">
        <v>6</v>
      </c>
    </row>
    <row r="138" spans="1:1" ht="20.100000000000001" customHeight="1" thickBot="1">
      <c r="A138" s="2">
        <v>6.25</v>
      </c>
    </row>
    <row r="139" spans="1:1" ht="20.100000000000001" customHeight="1" thickBot="1">
      <c r="A139" s="2">
        <v>6.5</v>
      </c>
    </row>
    <row r="140" spans="1:1" ht="20.100000000000001" customHeight="1" thickBot="1">
      <c r="A140" s="2">
        <v>6.75</v>
      </c>
    </row>
    <row r="141" spans="1:1" ht="20.100000000000001" customHeight="1" thickBot="1">
      <c r="A141" s="2">
        <v>7</v>
      </c>
    </row>
    <row r="142" spans="1:1" ht="20.100000000000001" customHeight="1" thickBot="1">
      <c r="A142" s="2">
        <v>7.25</v>
      </c>
    </row>
    <row r="143" spans="1:1" ht="20.100000000000001" customHeight="1" thickBot="1">
      <c r="A143" s="2">
        <v>7.5</v>
      </c>
    </row>
    <row r="144" spans="1:1" ht="20.100000000000001" customHeight="1" thickBot="1">
      <c r="A144" s="2">
        <v>7.75</v>
      </c>
    </row>
    <row r="145" spans="1:1" ht="20.100000000000001" customHeight="1" thickBot="1">
      <c r="A145" s="2">
        <v>8</v>
      </c>
    </row>
    <row r="146" spans="1:1" ht="20.100000000000001" customHeight="1" thickBot="1">
      <c r="A146" s="2">
        <v>8.25</v>
      </c>
    </row>
    <row r="147" spans="1:1" ht="20.100000000000001" customHeight="1" thickBot="1">
      <c r="A147" s="2">
        <v>8.5</v>
      </c>
    </row>
    <row r="148" spans="1:1" ht="20.100000000000001" customHeight="1" thickBot="1">
      <c r="A148" s="2">
        <v>8.75</v>
      </c>
    </row>
    <row r="149" spans="1:1" ht="20.100000000000001" customHeight="1" thickBot="1">
      <c r="A149" s="2">
        <v>9</v>
      </c>
    </row>
    <row r="150" spans="1:1" ht="20.100000000000001" customHeight="1" thickBot="1">
      <c r="A150" s="2">
        <v>9.25</v>
      </c>
    </row>
    <row r="151" spans="1:1" ht="20.100000000000001" customHeight="1" thickBot="1">
      <c r="A151" s="2">
        <v>9.5</v>
      </c>
    </row>
    <row r="152" spans="1:1" ht="20.100000000000001" customHeight="1" thickBot="1">
      <c r="A152" s="2">
        <v>9.75</v>
      </c>
    </row>
    <row r="153" spans="1:1" ht="20.100000000000001" customHeight="1" thickBot="1">
      <c r="A153" s="2">
        <v>10</v>
      </c>
    </row>
    <row r="154" spans="1:1" ht="20.100000000000001" customHeight="1" thickBot="1">
      <c r="A154" s="2">
        <v>10.25</v>
      </c>
    </row>
    <row r="155" spans="1:1" ht="20.100000000000001" customHeight="1" thickBot="1">
      <c r="A155" s="2">
        <v>10.5</v>
      </c>
    </row>
    <row r="156" spans="1:1" ht="20.100000000000001" customHeight="1" thickBot="1">
      <c r="A156" s="2">
        <v>10.75</v>
      </c>
    </row>
    <row r="157" spans="1:1" ht="20.100000000000001" customHeight="1" thickBot="1">
      <c r="A157" s="2">
        <v>11</v>
      </c>
    </row>
    <row r="158" spans="1:1" ht="20.100000000000001" customHeight="1" thickBot="1">
      <c r="A158" s="2">
        <v>11.25</v>
      </c>
    </row>
    <row r="159" spans="1:1" ht="20.100000000000001" customHeight="1" thickBot="1">
      <c r="A159" s="2">
        <v>11.5</v>
      </c>
    </row>
    <row r="160" spans="1:1" ht="20.100000000000001" customHeight="1" thickBot="1">
      <c r="A160" s="2">
        <v>11.75</v>
      </c>
    </row>
    <row r="161" spans="1:1" ht="20.100000000000001" customHeight="1" thickBot="1">
      <c r="A161" s="2">
        <v>12</v>
      </c>
    </row>
    <row r="162" spans="1:1" ht="20.100000000000001" customHeight="1" thickBot="1">
      <c r="A162" s="2">
        <v>12.25</v>
      </c>
    </row>
    <row r="163" spans="1:1" ht="20.100000000000001" customHeight="1" thickBot="1">
      <c r="A163" s="2">
        <v>12.5</v>
      </c>
    </row>
    <row r="164" spans="1:1" ht="20.100000000000001" customHeight="1" thickBot="1">
      <c r="A164" s="2">
        <v>12.75</v>
      </c>
    </row>
    <row r="165" spans="1:1" ht="20.100000000000001" customHeight="1" thickBot="1">
      <c r="A165" s="2">
        <v>13</v>
      </c>
    </row>
    <row r="166" spans="1:1" ht="20.100000000000001" customHeight="1" thickBot="1">
      <c r="A166" s="2">
        <v>13.25</v>
      </c>
    </row>
    <row r="167" spans="1:1" ht="20.100000000000001" customHeight="1" thickBot="1">
      <c r="A167" s="2">
        <v>13.5</v>
      </c>
    </row>
    <row r="168" spans="1:1" ht="20.100000000000001" customHeight="1" thickBot="1">
      <c r="A168" s="2">
        <v>13.75</v>
      </c>
    </row>
    <row r="169" spans="1:1" ht="20.100000000000001" customHeight="1" thickBot="1">
      <c r="A169" s="2">
        <v>14</v>
      </c>
    </row>
    <row r="170" spans="1:1" ht="20.100000000000001" customHeight="1" thickBot="1">
      <c r="A170" s="2">
        <v>14.25</v>
      </c>
    </row>
    <row r="171" spans="1:1" ht="20.100000000000001" customHeight="1" thickBot="1">
      <c r="A171" s="2">
        <v>14.5</v>
      </c>
    </row>
    <row r="172" spans="1:1" ht="20.100000000000001" customHeight="1" thickBot="1">
      <c r="A172" s="2">
        <v>14.75</v>
      </c>
    </row>
    <row r="173" spans="1:1" ht="20.100000000000001" customHeight="1" thickBot="1">
      <c r="A173" s="2">
        <v>15</v>
      </c>
    </row>
    <row r="174" spans="1:1" ht="20.100000000000001" customHeight="1" thickBot="1">
      <c r="A174" s="2">
        <v>15.25</v>
      </c>
    </row>
    <row r="175" spans="1:1" ht="20.100000000000001" customHeight="1" thickBot="1">
      <c r="A175" s="2">
        <v>15.5</v>
      </c>
    </row>
    <row r="176" spans="1:1" ht="20.100000000000001" customHeight="1" thickBot="1">
      <c r="A176" s="2">
        <v>15.75</v>
      </c>
    </row>
    <row r="177" spans="1:1" ht="20.100000000000001" customHeight="1" thickBot="1">
      <c r="A177" s="2">
        <v>16</v>
      </c>
    </row>
    <row r="178" spans="1:1" ht="20.100000000000001" customHeight="1" thickBot="1">
      <c r="A178" s="2">
        <v>16.25</v>
      </c>
    </row>
    <row r="179" spans="1:1" ht="20.100000000000001" customHeight="1" thickBot="1">
      <c r="A179" s="2">
        <v>16.5</v>
      </c>
    </row>
    <row r="180" spans="1:1" ht="20.100000000000001" customHeight="1" thickBot="1">
      <c r="A180" s="2">
        <v>16.75</v>
      </c>
    </row>
    <row r="181" spans="1:1" ht="20.100000000000001" customHeight="1" thickBot="1">
      <c r="A181" s="2">
        <v>17</v>
      </c>
    </row>
    <row r="182" spans="1:1" ht="20.100000000000001" customHeight="1" thickBot="1">
      <c r="A182" s="2">
        <v>17.25</v>
      </c>
    </row>
    <row r="183" spans="1:1" ht="20.100000000000001" customHeight="1" thickBot="1">
      <c r="A183" s="2">
        <v>17.5</v>
      </c>
    </row>
    <row r="184" spans="1:1" ht="20.100000000000001" customHeight="1" thickBot="1">
      <c r="A184" s="2">
        <v>17.75</v>
      </c>
    </row>
    <row r="185" spans="1:1" ht="20.100000000000001" customHeight="1" thickBot="1">
      <c r="A185" s="2">
        <v>18</v>
      </c>
    </row>
    <row r="186" spans="1:1" ht="20.100000000000001" customHeight="1" thickBot="1">
      <c r="A186" s="2">
        <v>18.25</v>
      </c>
    </row>
    <row r="187" spans="1:1" ht="20.100000000000001" customHeight="1" thickBot="1">
      <c r="A187" s="2">
        <v>18.5</v>
      </c>
    </row>
    <row r="188" spans="1:1" ht="20.100000000000001" customHeight="1" thickBot="1">
      <c r="A188" s="2">
        <v>18.75</v>
      </c>
    </row>
    <row r="189" spans="1:1" ht="20.100000000000001" customHeight="1" thickBot="1">
      <c r="A189" s="2">
        <v>19</v>
      </c>
    </row>
    <row r="190" spans="1:1" ht="20.100000000000001" customHeight="1" thickBot="1">
      <c r="A190" s="2">
        <v>19.25</v>
      </c>
    </row>
    <row r="191" spans="1:1" ht="20.100000000000001" customHeight="1" thickBot="1">
      <c r="A191" s="2">
        <v>19.5</v>
      </c>
    </row>
    <row r="192" spans="1:1" ht="20.100000000000001" customHeight="1" thickBot="1">
      <c r="A192" s="2">
        <v>19.75</v>
      </c>
    </row>
    <row r="193" spans="1:1" ht="20.100000000000001" customHeight="1" thickBot="1">
      <c r="A193" s="2">
        <v>20</v>
      </c>
    </row>
    <row r="197" spans="1:1" ht="20.100000000000001" customHeight="1" thickBot="1"/>
    <row r="198" spans="1:1" ht="20.100000000000001" customHeight="1" thickBot="1">
      <c r="A198" s="2" t="s">
        <v>59</v>
      </c>
    </row>
    <row r="199" spans="1:1" ht="20.100000000000001" customHeight="1">
      <c r="A199" s="20" t="s">
        <v>89</v>
      </c>
    </row>
    <row r="200" spans="1:1" ht="20.100000000000001" customHeight="1">
      <c r="A200" s="20" t="s">
        <v>90</v>
      </c>
    </row>
    <row r="201" spans="1:1" ht="20.100000000000001" customHeight="1">
      <c r="A201" s="20" t="s">
        <v>91</v>
      </c>
    </row>
    <row r="202" spans="1:1" ht="20.100000000000001" customHeight="1">
      <c r="A202" s="20" t="s">
        <v>92</v>
      </c>
    </row>
    <row r="203" spans="1:1" ht="20.100000000000001" customHeight="1">
      <c r="A203" s="20" t="s">
        <v>93</v>
      </c>
    </row>
    <row r="204" spans="1:1" ht="20.100000000000001" customHeight="1">
      <c r="A204" s="20" t="s">
        <v>94</v>
      </c>
    </row>
    <row r="205" spans="1:1" ht="20.100000000000001" customHeight="1">
      <c r="A205" s="20" t="s">
        <v>95</v>
      </c>
    </row>
    <row r="206" spans="1:1" ht="20.100000000000001" customHeight="1">
      <c r="A206" s="20" t="s">
        <v>96</v>
      </c>
    </row>
    <row r="207" spans="1:1" ht="20.100000000000001" customHeight="1">
      <c r="A207" s="20" t="s">
        <v>97</v>
      </c>
    </row>
    <row r="208" spans="1:1" ht="20.100000000000001" customHeight="1">
      <c r="A208" s="21" t="s">
        <v>98</v>
      </c>
    </row>
    <row r="209" spans="1:1" ht="20.100000000000001" customHeight="1">
      <c r="A209" s="21" t="s">
        <v>99</v>
      </c>
    </row>
    <row r="210" spans="1:1" ht="20.100000000000001" customHeight="1">
      <c r="A210" s="20" t="s">
        <v>100</v>
      </c>
    </row>
    <row r="211" spans="1:1" ht="20.100000000000001" customHeight="1">
      <c r="A211" s="20" t="s">
        <v>101</v>
      </c>
    </row>
    <row r="212" spans="1:1" ht="20.100000000000001" customHeight="1">
      <c r="A212" s="20" t="s">
        <v>175</v>
      </c>
    </row>
    <row r="213" spans="1:1" ht="20.100000000000001" customHeight="1">
      <c r="A213" s="20" t="s">
        <v>102</v>
      </c>
    </row>
    <row r="214" spans="1:1" ht="20.100000000000001" customHeight="1">
      <c r="A214" s="20" t="s">
        <v>103</v>
      </c>
    </row>
    <row r="215" spans="1:1" ht="20.100000000000001" customHeight="1">
      <c r="A215" s="20" t="s">
        <v>104</v>
      </c>
    </row>
    <row r="216" spans="1:1" ht="20.100000000000001" customHeight="1">
      <c r="A216" s="20" t="s">
        <v>105</v>
      </c>
    </row>
    <row r="217" spans="1:1" ht="20.100000000000001" customHeight="1">
      <c r="A217" s="20" t="s">
        <v>106</v>
      </c>
    </row>
    <row r="218" spans="1:1" ht="20.100000000000001" customHeight="1">
      <c r="A218" s="20" t="s">
        <v>107</v>
      </c>
    </row>
    <row r="219" spans="1:1" ht="20.100000000000001" customHeight="1">
      <c r="A219" s="20" t="s">
        <v>108</v>
      </c>
    </row>
    <row r="220" spans="1:1" ht="20.100000000000001" customHeight="1">
      <c r="A220" s="20" t="s">
        <v>109</v>
      </c>
    </row>
    <row r="221" spans="1:1" ht="20.100000000000001" customHeight="1">
      <c r="A221" s="20" t="s">
        <v>110</v>
      </c>
    </row>
    <row r="222" spans="1:1" ht="20.100000000000001" customHeight="1">
      <c r="A222" s="20" t="s">
        <v>111</v>
      </c>
    </row>
    <row r="223" spans="1:1" ht="20.100000000000001" customHeight="1">
      <c r="A223" s="20" t="s">
        <v>112</v>
      </c>
    </row>
    <row r="224" spans="1:1" ht="20.100000000000001" customHeight="1">
      <c r="A224" s="20" t="s">
        <v>176</v>
      </c>
    </row>
    <row r="225" spans="1:1" ht="20.100000000000001" customHeight="1">
      <c r="A225" s="20" t="s">
        <v>113</v>
      </c>
    </row>
    <row r="226" spans="1:1" ht="20.100000000000001" customHeight="1">
      <c r="A226" s="20" t="s">
        <v>114</v>
      </c>
    </row>
    <row r="227" spans="1:1" ht="20.100000000000001" customHeight="1">
      <c r="A227" s="20" t="s">
        <v>115</v>
      </c>
    </row>
    <row r="228" spans="1:1" ht="20.100000000000001" customHeight="1">
      <c r="A228" s="20" t="s">
        <v>116</v>
      </c>
    </row>
    <row r="229" spans="1:1" ht="20.100000000000001" customHeight="1">
      <c r="A229" s="20" t="s">
        <v>117</v>
      </c>
    </row>
    <row r="230" spans="1:1" ht="20.100000000000001" customHeight="1">
      <c r="A230" s="20" t="s">
        <v>118</v>
      </c>
    </row>
    <row r="231" spans="1:1" ht="20.100000000000001" customHeight="1">
      <c r="A231" s="20" t="s">
        <v>119</v>
      </c>
    </row>
    <row r="232" spans="1:1" ht="20.100000000000001" customHeight="1">
      <c r="A232" s="20" t="s">
        <v>120</v>
      </c>
    </row>
    <row r="233" spans="1:1" ht="20.100000000000001" customHeight="1">
      <c r="A233" s="20" t="s">
        <v>121</v>
      </c>
    </row>
    <row r="234" spans="1:1" ht="20.100000000000001" customHeight="1">
      <c r="A234" s="20" t="s">
        <v>122</v>
      </c>
    </row>
    <row r="235" spans="1:1" ht="20.100000000000001" customHeight="1">
      <c r="A235" s="20" t="s">
        <v>123</v>
      </c>
    </row>
    <row r="236" spans="1:1" ht="20.100000000000001" customHeight="1">
      <c r="A236" s="22" t="s">
        <v>124</v>
      </c>
    </row>
    <row r="237" spans="1:1" ht="20.100000000000001" customHeight="1">
      <c r="A237" s="20" t="s">
        <v>125</v>
      </c>
    </row>
    <row r="238" spans="1:1" ht="20.100000000000001" customHeight="1">
      <c r="A238" s="20" t="s">
        <v>126</v>
      </c>
    </row>
    <row r="239" spans="1:1" ht="20.100000000000001" customHeight="1">
      <c r="A239" s="20" t="s">
        <v>127</v>
      </c>
    </row>
    <row r="240" spans="1:1" ht="20.100000000000001" customHeight="1">
      <c r="A240" s="20" t="s">
        <v>128</v>
      </c>
    </row>
    <row r="241" spans="1:1" ht="20.100000000000001" customHeight="1">
      <c r="A241" s="20" t="s">
        <v>129</v>
      </c>
    </row>
    <row r="242" spans="1:1" ht="20.100000000000001" customHeight="1">
      <c r="A242" s="20" t="s">
        <v>130</v>
      </c>
    </row>
    <row r="243" spans="1:1" ht="20.100000000000001" customHeight="1">
      <c r="A243" s="20" t="s">
        <v>131</v>
      </c>
    </row>
    <row r="244" spans="1:1" ht="20.100000000000001" customHeight="1">
      <c r="A244" s="20" t="s">
        <v>132</v>
      </c>
    </row>
    <row r="245" spans="1:1" ht="20.100000000000001" customHeight="1">
      <c r="A245" s="20" t="s">
        <v>133</v>
      </c>
    </row>
    <row r="246" spans="1:1" ht="20.100000000000001" customHeight="1">
      <c r="A246" s="20" t="s">
        <v>134</v>
      </c>
    </row>
    <row r="247" spans="1:1" ht="20.100000000000001" customHeight="1">
      <c r="A247" s="20" t="s">
        <v>135</v>
      </c>
    </row>
    <row r="248" spans="1:1" ht="20.100000000000001" customHeight="1">
      <c r="A248" s="20" t="s">
        <v>126</v>
      </c>
    </row>
    <row r="249" spans="1:1" ht="20.100000000000001" customHeight="1">
      <c r="A249" s="20" t="s">
        <v>136</v>
      </c>
    </row>
    <row r="250" spans="1:1" ht="20.100000000000001" customHeight="1">
      <c r="A250" s="20" t="s">
        <v>137</v>
      </c>
    </row>
    <row r="251" spans="1:1" ht="20.100000000000001" customHeight="1">
      <c r="A251" s="22" t="s">
        <v>138</v>
      </c>
    </row>
    <row r="252" spans="1:1" ht="20.100000000000001" customHeight="1">
      <c r="A252" s="23" t="s">
        <v>139</v>
      </c>
    </row>
    <row r="253" spans="1:1" ht="20.100000000000001" customHeight="1">
      <c r="A253" s="20" t="s">
        <v>140</v>
      </c>
    </row>
    <row r="254" spans="1:1" ht="20.100000000000001" customHeight="1">
      <c r="A254" s="20" t="s">
        <v>141</v>
      </c>
    </row>
    <row r="255" spans="1:1" ht="20.100000000000001" customHeight="1">
      <c r="A255" s="24" t="s">
        <v>142</v>
      </c>
    </row>
    <row r="256" spans="1:1" ht="20.100000000000001" customHeight="1">
      <c r="A256" s="24" t="s">
        <v>143</v>
      </c>
    </row>
    <row r="257" spans="1:1" ht="20.100000000000001" customHeight="1">
      <c r="A257" s="25" t="s">
        <v>144</v>
      </c>
    </row>
    <row r="258" spans="1:1" ht="20.100000000000001" customHeight="1">
      <c r="A258" s="20" t="s">
        <v>145</v>
      </c>
    </row>
    <row r="259" spans="1:1" ht="20.100000000000001" customHeight="1">
      <c r="A259" s="25" t="s">
        <v>146</v>
      </c>
    </row>
    <row r="260" spans="1:1" ht="20.100000000000001" customHeight="1">
      <c r="A260" s="20" t="s">
        <v>147</v>
      </c>
    </row>
    <row r="261" spans="1:1" ht="20.100000000000001" customHeight="1">
      <c r="A261" s="25" t="s">
        <v>148</v>
      </c>
    </row>
    <row r="262" spans="1:1" ht="20.100000000000001" customHeight="1">
      <c r="A262" s="20" t="s">
        <v>149</v>
      </c>
    </row>
    <row r="263" spans="1:1" ht="20.100000000000001" customHeight="1">
      <c r="A263" s="20" t="s">
        <v>150</v>
      </c>
    </row>
    <row r="264" spans="1:1" ht="20.100000000000001" customHeight="1">
      <c r="A264" s="25" t="s">
        <v>151</v>
      </c>
    </row>
    <row r="265" spans="1:1" ht="20.100000000000001" customHeight="1">
      <c r="A265" s="25" t="s">
        <v>152</v>
      </c>
    </row>
    <row r="266" spans="1:1" ht="20.100000000000001" customHeight="1">
      <c r="A266" s="25" t="s">
        <v>153</v>
      </c>
    </row>
    <row r="267" spans="1:1" ht="20.100000000000001" customHeight="1">
      <c r="A267" s="20" t="s">
        <v>154</v>
      </c>
    </row>
    <row r="268" spans="1:1" ht="20.100000000000001" customHeight="1">
      <c r="A268" s="20" t="s">
        <v>155</v>
      </c>
    </row>
    <row r="269" spans="1:1" ht="20.100000000000001" customHeight="1">
      <c r="A269" s="20" t="s">
        <v>156</v>
      </c>
    </row>
    <row r="270" spans="1:1" ht="20.100000000000001" customHeight="1">
      <c r="A270" s="20" t="s">
        <v>157</v>
      </c>
    </row>
    <row r="271" spans="1:1" ht="20.100000000000001" customHeight="1">
      <c r="A271" s="25" t="s">
        <v>158</v>
      </c>
    </row>
    <row r="272" spans="1:1" ht="20.100000000000001" customHeight="1">
      <c r="A272" s="25" t="s">
        <v>159</v>
      </c>
    </row>
    <row r="273" spans="1:1" ht="20.100000000000001" customHeight="1">
      <c r="A273" s="20" t="s">
        <v>160</v>
      </c>
    </row>
    <row r="274" spans="1:1" ht="20.100000000000001" customHeight="1">
      <c r="A274" s="25" t="s">
        <v>161</v>
      </c>
    </row>
    <row r="275" spans="1:1" ht="20.100000000000001" customHeight="1">
      <c r="A275" s="25" t="s">
        <v>162</v>
      </c>
    </row>
    <row r="276" spans="1:1" ht="20.100000000000001" customHeight="1">
      <c r="A276" s="20" t="s">
        <v>163</v>
      </c>
    </row>
    <row r="277" spans="1:1" ht="20.100000000000001" customHeight="1">
      <c r="A277" s="20" t="s">
        <v>164</v>
      </c>
    </row>
    <row r="278" spans="1:1" ht="20.100000000000001" customHeight="1">
      <c r="A278" s="25" t="s">
        <v>165</v>
      </c>
    </row>
    <row r="279" spans="1:1" ht="20.100000000000001" customHeight="1">
      <c r="A279" s="20" t="s">
        <v>166</v>
      </c>
    </row>
    <row r="280" spans="1:1" ht="20.100000000000001" customHeight="1">
      <c r="A280" s="20" t="s">
        <v>167</v>
      </c>
    </row>
    <row r="281" spans="1:1" ht="20.100000000000001" customHeight="1">
      <c r="A281" s="20" t="s">
        <v>168</v>
      </c>
    </row>
    <row r="282" spans="1:1" ht="20.100000000000001" customHeight="1">
      <c r="A282" s="20" t="s">
        <v>169</v>
      </c>
    </row>
    <row r="283" spans="1:1" ht="20.100000000000001" customHeight="1">
      <c r="A283" s="25" t="s">
        <v>170</v>
      </c>
    </row>
    <row r="284" spans="1:1" ht="20.100000000000001" customHeight="1">
      <c r="A284" s="25" t="s">
        <v>171</v>
      </c>
    </row>
    <row r="285" spans="1:1" ht="20.100000000000001" customHeight="1">
      <c r="A285" s="25" t="s">
        <v>172</v>
      </c>
    </row>
    <row r="286" spans="1:1" ht="20.100000000000001" customHeight="1" thickBot="1">
      <c r="A286" s="20" t="s">
        <v>173</v>
      </c>
    </row>
    <row r="287" spans="1:1" ht="20.100000000000001" customHeight="1" thickBot="1">
      <c r="A287" s="2" t="s">
        <v>58</v>
      </c>
    </row>
    <row r="288" spans="1:1" ht="20.100000000000001" customHeight="1" thickBot="1">
      <c r="A288" s="2" t="s">
        <v>58</v>
      </c>
    </row>
    <row r="289" spans="1:1" ht="20.100000000000001" customHeight="1" thickBot="1">
      <c r="A289" s="2" t="s">
        <v>58</v>
      </c>
    </row>
    <row r="290" spans="1:1" ht="20.100000000000001" customHeight="1" thickBot="1">
      <c r="A290" s="2" t="s">
        <v>58</v>
      </c>
    </row>
    <row r="291" spans="1:1" ht="20.100000000000001" customHeight="1" thickBot="1">
      <c r="A291" s="2" t="s">
        <v>58</v>
      </c>
    </row>
    <row r="292" spans="1:1" ht="20.100000000000001" customHeight="1" thickBot="1">
      <c r="A292" s="2" t="s">
        <v>58</v>
      </c>
    </row>
    <row r="293" spans="1:1" ht="20.100000000000001" customHeight="1" thickBot="1">
      <c r="A293" s="2" t="s">
        <v>58</v>
      </c>
    </row>
    <row r="294" spans="1:1" ht="20.100000000000001" customHeight="1" thickBot="1">
      <c r="A294" s="2" t="s">
        <v>58</v>
      </c>
    </row>
    <row r="295" spans="1:1" ht="20.100000000000001" customHeight="1" thickBot="1">
      <c r="A295" s="2" t="s">
        <v>58</v>
      </c>
    </row>
    <row r="296" spans="1:1" ht="20.100000000000001" customHeight="1" thickBot="1">
      <c r="A296" s="2" t="s">
        <v>58</v>
      </c>
    </row>
    <row r="297" spans="1:1" ht="20.100000000000001" customHeight="1" thickBot="1">
      <c r="A297" s="2" t="s">
        <v>58</v>
      </c>
    </row>
    <row r="298" spans="1:1" ht="20.100000000000001" customHeight="1" thickBot="1">
      <c r="A298" s="2" t="s">
        <v>58</v>
      </c>
    </row>
    <row r="299" spans="1:1" ht="20.100000000000001" customHeight="1" thickBot="1">
      <c r="A299" s="2" t="s">
        <v>58</v>
      </c>
    </row>
    <row r="300" spans="1:1" ht="20.100000000000001" customHeight="1" thickBot="1">
      <c r="A300" s="2" t="s">
        <v>58</v>
      </c>
    </row>
    <row r="301" spans="1:1" ht="20.100000000000001" customHeight="1" thickBot="1">
      <c r="A301" s="2" t="s">
        <v>58</v>
      </c>
    </row>
    <row r="302" spans="1:1" ht="20.100000000000001" customHeight="1" thickBot="1">
      <c r="A302" s="2" t="s">
        <v>58</v>
      </c>
    </row>
    <row r="303" spans="1:1" ht="20.100000000000001" customHeight="1" thickBot="1">
      <c r="A303" s="2" t="s">
        <v>58</v>
      </c>
    </row>
    <row r="304" spans="1:1" ht="20.100000000000001" customHeight="1" thickBot="1">
      <c r="A304" s="2" t="s">
        <v>58</v>
      </c>
    </row>
    <row r="305" spans="1:1" ht="20.100000000000001" customHeight="1" thickBot="1">
      <c r="A305" s="2" t="s">
        <v>58</v>
      </c>
    </row>
    <row r="306" spans="1:1" ht="20.100000000000001" customHeight="1" thickBot="1">
      <c r="A306" s="2" t="s">
        <v>58</v>
      </c>
    </row>
    <row r="307" spans="1:1" ht="20.100000000000001" customHeight="1" thickBot="1">
      <c r="A307" s="2" t="s">
        <v>58</v>
      </c>
    </row>
    <row r="308" spans="1:1" ht="20.100000000000001" customHeight="1" thickBot="1">
      <c r="A308" s="2" t="s">
        <v>58</v>
      </c>
    </row>
    <row r="309" spans="1:1" ht="20.100000000000001" customHeight="1" thickBot="1">
      <c r="A309" s="2" t="s">
        <v>58</v>
      </c>
    </row>
    <row r="310" spans="1:1" ht="20.100000000000001" customHeight="1" thickBot="1">
      <c r="A310" s="2" t="s">
        <v>58</v>
      </c>
    </row>
    <row r="311" spans="1:1" ht="20.100000000000001" customHeight="1" thickBot="1">
      <c r="A311" s="2" t="s">
        <v>58</v>
      </c>
    </row>
    <row r="312" spans="1:1" ht="20.100000000000001" customHeight="1" thickBot="1">
      <c r="A312" s="2" t="s">
        <v>58</v>
      </c>
    </row>
    <row r="313" spans="1:1" ht="20.100000000000001" customHeight="1" thickBot="1">
      <c r="A313" s="2" t="s">
        <v>58</v>
      </c>
    </row>
    <row r="314" spans="1:1" ht="20.100000000000001" customHeight="1" thickBot="1">
      <c r="A314" s="2" t="s">
        <v>58</v>
      </c>
    </row>
    <row r="315" spans="1:1" ht="20.100000000000001" customHeight="1" thickBot="1">
      <c r="A315" s="2" t="s">
        <v>58</v>
      </c>
    </row>
    <row r="316" spans="1:1" ht="20.100000000000001" customHeight="1" thickBot="1">
      <c r="A316" s="2" t="s">
        <v>58</v>
      </c>
    </row>
    <row r="317" spans="1:1" ht="20.100000000000001" customHeight="1" thickBot="1">
      <c r="A317" s="2" t="s">
        <v>58</v>
      </c>
    </row>
    <row r="318" spans="1:1" ht="20.100000000000001" customHeight="1" thickBot="1">
      <c r="A318" s="2" t="s">
        <v>58</v>
      </c>
    </row>
    <row r="319" spans="1:1" ht="20.100000000000001" customHeight="1" thickBot="1">
      <c r="A319" s="2" t="s">
        <v>58</v>
      </c>
    </row>
    <row r="320" spans="1:1" ht="20.100000000000001" customHeight="1" thickBot="1">
      <c r="A320" s="2" t="s">
        <v>58</v>
      </c>
    </row>
    <row r="321" spans="1:1" ht="20.100000000000001" customHeight="1" thickBot="1">
      <c r="A321" s="2" t="s">
        <v>58</v>
      </c>
    </row>
    <row r="322" spans="1:1" ht="20.100000000000001" customHeight="1" thickBot="1">
      <c r="A322" s="2" t="s">
        <v>58</v>
      </c>
    </row>
    <row r="323" spans="1:1" ht="20.100000000000001" customHeight="1" thickBot="1">
      <c r="A323" s="2" t="s">
        <v>58</v>
      </c>
    </row>
    <row r="324" spans="1:1" ht="20.100000000000001" customHeight="1" thickBot="1">
      <c r="A324" s="2" t="s">
        <v>58</v>
      </c>
    </row>
    <row r="325" spans="1:1" ht="20.100000000000001" customHeight="1" thickBot="1">
      <c r="A325" s="2" t="s">
        <v>58</v>
      </c>
    </row>
    <row r="326" spans="1:1" ht="20.100000000000001" customHeight="1" thickBot="1">
      <c r="A326" s="2" t="s">
        <v>58</v>
      </c>
    </row>
    <row r="327" spans="1:1" ht="20.100000000000001" customHeight="1" thickBot="1">
      <c r="A327" s="2" t="s">
        <v>58</v>
      </c>
    </row>
    <row r="328" spans="1:1" ht="20.100000000000001" customHeight="1" thickBot="1">
      <c r="A328" s="2" t="s">
        <v>58</v>
      </c>
    </row>
    <row r="329" spans="1:1" ht="20.100000000000001" customHeight="1" thickBot="1">
      <c r="A329" s="2" t="s">
        <v>58</v>
      </c>
    </row>
    <row r="330" spans="1:1" ht="20.100000000000001" customHeight="1" thickBot="1">
      <c r="A330" s="2" t="s">
        <v>58</v>
      </c>
    </row>
    <row r="331" spans="1:1" ht="20.100000000000001" customHeight="1" thickBot="1">
      <c r="A331" s="2" t="s">
        <v>58</v>
      </c>
    </row>
    <row r="332" spans="1:1" ht="20.100000000000001" customHeight="1" thickBot="1">
      <c r="A332" s="2" t="s">
        <v>58</v>
      </c>
    </row>
    <row r="333" spans="1:1" ht="20.100000000000001" customHeight="1" thickBot="1">
      <c r="A333" s="2" t="s">
        <v>58</v>
      </c>
    </row>
    <row r="334" spans="1:1" ht="20.100000000000001" customHeight="1" thickBot="1">
      <c r="A334" s="2" t="s">
        <v>58</v>
      </c>
    </row>
    <row r="335" spans="1:1" ht="20.100000000000001" customHeight="1" thickBot="1">
      <c r="A335" s="2" t="s">
        <v>58</v>
      </c>
    </row>
    <row r="336" spans="1:1" ht="20.100000000000001" customHeight="1" thickBot="1">
      <c r="A336" s="2" t="s">
        <v>58</v>
      </c>
    </row>
    <row r="337" spans="1:1" ht="20.100000000000001" customHeight="1" thickBot="1">
      <c r="A337" s="2" t="s">
        <v>58</v>
      </c>
    </row>
    <row r="338" spans="1:1" ht="20.100000000000001" customHeight="1" thickBot="1">
      <c r="A338" s="2" t="s">
        <v>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item1.xml>��
</file>

<file path=customXml/itemProps1.xml><?xml version="1.0" encoding="utf-8"?>
<ds:datastoreItem xmlns:ds="http://schemas.openxmlformats.org/officeDocument/2006/customXml" ds:itemID="{40440EA8-9573-4763-AAB4-821F38B5F9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2025-09-22T05:51:08Z</dcterms:modified>
</cp:coreProperties>
</file>