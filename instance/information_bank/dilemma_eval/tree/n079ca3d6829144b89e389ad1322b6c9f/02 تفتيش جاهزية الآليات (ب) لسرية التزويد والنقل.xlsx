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F77D087C-2058-0D4F-93AF-BBA293E82F43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3" i="2"/>
  <c r="H53" i="2"/>
  <c r="G54" i="2"/>
  <c r="H54" i="2"/>
  <c r="G55" i="2"/>
  <c r="H55" i="2"/>
  <c r="G57" i="2"/>
  <c r="H57" i="2"/>
  <c r="G58" i="2"/>
  <c r="H58" i="2"/>
  <c r="F59" i="2"/>
  <c r="E59" i="2"/>
  <c r="E60" i="2"/>
  <c r="E61" i="2"/>
</calcChain>
</file>

<file path=xl/sharedStrings.xml><?xml version="1.0" encoding="utf-8"?>
<sst xmlns="http://schemas.openxmlformats.org/spreadsheetml/2006/main" count="289" uniqueCount="233">
  <si>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</si>
  <si>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</si>
  <si>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</si>
  <si>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</si>
  <si>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</si>
  <si>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</si>
  <si>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</si>
  <si>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</si>
  <si>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</si>
  <si>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</si>
  <si>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</si>
  <si>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</si>
  <si>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</si>
  <si>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</si>
  <si>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</si>
  <si>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</si>
  <si>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</si>
  <si>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</si>
  <si>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</si>
  <si>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</si>
  <si>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</si>
  <si>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</si>
  <si>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</si>
  <si>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</si>
  <si>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</si>
  <si>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</si>
  <si>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</si>
  <si>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</si>
  <si>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</si>
  <si>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</si>
  <si>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</si>
  <si>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</si>
  <si>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</si>
  <si>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</si>
  <si>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</si>
  <si>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</si>
  <si>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</si>
  <si>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</si>
  <si>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</si>
  <si>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</si>
  <si>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</si>
  <si>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</si>
  <si>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</si>
  <si>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</si>
  <si>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</si>
  <si>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</si>
  <si>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</si>
  <si>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</si>
  <si>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</si>
  <si>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</si>
  <si>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</si>
  <si>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</si>
  <si>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</si>
  <si>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</si>
  <si>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</si>
  <si>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</si>
  <si>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</si>
  <si>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</si>
  <si>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</si>
  <si>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</si>
  <si>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</si>
  <si>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</si>
  <si>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</si>
  <si>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</si>
  <si>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</si>
  <si>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</si>
  <si>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</si>
  <si>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</si>
  <si>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</si>
  <si>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</si>
  <si>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</si>
  <si>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</si>
  <si>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</si>
  <si>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</si>
  <si>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</si>
  <si>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</si>
  <si>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</si>
  <si>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</si>
  <si>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</si>
  <si>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</si>
  <si>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</si>
  <si>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</si>
  <si>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</si>
  <si>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</si>
  <si>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</si>
  <si>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</si>
  <si>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</si>
  <si>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</si>
  <si>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</si>
  <si>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</si>
  <si>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</si>
  <si>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</si>
  <si>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</si>
  <si>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</si>
  <si>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</si>
  <si>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</si>
  <si>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</si>
  <si>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</si>
  <si>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</si>
  <si>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</si>
  <si>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</si>
  <si>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</si>
  <si>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</si>
  <si>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</si>
  <si>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</si>
  <si>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</si>
  <si>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</si>
  <si>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</si>
  <si>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</si>
  <si>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</si>
  <si>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</si>
  <si>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</si>
  <si>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</si>
  <si>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</si>
  <si>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</si>
  <si>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</si>
  <si>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</si>
  <si>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</si>
  <si>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</si>
  <si>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</si>
  <si>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</si>
  <si>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</si>
  <si>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</si>
  <si>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</si>
  <si>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</si>
  <si>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</si>
  <si>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</si>
  <si>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</si>
  <si>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</si>
  <si>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</si>
  <si>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</si>
  <si>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</si>
  <si>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</si>
  <si>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</si>
  <si>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</si>
  <si>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</si>
  <si>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</si>
  <si>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</si>
  <si>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</si>
  <si>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</si>
  <si>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</si>
  <si>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</si>
  <si>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</si>
  <si>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</si>
  <si>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</si>
  <si>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</si>
  <si>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</si>
  <si>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</si>
  <si>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</si>
  <si>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</si>
  <si>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</si>
  <si>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</si>
  <si>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</si>
  <si>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</si>
  <si>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</si>
  <si>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</si>
  <si>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</si>
  <si>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</si>
  <si>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</si>
  <si>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</si>
  <si>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</si>
  <si>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</si>
  <si>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</si>
  <si>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</si>
  <si>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</si>
  <si>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</si>
  <si>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</si>
  <si>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</si>
  <si>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</si>
  <si>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</si>
  <si>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</si>
  <si>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</si>
  <si>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</si>
  <si>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</si>
  <si>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</si>
  <si>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</si>
  <si>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</si>
  <si>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</si>
  <si>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</si>
  <si>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</si>
  <si>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تفتيش جاهزية الآليات (ب) لسرية التزويد والنقل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
</t>
    </r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</si>
  <si>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</si>
  <si>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</si>
  <si>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الطاقم المؤهل بالنسبة لعدد الآليات (السواقين).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</si>
  <si>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كشف معتمد من القائد بالمرتب والموجود ونسبة الصلاحية للآليات.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</si>
  <si>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العهدة.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</si>
  <si>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ملف لحفظ سندات الصرف والاستلام للآليات والعـدة.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</si>
  <si>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الحركة.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</si>
  <si>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الحوادث.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</si>
  <si>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تسليم واستلام الآليات.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</si>
  <si>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الدخول والخروج من الورشة / المشاغل / مراكز الإصلاح.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</si>
  <si>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تعليمات وإجراءات الصيانة الدورية واللوحات الإرشادية.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</si>
  <si>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التقيد بالتعليمات والإجراءات لإدخال الآليات لمراكز الإصلاح.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</si>
  <si>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إدامة السجلات الخاصة بكل آلية بواسطة الطاقم وتصديق الضابط المسؤول.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</si>
  <si>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معرفة السائق بالآلية وإلمامه بالتعليمات والصيانة.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</si>
  <si>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إلمام ضابط النقليات بمهامه وواجباته.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</si>
  <si>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ملف لحفظ نماذج شطب الآليات.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</si>
  <si>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</si>
  <si>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النظافة.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</si>
  <si>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وجود أي نواقص.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</si>
  <si>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الضرر.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</si>
  <si>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حالة الصبغ.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</si>
  <si>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فحص الإطارات.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</si>
  <si>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صندوق العدة ومحتوياته.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</si>
  <si>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مقاعد غرفة القيادة والركاب.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</si>
  <si>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</si>
  <si>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مستـوى الزيـت / المياه (المحرك ، نظـام ناقل الحركة ، الفرامل ، مبرد المياه (الراديتر).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</si>
  <si>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تسرّب الزيت / المياه من أجزاء الآلية.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</si>
  <si>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التقيد بتوقيتات تغيير الزيت.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</si>
  <si>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التشحيــم.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</si>
  <si>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</si>
  <si>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</si>
  <si>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الوقود.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</si>
  <si>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ناقل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</si>
  <si>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التبريد.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</si>
  <si>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الفرامل.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</si>
  <si>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التوجيه.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</si>
  <si>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إطفاء الحريق (طفاية الحريق وصلاحيتها).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</si>
  <si>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</si>
  <si>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البطاريات.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</si>
  <si>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التشغيل.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</si>
  <si>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المولــــد.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</si>
  <si>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الداخلية.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</si>
  <si>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</si>
  <si>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لوحات العرض.</t>
    </r>
  </si>
  <si>
    <t>فحص الآلية أثناء السير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</si>
  <si>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السير على الطريق.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</si>
  <si>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أنظمة الآلية (الميكانيكية والكهربائية).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</si>
  <si>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التكييف / نظام التهوية.</t>
    </r>
  </si>
  <si>
    <t>المهمـات الإضافية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</si>
  <si>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مستــودع الـعــــدة وأغطيـــة التمويه وأعمدة التثبيت.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</si>
  <si>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مستودع قطع الغيار.</t>
    </r>
  </si>
  <si>
    <t xml:space="preserve">رائد / محمد خليفة النعيمي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</si>
</sst>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sz val="11"/>
      <color theme="1"/>
      <name val="Calibri"/>
      <family val="2"/>
    </font>
    <font>
      <b/>
      <u/>
      <sz val="12"/>
      <color theme="1"/>
      <name val="Arial"/>
      <family val="2"/>
    </font>
    <font>
      <sz val="12"/>
      <color theme="1"/>
      <name val="Times New Roman"/>
      <family val="1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4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5" fillId="0" borderId="5" xfId="0" applyFont="1" applyBorder="1" applyAlignment="1">
      <alignment horizontal="right" vertical="center" wrapText="1" readingOrder="2"/>
    </xf>
    <xf numFmtId="0" fontId="15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9" fillId="0" borderId="23" xfId="0" applyFont="1" applyBorder="1" applyAlignment="1">
      <alignment horizontal="right" vertical="center" wrapText="1" readingOrder="2"/>
    </xf>
    <xf numFmtId="0" fontId="19" fillId="0" borderId="3" xfId="0" applyFont="1" applyBorder="1" applyAlignment="1">
      <alignment horizontal="right" vertical="center" wrapText="1" readingOrder="2"/>
    </xf>
    <xf numFmtId="0" fontId="19" fillId="0" borderId="11" xfId="0" applyFont="1" applyBorder="1" applyAlignment="1">
      <alignment horizontal="right" vertical="center" wrapText="1" readingOrder="2"/>
    </xf>
    <xf numFmtId="0" fontId="19" fillId="0" borderId="12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606705</xdr:colOff>
      <xdr:row>62</xdr:row>
      <xdr:rowOff>101308</xdr:rowOff>
    </xdr:from>
    <xdr:to>
      <xdr:col>7</xdr:col>
      <xdr:colOff>440735</xdr:colOff>
      <xdr:row>62</xdr:row>
      <xdr:rowOff>357988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1D8F58C-7B39-3B45-5047-B5DB648EDAE6}"/>
                </a:ext>
              </a:extLst>
            </xdr14:cNvPr>
            <xdr14:cNvContentPartPr/>
          </xdr14:nvContentPartPr>
          <xdr14:nvPr macro=""/>
          <xdr14:xfrm>
            <a:off x="10399462265" y="23873400"/>
            <a:ext cx="492120" cy="2566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1D8F58C-7B39-3B45-5047-B5DB648EDAE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456145" y="23867280"/>
              <a:ext cx="504360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277305</xdr:colOff>
      <xdr:row>62</xdr:row>
      <xdr:rowOff>167548</xdr:rowOff>
    </xdr:from>
    <xdr:to>
      <xdr:col>8</xdr:col>
      <xdr:colOff>133284</xdr:colOff>
      <xdr:row>62</xdr:row>
      <xdr:rowOff>584068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91F1ACC-A3E0-F55F-6ED0-BD26F35A0F5F}"/>
                </a:ext>
              </a:extLst>
            </xdr14:cNvPr>
            <xdr14:cNvContentPartPr/>
          </xdr14:nvContentPartPr>
          <xdr14:nvPr macro=""/>
          <xdr14:xfrm>
            <a:off x="10399111625" y="23939640"/>
            <a:ext cx="1172160" cy="4165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91F1ACC-A3E0-F55F-6ED0-BD26F35A0F5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105505" y="23933520"/>
              <a:ext cx="1184400" cy="428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41:34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804 626 1936,'0'0'0,"0"0"0,-14-15 1656,2-2-704,0 0-279,-3-2-121,15 19-552,-2-4 440,-3-2-56,3-8-216,-1 10-80,3 4-88,-2-13 40,-1 2-32,3-1-32,0-1-24,0 13 48,0-12 0,0-1 0,0-1 0,-2-1 64,2 15-64,0-14 24,0 0 8,0-2 8,0 2-56,0 14 16,0-15 0,5-1-40,7-1 40,-10 0-8,-2 17 8,15-19-8,-13-1-32,15-1 0,0-2 16,-17 23 24,17-21-16,2 0 24,5-1-16,0 1-40,-24 21 48,26-20 16,3 0 0,3 0-24,-1 2 32,-31 18-24,34-19-32,-1 4 8,6 2 8,2 7 8,-41 6 8,40-4 32,-1 4-40,-3 3 32,-7 15-8,-29-18-16,26 20-16,-6 7 56,-6 4-32,-9 6-40,-5-37 32,5 40 8,-3 4 32,-2 0 0,-12-1-8,12-43-32,-12 38 48,0-3-32,-7-4-16,-1-4 64,20-27-64,-24 24-16,3-3 16,-6-2 32,-4-4 0,31-15-32,-26 12 24,-8-9 0,3-1 32,2-2-48,29 0-8,-27-1 24,3-12-8,0-2-8,3-4-16,21 19 8,-20-21 56,6-1-40,-1-2-8,11 0 8,4 24-16,-15-23-24,10-1 72,1 3-8,-6 1-16,10 20-24,-2-17 16,-1 3-40,1 8-16,2-5 88,0 11-48,0-2-8,0 1 24,0 1-24,0 0 8,0 4 40,0 13-32,0-1 0,0 4-64,0-20 56,0 21 16,0 2-24,-3 0 16,-1-1-16,4-22 8,-15 20-16,3-1 48,0-2 24,2-2-24,10-15-32,-16 16-16,1-2 64,-4-1-48,-5-2 72,24-11-72,-24 5 40,0 6-32,-7-11 16,4 3 16,27-3-40,-31 0 0,4-3 24,3-3 56,0-6-40,24 12-40,-17-12 64,1-2-56,1 0-24,13 0 24,2 14-8,-17-16 32,12 3-8,-5 2 24,6 5-32,4 6-16,-3-11-16,1 9 32,-3-2-40,5 3 0,0 1 24,0-2 56,-5 2 40,0 0-40,3 3 40,2-3-96,-12 13 40,0 0-40,-3 6 16,-4 4 8,19-23-24,-17 26 24,-2 1 0,5-2-16,-5 0 32,19-25-40,-17 22 16,0-2 8,0 0 40,3-3-88,14-17 24,-15 14 0,6-1-16,-6-1 24,3-10 0,12-2-8,-7 5 40,-8-1 8,11 0-72,-13-4 112,17 0-88,-15 0-32,1 0-24,-5 0-72,2-4-144,17 4 272,-19-4-304,2-11-728,-5 11-1641,3-16-823,19 20 3496,0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41:35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948 256 1632,'0'0'0,"0"0"0,0-1 488,0-1-304,0 1-152,3 1-64,-3 0 32,5 3-16,-3 11 48,3-1-64,0 1 24,-5-14 8,2 16 24,-2 1-8,-2 4 64,-18 6 0,20-27-80,-21 33 88,-8 5 0,-14 6-56,-3 3-16,46-47-16,-55 51 32,-6 3-16,-4 3 32,-2 1 72,67-58-120,-72 57 120,2 2 40,0-4-32,-4-2-24,74-53-104,-67 47 88,4-6-32,12-10 48,11-5-40,40-26-64,-32 17 96,16-13 48,11 0-8,5-1 16,0-3-152,0 0 112,12-3-104,2-2-32,13-11-24,-27 16 48,38-14-88,20-3 32,12 1-8,11 0 0,-81 16 64,92-12-48,6-3 48,8 1 0,10 0 0,-116 14 0,120-14 24,0-3-24,5 0-24,-4-2 56,-121 19-32,122-24 24,3-2-8,3-5 8,2-7-8,-130 38-16,130-46 0,7-8-56,2-10 80,3-8-56,-142 72 32,147-77-48,-5-4-32,-3 1-264,1 4-160,-140 76 504,125-76-544,-7 5 136,-15 7-400,-14-3-344,-89 67 1152,0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3"/>
  <sheetViews>
    <sheetView rightToLeft="1" tabSelected="1" view="pageBreakPreview" topLeftCell="C46" zoomScale="130" zoomScaleNormal="100" zoomScaleSheetLayoutView="130" workbookViewId="0">
      <selection activeCell="G63" sqref="G63:J6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1" t="s">
        <v>180</v>
      </c>
      <c r="C1" s="71"/>
      <c r="D1" s="71"/>
      <c r="E1" s="71"/>
      <c r="F1" s="71"/>
      <c r="G1" s="71"/>
      <c r="H1" s="71"/>
      <c r="I1" s="71"/>
      <c r="J1" s="71"/>
    </row>
    <row r="2" spans="1:10" ht="30" customHeight="1" x14ac:dyDescent="0.2">
      <c r="B2" s="12" t="s">
        <v>8</v>
      </c>
      <c r="C2" s="77" t="s">
        <v>33</v>
      </c>
      <c r="D2" s="77"/>
      <c r="E2" s="12" t="s">
        <v>7</v>
      </c>
      <c r="F2" s="72">
        <v>45929</v>
      </c>
      <c r="G2" s="72"/>
      <c r="H2" s="72"/>
      <c r="I2" s="72"/>
      <c r="J2" s="72"/>
    </row>
    <row r="3" spans="1:10" ht="30" customHeight="1" x14ac:dyDescent="0.2">
      <c r="B3" s="12" t="s">
        <v>9</v>
      </c>
      <c r="C3" s="77" t="s">
        <v>60</v>
      </c>
      <c r="D3" s="77"/>
      <c r="E3" s="12" t="s">
        <v>6</v>
      </c>
      <c r="F3" s="77" t="s">
        <v>120</v>
      </c>
      <c r="G3" s="77"/>
      <c r="H3" s="77"/>
      <c r="I3" s="77"/>
      <c r="J3" s="77"/>
    </row>
    <row r="4" spans="1:10" ht="30" customHeight="1" thickBot="1" x14ac:dyDescent="0.25">
      <c r="B4" s="6"/>
      <c r="C4" s="7"/>
      <c r="D4" s="7" t="s">
        <v>232</v>
      </c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73" t="s">
        <v>0</v>
      </c>
      <c r="C5" s="74"/>
      <c r="D5" s="74"/>
      <c r="E5" s="82" t="s">
        <v>1</v>
      </c>
      <c r="F5" s="82"/>
      <c r="G5" s="82"/>
      <c r="H5" s="82"/>
      <c r="I5" s="82" t="s">
        <v>2</v>
      </c>
      <c r="J5" s="83"/>
    </row>
    <row r="6" spans="1:10" ht="24.95" customHeight="1" thickBot="1" x14ac:dyDescent="0.25">
      <c r="A6" s="10"/>
      <c r="B6" s="75"/>
      <c r="C6" s="76"/>
      <c r="D6" s="76"/>
      <c r="E6" s="11" t="s">
        <v>3</v>
      </c>
      <c r="F6" s="11" t="s">
        <v>4</v>
      </c>
      <c r="G6" s="11" t="s">
        <v>23</v>
      </c>
      <c r="H6" s="11" t="s">
        <v>24</v>
      </c>
      <c r="I6" s="84"/>
      <c r="J6" s="85"/>
    </row>
    <row r="7" spans="1:10" ht="24.95" customHeight="1" thickBot="1" x14ac:dyDescent="0.25">
      <c r="A7" s="10"/>
      <c r="B7" s="80" t="s">
        <v>21</v>
      </c>
      <c r="C7" s="81"/>
      <c r="D7" s="81"/>
      <c r="E7" s="28" t="s">
        <v>18</v>
      </c>
      <c r="F7" s="28" t="s">
        <v>19</v>
      </c>
      <c r="G7" s="28" t="s">
        <v>22</v>
      </c>
      <c r="H7" s="28" t="s">
        <v>20</v>
      </c>
      <c r="I7" s="86" t="s">
        <v>25</v>
      </c>
      <c r="J7" s="87"/>
    </row>
    <row r="8" spans="1:10" ht="30" customHeight="1" x14ac:dyDescent="0.2">
      <c r="A8" s="10"/>
      <c r="B8" s="42" t="s">
        <v>181</v>
      </c>
      <c r="C8" s="43"/>
      <c r="D8" s="43"/>
      <c r="E8" s="33"/>
      <c r="F8" s="34"/>
      <c r="G8" s="35"/>
      <c r="H8" s="36"/>
      <c r="I8" s="57"/>
      <c r="J8" s="58"/>
    </row>
    <row r="9" spans="1:10" ht="30" customHeight="1" x14ac:dyDescent="0.2">
      <c r="A9" s="10"/>
      <c r="B9" s="44" t="s">
        <v>182</v>
      </c>
      <c r="C9" s="45"/>
      <c r="D9" s="45"/>
      <c r="E9" s="32">
        <v>10</v>
      </c>
      <c r="F9" s="26">
        <v>7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0"/>
      <c r="J9" s="51"/>
    </row>
    <row r="10" spans="1:10" ht="30" customHeight="1" x14ac:dyDescent="0.2">
      <c r="A10" s="10"/>
      <c r="B10" s="44" t="s">
        <v>183</v>
      </c>
      <c r="C10" s="45"/>
      <c r="D10" s="45"/>
      <c r="E10" s="9">
        <v>10</v>
      </c>
      <c r="F10" s="26">
        <v>7</v>
      </c>
      <c r="G10" s="30">
        <f t="shared" ref="G10:G58" si="0">IFERROR(F10/E10,"")</f>
        <v>0.7</v>
      </c>
      <c r="H10" s="31" t="str">
        <f t="shared" ref="H10:H58" si="1">_xlfn.IFS(F10="أدخل العلامة","",F10="لا ينطبق","تم الإلغاء",G10&gt;=90%,"ممتاز",G10&gt;=80%,"جيد جداً",G10&gt;=70%,"جيد",G10&gt;=60%,"مقبول",G10&lt;60%,"راسب")</f>
        <v>جيد</v>
      </c>
      <c r="I10" s="50"/>
      <c r="J10" s="51"/>
    </row>
    <row r="11" spans="1:10" ht="30" customHeight="1" x14ac:dyDescent="0.2">
      <c r="A11" s="10"/>
      <c r="B11" s="44" t="s">
        <v>184</v>
      </c>
      <c r="C11" s="45"/>
      <c r="D11" s="45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50"/>
      <c r="J11" s="51"/>
    </row>
    <row r="12" spans="1:10" ht="30" customHeight="1" x14ac:dyDescent="0.2">
      <c r="A12" s="10"/>
      <c r="B12" s="44" t="s">
        <v>185</v>
      </c>
      <c r="C12" s="45"/>
      <c r="D12" s="45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50"/>
      <c r="J12" s="51"/>
    </row>
    <row r="13" spans="1:10" ht="30" customHeight="1" x14ac:dyDescent="0.2">
      <c r="A13" s="10"/>
      <c r="B13" s="44" t="s">
        <v>186</v>
      </c>
      <c r="C13" s="45"/>
      <c r="D13" s="45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50"/>
      <c r="J13" s="51"/>
    </row>
    <row r="14" spans="1:10" ht="30" customHeight="1" x14ac:dyDescent="0.2">
      <c r="A14" s="10"/>
      <c r="B14" s="44" t="s">
        <v>187</v>
      </c>
      <c r="C14" s="45"/>
      <c r="D14" s="45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50"/>
      <c r="J14" s="51"/>
    </row>
    <row r="15" spans="1:10" ht="30" customHeight="1" x14ac:dyDescent="0.2">
      <c r="A15" s="10"/>
      <c r="B15" s="44" t="s">
        <v>188</v>
      </c>
      <c r="C15" s="45"/>
      <c r="D15" s="45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50"/>
      <c r="J15" s="51"/>
    </row>
    <row r="16" spans="1:10" ht="30" customHeight="1" x14ac:dyDescent="0.2">
      <c r="A16" s="10"/>
      <c r="B16" s="44" t="s">
        <v>189</v>
      </c>
      <c r="C16" s="45"/>
      <c r="D16" s="45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50"/>
      <c r="J16" s="51"/>
    </row>
    <row r="17" spans="1:10" ht="30" customHeight="1" x14ac:dyDescent="0.2">
      <c r="A17" s="10"/>
      <c r="B17" s="44" t="s">
        <v>190</v>
      </c>
      <c r="C17" s="45"/>
      <c r="D17" s="45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50"/>
      <c r="J17" s="51"/>
    </row>
    <row r="18" spans="1:10" ht="30" customHeight="1" x14ac:dyDescent="0.2">
      <c r="A18" s="10"/>
      <c r="B18" s="52" t="s">
        <v>191</v>
      </c>
      <c r="C18" s="53"/>
      <c r="D18" s="53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50"/>
      <c r="J18" s="51"/>
    </row>
    <row r="19" spans="1:10" ht="30" customHeight="1" x14ac:dyDescent="0.2">
      <c r="A19" s="10"/>
      <c r="B19" s="52" t="s">
        <v>192</v>
      </c>
      <c r="C19" s="53"/>
      <c r="D19" s="53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50"/>
      <c r="J19" s="51"/>
    </row>
    <row r="20" spans="1:10" ht="30" customHeight="1" x14ac:dyDescent="0.2">
      <c r="A20" s="10"/>
      <c r="B20" s="52" t="s">
        <v>193</v>
      </c>
      <c r="C20" s="53"/>
      <c r="D20" s="53"/>
      <c r="E20" s="9">
        <v>10</v>
      </c>
      <c r="F20" s="26">
        <v>7.5</v>
      </c>
      <c r="G20" s="30">
        <f t="shared" si="0"/>
        <v>0.75</v>
      </c>
      <c r="H20" s="31" t="str">
        <f t="shared" si="1"/>
        <v>جيد</v>
      </c>
      <c r="I20" s="50"/>
      <c r="J20" s="51"/>
    </row>
    <row r="21" spans="1:10" ht="30" customHeight="1" x14ac:dyDescent="0.2">
      <c r="A21" s="10"/>
      <c r="B21" s="52" t="s">
        <v>194</v>
      </c>
      <c r="C21" s="53"/>
      <c r="D21" s="53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50"/>
      <c r="J21" s="51"/>
    </row>
    <row r="22" spans="1:10" ht="30" customHeight="1" x14ac:dyDescent="0.2">
      <c r="A22" s="10"/>
      <c r="B22" s="52" t="s">
        <v>195</v>
      </c>
      <c r="C22" s="53"/>
      <c r="D22" s="53"/>
      <c r="E22" s="9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50"/>
      <c r="J22" s="51"/>
    </row>
    <row r="23" spans="1:10" ht="30" customHeight="1" thickBot="1" x14ac:dyDescent="0.25">
      <c r="A23" s="10"/>
      <c r="B23" s="54" t="s">
        <v>196</v>
      </c>
      <c r="C23" s="55"/>
      <c r="D23" s="55"/>
      <c r="E23" s="37">
        <v>5</v>
      </c>
      <c r="F23" s="27">
        <v>3.75</v>
      </c>
      <c r="G23" s="38">
        <f t="shared" si="0"/>
        <v>0.75</v>
      </c>
      <c r="H23" s="39" t="str">
        <f t="shared" si="1"/>
        <v>جيد</v>
      </c>
      <c r="I23" s="59"/>
      <c r="J23" s="60"/>
    </row>
    <row r="24" spans="1:10" ht="30" customHeight="1" x14ac:dyDescent="0.2">
      <c r="A24" s="10"/>
      <c r="B24" s="46" t="s">
        <v>197</v>
      </c>
      <c r="C24" s="47"/>
      <c r="D24" s="47"/>
      <c r="E24" s="33"/>
      <c r="F24" s="34"/>
      <c r="G24" s="35"/>
      <c r="H24" s="36"/>
      <c r="I24" s="57"/>
      <c r="J24" s="58"/>
    </row>
    <row r="25" spans="1:10" ht="30" customHeight="1" x14ac:dyDescent="0.2">
      <c r="A25" s="10"/>
      <c r="B25" s="44" t="s">
        <v>198</v>
      </c>
      <c r="C25" s="45"/>
      <c r="D25" s="45"/>
      <c r="E25" s="9">
        <v>5</v>
      </c>
      <c r="F25" s="26">
        <v>3.75</v>
      </c>
      <c r="G25" s="30">
        <f t="shared" si="0"/>
        <v>0.75</v>
      </c>
      <c r="H25" s="31" t="str">
        <f t="shared" si="1"/>
        <v>جيد</v>
      </c>
      <c r="I25" s="50"/>
      <c r="J25" s="51"/>
    </row>
    <row r="26" spans="1:10" ht="30" customHeight="1" x14ac:dyDescent="0.2">
      <c r="A26" s="10"/>
      <c r="B26" s="44" t="s">
        <v>199</v>
      </c>
      <c r="C26" s="45"/>
      <c r="D26" s="45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50"/>
      <c r="J26" s="51"/>
    </row>
    <row r="27" spans="1:10" ht="30" customHeight="1" x14ac:dyDescent="0.2">
      <c r="A27" s="10"/>
      <c r="B27" s="44" t="s">
        <v>200</v>
      </c>
      <c r="C27" s="45"/>
      <c r="D27" s="45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50"/>
      <c r="J27" s="51"/>
    </row>
    <row r="28" spans="1:10" ht="30" customHeight="1" x14ac:dyDescent="0.2">
      <c r="A28" s="10"/>
      <c r="B28" s="44" t="s">
        <v>201</v>
      </c>
      <c r="C28" s="45"/>
      <c r="D28" s="45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50"/>
      <c r="J28" s="51"/>
    </row>
    <row r="29" spans="1:10" ht="30" customHeight="1" x14ac:dyDescent="0.2">
      <c r="A29" s="10"/>
      <c r="B29" s="44" t="s">
        <v>202</v>
      </c>
      <c r="C29" s="45"/>
      <c r="D29" s="45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50"/>
      <c r="J29" s="51"/>
    </row>
    <row r="30" spans="1:10" ht="30" customHeight="1" x14ac:dyDescent="0.2">
      <c r="A30" s="10"/>
      <c r="B30" s="44" t="s">
        <v>203</v>
      </c>
      <c r="C30" s="45"/>
      <c r="D30" s="45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50"/>
      <c r="J30" s="51"/>
    </row>
    <row r="31" spans="1:10" ht="30" customHeight="1" thickBot="1" x14ac:dyDescent="0.25">
      <c r="A31" s="10"/>
      <c r="B31" s="40" t="s">
        <v>204</v>
      </c>
      <c r="C31" s="41"/>
      <c r="D31" s="41"/>
      <c r="E31" s="37">
        <v>5</v>
      </c>
      <c r="F31" s="27">
        <v>3.75</v>
      </c>
      <c r="G31" s="38">
        <f t="shared" si="0"/>
        <v>0.75</v>
      </c>
      <c r="H31" s="39" t="str">
        <f t="shared" si="1"/>
        <v>جيد</v>
      </c>
      <c r="I31" s="59"/>
      <c r="J31" s="60"/>
    </row>
    <row r="32" spans="1:10" ht="30" customHeight="1" x14ac:dyDescent="0.2">
      <c r="A32" s="10"/>
      <c r="B32" s="46" t="s">
        <v>205</v>
      </c>
      <c r="C32" s="47"/>
      <c r="D32" s="47"/>
      <c r="E32" s="33"/>
      <c r="F32" s="34"/>
      <c r="G32" s="35"/>
      <c r="H32" s="36"/>
      <c r="I32" s="57"/>
      <c r="J32" s="58"/>
    </row>
    <row r="33" spans="1:10" ht="30" customHeight="1" x14ac:dyDescent="0.2">
      <c r="A33" s="10"/>
      <c r="B33" s="44" t="s">
        <v>206</v>
      </c>
      <c r="C33" s="45"/>
      <c r="D33" s="45"/>
      <c r="E33" s="9">
        <v>5</v>
      </c>
      <c r="F33" s="26">
        <v>3.75</v>
      </c>
      <c r="G33" s="30">
        <f t="shared" si="0"/>
        <v>0.75</v>
      </c>
      <c r="H33" s="31" t="str">
        <f t="shared" si="1"/>
        <v>جيد</v>
      </c>
      <c r="I33" s="50"/>
      <c r="J33" s="51"/>
    </row>
    <row r="34" spans="1:10" ht="30" customHeight="1" x14ac:dyDescent="0.2">
      <c r="A34" s="10"/>
      <c r="B34" s="44" t="s">
        <v>207</v>
      </c>
      <c r="C34" s="45"/>
      <c r="D34" s="45"/>
      <c r="E34" s="9">
        <v>5</v>
      </c>
      <c r="F34" s="26">
        <v>3.75</v>
      </c>
      <c r="G34" s="30">
        <f t="shared" si="0"/>
        <v>0.75</v>
      </c>
      <c r="H34" s="31" t="str">
        <f t="shared" si="1"/>
        <v>جيد</v>
      </c>
      <c r="I34" s="50"/>
      <c r="J34" s="51"/>
    </row>
    <row r="35" spans="1:10" ht="30" customHeight="1" x14ac:dyDescent="0.2">
      <c r="A35" s="10"/>
      <c r="B35" s="44" t="s">
        <v>208</v>
      </c>
      <c r="C35" s="45"/>
      <c r="D35" s="45"/>
      <c r="E35" s="9">
        <v>5</v>
      </c>
      <c r="F35" s="26">
        <v>3.75</v>
      </c>
      <c r="G35" s="30">
        <f t="shared" si="0"/>
        <v>0.75</v>
      </c>
      <c r="H35" s="31" t="str">
        <f t="shared" si="1"/>
        <v>جيد</v>
      </c>
      <c r="I35" s="50"/>
      <c r="J35" s="51"/>
    </row>
    <row r="36" spans="1:10" ht="30" customHeight="1" thickBot="1" x14ac:dyDescent="0.25">
      <c r="A36" s="10"/>
      <c r="B36" s="40" t="s">
        <v>209</v>
      </c>
      <c r="C36" s="41"/>
      <c r="D36" s="41"/>
      <c r="E36" s="37">
        <v>5</v>
      </c>
      <c r="F36" s="27">
        <v>3.75</v>
      </c>
      <c r="G36" s="38">
        <f t="shared" si="0"/>
        <v>0.75</v>
      </c>
      <c r="H36" s="39" t="str">
        <f t="shared" si="1"/>
        <v>جيد</v>
      </c>
      <c r="I36" s="59"/>
      <c r="J36" s="60"/>
    </row>
    <row r="37" spans="1:10" ht="30" customHeight="1" x14ac:dyDescent="0.2">
      <c r="A37" s="10"/>
      <c r="B37" s="42" t="s">
        <v>210</v>
      </c>
      <c r="C37" s="43"/>
      <c r="D37" s="43"/>
      <c r="E37" s="33"/>
      <c r="F37" s="34"/>
      <c r="G37" s="35"/>
      <c r="H37" s="36"/>
      <c r="I37" s="57"/>
      <c r="J37" s="58"/>
    </row>
    <row r="38" spans="1:10" ht="30" customHeight="1" x14ac:dyDescent="0.2">
      <c r="A38" s="10"/>
      <c r="B38" s="44" t="s">
        <v>211</v>
      </c>
      <c r="C38" s="45"/>
      <c r="D38" s="45"/>
      <c r="E38" s="9">
        <v>5</v>
      </c>
      <c r="F38" s="26">
        <v>3.5</v>
      </c>
      <c r="G38" s="30">
        <f t="shared" si="0"/>
        <v>0.7</v>
      </c>
      <c r="H38" s="31" t="str">
        <f t="shared" si="1"/>
        <v>جيد</v>
      </c>
      <c r="I38" s="50"/>
      <c r="J38" s="51"/>
    </row>
    <row r="39" spans="1:10" ht="30" customHeight="1" x14ac:dyDescent="0.2">
      <c r="A39" s="10"/>
      <c r="B39" s="44" t="s">
        <v>212</v>
      </c>
      <c r="C39" s="45"/>
      <c r="D39" s="45"/>
      <c r="E39" s="9">
        <v>5</v>
      </c>
      <c r="F39" s="26">
        <v>3.75</v>
      </c>
      <c r="G39" s="30">
        <f t="shared" si="0"/>
        <v>0.75</v>
      </c>
      <c r="H39" s="31" t="str">
        <f t="shared" si="1"/>
        <v>جيد</v>
      </c>
      <c r="I39" s="50"/>
      <c r="J39" s="51"/>
    </row>
    <row r="40" spans="1:10" ht="30" customHeight="1" x14ac:dyDescent="0.2">
      <c r="A40" s="10"/>
      <c r="B40" s="44" t="s">
        <v>213</v>
      </c>
      <c r="C40" s="45"/>
      <c r="D40" s="45"/>
      <c r="E40" s="9">
        <v>5</v>
      </c>
      <c r="F40" s="26">
        <v>3.5</v>
      </c>
      <c r="G40" s="30">
        <f t="shared" si="0"/>
        <v>0.7</v>
      </c>
      <c r="H40" s="31" t="str">
        <f t="shared" si="1"/>
        <v>جيد</v>
      </c>
      <c r="I40" s="50"/>
      <c r="J40" s="51"/>
    </row>
    <row r="41" spans="1:10" ht="30" customHeight="1" x14ac:dyDescent="0.2">
      <c r="A41" s="10"/>
      <c r="B41" s="44" t="s">
        <v>214</v>
      </c>
      <c r="C41" s="45"/>
      <c r="D41" s="45"/>
      <c r="E41" s="9">
        <v>5</v>
      </c>
      <c r="F41" s="26">
        <v>3.75</v>
      </c>
      <c r="G41" s="30">
        <f t="shared" si="0"/>
        <v>0.75</v>
      </c>
      <c r="H41" s="31" t="str">
        <f t="shared" si="1"/>
        <v>جيد</v>
      </c>
      <c r="I41" s="50"/>
      <c r="J41" s="51"/>
    </row>
    <row r="42" spans="1:10" ht="30" customHeight="1" x14ac:dyDescent="0.2">
      <c r="A42" s="10"/>
      <c r="B42" s="44" t="s">
        <v>215</v>
      </c>
      <c r="C42" s="45"/>
      <c r="D42" s="45"/>
      <c r="E42" s="9">
        <v>5</v>
      </c>
      <c r="F42" s="26">
        <v>3.75</v>
      </c>
      <c r="G42" s="30">
        <f t="shared" si="0"/>
        <v>0.75</v>
      </c>
      <c r="H42" s="31" t="str">
        <f t="shared" si="1"/>
        <v>جيد</v>
      </c>
      <c r="I42" s="50"/>
      <c r="J42" s="51"/>
    </row>
    <row r="43" spans="1:10" ht="30" customHeight="1" x14ac:dyDescent="0.2">
      <c r="A43" s="10"/>
      <c r="B43" s="44" t="s">
        <v>216</v>
      </c>
      <c r="C43" s="45"/>
      <c r="D43" s="45"/>
      <c r="E43" s="9">
        <v>5</v>
      </c>
      <c r="F43" s="26">
        <v>3.75</v>
      </c>
      <c r="G43" s="30">
        <f t="shared" si="0"/>
        <v>0.75</v>
      </c>
      <c r="H43" s="31" t="str">
        <f t="shared" si="1"/>
        <v>جيد</v>
      </c>
      <c r="I43" s="50"/>
      <c r="J43" s="51"/>
    </row>
    <row r="44" spans="1:10" ht="30" customHeight="1" thickBot="1" x14ac:dyDescent="0.25">
      <c r="A44" s="10"/>
      <c r="B44" s="40" t="s">
        <v>217</v>
      </c>
      <c r="C44" s="41"/>
      <c r="D44" s="41"/>
      <c r="E44" s="37">
        <v>5</v>
      </c>
      <c r="F44" s="27">
        <v>3.75</v>
      </c>
      <c r="G44" s="38">
        <f t="shared" si="0"/>
        <v>0.75</v>
      </c>
      <c r="H44" s="39" t="str">
        <f t="shared" si="1"/>
        <v>جيد</v>
      </c>
      <c r="I44" s="59"/>
      <c r="J44" s="60"/>
    </row>
    <row r="45" spans="1:10" ht="30" customHeight="1" x14ac:dyDescent="0.2">
      <c r="A45" s="10"/>
      <c r="B45" s="46" t="s">
        <v>218</v>
      </c>
      <c r="C45" s="47"/>
      <c r="D45" s="47"/>
      <c r="E45" s="33"/>
      <c r="F45" s="34"/>
      <c r="G45" s="35"/>
      <c r="H45" s="36"/>
      <c r="I45" s="57"/>
      <c r="J45" s="58"/>
    </row>
    <row r="46" spans="1:10" ht="30" customHeight="1" x14ac:dyDescent="0.2">
      <c r="A46" s="10"/>
      <c r="B46" s="44" t="s">
        <v>219</v>
      </c>
      <c r="C46" s="45"/>
      <c r="D46" s="45"/>
      <c r="E46" s="9">
        <v>5</v>
      </c>
      <c r="F46" s="26">
        <v>3.75</v>
      </c>
      <c r="G46" s="30">
        <f t="shared" si="0"/>
        <v>0.75</v>
      </c>
      <c r="H46" s="31" t="str">
        <f t="shared" si="1"/>
        <v>جيد</v>
      </c>
      <c r="I46" s="50"/>
      <c r="J46" s="51"/>
    </row>
    <row r="47" spans="1:10" ht="30" customHeight="1" x14ac:dyDescent="0.2">
      <c r="A47" s="10"/>
      <c r="B47" s="44" t="s">
        <v>220</v>
      </c>
      <c r="C47" s="45"/>
      <c r="D47" s="45"/>
      <c r="E47" s="9">
        <v>5</v>
      </c>
      <c r="F47" s="26">
        <v>3.75</v>
      </c>
      <c r="G47" s="30">
        <f t="shared" si="0"/>
        <v>0.75</v>
      </c>
      <c r="H47" s="31" t="str">
        <f t="shared" si="1"/>
        <v>جيد</v>
      </c>
      <c r="I47" s="50"/>
      <c r="J47" s="51"/>
    </row>
    <row r="48" spans="1:10" ht="30" customHeight="1" x14ac:dyDescent="0.2">
      <c r="A48" s="10"/>
      <c r="B48" s="44" t="s">
        <v>221</v>
      </c>
      <c r="C48" s="45"/>
      <c r="D48" s="45"/>
      <c r="E48" s="9">
        <v>5</v>
      </c>
      <c r="F48" s="26">
        <v>3.5</v>
      </c>
      <c r="G48" s="30">
        <f t="shared" si="0"/>
        <v>0.7</v>
      </c>
      <c r="H48" s="31" t="str">
        <f t="shared" si="1"/>
        <v>جيد</v>
      </c>
      <c r="I48" s="50"/>
      <c r="J48" s="51"/>
    </row>
    <row r="49" spans="1:10" ht="30" customHeight="1" x14ac:dyDescent="0.2">
      <c r="A49" s="10"/>
      <c r="B49" s="44" t="s">
        <v>222</v>
      </c>
      <c r="C49" s="45"/>
      <c r="D49" s="45"/>
      <c r="E49" s="9">
        <v>5</v>
      </c>
      <c r="F49" s="26">
        <v>3.75</v>
      </c>
      <c r="G49" s="30">
        <f t="shared" si="0"/>
        <v>0.75</v>
      </c>
      <c r="H49" s="31" t="str">
        <f t="shared" si="1"/>
        <v>جيد</v>
      </c>
      <c r="I49" s="50"/>
      <c r="J49" s="51"/>
    </row>
    <row r="50" spans="1:10" ht="30" customHeight="1" x14ac:dyDescent="0.2">
      <c r="A50" s="10"/>
      <c r="B50" s="44" t="s">
        <v>223</v>
      </c>
      <c r="C50" s="45"/>
      <c r="D50" s="45"/>
      <c r="E50" s="9">
        <v>5</v>
      </c>
      <c r="F50" s="26">
        <v>3.75</v>
      </c>
      <c r="G50" s="30">
        <f t="shared" si="0"/>
        <v>0.75</v>
      </c>
      <c r="H50" s="31" t="str">
        <f t="shared" si="1"/>
        <v>جيد</v>
      </c>
      <c r="I50" s="50"/>
      <c r="J50" s="51"/>
    </row>
    <row r="51" spans="1:10" ht="30" customHeight="1" thickBot="1" x14ac:dyDescent="0.25">
      <c r="A51" s="10"/>
      <c r="B51" s="40" t="s">
        <v>224</v>
      </c>
      <c r="C51" s="41"/>
      <c r="D51" s="41"/>
      <c r="E51" s="37">
        <v>5</v>
      </c>
      <c r="F51" s="27">
        <v>3.75</v>
      </c>
      <c r="G51" s="38">
        <f t="shared" si="0"/>
        <v>0.75</v>
      </c>
      <c r="H51" s="39" t="str">
        <f t="shared" si="1"/>
        <v>جيد</v>
      </c>
      <c r="I51" s="59"/>
      <c r="J51" s="60"/>
    </row>
    <row r="52" spans="1:10" ht="30" customHeight="1" x14ac:dyDescent="0.2">
      <c r="A52" s="10"/>
      <c r="B52" s="42" t="s">
        <v>225</v>
      </c>
      <c r="C52" s="43"/>
      <c r="D52" s="43"/>
      <c r="E52" s="33"/>
      <c r="F52" s="34"/>
      <c r="G52" s="35"/>
      <c r="H52" s="36"/>
      <c r="I52" s="57"/>
      <c r="J52" s="58"/>
    </row>
    <row r="53" spans="1:10" ht="30" customHeight="1" x14ac:dyDescent="0.2">
      <c r="A53" s="10"/>
      <c r="B53" s="44" t="s">
        <v>226</v>
      </c>
      <c r="C53" s="45"/>
      <c r="D53" s="45"/>
      <c r="E53" s="9">
        <v>5</v>
      </c>
      <c r="F53" s="26">
        <v>3.75</v>
      </c>
      <c r="G53" s="30">
        <f t="shared" si="0"/>
        <v>0.75</v>
      </c>
      <c r="H53" s="31" t="str">
        <f t="shared" si="1"/>
        <v>جيد</v>
      </c>
      <c r="I53" s="50"/>
      <c r="J53" s="51"/>
    </row>
    <row r="54" spans="1:10" ht="30" customHeight="1" x14ac:dyDescent="0.2">
      <c r="A54" s="10"/>
      <c r="B54" s="44" t="s">
        <v>227</v>
      </c>
      <c r="C54" s="45"/>
      <c r="D54" s="45"/>
      <c r="E54" s="9">
        <v>5</v>
      </c>
      <c r="F54" s="26">
        <v>3.75</v>
      </c>
      <c r="G54" s="30">
        <f t="shared" si="0"/>
        <v>0.75</v>
      </c>
      <c r="H54" s="31" t="str">
        <f t="shared" si="1"/>
        <v>جيد</v>
      </c>
      <c r="I54" s="50"/>
      <c r="J54" s="51"/>
    </row>
    <row r="55" spans="1:10" ht="30" customHeight="1" thickBot="1" x14ac:dyDescent="0.25">
      <c r="A55" s="10"/>
      <c r="B55" s="40" t="s">
        <v>228</v>
      </c>
      <c r="C55" s="41"/>
      <c r="D55" s="41"/>
      <c r="E55" s="37">
        <v>5</v>
      </c>
      <c r="F55" s="27">
        <v>3.75</v>
      </c>
      <c r="G55" s="38">
        <f t="shared" si="0"/>
        <v>0.75</v>
      </c>
      <c r="H55" s="39" t="str">
        <f t="shared" si="1"/>
        <v>جيد</v>
      </c>
      <c r="I55" s="59"/>
      <c r="J55" s="60"/>
    </row>
    <row r="56" spans="1:10" ht="30" customHeight="1" x14ac:dyDescent="0.2">
      <c r="A56" s="10"/>
      <c r="B56" s="42" t="s">
        <v>229</v>
      </c>
      <c r="C56" s="43"/>
      <c r="D56" s="43"/>
      <c r="E56" s="33"/>
      <c r="F56" s="34"/>
      <c r="G56" s="35"/>
      <c r="H56" s="36"/>
      <c r="I56" s="57"/>
      <c r="J56" s="58"/>
    </row>
    <row r="57" spans="1:10" ht="30" customHeight="1" x14ac:dyDescent="0.2">
      <c r="A57" s="10"/>
      <c r="B57" s="44" t="s">
        <v>230</v>
      </c>
      <c r="C57" s="45"/>
      <c r="D57" s="45"/>
      <c r="E57" s="9">
        <v>5</v>
      </c>
      <c r="F57" s="26">
        <v>3.75</v>
      </c>
      <c r="G57" s="30">
        <f t="shared" si="0"/>
        <v>0.75</v>
      </c>
      <c r="H57" s="31" t="str">
        <f t="shared" si="1"/>
        <v>جيد</v>
      </c>
      <c r="I57" s="50"/>
      <c r="J57" s="51"/>
    </row>
    <row r="58" spans="1:10" ht="30" customHeight="1" thickBot="1" x14ac:dyDescent="0.25">
      <c r="A58" s="10"/>
      <c r="B58" s="40" t="s">
        <v>231</v>
      </c>
      <c r="C58" s="41"/>
      <c r="D58" s="41"/>
      <c r="E58" s="37">
        <v>5</v>
      </c>
      <c r="F58" s="27">
        <v>3.75</v>
      </c>
      <c r="G58" s="38">
        <f t="shared" si="0"/>
        <v>0.75</v>
      </c>
      <c r="H58" s="39" t="str">
        <f t="shared" si="1"/>
        <v>جيد</v>
      </c>
      <c r="I58" s="59"/>
      <c r="J58" s="60"/>
    </row>
    <row r="59" spans="1:10" ht="30" customHeight="1" thickBot="1" x14ac:dyDescent="0.25">
      <c r="A59" s="4"/>
      <c r="B59" s="88" t="s">
        <v>5</v>
      </c>
      <c r="C59" s="89"/>
      <c r="D59" s="89"/>
      <c r="E59" s="29">
        <f>SUM(E8:E58)</f>
        <v>235</v>
      </c>
      <c r="F59" s="29">
        <f>SUM(F8:F58)</f>
        <v>172.75</v>
      </c>
      <c r="G59" s="68"/>
      <c r="H59" s="69"/>
      <c r="I59" s="69"/>
      <c r="J59" s="70"/>
    </row>
    <row r="60" spans="1:10" ht="30" customHeight="1" thickBot="1" x14ac:dyDescent="0.25">
      <c r="A60" s="4"/>
      <c r="B60" s="48" t="s">
        <v>54</v>
      </c>
      <c r="C60" s="49"/>
      <c r="D60" s="49"/>
      <c r="E60" s="78">
        <f>F59/E59/100*100</f>
        <v>0.73510638297872344</v>
      </c>
      <c r="F60" s="78"/>
      <c r="G60" s="78"/>
      <c r="H60" s="78"/>
      <c r="I60" s="78"/>
      <c r="J60" s="79"/>
    </row>
    <row r="61" spans="1:10" ht="30" customHeight="1" thickBot="1" x14ac:dyDescent="0.25">
      <c r="A61" s="4"/>
      <c r="B61" s="48" t="s">
        <v>55</v>
      </c>
      <c r="C61" s="49"/>
      <c r="D61" s="49"/>
      <c r="E61" s="65" t="str">
        <f>_xlfn.IFS(E60&gt;=90%,"ممتاز",E60&gt;=80%,"جيد جداً",E60&gt;=70%,"جيد",E60&gt;=60%,"مقبول",E60&lt;60%,"راسب")</f>
        <v>جيد</v>
      </c>
      <c r="F61" s="65"/>
      <c r="G61" s="65"/>
      <c r="H61" s="65"/>
      <c r="I61" s="65"/>
      <c r="J61" s="66"/>
    </row>
    <row r="62" spans="1:10" ht="42" customHeight="1" x14ac:dyDescent="0.2">
      <c r="B62" s="61" t="s">
        <v>174</v>
      </c>
      <c r="C62" s="61"/>
      <c r="D62" s="61"/>
      <c r="E62" s="56" t="s">
        <v>52</v>
      </c>
      <c r="F62" s="56"/>
      <c r="G62" s="63" t="s">
        <v>120</v>
      </c>
      <c r="H62" s="63"/>
      <c r="I62" s="63"/>
      <c r="J62" s="63"/>
    </row>
    <row r="63" spans="1:10" ht="51" customHeight="1" x14ac:dyDescent="0.2">
      <c r="A63" s="5"/>
      <c r="B63" s="62"/>
      <c r="C63" s="62"/>
      <c r="D63" s="62"/>
      <c r="E63" s="67" t="s">
        <v>53</v>
      </c>
      <c r="F63" s="67"/>
      <c r="G63" s="64"/>
      <c r="H63" s="64"/>
      <c r="I63" s="64"/>
      <c r="J63" s="6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3">
    <mergeCell ref="B1:J1"/>
    <mergeCell ref="F2:J2"/>
    <mergeCell ref="B5:D6"/>
    <mergeCell ref="C2:D2"/>
    <mergeCell ref="C3:D3"/>
    <mergeCell ref="F3:J3"/>
    <mergeCell ref="E60:J6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48:J48"/>
    <mergeCell ref="B59:D59"/>
    <mergeCell ref="B60:D60"/>
    <mergeCell ref="B62:D63"/>
    <mergeCell ref="G62:J62"/>
    <mergeCell ref="G63:J63"/>
    <mergeCell ref="E61:J61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E63:F63"/>
    <mergeCell ref="G59:J59"/>
    <mergeCell ref="I47:J47"/>
    <mergeCell ref="E62:F62"/>
    <mergeCell ref="I32:J32"/>
    <mergeCell ref="I33:J33"/>
    <mergeCell ref="I34:J34"/>
    <mergeCell ref="I35:J35"/>
    <mergeCell ref="I36:J36"/>
    <mergeCell ref="I8:J8"/>
    <mergeCell ref="I23:J23"/>
    <mergeCell ref="I24:J24"/>
    <mergeCell ref="I25:J25"/>
    <mergeCell ref="I9:J9"/>
    <mergeCell ref="B61:D6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54:D54"/>
    <mergeCell ref="B55:D55"/>
    <mergeCell ref="B56:D56"/>
    <mergeCell ref="B57:D57"/>
    <mergeCell ref="B58:D58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1">
    <cfRule type="expression" dxfId="14" priority="57">
      <formula>$E61="راسب"</formula>
    </cfRule>
  </conditionalFormatting>
  <conditionalFormatting sqref="E61:J61">
    <cfRule type="expression" dxfId="13" priority="58">
      <formula>$E61="مقبول"</formula>
    </cfRule>
    <cfRule type="expression" dxfId="12" priority="59">
      <formula>$E61="جيد"</formula>
    </cfRule>
    <cfRule type="expression" dxfId="11" priority="60">
      <formula>$E61="جيد جداً"</formula>
    </cfRule>
    <cfRule type="expression" dxfId="10" priority="61">
      <formula>$E61="ممتاز"</formula>
    </cfRule>
  </conditionalFormatting>
  <conditionalFormatting sqref="F8:F5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2:J62">
    <cfRule type="containsText" dxfId="6" priority="15" operator="containsText" text="أدخل اسم المحكم">
      <formula>NOT(ISERROR(SEARCH("أدخل اسم المحكم",G62)))</formula>
    </cfRule>
  </conditionalFormatting>
  <conditionalFormatting sqref="H8:H58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F57:F58 F53:F55 F46:F51 F38:F44 F33:F36 F25:F31 F11:F19 F21:F23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G62:J62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1099E67F-F20A-40B4-AC5F-C03765DA8520}">
          <x14:formula1>
            <xm:f>'بيانات التقييم'!$A$111:$A$153</xm:f>
          </x14:formula1>
          <xm:sqref>F9:F10 F20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2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2025-09-25T12:07:58Z</dcterms:modified>
</cp:coreProperties>
</file>