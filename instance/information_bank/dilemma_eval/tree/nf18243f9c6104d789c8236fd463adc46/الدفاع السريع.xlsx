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25E2B602-24C2-498B-AE01-C9338E6F098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التقييم'!$A$1:$J$38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/>
  <c r="G23" i="2"/>
  <c r="H23" i="2"/>
  <c r="G24" i="2"/>
  <c r="H24" i="2"/>
  <c r="G25" i="2"/>
  <c r="H25" i="2"/>
  <c r="G26" i="2"/>
  <c r="H26" i="2"/>
  <c r="G27" i="2"/>
  <c r="H27" i="2"/>
  <c r="G28" i="2"/>
  <c r="H28" i="2"/>
  <c r="G29" i="2"/>
  <c r="H29" i="2"/>
  <c r="G30" i="2"/>
  <c r="H30" i="2"/>
  <c r="G31" i="2"/>
  <c r="H31" i="2"/>
  <c r="G32" i="2"/>
  <c r="H32" i="2"/>
  <c r="G33" i="2"/>
  <c r="H33" i="2"/>
  <c r="G8" i="2"/>
  <c r="H8" i="2"/>
  <c r="F34" i="2"/>
  <c r="E34" i="2"/>
  <c r="E35" i="2"/>
  <c r="E36" i="2"/>
</calcChain>
</file>

<file path=xl/sharedStrings.xml><?xml version="1.0" encoding="utf-8"?>
<sst xmlns="http://schemas.openxmlformats.org/spreadsheetml/2006/main" count="263" uniqueCount="207">
  <si>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</si>
  <si>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</si>
  <si>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</si>
  <si>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</si>
  <si>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</si>
  <si>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</si>
  <si>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</si>
  <si>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</si>
  <si>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</si>
  <si>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</si>
  <si>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</si>
  <si>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</si>
  <si>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</si>
  <si>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</si>
  <si>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</si>
  <si>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</si>
  <si>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</si>
  <si>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</si>
  <si>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</si>
  <si>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</si>
  <si>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</si>
  <si>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</si>
  <si>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</si>
  <si>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</si>
  <si>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</si>
  <si>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</si>
  <si>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</si>
  <si>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</si>
  <si>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</si>
  <si>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</si>
  <si>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</si>
  <si>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</si>
  <si>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</si>
  <si>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</si>
  <si>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</si>
  <si>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</si>
  <si>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</si>
  <si>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</si>
  <si>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</si>
  <si>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</si>
  <si>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</si>
  <si>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</si>
  <si>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</si>
  <si>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</si>
  <si>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</si>
  <si>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</si>
  <si>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</si>
  <si>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</si>
  <si>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</si>
  <si>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</si>
  <si>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</si>
  <si>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</si>
  <si>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</si>
  <si>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</si>
  <si>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</si>
  <si>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</si>
  <si>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</si>
  <si>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</si>
  <si>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</si>
  <si>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</si>
  <si>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</si>
  <si>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</si>
  <si>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</si>
  <si>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</si>
  <si>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</si>
  <si>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</si>
  <si>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</si>
  <si>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</si>
  <si>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</si>
  <si>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</si>
  <si>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</si>
  <si>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</si>
  <si>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</si>
  <si>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</si>
  <si>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</si>
  <si>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</si>
  <si>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</si>
  <si>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</si>
  <si>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</si>
  <si>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</si>
  <si>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</si>
  <si>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</si>
  <si>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</si>
  <si>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</si>
  <si>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</si>
  <si>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</si>
  <si>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</si>
  <si>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</si>
  <si>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</si>
  <si>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</si>
  <si>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</si>
  <si>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</si>
  <si>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</si>
  <si>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</si>
  <si>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</si>
  <si>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</si>
  <si>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</si>
  <si>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</si>
  <si>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</si>
  <si>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</si>
  <si>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</si>
  <si>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</si>
  <si>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</si>
  <si>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</si>
  <si>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</si>
  <si>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</si>
  <si>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</si>
  <si>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</si>
  <si>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</si>
  <si>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</si>
  <si>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</si>
  <si>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</si>
  <si>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</si>
  <si>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</si>
  <si>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</si>
  <si>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</si>
  <si>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</si>
  <si>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</si>
  <si>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</si>
  <si>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</si>
  <si>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</si>
  <si>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</si>
  <si>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</si>
  <si>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</si>
  <si>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</si>
  <si>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</si>
  <si>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</si>
  <si>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</si>
  <si>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</si>
  <si>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</si>
  <si>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</si>
  <si>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</si>
  <si>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</si>
  <si>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</si>
  <si>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</si>
  <si>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</si>
  <si>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</si>
  <si>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</si>
  <si>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</si>
  <si>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</si>
  <si>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</si>
  <si>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</si>
  <si>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</si>
  <si>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</si>
  <si>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</si>
  <si>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</si>
  <si>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</si>
  <si>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</si>
  <si>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</si>
  <si>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</si>
  <si>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</si>
  <si>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</si>
  <si>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</si>
  <si>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</si>
  <si>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</si>
  <si>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</si>
  <si>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</si>
  <si>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</si>
  <si>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</si>
  <si>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</si>
  <si>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</si>
  <si>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</si>
  <si>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</si>
  <si>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</si>
  <si>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</si>
  <si>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</si>
  <si>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</si>
  <si>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</si>
  <si>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</si>
  <si>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</si>
  <si>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</si>
  <si>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</si>
  <si>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</si>
  <si>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</si>
  <si>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</si>
  <si>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</si>
  <si>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</si>
  <si>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</si>
  <si>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</si>
  <si>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</si>
  <si>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t>1.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أصدرا أمراً مجزأً من المستوى الأعلى لتنفيذ الدفاع السريع وتعميمه على المستوى الأدنى.</t>
    </r>
  </si>
  <si>
    <r>
      <t>2.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تحديد المهمة الرئيسة للوحدات المرؤوسة في كل المستويات.</t>
    </r>
  </si>
  <si>
    <r>
      <t>3.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تحديد مواقع الدفاع السريع للوحدات المرؤوسة.</t>
    </r>
  </si>
  <si>
    <r>
      <t>4.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اختيار طبيعة الأرض التي توفر التخفية والتستر وتسمح بتركيز نيران الأسلحة.</t>
    </r>
  </si>
  <si>
    <r>
      <t>5.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إبلاغ المستوى الأعلى بإحداثيات مواقع الوحدة.</t>
    </r>
  </si>
  <si>
    <r>
      <t>6.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إقامة الحماية المحلية والمراقبة على طول مقتربات العدو المحتملة وتعيين عناصر لتوفر الإنذار المبكر.</t>
    </r>
  </si>
  <si>
    <r>
      <t>7.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تحديد نقاط مرجع الهدف من اجل تركيز النيران وتأمين إسناد متبادل.</t>
    </r>
  </si>
  <si>
    <r>
      <t>8.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استطلاع منطقة الأهداف من قبل الدوريات وعناصر الكشف للتأكد من خلوها من العدو.</t>
    </r>
  </si>
  <si>
    <r>
      <t>9.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توضيع معدات المراقبة في مواقع تساعد على تحديد نقاط مرجع الأهداف ليلاً أو أثناء الرؤية المحددة.</t>
    </r>
  </si>
  <si>
    <r>
      <t>10.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تجهيز مواقع ثانوية وبديلة للآليات والأفراد.</t>
    </r>
  </si>
  <si>
    <r>
      <t>11.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إعداد بطاقات المدى لأنظمة الرماية المباشرة.</t>
    </r>
  </si>
  <si>
    <r>
      <t>12.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تحديد أهداف المدفعية وطلب الإسناد المدفعي عند الحاجة.</t>
    </r>
  </si>
  <si>
    <r>
      <t>13.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تفقد قادة الوحدات لمواقع الآليات والأفراد (مواقع رئيسة، ثانوية، بديلة).</t>
    </r>
  </si>
  <si>
    <r>
      <t>14.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الحصول على التقارير والمعلومات المحدثَة التي تبين مواقع القوات الأمامية والجانبية (المجاورة) الصديقة وحسب الحاجة.</t>
    </r>
  </si>
  <si>
    <r>
      <t>15.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 xml:space="preserve">الحصول على معلومات محدثَة عن مواقع قوات العدو لمنع الإصابة بالنيران الصديقة وزيادة حماية القوة وحسب الحاجة. </t>
    </r>
  </si>
  <si>
    <r>
      <t>16.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توزيع المعلومات الضرورية لجميع الوحدات المرؤوسة لاطلاعهم على آخر مستجدات الموقف.</t>
    </r>
  </si>
  <si>
    <r>
      <t>17.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التخطيط للدفاع ضد الهجمات المعاكسة والتأكد من يقظة وجاهزية جميع الأفراد للتعامل معها.</t>
    </r>
  </si>
  <si>
    <r>
      <t>18.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التأكد من فعالية الاتصالات بين القيادة ونقاط المراقبة.</t>
    </r>
  </si>
  <si>
    <r>
      <t>19.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إعادة تأسيس شبكات الاتصالات.</t>
    </r>
  </si>
  <si>
    <r>
      <t>20.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التأكد من تأمين الإسناد المتبادل داخل الوحدة ومع الوحدات الجانبية.</t>
    </r>
  </si>
  <si>
    <r>
      <t>21.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إرسال تقارير المرؤوسين حول الذخيرة، الإصابات والمعدات.</t>
    </r>
  </si>
  <si>
    <r>
      <t>22.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تنسيق عملية إعادة التزويد وسد النقص من الذخيرة والأرزاق والوقود.</t>
    </r>
  </si>
  <si>
    <r>
      <t>23.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إرسال تقرير الموقف الإداري المفصل يشمل (الخسائر في الأفراد والمعدات والذخيرة والوقود).</t>
    </r>
  </si>
  <si>
    <r>
      <t>24.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تحديد نقاط تجميع الإصابات والتعامل مع الإصابات وإخلاء الجرحى والشهداء حسب الإجراءات المتبعة.</t>
    </r>
  </si>
  <si>
    <r>
      <t>25.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تعويض خسائر القوى البشرية بأسرع ما يمكن.</t>
    </r>
  </si>
  <si>
    <r>
      <t>26.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تحديد نقاط تجميع الصيانة واخلاء الآليات والمعدات المعطلة حسب الإجراءات المتبعة.</t>
    </r>
  </si>
  <si>
    <r>
      <rPr>
        <b/>
        <sz val="14"/>
        <color rgb="FF000000"/>
        <rFont val="Arial"/>
        <family val="2"/>
      </rPr>
      <t>تقييم الدفاع السريع (قيادة اللواء - الكتيبة - السرية)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</si>
</sst>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4"/>
      <color theme="1"/>
      <name val="Arial"/>
      <family val="2"/>
    </font>
    <font>
      <sz val="7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3" fillId="5" borderId="23" xfId="0" applyFont="1" applyFill="1" applyBorder="1" applyAlignment="1">
      <alignment horizontal="right" vertical="center" wrapText="1" readingOrder="2"/>
    </xf>
    <xf numFmtId="0" fontId="13" fillId="5" borderId="3" xfId="0" applyFont="1" applyFill="1" applyBorder="1" applyAlignment="1">
      <alignment horizontal="right" vertical="center" wrapText="1" readingOrder="2"/>
    </xf>
    <xf numFmtId="0" fontId="13" fillId="0" borderId="23" xfId="0" applyFont="1" applyBorder="1" applyAlignment="1">
      <alignment horizontal="right" vertical="center" wrapText="1" readingOrder="2"/>
    </xf>
    <xf numFmtId="0" fontId="13" fillId="0" borderId="3" xfId="0" applyFont="1" applyBorder="1" applyAlignment="1">
      <alignment horizontal="right" vertical="center" wrapText="1" readingOrder="2"/>
    </xf>
    <xf numFmtId="0" fontId="13" fillId="0" borderId="5" xfId="0" applyFont="1" applyBorder="1" applyAlignment="1">
      <alignment horizontal="right" vertical="center" wrapText="1" readingOrder="2"/>
    </xf>
    <xf numFmtId="0" fontId="13" fillId="0" borderId="4" xfId="0" applyFont="1" applyBorder="1" applyAlignment="1">
      <alignment horizontal="right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3" fillId="5" borderId="11" xfId="0" applyFont="1" applyFill="1" applyBorder="1" applyAlignment="1">
      <alignment horizontal="right" vertical="center" wrapText="1" readingOrder="2"/>
    </xf>
    <xf numFmtId="0" fontId="13" fillId="5" borderId="12" xfId="0" applyFont="1" applyFill="1" applyBorder="1" applyAlignment="1">
      <alignment horizontal="right" vertical="center" wrapText="1" readingOrder="2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295817</xdr:colOff>
      <xdr:row>37</xdr:row>
      <xdr:rowOff>71828</xdr:rowOff>
    </xdr:from>
    <xdr:to>
      <xdr:col>8</xdr:col>
      <xdr:colOff>99596</xdr:colOff>
      <xdr:row>37</xdr:row>
      <xdr:rowOff>591668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9D56709F-0BA4-2AF0-91F5-1E7497D9BDF2}"/>
                </a:ext>
              </a:extLst>
            </xdr14:cNvPr>
            <xdr14:cNvContentPartPr/>
          </xdr14:nvContentPartPr>
          <xdr14:nvPr macro=""/>
          <xdr14:xfrm>
            <a:off x="10399145313" y="17620920"/>
            <a:ext cx="1119960" cy="51984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9D56709F-0BA4-2AF0-91F5-1E7497D9BDF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9136673" y="17612280"/>
              <a:ext cx="1137600" cy="5374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5T07:33:12.99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3005 626 16363,'0'0'0,"0"0"0,-5-4 960,0-7-736,-1 7-192,-3-1-96,9 5 64,0-4-72,0 3 8,-3-2 0,1 1-16,2 2 80,0-3-128,-3 2 32,1 0-112,-3-1 96,5 2 112,-4 0-72,2 0-16,-5 0 32,-5 0 0,12 0 56,-3 3-96,-10 1 64,1 1 8,1 9-32,11-14 56,-20 13-40,0 2-64,-3 9 80,-5 6-40,28-30 64,-26 33-8,-6 4 72,-1 0 0,3-3 88,30-34-152,-30 34 168,-5-3 0,3-1-32,2 0 64,30-30-200,-33 28 192,0 1 32,8-3 8,2-5-72,23-21-160,-22 18 136,4-5-56,4-9 48,5 9-8,9-13-120,-5 0 64,0 3-88,5-3-112,-2 0-144,2 0 280,0-1-392,0-5-56,5-5-48,-3 6 72,-2 5 424,14-15-360,-11 2 32,10-1 40,-8-2 136,-5 16 152,16-17-128,-9 0 96,5 1 64,-8 5-72,-4 11 40,14-4 32,-11-1 32,-3 2-32,0 2 128,0 1-160,0 0 184,0 0 24,0 3 80,-7 1-104,7-4-184,-10 4 88,6 9-56,-8-10-56,5 11-32,7-14 56,-16 13-56,2-2 80,-2 2 56,-1-8-16,17-5-64,-9 14 128,-3-11-88,7 1-128,-1-1 112,6-3-24,-2 0 8,-5 0-48,7 0-72,0 0-216,0 0 328,0-2-528,4-2-64,-1 0 88,2-2 87,-5 6 417,3-6-344,0 1 144,2 0 120,-5 1 16,0 4 64,0-1 56,0-1 80,0 1 72,-3 1 128,3 0-336,-2 0 473,-1 3-9,-3 1-64,-8 0-120,14-4-280,-11 13 168,-1-10-80,-4 10-40,-1-9-16,17-4-32,-18 18 16,-1-3-32,-4 0-8,0-1 64,23-14-40,-21 15 80,-2-3-16,4 0 64,0-8-40,19-4-88,-18 4 64,1 1 96,4-1 0,-2-4-40,15 0-120,-13 0 160,8 0 48,-7-1 0,12-4 24,0 5-232,-2-14 120,-1 1-112,3-2-104,0-5-64,0 20 160,5-24-128,7-11 0,4-10 40,3-11 112,-19 56-24,23-66 56,5-7-24,0-2 8,5 1-88,-33 74 48,28-71-48,-1 3 24,4-1 56,-6 5-8,-25 64-24,26-62-40,-1 8 40,-2 7-40,-7 7 8,-16 40 32,14-33 32,-9 9 16,6 4 8,-11 5 24,0 15-80,5-13 104,-5 7 16,0-7-16,0 12 48,0 1-152,-2-4 96,-2 2-72,-8 1 16,7 1-48,5 0 8,-12 0-72,8 3-8,-8 8-16,5-8-40,7-3 136,-16 16-120,-1 1 32,4 8-56,-8 9 24,21-34 120,-25 44-96,1 6 16,-4 7 48,-3 4 16,31-61 16,-29 64 48,-1 3-48,-3-2 0,-2-5-8,35-60 8,-32 58-16,-4 1 72,2-1-32,-1 0 24,35-58-48,-32 56 80,-6-2 8,2-5 88,-2-2-40,38-47-136,-40 43 88,6-8 24,-1-6-72,7-5 16,28-24-56,-23 17 144,2-3-56,7-9 64,2-1-40,12-4-112,-7 3 96,-2-3-96,7 0-120,-1-3-48,3 3 168,0-6-320,0-8-64,0 8-40,5-12-16,-5 18 440,9-19-384,-2-3 56,5-5 32,2 0 128,-14 27 168,9-27-160,7 1 8,-4 3 128,1 1-112,-13 22 136,12-22-120,0 5 24,-8 4-32,8 9 96,-12 4 32,0-4 56,0 1 48,0 3 88,-2 0 80,2 0-272,-11 0 320,6 4-8,-7 0 16,1 1-88,11-5-240,-5 11 176,-9-11-40,3 4-104,-1 1 40,12-5-72,-10 11 0,4-11 8,-6 3 8,9 0-40,3-3 24,-2 3-24,-5-3-64,5 2-40,0-2-40,2 0 168,0 0-248,0 0-16,-2 0-24,-1 3 72,3-3 216,-2 0-240,-3 3 8,-7-3 16,8 4 48,4-4 168,-14 5-80,9-1 88,-8 0 32,5 9-8,8-13-32,-16 3 32,2 1 40,1 10 56,-2-11 32,15-3-160,-14 11 272,3-8 40,-1 2-8,1-1 0,11-4-304,-5 3 240,-7 0-88,9-3-32,0 0-32,3 0-88,-3 0 16,-2 2 24,1-2 8,-1 0-24,5 0-24,-5 0 56,3 3-64,-2 0-64,-1-3-128,5 0 200,-5 3-56,-2 1-16,-3 0 120,6 1 88,4-5-136,-12 4 24,10-1-24,-3 0-16,0-1 40,5-2-24,-1 0 104,-1 0 56,2 0-24,0-2 0,0 2-136,0-5 56,0-7-56,3 0-160,0-6-88,-3 18 248,12-27-128,0-13 24,4-13 144,7-12-56,-23 65 16,28-73-24,2-3-40,5-4 8,-2 2 96,-33 78-40,30-77-16,4 6 24,-6 6 16,0 4-16,-28 61-8,26-57 0,-3 3 48,-5 4 0,-2 6 8,-16 44-56,15-37 144,-3 7 128,-8 9 104,8 5 216,-12 16-592,0-4 536,0 1-15,-3 3-73,-2 0-232,5 0-216,-4 3 320,-7 1-296,-1 12-72,-4-1-16,16-15 64,-20 25-176,-3 7 104,-7 12 112,-4 10-80,34-54 40,-37 66-24,-8 6-24,-4 6 24,1 2 112,48-80-88,-53 77 96,4-2 40,-1-2-72,-3 0 80,53-73-144,-53 72 80,2-3 80,2-5 40,5-7-232,44-57 32,-44 53 152,4-9-40,0-6-48,9-8 176,31-30-240,-27 24 88,9-7 56,2-4-80,11-10 0,5-3-64,-12 3 16,12-3-96,0 0-72,0 0-144,0 0 296,0-2-456,3-2-136,9-10 0,-8-3 47,-4 17 545,19-23-440,-1-11 104,7-9 24,6-7 120,-31 50 192,32-52-128,11 1 80,-11 2 64,2 7-48,-34 42 32,26-39 0,0 8-48,-3 4 0,-2 7 40,-21 20 8,16-16 8,-4 5-80,-7 8 120,-3 0-32,-2 3-16,5-1 64,-5 1 80,0 0 0,0 3 72,0-3-216,-5 4 184,3 7 56,-13-8-48,4 12-40,11-15-152,-17 11 184,2 5-32,-6-1-31,2 4-49,19-19-72,-23 21 88,0-1 0,-1 0-64,1 0-16,23-20-8,-24 18 16,-1 2-88,-1 0 120,-4 0 24,30-20-72,-28 21 40,-7 2-16,10 0 32,-7-1-56,32-22 0,-35 25-8,0-1 120,0 0-104,0 0 80,35-24-88,-34 21 64,3-1 56,-1 0 40,1-1 16,31-19-176,-32 17 240,4-3-64,-2-10 0,4 10-8,26-14-168,-25 3 128,2 2-24,1-3 8,-1-2-48,23 0-64,-21 0 48,3 0 8,-1 0-72,-2 0 8,21 0 8,-18 0 8,-1 0 16,1 0-8,2 0 8,16 0-24,-20 0 0,7 3 0,1 0-24,1 0-16,11-3 40,-2 0-40,-3 0-8,0 0-64,5 0-72,0 0 184,5 0-264,-3 3-16,1 0 40,10 8 104,-13-11 136,14 13 8,5 2 104,4 1 120,12 1 32,-35-17-264,42 14 296,9-2-32,13-8-40,11-1 48,-75-3-272,89 0 192,8-12-8,19-9-24,10-9-72,-126 30-88,122-37 144,14-7-48,1-3 48,5-5-40,-142 52-104,150-56 112,1-3-32,-7-4-96,0-2 80,-144 65-64,133-69-24,-3 3 64,-7 0-40,-12 7-120,-111 59 120,98-53-104,-12 5-32,-14 4 8,-9-3 16,-63 47 112,51-46-64,-7-1 8,-6 3 8,-9 7 48,-29 37 0,24-34-16,-8 4-8,-11 5 72,-3 2 72,-2 23-120,0-20 112,-2 0-104,-19 0 56,-12 0-272,33 20 208,-39-18-288,-20 1-168,-15 3 0,-12 9 128,86 5 328,-104-4-296,-14 4 280,-16 16-168,-11 13 72,145-29 112,-166 46-56,-7 14 24,-11 12 176,-4 9 192,188-81-336,-182 85 496,3 2-8,19-2 72,9-5-224,151-80-336,-132 75 144,20-3-200,14-7-232,22-5-432,76-60 720,-66 58-1328,18-4-577,13-4-1423,7-1-3890,28-49 7218,-6 33-6049,6-33 6049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38"/>
  <sheetViews>
    <sheetView rightToLeft="1" tabSelected="1" view="pageBreakPreview" zoomScale="130" zoomScaleNormal="100" zoomScaleSheetLayoutView="130" workbookViewId="0">
      <selection activeCell="F2" sqref="F2:J2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68" t="s">
        <v>206</v>
      </c>
      <c r="C1" s="68"/>
      <c r="D1" s="68"/>
      <c r="E1" s="68"/>
      <c r="F1" s="68"/>
      <c r="G1" s="68"/>
      <c r="H1" s="68"/>
      <c r="I1" s="68"/>
      <c r="J1" s="68"/>
    </row>
    <row r="2" spans="1:10" ht="30" customHeight="1" x14ac:dyDescent="0.3">
      <c r="B2" s="12" t="s">
        <v>8</v>
      </c>
      <c r="C2" s="74" t="s">
        <v>38</v>
      </c>
      <c r="D2" s="74"/>
      <c r="E2" s="12" t="s">
        <v>7</v>
      </c>
      <c r="F2" s="69">
        <v>45956</v>
      </c>
      <c r="G2" s="69"/>
      <c r="H2" s="69"/>
      <c r="I2" s="69"/>
      <c r="J2" s="69"/>
    </row>
    <row r="3" spans="1:10" ht="30" customHeight="1" x14ac:dyDescent="0.3">
      <c r="B3" s="12" t="s">
        <v>9</v>
      </c>
      <c r="C3" s="74" t="s">
        <v>177</v>
      </c>
      <c r="D3" s="74"/>
      <c r="E3" s="12" t="s">
        <v>6</v>
      </c>
      <c r="F3" s="74" t="s">
        <v>141</v>
      </c>
      <c r="G3" s="74"/>
      <c r="H3" s="74"/>
      <c r="I3" s="74"/>
      <c r="J3" s="74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0"/>
      <c r="B5" s="70" t="s">
        <v>0</v>
      </c>
      <c r="C5" s="71"/>
      <c r="D5" s="71"/>
      <c r="E5" s="77" t="s">
        <v>1</v>
      </c>
      <c r="F5" s="77"/>
      <c r="G5" s="77"/>
      <c r="H5" s="77"/>
      <c r="I5" s="77" t="s">
        <v>2</v>
      </c>
      <c r="J5" s="78"/>
    </row>
    <row r="6" spans="1:10" ht="24.9" customHeight="1" thickBot="1" x14ac:dyDescent="0.35">
      <c r="A6" s="10"/>
      <c r="B6" s="72"/>
      <c r="C6" s="73"/>
      <c r="D6" s="73"/>
      <c r="E6" s="11" t="s">
        <v>3</v>
      </c>
      <c r="F6" s="11" t="s">
        <v>4</v>
      </c>
      <c r="G6" s="11" t="s">
        <v>23</v>
      </c>
      <c r="H6" s="11" t="s">
        <v>24</v>
      </c>
      <c r="I6" s="79"/>
      <c r="J6" s="80"/>
    </row>
    <row r="7" spans="1:10" ht="24.9" customHeight="1" thickBot="1" x14ac:dyDescent="0.35">
      <c r="A7" s="10"/>
      <c r="B7" s="75" t="s">
        <v>21</v>
      </c>
      <c r="C7" s="76"/>
      <c r="D7" s="76"/>
      <c r="E7" s="28" t="s">
        <v>18</v>
      </c>
      <c r="F7" s="28" t="s">
        <v>19</v>
      </c>
      <c r="G7" s="28" t="s">
        <v>22</v>
      </c>
      <c r="H7" s="28" t="s">
        <v>20</v>
      </c>
      <c r="I7" s="81" t="s">
        <v>25</v>
      </c>
      <c r="J7" s="82"/>
    </row>
    <row r="8" spans="1:10" ht="39.9" customHeight="1" x14ac:dyDescent="0.3">
      <c r="A8" s="10"/>
      <c r="B8" s="43" t="s">
        <v>180</v>
      </c>
      <c r="C8" s="44"/>
      <c r="D8" s="44"/>
      <c r="E8" s="32">
        <v>5</v>
      </c>
      <c r="F8" s="33">
        <v>3.75</v>
      </c>
      <c r="G8" s="34">
        <f>IFERROR(F8/E8,"")</f>
        <v>0.75</v>
      </c>
      <c r="H8" s="35" t="str">
        <f>_xlfn.IFS(F8="أدخل العلامة","",F8="لا ينطبق","تم الإلغاء",G8&gt;=90%,"ممتاز",G8&gt;=80%,"جيد جداً",G8&gt;=70%,"جيد",G8&gt;=60%,"مقبول",G8&lt;60%,"راسب")</f>
        <v>جيد</v>
      </c>
      <c r="I8" s="83"/>
      <c r="J8" s="84"/>
    </row>
    <row r="9" spans="1:10" ht="39.9" customHeight="1" x14ac:dyDescent="0.3">
      <c r="A9" s="10"/>
      <c r="B9" s="41" t="s">
        <v>181</v>
      </c>
      <c r="C9" s="42"/>
      <c r="D9" s="42"/>
      <c r="E9" s="9">
        <v>5</v>
      </c>
      <c r="F9" s="26">
        <v>3.5</v>
      </c>
      <c r="G9" s="30">
        <f>IFERROR(F9/E9,"")</f>
        <v>0.7</v>
      </c>
      <c r="H9" s="31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45"/>
      <c r="J9" s="46"/>
    </row>
    <row r="10" spans="1:10" ht="39.9" customHeight="1" x14ac:dyDescent="0.3">
      <c r="A10" s="10"/>
      <c r="B10" s="41" t="s">
        <v>182</v>
      </c>
      <c r="C10" s="42"/>
      <c r="D10" s="42"/>
      <c r="E10" s="9">
        <v>5</v>
      </c>
      <c r="F10" s="26">
        <v>3.75</v>
      </c>
      <c r="G10" s="30">
        <f t="shared" ref="G10:G33" si="0">IFERROR(F10/E10,"")</f>
        <v>0.75</v>
      </c>
      <c r="H10" s="31" t="str">
        <f t="shared" ref="H10:H33" si="1">_xlfn.IFS(F10="أدخل العلامة","",F10="لا ينطبق","تم الإلغاء",G10&gt;=90%,"ممتاز",G10&gt;=80%,"جيد جداً",G10&gt;=70%,"جيد",G10&gt;=60%,"مقبول",G10&lt;60%,"راسب")</f>
        <v>جيد</v>
      </c>
      <c r="I10" s="45"/>
      <c r="J10" s="46"/>
    </row>
    <row r="11" spans="1:10" ht="39.9" customHeight="1" x14ac:dyDescent="0.3">
      <c r="A11" s="10"/>
      <c r="B11" s="41" t="s">
        <v>183</v>
      </c>
      <c r="C11" s="42"/>
      <c r="D11" s="42"/>
      <c r="E11" s="9">
        <v>5</v>
      </c>
      <c r="F11" s="26">
        <v>3.75</v>
      </c>
      <c r="G11" s="30">
        <f t="shared" si="0"/>
        <v>0.75</v>
      </c>
      <c r="H11" s="31" t="str">
        <f t="shared" si="1"/>
        <v>جيد</v>
      </c>
      <c r="I11" s="45"/>
      <c r="J11" s="46"/>
    </row>
    <row r="12" spans="1:10" ht="39.9" customHeight="1" x14ac:dyDescent="0.3">
      <c r="A12" s="10"/>
      <c r="B12" s="41" t="s">
        <v>184</v>
      </c>
      <c r="C12" s="42"/>
      <c r="D12" s="42"/>
      <c r="E12" s="9">
        <v>5</v>
      </c>
      <c r="F12" s="26">
        <v>3.75</v>
      </c>
      <c r="G12" s="30">
        <f t="shared" si="0"/>
        <v>0.75</v>
      </c>
      <c r="H12" s="31" t="str">
        <f t="shared" si="1"/>
        <v>جيد</v>
      </c>
      <c r="I12" s="45"/>
      <c r="J12" s="46"/>
    </row>
    <row r="13" spans="1:10" ht="39.9" customHeight="1" x14ac:dyDescent="0.3">
      <c r="A13" s="10"/>
      <c r="B13" s="41" t="s">
        <v>185</v>
      </c>
      <c r="C13" s="42"/>
      <c r="D13" s="42"/>
      <c r="E13" s="9">
        <v>5</v>
      </c>
      <c r="F13" s="26">
        <v>3.5</v>
      </c>
      <c r="G13" s="30">
        <f t="shared" si="0"/>
        <v>0.7</v>
      </c>
      <c r="H13" s="31" t="str">
        <f t="shared" si="1"/>
        <v>جيد</v>
      </c>
      <c r="I13" s="45"/>
      <c r="J13" s="46"/>
    </row>
    <row r="14" spans="1:10" ht="39.9" customHeight="1" x14ac:dyDescent="0.3">
      <c r="A14" s="10"/>
      <c r="B14" s="41" t="s">
        <v>186</v>
      </c>
      <c r="C14" s="42"/>
      <c r="D14" s="42"/>
      <c r="E14" s="9">
        <v>5</v>
      </c>
      <c r="F14" s="26">
        <v>3.5</v>
      </c>
      <c r="G14" s="30">
        <f t="shared" si="0"/>
        <v>0.7</v>
      </c>
      <c r="H14" s="31" t="str">
        <f t="shared" si="1"/>
        <v>جيد</v>
      </c>
      <c r="I14" s="45"/>
      <c r="J14" s="46"/>
    </row>
    <row r="15" spans="1:10" ht="39.9" customHeight="1" x14ac:dyDescent="0.3">
      <c r="A15" s="10"/>
      <c r="B15" s="41" t="s">
        <v>187</v>
      </c>
      <c r="C15" s="42"/>
      <c r="D15" s="42"/>
      <c r="E15" s="9">
        <v>5</v>
      </c>
      <c r="F15" s="26">
        <v>3.75</v>
      </c>
      <c r="G15" s="30">
        <f t="shared" si="0"/>
        <v>0.75</v>
      </c>
      <c r="H15" s="31" t="str">
        <f t="shared" si="1"/>
        <v>جيد</v>
      </c>
      <c r="I15" s="45"/>
      <c r="J15" s="46"/>
    </row>
    <row r="16" spans="1:10" ht="39.9" customHeight="1" x14ac:dyDescent="0.3">
      <c r="A16" s="10"/>
      <c r="B16" s="41" t="s">
        <v>188</v>
      </c>
      <c r="C16" s="42"/>
      <c r="D16" s="42"/>
      <c r="E16" s="9">
        <v>5</v>
      </c>
      <c r="F16" s="26">
        <v>3.75</v>
      </c>
      <c r="G16" s="30">
        <f t="shared" si="0"/>
        <v>0.75</v>
      </c>
      <c r="H16" s="31" t="str">
        <f t="shared" si="1"/>
        <v>جيد</v>
      </c>
      <c r="I16" s="45"/>
      <c r="J16" s="46"/>
    </row>
    <row r="17" spans="1:10" ht="39.9" customHeight="1" x14ac:dyDescent="0.3">
      <c r="A17" s="10"/>
      <c r="B17" s="41" t="s">
        <v>189</v>
      </c>
      <c r="C17" s="42"/>
      <c r="D17" s="42"/>
      <c r="E17" s="9">
        <v>5</v>
      </c>
      <c r="F17" s="26">
        <v>3.75</v>
      </c>
      <c r="G17" s="30">
        <f t="shared" si="0"/>
        <v>0.75</v>
      </c>
      <c r="H17" s="31" t="str">
        <f t="shared" si="1"/>
        <v>جيد</v>
      </c>
      <c r="I17" s="45"/>
      <c r="J17" s="46"/>
    </row>
    <row r="18" spans="1:10" ht="39.9" customHeight="1" x14ac:dyDescent="0.3">
      <c r="A18" s="10"/>
      <c r="B18" s="41" t="s">
        <v>190</v>
      </c>
      <c r="C18" s="42"/>
      <c r="D18" s="42"/>
      <c r="E18" s="9">
        <v>5</v>
      </c>
      <c r="F18" s="26">
        <v>3.75</v>
      </c>
      <c r="G18" s="30">
        <f t="shared" si="0"/>
        <v>0.75</v>
      </c>
      <c r="H18" s="31" t="str">
        <f t="shared" si="1"/>
        <v>جيد</v>
      </c>
      <c r="I18" s="45"/>
      <c r="J18" s="46"/>
    </row>
    <row r="19" spans="1:10" ht="39.9" customHeight="1" x14ac:dyDescent="0.3">
      <c r="A19" s="10"/>
      <c r="B19" s="41" t="s">
        <v>191</v>
      </c>
      <c r="C19" s="42"/>
      <c r="D19" s="42"/>
      <c r="E19" s="9">
        <v>5</v>
      </c>
      <c r="F19" s="26">
        <v>3.75</v>
      </c>
      <c r="G19" s="30">
        <f t="shared" si="0"/>
        <v>0.75</v>
      </c>
      <c r="H19" s="31" t="str">
        <f t="shared" si="1"/>
        <v>جيد</v>
      </c>
      <c r="I19" s="45"/>
      <c r="J19" s="46"/>
    </row>
    <row r="20" spans="1:10" ht="39.9" customHeight="1" x14ac:dyDescent="0.3">
      <c r="A20" s="10"/>
      <c r="B20" s="41" t="s">
        <v>192</v>
      </c>
      <c r="C20" s="42"/>
      <c r="D20" s="42"/>
      <c r="E20" s="9">
        <v>5</v>
      </c>
      <c r="F20" s="26">
        <v>3.75</v>
      </c>
      <c r="G20" s="30">
        <f t="shared" si="0"/>
        <v>0.75</v>
      </c>
      <c r="H20" s="31" t="str">
        <f t="shared" si="1"/>
        <v>جيد</v>
      </c>
      <c r="I20" s="45"/>
      <c r="J20" s="46"/>
    </row>
    <row r="21" spans="1:10" ht="39.9" customHeight="1" x14ac:dyDescent="0.3">
      <c r="A21" s="10"/>
      <c r="B21" s="39" t="s">
        <v>193</v>
      </c>
      <c r="C21" s="40"/>
      <c r="D21" s="40"/>
      <c r="E21" s="9">
        <v>5</v>
      </c>
      <c r="F21" s="26">
        <v>3.75</v>
      </c>
      <c r="G21" s="30">
        <f t="shared" si="0"/>
        <v>0.75</v>
      </c>
      <c r="H21" s="31" t="str">
        <f t="shared" si="1"/>
        <v>جيد</v>
      </c>
      <c r="I21" s="45"/>
      <c r="J21" s="46"/>
    </row>
    <row r="22" spans="1:10" ht="39.9" customHeight="1" x14ac:dyDescent="0.3">
      <c r="A22" s="10"/>
      <c r="B22" s="39" t="s">
        <v>194</v>
      </c>
      <c r="C22" s="40"/>
      <c r="D22" s="40"/>
      <c r="E22" s="9">
        <v>5</v>
      </c>
      <c r="F22" s="26">
        <v>3.75</v>
      </c>
      <c r="G22" s="30">
        <f t="shared" si="0"/>
        <v>0.75</v>
      </c>
      <c r="H22" s="31" t="str">
        <f t="shared" si="1"/>
        <v>جيد</v>
      </c>
      <c r="I22" s="45"/>
      <c r="J22" s="46"/>
    </row>
    <row r="23" spans="1:10" ht="39.9" customHeight="1" x14ac:dyDescent="0.3">
      <c r="A23" s="10"/>
      <c r="B23" s="39" t="s">
        <v>195</v>
      </c>
      <c r="C23" s="40"/>
      <c r="D23" s="40"/>
      <c r="E23" s="9">
        <v>5</v>
      </c>
      <c r="F23" s="26">
        <v>3.75</v>
      </c>
      <c r="G23" s="30">
        <f t="shared" si="0"/>
        <v>0.75</v>
      </c>
      <c r="H23" s="31" t="str">
        <f t="shared" si="1"/>
        <v>جيد</v>
      </c>
      <c r="I23" s="45"/>
      <c r="J23" s="46"/>
    </row>
    <row r="24" spans="1:10" ht="39.9" customHeight="1" x14ac:dyDescent="0.3">
      <c r="A24" s="10"/>
      <c r="B24" s="39" t="s">
        <v>196</v>
      </c>
      <c r="C24" s="40"/>
      <c r="D24" s="40"/>
      <c r="E24" s="9">
        <v>5</v>
      </c>
      <c r="F24" s="26">
        <v>3.75</v>
      </c>
      <c r="G24" s="30">
        <f t="shared" si="0"/>
        <v>0.75</v>
      </c>
      <c r="H24" s="31" t="str">
        <f t="shared" si="1"/>
        <v>جيد</v>
      </c>
      <c r="I24" s="45"/>
      <c r="J24" s="46"/>
    </row>
    <row r="25" spans="1:10" ht="39.9" customHeight="1" x14ac:dyDescent="0.3">
      <c r="A25" s="10"/>
      <c r="B25" s="39" t="s">
        <v>197</v>
      </c>
      <c r="C25" s="40"/>
      <c r="D25" s="40"/>
      <c r="E25" s="9">
        <v>5</v>
      </c>
      <c r="F25" s="26">
        <v>3.75</v>
      </c>
      <c r="G25" s="30">
        <f t="shared" si="0"/>
        <v>0.75</v>
      </c>
      <c r="H25" s="31" t="str">
        <f t="shared" si="1"/>
        <v>جيد</v>
      </c>
      <c r="I25" s="45"/>
      <c r="J25" s="46"/>
    </row>
    <row r="26" spans="1:10" ht="39.9" customHeight="1" x14ac:dyDescent="0.3">
      <c r="A26" s="10"/>
      <c r="B26" s="39" t="s">
        <v>198</v>
      </c>
      <c r="C26" s="40"/>
      <c r="D26" s="40"/>
      <c r="E26" s="9">
        <v>5</v>
      </c>
      <c r="F26" s="26">
        <v>3.75</v>
      </c>
      <c r="G26" s="30">
        <f t="shared" si="0"/>
        <v>0.75</v>
      </c>
      <c r="H26" s="31" t="str">
        <f t="shared" si="1"/>
        <v>جيد</v>
      </c>
      <c r="I26" s="45"/>
      <c r="J26" s="46"/>
    </row>
    <row r="27" spans="1:10" ht="39.9" customHeight="1" x14ac:dyDescent="0.3">
      <c r="A27" s="10"/>
      <c r="B27" s="39" t="s">
        <v>199</v>
      </c>
      <c r="C27" s="40"/>
      <c r="D27" s="40"/>
      <c r="E27" s="9">
        <v>5</v>
      </c>
      <c r="F27" s="26">
        <v>3.5</v>
      </c>
      <c r="G27" s="30">
        <f t="shared" si="0"/>
        <v>0.7</v>
      </c>
      <c r="H27" s="31" t="str">
        <f t="shared" si="1"/>
        <v>جيد</v>
      </c>
      <c r="I27" s="45"/>
      <c r="J27" s="46"/>
    </row>
    <row r="28" spans="1:10" ht="39.9" customHeight="1" x14ac:dyDescent="0.3">
      <c r="A28" s="10"/>
      <c r="B28" s="39" t="s">
        <v>200</v>
      </c>
      <c r="C28" s="40"/>
      <c r="D28" s="40"/>
      <c r="E28" s="9">
        <v>5</v>
      </c>
      <c r="F28" s="26">
        <v>3.75</v>
      </c>
      <c r="G28" s="30">
        <f t="shared" si="0"/>
        <v>0.75</v>
      </c>
      <c r="H28" s="31" t="str">
        <f t="shared" si="1"/>
        <v>جيد</v>
      </c>
      <c r="I28" s="45"/>
      <c r="J28" s="46"/>
    </row>
    <row r="29" spans="1:10" ht="39.9" customHeight="1" x14ac:dyDescent="0.3">
      <c r="A29" s="10"/>
      <c r="B29" s="39" t="s">
        <v>201</v>
      </c>
      <c r="C29" s="40"/>
      <c r="D29" s="40"/>
      <c r="E29" s="9">
        <v>5</v>
      </c>
      <c r="F29" s="26">
        <v>3.5</v>
      </c>
      <c r="G29" s="30">
        <f t="shared" si="0"/>
        <v>0.7</v>
      </c>
      <c r="H29" s="31" t="str">
        <f t="shared" si="1"/>
        <v>جيد</v>
      </c>
      <c r="I29" s="45"/>
      <c r="J29" s="46"/>
    </row>
    <row r="30" spans="1:10" ht="39.9" customHeight="1" x14ac:dyDescent="0.3">
      <c r="A30" s="10"/>
      <c r="B30" s="39" t="s">
        <v>202</v>
      </c>
      <c r="C30" s="40"/>
      <c r="D30" s="40"/>
      <c r="E30" s="9">
        <v>5</v>
      </c>
      <c r="F30" s="26">
        <v>3.75</v>
      </c>
      <c r="G30" s="30">
        <f t="shared" si="0"/>
        <v>0.75</v>
      </c>
      <c r="H30" s="31" t="str">
        <f t="shared" si="1"/>
        <v>جيد</v>
      </c>
      <c r="I30" s="45"/>
      <c r="J30" s="46"/>
    </row>
    <row r="31" spans="1:10" ht="39.9" customHeight="1" x14ac:dyDescent="0.3">
      <c r="A31" s="10"/>
      <c r="B31" s="39" t="s">
        <v>203</v>
      </c>
      <c r="C31" s="40"/>
      <c r="D31" s="40"/>
      <c r="E31" s="9">
        <v>5</v>
      </c>
      <c r="F31" s="26">
        <v>3.75</v>
      </c>
      <c r="G31" s="30">
        <f t="shared" si="0"/>
        <v>0.75</v>
      </c>
      <c r="H31" s="31" t="str">
        <f t="shared" si="1"/>
        <v>جيد</v>
      </c>
      <c r="I31" s="45"/>
      <c r="J31" s="46"/>
    </row>
    <row r="32" spans="1:10" ht="39.9" customHeight="1" x14ac:dyDescent="0.3">
      <c r="A32" s="10"/>
      <c r="B32" s="39" t="s">
        <v>204</v>
      </c>
      <c r="C32" s="40"/>
      <c r="D32" s="40"/>
      <c r="E32" s="9">
        <v>5</v>
      </c>
      <c r="F32" s="26">
        <v>3.5</v>
      </c>
      <c r="G32" s="30">
        <f t="shared" si="0"/>
        <v>0.7</v>
      </c>
      <c r="H32" s="31" t="str">
        <f t="shared" si="1"/>
        <v>جيد</v>
      </c>
      <c r="I32" s="45"/>
      <c r="J32" s="46"/>
    </row>
    <row r="33" spans="1:10" ht="39.9" customHeight="1" thickBot="1" x14ac:dyDescent="0.35">
      <c r="A33" s="10"/>
      <c r="B33" s="58" t="s">
        <v>205</v>
      </c>
      <c r="C33" s="59"/>
      <c r="D33" s="59"/>
      <c r="E33" s="36">
        <v>5</v>
      </c>
      <c r="F33" s="27">
        <v>3.75</v>
      </c>
      <c r="G33" s="37">
        <f t="shared" si="0"/>
        <v>0.75</v>
      </c>
      <c r="H33" s="38" t="str">
        <f t="shared" si="1"/>
        <v>جيد</v>
      </c>
      <c r="I33" s="52"/>
      <c r="J33" s="53"/>
    </row>
    <row r="34" spans="1:10" ht="30" customHeight="1" thickBot="1" x14ac:dyDescent="0.35">
      <c r="A34" s="4"/>
      <c r="B34" s="54" t="s">
        <v>5</v>
      </c>
      <c r="C34" s="55"/>
      <c r="D34" s="55"/>
      <c r="E34" s="29">
        <f>SUM(E8:E33)</f>
        <v>130</v>
      </c>
      <c r="F34" s="29">
        <f>SUM(F8:F33)</f>
        <v>96</v>
      </c>
      <c r="G34" s="61"/>
      <c r="H34" s="62"/>
      <c r="I34" s="62"/>
      <c r="J34" s="63"/>
    </row>
    <row r="35" spans="1:10" ht="30" customHeight="1" thickBot="1" x14ac:dyDescent="0.35">
      <c r="A35" s="4"/>
      <c r="B35" s="56" t="s">
        <v>54</v>
      </c>
      <c r="C35" s="57"/>
      <c r="D35" s="57"/>
      <c r="E35" s="64">
        <f>F34/E34/100*100</f>
        <v>0.7384615384615385</v>
      </c>
      <c r="F35" s="64"/>
      <c r="G35" s="64"/>
      <c r="H35" s="64"/>
      <c r="I35" s="64"/>
      <c r="J35" s="65"/>
    </row>
    <row r="36" spans="1:10" ht="30" customHeight="1" thickBot="1" x14ac:dyDescent="0.35">
      <c r="A36" s="4"/>
      <c r="B36" s="56" t="s">
        <v>55</v>
      </c>
      <c r="C36" s="57"/>
      <c r="D36" s="57"/>
      <c r="E36" s="50" t="str">
        <f>_xlfn.IFS(E35&gt;=90%,"ممتاز",E35&gt;=80%,"جيد جداً",E35&gt;=70%,"جيد",E35&gt;=60%,"مقبول",E35&lt;60%,"راسب")</f>
        <v>جيد</v>
      </c>
      <c r="F36" s="50"/>
      <c r="G36" s="50"/>
      <c r="H36" s="50"/>
      <c r="I36" s="50"/>
      <c r="J36" s="51"/>
    </row>
    <row r="37" spans="1:10" ht="42" customHeight="1" x14ac:dyDescent="0.3">
      <c r="B37" s="48" t="s">
        <v>174</v>
      </c>
      <c r="C37" s="48"/>
      <c r="D37" s="48"/>
      <c r="E37" s="47" t="s">
        <v>52</v>
      </c>
      <c r="F37" s="47"/>
      <c r="G37" s="66" t="s">
        <v>141</v>
      </c>
      <c r="H37" s="66"/>
      <c r="I37" s="66"/>
      <c r="J37" s="66"/>
    </row>
    <row r="38" spans="1:10" ht="51" customHeight="1" x14ac:dyDescent="0.3">
      <c r="A38" s="5"/>
      <c r="B38" s="49"/>
      <c r="C38" s="49"/>
      <c r="D38" s="49"/>
      <c r="E38" s="60" t="s">
        <v>53</v>
      </c>
      <c r="F38" s="60"/>
      <c r="G38" s="67"/>
      <c r="H38" s="67"/>
      <c r="I38" s="67"/>
      <c r="J38" s="67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73">
    <mergeCell ref="I16:J16"/>
    <mergeCell ref="I17:J17"/>
    <mergeCell ref="I18:J18"/>
    <mergeCell ref="I11:J11"/>
    <mergeCell ref="I12:J12"/>
    <mergeCell ref="I13:J13"/>
    <mergeCell ref="I14:J14"/>
    <mergeCell ref="I15:J15"/>
    <mergeCell ref="G37:J37"/>
    <mergeCell ref="G38:J38"/>
    <mergeCell ref="B1:J1"/>
    <mergeCell ref="F2:J2"/>
    <mergeCell ref="B5:D6"/>
    <mergeCell ref="C2:D2"/>
    <mergeCell ref="C3:D3"/>
    <mergeCell ref="F3:J3"/>
    <mergeCell ref="B7:D7"/>
    <mergeCell ref="I30:J30"/>
    <mergeCell ref="I31:J31"/>
    <mergeCell ref="E5:H5"/>
    <mergeCell ref="I5:J6"/>
    <mergeCell ref="I7:J7"/>
    <mergeCell ref="I10:J10"/>
    <mergeCell ref="I8:J8"/>
    <mergeCell ref="I25:J25"/>
    <mergeCell ref="I26:J26"/>
    <mergeCell ref="I27:J27"/>
    <mergeCell ref="E35:J35"/>
    <mergeCell ref="I28:J28"/>
    <mergeCell ref="I29:J29"/>
    <mergeCell ref="I20:J20"/>
    <mergeCell ref="I21:J21"/>
    <mergeCell ref="I22:J22"/>
    <mergeCell ref="I23:J23"/>
    <mergeCell ref="I24:J24"/>
    <mergeCell ref="I9:J9"/>
    <mergeCell ref="E37:F37"/>
    <mergeCell ref="B37:D38"/>
    <mergeCell ref="E36:J36"/>
    <mergeCell ref="I32:J32"/>
    <mergeCell ref="I33:J33"/>
    <mergeCell ref="B34:D34"/>
    <mergeCell ref="B35:D35"/>
    <mergeCell ref="B36:D36"/>
    <mergeCell ref="B33:D33"/>
    <mergeCell ref="B17:D17"/>
    <mergeCell ref="B13:D13"/>
    <mergeCell ref="B14:D14"/>
    <mergeCell ref="E38:F38"/>
    <mergeCell ref="G34:J34"/>
    <mergeCell ref="I19:J19"/>
    <mergeCell ref="B8:D8"/>
    <mergeCell ref="B9:D9"/>
    <mergeCell ref="B10:D10"/>
    <mergeCell ref="B11:D11"/>
    <mergeCell ref="B12:D12"/>
    <mergeCell ref="B15:D15"/>
    <mergeCell ref="B16:D16"/>
    <mergeCell ref="B29:D29"/>
    <mergeCell ref="B30:D30"/>
    <mergeCell ref="B31:D31"/>
    <mergeCell ref="B18:D18"/>
    <mergeCell ref="B19:D19"/>
    <mergeCell ref="B20:D20"/>
    <mergeCell ref="B32:D32"/>
    <mergeCell ref="B21:D21"/>
    <mergeCell ref="B22:D22"/>
    <mergeCell ref="B23:D23"/>
    <mergeCell ref="B24:D24"/>
    <mergeCell ref="B28:D28"/>
    <mergeCell ref="B25:D25"/>
    <mergeCell ref="B27:D27"/>
    <mergeCell ref="B26:D26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36">
    <cfRule type="expression" dxfId="14" priority="57">
      <formula>$E36="راسب"</formula>
    </cfRule>
  </conditionalFormatting>
  <conditionalFormatting sqref="E36:J36">
    <cfRule type="expression" dxfId="13" priority="58">
      <formula>$E36="مقبول"</formula>
    </cfRule>
    <cfRule type="expression" dxfId="12" priority="59">
      <formula>$E36="جيد"</formula>
    </cfRule>
    <cfRule type="expression" dxfId="11" priority="60">
      <formula>$E36="جيد جداً"</formula>
    </cfRule>
    <cfRule type="expression" dxfId="10" priority="61">
      <formula>$E36="ممتاز"</formula>
    </cfRule>
  </conditionalFormatting>
  <conditionalFormatting sqref="F8:F33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37:J37">
    <cfRule type="containsText" dxfId="6" priority="15" operator="containsText" text="أدخل اسم المحكم">
      <formula>NOT(ISERROR(SEARCH("أدخل اسم المحكم",G37)))</formula>
    </cfRule>
  </conditionalFormatting>
  <conditionalFormatting sqref="H8:H33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F8:F33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G37:J37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10" workbookViewId="0">
      <selection activeCell="A64" sqref="A64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9" t="s">
        <v>62</v>
      </c>
    </row>
    <row r="3" spans="1:3" ht="20.100000000000001" customHeight="1" thickBot="1" x14ac:dyDescent="0.35">
      <c r="A3" s="2" t="s">
        <v>26</v>
      </c>
      <c r="C3" s="19" t="s">
        <v>63</v>
      </c>
    </row>
    <row r="4" spans="1:3" ht="20.100000000000001" customHeight="1" thickBot="1" x14ac:dyDescent="0.35">
      <c r="A4" s="2" t="s">
        <v>36</v>
      </c>
      <c r="C4" s="19" t="s">
        <v>64</v>
      </c>
    </row>
    <row r="5" spans="1:3" ht="20.100000000000001" customHeight="1" thickBot="1" x14ac:dyDescent="0.35">
      <c r="A5" s="2" t="s">
        <v>37</v>
      </c>
      <c r="C5" s="19" t="s">
        <v>65</v>
      </c>
    </row>
    <row r="6" spans="1:3" ht="20.100000000000001" customHeight="1" thickBot="1" x14ac:dyDescent="0.35">
      <c r="A6" s="2" t="s">
        <v>38</v>
      </c>
      <c r="C6" s="19" t="s">
        <v>66</v>
      </c>
    </row>
    <row r="7" spans="1:3" ht="20.100000000000001" customHeight="1" thickBot="1" x14ac:dyDescent="0.35">
      <c r="A7" s="2" t="s">
        <v>39</v>
      </c>
      <c r="C7" s="19" t="s">
        <v>67</v>
      </c>
    </row>
    <row r="8" spans="1:3" ht="20.100000000000001" customHeight="1" thickBot="1" x14ac:dyDescent="0.35">
      <c r="A8" s="2" t="s">
        <v>40</v>
      </c>
      <c r="C8" s="19" t="s">
        <v>68</v>
      </c>
    </row>
    <row r="9" spans="1:3" ht="20.100000000000001" customHeight="1" thickBot="1" x14ac:dyDescent="0.35">
      <c r="A9" s="2" t="s">
        <v>41</v>
      </c>
      <c r="C9" s="19" t="s">
        <v>69</v>
      </c>
    </row>
    <row r="10" spans="1:3" ht="20.100000000000001" customHeight="1" thickBot="1" x14ac:dyDescent="0.35">
      <c r="A10" s="2" t="s">
        <v>42</v>
      </c>
      <c r="C10" s="19" t="s">
        <v>70</v>
      </c>
    </row>
    <row r="11" spans="1:3" ht="20.100000000000001" customHeight="1" thickBot="1" x14ac:dyDescent="0.35">
      <c r="A11" s="2" t="s">
        <v>43</v>
      </c>
      <c r="C11" s="19" t="s">
        <v>71</v>
      </c>
    </row>
    <row r="12" spans="1:3" ht="20.100000000000001" customHeight="1" thickBot="1" x14ac:dyDescent="0.35">
      <c r="A12" s="2" t="s">
        <v>44</v>
      </c>
      <c r="C12" s="19" t="s">
        <v>72</v>
      </c>
    </row>
    <row r="13" spans="1:3" ht="20.100000000000001" customHeight="1" thickBot="1" x14ac:dyDescent="0.35">
      <c r="A13" s="2" t="s">
        <v>45</v>
      </c>
      <c r="C13" s="19" t="s">
        <v>73</v>
      </c>
    </row>
    <row r="14" spans="1:3" ht="20.100000000000001" customHeight="1" thickBot="1" x14ac:dyDescent="0.35">
      <c r="A14" s="2" t="s">
        <v>46</v>
      </c>
      <c r="C14" s="19" t="s">
        <v>74</v>
      </c>
    </row>
    <row r="15" spans="1:3" ht="20.100000000000001" customHeight="1" thickBot="1" x14ac:dyDescent="0.35">
      <c r="A15" s="2" t="s">
        <v>47</v>
      </c>
      <c r="C15" s="19" t="s">
        <v>75</v>
      </c>
    </row>
    <row r="16" spans="1:3" ht="20.100000000000001" customHeight="1" thickBot="1" x14ac:dyDescent="0.35">
      <c r="A16" s="2" t="s">
        <v>10</v>
      </c>
      <c r="C16" s="19" t="s">
        <v>76</v>
      </c>
    </row>
    <row r="17" spans="1:3" ht="20.100000000000001" customHeight="1" thickBot="1" x14ac:dyDescent="0.35">
      <c r="A17" s="2" t="s">
        <v>27</v>
      </c>
      <c r="C17" s="19" t="s">
        <v>77</v>
      </c>
    </row>
    <row r="18" spans="1:3" ht="20.100000000000001" customHeight="1" thickBot="1" x14ac:dyDescent="0.35">
      <c r="A18" s="2" t="s">
        <v>48</v>
      </c>
      <c r="C18" s="19" t="s">
        <v>78</v>
      </c>
    </row>
    <row r="19" spans="1:3" ht="20.100000000000001" customHeight="1" thickBot="1" x14ac:dyDescent="0.35">
      <c r="A19" s="2" t="s">
        <v>49</v>
      </c>
      <c r="C19" s="19" t="s">
        <v>79</v>
      </c>
    </row>
    <row r="20" spans="1:3" ht="20.100000000000001" customHeight="1" thickBot="1" x14ac:dyDescent="0.35">
      <c r="A20" s="2" t="s">
        <v>50</v>
      </c>
      <c r="C20" s="19" t="s">
        <v>80</v>
      </c>
    </row>
    <row r="21" spans="1:3" ht="20.100000000000001" customHeight="1" thickBot="1" x14ac:dyDescent="0.35">
      <c r="A21" s="2" t="s">
        <v>51</v>
      </c>
      <c r="C21" s="19" t="s">
        <v>81</v>
      </c>
    </row>
    <row r="22" spans="1:3" ht="20.100000000000001" customHeight="1" thickBot="1" x14ac:dyDescent="0.35">
      <c r="A22" s="2" t="s">
        <v>11</v>
      </c>
      <c r="C22" s="19" t="s">
        <v>82</v>
      </c>
    </row>
    <row r="23" spans="1:3" ht="20.100000000000001" customHeight="1" thickBot="1" x14ac:dyDescent="0.35">
      <c r="A23" s="2" t="s">
        <v>12</v>
      </c>
      <c r="C23" s="19" t="s">
        <v>83</v>
      </c>
    </row>
    <row r="24" spans="1:3" ht="20.100000000000001" customHeight="1" thickBot="1" x14ac:dyDescent="0.35">
      <c r="A24" s="2" t="s">
        <v>15</v>
      </c>
      <c r="C24" s="19" t="s">
        <v>84</v>
      </c>
    </row>
    <row r="25" spans="1:3" ht="20.100000000000001" customHeight="1" thickBot="1" x14ac:dyDescent="0.35">
      <c r="A25" s="2" t="s">
        <v>28</v>
      </c>
      <c r="C25" s="19" t="s">
        <v>85</v>
      </c>
    </row>
    <row r="26" spans="1:3" ht="20.100000000000001" customHeight="1" thickBot="1" x14ac:dyDescent="0.35">
      <c r="A26" s="2" t="s">
        <v>29</v>
      </c>
      <c r="C26" s="19" t="s">
        <v>86</v>
      </c>
    </row>
    <row r="27" spans="1:3" ht="20.100000000000001" customHeight="1" thickBot="1" x14ac:dyDescent="0.35">
      <c r="A27" s="2" t="s">
        <v>13</v>
      </c>
      <c r="C27" s="19" t="s">
        <v>87</v>
      </c>
    </row>
    <row r="28" spans="1:3" ht="20.100000000000001" customHeight="1" thickBot="1" x14ac:dyDescent="0.35">
      <c r="A28" s="2" t="s">
        <v>30</v>
      </c>
      <c r="C28" s="19" t="s">
        <v>88</v>
      </c>
    </row>
    <row r="29" spans="1:3" ht="20.100000000000001" customHeight="1" thickBot="1" x14ac:dyDescent="0.35">
      <c r="A29" s="2" t="s">
        <v>31</v>
      </c>
      <c r="C29" s="19" t="s">
        <v>177</v>
      </c>
    </row>
    <row r="30" spans="1:3" ht="20.100000000000001" customHeight="1" thickBot="1" x14ac:dyDescent="0.35">
      <c r="A30" s="2" t="s">
        <v>32</v>
      </c>
      <c r="C30" s="19" t="s">
        <v>178</v>
      </c>
    </row>
    <row r="31" spans="1:3" ht="20.100000000000001" customHeight="1" thickBot="1" x14ac:dyDescent="0.35">
      <c r="A31" s="2" t="s">
        <v>33</v>
      </c>
      <c r="C31" s="19" t="s">
        <v>179</v>
      </c>
    </row>
    <row r="32" spans="1:3" ht="20.100000000000001" customHeight="1" thickBot="1" x14ac:dyDescent="0.35">
      <c r="A32" s="2" t="s">
        <v>16</v>
      </c>
      <c r="C32" s="19"/>
    </row>
    <row r="33" spans="1:9" ht="20.100000000000001" customHeight="1" thickBot="1" x14ac:dyDescent="0.35">
      <c r="A33" s="2" t="s">
        <v>14</v>
      </c>
      <c r="C33" s="19"/>
    </row>
    <row r="34" spans="1:9" ht="20.100000000000001" customHeight="1" thickBot="1" x14ac:dyDescent="0.35">
      <c r="A34" s="2" t="s">
        <v>34</v>
      </c>
      <c r="C34" s="19"/>
    </row>
    <row r="35" spans="1:9" ht="20.100000000000001" customHeight="1" x14ac:dyDescent="0.3">
      <c r="A35" s="18"/>
    </row>
    <row r="36" spans="1:9" s="17" customFormat="1" ht="20.100000000000001" customHeight="1" x14ac:dyDescent="0.3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3">
        <v>45931</v>
      </c>
    </row>
    <row r="40" spans="1:9" ht="20.100000000000001" customHeight="1" thickBot="1" x14ac:dyDescent="0.35">
      <c r="A40" s="13">
        <v>45932</v>
      </c>
    </row>
    <row r="41" spans="1:9" ht="20.100000000000001" customHeight="1" thickBot="1" x14ac:dyDescent="0.35">
      <c r="A41" s="13">
        <v>45933</v>
      </c>
    </row>
    <row r="42" spans="1:9" ht="20.100000000000001" customHeight="1" thickBot="1" x14ac:dyDescent="0.35">
      <c r="A42" s="13">
        <v>45934</v>
      </c>
    </row>
    <row r="43" spans="1:9" ht="20.100000000000001" customHeight="1" thickBot="1" x14ac:dyDescent="0.35">
      <c r="A43" s="13">
        <v>45935</v>
      </c>
    </row>
    <row r="44" spans="1:9" ht="20.100000000000001" customHeight="1" thickBot="1" x14ac:dyDescent="0.35">
      <c r="A44" s="13">
        <v>45936</v>
      </c>
    </row>
    <row r="45" spans="1:9" ht="20.100000000000001" customHeight="1" thickBot="1" x14ac:dyDescent="0.35">
      <c r="A45" s="13">
        <v>45937</v>
      </c>
    </row>
    <row r="46" spans="1:9" ht="20.100000000000001" customHeight="1" thickBot="1" x14ac:dyDescent="0.35">
      <c r="A46" s="13">
        <v>45938</v>
      </c>
    </row>
    <row r="47" spans="1:9" ht="20.100000000000001" customHeight="1" thickBot="1" x14ac:dyDescent="0.35">
      <c r="A47" s="13">
        <v>45939</v>
      </c>
    </row>
    <row r="48" spans="1:9" ht="20.100000000000001" customHeight="1" thickBot="1" x14ac:dyDescent="0.35">
      <c r="A48" s="13">
        <v>45940</v>
      </c>
    </row>
    <row r="49" spans="1:1" ht="20.100000000000001" customHeight="1" thickBot="1" x14ac:dyDescent="0.35">
      <c r="A49" s="13">
        <v>45941</v>
      </c>
    </row>
    <row r="50" spans="1:1" ht="20.100000000000001" customHeight="1" thickBot="1" x14ac:dyDescent="0.35">
      <c r="A50" s="13">
        <v>45942</v>
      </c>
    </row>
    <row r="51" spans="1:1" ht="20.100000000000001" customHeight="1" thickBot="1" x14ac:dyDescent="0.35">
      <c r="A51" s="13">
        <v>45943</v>
      </c>
    </row>
    <row r="52" spans="1:1" ht="20.100000000000001" customHeight="1" thickBot="1" x14ac:dyDescent="0.35">
      <c r="A52" s="13">
        <v>45944</v>
      </c>
    </row>
    <row r="53" spans="1:1" ht="20.100000000000001" customHeight="1" thickBot="1" x14ac:dyDescent="0.35">
      <c r="A53" s="13">
        <v>45945</v>
      </c>
    </row>
    <row r="54" spans="1:1" ht="20.100000000000001" customHeight="1" thickBot="1" x14ac:dyDescent="0.35">
      <c r="A54" s="13">
        <v>45946</v>
      </c>
    </row>
    <row r="55" spans="1:1" ht="20.100000000000001" customHeight="1" thickBot="1" x14ac:dyDescent="0.35">
      <c r="A55" s="13">
        <v>45947</v>
      </c>
    </row>
    <row r="56" spans="1:1" ht="20.100000000000001" customHeight="1" thickBot="1" x14ac:dyDescent="0.35">
      <c r="A56" s="13">
        <v>45948</v>
      </c>
    </row>
    <row r="57" spans="1:1" ht="20.100000000000001" customHeight="1" thickBot="1" x14ac:dyDescent="0.35">
      <c r="A57" s="13">
        <v>45949</v>
      </c>
    </row>
    <row r="58" spans="1:1" ht="20.100000000000001" customHeight="1" thickBot="1" x14ac:dyDescent="0.35">
      <c r="A58" s="13">
        <v>45950</v>
      </c>
    </row>
    <row r="59" spans="1:1" ht="20.100000000000001" customHeight="1" thickBot="1" x14ac:dyDescent="0.35">
      <c r="A59" s="13">
        <v>45951</v>
      </c>
    </row>
    <row r="60" spans="1:1" ht="20.100000000000001" customHeight="1" thickBot="1" x14ac:dyDescent="0.35">
      <c r="A60" s="13">
        <v>45952</v>
      </c>
    </row>
    <row r="61" spans="1:1" ht="20.100000000000001" customHeight="1" thickBot="1" x14ac:dyDescent="0.35">
      <c r="A61" s="13">
        <v>45953</v>
      </c>
    </row>
    <row r="62" spans="1:1" ht="20.100000000000001" customHeight="1" thickBot="1" x14ac:dyDescent="0.35">
      <c r="A62" s="13">
        <v>45954</v>
      </c>
    </row>
    <row r="63" spans="1:1" ht="20.100000000000001" customHeight="1" thickBot="1" x14ac:dyDescent="0.35">
      <c r="A63" s="13">
        <v>45955</v>
      </c>
    </row>
    <row r="64" spans="1:1" ht="20.100000000000001" customHeight="1" thickBot="1" x14ac:dyDescent="0.35">
      <c r="A64" s="13">
        <v>45956</v>
      </c>
    </row>
    <row r="65" spans="1:1" ht="20.100000000000001" customHeight="1" thickBot="1" x14ac:dyDescent="0.35">
      <c r="A65" s="13">
        <v>45957</v>
      </c>
    </row>
    <row r="66" spans="1:1" ht="20.100000000000001" customHeight="1" thickBot="1" x14ac:dyDescent="0.35">
      <c r="A66" s="13">
        <v>45958</v>
      </c>
    </row>
    <row r="67" spans="1:1" ht="20.100000000000001" customHeight="1" thickBot="1" x14ac:dyDescent="0.35">
      <c r="A67" s="13">
        <v>45959</v>
      </c>
    </row>
    <row r="68" spans="1:1" ht="20.100000000000001" customHeight="1" thickBot="1" x14ac:dyDescent="0.35">
      <c r="A68" s="13">
        <v>45960</v>
      </c>
    </row>
    <row r="69" spans="1:1" ht="20.100000000000001" customHeight="1" thickBot="1" x14ac:dyDescent="0.35">
      <c r="A69" s="13">
        <v>45961</v>
      </c>
    </row>
    <row r="70" spans="1:1" ht="20.100000000000001" customHeight="1" thickBot="1" x14ac:dyDescent="0.35">
      <c r="A70" s="13"/>
    </row>
    <row r="71" spans="1:1" ht="20.100000000000001" customHeight="1" thickBot="1" x14ac:dyDescent="0.35">
      <c r="A71" s="13"/>
    </row>
    <row r="72" spans="1:1" ht="20.100000000000001" customHeight="1" thickBot="1" x14ac:dyDescent="0.35">
      <c r="A72" s="13"/>
    </row>
    <row r="73" spans="1:1" ht="20.100000000000001" customHeight="1" thickBot="1" x14ac:dyDescent="0.35">
      <c r="A73" s="13"/>
    </row>
    <row r="74" spans="1:1" ht="20.100000000000001" customHeight="1" thickBot="1" x14ac:dyDescent="0.35">
      <c r="A74" s="13"/>
    </row>
    <row r="75" spans="1:1" ht="20.100000000000001" customHeight="1" thickBot="1" x14ac:dyDescent="0.35">
      <c r="A75" s="13"/>
    </row>
    <row r="76" spans="1:1" ht="20.100000000000001" customHeight="1" thickBot="1" x14ac:dyDescent="0.35">
      <c r="A76" s="13"/>
    </row>
    <row r="77" spans="1:1" ht="20.100000000000001" customHeight="1" thickBot="1" x14ac:dyDescent="0.35">
      <c r="A77" s="13"/>
    </row>
    <row r="78" spans="1:1" ht="20.100000000000001" customHeight="1" thickBot="1" x14ac:dyDescent="0.35">
      <c r="A78" s="13"/>
    </row>
    <row r="79" spans="1:1" ht="20.100000000000001" customHeight="1" thickBot="1" x14ac:dyDescent="0.35">
      <c r="A79" s="13"/>
    </row>
    <row r="80" spans="1:1" ht="20.100000000000001" customHeight="1" thickBot="1" x14ac:dyDescent="0.35">
      <c r="A80" s="13"/>
    </row>
    <row r="81" spans="1:1" ht="20.100000000000001" customHeight="1" thickBot="1" x14ac:dyDescent="0.35">
      <c r="A81" s="13"/>
    </row>
    <row r="82" spans="1:1" ht="20.100000000000001" customHeight="1" thickBot="1" x14ac:dyDescent="0.35">
      <c r="A82" s="13"/>
    </row>
    <row r="83" spans="1:1" ht="20.100000000000001" customHeight="1" thickBot="1" x14ac:dyDescent="0.35">
      <c r="A83" s="13"/>
    </row>
    <row r="84" spans="1:1" ht="20.100000000000001" customHeight="1" thickBot="1" x14ac:dyDescent="0.35">
      <c r="A84" s="13"/>
    </row>
    <row r="85" spans="1:1" ht="20.100000000000001" customHeight="1" thickBot="1" x14ac:dyDescent="0.35">
      <c r="A85" s="13"/>
    </row>
    <row r="86" spans="1:1" ht="20.100000000000001" customHeight="1" thickBot="1" x14ac:dyDescent="0.35">
      <c r="A86" s="13"/>
    </row>
    <row r="87" spans="1:1" ht="20.100000000000001" customHeight="1" thickBot="1" x14ac:dyDescent="0.35">
      <c r="A87" s="13"/>
    </row>
    <row r="88" spans="1:1" ht="20.100000000000001" customHeight="1" thickBot="1" x14ac:dyDescent="0.35">
      <c r="A88" s="13"/>
    </row>
    <row r="89" spans="1:1" ht="20.100000000000001" customHeight="1" thickBot="1" x14ac:dyDescent="0.35">
      <c r="A89" s="13"/>
    </row>
    <row r="90" spans="1:1" ht="20.100000000000001" customHeight="1" thickBot="1" x14ac:dyDescent="0.35">
      <c r="A90" s="13"/>
    </row>
    <row r="91" spans="1:1" ht="20.100000000000001" customHeight="1" thickBot="1" x14ac:dyDescent="0.35">
      <c r="A91" s="13"/>
    </row>
    <row r="92" spans="1:1" ht="20.100000000000001" customHeight="1" thickBot="1" x14ac:dyDescent="0.35">
      <c r="A92" s="13"/>
    </row>
    <row r="93" spans="1:1" ht="20.100000000000001" customHeight="1" thickBot="1" x14ac:dyDescent="0.35">
      <c r="A93" s="13"/>
    </row>
    <row r="94" spans="1:1" ht="20.100000000000001" customHeight="1" thickBot="1" x14ac:dyDescent="0.35">
      <c r="A94" s="13"/>
    </row>
    <row r="95" spans="1:1" ht="20.100000000000001" customHeight="1" thickBot="1" x14ac:dyDescent="0.35">
      <c r="A95" s="13"/>
    </row>
    <row r="96" spans="1:1" ht="20.100000000000001" customHeight="1" thickBot="1" x14ac:dyDescent="0.35">
      <c r="A96" s="13"/>
    </row>
    <row r="97" spans="1:9" ht="20.100000000000001" customHeight="1" thickBot="1" x14ac:dyDescent="0.35">
      <c r="A97" s="13"/>
    </row>
    <row r="98" spans="1:9" ht="20.100000000000001" customHeight="1" thickBot="1" x14ac:dyDescent="0.35">
      <c r="A98" s="13"/>
    </row>
    <row r="99" spans="1:9" ht="20.100000000000001" customHeight="1" thickBot="1" x14ac:dyDescent="0.35">
      <c r="A99" s="13"/>
    </row>
    <row r="100" spans="1:9" ht="20.100000000000001" customHeight="1" thickBot="1" x14ac:dyDescent="0.35">
      <c r="A100" s="13"/>
    </row>
    <row r="101" spans="1:9" ht="20.100000000000001" customHeight="1" thickBot="1" x14ac:dyDescent="0.35">
      <c r="A101" s="13"/>
    </row>
    <row r="102" spans="1:9" ht="20.100000000000001" customHeight="1" thickBot="1" x14ac:dyDescent="0.35">
      <c r="A102" s="13"/>
    </row>
    <row r="103" spans="1:9" ht="20.100000000000001" customHeight="1" thickBot="1" x14ac:dyDescent="0.35">
      <c r="A103" s="13"/>
    </row>
    <row r="104" spans="1:9" ht="20.100000000000001" customHeight="1" thickBot="1" x14ac:dyDescent="0.35">
      <c r="A104" s="13"/>
    </row>
    <row r="105" spans="1:9" ht="20.100000000000001" customHeight="1" thickBot="1" x14ac:dyDescent="0.35">
      <c r="A105" s="13"/>
    </row>
    <row r="106" spans="1:9" ht="20.100000000000001" customHeight="1" thickBot="1" x14ac:dyDescent="0.35">
      <c r="A106" s="13"/>
    </row>
    <row r="107" spans="1:9" ht="20.100000000000001" customHeight="1" x14ac:dyDescent="0.3">
      <c r="A107" s="14"/>
    </row>
    <row r="108" spans="1:9" ht="20.100000000000001" customHeight="1" x14ac:dyDescent="0.3">
      <c r="A108" s="14"/>
    </row>
    <row r="109" spans="1:9" s="17" customFormat="1" ht="20.100000000000001" customHeight="1" x14ac:dyDescent="0.3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0" t="s">
        <v>89</v>
      </c>
    </row>
    <row r="200" spans="1:1" ht="20.100000000000001" customHeight="1" x14ac:dyDescent="0.3">
      <c r="A200" s="20" t="s">
        <v>90</v>
      </c>
    </row>
    <row r="201" spans="1:1" ht="20.100000000000001" customHeight="1" x14ac:dyDescent="0.3">
      <c r="A201" s="20" t="s">
        <v>91</v>
      </c>
    </row>
    <row r="202" spans="1:1" ht="20.100000000000001" customHeight="1" x14ac:dyDescent="0.3">
      <c r="A202" s="20" t="s">
        <v>92</v>
      </c>
    </row>
    <row r="203" spans="1:1" ht="20.100000000000001" customHeight="1" x14ac:dyDescent="0.3">
      <c r="A203" s="20" t="s">
        <v>93</v>
      </c>
    </row>
    <row r="204" spans="1:1" ht="20.100000000000001" customHeight="1" x14ac:dyDescent="0.3">
      <c r="A204" s="20" t="s">
        <v>94</v>
      </c>
    </row>
    <row r="205" spans="1:1" ht="20.100000000000001" customHeight="1" x14ac:dyDescent="0.3">
      <c r="A205" s="20" t="s">
        <v>95</v>
      </c>
    </row>
    <row r="206" spans="1:1" ht="20.100000000000001" customHeight="1" x14ac:dyDescent="0.3">
      <c r="A206" s="20" t="s">
        <v>96</v>
      </c>
    </row>
    <row r="207" spans="1:1" ht="20.100000000000001" customHeight="1" x14ac:dyDescent="0.3">
      <c r="A207" s="20" t="s">
        <v>97</v>
      </c>
    </row>
    <row r="208" spans="1:1" ht="20.100000000000001" customHeight="1" x14ac:dyDescent="0.3">
      <c r="A208" s="21" t="s">
        <v>98</v>
      </c>
    </row>
    <row r="209" spans="1:1" ht="20.100000000000001" customHeight="1" x14ac:dyDescent="0.3">
      <c r="A209" s="21" t="s">
        <v>99</v>
      </c>
    </row>
    <row r="210" spans="1:1" ht="20.100000000000001" customHeight="1" x14ac:dyDescent="0.3">
      <c r="A210" s="20" t="s">
        <v>100</v>
      </c>
    </row>
    <row r="211" spans="1:1" ht="20.100000000000001" customHeight="1" x14ac:dyDescent="0.3">
      <c r="A211" s="20" t="s">
        <v>101</v>
      </c>
    </row>
    <row r="212" spans="1:1" ht="20.100000000000001" customHeight="1" x14ac:dyDescent="0.3">
      <c r="A212" s="20" t="s">
        <v>175</v>
      </c>
    </row>
    <row r="213" spans="1:1" ht="20.100000000000001" customHeight="1" x14ac:dyDescent="0.3">
      <c r="A213" s="20" t="s">
        <v>102</v>
      </c>
    </row>
    <row r="214" spans="1:1" ht="20.100000000000001" customHeight="1" x14ac:dyDescent="0.3">
      <c r="A214" s="20" t="s">
        <v>103</v>
      </c>
    </row>
    <row r="215" spans="1:1" ht="20.100000000000001" customHeight="1" x14ac:dyDescent="0.3">
      <c r="A215" s="20" t="s">
        <v>104</v>
      </c>
    </row>
    <row r="216" spans="1:1" ht="20.100000000000001" customHeight="1" x14ac:dyDescent="0.3">
      <c r="A216" s="20" t="s">
        <v>105</v>
      </c>
    </row>
    <row r="217" spans="1:1" ht="20.100000000000001" customHeight="1" x14ac:dyDescent="0.3">
      <c r="A217" s="20" t="s">
        <v>106</v>
      </c>
    </row>
    <row r="218" spans="1:1" ht="20.100000000000001" customHeight="1" x14ac:dyDescent="0.3">
      <c r="A218" s="20" t="s">
        <v>107</v>
      </c>
    </row>
    <row r="219" spans="1:1" ht="20.100000000000001" customHeight="1" x14ac:dyDescent="0.3">
      <c r="A219" s="20" t="s">
        <v>108</v>
      </c>
    </row>
    <row r="220" spans="1:1" ht="20.100000000000001" customHeight="1" x14ac:dyDescent="0.3">
      <c r="A220" s="20" t="s">
        <v>109</v>
      </c>
    </row>
    <row r="221" spans="1:1" ht="20.100000000000001" customHeight="1" x14ac:dyDescent="0.3">
      <c r="A221" s="20" t="s">
        <v>110</v>
      </c>
    </row>
    <row r="222" spans="1:1" ht="20.100000000000001" customHeight="1" x14ac:dyDescent="0.3">
      <c r="A222" s="20" t="s">
        <v>111</v>
      </c>
    </row>
    <row r="223" spans="1:1" ht="20.100000000000001" customHeight="1" x14ac:dyDescent="0.3">
      <c r="A223" s="20" t="s">
        <v>112</v>
      </c>
    </row>
    <row r="224" spans="1:1" ht="20.100000000000001" customHeight="1" x14ac:dyDescent="0.3">
      <c r="A224" s="20" t="s">
        <v>176</v>
      </c>
    </row>
    <row r="225" spans="1:1" ht="20.100000000000001" customHeight="1" x14ac:dyDescent="0.3">
      <c r="A225" s="20" t="s">
        <v>113</v>
      </c>
    </row>
    <row r="226" spans="1:1" ht="20.100000000000001" customHeight="1" x14ac:dyDescent="0.3">
      <c r="A226" s="20" t="s">
        <v>114</v>
      </c>
    </row>
    <row r="227" spans="1:1" ht="20.100000000000001" customHeight="1" x14ac:dyDescent="0.3">
      <c r="A227" s="20" t="s">
        <v>115</v>
      </c>
    </row>
    <row r="228" spans="1:1" ht="20.100000000000001" customHeight="1" x14ac:dyDescent="0.3">
      <c r="A228" s="20" t="s">
        <v>116</v>
      </c>
    </row>
    <row r="229" spans="1:1" ht="20.100000000000001" customHeight="1" x14ac:dyDescent="0.3">
      <c r="A229" s="20" t="s">
        <v>117</v>
      </c>
    </row>
    <row r="230" spans="1:1" ht="20.100000000000001" customHeight="1" x14ac:dyDescent="0.3">
      <c r="A230" s="20" t="s">
        <v>118</v>
      </c>
    </row>
    <row r="231" spans="1:1" ht="20.100000000000001" customHeight="1" x14ac:dyDescent="0.3">
      <c r="A231" s="20" t="s">
        <v>119</v>
      </c>
    </row>
    <row r="232" spans="1:1" ht="20.100000000000001" customHeight="1" x14ac:dyDescent="0.3">
      <c r="A232" s="20" t="s">
        <v>120</v>
      </c>
    </row>
    <row r="233" spans="1:1" ht="20.100000000000001" customHeight="1" x14ac:dyDescent="0.3">
      <c r="A233" s="20" t="s">
        <v>121</v>
      </c>
    </row>
    <row r="234" spans="1:1" ht="20.100000000000001" customHeight="1" x14ac:dyDescent="0.3">
      <c r="A234" s="20" t="s">
        <v>122</v>
      </c>
    </row>
    <row r="235" spans="1:1" ht="20.100000000000001" customHeight="1" x14ac:dyDescent="0.3">
      <c r="A235" s="20" t="s">
        <v>123</v>
      </c>
    </row>
    <row r="236" spans="1:1" ht="20.100000000000001" customHeight="1" x14ac:dyDescent="0.3">
      <c r="A236" s="22" t="s">
        <v>124</v>
      </c>
    </row>
    <row r="237" spans="1:1" ht="20.100000000000001" customHeight="1" x14ac:dyDescent="0.3">
      <c r="A237" s="20" t="s">
        <v>125</v>
      </c>
    </row>
    <row r="238" spans="1:1" ht="20.100000000000001" customHeight="1" x14ac:dyDescent="0.3">
      <c r="A238" s="20" t="s">
        <v>126</v>
      </c>
    </row>
    <row r="239" spans="1:1" ht="20.100000000000001" customHeight="1" x14ac:dyDescent="0.3">
      <c r="A239" s="20" t="s">
        <v>127</v>
      </c>
    </row>
    <row r="240" spans="1:1" ht="20.100000000000001" customHeight="1" x14ac:dyDescent="0.3">
      <c r="A240" s="20" t="s">
        <v>128</v>
      </c>
    </row>
    <row r="241" spans="1:1" ht="20.100000000000001" customHeight="1" x14ac:dyDescent="0.3">
      <c r="A241" s="20" t="s">
        <v>129</v>
      </c>
    </row>
    <row r="242" spans="1:1" ht="20.100000000000001" customHeight="1" x14ac:dyDescent="0.3">
      <c r="A242" s="20" t="s">
        <v>130</v>
      </c>
    </row>
    <row r="243" spans="1:1" ht="20.100000000000001" customHeight="1" x14ac:dyDescent="0.3">
      <c r="A243" s="20" t="s">
        <v>131</v>
      </c>
    </row>
    <row r="244" spans="1:1" ht="20.100000000000001" customHeight="1" x14ac:dyDescent="0.3">
      <c r="A244" s="20" t="s">
        <v>132</v>
      </c>
    </row>
    <row r="245" spans="1:1" ht="20.100000000000001" customHeight="1" x14ac:dyDescent="0.3">
      <c r="A245" s="20" t="s">
        <v>133</v>
      </c>
    </row>
    <row r="246" spans="1:1" ht="20.100000000000001" customHeight="1" x14ac:dyDescent="0.3">
      <c r="A246" s="20" t="s">
        <v>134</v>
      </c>
    </row>
    <row r="247" spans="1:1" ht="20.100000000000001" customHeight="1" x14ac:dyDescent="0.3">
      <c r="A247" s="20" t="s">
        <v>135</v>
      </c>
    </row>
    <row r="248" spans="1:1" ht="20.100000000000001" customHeight="1" x14ac:dyDescent="0.3">
      <c r="A248" s="20" t="s">
        <v>126</v>
      </c>
    </row>
    <row r="249" spans="1:1" ht="20.100000000000001" customHeight="1" x14ac:dyDescent="0.3">
      <c r="A249" s="20" t="s">
        <v>136</v>
      </c>
    </row>
    <row r="250" spans="1:1" ht="20.100000000000001" customHeight="1" x14ac:dyDescent="0.3">
      <c r="A250" s="20" t="s">
        <v>137</v>
      </c>
    </row>
    <row r="251" spans="1:1" ht="20.100000000000001" customHeight="1" x14ac:dyDescent="0.3">
      <c r="A251" s="22" t="s">
        <v>138</v>
      </c>
    </row>
    <row r="252" spans="1:1" ht="20.100000000000001" customHeight="1" x14ac:dyDescent="0.3">
      <c r="A252" s="23" t="s">
        <v>139</v>
      </c>
    </row>
    <row r="253" spans="1:1" ht="20.100000000000001" customHeight="1" x14ac:dyDescent="0.3">
      <c r="A253" s="20" t="s">
        <v>140</v>
      </c>
    </row>
    <row r="254" spans="1:1" ht="20.100000000000001" customHeight="1" x14ac:dyDescent="0.3">
      <c r="A254" s="20" t="s">
        <v>141</v>
      </c>
    </row>
    <row r="255" spans="1:1" ht="20.100000000000001" customHeight="1" x14ac:dyDescent="0.3">
      <c r="A255" s="24" t="s">
        <v>142</v>
      </c>
    </row>
    <row r="256" spans="1:1" ht="20.100000000000001" customHeight="1" x14ac:dyDescent="0.3">
      <c r="A256" s="24" t="s">
        <v>143</v>
      </c>
    </row>
    <row r="257" spans="1:1" ht="20.100000000000001" customHeight="1" x14ac:dyDescent="0.3">
      <c r="A257" s="25" t="s">
        <v>144</v>
      </c>
    </row>
    <row r="258" spans="1:1" ht="20.100000000000001" customHeight="1" x14ac:dyDescent="0.3">
      <c r="A258" s="20" t="s">
        <v>145</v>
      </c>
    </row>
    <row r="259" spans="1:1" ht="20.100000000000001" customHeight="1" x14ac:dyDescent="0.3">
      <c r="A259" s="25" t="s">
        <v>146</v>
      </c>
    </row>
    <row r="260" spans="1:1" ht="20.100000000000001" customHeight="1" x14ac:dyDescent="0.3">
      <c r="A260" s="20" t="s">
        <v>147</v>
      </c>
    </row>
    <row r="261" spans="1:1" ht="20.100000000000001" customHeight="1" x14ac:dyDescent="0.3">
      <c r="A261" s="25" t="s">
        <v>148</v>
      </c>
    </row>
    <row r="262" spans="1:1" ht="20.100000000000001" customHeight="1" x14ac:dyDescent="0.3">
      <c r="A262" s="20" t="s">
        <v>149</v>
      </c>
    </row>
    <row r="263" spans="1:1" ht="20.100000000000001" customHeight="1" x14ac:dyDescent="0.3">
      <c r="A263" s="20" t="s">
        <v>150</v>
      </c>
    </row>
    <row r="264" spans="1:1" ht="20.100000000000001" customHeight="1" x14ac:dyDescent="0.3">
      <c r="A264" s="25" t="s">
        <v>151</v>
      </c>
    </row>
    <row r="265" spans="1:1" ht="20.100000000000001" customHeight="1" x14ac:dyDescent="0.3">
      <c r="A265" s="25" t="s">
        <v>152</v>
      </c>
    </row>
    <row r="266" spans="1:1" ht="20.100000000000001" customHeight="1" x14ac:dyDescent="0.3">
      <c r="A266" s="25" t="s">
        <v>153</v>
      </c>
    </row>
    <row r="267" spans="1:1" ht="20.100000000000001" customHeight="1" x14ac:dyDescent="0.3">
      <c r="A267" s="20" t="s">
        <v>154</v>
      </c>
    </row>
    <row r="268" spans="1:1" ht="20.100000000000001" customHeight="1" x14ac:dyDescent="0.3">
      <c r="A268" s="20" t="s">
        <v>155</v>
      </c>
    </row>
    <row r="269" spans="1:1" ht="20.100000000000001" customHeight="1" x14ac:dyDescent="0.3">
      <c r="A269" s="20" t="s">
        <v>156</v>
      </c>
    </row>
    <row r="270" spans="1:1" ht="20.100000000000001" customHeight="1" x14ac:dyDescent="0.3">
      <c r="A270" s="20" t="s">
        <v>157</v>
      </c>
    </row>
    <row r="271" spans="1:1" ht="20.100000000000001" customHeight="1" x14ac:dyDescent="0.3">
      <c r="A271" s="25" t="s">
        <v>158</v>
      </c>
    </row>
    <row r="272" spans="1:1" ht="20.100000000000001" customHeight="1" x14ac:dyDescent="0.3">
      <c r="A272" s="25" t="s">
        <v>159</v>
      </c>
    </row>
    <row r="273" spans="1:1" ht="20.100000000000001" customHeight="1" x14ac:dyDescent="0.3">
      <c r="A273" s="20" t="s">
        <v>160</v>
      </c>
    </row>
    <row r="274" spans="1:1" ht="20.100000000000001" customHeight="1" x14ac:dyDescent="0.3">
      <c r="A274" s="25" t="s">
        <v>161</v>
      </c>
    </row>
    <row r="275" spans="1:1" ht="20.100000000000001" customHeight="1" x14ac:dyDescent="0.3">
      <c r="A275" s="25" t="s">
        <v>162</v>
      </c>
    </row>
    <row r="276" spans="1:1" ht="20.100000000000001" customHeight="1" x14ac:dyDescent="0.3">
      <c r="A276" s="20" t="s">
        <v>163</v>
      </c>
    </row>
    <row r="277" spans="1:1" ht="20.100000000000001" customHeight="1" x14ac:dyDescent="0.3">
      <c r="A277" s="20" t="s">
        <v>164</v>
      </c>
    </row>
    <row r="278" spans="1:1" ht="20.100000000000001" customHeight="1" x14ac:dyDescent="0.3">
      <c r="A278" s="25" t="s">
        <v>165</v>
      </c>
    </row>
    <row r="279" spans="1:1" ht="20.100000000000001" customHeight="1" x14ac:dyDescent="0.3">
      <c r="A279" s="20" t="s">
        <v>166</v>
      </c>
    </row>
    <row r="280" spans="1:1" ht="20.100000000000001" customHeight="1" x14ac:dyDescent="0.3">
      <c r="A280" s="20" t="s">
        <v>167</v>
      </c>
    </row>
    <row r="281" spans="1:1" ht="20.100000000000001" customHeight="1" x14ac:dyDescent="0.3">
      <c r="A281" s="20" t="s">
        <v>168</v>
      </c>
    </row>
    <row r="282" spans="1:1" ht="20.100000000000001" customHeight="1" x14ac:dyDescent="0.3">
      <c r="A282" s="20" t="s">
        <v>169</v>
      </c>
    </row>
    <row r="283" spans="1:1" ht="20.100000000000001" customHeight="1" x14ac:dyDescent="0.3">
      <c r="A283" s="25" t="s">
        <v>170</v>
      </c>
    </row>
    <row r="284" spans="1:1" ht="20.100000000000001" customHeight="1" x14ac:dyDescent="0.3">
      <c r="A284" s="25" t="s">
        <v>171</v>
      </c>
    </row>
    <row r="285" spans="1:1" ht="20.100000000000001" customHeight="1" x14ac:dyDescent="0.3">
      <c r="A285" s="25" t="s">
        <v>172</v>
      </c>
    </row>
    <row r="286" spans="1:1" ht="20.100000000000001" customHeight="1" thickBot="1" x14ac:dyDescent="0.35">
      <c r="A286" s="20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2025-10-27T22:32:27Z</dcterms:modified>
</cp:coreProperties>
</file>