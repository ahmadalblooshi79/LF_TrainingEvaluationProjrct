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/>
  <bookViews>
    <workbookView xWindow="-105" yWindow="-105" windowWidth="23250" windowHeight="12570"/>
  </bookViews>
  <sheets>
    <sheet name="قائمة التقييم" sheetId="2" r:id="rId1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التقييم'!$A$1:$J$79</definedName>
    <definedName name="_xlnm.Print_Titles" localSheetId="0">'قائمة التقييم'!$7:$7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9" i="2" l="1"/>
  <c r="H9" i="2" s="1"/>
  <c r="G10" i="2"/>
  <c r="H10" i="2" s="1"/>
  <c r="G11" i="2"/>
  <c r="H11" i="2" s="1"/>
  <c r="G14" i="2"/>
  <c r="H14" i="2" s="1"/>
  <c r="G15" i="2"/>
  <c r="H15" i="2"/>
  <c r="G16" i="2"/>
  <c r="H16" i="2" s="1"/>
  <c r="G17" i="2"/>
  <c r="H17" i="2" s="1"/>
  <c r="G18" i="2"/>
  <c r="H18" i="2" s="1"/>
  <c r="G19" i="2"/>
  <c r="H19" i="2" s="1"/>
  <c r="G20" i="2"/>
  <c r="H20" i="2" s="1"/>
  <c r="G21" i="2"/>
  <c r="H21" i="2" s="1"/>
  <c r="G22" i="2"/>
  <c r="H22" i="2" s="1"/>
  <c r="G23" i="2"/>
  <c r="H23" i="2" s="1"/>
  <c r="G24" i="2"/>
  <c r="H24" i="2"/>
  <c r="G26" i="2"/>
  <c r="H26" i="2" s="1"/>
  <c r="G27" i="2"/>
  <c r="H27" i="2" s="1"/>
  <c r="G29" i="2"/>
  <c r="H29" i="2" s="1"/>
  <c r="G30" i="2"/>
  <c r="H30" i="2" s="1"/>
  <c r="G31" i="2"/>
  <c r="H31" i="2" s="1"/>
  <c r="G32" i="2"/>
  <c r="H32" i="2" s="1"/>
  <c r="G34" i="2"/>
  <c r="H34" i="2"/>
  <c r="G35" i="2"/>
  <c r="H35" i="2" s="1"/>
  <c r="G36" i="2"/>
  <c r="H36" i="2" s="1"/>
  <c r="G37" i="2"/>
  <c r="H37" i="2" s="1"/>
  <c r="G38" i="2"/>
  <c r="H38" i="2" s="1"/>
  <c r="G39" i="2"/>
  <c r="H39" i="2" s="1"/>
  <c r="G40" i="2"/>
  <c r="H40" i="2" s="1"/>
  <c r="G41" i="2"/>
  <c r="H41" i="2" s="1"/>
  <c r="G42" i="2"/>
  <c r="H42" i="2" s="1"/>
  <c r="G43" i="2"/>
  <c r="H43" i="2" s="1"/>
  <c r="G44" i="2"/>
  <c r="H44" i="2" s="1"/>
  <c r="G45" i="2"/>
  <c r="H45" i="2" s="1"/>
  <c r="G46" i="2"/>
  <c r="H46" i="2"/>
  <c r="G47" i="2"/>
  <c r="H47" i="2" s="1"/>
  <c r="G49" i="2"/>
  <c r="H49" i="2" s="1"/>
  <c r="G50" i="2"/>
  <c r="H50" i="2" s="1"/>
  <c r="G51" i="2"/>
  <c r="H51" i="2" s="1"/>
  <c r="G53" i="2"/>
  <c r="H53" i="2" s="1"/>
  <c r="G54" i="2"/>
  <c r="H54" i="2" s="1"/>
  <c r="G55" i="2"/>
  <c r="H55" i="2" s="1"/>
  <c r="G56" i="2"/>
  <c r="H56" i="2"/>
  <c r="G57" i="2"/>
  <c r="H57" i="2" s="1"/>
  <c r="G58" i="2"/>
  <c r="H58" i="2" s="1"/>
  <c r="G59" i="2"/>
  <c r="H59" i="2" s="1"/>
  <c r="G61" i="2"/>
  <c r="H61" i="2" s="1"/>
  <c r="G62" i="2"/>
  <c r="H62" i="2"/>
  <c r="G63" i="2"/>
  <c r="H63" i="2" s="1"/>
  <c r="G65" i="2"/>
  <c r="H65" i="2" s="1"/>
  <c r="G66" i="2"/>
  <c r="H66" i="2" s="1"/>
  <c r="G67" i="2"/>
  <c r="H67" i="2" s="1"/>
  <c r="G68" i="2"/>
  <c r="H68" i="2" s="1"/>
  <c r="G69" i="2"/>
  <c r="H69" i="2" s="1"/>
  <c r="G71" i="2"/>
  <c r="H71" i="2" s="1"/>
  <c r="G72" i="2"/>
  <c r="H72" i="2" s="1"/>
  <c r="G73" i="2"/>
  <c r="H73" i="2" s="1"/>
  <c r="G74" i="2"/>
  <c r="H74" i="2" s="1"/>
  <c r="E75" i="2"/>
  <c r="F75" i="2"/>
  <c r="E76" i="2" l="1"/>
  <c r="E77" i="2" s="1"/>
</calcChain>
</file>

<file path=xl/sharedStrings.xml><?xml version="1.0" encoding="utf-8"?>
<sst xmlns="http://schemas.openxmlformats.org/spreadsheetml/2006/main" count="152" uniqueCount="96">
  <si>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</si>
  <si>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</si>
  <si>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</si>
  <si>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</si>
  <si>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</si>
  <si>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</si>
  <si>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</si>
  <si>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</si>
  <si>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</si>
  <si>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</si>
  <si>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</si>
  <si>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</si>
  <si>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</si>
  <si>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</si>
  <si>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</si>
  <si>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</si>
  <si>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</si>
  <si>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</si>
  <si>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</si>
  <si>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</si>
  <si>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</si>
  <si>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</si>
  <si>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</si>
  <si>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</si>
  <si>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أدخل اسم المحكم</t>
  </si>
  <si>
    <t>أدخل اسم قائد الوحدة الخاضعة للتقييم</t>
  </si>
  <si>
    <t>أدخل العلامة</t>
  </si>
  <si>
    <r>
      <t>ملاحظـــات</t>
    </r>
    <r>
      <rPr>
        <b/>
        <sz val="14"/>
        <color rgb="FF000000"/>
        <rFont val="Arial"/>
        <family val="2"/>
      </rPr>
      <t xml:space="preserve">: 
</t>
    </r>
    <r>
      <rPr>
        <sz val="14"/>
        <color rgb="FF000000"/>
        <rFont val="Arial"/>
        <family val="2"/>
      </rPr>
      <t>1. يعتبر هذا النموذج (سري للغاية) بعد إدخال علامات التقييم.
2. نموذج التقييم قابل للتطوير والتعديل.</t>
    </r>
  </si>
  <si>
    <t xml:space="preserve">التأكد من تهيئة اعدادات الأجهزة اللاسلكية بحيث يكون : </t>
  </si>
  <si>
    <t>جهازاللاسلكي على وضعية MUX</t>
  </si>
  <si>
    <t>تضبيط قدرة جهاز اللاسلكي.</t>
  </si>
  <si>
    <t>التأكد من أن النداء الظاهر على الشاشة الخاصة بك متطابق مع النداء الخاص بك .</t>
  </si>
  <si>
    <t>فحص النافذة التي تشير إلى الحالة في نظام إدارة المعركة.</t>
  </si>
  <si>
    <t>القيام بعملية تهيئة الإعدادات العامة للنظام بما يتناسب مع الصيغ المحددة للمهمة .</t>
  </si>
  <si>
    <t>فحص الإتصال الصوتي</t>
  </si>
  <si>
    <r>
      <t>q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 xml:space="preserve"> إختيار القناة A للتكلم على الشبكة الداخلية </t>
    </r>
  </si>
  <si>
    <r>
      <t>q</t>
    </r>
    <r>
      <rPr>
        <sz val="7"/>
        <color theme="1"/>
        <rFont val="Times New Roman"/>
        <family val="1"/>
      </rPr>
      <t xml:space="preserve">      </t>
    </r>
    <r>
      <rPr>
        <sz val="11"/>
        <color theme="1"/>
        <rFont val="Arial"/>
        <family val="2"/>
      </rPr>
      <t xml:space="preserve">إختيار القناة B الشبكة  للتكلم على شبكة القيادة الأعلى </t>
    </r>
  </si>
  <si>
    <t>ضبط أزرار الطوارئ.</t>
  </si>
  <si>
    <t xml:space="preserve">تحديد المستلمين لشفاف القيادة. </t>
  </si>
  <si>
    <t xml:space="preserve"> التأكد من وجود جميع الخرائط المحددة للمهمة</t>
  </si>
  <si>
    <r>
      <t>التأكد من وجود نماذج المخزونات (قائد سرية فما أدنى)</t>
    </r>
    <r>
      <rPr>
        <b/>
        <sz val="11"/>
        <color theme="1"/>
        <rFont val="Arial"/>
        <family val="2"/>
      </rPr>
      <t xml:space="preserve"> </t>
    </r>
  </si>
  <si>
    <t>التأكد من قائمة الموقف العملياتي</t>
  </si>
  <si>
    <t xml:space="preserve">استيراد  شفاف من خطة مرسلة </t>
  </si>
  <si>
    <t xml:space="preserve">التأكد من استلام المرؤوسيين للخطة </t>
  </si>
  <si>
    <t>إعطاء دلالات بدء المهمة ( قائد كتيبة فما أعلى )</t>
  </si>
  <si>
    <t>عمل تعديل للخطة على شفاف القيادة وارساله الى المرؤوسين. ( قائد كتيبة – قائد سرية ).</t>
  </si>
  <si>
    <t>التعديل على تقرير موجود مسبقا</t>
  </si>
  <si>
    <t>ارسال احداثي التقرير في المحادثات</t>
  </si>
  <si>
    <t>الإبلاغ عن وجود ألغام عن طريق أزرار الطوارئ</t>
  </si>
  <si>
    <t>الإبلاغ عن عبوة ناسفة عن طريق أزرار الطوارئ</t>
  </si>
  <si>
    <t>الإبلاغ عن ضربة جوية عن طريق أزرار الطوارئ</t>
  </si>
  <si>
    <t xml:space="preserve">عمل إشارة مرجعية </t>
  </si>
  <si>
    <t xml:space="preserve">إستدعاء إشارة مرجعية </t>
  </si>
  <si>
    <t>اعلام السائق بالبدء في تتبع المسار</t>
  </si>
  <si>
    <t xml:space="preserve">تتبع سير المهمة </t>
  </si>
  <si>
    <t>خاصية الضغطة المطولة على الآلية (ارسال الموقع )</t>
  </si>
  <si>
    <t xml:space="preserve">خاصية الضغطة المطولة على الآلية (حساب) لتحديد الموقع في حالة تعطل الجي بي اس </t>
  </si>
  <si>
    <t>خاصية الضغطة المطولة على (القوات الصديقة) اشتباك</t>
  </si>
  <si>
    <t>خاصية الضغطة المطولة على  (القوات الصديقة) استيلاء العدو على الآلية</t>
  </si>
  <si>
    <t>إجراءات ربط سلك د 10</t>
  </si>
  <si>
    <t xml:space="preserve">التأكد من الإتصال السلكي </t>
  </si>
  <si>
    <t xml:space="preserve">إجراءات اغلاق النظام </t>
  </si>
  <si>
    <t>تركيب الحوافظ ( الأقراص الصلبة ).</t>
  </si>
  <si>
    <t>تشغيل النظام حسب الاجراءات / الأجهزة اللاسلكية .</t>
  </si>
  <si>
    <r>
      <t>1.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1"/>
        <color theme="1"/>
        <rFont val="Arial"/>
        <family val="2"/>
      </rPr>
      <t>التهيئة.</t>
    </r>
  </si>
  <si>
    <r>
      <t>3.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1"/>
        <color theme="1"/>
        <rFont val="Arial"/>
        <family val="2"/>
      </rPr>
      <t>التحضير العملياتي.</t>
    </r>
  </si>
  <si>
    <t>5. التقارير على شفاف التقارير ( شفاف الموقف التعبوي )</t>
  </si>
  <si>
    <r>
      <t xml:space="preserve">6.  </t>
    </r>
    <r>
      <rPr>
        <b/>
        <u/>
        <sz val="11"/>
        <color theme="1"/>
        <rFont val="Arial"/>
        <family val="2"/>
      </rPr>
      <t>الاشتباك وازرار الطوارئ والإشارة المرجعية</t>
    </r>
  </si>
  <si>
    <r>
      <t>7. يطبق القيادة على الطريق</t>
    </r>
    <r>
      <rPr>
        <b/>
        <sz val="11"/>
        <color theme="1"/>
        <rFont val="Arial"/>
        <family val="2"/>
      </rPr>
      <t>.</t>
    </r>
  </si>
  <si>
    <r>
      <t xml:space="preserve">9.  </t>
    </r>
    <r>
      <rPr>
        <b/>
        <u/>
        <sz val="11"/>
        <color theme="1"/>
        <rFont val="Arial"/>
        <family val="2"/>
      </rPr>
      <t>إجراءات أخرى.</t>
    </r>
  </si>
  <si>
    <r>
      <t>تعطيل الجي بي اس</t>
    </r>
    <r>
      <rPr>
        <b/>
        <sz val="11"/>
        <color theme="1"/>
        <rFont val="Arial"/>
        <family val="2"/>
      </rPr>
      <t xml:space="preserve"> (GPS)  </t>
    </r>
    <r>
      <rPr>
        <sz val="11"/>
        <color theme="1"/>
        <rFont val="Arial"/>
        <family val="2"/>
      </rPr>
      <t>وتفعيل نظام الملاحة بالقصور الذاتي  (</t>
    </r>
    <r>
      <rPr>
        <b/>
        <sz val="11"/>
        <color theme="1"/>
        <rFont val="Arial"/>
        <family val="2"/>
      </rPr>
      <t>INS</t>
    </r>
    <r>
      <rPr>
        <sz val="11"/>
        <color theme="1"/>
        <rFont val="Arial"/>
        <family val="2"/>
      </rPr>
      <t xml:space="preserve">) </t>
    </r>
  </si>
  <si>
    <t>التأكد من مشاهدة النقطة الخضراء.</t>
  </si>
  <si>
    <t>التأكد من مشاهدة النقاط الزرقاء التي تمثل الآليات الصديقة.</t>
  </si>
  <si>
    <t>الدخول إلى غرفة المحادثة المخصصة لك وإرسال رسالة إلى غرفة المحادثة.</t>
  </si>
  <si>
    <t>إختيار وحدتك من خلال " التنظيم الحالي"</t>
  </si>
  <si>
    <t>انشاء نماذج المخزونات ( قائد كتيبة فما أعلى ) وارسالها للمستوى الأدنى</t>
  </si>
  <si>
    <t>انشاء خطة جديدة ( قائد كتيبة فما أعلى)</t>
  </si>
  <si>
    <t>انشاء شفافات حسب التعليمات</t>
  </si>
  <si>
    <t>تعيين مناطق القتال للسرايا ( قائد كتيبة فما أعلى)</t>
  </si>
  <si>
    <t>تحديد حدود المناطق لكل سرية حسب الخطة الرئيسية ( قائد كتيبة فما أعلى)</t>
  </si>
  <si>
    <t>انشاء شفاف التنقل التعبوي ( الجميع )</t>
  </si>
  <si>
    <t>ارسال الخطة الي المرؤوسيين ( الجميع )</t>
  </si>
  <si>
    <r>
      <t>تنزيل خطة مرسلة من المستوى الأعلى</t>
    </r>
    <r>
      <rPr>
        <b/>
        <sz val="11"/>
        <color theme="1"/>
        <rFont val="Arial"/>
        <family val="2"/>
      </rPr>
      <t xml:space="preserve"> ) </t>
    </r>
    <r>
      <rPr>
        <sz val="11"/>
        <color theme="1"/>
        <rFont val="Arial"/>
        <family val="2"/>
      </rPr>
      <t>قائد سرية فما دون )</t>
    </r>
  </si>
  <si>
    <t>انشاء مسارات تعبوية للكتيبة</t>
  </si>
  <si>
    <t>انشاء مسارات تعبوية للسرايا والفصائل (قائد سربة -قائد فصيل )</t>
  </si>
  <si>
    <t>اظهار واخفاء الشفافات</t>
  </si>
  <si>
    <r>
      <t>عمل تقرير( الاسم - تحديد درجة العدائية – النوع – الحجم – الاحداثي – التعليق</t>
    </r>
    <r>
      <rPr>
        <b/>
        <sz val="11"/>
        <color theme="1"/>
        <rFont val="Arial"/>
        <family val="2"/>
      </rPr>
      <t xml:space="preserve">- </t>
    </r>
    <r>
      <rPr>
        <sz val="11"/>
        <color theme="1"/>
        <rFont val="Arial"/>
        <family val="2"/>
      </rPr>
      <t>الحالة... الخ )</t>
    </r>
  </si>
  <si>
    <t>خاصية الإشتباك وتعطيل الإشتباك</t>
  </si>
  <si>
    <t>طلب اخلاء جريح عن طريق ازرار الطوارئ</t>
  </si>
  <si>
    <t>تفعيل خاصية القيادة على الطريق على المسار المحدد</t>
  </si>
  <si>
    <t>خاصية الضغطة المطولة على الالية حلقة المدى المتحركة</t>
  </si>
  <si>
    <r>
      <t>2.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1"/>
        <color theme="1"/>
        <rFont val="Arial"/>
        <family val="2"/>
      </rPr>
      <t xml:space="preserve">استخدام الخرائط و الأدوات الطبوغرافية </t>
    </r>
  </si>
  <si>
    <t xml:space="preserve">   استخدام الأدوات الطبوغرافية : (المدى والإتجاه – منطقة الارتفاع – قوس المدى – منطقة تبادل الرؤيا – خط تبادل الرؤيا – إيجاد احداثي) – حلقة المدى .</t>
  </si>
  <si>
    <r>
      <t>4.</t>
    </r>
    <r>
      <rPr>
        <sz val="7"/>
        <color theme="1"/>
        <rFont val="Times New Roman"/>
        <family val="1"/>
      </rPr>
      <t xml:space="preserve">       </t>
    </r>
    <r>
      <rPr>
        <b/>
        <u/>
        <sz val="11"/>
        <color theme="1"/>
        <rFont val="Arial"/>
        <family val="2"/>
      </rPr>
      <t>إعداد الخطة وإصدار الأوامر.</t>
    </r>
  </si>
  <si>
    <r>
      <rPr>
        <b/>
        <sz val="11"/>
        <color theme="1"/>
        <rFont val="Arial"/>
        <family val="2"/>
      </rPr>
      <t xml:space="preserve">8. </t>
    </r>
    <r>
      <rPr>
        <b/>
        <u/>
        <sz val="11"/>
        <color theme="1"/>
        <rFont val="Arial"/>
        <family val="2"/>
      </rPr>
      <t>يلم بخاصية الضغطة المطولة.</t>
    </r>
  </si>
  <si>
    <t>تقييم  منظومة القيادة والسيطرة (نظام إدارة المعركة) - العمليات التعرضية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</si>
</sst>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10C0000]d\ mmmm\ yyyy;@"/>
  </numFmts>
  <fonts count="14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7"/>
      <color theme="1"/>
      <name val="Times New Roman"/>
      <family val="1"/>
    </font>
    <font>
      <b/>
      <u/>
      <sz val="11"/>
      <color theme="1"/>
      <name val="Arial"/>
      <family val="2"/>
    </font>
    <font>
      <u/>
      <sz val="11"/>
      <color theme="1"/>
      <name val="Arial"/>
      <family val="2"/>
    </font>
    <font>
      <sz val="11"/>
      <color theme="1"/>
      <name val="Wingdings"/>
      <charset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1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7">
    <xf numFmtId="0" fontId="0" fillId="0" borderId="0" xfId="0"/>
    <xf numFmtId="0" fontId="0" fillId="0" borderId="0" xfId="0" applyProtection="1"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Alignment="1" applyProtection="1">
      <alignment vertical="center" wrapText="1" readingOrder="2"/>
      <protection locked="0"/>
    </xf>
    <xf numFmtId="0" fontId="5" fillId="0" borderId="0" xfId="0" applyFont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2" xfId="0" applyFont="1" applyFill="1" applyBorder="1" applyAlignment="1" applyProtection="1">
      <alignment vertical="center" wrapText="1" readingOrder="2"/>
      <protection locked="0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9" fontId="3" fillId="0" borderId="2" xfId="0" applyNumberFormat="1" applyFont="1" applyBorder="1" applyAlignment="1">
      <alignment horizontal="center" vertical="center" wrapText="1" readingOrder="2"/>
    </xf>
    <xf numFmtId="0" fontId="2" fillId="0" borderId="2" xfId="0" applyFont="1" applyBorder="1" applyAlignment="1">
      <alignment horizontal="center" vertical="center" wrapText="1" readingOrder="1"/>
    </xf>
    <xf numFmtId="0" fontId="9" fillId="0" borderId="2" xfId="0" applyFont="1" applyBorder="1" applyAlignment="1">
      <alignment horizontal="center" vertical="center" wrapText="1" readingOrder="2"/>
    </xf>
    <xf numFmtId="0" fontId="8" fillId="0" borderId="3" xfId="0" applyFont="1" applyBorder="1" applyAlignment="1">
      <alignment horizontal="center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9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8" fillId="4" borderId="3" xfId="0" applyFont="1" applyFill="1" applyBorder="1" applyAlignment="1">
      <alignment horizontal="center" vertical="center" wrapText="1" readingOrder="2"/>
    </xf>
    <xf numFmtId="0" fontId="9" fillId="0" borderId="3" xfId="0" applyFont="1" applyBorder="1" applyAlignment="1">
      <alignment horizontal="center" vertical="center" wrapText="1" readingOrder="2"/>
    </xf>
    <xf numFmtId="0" fontId="3" fillId="0" borderId="2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5" xfId="0" applyFont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horizontal="left" vertical="center" wrapText="1" readingOrder="2"/>
      <protection locked="0"/>
    </xf>
    <xf numFmtId="0" fontId="5" fillId="0" borderId="0" xfId="0" applyFont="1" applyAlignment="1" applyProtection="1">
      <alignment horizontal="left" vertical="center" wrapText="1" readingOrder="2"/>
      <protection locked="0"/>
    </xf>
    <xf numFmtId="0" fontId="2" fillId="0" borderId="22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3" xfId="0" applyFont="1" applyBorder="1" applyAlignment="1">
      <alignment horizontal="center" vertical="center" wrapText="1" readingOrder="2"/>
    </xf>
    <xf numFmtId="49" fontId="4" fillId="0" borderId="0" xfId="0" applyNumberFormat="1" applyFont="1" applyAlignment="1" applyProtection="1">
      <alignment horizontal="center" vertical="center" wrapText="1" readingOrder="2"/>
      <protection locked="0"/>
    </xf>
    <xf numFmtId="164" fontId="5" fillId="0" borderId="2" xfId="0" applyNumberFormat="1" applyFont="1" applyBorder="1" applyAlignment="1" applyProtection="1">
      <alignment horizontal="right" vertical="center" wrapText="1" readingOrder="2"/>
      <protection locked="0"/>
    </xf>
    <xf numFmtId="0" fontId="6" fillId="3" borderId="4" xfId="0" applyFont="1" applyFill="1" applyBorder="1" applyAlignment="1" applyProtection="1">
      <alignment horizontal="center" vertical="center" wrapText="1" readingOrder="2"/>
      <protection locked="0"/>
    </xf>
    <xf numFmtId="0" fontId="6" fillId="3" borderId="3" xfId="0" applyFont="1" applyFill="1" applyBorder="1" applyAlignment="1" applyProtection="1">
      <alignment horizontal="center" vertical="center" wrapText="1" readingOrder="2"/>
      <protection locked="0"/>
    </xf>
    <xf numFmtId="0" fontId="6" fillId="3" borderId="11" xfId="0" applyFont="1" applyFill="1" applyBorder="1" applyAlignment="1" applyProtection="1">
      <alignment horizontal="center" vertical="center" wrapText="1" readingOrder="2"/>
      <protection locked="0"/>
    </xf>
    <xf numFmtId="0" fontId="6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0" borderId="2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6" fillId="3" borderId="17" xfId="0" applyFont="1" applyFill="1" applyBorder="1" applyAlignment="1" applyProtection="1">
      <alignment horizontal="center" vertical="center" wrapText="1" readingOrder="2"/>
      <protection locked="0"/>
    </xf>
    <xf numFmtId="0" fontId="6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3" xfId="0" applyFont="1" applyFill="1" applyBorder="1" applyAlignment="1" applyProtection="1">
      <alignment horizontal="center" vertical="center" wrapText="1" readingOrder="2"/>
      <protection locked="0"/>
    </xf>
    <xf numFmtId="0" fontId="5" fillId="3" borderId="5" xfId="0" applyFont="1" applyFill="1" applyBorder="1" applyAlignment="1" applyProtection="1">
      <alignment horizontal="center" vertical="center" wrapText="1" readingOrder="2"/>
      <protection locked="0"/>
    </xf>
    <xf numFmtId="0" fontId="5" fillId="3" borderId="12" xfId="0" applyFont="1" applyFill="1" applyBorder="1" applyAlignment="1" applyProtection="1">
      <alignment horizontal="center" vertical="center" wrapText="1" readingOrder="2"/>
      <protection locked="0"/>
    </xf>
    <xf numFmtId="0" fontId="5" fillId="3" borderId="13" xfId="0" applyFont="1" applyFill="1" applyBorder="1" applyAlignment="1" applyProtection="1">
      <alignment horizontal="center" vertical="center" wrapText="1" readingOrder="2"/>
      <protection locked="0"/>
    </xf>
    <xf numFmtId="0" fontId="5" fillId="3" borderId="18" xfId="0" applyFont="1" applyFill="1" applyBorder="1" applyAlignment="1" applyProtection="1">
      <alignment horizontal="center" vertical="center" wrapText="1" readingOrder="2"/>
      <protection locked="0"/>
    </xf>
    <xf numFmtId="0" fontId="5" fillId="3" borderId="19" xfId="0" applyFont="1" applyFill="1" applyBorder="1" applyAlignment="1" applyProtection="1">
      <alignment horizontal="center" vertical="center" wrapText="1" readingOrder="2"/>
      <protection locked="0"/>
    </xf>
    <xf numFmtId="0" fontId="4" fillId="0" borderId="1" xfId="0" applyFont="1" applyBorder="1" applyAlignment="1" applyProtection="1">
      <alignment vertical="top" wrapText="1" readingOrder="2"/>
      <protection locked="0"/>
    </xf>
    <xf numFmtId="0" fontId="4" fillId="0" borderId="0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horizontal="right" vertical="center" wrapText="1" readingOrder="2"/>
      <protection locked="0"/>
    </xf>
    <xf numFmtId="0" fontId="5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8" fillId="0" borderId="24" xfId="0" applyFont="1" applyBorder="1" applyAlignment="1">
      <alignment horizontal="right" vertical="center" wrapText="1" indent="2" readingOrder="2"/>
    </xf>
    <xf numFmtId="0" fontId="8" fillId="0" borderId="2" xfId="0" applyFont="1" applyBorder="1" applyAlignment="1">
      <alignment horizontal="right" vertical="center" wrapText="1" indent="2" readingOrder="2"/>
    </xf>
    <xf numFmtId="0" fontId="5" fillId="3" borderId="20" xfId="0" applyFont="1" applyFill="1" applyBorder="1" applyAlignment="1" applyProtection="1">
      <alignment horizontal="center" vertical="center" wrapText="1" readingOrder="2"/>
      <protection locked="0"/>
    </xf>
    <xf numFmtId="0" fontId="5" fillId="3" borderId="21" xfId="0" applyFont="1" applyFill="1" applyBorder="1" applyAlignment="1" applyProtection="1">
      <alignment horizontal="center" vertical="center" wrapText="1" readingOrder="2"/>
      <protection locked="0"/>
    </xf>
    <xf numFmtId="0" fontId="5" fillId="3" borderId="7" xfId="0" applyFont="1" applyFill="1" applyBorder="1" applyAlignment="1" applyProtection="1">
      <alignment horizontal="center" vertical="center" wrapText="1" readingOrder="2"/>
      <protection locked="0"/>
    </xf>
    <xf numFmtId="0" fontId="5" fillId="3" borderId="8" xfId="0" applyFont="1" applyFill="1" applyBorder="1" applyAlignment="1" applyProtection="1">
      <alignment horizontal="center" vertical="center" wrapText="1" readingOrder="2"/>
      <protection locked="0"/>
    </xf>
    <xf numFmtId="0" fontId="9" fillId="0" borderId="2" xfId="0" applyFont="1" applyBorder="1" applyAlignment="1">
      <alignment horizontal="center" vertical="center" wrapText="1" readingOrder="2"/>
    </xf>
    <xf numFmtId="0" fontId="8" fillId="0" borderId="4" xfId="0" applyFont="1" applyBorder="1" applyAlignment="1">
      <alignment horizontal="right" vertical="center" wrapText="1" readingOrder="2"/>
    </xf>
    <xf numFmtId="0" fontId="8" fillId="0" borderId="3" xfId="0" applyFont="1" applyBorder="1" applyAlignment="1">
      <alignment horizontal="right" vertical="center" wrapText="1" readingOrder="2"/>
    </xf>
    <xf numFmtId="0" fontId="13" fillId="0" borderId="24" xfId="0" applyFont="1" applyBorder="1" applyAlignment="1">
      <alignment horizontal="right" vertical="center" wrapText="1" indent="2" readingOrder="2"/>
    </xf>
    <xf numFmtId="0" fontId="13" fillId="0" borderId="2" xfId="0" applyFont="1" applyBorder="1" applyAlignment="1">
      <alignment horizontal="right" vertical="center" wrapText="1" indent="2" readingOrder="2"/>
    </xf>
    <xf numFmtId="0" fontId="8" fillId="0" borderId="11" xfId="0" applyFont="1" applyBorder="1" applyAlignment="1">
      <alignment horizontal="right" vertical="center" wrapText="1" indent="2" readingOrder="2"/>
    </xf>
    <xf numFmtId="0" fontId="8" fillId="0" borderId="12" xfId="0" applyFont="1" applyBorder="1" applyAlignment="1">
      <alignment horizontal="right" vertical="center" wrapText="1" indent="2" readingOrder="2"/>
    </xf>
    <xf numFmtId="0" fontId="9" fillId="0" borderId="4" xfId="0" applyFont="1" applyBorder="1" applyAlignment="1">
      <alignment horizontal="right" vertical="center" wrapText="1" readingOrder="2"/>
    </xf>
    <xf numFmtId="0" fontId="9" fillId="0" borderId="3" xfId="0" applyFont="1" applyBorder="1" applyAlignment="1">
      <alignment horizontal="right" vertical="center" wrapText="1" readingOrder="2"/>
    </xf>
    <xf numFmtId="0" fontId="11" fillId="4" borderId="4" xfId="0" applyFont="1" applyFill="1" applyBorder="1" applyAlignment="1">
      <alignment horizontal="right" vertical="center" wrapText="1" readingOrder="2"/>
    </xf>
    <xf numFmtId="0" fontId="11" fillId="4" borderId="3" xfId="0" applyFont="1" applyFill="1" applyBorder="1" applyAlignment="1">
      <alignment horizontal="right" vertical="center" wrapText="1" readingOrder="2"/>
    </xf>
    <xf numFmtId="0" fontId="3" fillId="0" borderId="14" xfId="0" applyFont="1" applyBorder="1" applyAlignment="1" applyProtection="1">
      <alignment horizontal="center" vertical="center" wrapText="1" readingOrder="2"/>
      <protection locked="0"/>
    </xf>
    <xf numFmtId="0" fontId="3" fillId="0" borderId="25" xfId="0" applyFont="1" applyBorder="1" applyAlignment="1" applyProtection="1">
      <alignment horizontal="center" vertical="center" wrapText="1" readingOrder="2"/>
      <protection locked="0"/>
    </xf>
    <xf numFmtId="0" fontId="3" fillId="0" borderId="10" xfId="0" applyFont="1" applyBorder="1" applyAlignment="1" applyProtection="1">
      <alignment horizontal="center" vertical="center" wrapText="1" readingOrder="2"/>
      <protection locked="0"/>
    </xf>
    <xf numFmtId="9" fontId="3" fillId="0" borderId="14" xfId="0" applyNumberFormat="1" applyFont="1" applyBorder="1" applyAlignment="1">
      <alignment horizontal="center" vertical="center" wrapText="1" readingOrder="2"/>
    </xf>
    <xf numFmtId="9" fontId="3" fillId="0" borderId="25" xfId="0" applyNumberFormat="1" applyFont="1" applyBorder="1" applyAlignment="1">
      <alignment horizontal="center" vertical="center" wrapText="1" readingOrder="2"/>
    </xf>
    <xf numFmtId="9" fontId="3" fillId="0" borderId="10" xfId="0" applyNumberFormat="1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1"/>
    </xf>
    <xf numFmtId="0" fontId="2" fillId="0" borderId="25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16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12" fillId="0" borderId="4" xfId="0" applyFont="1" applyBorder="1" applyAlignment="1">
      <alignment horizontal="right" vertical="center" wrapText="1" readingOrder="2"/>
    </xf>
    <xf numFmtId="0" fontId="12" fillId="0" borderId="3" xfId="0" applyFont="1" applyBorder="1" applyAlignment="1">
      <alignment horizontal="right" vertical="center" wrapText="1" readingOrder="2"/>
    </xf>
    <xf numFmtId="0" fontId="12" fillId="0" borderId="24" xfId="0" applyFont="1" applyBorder="1" applyAlignment="1">
      <alignment horizontal="right" vertical="center" wrapText="1" indent="2" readingOrder="2"/>
    </xf>
    <xf numFmtId="0" fontId="12" fillId="0" borderId="2" xfId="0" applyFont="1" applyBorder="1" applyAlignment="1">
      <alignment horizontal="right" vertical="center" wrapText="1" indent="2" readingOrder="2"/>
    </xf>
  </cellXfs>
  <cellStyles count="1">
    <cellStyle name="Normal" xfId="0" builtinId="0"/>
  </cellStyles>
  <dxfs count="16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1:J79"/>
  <sheetViews>
    <sheetView rightToLeft="1" tabSelected="1" view="pageBreakPreview" zoomScale="130" zoomScaleNormal="100" zoomScaleSheetLayoutView="130" workbookViewId="0">
      <selection activeCell="B1" sqref="B1:J1"/>
    </sheetView>
  </sheetViews>
  <sheetFormatPr defaultColWidth="9" defaultRowHeight="15" x14ac:dyDescent="0.25"/>
  <cols>
    <col min="1" max="1" width="5.140625" style="1" customWidth="1"/>
    <col min="2" max="2" width="12.140625" style="1" customWidth="1"/>
    <col min="3" max="3" width="9" style="1"/>
    <col min="4" max="4" width="28.140625" style="1" customWidth="1"/>
    <col min="5" max="7" width="9.28515625" style="1" customWidth="1"/>
    <col min="8" max="8" width="9.28515625" style="2" customWidth="1"/>
    <col min="9" max="9" width="9.28515625" style="1" customWidth="1"/>
    <col min="10" max="10" width="15.42578125" style="1" customWidth="1"/>
    <col min="11" max="16384" width="9" style="1"/>
  </cols>
  <sheetData>
    <row r="1" spans="1:10" ht="45" customHeight="1" x14ac:dyDescent="0.25">
      <c r="B1" s="38" t="s">
        <v>95</v>
      </c>
      <c r="C1" s="38"/>
      <c r="D1" s="38"/>
      <c r="E1" s="38"/>
      <c r="F1" s="38"/>
      <c r="G1" s="38"/>
      <c r="H1" s="38"/>
      <c r="I1" s="38"/>
      <c r="J1" s="38"/>
    </row>
    <row r="2" spans="1:10" ht="30" customHeight="1" x14ac:dyDescent="0.25">
      <c r="B2" s="10" t="s">
        <v>8</v>
      </c>
      <c r="C2" s="44" t="s">
        <v>23</v>
      </c>
      <c r="D2" s="44"/>
      <c r="E2" s="10" t="s">
        <v>7</v>
      </c>
      <c r="F2" s="39" t="s">
        <v>22</v>
      </c>
      <c r="G2" s="39"/>
      <c r="H2" s="39"/>
      <c r="I2" s="39"/>
      <c r="J2" s="39"/>
    </row>
    <row r="3" spans="1:10" ht="30" customHeight="1" x14ac:dyDescent="0.25">
      <c r="B3" s="10" t="s">
        <v>9</v>
      </c>
      <c r="C3" s="44" t="s">
        <v>25</v>
      </c>
      <c r="D3" s="44"/>
      <c r="E3" s="10" t="s">
        <v>6</v>
      </c>
      <c r="F3" s="44" t="s">
        <v>24</v>
      </c>
      <c r="G3" s="44"/>
      <c r="H3" s="44"/>
      <c r="I3" s="44"/>
      <c r="J3" s="44"/>
    </row>
    <row r="4" spans="1:10" ht="30" customHeight="1" thickBot="1" x14ac:dyDescent="0.3">
      <c r="B4" s="5"/>
      <c r="C4" s="6"/>
      <c r="D4" s="6"/>
      <c r="E4" s="5"/>
      <c r="F4" s="6"/>
      <c r="G4" s="6"/>
      <c r="H4" s="7"/>
      <c r="I4" s="6"/>
      <c r="J4" s="6"/>
    </row>
    <row r="5" spans="1:10" ht="24.95" customHeight="1" x14ac:dyDescent="0.25">
      <c r="A5" s="8"/>
      <c r="B5" s="40" t="s">
        <v>0</v>
      </c>
      <c r="C5" s="41"/>
      <c r="D5" s="41"/>
      <c r="E5" s="49" t="s">
        <v>1</v>
      </c>
      <c r="F5" s="49"/>
      <c r="G5" s="49"/>
      <c r="H5" s="49"/>
      <c r="I5" s="49" t="s">
        <v>2</v>
      </c>
      <c r="J5" s="50"/>
    </row>
    <row r="6" spans="1:10" ht="24.95" customHeight="1" thickBot="1" x14ac:dyDescent="0.3">
      <c r="A6" s="8"/>
      <c r="B6" s="42"/>
      <c r="C6" s="43"/>
      <c r="D6" s="43"/>
      <c r="E6" s="9" t="s">
        <v>3</v>
      </c>
      <c r="F6" s="9" t="s">
        <v>4</v>
      </c>
      <c r="G6" s="9" t="s">
        <v>15</v>
      </c>
      <c r="H6" s="9" t="s">
        <v>16</v>
      </c>
      <c r="I6" s="51"/>
      <c r="J6" s="52"/>
    </row>
    <row r="7" spans="1:10" ht="24.95" customHeight="1" thickBot="1" x14ac:dyDescent="0.3">
      <c r="A7" s="8"/>
      <c r="B7" s="47" t="s">
        <v>13</v>
      </c>
      <c r="C7" s="48"/>
      <c r="D7" s="48"/>
      <c r="E7" s="13" t="s">
        <v>10</v>
      </c>
      <c r="F7" s="13" t="s">
        <v>11</v>
      </c>
      <c r="G7" s="13" t="s">
        <v>14</v>
      </c>
      <c r="H7" s="13" t="s">
        <v>12</v>
      </c>
      <c r="I7" s="53" t="s">
        <v>17</v>
      </c>
      <c r="J7" s="54"/>
    </row>
    <row r="8" spans="1:10" ht="30" customHeight="1" x14ac:dyDescent="0.25">
      <c r="A8" s="8"/>
      <c r="B8" s="68" t="s">
        <v>64</v>
      </c>
      <c r="C8" s="69"/>
      <c r="D8" s="69"/>
      <c r="E8" s="18"/>
      <c r="F8" s="19"/>
      <c r="G8" s="20"/>
      <c r="H8" s="21"/>
      <c r="I8" s="31"/>
      <c r="J8" s="32"/>
    </row>
    <row r="9" spans="1:10" ht="30" customHeight="1" x14ac:dyDescent="0.25">
      <c r="A9" s="8"/>
      <c r="B9" s="61" t="s">
        <v>62</v>
      </c>
      <c r="C9" s="62"/>
      <c r="D9" s="62"/>
      <c r="E9" s="17">
        <v>5</v>
      </c>
      <c r="F9" s="11" t="s">
        <v>26</v>
      </c>
      <c r="G9" s="15" t="str">
        <f t="shared" ref="G9:G67" si="0">IFERROR(F9/E9,"")</f>
        <v/>
      </c>
      <c r="H9" s="16" t="str">
        <f t="shared" ref="H9:H67" si="1">_xlfn.IFS(F9="أدخل العلامة","",F9="لا ينطبق","تم الإلغاء",G9&gt;=90%,"ممتاز",G9&gt;=80%,"جيد جداً",G9&gt;=70%,"جيد",G9&gt;=60%,"مقبول",G9&lt;60%,"راسب")</f>
        <v/>
      </c>
      <c r="I9" s="27"/>
      <c r="J9" s="28"/>
    </row>
    <row r="10" spans="1:10" ht="30" customHeight="1" x14ac:dyDescent="0.25">
      <c r="A10" s="8"/>
      <c r="B10" s="61" t="s">
        <v>63</v>
      </c>
      <c r="C10" s="62"/>
      <c r="D10" s="62"/>
      <c r="E10" s="17">
        <v>5</v>
      </c>
      <c r="F10" s="11" t="s">
        <v>26</v>
      </c>
      <c r="G10" s="15" t="str">
        <f t="shared" si="0"/>
        <v/>
      </c>
      <c r="H10" s="16" t="str">
        <f t="shared" si="1"/>
        <v/>
      </c>
      <c r="I10" s="27"/>
      <c r="J10" s="28"/>
    </row>
    <row r="11" spans="1:10" ht="30" customHeight="1" x14ac:dyDescent="0.25">
      <c r="A11" s="8"/>
      <c r="B11" s="61" t="s">
        <v>28</v>
      </c>
      <c r="C11" s="62"/>
      <c r="D11" s="62"/>
      <c r="E11" s="67">
        <v>5</v>
      </c>
      <c r="F11" s="78" t="s">
        <v>26</v>
      </c>
      <c r="G11" s="81" t="str">
        <f t="shared" si="0"/>
        <v/>
      </c>
      <c r="H11" s="84" t="str">
        <f t="shared" si="1"/>
        <v/>
      </c>
      <c r="I11" s="87"/>
      <c r="J11" s="88"/>
    </row>
    <row r="12" spans="1:10" ht="30" customHeight="1" x14ac:dyDescent="0.25">
      <c r="A12" s="8"/>
      <c r="B12" s="61" t="s">
        <v>29</v>
      </c>
      <c r="C12" s="62"/>
      <c r="D12" s="62"/>
      <c r="E12" s="67"/>
      <c r="F12" s="79"/>
      <c r="G12" s="82"/>
      <c r="H12" s="85"/>
      <c r="I12" s="89"/>
      <c r="J12" s="90"/>
    </row>
    <row r="13" spans="1:10" ht="30" customHeight="1" x14ac:dyDescent="0.25">
      <c r="A13" s="8"/>
      <c r="B13" s="61" t="s">
        <v>30</v>
      </c>
      <c r="C13" s="62"/>
      <c r="D13" s="62"/>
      <c r="E13" s="67"/>
      <c r="F13" s="80"/>
      <c r="G13" s="83"/>
      <c r="H13" s="86"/>
      <c r="I13" s="91"/>
      <c r="J13" s="92"/>
    </row>
    <row r="14" spans="1:10" ht="30" customHeight="1" x14ac:dyDescent="0.25">
      <c r="A14" s="8"/>
      <c r="B14" s="61" t="s">
        <v>31</v>
      </c>
      <c r="C14" s="62"/>
      <c r="D14" s="62"/>
      <c r="E14" s="17">
        <v>5</v>
      </c>
      <c r="F14" s="11" t="s">
        <v>26</v>
      </c>
      <c r="G14" s="15" t="str">
        <f t="shared" si="0"/>
        <v/>
      </c>
      <c r="H14" s="16" t="str">
        <f t="shared" si="1"/>
        <v/>
      </c>
      <c r="I14" s="27"/>
      <c r="J14" s="28"/>
    </row>
    <row r="15" spans="1:10" ht="30" customHeight="1" x14ac:dyDescent="0.25">
      <c r="A15" s="8"/>
      <c r="B15" s="61" t="s">
        <v>32</v>
      </c>
      <c r="C15" s="62"/>
      <c r="D15" s="62"/>
      <c r="E15" s="17">
        <v>5</v>
      </c>
      <c r="F15" s="11" t="s">
        <v>26</v>
      </c>
      <c r="G15" s="15" t="str">
        <f t="shared" si="0"/>
        <v/>
      </c>
      <c r="H15" s="16" t="str">
        <f t="shared" si="1"/>
        <v/>
      </c>
      <c r="I15" s="27"/>
      <c r="J15" s="28"/>
    </row>
    <row r="16" spans="1:10" ht="30" customHeight="1" x14ac:dyDescent="0.25">
      <c r="A16" s="8"/>
      <c r="B16" s="61" t="s">
        <v>33</v>
      </c>
      <c r="C16" s="62"/>
      <c r="D16" s="62"/>
      <c r="E16" s="17">
        <v>5</v>
      </c>
      <c r="F16" s="11" t="s">
        <v>26</v>
      </c>
      <c r="G16" s="15" t="str">
        <f t="shared" si="0"/>
        <v/>
      </c>
      <c r="H16" s="16" t="str">
        <f t="shared" si="1"/>
        <v/>
      </c>
      <c r="I16" s="27"/>
      <c r="J16" s="28"/>
    </row>
    <row r="17" spans="1:10" ht="30" customHeight="1" x14ac:dyDescent="0.25">
      <c r="A17" s="8"/>
      <c r="B17" s="61" t="s">
        <v>71</v>
      </c>
      <c r="C17" s="62"/>
      <c r="D17" s="62"/>
      <c r="E17" s="17">
        <v>5</v>
      </c>
      <c r="F17" s="11" t="s">
        <v>26</v>
      </c>
      <c r="G17" s="15" t="str">
        <f t="shared" si="0"/>
        <v/>
      </c>
      <c r="H17" s="16" t="str">
        <f t="shared" si="1"/>
        <v/>
      </c>
      <c r="I17" s="27"/>
      <c r="J17" s="28"/>
    </row>
    <row r="18" spans="1:10" ht="30" customHeight="1" x14ac:dyDescent="0.25">
      <c r="A18" s="8"/>
      <c r="B18" s="61" t="s">
        <v>72</v>
      </c>
      <c r="C18" s="62"/>
      <c r="D18" s="62"/>
      <c r="E18" s="17">
        <v>5</v>
      </c>
      <c r="F18" s="11" t="s">
        <v>26</v>
      </c>
      <c r="G18" s="15" t="str">
        <f t="shared" si="0"/>
        <v/>
      </c>
      <c r="H18" s="16" t="str">
        <f t="shared" si="1"/>
        <v/>
      </c>
      <c r="I18" s="27"/>
      <c r="J18" s="28"/>
    </row>
    <row r="19" spans="1:10" ht="30" customHeight="1" x14ac:dyDescent="0.25">
      <c r="A19" s="8"/>
      <c r="B19" s="61" t="s">
        <v>34</v>
      </c>
      <c r="C19" s="62"/>
      <c r="D19" s="62"/>
      <c r="E19" s="67">
        <v>5</v>
      </c>
      <c r="F19" s="11" t="s">
        <v>26</v>
      </c>
      <c r="G19" s="15" t="str">
        <f t="shared" si="0"/>
        <v/>
      </c>
      <c r="H19" s="16" t="str">
        <f t="shared" si="1"/>
        <v/>
      </c>
      <c r="I19" s="27"/>
      <c r="J19" s="28"/>
    </row>
    <row r="20" spans="1:10" ht="30" customHeight="1" x14ac:dyDescent="0.25">
      <c r="A20" s="8"/>
      <c r="B20" s="70" t="s">
        <v>35</v>
      </c>
      <c r="C20" s="71"/>
      <c r="D20" s="71"/>
      <c r="E20" s="67"/>
      <c r="F20" s="11" t="s">
        <v>26</v>
      </c>
      <c r="G20" s="15" t="str">
        <f t="shared" si="0"/>
        <v/>
      </c>
      <c r="H20" s="16" t="str">
        <f t="shared" si="1"/>
        <v/>
      </c>
      <c r="I20" s="27"/>
      <c r="J20" s="28"/>
    </row>
    <row r="21" spans="1:10" ht="30" customHeight="1" x14ac:dyDescent="0.25">
      <c r="A21" s="8"/>
      <c r="B21" s="70" t="s">
        <v>36</v>
      </c>
      <c r="C21" s="71"/>
      <c r="D21" s="71"/>
      <c r="E21" s="67"/>
      <c r="F21" s="11" t="s">
        <v>26</v>
      </c>
      <c r="G21" s="15" t="str">
        <f t="shared" si="0"/>
        <v/>
      </c>
      <c r="H21" s="16" t="str">
        <f t="shared" si="1"/>
        <v/>
      </c>
      <c r="I21" s="27"/>
      <c r="J21" s="28"/>
    </row>
    <row r="22" spans="1:10" ht="30" customHeight="1" x14ac:dyDescent="0.25">
      <c r="A22" s="8"/>
      <c r="B22" s="61" t="s">
        <v>73</v>
      </c>
      <c r="C22" s="62"/>
      <c r="D22" s="62"/>
      <c r="E22" s="17">
        <v>5</v>
      </c>
      <c r="F22" s="11" t="s">
        <v>26</v>
      </c>
      <c r="G22" s="15" t="str">
        <f t="shared" si="0"/>
        <v/>
      </c>
      <c r="H22" s="16" t="str">
        <f t="shared" si="1"/>
        <v/>
      </c>
      <c r="I22" s="27"/>
      <c r="J22" s="28"/>
    </row>
    <row r="23" spans="1:10" ht="30" customHeight="1" x14ac:dyDescent="0.25">
      <c r="A23" s="8"/>
      <c r="B23" s="61" t="s">
        <v>37</v>
      </c>
      <c r="C23" s="62"/>
      <c r="D23" s="62"/>
      <c r="E23" s="17">
        <v>5</v>
      </c>
      <c r="F23" s="11" t="s">
        <v>26</v>
      </c>
      <c r="G23" s="15" t="str">
        <f t="shared" si="0"/>
        <v/>
      </c>
      <c r="H23" s="16" t="str">
        <f t="shared" si="1"/>
        <v/>
      </c>
      <c r="I23" s="27"/>
      <c r="J23" s="28"/>
    </row>
    <row r="24" spans="1:10" ht="30" customHeight="1" thickBot="1" x14ac:dyDescent="0.3">
      <c r="A24" s="8"/>
      <c r="B24" s="72" t="s">
        <v>38</v>
      </c>
      <c r="C24" s="73"/>
      <c r="D24" s="73"/>
      <c r="E24" s="22">
        <v>5</v>
      </c>
      <c r="F24" s="12" t="s">
        <v>26</v>
      </c>
      <c r="G24" s="23" t="str">
        <f t="shared" si="0"/>
        <v/>
      </c>
      <c r="H24" s="24" t="str">
        <f t="shared" si="1"/>
        <v/>
      </c>
      <c r="I24" s="29"/>
      <c r="J24" s="30"/>
    </row>
    <row r="25" spans="1:10" ht="30" customHeight="1" x14ac:dyDescent="0.25">
      <c r="A25" s="8"/>
      <c r="B25" s="68" t="s">
        <v>91</v>
      </c>
      <c r="C25" s="69"/>
      <c r="D25" s="69"/>
      <c r="E25" s="18"/>
      <c r="F25" s="19"/>
      <c r="G25" s="20"/>
      <c r="H25" s="21"/>
      <c r="I25" s="31"/>
      <c r="J25" s="32"/>
    </row>
    <row r="26" spans="1:10" ht="30" customHeight="1" x14ac:dyDescent="0.25">
      <c r="A26" s="8"/>
      <c r="B26" s="61" t="s">
        <v>39</v>
      </c>
      <c r="C26" s="62"/>
      <c r="D26" s="62"/>
      <c r="E26" s="17">
        <v>5</v>
      </c>
      <c r="F26" s="11" t="s">
        <v>26</v>
      </c>
      <c r="G26" s="15" t="str">
        <f t="shared" si="0"/>
        <v/>
      </c>
      <c r="H26" s="16" t="str">
        <f t="shared" si="1"/>
        <v/>
      </c>
      <c r="I26" s="27"/>
      <c r="J26" s="28"/>
    </row>
    <row r="27" spans="1:10" ht="49.5" customHeight="1" thickBot="1" x14ac:dyDescent="0.3">
      <c r="A27" s="8"/>
      <c r="B27" s="72" t="s">
        <v>92</v>
      </c>
      <c r="C27" s="73"/>
      <c r="D27" s="73"/>
      <c r="E27" s="22">
        <v>5</v>
      </c>
      <c r="F27" s="12" t="s">
        <v>26</v>
      </c>
      <c r="G27" s="23" t="str">
        <f t="shared" si="0"/>
        <v/>
      </c>
      <c r="H27" s="24" t="str">
        <f t="shared" si="1"/>
        <v/>
      </c>
      <c r="I27" s="29"/>
      <c r="J27" s="30"/>
    </row>
    <row r="28" spans="1:10" ht="30" customHeight="1" x14ac:dyDescent="0.25">
      <c r="A28" s="8"/>
      <c r="B28" s="68" t="s">
        <v>65</v>
      </c>
      <c r="C28" s="69"/>
      <c r="D28" s="69"/>
      <c r="E28" s="18"/>
      <c r="F28" s="19"/>
      <c r="G28" s="20"/>
      <c r="H28" s="21"/>
      <c r="I28" s="31"/>
      <c r="J28" s="32"/>
    </row>
    <row r="29" spans="1:10" ht="30" customHeight="1" x14ac:dyDescent="0.25">
      <c r="A29" s="8"/>
      <c r="B29" s="61" t="s">
        <v>74</v>
      </c>
      <c r="C29" s="62"/>
      <c r="D29" s="62"/>
      <c r="E29" s="17">
        <v>5</v>
      </c>
      <c r="F29" s="11" t="s">
        <v>26</v>
      </c>
      <c r="G29" s="15" t="str">
        <f t="shared" si="0"/>
        <v/>
      </c>
      <c r="H29" s="16" t="str">
        <f t="shared" si="1"/>
        <v/>
      </c>
      <c r="I29" s="27"/>
      <c r="J29" s="28"/>
    </row>
    <row r="30" spans="1:10" ht="30" customHeight="1" x14ac:dyDescent="0.25">
      <c r="A30" s="8"/>
      <c r="B30" s="61" t="s">
        <v>75</v>
      </c>
      <c r="C30" s="62"/>
      <c r="D30" s="62"/>
      <c r="E30" s="17">
        <v>5</v>
      </c>
      <c r="F30" s="11" t="s">
        <v>26</v>
      </c>
      <c r="G30" s="15" t="str">
        <f t="shared" si="0"/>
        <v/>
      </c>
      <c r="H30" s="16" t="str">
        <f t="shared" si="1"/>
        <v/>
      </c>
      <c r="I30" s="27"/>
      <c r="J30" s="28"/>
    </row>
    <row r="31" spans="1:10" ht="30" customHeight="1" x14ac:dyDescent="0.25">
      <c r="A31" s="8"/>
      <c r="B31" s="61" t="s">
        <v>40</v>
      </c>
      <c r="C31" s="62"/>
      <c r="D31" s="62"/>
      <c r="E31" s="17">
        <v>5</v>
      </c>
      <c r="F31" s="11" t="s">
        <v>26</v>
      </c>
      <c r="G31" s="15" t="str">
        <f t="shared" si="0"/>
        <v/>
      </c>
      <c r="H31" s="16" t="str">
        <f t="shared" si="1"/>
        <v/>
      </c>
      <c r="I31" s="27"/>
      <c r="J31" s="28"/>
    </row>
    <row r="32" spans="1:10" ht="30" customHeight="1" thickBot="1" x14ac:dyDescent="0.3">
      <c r="A32" s="8"/>
      <c r="B32" s="72" t="s">
        <v>41</v>
      </c>
      <c r="C32" s="73"/>
      <c r="D32" s="73"/>
      <c r="E32" s="22">
        <v>5</v>
      </c>
      <c r="F32" s="12" t="s">
        <v>26</v>
      </c>
      <c r="G32" s="23" t="str">
        <f t="shared" si="0"/>
        <v/>
      </c>
      <c r="H32" s="24" t="str">
        <f t="shared" si="1"/>
        <v/>
      </c>
      <c r="I32" s="29"/>
      <c r="J32" s="30"/>
    </row>
    <row r="33" spans="1:10" ht="30" customHeight="1" x14ac:dyDescent="0.25">
      <c r="A33" s="8"/>
      <c r="B33" s="68" t="s">
        <v>93</v>
      </c>
      <c r="C33" s="69"/>
      <c r="D33" s="69"/>
      <c r="E33" s="18"/>
      <c r="F33" s="19"/>
      <c r="G33" s="20"/>
      <c r="H33" s="21"/>
      <c r="I33" s="31"/>
      <c r="J33" s="32"/>
    </row>
    <row r="34" spans="1:10" ht="30" customHeight="1" x14ac:dyDescent="0.25">
      <c r="A34" s="8"/>
      <c r="B34" s="61" t="s">
        <v>76</v>
      </c>
      <c r="C34" s="62"/>
      <c r="D34" s="62"/>
      <c r="E34" s="17">
        <v>5</v>
      </c>
      <c r="F34" s="11" t="s">
        <v>26</v>
      </c>
      <c r="G34" s="15" t="str">
        <f t="shared" si="0"/>
        <v/>
      </c>
      <c r="H34" s="16" t="str">
        <f t="shared" si="1"/>
        <v/>
      </c>
      <c r="I34" s="27"/>
      <c r="J34" s="28"/>
    </row>
    <row r="35" spans="1:10" ht="30" customHeight="1" x14ac:dyDescent="0.25">
      <c r="A35" s="8"/>
      <c r="B35" s="61" t="s">
        <v>77</v>
      </c>
      <c r="C35" s="62"/>
      <c r="D35" s="62"/>
      <c r="E35" s="17">
        <v>5</v>
      </c>
      <c r="F35" s="11" t="s">
        <v>26</v>
      </c>
      <c r="G35" s="15" t="str">
        <f t="shared" si="0"/>
        <v/>
      </c>
      <c r="H35" s="16" t="str">
        <f t="shared" si="1"/>
        <v/>
      </c>
      <c r="I35" s="27"/>
      <c r="J35" s="28"/>
    </row>
    <row r="36" spans="1:10" ht="30" customHeight="1" x14ac:dyDescent="0.25">
      <c r="A36" s="8"/>
      <c r="B36" s="61" t="s">
        <v>78</v>
      </c>
      <c r="C36" s="62"/>
      <c r="D36" s="62"/>
      <c r="E36" s="17">
        <v>5</v>
      </c>
      <c r="F36" s="11" t="s">
        <v>26</v>
      </c>
      <c r="G36" s="15" t="str">
        <f t="shared" si="0"/>
        <v/>
      </c>
      <c r="H36" s="16" t="str">
        <f t="shared" si="1"/>
        <v/>
      </c>
      <c r="I36" s="27"/>
      <c r="J36" s="28"/>
    </row>
    <row r="37" spans="1:10" ht="30" customHeight="1" x14ac:dyDescent="0.25">
      <c r="A37" s="8"/>
      <c r="B37" s="61" t="s">
        <v>79</v>
      </c>
      <c r="C37" s="62"/>
      <c r="D37" s="62"/>
      <c r="E37" s="17">
        <v>5</v>
      </c>
      <c r="F37" s="11" t="s">
        <v>26</v>
      </c>
      <c r="G37" s="15" t="str">
        <f t="shared" si="0"/>
        <v/>
      </c>
      <c r="H37" s="16" t="str">
        <f t="shared" si="1"/>
        <v/>
      </c>
      <c r="I37" s="27"/>
      <c r="J37" s="28"/>
    </row>
    <row r="38" spans="1:10" ht="30" customHeight="1" x14ac:dyDescent="0.25">
      <c r="A38" s="8"/>
      <c r="B38" s="61" t="s">
        <v>80</v>
      </c>
      <c r="C38" s="62"/>
      <c r="D38" s="62"/>
      <c r="E38" s="17">
        <v>5</v>
      </c>
      <c r="F38" s="11" t="s">
        <v>26</v>
      </c>
      <c r="G38" s="15" t="str">
        <f t="shared" si="0"/>
        <v/>
      </c>
      <c r="H38" s="16" t="str">
        <f t="shared" si="1"/>
        <v/>
      </c>
      <c r="I38" s="27"/>
      <c r="J38" s="28"/>
    </row>
    <row r="39" spans="1:10" ht="30" customHeight="1" x14ac:dyDescent="0.25">
      <c r="A39" s="8"/>
      <c r="B39" s="61" t="s">
        <v>83</v>
      </c>
      <c r="C39" s="62"/>
      <c r="D39" s="62"/>
      <c r="E39" s="17">
        <v>5</v>
      </c>
      <c r="F39" s="11" t="s">
        <v>26</v>
      </c>
      <c r="G39" s="15" t="str">
        <f t="shared" si="0"/>
        <v/>
      </c>
      <c r="H39" s="16" t="str">
        <f t="shared" si="1"/>
        <v/>
      </c>
      <c r="I39" s="27"/>
      <c r="J39" s="28"/>
    </row>
    <row r="40" spans="1:10" ht="30" customHeight="1" x14ac:dyDescent="0.25">
      <c r="A40" s="8"/>
      <c r="B40" s="61" t="s">
        <v>81</v>
      </c>
      <c r="C40" s="62"/>
      <c r="D40" s="62"/>
      <c r="E40" s="17">
        <v>5</v>
      </c>
      <c r="F40" s="11" t="s">
        <v>26</v>
      </c>
      <c r="G40" s="15" t="str">
        <f t="shared" si="0"/>
        <v/>
      </c>
      <c r="H40" s="16" t="str">
        <f t="shared" si="1"/>
        <v/>
      </c>
      <c r="I40" s="27"/>
      <c r="J40" s="28"/>
    </row>
    <row r="41" spans="1:10" ht="30" customHeight="1" x14ac:dyDescent="0.25">
      <c r="A41" s="8"/>
      <c r="B41" s="61" t="s">
        <v>82</v>
      </c>
      <c r="C41" s="62"/>
      <c r="D41" s="62"/>
      <c r="E41" s="17">
        <v>5</v>
      </c>
      <c r="F41" s="11" t="s">
        <v>26</v>
      </c>
      <c r="G41" s="15" t="str">
        <f t="shared" si="0"/>
        <v/>
      </c>
      <c r="H41" s="16" t="str">
        <f t="shared" si="1"/>
        <v/>
      </c>
      <c r="I41" s="27"/>
      <c r="J41" s="28"/>
    </row>
    <row r="42" spans="1:10" ht="30" customHeight="1" x14ac:dyDescent="0.25">
      <c r="A42" s="8"/>
      <c r="B42" s="61" t="s">
        <v>42</v>
      </c>
      <c r="C42" s="62"/>
      <c r="D42" s="62"/>
      <c r="E42" s="17">
        <v>5</v>
      </c>
      <c r="F42" s="11" t="s">
        <v>26</v>
      </c>
      <c r="G42" s="15" t="str">
        <f t="shared" si="0"/>
        <v/>
      </c>
      <c r="H42" s="16" t="str">
        <f t="shared" si="1"/>
        <v/>
      </c>
      <c r="I42" s="27"/>
      <c r="J42" s="28"/>
    </row>
    <row r="43" spans="1:10" ht="30" customHeight="1" x14ac:dyDescent="0.25">
      <c r="A43" s="8"/>
      <c r="B43" s="61" t="s">
        <v>84</v>
      </c>
      <c r="C43" s="62"/>
      <c r="D43" s="62"/>
      <c r="E43" s="17">
        <v>5</v>
      </c>
      <c r="F43" s="11" t="s">
        <v>26</v>
      </c>
      <c r="G43" s="15" t="str">
        <f t="shared" si="0"/>
        <v/>
      </c>
      <c r="H43" s="16" t="str">
        <f t="shared" si="1"/>
        <v/>
      </c>
      <c r="I43" s="27"/>
      <c r="J43" s="28"/>
    </row>
    <row r="44" spans="1:10" ht="30" customHeight="1" x14ac:dyDescent="0.25">
      <c r="A44" s="8"/>
      <c r="B44" s="61" t="s">
        <v>43</v>
      </c>
      <c r="C44" s="62"/>
      <c r="D44" s="62"/>
      <c r="E44" s="17">
        <v>5</v>
      </c>
      <c r="F44" s="11" t="s">
        <v>26</v>
      </c>
      <c r="G44" s="15" t="str">
        <f t="shared" si="0"/>
        <v/>
      </c>
      <c r="H44" s="16" t="str">
        <f t="shared" si="1"/>
        <v/>
      </c>
      <c r="I44" s="27"/>
      <c r="J44" s="28"/>
    </row>
    <row r="45" spans="1:10" ht="30" customHeight="1" x14ac:dyDescent="0.25">
      <c r="A45" s="8"/>
      <c r="B45" s="61" t="s">
        <v>85</v>
      </c>
      <c r="C45" s="62"/>
      <c r="D45" s="62"/>
      <c r="E45" s="17">
        <v>5</v>
      </c>
      <c r="F45" s="11" t="s">
        <v>26</v>
      </c>
      <c r="G45" s="15" t="str">
        <f t="shared" si="0"/>
        <v/>
      </c>
      <c r="H45" s="16" t="str">
        <f t="shared" si="1"/>
        <v/>
      </c>
      <c r="I45" s="27"/>
      <c r="J45" s="28"/>
    </row>
    <row r="46" spans="1:10" ht="30" customHeight="1" x14ac:dyDescent="0.25">
      <c r="A46" s="8"/>
      <c r="B46" s="61" t="s">
        <v>44</v>
      </c>
      <c r="C46" s="62"/>
      <c r="D46" s="62"/>
      <c r="E46" s="17">
        <v>5</v>
      </c>
      <c r="F46" s="11" t="s">
        <v>26</v>
      </c>
      <c r="G46" s="15" t="str">
        <f t="shared" si="0"/>
        <v/>
      </c>
      <c r="H46" s="16" t="str">
        <f t="shared" si="1"/>
        <v/>
      </c>
      <c r="I46" s="27"/>
      <c r="J46" s="28"/>
    </row>
    <row r="47" spans="1:10" ht="30" customHeight="1" thickBot="1" x14ac:dyDescent="0.3">
      <c r="A47" s="8"/>
      <c r="B47" s="72" t="s">
        <v>45</v>
      </c>
      <c r="C47" s="73"/>
      <c r="D47" s="73"/>
      <c r="E47" s="22">
        <v>5</v>
      </c>
      <c r="F47" s="12" t="s">
        <v>26</v>
      </c>
      <c r="G47" s="23" t="str">
        <f t="shared" si="0"/>
        <v/>
      </c>
      <c r="H47" s="24" t="str">
        <f t="shared" si="1"/>
        <v/>
      </c>
      <c r="I47" s="29"/>
      <c r="J47" s="30"/>
    </row>
    <row r="48" spans="1:10" ht="30" customHeight="1" x14ac:dyDescent="0.25">
      <c r="A48" s="8"/>
      <c r="B48" s="74" t="s">
        <v>66</v>
      </c>
      <c r="C48" s="75"/>
      <c r="D48" s="75"/>
      <c r="E48" s="18"/>
      <c r="F48" s="19"/>
      <c r="G48" s="20"/>
      <c r="H48" s="21"/>
      <c r="I48" s="31"/>
      <c r="J48" s="32"/>
    </row>
    <row r="49" spans="1:10" ht="30" customHeight="1" x14ac:dyDescent="0.25">
      <c r="A49" s="8"/>
      <c r="B49" s="61" t="s">
        <v>86</v>
      </c>
      <c r="C49" s="62"/>
      <c r="D49" s="62"/>
      <c r="E49" s="17">
        <v>5</v>
      </c>
      <c r="F49" s="11" t="s">
        <v>26</v>
      </c>
      <c r="G49" s="15" t="str">
        <f t="shared" si="0"/>
        <v/>
      </c>
      <c r="H49" s="16" t="str">
        <f t="shared" si="1"/>
        <v/>
      </c>
      <c r="I49" s="27"/>
      <c r="J49" s="28"/>
    </row>
    <row r="50" spans="1:10" ht="30" customHeight="1" x14ac:dyDescent="0.25">
      <c r="A50" s="8"/>
      <c r="B50" s="61" t="s">
        <v>46</v>
      </c>
      <c r="C50" s="62"/>
      <c r="D50" s="62"/>
      <c r="E50" s="17">
        <v>5</v>
      </c>
      <c r="F50" s="11" t="s">
        <v>26</v>
      </c>
      <c r="G50" s="15" t="str">
        <f t="shared" si="0"/>
        <v/>
      </c>
      <c r="H50" s="16" t="str">
        <f t="shared" si="1"/>
        <v/>
      </c>
      <c r="I50" s="27"/>
      <c r="J50" s="28"/>
    </row>
    <row r="51" spans="1:10" ht="30" customHeight="1" thickBot="1" x14ac:dyDescent="0.3">
      <c r="A51" s="8"/>
      <c r="B51" s="72" t="s">
        <v>47</v>
      </c>
      <c r="C51" s="73"/>
      <c r="D51" s="73"/>
      <c r="E51" s="22">
        <v>5</v>
      </c>
      <c r="F51" s="12" t="s">
        <v>26</v>
      </c>
      <c r="G51" s="23" t="str">
        <f t="shared" si="0"/>
        <v/>
      </c>
      <c r="H51" s="24" t="str">
        <f t="shared" si="1"/>
        <v/>
      </c>
      <c r="I51" s="29"/>
      <c r="J51" s="30"/>
    </row>
    <row r="52" spans="1:10" ht="30" customHeight="1" x14ac:dyDescent="0.25">
      <c r="A52" s="8"/>
      <c r="B52" s="93" t="s">
        <v>67</v>
      </c>
      <c r="C52" s="94"/>
      <c r="D52" s="94"/>
      <c r="E52" s="26"/>
      <c r="F52" s="19"/>
      <c r="G52" s="20"/>
      <c r="H52" s="21"/>
      <c r="I52" s="31"/>
      <c r="J52" s="32"/>
    </row>
    <row r="53" spans="1:10" ht="30" customHeight="1" x14ac:dyDescent="0.25">
      <c r="A53" s="8"/>
      <c r="B53" s="95" t="s">
        <v>87</v>
      </c>
      <c r="C53" s="96"/>
      <c r="D53" s="96"/>
      <c r="E53" s="17">
        <v>5</v>
      </c>
      <c r="F53" s="11" t="s">
        <v>26</v>
      </c>
      <c r="G53" s="15" t="str">
        <f t="shared" si="0"/>
        <v/>
      </c>
      <c r="H53" s="16" t="str">
        <f t="shared" si="1"/>
        <v/>
      </c>
      <c r="I53" s="27"/>
      <c r="J53" s="28"/>
    </row>
    <row r="54" spans="1:10" ht="30" customHeight="1" x14ac:dyDescent="0.25">
      <c r="A54" s="8"/>
      <c r="B54" s="61" t="s">
        <v>88</v>
      </c>
      <c r="C54" s="62"/>
      <c r="D54" s="62"/>
      <c r="E54" s="17">
        <v>5</v>
      </c>
      <c r="F54" s="11" t="s">
        <v>26</v>
      </c>
      <c r="G54" s="15" t="str">
        <f t="shared" si="0"/>
        <v/>
      </c>
      <c r="H54" s="16" t="str">
        <f t="shared" si="1"/>
        <v/>
      </c>
      <c r="I54" s="27"/>
      <c r="J54" s="28"/>
    </row>
    <row r="55" spans="1:10" ht="30" customHeight="1" x14ac:dyDescent="0.25">
      <c r="A55" s="8"/>
      <c r="B55" s="61" t="s">
        <v>48</v>
      </c>
      <c r="C55" s="62"/>
      <c r="D55" s="62"/>
      <c r="E55" s="17">
        <v>5</v>
      </c>
      <c r="F55" s="11" t="s">
        <v>26</v>
      </c>
      <c r="G55" s="15" t="str">
        <f t="shared" si="0"/>
        <v/>
      </c>
      <c r="H55" s="16" t="str">
        <f t="shared" si="1"/>
        <v/>
      </c>
      <c r="I55" s="27"/>
      <c r="J55" s="28"/>
    </row>
    <row r="56" spans="1:10" ht="30" customHeight="1" x14ac:dyDescent="0.25">
      <c r="A56" s="8"/>
      <c r="B56" s="61" t="s">
        <v>49</v>
      </c>
      <c r="C56" s="62"/>
      <c r="D56" s="62"/>
      <c r="E56" s="17">
        <v>5</v>
      </c>
      <c r="F56" s="11" t="s">
        <v>26</v>
      </c>
      <c r="G56" s="15" t="str">
        <f t="shared" si="0"/>
        <v/>
      </c>
      <c r="H56" s="16" t="str">
        <f t="shared" si="1"/>
        <v/>
      </c>
      <c r="I56" s="27"/>
      <c r="J56" s="28"/>
    </row>
    <row r="57" spans="1:10" ht="30" customHeight="1" x14ac:dyDescent="0.25">
      <c r="A57" s="8"/>
      <c r="B57" s="61" t="s">
        <v>50</v>
      </c>
      <c r="C57" s="62"/>
      <c r="D57" s="62"/>
      <c r="E57" s="17">
        <v>5</v>
      </c>
      <c r="F57" s="11" t="s">
        <v>26</v>
      </c>
      <c r="G57" s="15" t="str">
        <f t="shared" si="0"/>
        <v/>
      </c>
      <c r="H57" s="16" t="str">
        <f t="shared" si="1"/>
        <v/>
      </c>
      <c r="I57" s="27"/>
      <c r="J57" s="28"/>
    </row>
    <row r="58" spans="1:10" ht="30" customHeight="1" x14ac:dyDescent="0.25">
      <c r="A58" s="8"/>
      <c r="B58" s="61" t="s">
        <v>51</v>
      </c>
      <c r="C58" s="62"/>
      <c r="D58" s="62"/>
      <c r="E58" s="17">
        <v>5</v>
      </c>
      <c r="F58" s="11" t="s">
        <v>26</v>
      </c>
      <c r="G58" s="15" t="str">
        <f t="shared" si="0"/>
        <v/>
      </c>
      <c r="H58" s="16" t="str">
        <f t="shared" si="1"/>
        <v/>
      </c>
      <c r="I58" s="27"/>
      <c r="J58" s="28"/>
    </row>
    <row r="59" spans="1:10" ht="30" customHeight="1" thickBot="1" x14ac:dyDescent="0.3">
      <c r="A59" s="8"/>
      <c r="B59" s="72" t="s">
        <v>52</v>
      </c>
      <c r="C59" s="73"/>
      <c r="D59" s="73"/>
      <c r="E59" s="22">
        <v>5</v>
      </c>
      <c r="F59" s="12" t="s">
        <v>26</v>
      </c>
      <c r="G59" s="23" t="str">
        <f t="shared" si="0"/>
        <v/>
      </c>
      <c r="H59" s="24" t="str">
        <f t="shared" si="1"/>
        <v/>
      </c>
      <c r="I59" s="29"/>
      <c r="J59" s="30"/>
    </row>
    <row r="60" spans="1:10" ht="30" customHeight="1" x14ac:dyDescent="0.25">
      <c r="A60" s="8"/>
      <c r="B60" s="76" t="s">
        <v>68</v>
      </c>
      <c r="C60" s="77"/>
      <c r="D60" s="77"/>
      <c r="E60" s="18"/>
      <c r="F60" s="19"/>
      <c r="G60" s="20"/>
      <c r="H60" s="21"/>
      <c r="I60" s="31"/>
      <c r="J60" s="32"/>
    </row>
    <row r="61" spans="1:10" ht="30" customHeight="1" x14ac:dyDescent="0.25">
      <c r="A61" s="8"/>
      <c r="B61" s="61" t="s">
        <v>89</v>
      </c>
      <c r="C61" s="62"/>
      <c r="D61" s="62"/>
      <c r="E61" s="17">
        <v>5</v>
      </c>
      <c r="F61" s="11" t="s">
        <v>26</v>
      </c>
      <c r="G61" s="15" t="str">
        <f t="shared" si="0"/>
        <v/>
      </c>
      <c r="H61" s="16" t="str">
        <f t="shared" si="1"/>
        <v/>
      </c>
      <c r="I61" s="27"/>
      <c r="J61" s="28"/>
    </row>
    <row r="62" spans="1:10" ht="30" customHeight="1" x14ac:dyDescent="0.25">
      <c r="A62" s="8"/>
      <c r="B62" s="61" t="s">
        <v>53</v>
      </c>
      <c r="C62" s="62"/>
      <c r="D62" s="62"/>
      <c r="E62" s="17">
        <v>5</v>
      </c>
      <c r="F62" s="11" t="s">
        <v>26</v>
      </c>
      <c r="G62" s="15" t="str">
        <f t="shared" si="0"/>
        <v/>
      </c>
      <c r="H62" s="16" t="str">
        <f t="shared" si="1"/>
        <v/>
      </c>
      <c r="I62" s="27"/>
      <c r="J62" s="28"/>
    </row>
    <row r="63" spans="1:10" ht="30" customHeight="1" thickBot="1" x14ac:dyDescent="0.3">
      <c r="A63" s="8"/>
      <c r="B63" s="72" t="s">
        <v>54</v>
      </c>
      <c r="C63" s="73"/>
      <c r="D63" s="73"/>
      <c r="E63" s="22">
        <v>5</v>
      </c>
      <c r="F63" s="12" t="s">
        <v>26</v>
      </c>
      <c r="G63" s="23" t="str">
        <f t="shared" si="0"/>
        <v/>
      </c>
      <c r="H63" s="24" t="str">
        <f t="shared" si="1"/>
        <v/>
      </c>
      <c r="I63" s="29"/>
      <c r="J63" s="30"/>
    </row>
    <row r="64" spans="1:10" ht="30" customHeight="1" x14ac:dyDescent="0.25">
      <c r="A64" s="8"/>
      <c r="B64" s="76" t="s">
        <v>94</v>
      </c>
      <c r="C64" s="77"/>
      <c r="D64" s="77"/>
      <c r="E64" s="25"/>
      <c r="F64" s="19"/>
      <c r="G64" s="20"/>
      <c r="H64" s="21"/>
      <c r="I64" s="31"/>
      <c r="J64" s="32"/>
    </row>
    <row r="65" spans="1:10" ht="30" customHeight="1" x14ac:dyDescent="0.25">
      <c r="A65" s="8"/>
      <c r="B65" s="61" t="s">
        <v>55</v>
      </c>
      <c r="C65" s="62"/>
      <c r="D65" s="62"/>
      <c r="E65" s="17">
        <v>5</v>
      </c>
      <c r="F65" s="11" t="s">
        <v>26</v>
      </c>
      <c r="G65" s="15" t="str">
        <f t="shared" si="0"/>
        <v/>
      </c>
      <c r="H65" s="16" t="str">
        <f t="shared" si="1"/>
        <v/>
      </c>
      <c r="I65" s="27"/>
      <c r="J65" s="28"/>
    </row>
    <row r="66" spans="1:10" ht="30" customHeight="1" x14ac:dyDescent="0.25">
      <c r="A66" s="8"/>
      <c r="B66" s="61" t="s">
        <v>56</v>
      </c>
      <c r="C66" s="62"/>
      <c r="D66" s="62"/>
      <c r="E66" s="17">
        <v>5</v>
      </c>
      <c r="F66" s="11" t="s">
        <v>26</v>
      </c>
      <c r="G66" s="15" t="str">
        <f t="shared" si="0"/>
        <v/>
      </c>
      <c r="H66" s="16" t="str">
        <f t="shared" si="1"/>
        <v/>
      </c>
      <c r="I66" s="27"/>
      <c r="J66" s="28"/>
    </row>
    <row r="67" spans="1:10" ht="30" customHeight="1" x14ac:dyDescent="0.25">
      <c r="A67" s="8"/>
      <c r="B67" s="61" t="s">
        <v>90</v>
      </c>
      <c r="C67" s="62"/>
      <c r="D67" s="62"/>
      <c r="E67" s="17">
        <v>5</v>
      </c>
      <c r="F67" s="11" t="s">
        <v>26</v>
      </c>
      <c r="G67" s="15" t="str">
        <f t="shared" si="0"/>
        <v/>
      </c>
      <c r="H67" s="16" t="str">
        <f t="shared" si="1"/>
        <v/>
      </c>
      <c r="I67" s="27"/>
      <c r="J67" s="28"/>
    </row>
    <row r="68" spans="1:10" ht="30" customHeight="1" x14ac:dyDescent="0.25">
      <c r="A68" s="8"/>
      <c r="B68" s="61" t="s">
        <v>57</v>
      </c>
      <c r="C68" s="62"/>
      <c r="D68" s="62"/>
      <c r="E68" s="17">
        <v>5</v>
      </c>
      <c r="F68" s="11" t="s">
        <v>26</v>
      </c>
      <c r="G68" s="15" t="str">
        <f t="shared" ref="G68:G74" si="2">IFERROR(F68/E68,"")</f>
        <v/>
      </c>
      <c r="H68" s="16" t="str">
        <f t="shared" ref="H68:H74" si="3">_xlfn.IFS(F68="أدخل العلامة","",F68="لا ينطبق","تم الإلغاء",G68&gt;=90%,"ممتاز",G68&gt;=80%,"جيد جداً",G68&gt;=70%,"جيد",G68&gt;=60%,"مقبول",G68&lt;60%,"راسب")</f>
        <v/>
      </c>
      <c r="I68" s="27"/>
      <c r="J68" s="28"/>
    </row>
    <row r="69" spans="1:10" ht="30" customHeight="1" thickBot="1" x14ac:dyDescent="0.3">
      <c r="A69" s="8"/>
      <c r="B69" s="72" t="s">
        <v>58</v>
      </c>
      <c r="C69" s="73"/>
      <c r="D69" s="73"/>
      <c r="E69" s="22">
        <v>5</v>
      </c>
      <c r="F69" s="12" t="s">
        <v>26</v>
      </c>
      <c r="G69" s="23" t="str">
        <f t="shared" si="2"/>
        <v/>
      </c>
      <c r="H69" s="24" t="str">
        <f t="shared" si="3"/>
        <v/>
      </c>
      <c r="I69" s="29"/>
      <c r="J69" s="30"/>
    </row>
    <row r="70" spans="1:10" ht="30" customHeight="1" x14ac:dyDescent="0.25">
      <c r="A70" s="8"/>
      <c r="B70" s="74" t="s">
        <v>69</v>
      </c>
      <c r="C70" s="75"/>
      <c r="D70" s="75"/>
      <c r="E70" s="18"/>
      <c r="F70" s="19"/>
      <c r="G70" s="20"/>
      <c r="H70" s="21"/>
      <c r="I70" s="31"/>
      <c r="J70" s="32"/>
    </row>
    <row r="71" spans="1:10" ht="30" customHeight="1" x14ac:dyDescent="0.25">
      <c r="A71" s="8"/>
      <c r="B71" s="61" t="s">
        <v>70</v>
      </c>
      <c r="C71" s="62"/>
      <c r="D71" s="62"/>
      <c r="E71" s="17">
        <v>5</v>
      </c>
      <c r="F71" s="11" t="s">
        <v>26</v>
      </c>
      <c r="G71" s="15" t="str">
        <f t="shared" si="2"/>
        <v/>
      </c>
      <c r="H71" s="16" t="str">
        <f t="shared" si="3"/>
        <v/>
      </c>
      <c r="I71" s="27"/>
      <c r="J71" s="28"/>
    </row>
    <row r="72" spans="1:10" ht="30" customHeight="1" x14ac:dyDescent="0.25">
      <c r="A72" s="8"/>
      <c r="B72" s="61" t="s">
        <v>59</v>
      </c>
      <c r="C72" s="62"/>
      <c r="D72" s="62"/>
      <c r="E72" s="17">
        <v>5</v>
      </c>
      <c r="F72" s="11" t="s">
        <v>26</v>
      </c>
      <c r="G72" s="15" t="str">
        <f t="shared" si="2"/>
        <v/>
      </c>
      <c r="H72" s="16" t="str">
        <f t="shared" si="3"/>
        <v/>
      </c>
      <c r="I72" s="27"/>
      <c r="J72" s="28"/>
    </row>
    <row r="73" spans="1:10" ht="30" customHeight="1" x14ac:dyDescent="0.25">
      <c r="A73" s="8"/>
      <c r="B73" s="61" t="s">
        <v>60</v>
      </c>
      <c r="C73" s="62"/>
      <c r="D73" s="62"/>
      <c r="E73" s="17">
        <v>5</v>
      </c>
      <c r="F73" s="11" t="s">
        <v>26</v>
      </c>
      <c r="G73" s="15" t="str">
        <f t="shared" si="2"/>
        <v/>
      </c>
      <c r="H73" s="16" t="str">
        <f t="shared" si="3"/>
        <v/>
      </c>
      <c r="I73" s="27"/>
      <c r="J73" s="28"/>
    </row>
    <row r="74" spans="1:10" ht="30" customHeight="1" thickBot="1" x14ac:dyDescent="0.3">
      <c r="A74" s="8"/>
      <c r="B74" s="72" t="s">
        <v>61</v>
      </c>
      <c r="C74" s="73"/>
      <c r="D74" s="73"/>
      <c r="E74" s="22">
        <v>5</v>
      </c>
      <c r="F74" s="12" t="s">
        <v>26</v>
      </c>
      <c r="G74" s="23" t="str">
        <f t="shared" si="2"/>
        <v/>
      </c>
      <c r="H74" s="24" t="str">
        <f t="shared" si="3"/>
        <v/>
      </c>
      <c r="I74" s="29"/>
      <c r="J74" s="30"/>
    </row>
    <row r="75" spans="1:10" ht="30" customHeight="1" thickBot="1" x14ac:dyDescent="0.3">
      <c r="A75" s="3"/>
      <c r="B75" s="63" t="s">
        <v>5</v>
      </c>
      <c r="C75" s="64"/>
      <c r="D75" s="64"/>
      <c r="E75" s="14">
        <f>SUM(E8:E74)</f>
        <v>270</v>
      </c>
      <c r="F75" s="14">
        <f>SUM(F8:F74)</f>
        <v>0</v>
      </c>
      <c r="G75" s="35"/>
      <c r="H75" s="36"/>
      <c r="I75" s="36"/>
      <c r="J75" s="37"/>
    </row>
    <row r="76" spans="1:10" ht="30" customHeight="1" thickBot="1" x14ac:dyDescent="0.3">
      <c r="A76" s="3"/>
      <c r="B76" s="65" t="s">
        <v>20</v>
      </c>
      <c r="C76" s="66"/>
      <c r="D76" s="66"/>
      <c r="E76" s="45">
        <f>F75/E75/100*100</f>
        <v>0</v>
      </c>
      <c r="F76" s="45"/>
      <c r="G76" s="45"/>
      <c r="H76" s="45"/>
      <c r="I76" s="45"/>
      <c r="J76" s="46"/>
    </row>
    <row r="77" spans="1:10" ht="30" customHeight="1" thickBot="1" x14ac:dyDescent="0.3">
      <c r="A77" s="3"/>
      <c r="B77" s="65" t="s">
        <v>21</v>
      </c>
      <c r="C77" s="66"/>
      <c r="D77" s="66"/>
      <c r="E77" s="59" t="str">
        <f>_xlfn.IFS(E76&gt;=90%,"ممتاز",E76&gt;=80%,"جيد جداً",E76&gt;=70%,"جيد",E76&gt;=60%,"مقبول",E76&lt;60%,"راسب")</f>
        <v>راسب</v>
      </c>
      <c r="F77" s="59"/>
      <c r="G77" s="59"/>
      <c r="H77" s="59"/>
      <c r="I77" s="59"/>
      <c r="J77" s="60"/>
    </row>
    <row r="78" spans="1:10" ht="42" customHeight="1" x14ac:dyDescent="0.25">
      <c r="B78" s="55" t="s">
        <v>27</v>
      </c>
      <c r="C78" s="55"/>
      <c r="D78" s="55"/>
      <c r="E78" s="33" t="s">
        <v>18</v>
      </c>
      <c r="F78" s="33"/>
      <c r="G78" s="57" t="s">
        <v>24</v>
      </c>
      <c r="H78" s="57"/>
      <c r="I78" s="57"/>
      <c r="J78" s="57"/>
    </row>
    <row r="79" spans="1:10" ht="51" customHeight="1" x14ac:dyDescent="0.25">
      <c r="A79" s="4"/>
      <c r="B79" s="56"/>
      <c r="C79" s="56"/>
      <c r="D79" s="56"/>
      <c r="E79" s="34" t="s">
        <v>19</v>
      </c>
      <c r="F79" s="34"/>
      <c r="G79" s="58"/>
      <c r="H79" s="58"/>
      <c r="I79" s="58"/>
      <c r="J79" s="58"/>
    </row>
  </sheetData>
  <sheetProtection formatCells="0" formatColumns="0" formatRows="0" insertColumns="0" insertRows="0" insertHyperlinks="0" deleteColumns="0" deleteRows="0" selectLockedCells="1" sort="0" autoFilter="0" pivotTables="0"/>
  <mergeCells count="158">
    <mergeCell ref="F11:F13"/>
    <mergeCell ref="G11:G13"/>
    <mergeCell ref="H11:H13"/>
    <mergeCell ref="I11:J13"/>
    <mergeCell ref="B68:D68"/>
    <mergeCell ref="B69:D69"/>
    <mergeCell ref="B70:D70"/>
    <mergeCell ref="B71:D71"/>
    <mergeCell ref="B72:D72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41:D41"/>
    <mergeCell ref="B42:D42"/>
    <mergeCell ref="B43:D43"/>
    <mergeCell ref="B44:D44"/>
    <mergeCell ref="B45:D45"/>
    <mergeCell ref="B46:D46"/>
    <mergeCell ref="B73:D73"/>
    <mergeCell ref="B74:D74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47:D47"/>
    <mergeCell ref="B48:D48"/>
    <mergeCell ref="B49:D49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E11:E13"/>
    <mergeCell ref="E19:E21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I26:J26"/>
    <mergeCell ref="I27:J27"/>
    <mergeCell ref="I28:J28"/>
    <mergeCell ref="I29:J29"/>
    <mergeCell ref="I30:J30"/>
    <mergeCell ref="B75:D75"/>
    <mergeCell ref="B76:D76"/>
    <mergeCell ref="B77:D77"/>
    <mergeCell ref="I48:J48"/>
    <mergeCell ref="I49:J49"/>
    <mergeCell ref="I50:J50"/>
    <mergeCell ref="I51:J51"/>
    <mergeCell ref="I52:J52"/>
    <mergeCell ref="I39:J39"/>
    <mergeCell ref="I40:J40"/>
    <mergeCell ref="I41:J41"/>
    <mergeCell ref="I42:J42"/>
    <mergeCell ref="I56:J56"/>
    <mergeCell ref="I57:J57"/>
    <mergeCell ref="I58:J58"/>
    <mergeCell ref="I59:J59"/>
    <mergeCell ref="I60:J60"/>
    <mergeCell ref="I61:J61"/>
    <mergeCell ref="I8:J8"/>
    <mergeCell ref="I9:J9"/>
    <mergeCell ref="I10:J10"/>
    <mergeCell ref="I22:J22"/>
    <mergeCell ref="I23:J23"/>
    <mergeCell ref="I53:J53"/>
    <mergeCell ref="I54:J54"/>
    <mergeCell ref="I55:J55"/>
    <mergeCell ref="B78:D79"/>
    <mergeCell ref="G78:J78"/>
    <mergeCell ref="G79:J79"/>
    <mergeCell ref="E77:J77"/>
    <mergeCell ref="I34:J34"/>
    <mergeCell ref="I35:J35"/>
    <mergeCell ref="I36:J36"/>
    <mergeCell ref="I37:J37"/>
    <mergeCell ref="I38:J38"/>
    <mergeCell ref="I73:J73"/>
    <mergeCell ref="I74:J74"/>
    <mergeCell ref="I43:J43"/>
    <mergeCell ref="I44:J44"/>
    <mergeCell ref="I45:J45"/>
    <mergeCell ref="I46:J46"/>
    <mergeCell ref="I47:J47"/>
    <mergeCell ref="B1:J1"/>
    <mergeCell ref="F2:J2"/>
    <mergeCell ref="B5:D6"/>
    <mergeCell ref="C2:D2"/>
    <mergeCell ref="C3:D3"/>
    <mergeCell ref="F3:J3"/>
    <mergeCell ref="E76:J76"/>
    <mergeCell ref="B7:D7"/>
    <mergeCell ref="I32:J32"/>
    <mergeCell ref="I33:J33"/>
    <mergeCell ref="I24:J24"/>
    <mergeCell ref="I25:J25"/>
    <mergeCell ref="E5:H5"/>
    <mergeCell ref="I31:J31"/>
    <mergeCell ref="I5:J6"/>
    <mergeCell ref="I7:J7"/>
    <mergeCell ref="I14:J14"/>
    <mergeCell ref="I15:J15"/>
    <mergeCell ref="I16:J16"/>
    <mergeCell ref="I17:J17"/>
    <mergeCell ref="I18:J18"/>
    <mergeCell ref="I19:J19"/>
    <mergeCell ref="I20:J20"/>
    <mergeCell ref="I21:J21"/>
    <mergeCell ref="I62:J62"/>
    <mergeCell ref="I63:J63"/>
    <mergeCell ref="I64:J64"/>
    <mergeCell ref="I65:J65"/>
    <mergeCell ref="E78:F78"/>
    <mergeCell ref="E79:F79"/>
    <mergeCell ref="G75:J75"/>
    <mergeCell ref="I66:J66"/>
    <mergeCell ref="I67:J67"/>
    <mergeCell ref="I68:J68"/>
    <mergeCell ref="I69:J69"/>
    <mergeCell ref="I70:J70"/>
    <mergeCell ref="I71:J71"/>
    <mergeCell ref="I72:J72"/>
  </mergeCells>
  <conditionalFormatting sqref="E77">
    <cfRule type="expression" dxfId="15" priority="57">
      <formula>$E77="راسب"</formula>
    </cfRule>
  </conditionalFormatting>
  <conditionalFormatting sqref="E77:J77">
    <cfRule type="expression" dxfId="14" priority="58">
      <formula>$E77="مقبول"</formula>
    </cfRule>
    <cfRule type="expression" dxfId="13" priority="59">
      <formula>$E77="جيد"</formula>
    </cfRule>
    <cfRule type="expression" dxfId="12" priority="60">
      <formula>$E77="جيد جداً"</formula>
    </cfRule>
    <cfRule type="expression" dxfId="11" priority="61">
      <formula>$E77="ممتاز"</formula>
    </cfRule>
  </conditionalFormatting>
  <conditionalFormatting sqref="H8:H11 H14:H74">
    <cfRule type="containsText" dxfId="10" priority="39" operator="containsText" text="ممتاز">
      <formula>NOT(ISERROR(SEARCH("ممتاز",H8)))</formula>
    </cfRule>
    <cfRule type="containsText" dxfId="9" priority="40" operator="containsText" text="جيد جداً">
      <formula>NOT(ISERROR(SEARCH("جيد جداً",H8)))</formula>
    </cfRule>
    <cfRule type="containsText" dxfId="8" priority="41" operator="containsText" text="جيد">
      <formula>NOT(ISERROR(SEARCH("جيد",H8)))</formula>
    </cfRule>
    <cfRule type="containsText" dxfId="7" priority="42" operator="containsText" text="مقبول">
      <formula>NOT(ISERROR(SEARCH("مقبول",H8)))</formula>
    </cfRule>
    <cfRule type="containsText" dxfId="6" priority="43" operator="containsText" text="راسب">
      <formula>NOT(ISERROR(SEARCH("راسب",H8)))</formula>
    </cfRule>
  </conditionalFormatting>
  <conditionalFormatting sqref="H8:H11 F8:F11 F14:F74 H14:H74">
    <cfRule type="containsText" dxfId="5" priority="38" operator="containsText" text="أدخل العلامة">
      <formula>NOT(ISERROR(SEARCH("أدخل العلامة",F8)))</formula>
    </cfRule>
  </conditionalFormatting>
  <conditionalFormatting sqref="F2:J2">
    <cfRule type="containsText" dxfId="4" priority="19" operator="containsText" text="أدخل التاريخ">
      <formula>NOT(ISERROR(SEARCH("أدخل التاريخ",F2)))</formula>
    </cfRule>
  </conditionalFormatting>
  <conditionalFormatting sqref="C2:D2">
    <cfRule type="containsText" dxfId="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F3:J3">
    <cfRule type="containsText" dxfId="1" priority="16" operator="containsText" text="أدخل أسم المحكم">
      <formula>NOT(ISERROR(SEARCH("أدخل أسم المحكم",F3)))</formula>
    </cfRule>
  </conditionalFormatting>
  <conditionalFormatting sqref="G78:J78">
    <cfRule type="containsText" dxfId="0" priority="15" operator="containsText" text="أدخل اسم المحكم">
      <formula>NOT(ISERROR(SEARCH("أدخل اسم المحكم",G78)))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5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#REF!</xm:f>
          </x14:formula1>
          <xm:sqref>F2:J2</xm:sqref>
        </x14:dataValidation>
        <x14:dataValidation type="list" allowBlank="1" showInputMessage="1" showErrorMessage="1">
          <x14:formula1>
            <xm:f>#REF!</xm:f>
          </x14:formula1>
          <xm:sqref>C2:D2</xm:sqref>
        </x14:dataValidation>
        <x14:dataValidation type="list" allowBlank="1" showInputMessage="1" showErrorMessage="1">
          <x14:formula1>
            <xm:f>#REF!</xm:f>
          </x14:formula1>
          <xm:sqref>G78:J78 F3:J3</xm:sqref>
        </x14:dataValidation>
        <x14:dataValidation type="list" allowBlank="1" showInputMessage="1" showErrorMessage="1">
          <x14:formula1>
            <xm:f>#REF!</xm:f>
          </x14:formula1>
          <xm:sqref>C3:D3</xm:sqref>
        </x14:dataValidation>
        <x14:dataValidation type="list" allowBlank="1" showInputMessage="1" showErrorMessage="1">
          <x14:formula1>
            <xm:f>#REF!</xm:f>
          </x14:formula1>
          <xm:sqref>F9:F11 F14:F24 F26:F27 F29:F32 F34:F47 F49:F51 F53:F59 F61:F63 F65:F69 F71:F74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قائمة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2026-09-06T08:18:09Z</dcterms:modified>
</cp:coreProperties>
</file>