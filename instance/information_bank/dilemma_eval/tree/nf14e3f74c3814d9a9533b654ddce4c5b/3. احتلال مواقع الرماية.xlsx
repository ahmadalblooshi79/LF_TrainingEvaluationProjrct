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121AE9E-2DED-49CD-9DDD-7D62209117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4" i="2"/>
  <c r="H24" i="2"/>
  <c r="F25" i="2"/>
  <c r="E25" i="2"/>
  <c r="E26" i="2"/>
  <c r="E27" i="2"/>
</calcChain>
</file>

<file path=xl/sharedStrings.xml><?xml version="1.0" encoding="utf-8"?>
<sst xmlns="http://schemas.openxmlformats.org/spreadsheetml/2006/main" count="255" uniqueCount="199">
  <si>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</si>
  <si>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</si>
  <si>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</si>
  <si>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</si>
  <si>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</si>
  <si>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</si>
  <si>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</si>
  <si>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</si>
  <si>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</si>
  <si>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</si>
  <si>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</si>
  <si>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</si>
  <si>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</si>
  <si>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</si>
  <si>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</si>
  <si>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</si>
  <si>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</si>
  <si>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</si>
  <si>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</si>
  <si>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</si>
  <si>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</si>
  <si>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</si>
  <si>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</si>
  <si>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</si>
  <si>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</si>
  <si>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</si>
  <si>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</si>
  <si>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</si>
  <si>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</si>
  <si>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</si>
  <si>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</si>
  <si>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</si>
  <si>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</si>
  <si>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</si>
  <si>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</si>
  <si>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</si>
  <si>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</si>
  <si>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</si>
  <si>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</si>
  <si>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</si>
  <si>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</si>
  <si>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</si>
  <si>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</si>
  <si>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</si>
  <si>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</si>
  <si>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</si>
  <si>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</si>
  <si>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</si>
  <si>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</si>
  <si>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</si>
  <si>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</si>
  <si>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</si>
  <si>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</si>
  <si>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</si>
  <si>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</si>
  <si>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</si>
  <si>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</si>
  <si>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</si>
  <si>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</si>
  <si>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</si>
  <si>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</si>
  <si>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</si>
  <si>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</si>
  <si>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</si>
  <si>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</si>
  <si>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</si>
  <si>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</si>
  <si>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</si>
  <si>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</si>
  <si>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</si>
  <si>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</si>
  <si>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</si>
  <si>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</si>
  <si>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</si>
  <si>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</si>
  <si>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</si>
  <si>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</si>
  <si>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</si>
  <si>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</si>
  <si>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</si>
  <si>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</si>
  <si>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</si>
  <si>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</si>
  <si>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</si>
  <si>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</si>
  <si>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</si>
  <si>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</si>
  <si>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</si>
  <si>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</si>
  <si>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</si>
  <si>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</si>
  <si>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</si>
  <si>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</si>
  <si>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</si>
  <si>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</si>
  <si>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</si>
  <si>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</si>
  <si>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</si>
  <si>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</si>
  <si>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</si>
  <si>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</si>
  <si>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</si>
  <si>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</si>
  <si>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</si>
  <si>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</si>
  <si>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</si>
  <si>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</si>
  <si>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</si>
  <si>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</si>
  <si>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</si>
  <si>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</si>
  <si>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</si>
  <si>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</si>
  <si>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</si>
  <si>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</si>
  <si>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</si>
  <si>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</si>
  <si>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</si>
  <si>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</si>
  <si>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</si>
  <si>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</si>
  <si>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</si>
  <si>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</si>
  <si>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</si>
  <si>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</si>
  <si>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</si>
  <si>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</si>
  <si>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</si>
  <si>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</si>
  <si>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</si>
  <si>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</si>
  <si>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</si>
  <si>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</si>
  <si>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</si>
  <si>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</si>
  <si>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</si>
  <si>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</si>
  <si>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</si>
  <si>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</si>
  <si>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</si>
  <si>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</si>
  <si>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</si>
  <si>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</si>
  <si>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</si>
  <si>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</si>
  <si>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</si>
  <si>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</si>
  <si>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</si>
  <si>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</si>
  <si>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</si>
  <si>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</si>
  <si>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</si>
  <si>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</si>
  <si>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</si>
  <si>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</si>
  <si>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</si>
  <si>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</si>
  <si>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</si>
  <si>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</si>
  <si>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</si>
  <si>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</si>
  <si>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</si>
  <si>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</si>
  <si>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</si>
  <si>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</si>
  <si>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</si>
  <si>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</si>
  <si>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</si>
  <si>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</si>
  <si>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</si>
  <si>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</si>
  <si>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</si>
  <si>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</si>
  <si>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</si>
  <si>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</si>
  <si>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</si>
  <si>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</si>
  <si>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</si>
  <si>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</si>
  <si>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</si>
  <si>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   أ. الفواصل بين الاليات وتأمين الحماية عند دخول المنطقة.</t>
  </si>
  <si>
    <t xml:space="preserve">   ب. قيام الاليات باحتلال مساطبها حسب خطة احتلال الموقع.</t>
  </si>
  <si>
    <t xml:space="preserve">   جـ. توضيع الآليات في موقع يسمح بسرعة الدخول والخروج.</t>
  </si>
  <si>
    <t xml:space="preserve">   د. تنسيق الدفاع  المحلي مع الوحدات المجاورة.</t>
  </si>
  <si>
    <t xml:space="preserve">   هـ. المحافظة على القدرة العملياتية في جميع الأوقات.</t>
  </si>
  <si>
    <t xml:space="preserve">   و. تم تأسيس الاتصالات وادامتها.</t>
  </si>
  <si>
    <t>أ.  تركيب شباك التستر ومهمات التمويه .</t>
  </si>
  <si>
    <t>1.      يتأكد قائد السرية مما يلي:</t>
  </si>
  <si>
    <t>2.      تقوم السرية بعمل تحسينات على الموقع وكما يلي:</t>
  </si>
  <si>
    <t>3.      تراقب السرية أمن العملية لتفادي كشف العدو للموقع ومعرفتة لقصد الوحدة.</t>
  </si>
  <si>
    <t>ب. انتخاب وتحضير المواقع البديلة.</t>
  </si>
  <si>
    <t>د.  انتخاب، وتحضير وتأشير منطقة هبوط  الطائرات العمودية والتأكد من:</t>
  </si>
  <si>
    <t>(1)  أن منطقة الهبوط مستوية نسبياً.</t>
  </si>
  <si>
    <t>(2)  أن منطقة الهبوط دائرية وقطرها من 25 الى 80 متر.</t>
  </si>
  <si>
    <t>(3) أن اتجاه الهبوط  والاقلاع خالي من الموانع.</t>
  </si>
  <si>
    <t>(4) أن منطقة الهبوط مؤشرة للعمليات النهارية والليلية.</t>
  </si>
  <si>
    <t>جـ. انتخاب منطقة مخبأ الاليات لاصطفاف ودخول وخروج الاليات وذلك لتسهيل العمليات.</t>
  </si>
  <si>
    <r>
      <rPr>
        <b/>
        <sz val="14"/>
        <color rgb="FF000000"/>
        <rFont val="Arial"/>
        <family val="2"/>
      </rPr>
      <t>تقييم سرية المدفعية في احتلال مواقع الرماية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</si>
  <si>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نقيب/ مسعود الاحبابي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</si>
</sst>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3" fillId="5" borderId="23" xfId="0" applyFont="1" applyFill="1" applyBorder="1" applyAlignment="1">
      <alignment horizontal="right" vertical="center" wrapText="1" indent="4" readingOrder="2"/>
    </xf>
    <xf numFmtId="0" fontId="13" fillId="5" borderId="3" xfId="0" applyFont="1" applyFill="1" applyBorder="1" applyAlignment="1">
      <alignment horizontal="right" vertical="center" wrapText="1" indent="4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25" xfId="0" applyFont="1" applyFill="1" applyBorder="1" applyAlignment="1">
      <alignment horizontal="right" vertical="center" wrapText="1" readingOrder="2"/>
    </xf>
    <xf numFmtId="0" fontId="13" fillId="5" borderId="26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indent="2" readingOrder="2"/>
    </xf>
    <xf numFmtId="0" fontId="13" fillId="5" borderId="12" xfId="0" applyFont="1" applyFill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indent="4" readingOrder="2"/>
    </xf>
    <xf numFmtId="0" fontId="13" fillId="5" borderId="12" xfId="0" applyFont="1" applyFill="1" applyBorder="1" applyAlignment="1">
      <alignment horizontal="right" vertical="center" wrapText="1" indent="4" readingOrder="2"/>
    </xf>
    <xf numFmtId="0" fontId="13" fillId="5" borderId="8" xfId="0" applyFont="1" applyFill="1" applyBorder="1" applyAlignment="1">
      <alignment horizontal="right" vertical="center" wrapText="1" readingOrder="2"/>
    </xf>
    <xf numFmtId="0" fontId="13" fillId="5" borderId="9" xfId="0" applyFont="1" applyFill="1" applyBorder="1" applyAlignment="1">
      <alignment horizontal="right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390877</xdr:colOff>
      <xdr:row>28</xdr:row>
      <xdr:rowOff>266548</xdr:rowOff>
    </xdr:from>
    <xdr:to>
      <xdr:col>9</xdr:col>
      <xdr:colOff>568686</xdr:colOff>
      <xdr:row>28</xdr:row>
      <xdr:rowOff>521068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6D27CEA-C9A6-4897-92BA-3B86C1EC7CDA}"/>
                </a:ext>
              </a:extLst>
            </xdr14:cNvPr>
            <xdr14:cNvContentPartPr/>
          </xdr14:nvContentPartPr>
          <xdr14:nvPr macro=""/>
          <xdr14:xfrm>
            <a:off x="10398018133" y="11465640"/>
            <a:ext cx="2152080" cy="2545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6D27CEA-C9A6-4897-92BA-3B86C1EC7C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09133" y="11456640"/>
              <a:ext cx="2169720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173067</xdr:colOff>
      <xdr:row>28</xdr:row>
      <xdr:rowOff>289588</xdr:rowOff>
    </xdr:from>
    <xdr:to>
      <xdr:col>9</xdr:col>
      <xdr:colOff>473646</xdr:colOff>
      <xdr:row>28</xdr:row>
      <xdr:rowOff>405508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2A0F813-DE60-A4CE-B9C1-7AAB6C641EAE}"/>
                </a:ext>
              </a:extLst>
            </xdr14:cNvPr>
            <xdr14:cNvContentPartPr/>
          </xdr14:nvContentPartPr>
          <xdr14:nvPr macro=""/>
          <xdr14:xfrm>
            <a:off x="10398113173" y="11488680"/>
            <a:ext cx="1616760" cy="115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2A0F813-DE60-A4CE-B9C1-7AAB6C641EA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04533" y="11480040"/>
              <a:ext cx="163440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224907</xdr:colOff>
      <xdr:row>28</xdr:row>
      <xdr:rowOff>271588</xdr:rowOff>
    </xdr:from>
    <xdr:to>
      <xdr:col>9</xdr:col>
      <xdr:colOff>348366</xdr:colOff>
      <xdr:row>28</xdr:row>
      <xdr:rowOff>342148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178CC53-32B0-E9CD-372D-A66BFB110CE7}"/>
                </a:ext>
              </a:extLst>
            </xdr14:cNvPr>
            <xdr14:cNvContentPartPr/>
          </xdr14:nvContentPartPr>
          <xdr14:nvPr macro=""/>
          <xdr14:xfrm>
            <a:off x="10398238453" y="11470680"/>
            <a:ext cx="1439640" cy="705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178CC53-32B0-E9CD-372D-A66BFB110CE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229813" y="11461680"/>
              <a:ext cx="145728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409587</xdr:colOff>
      <xdr:row>28</xdr:row>
      <xdr:rowOff>150988</xdr:rowOff>
    </xdr:from>
    <xdr:to>
      <xdr:col>9</xdr:col>
      <xdr:colOff>364566</xdr:colOff>
      <xdr:row>28</xdr:row>
      <xdr:rowOff>208948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A379481-7CA8-DCC0-5664-50B376684BA0}"/>
                </a:ext>
              </a:extLst>
            </xdr14:cNvPr>
            <xdr14:cNvContentPartPr/>
          </xdr14:nvContentPartPr>
          <xdr14:nvPr macro=""/>
          <xdr14:xfrm>
            <a:off x="10398222253" y="11350080"/>
            <a:ext cx="1271160" cy="579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A379481-7CA8-DCC0-5664-50B376684BA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213253" y="11341440"/>
              <a:ext cx="128880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565477</xdr:colOff>
      <xdr:row>28</xdr:row>
      <xdr:rowOff>162508</xdr:rowOff>
    </xdr:from>
    <xdr:to>
      <xdr:col>6</xdr:col>
      <xdr:colOff>571597</xdr:colOff>
      <xdr:row>28</xdr:row>
      <xdr:rowOff>168628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A3F3C6D-B60C-C29B-5055-9D1BD97AA7DE}"/>
                </a:ext>
              </a:extLst>
            </xdr14:cNvPr>
            <xdr14:cNvContentPartPr/>
          </xdr14:nvContentPartPr>
          <xdr14:nvPr macro=""/>
          <xdr14:xfrm>
            <a:off x="10399989493" y="11361600"/>
            <a:ext cx="6120" cy="61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A3F3C6D-B60C-C29B-5055-9D1BD97AA7D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9980493" y="11352960"/>
              <a:ext cx="2376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9:04.2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4721 706,'0'0,"0"0,0 0,0 0,0 0,0 0,0 0,0 0,0 0,0 0,0 0,0 0,0 0,0-16,16 0,-14 14,-4-12,17-18,-13 28,-4-24,18-4,-14 28,11-40,3-5,-14 44,12-38,1-5,-13 42,-4-36,18 10,-14 28,-4-40,17 12,-13 28,-4-24,18-4,-13 27,-6-22,3-5,0 27,15-6,-15-22,0 29,0-8,16 12,-14 0,12-16,2 16,-14 0,11 16,19-16,-28 0,39 16,3 1,-40-15,51 28,20-14,-65-14,39 28,11-14,-52-14,90 28,-22-14,-67-14,40 12,11 2,-53-14,29 12,9 2,-40-14,17 12,7-14,-26 0,-25 16,20 0,0-14,-16-4,0 18,14-13,-73 10,-19 19,81-27,-98 6,-15 5,109-13,-137 26,-33-13,160-13,-150 26,-41-12,187-15,-141-4,-46 18,187-14,-157-4,-78 2,227 0,-171 0,-55-16,227 13,-189 6,-54-3,240 0,-199 16,-25-16,227 0,-206 16,-5 0,214-14,-164 12,-4 2,174-14,-145 28,2-14,147-14,-91 12,23-14,79 0,-81 16,1-16,80 0,-34 0,1 0,40 0,-32 0,22 0,15 0,-42 0,12 0,28 0,-7 0,3 0,16-16,-8 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9:04.7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4385 1,'0'0,"0"0,0 0,0 0,-16 0,1 0,12 0,-10 0,-19 0,28 0,-86 16,-19 0,93-14,-109 12,-63 18,161-28,-134 8,-74 20,203-28,-186 8,-48 4,226-13,-170 11,-57-14,229 0,-174 0,-70 16,239-14,-165-4,-42 18,213-14,-161 12,-21 2,187-14,-125 12,-30 2,162-14,-92-4,8 18,94-14,-64 12,17-14,52 0,-27 16,37-16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9:05.1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3893 18,'0'0,"0"0,0 0,0 0,-15 0,12 0,-41 0,-34-16,67 14,-87 20,-42-18,118 0,-129 0,-67 17,184-15,-167-4,-32 18,198-14,-165 12,-35 2,203-14,-138 12,-49-14,185 0,-150 16,-19-16,172 0,-157 16,-15-16,175 0,-131 16,-28-16,160 0,-103 16,21-16,93 0,-77 16,15-16,66 0,-23 16,4-16,26 0,10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9:05.8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3424 1,'0'0,"0"0,0 0,0 0,0 0,0 0,-15 0,13 0,-28 0,-16 0,39 0,-64 0,-53 0,107 0,-138 16,-15-16,146 0,-155 16,-38 0,186-14,-188 12,-29 2,211-14,-160 12,-20 2,185-14,-139 12,-30-14,172 0,-129 16,-13-16,147 0,-139 16,38-16,107 0,-72 0,12 0,67 0,-40 0,4 0,41 0,-20 0,12 0,11 0,20 0,-8 0,-18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9:06.0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 1,'0'0,"0"0,0 0,0 0,0 0,0 0,-16 16,16-16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197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3" t="s">
        <v>8</v>
      </c>
      <c r="C2" s="71" t="s">
        <v>48</v>
      </c>
      <c r="D2" s="71"/>
      <c r="E2" s="13" t="s">
        <v>7</v>
      </c>
      <c r="F2" s="66">
        <v>45944</v>
      </c>
      <c r="G2" s="66"/>
      <c r="H2" s="66"/>
      <c r="I2" s="66"/>
      <c r="J2" s="66"/>
    </row>
    <row r="3" spans="1:10" ht="30" customHeight="1" x14ac:dyDescent="0.3">
      <c r="B3" s="13" t="s">
        <v>9</v>
      </c>
      <c r="C3" s="71" t="s">
        <v>60</v>
      </c>
      <c r="D3" s="71"/>
      <c r="E3" s="13" t="s">
        <v>6</v>
      </c>
      <c r="F3" s="71" t="s">
        <v>114</v>
      </c>
      <c r="G3" s="71"/>
      <c r="H3" s="71"/>
      <c r="I3" s="71"/>
      <c r="J3" s="71"/>
    </row>
    <row r="4" spans="1:10" ht="30" customHeight="1" thickBot="1" x14ac:dyDescent="0.35">
      <c r="B4" s="6"/>
      <c r="C4" s="72" t="s">
        <v>198</v>
      </c>
      <c r="D4" s="72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7" t="s">
        <v>0</v>
      </c>
      <c r="C5" s="68"/>
      <c r="D5" s="68"/>
      <c r="E5" s="59" t="s">
        <v>1</v>
      </c>
      <c r="F5" s="59"/>
      <c r="G5" s="59"/>
      <c r="H5" s="59"/>
      <c r="I5" s="59" t="s">
        <v>2</v>
      </c>
      <c r="J5" s="60"/>
    </row>
    <row r="6" spans="1:10" ht="24.9" customHeight="1" thickBot="1" x14ac:dyDescent="0.35">
      <c r="A6" s="11"/>
      <c r="B6" s="69"/>
      <c r="C6" s="70"/>
      <c r="D6" s="70"/>
      <c r="E6" s="12" t="s">
        <v>3</v>
      </c>
      <c r="F6" s="12" t="s">
        <v>4</v>
      </c>
      <c r="G6" s="12" t="s">
        <v>23</v>
      </c>
      <c r="H6" s="12" t="s">
        <v>24</v>
      </c>
      <c r="I6" s="61"/>
      <c r="J6" s="62"/>
    </row>
    <row r="7" spans="1:10" ht="24.9" customHeight="1" thickBot="1" x14ac:dyDescent="0.35">
      <c r="A7" s="11"/>
      <c r="B7" s="57" t="s">
        <v>21</v>
      </c>
      <c r="C7" s="58"/>
      <c r="D7" s="58"/>
      <c r="E7" s="29" t="s">
        <v>18</v>
      </c>
      <c r="F7" s="29" t="s">
        <v>19</v>
      </c>
      <c r="G7" s="29" t="s">
        <v>22</v>
      </c>
      <c r="H7" s="29" t="s">
        <v>20</v>
      </c>
      <c r="I7" s="63" t="s">
        <v>25</v>
      </c>
      <c r="J7" s="64"/>
    </row>
    <row r="8" spans="1:10" ht="30" customHeight="1" x14ac:dyDescent="0.3">
      <c r="A8" s="11"/>
      <c r="B8" s="42" t="s">
        <v>187</v>
      </c>
      <c r="C8" s="43"/>
      <c r="D8" s="43"/>
      <c r="E8" s="43"/>
      <c r="F8" s="43"/>
      <c r="G8" s="43"/>
      <c r="H8" s="43"/>
      <c r="I8" s="43"/>
      <c r="J8" s="44"/>
    </row>
    <row r="9" spans="1:10" ht="30" customHeight="1" x14ac:dyDescent="0.3">
      <c r="A9" s="11"/>
      <c r="B9" s="38" t="s">
        <v>180</v>
      </c>
      <c r="C9" s="39"/>
      <c r="D9" s="39"/>
      <c r="E9" s="9">
        <v>5</v>
      </c>
      <c r="F9" s="27">
        <v>4</v>
      </c>
      <c r="G9" s="31">
        <f>IFERROR(F9/E9,"")</f>
        <v>0.8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7"/>
      <c r="J9" s="48"/>
    </row>
    <row r="10" spans="1:10" ht="30" customHeight="1" x14ac:dyDescent="0.3">
      <c r="A10" s="11"/>
      <c r="B10" s="38" t="s">
        <v>181</v>
      </c>
      <c r="C10" s="39"/>
      <c r="D10" s="39"/>
      <c r="E10" s="9">
        <v>5</v>
      </c>
      <c r="F10" s="37">
        <v>4.25</v>
      </c>
      <c r="G10" s="31">
        <f t="shared" ref="G10:G24" si="0">IFERROR(F10/E10,"")</f>
        <v>0.85</v>
      </c>
      <c r="H10" s="32" t="str">
        <f t="shared" ref="H10:H2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0" customHeight="1" x14ac:dyDescent="0.3">
      <c r="A11" s="11"/>
      <c r="B11" s="38" t="s">
        <v>182</v>
      </c>
      <c r="C11" s="39"/>
      <c r="D11" s="39"/>
      <c r="E11" s="9">
        <v>5</v>
      </c>
      <c r="F11" s="37">
        <v>4</v>
      </c>
      <c r="G11" s="31">
        <f t="shared" si="0"/>
        <v>0.8</v>
      </c>
      <c r="H11" s="32" t="str">
        <f t="shared" si="1"/>
        <v>جيد جداً</v>
      </c>
      <c r="I11" s="47"/>
      <c r="J11" s="48"/>
    </row>
    <row r="12" spans="1:10" ht="30" customHeight="1" x14ac:dyDescent="0.3">
      <c r="A12" s="11"/>
      <c r="B12" s="38" t="s">
        <v>183</v>
      </c>
      <c r="C12" s="39"/>
      <c r="D12" s="39"/>
      <c r="E12" s="9">
        <v>5</v>
      </c>
      <c r="F12" s="37">
        <v>3.75</v>
      </c>
      <c r="G12" s="31">
        <f t="shared" si="0"/>
        <v>0.75</v>
      </c>
      <c r="H12" s="32" t="str">
        <f t="shared" si="1"/>
        <v>جيد</v>
      </c>
      <c r="I12" s="47"/>
      <c r="J12" s="48"/>
    </row>
    <row r="13" spans="1:10" ht="30" customHeight="1" x14ac:dyDescent="0.3">
      <c r="A13" s="11"/>
      <c r="B13" s="38" t="s">
        <v>184</v>
      </c>
      <c r="C13" s="39"/>
      <c r="D13" s="39"/>
      <c r="E13" s="9">
        <v>5</v>
      </c>
      <c r="F13" s="37">
        <v>3.75</v>
      </c>
      <c r="G13" s="31">
        <f t="shared" si="0"/>
        <v>0.75</v>
      </c>
      <c r="H13" s="32" t="str">
        <f t="shared" si="1"/>
        <v>جيد</v>
      </c>
      <c r="I13" s="47"/>
      <c r="J13" s="48"/>
    </row>
    <row r="14" spans="1:10" ht="30" customHeight="1" thickBot="1" x14ac:dyDescent="0.35">
      <c r="A14" s="11"/>
      <c r="B14" s="45" t="s">
        <v>185</v>
      </c>
      <c r="C14" s="46"/>
      <c r="D14" s="46"/>
      <c r="E14" s="33">
        <v>5</v>
      </c>
      <c r="F14" s="37">
        <v>4.25</v>
      </c>
      <c r="G14" s="34">
        <f t="shared" si="0"/>
        <v>0.85</v>
      </c>
      <c r="H14" s="35" t="str">
        <f t="shared" si="1"/>
        <v>جيد جداً</v>
      </c>
      <c r="I14" s="49"/>
      <c r="J14" s="50"/>
    </row>
    <row r="15" spans="1:10" ht="30" customHeight="1" x14ac:dyDescent="0.3">
      <c r="A15" s="11"/>
      <c r="B15" s="42" t="s">
        <v>188</v>
      </c>
      <c r="C15" s="43"/>
      <c r="D15" s="43"/>
      <c r="E15" s="43"/>
      <c r="F15" s="43"/>
      <c r="G15" s="43"/>
      <c r="H15" s="43"/>
      <c r="I15" s="43"/>
      <c r="J15" s="44"/>
    </row>
    <row r="16" spans="1:10" ht="30" customHeight="1" x14ac:dyDescent="0.3">
      <c r="A16" s="11"/>
      <c r="B16" s="38" t="s">
        <v>186</v>
      </c>
      <c r="C16" s="39"/>
      <c r="D16" s="39"/>
      <c r="E16" s="9">
        <v>5</v>
      </c>
      <c r="F16" s="27">
        <v>4.25</v>
      </c>
      <c r="G16" s="31">
        <f t="shared" si="0"/>
        <v>0.85</v>
      </c>
      <c r="H16" s="32" t="str">
        <f t="shared" si="1"/>
        <v>جيد جداً</v>
      </c>
      <c r="I16" s="47"/>
      <c r="J16" s="48"/>
    </row>
    <row r="17" spans="1:10" ht="30" customHeight="1" x14ac:dyDescent="0.3">
      <c r="A17" s="11"/>
      <c r="B17" s="38" t="s">
        <v>190</v>
      </c>
      <c r="C17" s="39"/>
      <c r="D17" s="39"/>
      <c r="E17" s="9">
        <v>5</v>
      </c>
      <c r="F17" s="37">
        <v>3.75</v>
      </c>
      <c r="G17" s="31">
        <f t="shared" si="0"/>
        <v>0.75</v>
      </c>
      <c r="H17" s="32" t="str">
        <f t="shared" si="1"/>
        <v>جيد</v>
      </c>
      <c r="I17" s="47"/>
      <c r="J17" s="48"/>
    </row>
    <row r="18" spans="1:10" ht="39.9" customHeight="1" x14ac:dyDescent="0.3">
      <c r="A18" s="11"/>
      <c r="B18" s="38" t="s">
        <v>196</v>
      </c>
      <c r="C18" s="39"/>
      <c r="D18" s="39"/>
      <c r="E18" s="9">
        <v>5</v>
      </c>
      <c r="F18" s="37">
        <v>4</v>
      </c>
      <c r="G18" s="31">
        <f t="shared" si="0"/>
        <v>0.8</v>
      </c>
      <c r="H18" s="32" t="str">
        <f t="shared" si="1"/>
        <v>جيد جداً</v>
      </c>
      <c r="I18" s="47"/>
      <c r="J18" s="48"/>
    </row>
    <row r="19" spans="1:10" ht="39.9" customHeight="1" x14ac:dyDescent="0.3">
      <c r="A19" s="11"/>
      <c r="B19" s="38" t="s">
        <v>191</v>
      </c>
      <c r="C19" s="39"/>
      <c r="D19" s="39"/>
      <c r="E19" s="9"/>
      <c r="F19" s="27"/>
      <c r="G19" s="31"/>
      <c r="H19" s="32"/>
      <c r="I19" s="47"/>
      <c r="J19" s="48"/>
    </row>
    <row r="20" spans="1:10" ht="30" customHeight="1" x14ac:dyDescent="0.3">
      <c r="A20" s="11"/>
      <c r="B20" s="40" t="s">
        <v>192</v>
      </c>
      <c r="C20" s="41"/>
      <c r="D20" s="41"/>
      <c r="E20" s="9">
        <v>5</v>
      </c>
      <c r="F20" s="27">
        <v>3.5</v>
      </c>
      <c r="G20" s="31">
        <f t="shared" si="0"/>
        <v>0.7</v>
      </c>
      <c r="H20" s="32" t="str">
        <f t="shared" si="1"/>
        <v>جيد</v>
      </c>
      <c r="I20" s="47"/>
      <c r="J20" s="48"/>
    </row>
    <row r="21" spans="1:10" ht="30" customHeight="1" x14ac:dyDescent="0.3">
      <c r="A21" s="11"/>
      <c r="B21" s="40" t="s">
        <v>193</v>
      </c>
      <c r="C21" s="41"/>
      <c r="D21" s="41"/>
      <c r="E21" s="9">
        <v>5</v>
      </c>
      <c r="F21" s="37">
        <v>3.5</v>
      </c>
      <c r="G21" s="31">
        <f t="shared" si="0"/>
        <v>0.7</v>
      </c>
      <c r="H21" s="32" t="str">
        <f t="shared" si="1"/>
        <v>جيد</v>
      </c>
      <c r="I21" s="47"/>
      <c r="J21" s="48"/>
    </row>
    <row r="22" spans="1:10" ht="30" customHeight="1" x14ac:dyDescent="0.3">
      <c r="A22" s="11"/>
      <c r="B22" s="40" t="s">
        <v>194</v>
      </c>
      <c r="C22" s="41"/>
      <c r="D22" s="41"/>
      <c r="E22" s="9">
        <v>5</v>
      </c>
      <c r="F22" s="37">
        <v>3.5</v>
      </c>
      <c r="G22" s="31">
        <f t="shared" si="0"/>
        <v>0.7</v>
      </c>
      <c r="H22" s="32" t="str">
        <f t="shared" si="1"/>
        <v>جيد</v>
      </c>
      <c r="I22" s="47"/>
      <c r="J22" s="48"/>
    </row>
    <row r="23" spans="1:10" ht="30" customHeight="1" thickBot="1" x14ac:dyDescent="0.35">
      <c r="A23" s="11"/>
      <c r="B23" s="53" t="s">
        <v>195</v>
      </c>
      <c r="C23" s="54"/>
      <c r="D23" s="54"/>
      <c r="E23" s="33">
        <v>5</v>
      </c>
      <c r="F23" s="37">
        <v>3.5</v>
      </c>
      <c r="G23" s="34">
        <f t="shared" si="0"/>
        <v>0.7</v>
      </c>
      <c r="H23" s="35" t="str">
        <f t="shared" si="1"/>
        <v>جيد</v>
      </c>
      <c r="I23" s="49"/>
      <c r="J23" s="50"/>
    </row>
    <row r="24" spans="1:10" ht="39.9" customHeight="1" thickBot="1" x14ac:dyDescent="0.35">
      <c r="A24" s="11"/>
      <c r="B24" s="55" t="s">
        <v>189</v>
      </c>
      <c r="C24" s="56"/>
      <c r="D24" s="56"/>
      <c r="E24" s="10">
        <v>5</v>
      </c>
      <c r="F24" s="37">
        <v>3.5</v>
      </c>
      <c r="G24" s="36">
        <f t="shared" si="0"/>
        <v>0.7</v>
      </c>
      <c r="H24" s="28" t="str">
        <f t="shared" si="1"/>
        <v>جيد</v>
      </c>
      <c r="I24" s="51"/>
      <c r="J24" s="52"/>
    </row>
    <row r="25" spans="1:10" ht="30" customHeight="1" thickBot="1" x14ac:dyDescent="0.35">
      <c r="A25" s="4"/>
      <c r="B25" s="86" t="s">
        <v>5</v>
      </c>
      <c r="C25" s="87"/>
      <c r="D25" s="87"/>
      <c r="E25" s="30">
        <f>SUM(E8:E24)</f>
        <v>70</v>
      </c>
      <c r="F25" s="30">
        <f>SUM(F8:F24)</f>
        <v>53.5</v>
      </c>
      <c r="G25" s="75"/>
      <c r="H25" s="76"/>
      <c r="I25" s="76"/>
      <c r="J25" s="77"/>
    </row>
    <row r="26" spans="1:10" ht="30" customHeight="1" thickBot="1" x14ac:dyDescent="0.35">
      <c r="A26" s="4"/>
      <c r="B26" s="88" t="s">
        <v>54</v>
      </c>
      <c r="C26" s="89"/>
      <c r="D26" s="89"/>
      <c r="E26" s="84">
        <f>F25/E25/100*100</f>
        <v>0.76428571428571423</v>
      </c>
      <c r="F26" s="84"/>
      <c r="G26" s="84"/>
      <c r="H26" s="84"/>
      <c r="I26" s="84"/>
      <c r="J26" s="85"/>
    </row>
    <row r="27" spans="1:10" ht="30" customHeight="1" thickBot="1" x14ac:dyDescent="0.35">
      <c r="A27" s="4"/>
      <c r="B27" s="88" t="s">
        <v>55</v>
      </c>
      <c r="C27" s="89"/>
      <c r="D27" s="89"/>
      <c r="E27" s="82" t="str">
        <f>_xlfn.IFS(E26&gt;=90%,"ممتاز",E26&gt;=80%,"جيد جداً",E26&gt;=70%,"جيد",E26&gt;=60%,"مقبول",E26&lt;60%,"راسب")</f>
        <v>جيد</v>
      </c>
      <c r="F27" s="82"/>
      <c r="G27" s="82"/>
      <c r="H27" s="82"/>
      <c r="I27" s="82"/>
      <c r="J27" s="83"/>
    </row>
    <row r="28" spans="1:10" ht="42" customHeight="1" x14ac:dyDescent="0.3">
      <c r="B28" s="78" t="s">
        <v>174</v>
      </c>
      <c r="C28" s="78"/>
      <c r="D28" s="78"/>
      <c r="E28" s="73" t="s">
        <v>52</v>
      </c>
      <c r="F28" s="73"/>
      <c r="G28" s="80" t="s">
        <v>124</v>
      </c>
      <c r="H28" s="80"/>
      <c r="I28" s="80"/>
      <c r="J28" s="80"/>
    </row>
    <row r="29" spans="1:10" ht="51" customHeight="1" x14ac:dyDescent="0.3">
      <c r="A29" s="5"/>
      <c r="B29" s="79"/>
      <c r="C29" s="79"/>
      <c r="D29" s="79"/>
      <c r="E29" s="74" t="s">
        <v>53</v>
      </c>
      <c r="F29" s="74"/>
      <c r="G29" s="81"/>
      <c r="H29" s="81"/>
      <c r="I29" s="81"/>
      <c r="J29" s="81"/>
    </row>
  </sheetData>
  <sheetProtection formatCells="0" formatColumns="0" formatRows="0" insertColumns="0" insertRows="0" insertHyperlinks="0" deleteColumns="0" deleteRows="0" selectLockedCells="1" sort="0" autoFilter="0" pivotTables="0"/>
  <mergeCells count="54">
    <mergeCell ref="E28:F28"/>
    <mergeCell ref="E29:F29"/>
    <mergeCell ref="G25:J25"/>
    <mergeCell ref="I9:J9"/>
    <mergeCell ref="B28:D29"/>
    <mergeCell ref="G28:J28"/>
    <mergeCell ref="G29:J29"/>
    <mergeCell ref="E27:J27"/>
    <mergeCell ref="E26:J26"/>
    <mergeCell ref="B25:D25"/>
    <mergeCell ref="B26:D26"/>
    <mergeCell ref="B27:D27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C4:D4"/>
    <mergeCell ref="B7:D7"/>
    <mergeCell ref="E5:H5"/>
    <mergeCell ref="I5:J6"/>
    <mergeCell ref="I7:J7"/>
    <mergeCell ref="I10:J10"/>
    <mergeCell ref="B8:J8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B22:D22"/>
    <mergeCell ref="B23:D23"/>
    <mergeCell ref="B24:D24"/>
    <mergeCell ref="B21:D21"/>
    <mergeCell ref="B15:J15"/>
    <mergeCell ref="B9:D9"/>
    <mergeCell ref="B10:D10"/>
    <mergeCell ref="B11:D11"/>
    <mergeCell ref="B12:D12"/>
    <mergeCell ref="B13:D13"/>
    <mergeCell ref="B14:D14"/>
    <mergeCell ref="B16:D16"/>
    <mergeCell ref="B17:D17"/>
    <mergeCell ref="B18:D18"/>
    <mergeCell ref="B19:D19"/>
    <mergeCell ref="B20:D2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21" priority="57">
      <formula>$E27="راسب"</formula>
    </cfRule>
  </conditionalFormatting>
  <conditionalFormatting sqref="E27:J27">
    <cfRule type="expression" dxfId="20" priority="60">
      <formula>$E27="جيد جداً"</formula>
    </cfRule>
    <cfRule type="expression" dxfId="19" priority="59">
      <formula>$E27="جيد"</formula>
    </cfRule>
    <cfRule type="expression" dxfId="18" priority="58">
      <formula>$E27="مقبول"</formula>
    </cfRule>
    <cfRule type="expression" dxfId="17" priority="61">
      <formula>$E27="ممتاز"</formula>
    </cfRule>
  </conditionalFormatting>
  <conditionalFormatting sqref="F9:F14">
    <cfRule type="containsText" dxfId="16" priority="4" operator="containsText" text="أدخل العلامة">
      <formula>NOT(ISERROR(SEARCH("أدخل العلامة",F9)))</formula>
    </cfRule>
  </conditionalFormatting>
  <conditionalFormatting sqref="F16:F24">
    <cfRule type="containsText" dxfId="15" priority="14" operator="containsText" text="أدخل العلامة">
      <formula>NOT(ISERROR(SEARCH("أدخل العلامة",F16)))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12" priority="15" operator="containsText" text="أدخل اسم المحكم">
      <formula>NOT(ISERROR(SEARCH("أدخل اسم المحكم",G28)))</formula>
    </cfRule>
  </conditionalFormatting>
  <conditionalFormatting sqref="H9:H14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6:H24">
    <cfRule type="containsText" dxfId="5" priority="38" operator="containsText" text="أدخل العلامة">
      <formula>NOT(ISERROR(SEARCH("أدخل العلامة",H16)))</formula>
    </cfRule>
    <cfRule type="containsText" dxfId="4" priority="39" operator="containsText" text="ممتاز">
      <formula>NOT(ISERROR(SEARCH("ممتاز",H16)))</formula>
    </cfRule>
    <cfRule type="containsText" dxfId="3" priority="40" operator="containsText" text="جيد جداً">
      <formula>NOT(ISERROR(SEARCH("جيد جداً",H16)))</formula>
    </cfRule>
    <cfRule type="containsText" dxfId="2" priority="41" operator="containsText" text="جيد">
      <formula>NOT(ISERROR(SEARCH("جيد",H16)))</formula>
    </cfRule>
    <cfRule type="containsText" dxfId="1" priority="42" operator="containsText" text="مقبول">
      <formula>NOT(ISERROR(SEARCH("مقبول",H16)))</formula>
    </cfRule>
    <cfRule type="containsText" dxfId="0" priority="43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F20:F24 F16:F18 F9:F14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G28:J28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2025-10-15T15:51:51Z</dcterms:modified>
</cp:coreProperties>
</file>