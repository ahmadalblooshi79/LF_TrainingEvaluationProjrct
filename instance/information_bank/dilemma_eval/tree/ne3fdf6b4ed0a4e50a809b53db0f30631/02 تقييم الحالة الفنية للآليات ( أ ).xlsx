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6FB0459-5B4D-4A1C-9625-A39B177B6D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H14" i="2" s="1"/>
  <c r="G15" i="2"/>
  <c r="G17" i="2"/>
  <c r="G18" i="2"/>
  <c r="G19" i="2"/>
  <c r="G20" i="2"/>
  <c r="G21" i="2"/>
  <c r="G22" i="2"/>
  <c r="G24" i="2"/>
  <c r="G25" i="2"/>
  <c r="G26" i="2"/>
  <c r="G27" i="2"/>
  <c r="G29" i="2"/>
  <c r="H29" i="2" s="1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H45" i="2" s="1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H65" i="2" s="1"/>
  <c r="G66" i="2"/>
  <c r="H66" i="2" s="1"/>
  <c r="G67" i="2"/>
  <c r="G68" i="2"/>
  <c r="H68" i="2" s="1"/>
  <c r="G69" i="2"/>
  <c r="G71" i="2"/>
  <c r="G72" i="2"/>
  <c r="G73" i="2"/>
  <c r="G74" i="2"/>
  <c r="G75" i="2"/>
  <c r="H9" i="2"/>
  <c r="H10" i="2"/>
  <c r="H11" i="2"/>
  <c r="H12" i="2"/>
  <c r="H13" i="2"/>
  <c r="H15" i="2"/>
  <c r="H17" i="2"/>
  <c r="H18" i="2"/>
  <c r="H19" i="2"/>
  <c r="H20" i="2"/>
  <c r="H21" i="2"/>
  <c r="H22" i="2"/>
  <c r="H24" i="2"/>
  <c r="H25" i="2"/>
  <c r="H26" i="2"/>
  <c r="H27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7" i="2"/>
  <c r="H69" i="2"/>
  <c r="H71" i="2"/>
  <c r="H72" i="2"/>
  <c r="H73" i="2"/>
  <c r="H74" i="2"/>
  <c r="H75" i="2"/>
  <c r="F76" i="2"/>
  <c r="E77" i="2" s="1"/>
  <c r="E78" i="2" s="1"/>
  <c r="E76" i="2"/>
</calcChain>
</file>

<file path=xl/sharedStrings.xml><?xml version="1.0" encoding="utf-8"?>
<sst xmlns="http://schemas.openxmlformats.org/spreadsheetml/2006/main" count="306" uniqueCount="249">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</sst>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479396</xdr:colOff>
      <xdr:row>79</xdr:row>
      <xdr:rowOff>498123</xdr:rowOff>
    </xdr:from>
    <xdr:to>
      <xdr:col>8</xdr:col>
      <xdr:colOff>514316</xdr:colOff>
      <xdr:row>79</xdr:row>
      <xdr:rowOff>499923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4053781-F060-FB1F-2E55-8288DE44FDFA}"/>
                </a:ext>
              </a:extLst>
            </xdr14:cNvPr>
            <xdr14:cNvContentPartPr/>
          </xdr14:nvContentPartPr>
          <xdr14:nvPr macro=""/>
          <xdr14:xfrm>
            <a:off x="10398730593" y="31901760"/>
            <a:ext cx="34920" cy="1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4053781-F060-FB1F-2E55-8288DE44FDF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24473" y="31895640"/>
              <a:ext cx="4716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472039</xdr:colOff>
      <xdr:row>79</xdr:row>
      <xdr:rowOff>145323</xdr:rowOff>
    </xdr:from>
    <xdr:to>
      <xdr:col>8</xdr:col>
      <xdr:colOff>87898</xdr:colOff>
      <xdr:row>79</xdr:row>
      <xdr:rowOff>526563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43B77E1-63FC-604D-4669-9FB7F7A08127}"/>
                </a:ext>
              </a:extLst>
            </xdr14:cNvPr>
            <xdr14:cNvContentPartPr/>
          </xdr14:nvContentPartPr>
          <xdr14:nvPr macro=""/>
          <xdr14:xfrm>
            <a:off x="10399157011" y="31548960"/>
            <a:ext cx="932040" cy="381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43B77E1-63FC-604D-4669-9FB7F7A0812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148011" y="31539960"/>
              <a:ext cx="949680" cy="39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1T07:12:21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0 3456,'0'0'0,"0"0"0,-19 0 1769,-3 0-1585,-4 0-616,-3 4-2897,29-4 3329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8:33:28.2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1617 1058,'0'0,"0"0,0 0,0 0,0 0,0 0,0 0,0 0,0 0,-14-16,9 13,10-10,-21-3,12 12,-8-24,-2-4,9 25,-6-35,-6-6,15 39,4-62,15 7,-13 51,22-70,20-28,-37 93,45-61,8-17,-53 82,58-68,8 18,-63 55,55-46,-7 6,-51 44,45-22,7 27,-53 0,31 0,7 0,-42 0,22 0,20 16,-39-14,32-4,7 18,-39-14,17 13,7 1,-28-15,-6 14,3 1,0-15,-16 14,-46 17,58-29,-98 42,-52 3,137-43,-135 38,-65 5,194-42,-198 36,-25 6,215-42,-232 36,2-9,230-29,-151 23,-3-11,160-14,-75 12,8 2,80-14,-36-4,16 2,29 0,22-16,57 0,-65 14,116-27,44-3,-146 27,148-23,58-20,-196 41,193-34,33-7,-222 41,198-34,-6 25,-199 14,90-12,1-2,-105 14,26 4,-14 14,-25-14,-73 12,-38 34,90-41,-139 18,-58 23,182-41,-169 34,-31 7,196-40,-190 33,-23-10,212-27,-95 8,6 4,109-14,-60-4,45-14,27 13,54-10,73-34,-105 40,135-35,61-6,-184 41,154-34,18-7,-173 41,172-50,13 9,-181 41,59-2,-33-7,-47 14,-116 20,100-17,-144 14,-23 17,148-28,-167 24,-42-12,203-14,-126 28,0-14,135-14,-65 12,22 2,54-13,18 10,67 3,-64-13,130 42,73-13,-182-27,181 54,46 21,-218-68,-84-24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topLeftCell="A73" zoomScale="130" zoomScaleNormal="100" zoomScaleSheetLayoutView="130" workbookViewId="0">
      <selection activeCell="F29" sqref="F2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248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3" t="s">
        <v>8</v>
      </c>
      <c r="C2" s="63" t="s">
        <v>38</v>
      </c>
      <c r="D2" s="63"/>
      <c r="E2" s="13" t="s">
        <v>7</v>
      </c>
      <c r="F2" s="58">
        <v>45901</v>
      </c>
      <c r="G2" s="58"/>
      <c r="H2" s="58"/>
      <c r="I2" s="58"/>
      <c r="J2" s="58"/>
    </row>
    <row r="3" spans="1:10" ht="30" customHeight="1" x14ac:dyDescent="0.3">
      <c r="B3" s="13" t="s">
        <v>9</v>
      </c>
      <c r="C3" s="63" t="s">
        <v>177</v>
      </c>
      <c r="D3" s="63"/>
      <c r="E3" s="13" t="s">
        <v>6</v>
      </c>
      <c r="F3" s="63" t="s">
        <v>129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" customHeight="1" thickBot="1" x14ac:dyDescent="0.35">
      <c r="A7" s="11"/>
      <c r="B7" s="66" t="s">
        <v>21</v>
      </c>
      <c r="C7" s="67"/>
      <c r="D7" s="67"/>
      <c r="E7" s="33" t="s">
        <v>18</v>
      </c>
      <c r="F7" s="33" t="s">
        <v>19</v>
      </c>
      <c r="G7" s="33" t="s">
        <v>22</v>
      </c>
      <c r="H7" s="33" t="s">
        <v>20</v>
      </c>
      <c r="I7" s="72" t="s">
        <v>25</v>
      </c>
      <c r="J7" s="73"/>
    </row>
    <row r="8" spans="1:10" ht="30" customHeight="1" x14ac:dyDescent="0.3">
      <c r="A8" s="11"/>
      <c r="B8" s="86" t="s">
        <v>180</v>
      </c>
      <c r="C8" s="87"/>
      <c r="D8" s="87"/>
      <c r="E8" s="30"/>
      <c r="F8" s="37"/>
      <c r="G8" s="38"/>
      <c r="H8" s="39"/>
      <c r="I8" s="50"/>
      <c r="J8" s="51"/>
    </row>
    <row r="9" spans="1:10" ht="30" customHeight="1" x14ac:dyDescent="0.3">
      <c r="A9" s="11"/>
      <c r="B9" s="88" t="s">
        <v>181</v>
      </c>
      <c r="C9" s="89"/>
      <c r="D9" s="89"/>
      <c r="E9" s="9">
        <v>5</v>
      </c>
      <c r="F9" s="27">
        <v>3.5</v>
      </c>
      <c r="G9" s="35">
        <f>IFERROR(F9/E9,"")</f>
        <v>0.7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1"/>
      <c r="B10" s="88" t="s">
        <v>182</v>
      </c>
      <c r="C10" s="89"/>
      <c r="D10" s="89"/>
      <c r="E10" s="9">
        <v>5</v>
      </c>
      <c r="F10" s="27">
        <v>3.5</v>
      </c>
      <c r="G10" s="35">
        <f t="shared" ref="G10:G73" si="0">IFERROR(F10/E10,"")</f>
        <v>0.7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0" customHeight="1" x14ac:dyDescent="0.3">
      <c r="A11" s="11"/>
      <c r="B11" s="88" t="s">
        <v>183</v>
      </c>
      <c r="C11" s="89"/>
      <c r="D11" s="89"/>
      <c r="E11" s="9">
        <v>5</v>
      </c>
      <c r="F11" s="27">
        <v>3.5</v>
      </c>
      <c r="G11" s="35">
        <f t="shared" si="0"/>
        <v>0.7</v>
      </c>
      <c r="H11" s="36" t="str">
        <f t="shared" si="1"/>
        <v>جيد</v>
      </c>
      <c r="I11" s="44"/>
      <c r="J11" s="45"/>
    </row>
    <row r="12" spans="1:10" ht="30" customHeight="1" x14ac:dyDescent="0.3">
      <c r="A12" s="11"/>
      <c r="B12" s="88" t="s">
        <v>184</v>
      </c>
      <c r="C12" s="89"/>
      <c r="D12" s="89"/>
      <c r="E12" s="9">
        <v>5</v>
      </c>
      <c r="F12" s="27">
        <v>4</v>
      </c>
      <c r="G12" s="35">
        <f t="shared" si="0"/>
        <v>0.8</v>
      </c>
      <c r="H12" s="36" t="str">
        <f t="shared" si="1"/>
        <v>جيد جداً</v>
      </c>
      <c r="I12" s="44"/>
      <c r="J12" s="45"/>
    </row>
    <row r="13" spans="1:10" ht="30" customHeight="1" x14ac:dyDescent="0.3">
      <c r="A13" s="11"/>
      <c r="B13" s="88" t="s">
        <v>185</v>
      </c>
      <c r="C13" s="89"/>
      <c r="D13" s="89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44"/>
      <c r="J13" s="45"/>
    </row>
    <row r="14" spans="1:10" ht="39.9" customHeight="1" x14ac:dyDescent="0.3">
      <c r="A14" s="11"/>
      <c r="B14" s="88" t="s">
        <v>186</v>
      </c>
      <c r="C14" s="89"/>
      <c r="D14" s="89"/>
      <c r="E14" s="9">
        <v>5</v>
      </c>
      <c r="F14" s="27">
        <v>3.75</v>
      </c>
      <c r="G14" s="35">
        <f t="shared" si="0"/>
        <v>0.75</v>
      </c>
      <c r="H14" s="36" t="str">
        <f t="shared" si="1"/>
        <v>جيد</v>
      </c>
      <c r="I14" s="44"/>
      <c r="J14" s="45"/>
    </row>
    <row r="15" spans="1:10" ht="30" customHeight="1" thickBot="1" x14ac:dyDescent="0.35">
      <c r="A15" s="11"/>
      <c r="B15" s="84" t="s">
        <v>187</v>
      </c>
      <c r="C15" s="85"/>
      <c r="D15" s="85"/>
      <c r="E15" s="31">
        <v>5</v>
      </c>
      <c r="F15" s="29">
        <v>3.75</v>
      </c>
      <c r="G15" s="40">
        <f t="shared" si="0"/>
        <v>0.75</v>
      </c>
      <c r="H15" s="41" t="str">
        <f t="shared" si="1"/>
        <v>جيد</v>
      </c>
      <c r="I15" s="46"/>
      <c r="J15" s="47"/>
    </row>
    <row r="16" spans="1:10" ht="30" customHeight="1" x14ac:dyDescent="0.3">
      <c r="A16" s="11"/>
      <c r="B16" s="86" t="s">
        <v>188</v>
      </c>
      <c r="C16" s="87"/>
      <c r="D16" s="87"/>
      <c r="E16" s="32"/>
      <c r="F16" s="37"/>
      <c r="G16" s="38"/>
      <c r="H16" s="39"/>
      <c r="I16" s="50"/>
      <c r="J16" s="51"/>
    </row>
    <row r="17" spans="1:10" ht="39.9" customHeight="1" x14ac:dyDescent="0.3">
      <c r="A17" s="11"/>
      <c r="B17" s="88" t="s">
        <v>189</v>
      </c>
      <c r="C17" s="89"/>
      <c r="D17" s="89"/>
      <c r="E17" s="9">
        <v>5</v>
      </c>
      <c r="F17" s="27">
        <v>4</v>
      </c>
      <c r="G17" s="35">
        <f t="shared" si="0"/>
        <v>0.8</v>
      </c>
      <c r="H17" s="36" t="str">
        <f t="shared" si="1"/>
        <v>جيد جداً</v>
      </c>
      <c r="I17" s="44"/>
      <c r="J17" s="45"/>
    </row>
    <row r="18" spans="1:10" ht="39.9" customHeight="1" x14ac:dyDescent="0.3">
      <c r="A18" s="11"/>
      <c r="B18" s="88" t="s">
        <v>190</v>
      </c>
      <c r="C18" s="89"/>
      <c r="D18" s="89"/>
      <c r="E18" s="9">
        <v>5</v>
      </c>
      <c r="F18" s="27">
        <v>3.75</v>
      </c>
      <c r="G18" s="35">
        <f t="shared" si="0"/>
        <v>0.75</v>
      </c>
      <c r="H18" s="36" t="str">
        <f t="shared" si="1"/>
        <v>جيد</v>
      </c>
      <c r="I18" s="44"/>
      <c r="J18" s="45"/>
    </row>
    <row r="19" spans="1:10" ht="30" customHeight="1" x14ac:dyDescent="0.3">
      <c r="A19" s="11"/>
      <c r="B19" s="88" t="s">
        <v>191</v>
      </c>
      <c r="C19" s="89"/>
      <c r="D19" s="89"/>
      <c r="E19" s="9">
        <v>6</v>
      </c>
      <c r="F19" s="27">
        <v>4.25</v>
      </c>
      <c r="G19" s="35">
        <f t="shared" si="0"/>
        <v>0.70833333333333337</v>
      </c>
      <c r="H19" s="36" t="str">
        <f t="shared" si="1"/>
        <v>جيد</v>
      </c>
      <c r="I19" s="44"/>
      <c r="J19" s="45"/>
    </row>
    <row r="20" spans="1:10" ht="30" customHeight="1" x14ac:dyDescent="0.3">
      <c r="A20" s="11"/>
      <c r="B20" s="88" t="s">
        <v>192</v>
      </c>
      <c r="C20" s="89"/>
      <c r="D20" s="89"/>
      <c r="E20" s="9">
        <v>6</v>
      </c>
      <c r="F20" s="27">
        <v>5</v>
      </c>
      <c r="G20" s="35">
        <f t="shared" si="0"/>
        <v>0.83333333333333337</v>
      </c>
      <c r="H20" s="36" t="str">
        <f t="shared" si="1"/>
        <v>جيد جداً</v>
      </c>
      <c r="I20" s="44"/>
      <c r="J20" s="45"/>
    </row>
    <row r="21" spans="1:10" ht="30" customHeight="1" x14ac:dyDescent="0.3">
      <c r="A21" s="11"/>
      <c r="B21" s="88" t="s">
        <v>193</v>
      </c>
      <c r="C21" s="89"/>
      <c r="D21" s="89"/>
      <c r="E21" s="9">
        <v>5</v>
      </c>
      <c r="F21" s="27">
        <v>4</v>
      </c>
      <c r="G21" s="35">
        <f t="shared" si="0"/>
        <v>0.8</v>
      </c>
      <c r="H21" s="36" t="str">
        <f t="shared" si="1"/>
        <v>جيد جداً</v>
      </c>
      <c r="I21" s="44"/>
      <c r="J21" s="45"/>
    </row>
    <row r="22" spans="1:10" ht="30" customHeight="1" thickBot="1" x14ac:dyDescent="0.35">
      <c r="A22" s="11"/>
      <c r="B22" s="84" t="s">
        <v>194</v>
      </c>
      <c r="C22" s="85"/>
      <c r="D22" s="85"/>
      <c r="E22" s="31">
        <v>5</v>
      </c>
      <c r="F22" s="29">
        <v>3.75</v>
      </c>
      <c r="G22" s="40">
        <f t="shared" si="0"/>
        <v>0.75</v>
      </c>
      <c r="H22" s="41" t="str">
        <f t="shared" si="1"/>
        <v>جيد</v>
      </c>
      <c r="I22" s="46"/>
      <c r="J22" s="47"/>
    </row>
    <row r="23" spans="1:10" ht="30" customHeight="1" x14ac:dyDescent="0.3">
      <c r="A23" s="11"/>
      <c r="B23" s="86" t="s">
        <v>195</v>
      </c>
      <c r="C23" s="87"/>
      <c r="D23" s="87"/>
      <c r="E23" s="32"/>
      <c r="F23" s="37"/>
      <c r="G23" s="38"/>
      <c r="H23" s="39"/>
      <c r="I23" s="50"/>
      <c r="J23" s="51"/>
    </row>
    <row r="24" spans="1:10" ht="51" customHeight="1" x14ac:dyDescent="0.3">
      <c r="A24" s="11"/>
      <c r="B24" s="88" t="s">
        <v>196</v>
      </c>
      <c r="C24" s="89"/>
      <c r="D24" s="89"/>
      <c r="E24" s="9">
        <v>10</v>
      </c>
      <c r="F24" s="27">
        <v>8</v>
      </c>
      <c r="G24" s="35">
        <f t="shared" si="0"/>
        <v>0.8</v>
      </c>
      <c r="H24" s="36" t="str">
        <f t="shared" si="1"/>
        <v>جيد جداً</v>
      </c>
      <c r="I24" s="44"/>
      <c r="J24" s="45"/>
    </row>
    <row r="25" spans="1:10" ht="30" customHeight="1" x14ac:dyDescent="0.3">
      <c r="A25" s="11"/>
      <c r="B25" s="88" t="s">
        <v>197</v>
      </c>
      <c r="C25" s="89"/>
      <c r="D25" s="89"/>
      <c r="E25" s="9">
        <v>6</v>
      </c>
      <c r="F25" s="27">
        <v>4.75</v>
      </c>
      <c r="G25" s="35">
        <f t="shared" si="0"/>
        <v>0.79166666666666663</v>
      </c>
      <c r="H25" s="36" t="str">
        <f t="shared" si="1"/>
        <v>جيد</v>
      </c>
      <c r="I25" s="44"/>
      <c r="J25" s="45"/>
    </row>
    <row r="26" spans="1:10" ht="30" customHeight="1" x14ac:dyDescent="0.3">
      <c r="A26" s="11"/>
      <c r="B26" s="88" t="s">
        <v>198</v>
      </c>
      <c r="C26" s="89"/>
      <c r="D26" s="89"/>
      <c r="E26" s="9">
        <v>6</v>
      </c>
      <c r="F26" s="27">
        <v>4.75</v>
      </c>
      <c r="G26" s="35">
        <f t="shared" si="0"/>
        <v>0.79166666666666663</v>
      </c>
      <c r="H26" s="36" t="str">
        <f t="shared" si="1"/>
        <v>جيد</v>
      </c>
      <c r="I26" s="44"/>
      <c r="J26" s="45"/>
    </row>
    <row r="27" spans="1:10" ht="30" customHeight="1" thickBot="1" x14ac:dyDescent="0.35">
      <c r="A27" s="11"/>
      <c r="B27" s="84" t="s">
        <v>199</v>
      </c>
      <c r="C27" s="85"/>
      <c r="D27" s="85"/>
      <c r="E27" s="31">
        <v>6</v>
      </c>
      <c r="F27" s="29">
        <v>5</v>
      </c>
      <c r="G27" s="40">
        <f t="shared" si="0"/>
        <v>0.83333333333333337</v>
      </c>
      <c r="H27" s="41" t="str">
        <f t="shared" si="1"/>
        <v>جيد جداً</v>
      </c>
      <c r="I27" s="46"/>
      <c r="J27" s="47"/>
    </row>
    <row r="28" spans="1:10" ht="30" customHeight="1" x14ac:dyDescent="0.3">
      <c r="A28" s="11"/>
      <c r="B28" s="86" t="s">
        <v>200</v>
      </c>
      <c r="C28" s="87"/>
      <c r="D28" s="87"/>
      <c r="E28" s="32"/>
      <c r="F28" s="37"/>
      <c r="G28" s="38"/>
      <c r="H28" s="39"/>
      <c r="I28" s="50"/>
      <c r="J28" s="51"/>
    </row>
    <row r="29" spans="1:10" ht="30" customHeight="1" x14ac:dyDescent="0.3">
      <c r="A29" s="11"/>
      <c r="B29" s="88" t="s">
        <v>201</v>
      </c>
      <c r="C29" s="89"/>
      <c r="D29" s="89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44"/>
      <c r="J29" s="45"/>
    </row>
    <row r="30" spans="1:10" ht="30" customHeight="1" x14ac:dyDescent="0.3">
      <c r="A30" s="11"/>
      <c r="B30" s="88" t="s">
        <v>202</v>
      </c>
      <c r="C30" s="89"/>
      <c r="D30" s="89"/>
      <c r="E30" s="9">
        <v>5</v>
      </c>
      <c r="F30" s="27">
        <v>4.25</v>
      </c>
      <c r="G30" s="35">
        <f t="shared" si="0"/>
        <v>0.85</v>
      </c>
      <c r="H30" s="36" t="str">
        <f t="shared" si="1"/>
        <v>جيد جداً</v>
      </c>
      <c r="I30" s="44"/>
      <c r="J30" s="45"/>
    </row>
    <row r="31" spans="1:10" ht="30" customHeight="1" x14ac:dyDescent="0.3">
      <c r="A31" s="11"/>
      <c r="B31" s="88" t="s">
        <v>203</v>
      </c>
      <c r="C31" s="89"/>
      <c r="D31" s="89"/>
      <c r="E31" s="9">
        <v>5</v>
      </c>
      <c r="F31" s="27">
        <v>4.25</v>
      </c>
      <c r="G31" s="35">
        <f t="shared" si="0"/>
        <v>0.85</v>
      </c>
      <c r="H31" s="36" t="str">
        <f t="shared" si="1"/>
        <v>جيد جداً</v>
      </c>
      <c r="I31" s="44"/>
      <c r="J31" s="45"/>
    </row>
    <row r="32" spans="1:10" ht="30" customHeight="1" x14ac:dyDescent="0.3">
      <c r="A32" s="11"/>
      <c r="B32" s="88" t="s">
        <v>204</v>
      </c>
      <c r="C32" s="89"/>
      <c r="D32" s="89"/>
      <c r="E32" s="9">
        <v>5</v>
      </c>
      <c r="F32" s="27">
        <v>4.25</v>
      </c>
      <c r="G32" s="35">
        <f t="shared" si="0"/>
        <v>0.85</v>
      </c>
      <c r="H32" s="36" t="str">
        <f t="shared" si="1"/>
        <v>جيد جداً</v>
      </c>
      <c r="I32" s="44"/>
      <c r="J32" s="45"/>
    </row>
    <row r="33" spans="1:10" ht="30" customHeight="1" x14ac:dyDescent="0.3">
      <c r="A33" s="11"/>
      <c r="B33" s="88" t="s">
        <v>205</v>
      </c>
      <c r="C33" s="89"/>
      <c r="D33" s="89"/>
      <c r="E33" s="9">
        <v>5</v>
      </c>
      <c r="F33" s="27">
        <v>3.75</v>
      </c>
      <c r="G33" s="35">
        <f t="shared" si="0"/>
        <v>0.75</v>
      </c>
      <c r="H33" s="36" t="str">
        <f t="shared" si="1"/>
        <v>جيد</v>
      </c>
      <c r="I33" s="44"/>
      <c r="J33" s="45"/>
    </row>
    <row r="34" spans="1:10" ht="30" customHeight="1" x14ac:dyDescent="0.3">
      <c r="A34" s="11"/>
      <c r="B34" s="88" t="s">
        <v>206</v>
      </c>
      <c r="C34" s="89"/>
      <c r="D34" s="89"/>
      <c r="E34" s="9">
        <v>5</v>
      </c>
      <c r="F34" s="27">
        <v>4.25</v>
      </c>
      <c r="G34" s="35">
        <f t="shared" si="0"/>
        <v>0.85</v>
      </c>
      <c r="H34" s="36" t="str">
        <f t="shared" si="1"/>
        <v>جيد جداً</v>
      </c>
      <c r="I34" s="44"/>
      <c r="J34" s="45"/>
    </row>
    <row r="35" spans="1:10" ht="30" customHeight="1" x14ac:dyDescent="0.3">
      <c r="A35" s="11"/>
      <c r="B35" s="88" t="s">
        <v>207</v>
      </c>
      <c r="C35" s="89"/>
      <c r="D35" s="89"/>
      <c r="E35" s="9">
        <v>5</v>
      </c>
      <c r="F35" s="27">
        <v>4</v>
      </c>
      <c r="G35" s="35">
        <f t="shared" si="0"/>
        <v>0.8</v>
      </c>
      <c r="H35" s="36" t="str">
        <f t="shared" si="1"/>
        <v>جيد جداً</v>
      </c>
      <c r="I35" s="44"/>
      <c r="J35" s="45"/>
    </row>
    <row r="36" spans="1:10" ht="30" customHeight="1" thickBot="1" x14ac:dyDescent="0.35">
      <c r="A36" s="11"/>
      <c r="B36" s="84" t="s">
        <v>208</v>
      </c>
      <c r="C36" s="85"/>
      <c r="D36" s="85"/>
      <c r="E36" s="31">
        <v>5</v>
      </c>
      <c r="F36" s="29">
        <v>4.25</v>
      </c>
      <c r="G36" s="40">
        <f t="shared" si="0"/>
        <v>0.85</v>
      </c>
      <c r="H36" s="41" t="str">
        <f t="shared" si="1"/>
        <v>جيد جداً</v>
      </c>
      <c r="I36" s="46"/>
      <c r="J36" s="47"/>
    </row>
    <row r="37" spans="1:10" ht="30" customHeight="1" x14ac:dyDescent="0.3">
      <c r="A37" s="11"/>
      <c r="B37" s="86" t="s">
        <v>209</v>
      </c>
      <c r="C37" s="87"/>
      <c r="D37" s="87"/>
      <c r="E37" s="30"/>
      <c r="F37" s="37"/>
      <c r="G37" s="38"/>
      <c r="H37" s="39"/>
      <c r="I37" s="50"/>
      <c r="J37" s="51"/>
    </row>
    <row r="38" spans="1:10" ht="30" customHeight="1" x14ac:dyDescent="0.3">
      <c r="A38" s="11"/>
      <c r="B38" s="88" t="s">
        <v>210</v>
      </c>
      <c r="C38" s="89"/>
      <c r="D38" s="89"/>
      <c r="E38" s="9">
        <v>5</v>
      </c>
      <c r="F38" s="27">
        <v>4.25</v>
      </c>
      <c r="G38" s="35">
        <f t="shared" si="0"/>
        <v>0.85</v>
      </c>
      <c r="H38" s="36" t="str">
        <f t="shared" si="1"/>
        <v>جيد جداً</v>
      </c>
      <c r="I38" s="44"/>
      <c r="J38" s="45"/>
    </row>
    <row r="39" spans="1:10" ht="30" customHeight="1" x14ac:dyDescent="0.3">
      <c r="A39" s="11"/>
      <c r="B39" s="88" t="s">
        <v>211</v>
      </c>
      <c r="C39" s="89"/>
      <c r="D39" s="89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44"/>
      <c r="J39" s="45"/>
    </row>
    <row r="40" spans="1:10" ht="30" customHeight="1" x14ac:dyDescent="0.3">
      <c r="A40" s="11"/>
      <c r="B40" s="88" t="s">
        <v>212</v>
      </c>
      <c r="C40" s="89"/>
      <c r="D40" s="89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44"/>
      <c r="J40" s="45"/>
    </row>
    <row r="41" spans="1:10" ht="30" customHeight="1" x14ac:dyDescent="0.3">
      <c r="A41" s="11"/>
      <c r="B41" s="88" t="s">
        <v>213</v>
      </c>
      <c r="C41" s="89"/>
      <c r="D41" s="89"/>
      <c r="E41" s="9">
        <v>5</v>
      </c>
      <c r="F41" s="27">
        <v>4</v>
      </c>
      <c r="G41" s="35">
        <f t="shared" si="0"/>
        <v>0.8</v>
      </c>
      <c r="H41" s="36" t="str">
        <f t="shared" si="1"/>
        <v>جيد جداً</v>
      </c>
      <c r="I41" s="44"/>
      <c r="J41" s="45"/>
    </row>
    <row r="42" spans="1:10" ht="30" customHeight="1" x14ac:dyDescent="0.3">
      <c r="A42" s="11"/>
      <c r="B42" s="88" t="s">
        <v>214</v>
      </c>
      <c r="C42" s="89"/>
      <c r="D42" s="89"/>
      <c r="E42" s="9">
        <v>5</v>
      </c>
      <c r="F42" s="27">
        <v>4.25</v>
      </c>
      <c r="G42" s="35">
        <f t="shared" si="0"/>
        <v>0.85</v>
      </c>
      <c r="H42" s="36" t="str">
        <f t="shared" si="1"/>
        <v>جيد جداً</v>
      </c>
      <c r="I42" s="44"/>
      <c r="J42" s="45"/>
    </row>
    <row r="43" spans="1:10" ht="30" customHeight="1" x14ac:dyDescent="0.3">
      <c r="A43" s="11"/>
      <c r="B43" s="88" t="s">
        <v>215</v>
      </c>
      <c r="C43" s="89"/>
      <c r="D43" s="89"/>
      <c r="E43" s="9">
        <v>5</v>
      </c>
      <c r="F43" s="27">
        <v>4.25</v>
      </c>
      <c r="G43" s="35">
        <f t="shared" si="0"/>
        <v>0.85</v>
      </c>
      <c r="H43" s="36" t="str">
        <f t="shared" si="1"/>
        <v>جيد جداً</v>
      </c>
      <c r="I43" s="44"/>
      <c r="J43" s="45"/>
    </row>
    <row r="44" spans="1:10" ht="30" customHeight="1" x14ac:dyDescent="0.3">
      <c r="A44" s="11"/>
      <c r="B44" s="88" t="s">
        <v>216</v>
      </c>
      <c r="C44" s="89"/>
      <c r="D44" s="89"/>
      <c r="E44" s="9">
        <v>5</v>
      </c>
      <c r="F44" s="27">
        <v>4</v>
      </c>
      <c r="G44" s="35">
        <f t="shared" si="0"/>
        <v>0.8</v>
      </c>
      <c r="H44" s="36" t="str">
        <f t="shared" si="1"/>
        <v>جيد جداً</v>
      </c>
      <c r="I44" s="44"/>
      <c r="J44" s="45"/>
    </row>
    <row r="45" spans="1:10" ht="30" customHeight="1" x14ac:dyDescent="0.3">
      <c r="A45" s="11"/>
      <c r="B45" s="88" t="s">
        <v>217</v>
      </c>
      <c r="C45" s="89"/>
      <c r="D45" s="89"/>
      <c r="E45" s="9">
        <v>0</v>
      </c>
      <c r="F45" s="27" t="s">
        <v>17</v>
      </c>
      <c r="G45" s="35" t="str">
        <f t="shared" si="0"/>
        <v/>
      </c>
      <c r="H45" s="36" t="str">
        <f t="shared" si="1"/>
        <v>تم الإلغاء</v>
      </c>
      <c r="I45" s="44"/>
      <c r="J45" s="45"/>
    </row>
    <row r="46" spans="1:10" ht="30" customHeight="1" x14ac:dyDescent="0.3">
      <c r="A46" s="11"/>
      <c r="B46" s="88" t="s">
        <v>218</v>
      </c>
      <c r="C46" s="89"/>
      <c r="D46" s="89"/>
      <c r="E46" s="9">
        <v>5</v>
      </c>
      <c r="F46" s="27">
        <v>4</v>
      </c>
      <c r="G46" s="35">
        <f t="shared" si="0"/>
        <v>0.8</v>
      </c>
      <c r="H46" s="36" t="str">
        <f t="shared" si="1"/>
        <v>جيد جداً</v>
      </c>
      <c r="I46" s="44"/>
      <c r="J46" s="45"/>
    </row>
    <row r="47" spans="1:10" ht="30" customHeight="1" x14ac:dyDescent="0.3">
      <c r="A47" s="11"/>
      <c r="B47" s="88" t="s">
        <v>219</v>
      </c>
      <c r="C47" s="89"/>
      <c r="D47" s="89"/>
      <c r="E47" s="9">
        <v>5</v>
      </c>
      <c r="F47" s="27">
        <v>4</v>
      </c>
      <c r="G47" s="35">
        <f t="shared" si="0"/>
        <v>0.8</v>
      </c>
      <c r="H47" s="36" t="str">
        <f t="shared" si="1"/>
        <v>جيد جداً</v>
      </c>
      <c r="I47" s="44"/>
      <c r="J47" s="45"/>
    </row>
    <row r="48" spans="1:10" ht="30" customHeight="1" x14ac:dyDescent="0.3">
      <c r="A48" s="11"/>
      <c r="B48" s="88" t="s">
        <v>220</v>
      </c>
      <c r="C48" s="89"/>
      <c r="D48" s="89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44"/>
      <c r="J48" s="45"/>
    </row>
    <row r="49" spans="1:10" ht="30" customHeight="1" x14ac:dyDescent="0.3">
      <c r="A49" s="11"/>
      <c r="B49" s="88" t="s">
        <v>221</v>
      </c>
      <c r="C49" s="89"/>
      <c r="D49" s="89"/>
      <c r="E49" s="9">
        <v>5</v>
      </c>
      <c r="F49" s="27">
        <v>4</v>
      </c>
      <c r="G49" s="35">
        <f t="shared" si="0"/>
        <v>0.8</v>
      </c>
      <c r="H49" s="36" t="str">
        <f t="shared" si="1"/>
        <v>جيد جداً</v>
      </c>
      <c r="I49" s="44"/>
      <c r="J49" s="45"/>
    </row>
    <row r="50" spans="1:10" ht="30" customHeight="1" x14ac:dyDescent="0.3">
      <c r="A50" s="11"/>
      <c r="B50" s="88" t="s">
        <v>222</v>
      </c>
      <c r="C50" s="89"/>
      <c r="D50" s="89"/>
      <c r="E50" s="9">
        <v>5</v>
      </c>
      <c r="F50" s="27">
        <v>4</v>
      </c>
      <c r="G50" s="35">
        <f t="shared" si="0"/>
        <v>0.8</v>
      </c>
      <c r="H50" s="36" t="str">
        <f t="shared" si="1"/>
        <v>جيد جداً</v>
      </c>
      <c r="I50" s="44"/>
      <c r="J50" s="45"/>
    </row>
    <row r="51" spans="1:10" ht="30" customHeight="1" thickBot="1" x14ac:dyDescent="0.35">
      <c r="A51" s="11"/>
      <c r="B51" s="84" t="s">
        <v>223</v>
      </c>
      <c r="C51" s="85"/>
      <c r="D51" s="85"/>
      <c r="E51" s="31">
        <v>5</v>
      </c>
      <c r="F51" s="29">
        <v>4.25</v>
      </c>
      <c r="G51" s="40">
        <f t="shared" si="0"/>
        <v>0.85</v>
      </c>
      <c r="H51" s="41" t="str">
        <f t="shared" si="1"/>
        <v>جيد جداً</v>
      </c>
      <c r="I51" s="46"/>
      <c r="J51" s="47"/>
    </row>
    <row r="52" spans="1:10" ht="30" customHeight="1" x14ac:dyDescent="0.3">
      <c r="A52" s="11"/>
      <c r="B52" s="86" t="s">
        <v>224</v>
      </c>
      <c r="C52" s="87"/>
      <c r="D52" s="87"/>
      <c r="E52" s="32"/>
      <c r="F52" s="37"/>
      <c r="G52" s="38"/>
      <c r="H52" s="39"/>
      <c r="I52" s="50"/>
      <c r="J52" s="51"/>
    </row>
    <row r="53" spans="1:10" ht="30" customHeight="1" x14ac:dyDescent="0.3">
      <c r="A53" s="11"/>
      <c r="B53" s="88" t="s">
        <v>225</v>
      </c>
      <c r="C53" s="89"/>
      <c r="D53" s="89"/>
      <c r="E53" s="9">
        <v>6</v>
      </c>
      <c r="F53" s="27">
        <v>5</v>
      </c>
      <c r="G53" s="35">
        <f t="shared" si="0"/>
        <v>0.83333333333333337</v>
      </c>
      <c r="H53" s="36" t="str">
        <f t="shared" si="1"/>
        <v>جيد جداً</v>
      </c>
      <c r="I53" s="44"/>
      <c r="J53" s="45"/>
    </row>
    <row r="54" spans="1:10" ht="30" customHeight="1" x14ac:dyDescent="0.3">
      <c r="A54" s="11"/>
      <c r="B54" s="88" t="s">
        <v>226</v>
      </c>
      <c r="C54" s="89"/>
      <c r="D54" s="89"/>
      <c r="E54" s="9">
        <v>7</v>
      </c>
      <c r="F54" s="27">
        <v>6</v>
      </c>
      <c r="G54" s="35">
        <f t="shared" si="0"/>
        <v>0.8571428571428571</v>
      </c>
      <c r="H54" s="36" t="str">
        <f t="shared" si="1"/>
        <v>جيد جداً</v>
      </c>
      <c r="I54" s="44"/>
      <c r="J54" s="45"/>
    </row>
    <row r="55" spans="1:10" ht="30" customHeight="1" thickBot="1" x14ac:dyDescent="0.35">
      <c r="A55" s="11"/>
      <c r="B55" s="84" t="s">
        <v>227</v>
      </c>
      <c r="C55" s="85"/>
      <c r="D55" s="85"/>
      <c r="E55" s="31">
        <v>6</v>
      </c>
      <c r="F55" s="29">
        <v>5</v>
      </c>
      <c r="G55" s="40">
        <f t="shared" si="0"/>
        <v>0.83333333333333337</v>
      </c>
      <c r="H55" s="41" t="str">
        <f t="shared" si="1"/>
        <v>جيد جداً</v>
      </c>
      <c r="I55" s="46"/>
      <c r="J55" s="47"/>
    </row>
    <row r="56" spans="1:10" ht="30" customHeight="1" x14ac:dyDescent="0.3">
      <c r="A56" s="11"/>
      <c r="B56" s="86" t="s">
        <v>228</v>
      </c>
      <c r="C56" s="87"/>
      <c r="D56" s="87"/>
      <c r="E56" s="30"/>
      <c r="F56" s="37"/>
      <c r="G56" s="38"/>
      <c r="H56" s="39"/>
      <c r="I56" s="50"/>
      <c r="J56" s="51"/>
    </row>
    <row r="57" spans="1:10" ht="30" customHeight="1" x14ac:dyDescent="0.3">
      <c r="A57" s="11"/>
      <c r="B57" s="88" t="s">
        <v>229</v>
      </c>
      <c r="C57" s="89"/>
      <c r="D57" s="89"/>
      <c r="E57" s="9">
        <v>10</v>
      </c>
      <c r="F57" s="27">
        <v>7.75</v>
      </c>
      <c r="G57" s="35">
        <f t="shared" si="0"/>
        <v>0.77500000000000002</v>
      </c>
      <c r="H57" s="36" t="str">
        <f t="shared" si="1"/>
        <v>جيد</v>
      </c>
      <c r="I57" s="44"/>
      <c r="J57" s="45"/>
    </row>
    <row r="58" spans="1:10" ht="30" customHeight="1" x14ac:dyDescent="0.3">
      <c r="A58" s="11"/>
      <c r="B58" s="88" t="s">
        <v>230</v>
      </c>
      <c r="C58" s="89"/>
      <c r="D58" s="89"/>
      <c r="E58" s="9">
        <v>6</v>
      </c>
      <c r="F58" s="27">
        <v>5</v>
      </c>
      <c r="G58" s="35">
        <f t="shared" si="0"/>
        <v>0.83333333333333337</v>
      </c>
      <c r="H58" s="36" t="str">
        <f t="shared" si="1"/>
        <v>جيد جداً</v>
      </c>
      <c r="I58" s="44"/>
      <c r="J58" s="45"/>
    </row>
    <row r="59" spans="1:10" ht="39.9" customHeight="1" thickBot="1" x14ac:dyDescent="0.35">
      <c r="A59" s="11"/>
      <c r="B59" s="84" t="s">
        <v>231</v>
      </c>
      <c r="C59" s="85"/>
      <c r="D59" s="85"/>
      <c r="E59" s="31">
        <v>9</v>
      </c>
      <c r="F59" s="29">
        <v>7.75</v>
      </c>
      <c r="G59" s="40">
        <f t="shared" si="0"/>
        <v>0.86111111111111116</v>
      </c>
      <c r="H59" s="41" t="str">
        <f t="shared" si="1"/>
        <v>جيد جداً</v>
      </c>
      <c r="I59" s="46"/>
      <c r="J59" s="47"/>
    </row>
    <row r="60" spans="1:10" ht="30" customHeight="1" x14ac:dyDescent="0.3">
      <c r="A60" s="11"/>
      <c r="B60" s="86" t="s">
        <v>232</v>
      </c>
      <c r="C60" s="87"/>
      <c r="D60" s="87"/>
      <c r="E60" s="32"/>
      <c r="F60" s="37"/>
      <c r="G60" s="38"/>
      <c r="H60" s="39"/>
      <c r="I60" s="50"/>
      <c r="J60" s="51"/>
    </row>
    <row r="61" spans="1:10" ht="30" customHeight="1" x14ac:dyDescent="0.3">
      <c r="A61" s="11"/>
      <c r="B61" s="88" t="s">
        <v>233</v>
      </c>
      <c r="C61" s="89"/>
      <c r="D61" s="89"/>
      <c r="E61" s="9">
        <v>10</v>
      </c>
      <c r="F61" s="27">
        <v>8.75</v>
      </c>
      <c r="G61" s="35">
        <f t="shared" si="0"/>
        <v>0.875</v>
      </c>
      <c r="H61" s="36" t="str">
        <f t="shared" si="1"/>
        <v>جيد جداً</v>
      </c>
      <c r="I61" s="44"/>
      <c r="J61" s="45"/>
    </row>
    <row r="62" spans="1:10" ht="30" customHeight="1" thickBot="1" x14ac:dyDescent="0.35">
      <c r="A62" s="11"/>
      <c r="B62" s="84" t="s">
        <v>234</v>
      </c>
      <c r="C62" s="85"/>
      <c r="D62" s="85"/>
      <c r="E62" s="31">
        <v>10</v>
      </c>
      <c r="F62" s="29">
        <v>7</v>
      </c>
      <c r="G62" s="40">
        <f t="shared" si="0"/>
        <v>0.7</v>
      </c>
      <c r="H62" s="41" t="str">
        <f t="shared" si="1"/>
        <v>جيد</v>
      </c>
      <c r="I62" s="46"/>
      <c r="J62" s="47"/>
    </row>
    <row r="63" spans="1:10" ht="30" customHeight="1" x14ac:dyDescent="0.3">
      <c r="A63" s="11"/>
      <c r="B63" s="86" t="s">
        <v>235</v>
      </c>
      <c r="C63" s="87"/>
      <c r="D63" s="87"/>
      <c r="E63" s="32"/>
      <c r="F63" s="37"/>
      <c r="G63" s="38"/>
      <c r="H63" s="39"/>
      <c r="I63" s="50"/>
      <c r="J63" s="51"/>
    </row>
    <row r="64" spans="1:10" ht="30" customHeight="1" x14ac:dyDescent="0.3">
      <c r="A64" s="11"/>
      <c r="B64" s="88" t="s">
        <v>236</v>
      </c>
      <c r="C64" s="89"/>
      <c r="D64" s="89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44"/>
      <c r="J64" s="45"/>
    </row>
    <row r="65" spans="1:10" ht="30" customHeight="1" x14ac:dyDescent="0.3">
      <c r="A65" s="11"/>
      <c r="B65" s="88" t="s">
        <v>237</v>
      </c>
      <c r="C65" s="89"/>
      <c r="D65" s="89"/>
      <c r="E65" s="9">
        <v>8</v>
      </c>
      <c r="F65" s="27">
        <v>6.25</v>
      </c>
      <c r="G65" s="35">
        <f t="shared" si="0"/>
        <v>0.78125</v>
      </c>
      <c r="H65" s="36" t="str">
        <f t="shared" si="1"/>
        <v>جيد</v>
      </c>
      <c r="I65" s="44"/>
      <c r="J65" s="45"/>
    </row>
    <row r="66" spans="1:10" ht="30" customHeight="1" x14ac:dyDescent="0.3">
      <c r="A66" s="11"/>
      <c r="B66" s="88" t="s">
        <v>238</v>
      </c>
      <c r="C66" s="89"/>
      <c r="D66" s="89"/>
      <c r="E66" s="9">
        <v>8</v>
      </c>
      <c r="F66" s="27">
        <v>6.25</v>
      </c>
      <c r="G66" s="35">
        <f t="shared" si="0"/>
        <v>0.78125</v>
      </c>
      <c r="H66" s="36" t="str">
        <f t="shared" si="1"/>
        <v>جيد</v>
      </c>
      <c r="I66" s="44"/>
      <c r="J66" s="45"/>
    </row>
    <row r="67" spans="1:10" ht="30" customHeight="1" x14ac:dyDescent="0.3">
      <c r="A67" s="11"/>
      <c r="B67" s="88" t="s">
        <v>239</v>
      </c>
      <c r="C67" s="89"/>
      <c r="D67" s="89"/>
      <c r="E67" s="9">
        <v>8</v>
      </c>
      <c r="F67" s="27">
        <v>6.25</v>
      </c>
      <c r="G67" s="35">
        <f t="shared" si="0"/>
        <v>0.78125</v>
      </c>
      <c r="H67" s="36" t="str">
        <f t="shared" si="1"/>
        <v>جيد</v>
      </c>
      <c r="I67" s="44"/>
      <c r="J67" s="45"/>
    </row>
    <row r="68" spans="1:10" ht="30" customHeight="1" thickBot="1" x14ac:dyDescent="0.35">
      <c r="A68" s="11"/>
      <c r="B68" s="84" t="s">
        <v>240</v>
      </c>
      <c r="C68" s="85"/>
      <c r="D68" s="85"/>
      <c r="E68" s="31">
        <v>10</v>
      </c>
      <c r="F68" s="29">
        <v>7.25</v>
      </c>
      <c r="G68" s="40">
        <f t="shared" si="0"/>
        <v>0.72499999999999998</v>
      </c>
      <c r="H68" s="41" t="str">
        <f t="shared" si="1"/>
        <v>جيد</v>
      </c>
      <c r="I68" s="46"/>
      <c r="J68" s="47"/>
    </row>
    <row r="69" spans="1:10" ht="30" customHeight="1" thickBot="1" x14ac:dyDescent="0.35">
      <c r="A69" s="11"/>
      <c r="B69" s="90" t="s">
        <v>241</v>
      </c>
      <c r="C69" s="91"/>
      <c r="D69" s="91"/>
      <c r="E69" s="10">
        <v>10</v>
      </c>
      <c r="F69" s="42">
        <v>8.5</v>
      </c>
      <c r="G69" s="43">
        <f t="shared" si="0"/>
        <v>0.85</v>
      </c>
      <c r="H69" s="28" t="str">
        <f t="shared" si="1"/>
        <v>جيد جداً</v>
      </c>
      <c r="I69" s="48"/>
      <c r="J69" s="49"/>
    </row>
    <row r="70" spans="1:10" ht="30" customHeight="1" x14ac:dyDescent="0.3">
      <c r="A70" s="11"/>
      <c r="B70" s="86" t="s">
        <v>242</v>
      </c>
      <c r="C70" s="87"/>
      <c r="D70" s="87"/>
      <c r="E70" s="32"/>
      <c r="F70" s="37"/>
      <c r="G70" s="38"/>
      <c r="H70" s="39"/>
      <c r="I70" s="50"/>
      <c r="J70" s="51"/>
    </row>
    <row r="71" spans="1:10" ht="30" customHeight="1" x14ac:dyDescent="0.3">
      <c r="A71" s="11"/>
      <c r="B71" s="88" t="s">
        <v>243</v>
      </c>
      <c r="C71" s="89"/>
      <c r="D71" s="89"/>
      <c r="E71" s="9">
        <v>6</v>
      </c>
      <c r="F71" s="27">
        <v>5</v>
      </c>
      <c r="G71" s="35">
        <f t="shared" si="0"/>
        <v>0.83333333333333337</v>
      </c>
      <c r="H71" s="36" t="str">
        <f t="shared" si="1"/>
        <v>جيد جداً</v>
      </c>
      <c r="I71" s="44"/>
      <c r="J71" s="45"/>
    </row>
    <row r="72" spans="1:10" ht="30" customHeight="1" x14ac:dyDescent="0.3">
      <c r="A72" s="11"/>
      <c r="B72" s="88" t="s">
        <v>244</v>
      </c>
      <c r="C72" s="89"/>
      <c r="D72" s="89"/>
      <c r="E72" s="9">
        <v>8</v>
      </c>
      <c r="F72" s="27">
        <v>6</v>
      </c>
      <c r="G72" s="35">
        <f t="shared" si="0"/>
        <v>0.75</v>
      </c>
      <c r="H72" s="36" t="str">
        <f t="shared" si="1"/>
        <v>جيد</v>
      </c>
      <c r="I72" s="44"/>
      <c r="J72" s="45"/>
    </row>
    <row r="73" spans="1:10" ht="39.9" customHeight="1" x14ac:dyDescent="0.3">
      <c r="A73" s="11"/>
      <c r="B73" s="88" t="s">
        <v>245</v>
      </c>
      <c r="C73" s="89"/>
      <c r="D73" s="89"/>
      <c r="E73" s="9">
        <v>5</v>
      </c>
      <c r="F73" s="27">
        <v>3.75</v>
      </c>
      <c r="G73" s="35">
        <f t="shared" si="0"/>
        <v>0.75</v>
      </c>
      <c r="H73" s="36" t="str">
        <f t="shared" si="1"/>
        <v>جيد</v>
      </c>
      <c r="I73" s="44"/>
      <c r="J73" s="45"/>
    </row>
    <row r="74" spans="1:10" ht="39.9" customHeight="1" x14ac:dyDescent="0.3">
      <c r="A74" s="11"/>
      <c r="B74" s="88" t="s">
        <v>246</v>
      </c>
      <c r="C74" s="89"/>
      <c r="D74" s="89"/>
      <c r="E74" s="9">
        <v>5</v>
      </c>
      <c r="F74" s="27">
        <v>4</v>
      </c>
      <c r="G74" s="35">
        <f t="shared" ref="G74:G75" si="2">IFERROR(F74/E74,"")</f>
        <v>0.8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 جداً</v>
      </c>
      <c r="I74" s="44"/>
      <c r="J74" s="45"/>
    </row>
    <row r="75" spans="1:10" ht="30" customHeight="1" thickBot="1" x14ac:dyDescent="0.35">
      <c r="A75" s="11"/>
      <c r="B75" s="84" t="s">
        <v>247</v>
      </c>
      <c r="C75" s="85"/>
      <c r="D75" s="85"/>
      <c r="E75" s="31">
        <v>5</v>
      </c>
      <c r="F75" s="29">
        <v>3.5</v>
      </c>
      <c r="G75" s="40">
        <f t="shared" si="2"/>
        <v>0.7</v>
      </c>
      <c r="H75" s="41" t="str">
        <f t="shared" si="3"/>
        <v>جيد</v>
      </c>
      <c r="I75" s="46"/>
      <c r="J75" s="47"/>
    </row>
    <row r="76" spans="1:10" ht="30" customHeight="1" thickBot="1" x14ac:dyDescent="0.35">
      <c r="A76" s="4"/>
      <c r="B76" s="80" t="s">
        <v>5</v>
      </c>
      <c r="C76" s="81"/>
      <c r="D76" s="81"/>
      <c r="E76" s="34">
        <f>SUM(E8:E75)</f>
        <v>345</v>
      </c>
      <c r="F76" s="34">
        <f>SUM(F8:F75)</f>
        <v>273.25</v>
      </c>
      <c r="G76" s="54"/>
      <c r="H76" s="55"/>
      <c r="I76" s="55"/>
      <c r="J76" s="56"/>
    </row>
    <row r="77" spans="1:10" ht="30" customHeight="1" thickBot="1" x14ac:dyDescent="0.35">
      <c r="A77" s="4"/>
      <c r="B77" s="82" t="s">
        <v>54</v>
      </c>
      <c r="C77" s="83"/>
      <c r="D77" s="83"/>
      <c r="E77" s="64">
        <f>F76/E76/100*100</f>
        <v>0.79202898550724643</v>
      </c>
      <c r="F77" s="64"/>
      <c r="G77" s="64"/>
      <c r="H77" s="64"/>
      <c r="I77" s="64"/>
      <c r="J77" s="65"/>
    </row>
    <row r="78" spans="1:10" ht="30" customHeight="1" thickBot="1" x14ac:dyDescent="0.35">
      <c r="A78" s="4"/>
      <c r="B78" s="82" t="s">
        <v>55</v>
      </c>
      <c r="C78" s="83"/>
      <c r="D78" s="83"/>
      <c r="E78" s="78" t="str">
        <f>_xlfn.IFS(E77&gt;=90%,"ممتاز",E77&gt;=80%,"جيد جداً",E77&gt;=70%,"جيد",E77&gt;=60%,"مقبول",E77&lt;60%,"راسب")</f>
        <v>جيد</v>
      </c>
      <c r="F78" s="78"/>
      <c r="G78" s="78"/>
      <c r="H78" s="78"/>
      <c r="I78" s="78"/>
      <c r="J78" s="79"/>
    </row>
    <row r="79" spans="1:10" ht="42" customHeight="1" x14ac:dyDescent="0.3">
      <c r="B79" s="74" t="s">
        <v>174</v>
      </c>
      <c r="C79" s="74"/>
      <c r="D79" s="74"/>
      <c r="E79" s="52" t="s">
        <v>52</v>
      </c>
      <c r="F79" s="52"/>
      <c r="G79" s="76" t="s">
        <v>129</v>
      </c>
      <c r="H79" s="76"/>
      <c r="I79" s="76"/>
      <c r="J79" s="76"/>
    </row>
    <row r="80" spans="1:10" ht="51" customHeight="1" x14ac:dyDescent="0.3">
      <c r="A80" s="5"/>
      <c r="B80" s="75"/>
      <c r="C80" s="75"/>
      <c r="D80" s="75"/>
      <c r="E80" s="53" t="s">
        <v>53</v>
      </c>
      <c r="F80" s="53"/>
      <c r="G80" s="77"/>
      <c r="H80" s="77"/>
      <c r="I80" s="77"/>
      <c r="J80" s="77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58">
      <formula>$E78="مقبول"</formula>
    </cfRule>
    <cfRule type="expression" dxfId="12" priority="59">
      <formula>$E78="جيد"</formula>
    </cfRule>
    <cfRule type="expression" dxfId="11" priority="60">
      <formula>$E78="جيد جداً"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2025-10-08T20:47:32Z</dcterms:modified>
</cp:coreProperties>
</file>