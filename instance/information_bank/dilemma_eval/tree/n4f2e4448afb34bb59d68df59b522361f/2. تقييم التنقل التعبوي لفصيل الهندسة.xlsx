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35F2A3F-B84B-48CB-9F94-10B4751950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<sst xmlns="http://schemas.openxmlformats.org/spreadsheetml/2006/main" count="266" uniqueCount="210">
  <si>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</si>
  <si>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</si>
  <si>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</si>
  <si>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</si>
  <si>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</si>
  <si>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</si>
  <si>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</si>
  <si>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</si>
  <si>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</si>
  <si>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</si>
  <si>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</si>
  <si>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</si>
  <si>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</si>
  <si>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</si>
  <si>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</si>
  <si>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</si>
  <si>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</si>
  <si>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</si>
  <si>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</si>
  <si>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</si>
  <si>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</si>
  <si>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</si>
  <si>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</si>
  <si>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</si>
  <si>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</si>
  <si>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</si>
  <si>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</si>
  <si>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</si>
  <si>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</si>
  <si>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</si>
  <si>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</si>
  <si>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</si>
  <si>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</si>
  <si>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</si>
  <si>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</si>
  <si>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</si>
  <si>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</si>
  <si>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</si>
  <si>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</si>
  <si>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</si>
  <si>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</si>
  <si>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</si>
  <si>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</si>
  <si>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</si>
  <si>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</si>
  <si>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</si>
  <si>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</si>
  <si>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</si>
  <si>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</si>
  <si>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</si>
  <si>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</si>
  <si>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</si>
  <si>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</si>
  <si>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</si>
  <si>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</si>
  <si>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</si>
  <si>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</si>
  <si>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</si>
  <si>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</si>
  <si>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</si>
  <si>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</si>
  <si>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</si>
  <si>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</si>
  <si>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</si>
  <si>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</si>
  <si>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</si>
  <si>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</si>
  <si>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</si>
  <si>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</si>
  <si>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</si>
  <si>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</si>
  <si>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</si>
  <si>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</si>
  <si>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</si>
  <si>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</si>
  <si>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</si>
  <si>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</si>
  <si>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</si>
  <si>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</si>
  <si>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</si>
  <si>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</si>
  <si>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</si>
  <si>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</si>
  <si>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</si>
  <si>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</si>
  <si>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</si>
  <si>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</si>
  <si>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</si>
  <si>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</si>
  <si>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</si>
  <si>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</si>
  <si>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</si>
  <si>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</si>
  <si>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</si>
  <si>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</si>
  <si>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</si>
  <si>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</si>
  <si>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</si>
  <si>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</si>
  <si>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</si>
  <si>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</si>
  <si>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</si>
  <si>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</si>
  <si>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</si>
  <si>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</si>
  <si>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</si>
  <si>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</si>
  <si>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</si>
  <si>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</si>
  <si>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</si>
  <si>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</si>
  <si>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</si>
  <si>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</si>
  <si>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</si>
  <si>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</si>
  <si>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</si>
  <si>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</si>
  <si>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</si>
  <si>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</si>
  <si>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</si>
  <si>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</si>
  <si>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</si>
  <si>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</si>
  <si>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</si>
  <si>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</si>
  <si>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</si>
  <si>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</si>
  <si>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</si>
  <si>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</si>
  <si>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</si>
  <si>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</si>
  <si>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</si>
  <si>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</si>
  <si>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</si>
  <si>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</si>
  <si>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</si>
  <si>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</si>
  <si>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</si>
  <si>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</si>
  <si>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</si>
  <si>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</si>
  <si>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</si>
  <si>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</si>
  <si>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</si>
  <si>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</si>
  <si>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</si>
  <si>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</si>
  <si>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</si>
  <si>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</si>
  <si>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</si>
  <si>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</si>
  <si>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</si>
  <si>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</si>
  <si>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</si>
  <si>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</si>
  <si>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</si>
  <si>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</si>
  <si>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</si>
  <si>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</si>
  <si>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</si>
  <si>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</si>
  <si>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</si>
  <si>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</si>
  <si>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</si>
  <si>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</si>
  <si>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</si>
  <si>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</si>
  <si>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</si>
  <si>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</si>
  <si>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</si>
  <si>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</si>
  <si>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</si>
  <si>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</si>
  <si>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</si>
  <si>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</si>
  <si>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</si>
  <si>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 xml:space="preserve">أ. </t>
    </r>
    <r>
      <rPr>
        <b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</si>
  <si>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 xml:space="preserve">ب. </t>
    </r>
    <r>
      <rPr>
        <b/>
        <sz val="12"/>
        <color rgb="FF000000"/>
        <rFont val="Arial"/>
        <family val="2"/>
      </rPr>
      <t>إصدار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أمر التنقل.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</si>
  <si>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 xml:space="preserve">جـ. </t>
    </r>
    <r>
      <rPr>
        <b/>
        <sz val="12"/>
        <color rgb="FF000000"/>
        <rFont val="Arial"/>
        <family val="2"/>
      </rPr>
      <t>جماعة المقدمة</t>
    </r>
    <r>
      <rPr>
        <sz val="12"/>
        <color rgb="FF000000"/>
        <rFont val="Arial"/>
        <family val="2"/>
      </rPr>
      <t>.</t>
    </r>
  </si>
  <si>
    <r>
      <t xml:space="preserve">د. </t>
    </r>
    <r>
      <rPr>
        <b/>
        <sz val="12"/>
        <color rgb="FF000000"/>
        <rFont val="Arial"/>
        <family val="2"/>
      </rPr>
      <t>الجسم الرئيسي للقافلة</t>
    </r>
    <r>
      <rPr>
        <sz val="12"/>
        <color rgb="FF000000"/>
        <rFont val="Arial"/>
        <family val="2"/>
      </rPr>
      <t>.</t>
    </r>
  </si>
  <si>
    <t>أ. عبور نقطة البدء على التوقيت المحدد.</t>
  </si>
  <si>
    <t>ب. الحفاظ على السرعة المحددة.</t>
  </si>
  <si>
    <t>جـ. الحفاظ على المسافات الفاصلة.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</si>
  <si>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تهيئه وتحضير القوة للحركة وإصدار امر التنقل.</t>
    </r>
  </si>
  <si>
    <r>
      <t>(3)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يقوم قائد القافلة بتحليل المهمة وتجهيز الأمر.</t>
    </r>
  </si>
  <si>
    <r>
      <t>(4)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يعين قائد القافلة قوة المقدمة ويحدد توقيت الحركة.</t>
    </r>
  </si>
  <si>
    <r>
      <t>(1)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نشاطات العدو المعروفة / المشتبه بها على خط المسير.</t>
    </r>
  </si>
  <si>
    <r>
      <t>(2)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الأخطار / المناطق الحرجة.</t>
    </r>
  </si>
  <si>
    <r>
      <t>(3)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خط المسير التعبوي ونقاط التفقد.</t>
    </r>
  </si>
  <si>
    <r>
      <t>(4)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خط المسير البديل.</t>
    </r>
  </si>
  <si>
    <r>
      <t>(5)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موقع نقطة التجمع عند الوصول.</t>
    </r>
  </si>
  <si>
    <r>
      <t>(6)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توقيتات الحركة.</t>
    </r>
  </si>
  <si>
    <r>
      <t>(7)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تنظيم القافلة.</t>
    </r>
  </si>
  <si>
    <r>
      <t>(8)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سرعة القافلة.</t>
    </r>
  </si>
  <si>
    <r>
      <t>(9)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المسافات الفاصلة بين الآليات.</t>
    </r>
  </si>
  <si>
    <r>
      <t>(10)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الإمداد / التوقف للاستراحة.</t>
    </r>
  </si>
  <si>
    <r>
      <t>(11)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الخطط الاحتياطية في حالة (تعطل آلية - فقدان آلية - حصول حادث مع آلية - انفصال آلية عن الرتل - عمل من قبل العدو).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</si>
  <si>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تنفيذ التنقل التعبوي</t>
    </r>
    <r>
      <rPr>
        <b/>
        <sz val="12"/>
        <color rgb="FF000000"/>
        <rFont val="Arial"/>
        <family val="2"/>
      </rPr>
      <t>.</t>
    </r>
  </si>
  <si>
    <t>(1)    تتجهز جماعة المقدمة للحركة وتتبع التعليمات المذكورة أعلاه.</t>
  </si>
  <si>
    <t>(2)    تنفذ جماعة المقدمة تفقدات ما قبل القتال.</t>
  </si>
  <si>
    <t>(3)    تبدأ جماعة المقدمة الحركة على التوقيت المحدد.</t>
  </si>
  <si>
    <t>(1)    تجهيز الخرائط والأوامر للحركة وتفقدات ما قبل القتال من قبل الضباط.</t>
  </si>
  <si>
    <t>(2)    دمج القائد للمعلومات المقدمة من جماعة المقدمة في الخطة / وتدريب الوحدة.</t>
  </si>
  <si>
    <t>(3)    إصدار الأوامر والخرائط والشفافات وتدريب الوحدة عليها.</t>
  </si>
  <si>
    <t>(4)    تفقد أجهزة اللاسلكي.</t>
  </si>
  <si>
    <t>(5)    الحركة لمنطقة الاستعداد.</t>
  </si>
  <si>
    <r>
      <t>(1)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ينفذ قائد الفصيل إجراءات قيادة القوات.</t>
    </r>
  </si>
  <si>
    <r>
      <t>(2)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يعين قائد الفصيل قائد القافلة / ويحدد تسلسل القيادة.</t>
    </r>
  </si>
  <si>
    <r>
      <rPr>
        <b/>
        <sz val="14"/>
        <color rgb="FF000000"/>
        <rFont val="Arial"/>
        <family val="2"/>
      </rPr>
      <t>تقييم فصيل الهندسة في التنقل التعبوي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</si>
  <si>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عادل راشد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</si>
</sst>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indent="4" readingOrder="2"/>
    </xf>
    <xf numFmtId="0" fontId="14" fillId="0" borderId="12" xfId="0" applyFont="1" applyBorder="1" applyAlignment="1">
      <alignment horizontal="right" vertical="center" wrapText="1" indent="4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196305</xdr:colOff>
      <xdr:row>43</xdr:row>
      <xdr:rowOff>35580</xdr:rowOff>
    </xdr:from>
    <xdr:to>
      <xdr:col>8</xdr:col>
      <xdr:colOff>624324</xdr:colOff>
      <xdr:row>43</xdr:row>
      <xdr:rowOff>463260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5C39B41-8CC5-0437-BEC5-85523BAC4A78}"/>
                </a:ext>
              </a:extLst>
            </xdr14:cNvPr>
            <xdr14:cNvContentPartPr/>
          </xdr14:nvContentPartPr>
          <xdr14:nvPr macro=""/>
          <xdr14:xfrm>
            <a:off x="10398620585" y="17371080"/>
            <a:ext cx="1744200" cy="427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5C39B41-8CC5-0437-BEC5-85523BAC4A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14465" y="17364960"/>
              <a:ext cx="1756440" cy="439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7:43:15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4739 627,'0'0,"0"0,0 0,0 0,0 0,0 0,0 0,0 0,0 0,0 0,0 0,0 0,0 0,0 0,0 0,0 0,0 0,0 0,0 0,0 0,0 0,-17 16,17 0,-16-7,2-2,-3 9,1 3,2-6,-33 19,12-4,7-8,-36 28,29-29,8-5,-36 34,31-31,1-2,-17 1,25 0,-1 0,-23 0,34-8,-4 0,-13-8,20 0,3 0,-10 0,11-8,-1 0,-10-8,17 8,0 0,0-8,7 0,3 0,-10-16,7 16,-1 0,11-17,-17 26,0-2,17-7,-10 1,-1-2,6 5,-7 8,-5-12,0 8,-17 32,-13-8,23-8,-3 0,-36 8,22 0,1 0,-56 33,40-33,1 0,-26 32,34-32,-3 0,-28 16,38-24,-1 0,-39 24,46-32,2 0,-1 0,9 0,-2 0,-6 0,7 0,0 0,-4-12,8 8,4-12,9 7,-2 2,-7-9,0 7,0 2,16-9,-16 7,0 2,0-9,7 7,1 2,-8-5,0 8,0-12,9 7,-2 2,1-1,-16 0,-8-9,1 17,7 0,0 0,-39 0,21 9,5-1,-90-8,48 16,2 0,-81 16,60-16,7 0,-128 16,105-7,9-2,-132 9,115-7,9-2,-107-7,105-8,9 0,-81 8,72-16,9 0,-98 0,96 0,10 0,-73 0,79-8,11 0,-62 8,70 0,5 0,-28 0,41-8,0 0,-7 8,19-8,7 0,-11-8,21 8,4 0,-11-8,17 8,0 0,0-8,23-9,1 2,70-25,-28 14,-5 4,128-51,-75 39,-10 4,162-58,-117 54,-15 3,181-57,-153 46,-11 3,130-17,-144 23,-8 2,107-9,-130 15,-8 2,43-1,-84 15,-3 2,24-1,-36 7,-7 2,29-9,-31 16,-2 0,15 0,-19 0,-7 0,27 0,-13 0,-6 0,36 0,-39 0,-3 0,24 0,-29 8,-3 0,19-8,-19 0,2 0,1 16,-2-16,0 0,2 0,-17 8,0 0,15-8,-15 8,0 0,-15-8,6 8,1 0,-22 8,21-8,1 0,-22 24,13-24,1 0,-31 24,33-24,-2 0,-15 24,5-15,5-2,-12 1,26-7,0-2,-26 25,18-23,0-2,-2 9,10-7,-1-2,-8 9,9-8,14 1,-23 7,1 0,7-16,0 0,-8 16,2-8,-3 0,-13 24,13-32,0 0,4 16,-4-8,0 0,-13 8,23-8,-3 0,-20-8,23 8,-3 0,-3-8,3 0,3 0,-9 0,9 0,-1 0,-4 0,8 0,-8 0,8 0,-11 17,6-17,2 0,-9 16,8-8,1 0,-10 8,2-8,0 0,-2 8,1-7,2-2,-3 9,1-7,2-2,-3-7,11 9,-4-2,-4-7,4 0,4 0,-11 0,10 0,0-16,-9 16,16-8,0 0,-17-8,10 8,14 0,-14 0,0 0,7-8,-10 8,4 0,6-8,0 7,0 2,0-5,0 7,0-3,0 33,0 0,0-2,-17 57,17-80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B27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0" t="s">
        <v>208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3">
      <c r="B2" s="12" t="s">
        <v>8</v>
      </c>
      <c r="C2" s="76" t="s">
        <v>12</v>
      </c>
      <c r="D2" s="76"/>
      <c r="E2" s="12" t="s">
        <v>7</v>
      </c>
      <c r="F2" s="71">
        <v>45937</v>
      </c>
      <c r="G2" s="71"/>
      <c r="H2" s="71"/>
      <c r="I2" s="71"/>
      <c r="J2" s="71"/>
    </row>
    <row r="3" spans="1:10" ht="30" customHeight="1" x14ac:dyDescent="0.3">
      <c r="B3" s="12" t="s">
        <v>9</v>
      </c>
      <c r="C3" s="76" t="s">
        <v>60</v>
      </c>
      <c r="D3" s="76"/>
      <c r="E3" s="12" t="s">
        <v>6</v>
      </c>
      <c r="F3" s="76" t="s">
        <v>121</v>
      </c>
      <c r="G3" s="76"/>
      <c r="H3" s="76"/>
      <c r="I3" s="76"/>
      <c r="J3" s="76"/>
    </row>
    <row r="4" spans="1:10" ht="30" customHeight="1" thickBot="1" x14ac:dyDescent="0.35">
      <c r="B4" s="6"/>
      <c r="C4" s="7"/>
      <c r="D4" s="7" t="s">
        <v>209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2" t="s">
        <v>0</v>
      </c>
      <c r="C5" s="73"/>
      <c r="D5" s="73"/>
      <c r="E5" s="46" t="s">
        <v>1</v>
      </c>
      <c r="F5" s="46"/>
      <c r="G5" s="46"/>
      <c r="H5" s="46"/>
      <c r="I5" s="46" t="s">
        <v>2</v>
      </c>
      <c r="J5" s="47"/>
    </row>
    <row r="6" spans="1:10" ht="24.9" customHeight="1" thickBot="1" x14ac:dyDescent="0.35">
      <c r="A6" s="10"/>
      <c r="B6" s="74"/>
      <c r="C6" s="75"/>
      <c r="D6" s="75"/>
      <c r="E6" s="11" t="s">
        <v>3</v>
      </c>
      <c r="F6" s="11" t="s">
        <v>4</v>
      </c>
      <c r="G6" s="11" t="s">
        <v>23</v>
      </c>
      <c r="H6" s="11" t="s">
        <v>24</v>
      </c>
      <c r="I6" s="48"/>
      <c r="J6" s="49"/>
    </row>
    <row r="7" spans="1:10" ht="24.9" customHeight="1" thickBot="1" x14ac:dyDescent="0.35">
      <c r="A7" s="10"/>
      <c r="B7" s="77" t="s">
        <v>21</v>
      </c>
      <c r="C7" s="78"/>
      <c r="D7" s="78"/>
      <c r="E7" s="28" t="s">
        <v>18</v>
      </c>
      <c r="F7" s="28" t="s">
        <v>19</v>
      </c>
      <c r="G7" s="28" t="s">
        <v>22</v>
      </c>
      <c r="H7" s="28" t="s">
        <v>20</v>
      </c>
      <c r="I7" s="50" t="s">
        <v>25</v>
      </c>
      <c r="J7" s="51"/>
    </row>
    <row r="8" spans="1:10" ht="30" customHeight="1" x14ac:dyDescent="0.3">
      <c r="A8" s="10"/>
      <c r="B8" s="81" t="s">
        <v>183</v>
      </c>
      <c r="C8" s="82"/>
      <c r="D8" s="82"/>
      <c r="E8" s="32"/>
      <c r="F8" s="33"/>
      <c r="G8" s="34"/>
      <c r="H8" s="35"/>
      <c r="I8" s="66"/>
      <c r="J8" s="67"/>
    </row>
    <row r="9" spans="1:10" ht="30" customHeight="1" x14ac:dyDescent="0.3">
      <c r="A9" s="10"/>
      <c r="B9" s="79" t="s">
        <v>176</v>
      </c>
      <c r="C9" s="80"/>
      <c r="D9" s="80"/>
      <c r="E9" s="9"/>
      <c r="F9" s="26"/>
      <c r="G9" s="30"/>
      <c r="H9" s="31"/>
      <c r="I9" s="44"/>
      <c r="J9" s="45"/>
    </row>
    <row r="10" spans="1:10" ht="30" customHeight="1" x14ac:dyDescent="0.3">
      <c r="A10" s="10"/>
      <c r="B10" s="68" t="s">
        <v>206</v>
      </c>
      <c r="C10" s="69"/>
      <c r="D10" s="69"/>
      <c r="E10" s="9">
        <v>5</v>
      </c>
      <c r="F10" s="26">
        <v>3.5</v>
      </c>
      <c r="G10" s="30">
        <f t="shared" ref="G10:G39" si="0">IFERROR(F10/E10,"")</f>
        <v>0.7</v>
      </c>
      <c r="H10" s="31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0" customHeight="1" x14ac:dyDescent="0.3">
      <c r="A11" s="10"/>
      <c r="B11" s="68" t="s">
        <v>207</v>
      </c>
      <c r="C11" s="69"/>
      <c r="D11" s="69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4"/>
      <c r="J11" s="45"/>
    </row>
    <row r="12" spans="1:10" ht="30" customHeight="1" x14ac:dyDescent="0.3">
      <c r="A12" s="10"/>
      <c r="B12" s="68" t="s">
        <v>184</v>
      </c>
      <c r="C12" s="69"/>
      <c r="D12" s="69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4"/>
      <c r="J12" s="45"/>
    </row>
    <row r="13" spans="1:10" ht="30" customHeight="1" x14ac:dyDescent="0.3">
      <c r="A13" s="10"/>
      <c r="B13" s="68" t="s">
        <v>185</v>
      </c>
      <c r="C13" s="69"/>
      <c r="D13" s="69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4"/>
      <c r="J13" s="45"/>
    </row>
    <row r="14" spans="1:10" ht="39.9" customHeight="1" x14ac:dyDescent="0.3">
      <c r="A14" s="10"/>
      <c r="B14" s="79" t="s">
        <v>177</v>
      </c>
      <c r="C14" s="80"/>
      <c r="D14" s="80"/>
      <c r="E14" s="9"/>
      <c r="F14" s="26"/>
      <c r="G14" s="30"/>
      <c r="H14" s="31"/>
      <c r="I14" s="44"/>
      <c r="J14" s="45"/>
    </row>
    <row r="15" spans="1:10" ht="30" customHeight="1" x14ac:dyDescent="0.3">
      <c r="A15" s="10"/>
      <c r="B15" s="68" t="s">
        <v>186</v>
      </c>
      <c r="C15" s="69"/>
      <c r="D15" s="69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4"/>
      <c r="J15" s="45"/>
    </row>
    <row r="16" spans="1:10" ht="30" customHeight="1" x14ac:dyDescent="0.3">
      <c r="A16" s="10"/>
      <c r="B16" s="68" t="s">
        <v>187</v>
      </c>
      <c r="C16" s="69"/>
      <c r="D16" s="69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4"/>
      <c r="J16" s="45"/>
    </row>
    <row r="17" spans="1:10" ht="30" customHeight="1" x14ac:dyDescent="0.3">
      <c r="A17" s="10"/>
      <c r="B17" s="68" t="s">
        <v>188</v>
      </c>
      <c r="C17" s="69"/>
      <c r="D17" s="69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4"/>
      <c r="J17" s="45"/>
    </row>
    <row r="18" spans="1:10" ht="30" customHeight="1" x14ac:dyDescent="0.3">
      <c r="A18" s="10"/>
      <c r="B18" s="68" t="s">
        <v>189</v>
      </c>
      <c r="C18" s="69"/>
      <c r="D18" s="69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4"/>
      <c r="J18" s="45"/>
    </row>
    <row r="19" spans="1:10" ht="30" customHeight="1" x14ac:dyDescent="0.3">
      <c r="A19" s="10"/>
      <c r="B19" s="68" t="s">
        <v>190</v>
      </c>
      <c r="C19" s="69"/>
      <c r="D19" s="69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4"/>
      <c r="J19" s="45"/>
    </row>
    <row r="20" spans="1:10" ht="30" customHeight="1" x14ac:dyDescent="0.3">
      <c r="A20" s="10"/>
      <c r="B20" s="68" t="s">
        <v>191</v>
      </c>
      <c r="C20" s="69"/>
      <c r="D20" s="69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4"/>
      <c r="J20" s="45"/>
    </row>
    <row r="21" spans="1:10" ht="30" customHeight="1" x14ac:dyDescent="0.3">
      <c r="A21" s="10"/>
      <c r="B21" s="68" t="s">
        <v>192</v>
      </c>
      <c r="C21" s="69"/>
      <c r="D21" s="69"/>
      <c r="E21" s="9">
        <v>5</v>
      </c>
      <c r="F21" s="26">
        <v>4</v>
      </c>
      <c r="G21" s="30">
        <f t="shared" si="0"/>
        <v>0.8</v>
      </c>
      <c r="H21" s="31" t="str">
        <f t="shared" si="1"/>
        <v>جيد جداً</v>
      </c>
      <c r="I21" s="44"/>
      <c r="J21" s="45"/>
    </row>
    <row r="22" spans="1:10" ht="30" customHeight="1" x14ac:dyDescent="0.3">
      <c r="A22" s="10"/>
      <c r="B22" s="68" t="s">
        <v>193</v>
      </c>
      <c r="C22" s="69"/>
      <c r="D22" s="69"/>
      <c r="E22" s="9">
        <v>5</v>
      </c>
      <c r="F22" s="26">
        <v>4.25</v>
      </c>
      <c r="G22" s="30">
        <f t="shared" si="0"/>
        <v>0.85</v>
      </c>
      <c r="H22" s="31" t="str">
        <f t="shared" si="1"/>
        <v>جيد جداً</v>
      </c>
      <c r="I22" s="44"/>
      <c r="J22" s="45"/>
    </row>
    <row r="23" spans="1:10" ht="30" customHeight="1" x14ac:dyDescent="0.3">
      <c r="A23" s="10"/>
      <c r="B23" s="68" t="s">
        <v>194</v>
      </c>
      <c r="C23" s="69"/>
      <c r="D23" s="69"/>
      <c r="E23" s="9">
        <v>5</v>
      </c>
      <c r="F23" s="26">
        <v>4</v>
      </c>
      <c r="G23" s="30">
        <f t="shared" si="0"/>
        <v>0.8</v>
      </c>
      <c r="H23" s="31" t="str">
        <f t="shared" si="1"/>
        <v>جيد جداً</v>
      </c>
      <c r="I23" s="44"/>
      <c r="J23" s="45"/>
    </row>
    <row r="24" spans="1:10" ht="30" customHeight="1" x14ac:dyDescent="0.3">
      <c r="A24" s="10"/>
      <c r="B24" s="68" t="s">
        <v>195</v>
      </c>
      <c r="C24" s="69"/>
      <c r="D24" s="69"/>
      <c r="E24" s="9">
        <v>5</v>
      </c>
      <c r="F24" s="26">
        <v>4</v>
      </c>
      <c r="G24" s="30">
        <f t="shared" si="0"/>
        <v>0.8</v>
      </c>
      <c r="H24" s="31" t="str">
        <f t="shared" si="1"/>
        <v>جيد جداً</v>
      </c>
      <c r="I24" s="44"/>
      <c r="J24" s="45"/>
    </row>
    <row r="25" spans="1:10" ht="53.25" customHeight="1" x14ac:dyDescent="0.3">
      <c r="A25" s="10"/>
      <c r="B25" s="68" t="s">
        <v>196</v>
      </c>
      <c r="C25" s="69"/>
      <c r="D25" s="69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44"/>
      <c r="J25" s="45"/>
    </row>
    <row r="26" spans="1:10" ht="30" customHeight="1" x14ac:dyDescent="0.3">
      <c r="A26" s="10"/>
      <c r="B26" s="79" t="s">
        <v>178</v>
      </c>
      <c r="C26" s="80"/>
      <c r="D26" s="80"/>
      <c r="E26" s="9"/>
      <c r="F26" s="26"/>
      <c r="G26" s="30"/>
      <c r="H26" s="31"/>
      <c r="I26" s="44"/>
      <c r="J26" s="45"/>
    </row>
    <row r="27" spans="1:10" ht="39.9" customHeight="1" x14ac:dyDescent="0.3">
      <c r="A27" s="10"/>
      <c r="B27" s="68" t="s">
        <v>198</v>
      </c>
      <c r="C27" s="69"/>
      <c r="D27" s="69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4"/>
      <c r="J27" s="45"/>
    </row>
    <row r="28" spans="1:10" ht="30" customHeight="1" x14ac:dyDescent="0.3">
      <c r="A28" s="10"/>
      <c r="B28" s="68" t="s">
        <v>199</v>
      </c>
      <c r="C28" s="69"/>
      <c r="D28" s="69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4"/>
      <c r="J28" s="45"/>
    </row>
    <row r="29" spans="1:10" ht="30" customHeight="1" x14ac:dyDescent="0.3">
      <c r="A29" s="10"/>
      <c r="B29" s="68" t="s">
        <v>200</v>
      </c>
      <c r="C29" s="69"/>
      <c r="D29" s="69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4"/>
      <c r="J29" s="45"/>
    </row>
    <row r="30" spans="1:10" ht="30" customHeight="1" x14ac:dyDescent="0.3">
      <c r="A30" s="10"/>
      <c r="B30" s="79" t="s">
        <v>179</v>
      </c>
      <c r="C30" s="80"/>
      <c r="D30" s="80"/>
      <c r="E30" s="9"/>
      <c r="F30" s="26"/>
      <c r="G30" s="30"/>
      <c r="H30" s="31"/>
      <c r="I30" s="44"/>
      <c r="J30" s="45"/>
    </row>
    <row r="31" spans="1:10" ht="39.9" customHeight="1" x14ac:dyDescent="0.3">
      <c r="A31" s="10"/>
      <c r="B31" s="68" t="s">
        <v>201</v>
      </c>
      <c r="C31" s="69"/>
      <c r="D31" s="69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4"/>
      <c r="J31" s="45"/>
    </row>
    <row r="32" spans="1:10" ht="39.9" customHeight="1" x14ac:dyDescent="0.3">
      <c r="A32" s="10"/>
      <c r="B32" s="68" t="s">
        <v>202</v>
      </c>
      <c r="C32" s="69"/>
      <c r="D32" s="69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4"/>
      <c r="J32" s="45"/>
    </row>
    <row r="33" spans="1:10" ht="30" customHeight="1" x14ac:dyDescent="0.3">
      <c r="A33" s="10"/>
      <c r="B33" s="68" t="s">
        <v>203</v>
      </c>
      <c r="C33" s="69"/>
      <c r="D33" s="69"/>
      <c r="E33" s="9">
        <v>5</v>
      </c>
      <c r="F33" s="26">
        <v>3.5</v>
      </c>
      <c r="G33" s="30">
        <f t="shared" si="0"/>
        <v>0.7</v>
      </c>
      <c r="H33" s="31" t="str">
        <f t="shared" si="1"/>
        <v>جيد</v>
      </c>
      <c r="I33" s="44"/>
      <c r="J33" s="45"/>
    </row>
    <row r="34" spans="1:10" ht="30" customHeight="1" x14ac:dyDescent="0.3">
      <c r="A34" s="10"/>
      <c r="B34" s="68" t="s">
        <v>204</v>
      </c>
      <c r="C34" s="69"/>
      <c r="D34" s="69"/>
      <c r="E34" s="9">
        <v>5</v>
      </c>
      <c r="F34" s="26">
        <v>3.25</v>
      </c>
      <c r="G34" s="30">
        <f t="shared" si="0"/>
        <v>0.65</v>
      </c>
      <c r="H34" s="31" t="str">
        <f t="shared" si="1"/>
        <v>مقبول</v>
      </c>
      <c r="I34" s="44"/>
      <c r="J34" s="45"/>
    </row>
    <row r="35" spans="1:10" ht="30" customHeight="1" thickBot="1" x14ac:dyDescent="0.35">
      <c r="A35" s="10"/>
      <c r="B35" s="83" t="s">
        <v>205</v>
      </c>
      <c r="C35" s="84"/>
      <c r="D35" s="84"/>
      <c r="E35" s="36">
        <v>5</v>
      </c>
      <c r="F35" s="27">
        <v>3.5</v>
      </c>
      <c r="G35" s="37">
        <f t="shared" si="0"/>
        <v>0.7</v>
      </c>
      <c r="H35" s="38" t="str">
        <f t="shared" si="1"/>
        <v>جيد</v>
      </c>
      <c r="I35" s="64"/>
      <c r="J35" s="65"/>
    </row>
    <row r="36" spans="1:10" ht="30" customHeight="1" x14ac:dyDescent="0.3">
      <c r="A36" s="10"/>
      <c r="B36" s="81" t="s">
        <v>197</v>
      </c>
      <c r="C36" s="82"/>
      <c r="D36" s="82"/>
      <c r="E36" s="32"/>
      <c r="F36" s="33"/>
      <c r="G36" s="34"/>
      <c r="H36" s="35"/>
      <c r="I36" s="66"/>
      <c r="J36" s="67"/>
    </row>
    <row r="37" spans="1:10" ht="30" customHeight="1" x14ac:dyDescent="0.3">
      <c r="A37" s="10"/>
      <c r="B37" s="79" t="s">
        <v>180</v>
      </c>
      <c r="C37" s="80"/>
      <c r="D37" s="80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44"/>
      <c r="J37" s="45"/>
    </row>
    <row r="38" spans="1:10" ht="30" customHeight="1" x14ac:dyDescent="0.3">
      <c r="A38" s="10"/>
      <c r="B38" s="79" t="s">
        <v>181</v>
      </c>
      <c r="C38" s="80"/>
      <c r="D38" s="80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44"/>
      <c r="J38" s="45"/>
    </row>
    <row r="39" spans="1:10" ht="30" customHeight="1" thickBot="1" x14ac:dyDescent="0.35">
      <c r="A39" s="10"/>
      <c r="B39" s="85" t="s">
        <v>182</v>
      </c>
      <c r="C39" s="86"/>
      <c r="D39" s="86"/>
      <c r="E39" s="36">
        <v>5</v>
      </c>
      <c r="F39" s="27">
        <v>3.75</v>
      </c>
      <c r="G39" s="37">
        <f t="shared" si="0"/>
        <v>0.75</v>
      </c>
      <c r="H39" s="38" t="str">
        <f t="shared" si="1"/>
        <v>جيد</v>
      </c>
      <c r="I39" s="64"/>
      <c r="J39" s="65"/>
    </row>
    <row r="40" spans="1:10" ht="30" customHeight="1" thickBot="1" x14ac:dyDescent="0.35">
      <c r="A40" s="4"/>
      <c r="B40" s="60" t="s">
        <v>5</v>
      </c>
      <c r="C40" s="61"/>
      <c r="D40" s="61"/>
      <c r="E40" s="29">
        <f>SUM(E8:E39)</f>
        <v>130</v>
      </c>
      <c r="F40" s="29">
        <f>SUM(F8:F39)</f>
        <v>95</v>
      </c>
      <c r="G40" s="41"/>
      <c r="H40" s="42"/>
      <c r="I40" s="42"/>
      <c r="J40" s="43"/>
    </row>
    <row r="41" spans="1:10" ht="30" customHeight="1" thickBot="1" x14ac:dyDescent="0.35">
      <c r="A41" s="4"/>
      <c r="B41" s="62" t="s">
        <v>54</v>
      </c>
      <c r="C41" s="63"/>
      <c r="D41" s="63"/>
      <c r="E41" s="58">
        <f>F40/E40/100*100</f>
        <v>0.73076923076923073</v>
      </c>
      <c r="F41" s="58"/>
      <c r="G41" s="58"/>
      <c r="H41" s="58"/>
      <c r="I41" s="58"/>
      <c r="J41" s="59"/>
    </row>
    <row r="42" spans="1:10" ht="30" customHeight="1" thickBot="1" x14ac:dyDescent="0.35">
      <c r="A42" s="4"/>
      <c r="B42" s="62" t="s">
        <v>55</v>
      </c>
      <c r="C42" s="63"/>
      <c r="D42" s="63"/>
      <c r="E42" s="56" t="str">
        <f>_xlfn.IFS(E41&gt;=90%,"ممتاز",E41&gt;=80%,"جيد جداً",E41&gt;=70%,"جيد",E41&gt;=60%,"مقبول",E41&lt;60%,"راسب")</f>
        <v>جيد</v>
      </c>
      <c r="F42" s="56"/>
      <c r="G42" s="56"/>
      <c r="H42" s="56"/>
      <c r="I42" s="56"/>
      <c r="J42" s="57"/>
    </row>
    <row r="43" spans="1:10" ht="42" customHeight="1" x14ac:dyDescent="0.3">
      <c r="B43" s="52" t="s">
        <v>62</v>
      </c>
      <c r="C43" s="52"/>
      <c r="D43" s="52"/>
      <c r="E43" s="39" t="s">
        <v>52</v>
      </c>
      <c r="F43" s="39"/>
      <c r="G43" s="54" t="s">
        <v>121</v>
      </c>
      <c r="H43" s="54"/>
      <c r="I43" s="54"/>
      <c r="J43" s="54"/>
    </row>
    <row r="44" spans="1:10" ht="51" customHeight="1" x14ac:dyDescent="0.3">
      <c r="A44" s="5"/>
      <c r="B44" s="53"/>
      <c r="C44" s="53"/>
      <c r="D44" s="53"/>
      <c r="E44" s="40" t="s">
        <v>53</v>
      </c>
      <c r="F44" s="40"/>
      <c r="G44" s="55"/>
      <c r="H44" s="55"/>
      <c r="I44" s="55"/>
      <c r="J44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B35:D35"/>
    <mergeCell ref="B36:D36"/>
    <mergeCell ref="B37:D37"/>
    <mergeCell ref="B38:D38"/>
    <mergeCell ref="B39:D39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B1:J1"/>
    <mergeCell ref="F2:J2"/>
    <mergeCell ref="B5:D6"/>
    <mergeCell ref="C2:D2"/>
    <mergeCell ref="C3:D3"/>
    <mergeCell ref="F3:J3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F37:F39 F31:F35 F27:F29 F15:F25 F10:F13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63</v>
      </c>
    </row>
    <row r="3" spans="1:3" ht="20.100000000000001" customHeight="1" thickBot="1" x14ac:dyDescent="0.35">
      <c r="A3" s="2" t="s">
        <v>26</v>
      </c>
      <c r="C3" s="19" t="s">
        <v>64</v>
      </c>
    </row>
    <row r="4" spans="1:3" ht="20.100000000000001" customHeight="1" thickBot="1" x14ac:dyDescent="0.35">
      <c r="A4" s="2" t="s">
        <v>36</v>
      </c>
      <c r="C4" s="19" t="s">
        <v>65</v>
      </c>
    </row>
    <row r="5" spans="1:3" ht="20.100000000000001" customHeight="1" thickBot="1" x14ac:dyDescent="0.35">
      <c r="A5" s="2" t="s">
        <v>37</v>
      </c>
      <c r="C5" s="19" t="s">
        <v>66</v>
      </c>
    </row>
    <row r="6" spans="1:3" ht="20.100000000000001" customHeight="1" thickBot="1" x14ac:dyDescent="0.35">
      <c r="A6" s="2" t="s">
        <v>38</v>
      </c>
      <c r="C6" s="19" t="s">
        <v>67</v>
      </c>
    </row>
    <row r="7" spans="1:3" ht="20.100000000000001" customHeight="1" thickBot="1" x14ac:dyDescent="0.35">
      <c r="A7" s="2" t="s">
        <v>39</v>
      </c>
      <c r="C7" s="19" t="s">
        <v>68</v>
      </c>
    </row>
    <row r="8" spans="1:3" ht="20.100000000000001" customHeight="1" thickBot="1" x14ac:dyDescent="0.35">
      <c r="A8" s="2" t="s">
        <v>40</v>
      </c>
      <c r="C8" s="19" t="s">
        <v>69</v>
      </c>
    </row>
    <row r="9" spans="1:3" ht="20.100000000000001" customHeight="1" thickBot="1" x14ac:dyDescent="0.35">
      <c r="A9" s="2" t="s">
        <v>41</v>
      </c>
      <c r="C9" s="19" t="s">
        <v>70</v>
      </c>
    </row>
    <row r="10" spans="1:3" ht="20.100000000000001" customHeight="1" thickBot="1" x14ac:dyDescent="0.35">
      <c r="A10" s="2" t="s">
        <v>42</v>
      </c>
      <c r="C10" s="19" t="s">
        <v>71</v>
      </c>
    </row>
    <row r="11" spans="1:3" ht="20.100000000000001" customHeight="1" thickBot="1" x14ac:dyDescent="0.35">
      <c r="A11" s="2" t="s">
        <v>43</v>
      </c>
      <c r="C11" s="19" t="s">
        <v>72</v>
      </c>
    </row>
    <row r="12" spans="1:3" ht="20.100000000000001" customHeight="1" thickBot="1" x14ac:dyDescent="0.35">
      <c r="A12" s="2" t="s">
        <v>44</v>
      </c>
      <c r="C12" s="19" t="s">
        <v>73</v>
      </c>
    </row>
    <row r="13" spans="1:3" ht="20.100000000000001" customHeight="1" thickBot="1" x14ac:dyDescent="0.35">
      <c r="A13" s="2" t="s">
        <v>45</v>
      </c>
      <c r="C13" s="19" t="s">
        <v>74</v>
      </c>
    </row>
    <row r="14" spans="1:3" ht="20.100000000000001" customHeight="1" thickBot="1" x14ac:dyDescent="0.35">
      <c r="A14" s="2" t="s">
        <v>46</v>
      </c>
      <c r="C14" s="19" t="s">
        <v>75</v>
      </c>
    </row>
    <row r="15" spans="1:3" ht="20.100000000000001" customHeight="1" thickBot="1" x14ac:dyDescent="0.35">
      <c r="A15" s="2" t="s">
        <v>47</v>
      </c>
      <c r="C15" s="19" t="s">
        <v>76</v>
      </c>
    </row>
    <row r="16" spans="1:3" ht="20.100000000000001" customHeight="1" thickBot="1" x14ac:dyDescent="0.35">
      <c r="A16" s="2" t="s">
        <v>10</v>
      </c>
      <c r="C16" s="19" t="s">
        <v>77</v>
      </c>
    </row>
    <row r="17" spans="1:3" ht="20.100000000000001" customHeight="1" thickBot="1" x14ac:dyDescent="0.35">
      <c r="A17" s="2" t="s">
        <v>27</v>
      </c>
      <c r="C17" s="19" t="s">
        <v>78</v>
      </c>
    </row>
    <row r="18" spans="1:3" ht="20.100000000000001" customHeight="1" thickBot="1" x14ac:dyDescent="0.35">
      <c r="A18" s="2" t="s">
        <v>48</v>
      </c>
      <c r="C18" s="19" t="s">
        <v>79</v>
      </c>
    </row>
    <row r="19" spans="1:3" ht="20.100000000000001" customHeight="1" thickBot="1" x14ac:dyDescent="0.35">
      <c r="A19" s="2" t="s">
        <v>49</v>
      </c>
      <c r="C19" s="19" t="s">
        <v>80</v>
      </c>
    </row>
    <row r="20" spans="1:3" ht="20.100000000000001" customHeight="1" thickBot="1" x14ac:dyDescent="0.35">
      <c r="A20" s="2" t="s">
        <v>50</v>
      </c>
      <c r="C20" s="19" t="s">
        <v>81</v>
      </c>
    </row>
    <row r="21" spans="1:3" ht="20.100000000000001" customHeight="1" thickBot="1" x14ac:dyDescent="0.35">
      <c r="A21" s="2" t="s">
        <v>51</v>
      </c>
      <c r="C21" s="19" t="s">
        <v>82</v>
      </c>
    </row>
    <row r="22" spans="1:3" ht="20.100000000000001" customHeight="1" thickBot="1" x14ac:dyDescent="0.35">
      <c r="A22" s="2" t="s">
        <v>11</v>
      </c>
      <c r="C22" s="19" t="s">
        <v>83</v>
      </c>
    </row>
    <row r="23" spans="1:3" ht="20.100000000000001" customHeight="1" thickBot="1" x14ac:dyDescent="0.35">
      <c r="A23" s="2" t="s">
        <v>12</v>
      </c>
      <c r="C23" s="19" t="s">
        <v>84</v>
      </c>
    </row>
    <row r="24" spans="1:3" ht="20.100000000000001" customHeight="1" thickBot="1" x14ac:dyDescent="0.35">
      <c r="A24" s="2" t="s">
        <v>15</v>
      </c>
      <c r="C24" s="19" t="s">
        <v>85</v>
      </c>
    </row>
    <row r="25" spans="1:3" ht="20.100000000000001" customHeight="1" thickBot="1" x14ac:dyDescent="0.35">
      <c r="A25" s="2" t="s">
        <v>28</v>
      </c>
      <c r="C25" s="19" t="s">
        <v>86</v>
      </c>
    </row>
    <row r="26" spans="1:3" ht="20.100000000000001" customHeight="1" thickBot="1" x14ac:dyDescent="0.35">
      <c r="A26" s="2" t="s">
        <v>29</v>
      </c>
      <c r="C26" s="19" t="s">
        <v>87</v>
      </c>
    </row>
    <row r="27" spans="1:3" ht="20.100000000000001" customHeight="1" thickBot="1" x14ac:dyDescent="0.35">
      <c r="A27" s="2" t="s">
        <v>13</v>
      </c>
      <c r="C27" s="19" t="s">
        <v>88</v>
      </c>
    </row>
    <row r="28" spans="1:3" ht="20.100000000000001" customHeight="1" thickBot="1" x14ac:dyDescent="0.35">
      <c r="A28" s="2" t="s">
        <v>30</v>
      </c>
      <c r="C28" s="19" t="s">
        <v>89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90</v>
      </c>
    </row>
    <row r="200" spans="1:1" ht="20.100000000000001" customHeight="1" x14ac:dyDescent="0.3">
      <c r="A200" s="20" t="s">
        <v>91</v>
      </c>
    </row>
    <row r="201" spans="1:1" ht="20.100000000000001" customHeight="1" x14ac:dyDescent="0.3">
      <c r="A201" s="20" t="s">
        <v>92</v>
      </c>
    </row>
    <row r="202" spans="1:1" ht="20.100000000000001" customHeight="1" x14ac:dyDescent="0.3">
      <c r="A202" s="20" t="s">
        <v>93</v>
      </c>
    </row>
    <row r="203" spans="1:1" ht="20.100000000000001" customHeight="1" x14ac:dyDescent="0.3">
      <c r="A203" s="20" t="s">
        <v>94</v>
      </c>
    </row>
    <row r="204" spans="1:1" ht="20.100000000000001" customHeight="1" x14ac:dyDescent="0.3">
      <c r="A204" s="20" t="s">
        <v>95</v>
      </c>
    </row>
    <row r="205" spans="1:1" ht="20.100000000000001" customHeight="1" x14ac:dyDescent="0.3">
      <c r="A205" s="20" t="s">
        <v>96</v>
      </c>
    </row>
    <row r="206" spans="1:1" ht="20.100000000000001" customHeight="1" x14ac:dyDescent="0.3">
      <c r="A206" s="20" t="s">
        <v>97</v>
      </c>
    </row>
    <row r="207" spans="1:1" ht="20.100000000000001" customHeight="1" x14ac:dyDescent="0.3">
      <c r="A207" s="20" t="s">
        <v>98</v>
      </c>
    </row>
    <row r="208" spans="1:1" ht="20.100000000000001" customHeight="1" x14ac:dyDescent="0.3">
      <c r="A208" s="21" t="s">
        <v>99</v>
      </c>
    </row>
    <row r="209" spans="1:1" ht="20.100000000000001" customHeight="1" x14ac:dyDescent="0.3">
      <c r="A209" s="21" t="s">
        <v>100</v>
      </c>
    </row>
    <row r="210" spans="1:1" ht="20.100000000000001" customHeight="1" x14ac:dyDescent="0.3">
      <c r="A210" s="20" t="s">
        <v>101</v>
      </c>
    </row>
    <row r="211" spans="1:1" ht="20.100000000000001" customHeight="1" x14ac:dyDescent="0.3">
      <c r="A211" s="20" t="s">
        <v>102</v>
      </c>
    </row>
    <row r="212" spans="1:1" ht="20.100000000000001" customHeight="1" x14ac:dyDescent="0.3">
      <c r="A212" s="20" t="s">
        <v>103</v>
      </c>
    </row>
    <row r="213" spans="1:1" ht="20.100000000000001" customHeight="1" x14ac:dyDescent="0.3">
      <c r="A213" s="20" t="s">
        <v>104</v>
      </c>
    </row>
    <row r="214" spans="1:1" ht="20.100000000000001" customHeight="1" x14ac:dyDescent="0.3">
      <c r="A214" s="20" t="s">
        <v>105</v>
      </c>
    </row>
    <row r="215" spans="1:1" ht="20.100000000000001" customHeight="1" x14ac:dyDescent="0.3">
      <c r="A215" s="20" t="s">
        <v>106</v>
      </c>
    </row>
    <row r="216" spans="1:1" ht="20.100000000000001" customHeight="1" x14ac:dyDescent="0.3">
      <c r="A216" s="20" t="s">
        <v>107</v>
      </c>
    </row>
    <row r="217" spans="1:1" ht="20.100000000000001" customHeight="1" x14ac:dyDescent="0.3">
      <c r="A217" s="20" t="s">
        <v>108</v>
      </c>
    </row>
    <row r="218" spans="1:1" ht="20.100000000000001" customHeight="1" x14ac:dyDescent="0.3">
      <c r="A218" s="20" t="s">
        <v>109</v>
      </c>
    </row>
    <row r="219" spans="1:1" ht="20.100000000000001" customHeight="1" x14ac:dyDescent="0.3">
      <c r="A219" s="20" t="s">
        <v>110</v>
      </c>
    </row>
    <row r="220" spans="1:1" ht="20.100000000000001" customHeight="1" x14ac:dyDescent="0.3">
      <c r="A220" s="20" t="s">
        <v>111</v>
      </c>
    </row>
    <row r="221" spans="1:1" ht="20.100000000000001" customHeight="1" x14ac:dyDescent="0.3">
      <c r="A221" s="20" t="s">
        <v>112</v>
      </c>
    </row>
    <row r="222" spans="1:1" ht="20.100000000000001" customHeight="1" x14ac:dyDescent="0.3">
      <c r="A222" s="20" t="s">
        <v>113</v>
      </c>
    </row>
    <row r="223" spans="1:1" ht="20.100000000000001" customHeight="1" x14ac:dyDescent="0.3">
      <c r="A223" s="20" t="s">
        <v>114</v>
      </c>
    </row>
    <row r="224" spans="1:1" ht="20.100000000000001" customHeight="1" x14ac:dyDescent="0.3">
      <c r="A224" s="20" t="s">
        <v>115</v>
      </c>
    </row>
    <row r="225" spans="1:1" ht="20.100000000000001" customHeight="1" x14ac:dyDescent="0.3">
      <c r="A225" s="20" t="s">
        <v>116</v>
      </c>
    </row>
    <row r="226" spans="1:1" ht="20.100000000000001" customHeight="1" x14ac:dyDescent="0.3">
      <c r="A226" s="20" t="s">
        <v>117</v>
      </c>
    </row>
    <row r="227" spans="1:1" ht="20.100000000000001" customHeight="1" x14ac:dyDescent="0.3">
      <c r="A227" s="20" t="s">
        <v>118</v>
      </c>
    </row>
    <row r="228" spans="1:1" ht="20.100000000000001" customHeight="1" x14ac:dyDescent="0.3">
      <c r="A228" s="20" t="s">
        <v>119</v>
      </c>
    </row>
    <row r="229" spans="1:1" ht="20.100000000000001" customHeight="1" x14ac:dyDescent="0.3">
      <c r="A229" s="20" t="s">
        <v>120</v>
      </c>
    </row>
    <row r="230" spans="1:1" ht="20.100000000000001" customHeight="1" x14ac:dyDescent="0.3">
      <c r="A230" s="20" t="s">
        <v>121</v>
      </c>
    </row>
    <row r="231" spans="1:1" ht="20.100000000000001" customHeight="1" x14ac:dyDescent="0.3">
      <c r="A231" s="20" t="s">
        <v>122</v>
      </c>
    </row>
    <row r="232" spans="1:1" ht="20.100000000000001" customHeight="1" x14ac:dyDescent="0.3">
      <c r="A232" s="20" t="s">
        <v>123</v>
      </c>
    </row>
    <row r="233" spans="1:1" ht="20.100000000000001" customHeight="1" x14ac:dyDescent="0.3">
      <c r="A233" s="20" t="s">
        <v>124</v>
      </c>
    </row>
    <row r="234" spans="1:1" ht="20.100000000000001" customHeight="1" x14ac:dyDescent="0.3">
      <c r="A234" s="20" t="s">
        <v>125</v>
      </c>
    </row>
    <row r="235" spans="1:1" ht="20.100000000000001" customHeight="1" x14ac:dyDescent="0.3">
      <c r="A235" s="22" t="s">
        <v>126</v>
      </c>
    </row>
    <row r="236" spans="1:1" ht="20.100000000000001" customHeight="1" x14ac:dyDescent="0.3">
      <c r="A236" s="20" t="s">
        <v>127</v>
      </c>
    </row>
    <row r="237" spans="1:1" ht="20.100000000000001" customHeight="1" x14ac:dyDescent="0.3">
      <c r="A237" s="20" t="s">
        <v>128</v>
      </c>
    </row>
    <row r="238" spans="1:1" ht="20.100000000000001" customHeight="1" x14ac:dyDescent="0.3">
      <c r="A238" s="20" t="s">
        <v>129</v>
      </c>
    </row>
    <row r="239" spans="1:1" ht="20.100000000000001" customHeight="1" x14ac:dyDescent="0.3">
      <c r="A239" s="20" t="s">
        <v>130</v>
      </c>
    </row>
    <row r="240" spans="1:1" ht="20.100000000000001" customHeight="1" x14ac:dyDescent="0.3">
      <c r="A240" s="20" t="s">
        <v>131</v>
      </c>
    </row>
    <row r="241" spans="1:1" ht="20.100000000000001" customHeight="1" x14ac:dyDescent="0.3">
      <c r="A241" s="20" t="s">
        <v>132</v>
      </c>
    </row>
    <row r="242" spans="1:1" ht="20.100000000000001" customHeight="1" x14ac:dyDescent="0.3">
      <c r="A242" s="20" t="s">
        <v>133</v>
      </c>
    </row>
    <row r="243" spans="1:1" ht="20.100000000000001" customHeight="1" x14ac:dyDescent="0.3">
      <c r="A243" s="20" t="s">
        <v>134</v>
      </c>
    </row>
    <row r="244" spans="1:1" ht="20.100000000000001" customHeight="1" x14ac:dyDescent="0.3">
      <c r="A244" s="20" t="s">
        <v>135</v>
      </c>
    </row>
    <row r="245" spans="1:1" ht="20.100000000000001" customHeight="1" x14ac:dyDescent="0.3">
      <c r="A245" s="20" t="s">
        <v>136</v>
      </c>
    </row>
    <row r="246" spans="1:1" ht="20.100000000000001" customHeight="1" x14ac:dyDescent="0.3">
      <c r="A246" s="20" t="s">
        <v>137</v>
      </c>
    </row>
    <row r="247" spans="1:1" ht="20.100000000000001" customHeight="1" x14ac:dyDescent="0.3">
      <c r="A247" s="20" t="s">
        <v>128</v>
      </c>
    </row>
    <row r="248" spans="1:1" ht="20.100000000000001" customHeight="1" x14ac:dyDescent="0.3">
      <c r="A248" s="20" t="s">
        <v>138</v>
      </c>
    </row>
    <row r="249" spans="1:1" ht="20.100000000000001" customHeight="1" x14ac:dyDescent="0.3">
      <c r="A249" s="20" t="s">
        <v>139</v>
      </c>
    </row>
    <row r="250" spans="1:1" ht="20.100000000000001" customHeight="1" x14ac:dyDescent="0.3">
      <c r="A250" s="22" t="s">
        <v>140</v>
      </c>
    </row>
    <row r="251" spans="1:1" ht="20.100000000000001" customHeight="1" x14ac:dyDescent="0.3">
      <c r="A251" s="23" t="s">
        <v>141</v>
      </c>
    </row>
    <row r="252" spans="1:1" ht="20.100000000000001" customHeight="1" x14ac:dyDescent="0.3">
      <c r="A252" s="20" t="s">
        <v>142</v>
      </c>
    </row>
    <row r="253" spans="1:1" ht="20.100000000000001" customHeight="1" x14ac:dyDescent="0.3">
      <c r="A253" s="20" t="s">
        <v>143</v>
      </c>
    </row>
    <row r="254" spans="1:1" ht="20.100000000000001" customHeight="1" x14ac:dyDescent="0.3">
      <c r="A254" s="24" t="s">
        <v>144</v>
      </c>
    </row>
    <row r="255" spans="1:1" ht="20.100000000000001" customHeight="1" x14ac:dyDescent="0.3">
      <c r="A255" s="24" t="s">
        <v>145</v>
      </c>
    </row>
    <row r="256" spans="1:1" ht="20.100000000000001" customHeight="1" x14ac:dyDescent="0.3">
      <c r="A256" s="25" t="s">
        <v>146</v>
      </c>
    </row>
    <row r="257" spans="1:1" ht="20.100000000000001" customHeight="1" x14ac:dyDescent="0.3">
      <c r="A257" s="20" t="s">
        <v>147</v>
      </c>
    </row>
    <row r="258" spans="1:1" ht="20.100000000000001" customHeight="1" x14ac:dyDescent="0.3">
      <c r="A258" s="25" t="s">
        <v>148</v>
      </c>
    </row>
    <row r="259" spans="1:1" ht="20.100000000000001" customHeight="1" x14ac:dyDescent="0.3">
      <c r="A259" s="20" t="s">
        <v>149</v>
      </c>
    </row>
    <row r="260" spans="1:1" ht="20.100000000000001" customHeight="1" x14ac:dyDescent="0.3">
      <c r="A260" s="25" t="s">
        <v>150</v>
      </c>
    </row>
    <row r="261" spans="1:1" ht="20.100000000000001" customHeight="1" x14ac:dyDescent="0.3">
      <c r="A261" s="20" t="s">
        <v>151</v>
      </c>
    </row>
    <row r="262" spans="1:1" ht="20.100000000000001" customHeight="1" x14ac:dyDescent="0.3">
      <c r="A262" s="20" t="s">
        <v>152</v>
      </c>
    </row>
    <row r="263" spans="1:1" ht="20.100000000000001" customHeight="1" x14ac:dyDescent="0.3">
      <c r="A263" s="25" t="s">
        <v>153</v>
      </c>
    </row>
    <row r="264" spans="1:1" ht="20.100000000000001" customHeight="1" x14ac:dyDescent="0.3">
      <c r="A264" s="25" t="s">
        <v>154</v>
      </c>
    </row>
    <row r="265" spans="1:1" ht="20.100000000000001" customHeight="1" x14ac:dyDescent="0.3">
      <c r="A265" s="25" t="s">
        <v>155</v>
      </c>
    </row>
    <row r="266" spans="1:1" ht="20.100000000000001" customHeight="1" x14ac:dyDescent="0.3">
      <c r="A266" s="20" t="s">
        <v>156</v>
      </c>
    </row>
    <row r="267" spans="1:1" ht="20.100000000000001" customHeight="1" x14ac:dyDescent="0.3">
      <c r="A267" s="20" t="s">
        <v>157</v>
      </c>
    </row>
    <row r="268" spans="1:1" ht="20.100000000000001" customHeight="1" x14ac:dyDescent="0.3">
      <c r="A268" s="20" t="s">
        <v>158</v>
      </c>
    </row>
    <row r="269" spans="1:1" ht="20.100000000000001" customHeight="1" x14ac:dyDescent="0.3">
      <c r="A269" s="20" t="s">
        <v>159</v>
      </c>
    </row>
    <row r="270" spans="1:1" ht="20.100000000000001" customHeight="1" x14ac:dyDescent="0.3">
      <c r="A270" s="25" t="s">
        <v>160</v>
      </c>
    </row>
    <row r="271" spans="1:1" ht="20.100000000000001" customHeight="1" x14ac:dyDescent="0.3">
      <c r="A271" s="25" t="s">
        <v>161</v>
      </c>
    </row>
    <row r="272" spans="1:1" ht="20.100000000000001" customHeight="1" x14ac:dyDescent="0.3">
      <c r="A272" s="20" t="s">
        <v>162</v>
      </c>
    </row>
    <row r="273" spans="1:1" ht="20.100000000000001" customHeight="1" x14ac:dyDescent="0.3">
      <c r="A273" s="25" t="s">
        <v>163</v>
      </c>
    </row>
    <row r="274" spans="1:1" ht="20.100000000000001" customHeight="1" x14ac:dyDescent="0.3">
      <c r="A274" s="25" t="s">
        <v>164</v>
      </c>
    </row>
    <row r="275" spans="1:1" ht="20.100000000000001" customHeight="1" x14ac:dyDescent="0.3">
      <c r="A275" s="20" t="s">
        <v>165</v>
      </c>
    </row>
    <row r="276" spans="1:1" ht="20.100000000000001" customHeight="1" x14ac:dyDescent="0.3">
      <c r="A276" s="20" t="s">
        <v>166</v>
      </c>
    </row>
    <row r="277" spans="1:1" ht="20.100000000000001" customHeight="1" x14ac:dyDescent="0.3">
      <c r="A277" s="25" t="s">
        <v>167</v>
      </c>
    </row>
    <row r="278" spans="1:1" ht="20.100000000000001" customHeight="1" x14ac:dyDescent="0.3">
      <c r="A278" s="20" t="s">
        <v>168</v>
      </c>
    </row>
    <row r="279" spans="1:1" ht="20.100000000000001" customHeight="1" x14ac:dyDescent="0.3">
      <c r="A279" s="20" t="s">
        <v>169</v>
      </c>
    </row>
    <row r="280" spans="1:1" ht="20.100000000000001" customHeight="1" x14ac:dyDescent="0.3">
      <c r="A280" s="20" t="s">
        <v>170</v>
      </c>
    </row>
    <row r="281" spans="1:1" ht="20.100000000000001" customHeight="1" x14ac:dyDescent="0.3">
      <c r="A281" s="20" t="s">
        <v>171</v>
      </c>
    </row>
    <row r="282" spans="1:1" ht="20.100000000000001" customHeight="1" x14ac:dyDescent="0.3">
      <c r="A282" s="25" t="s">
        <v>172</v>
      </c>
    </row>
    <row r="283" spans="1:1" ht="20.100000000000001" customHeight="1" x14ac:dyDescent="0.3">
      <c r="A283" s="25" t="s">
        <v>173</v>
      </c>
    </row>
    <row r="284" spans="1:1" ht="20.100000000000001" customHeight="1" x14ac:dyDescent="0.3">
      <c r="A284" s="25" t="s">
        <v>174</v>
      </c>
    </row>
    <row r="285" spans="1:1" ht="20.100000000000001" customHeight="1" thickBot="1" x14ac:dyDescent="0.35">
      <c r="A285" s="20" t="s">
        <v>175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2025-10-08T21:24:36Z</dcterms:modified>
</cp:coreProperties>
</file>