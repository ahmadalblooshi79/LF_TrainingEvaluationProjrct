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38A5F9BA-1C40-5A43-9003-07509B85FFFE}"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التقييم'!$A$1:$J$59</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 l="1"/>
  <c r="H11" i="2"/>
  <c r="G12" i="2"/>
  <c r="H12" i="2"/>
  <c r="G13" i="2"/>
  <c r="H13" i="2"/>
  <c r="G14" i="2"/>
  <c r="H14" i="2"/>
  <c r="G15" i="2"/>
  <c r="H15" i="2"/>
  <c r="G16" i="2"/>
  <c r="H16" i="2"/>
  <c r="G17" i="2"/>
  <c r="H17" i="2"/>
  <c r="G18" i="2"/>
  <c r="H18" i="2"/>
  <c r="G19" i="2"/>
  <c r="H19" i="2"/>
  <c r="G20" i="2"/>
  <c r="H20" i="2"/>
  <c r="G23" i="2"/>
  <c r="H23" i="2"/>
  <c r="G24" i="2"/>
  <c r="H24" i="2"/>
  <c r="G26" i="2"/>
  <c r="H26" i="2"/>
  <c r="G27" i="2"/>
  <c r="H27" i="2"/>
  <c r="G28" i="2"/>
  <c r="H28" i="2"/>
  <c r="G29" i="2"/>
  <c r="H29" i="2"/>
  <c r="G30" i="2"/>
  <c r="H30" i="2"/>
  <c r="G31" i="2"/>
  <c r="H31" i="2"/>
  <c r="G32" i="2"/>
  <c r="H32" i="2"/>
  <c r="G33" i="2"/>
  <c r="H33" i="2"/>
  <c r="G34" i="2"/>
  <c r="H34" i="2"/>
  <c r="G36" i="2"/>
  <c r="H36" i="2"/>
  <c r="G37" i="2"/>
  <c r="H37" i="2"/>
  <c r="G38" i="2"/>
  <c r="H38" i="2"/>
  <c r="G39" i="2"/>
  <c r="H39" i="2"/>
  <c r="G40" i="2"/>
  <c r="H40" i="2"/>
  <c r="G41" i="2"/>
  <c r="H41" i="2"/>
  <c r="G42" i="2"/>
  <c r="H42" i="2"/>
  <c r="G43" i="2"/>
  <c r="H43" i="2"/>
  <c r="G44" i="2"/>
  <c r="H44" i="2"/>
  <c r="G45" i="2"/>
  <c r="H45" i="2"/>
  <c r="G46" i="2"/>
  <c r="H46" i="2"/>
  <c r="G47" i="2"/>
  <c r="H47" i="2"/>
  <c r="G49" i="2"/>
  <c r="H49" i="2"/>
  <c r="G50" i="2"/>
  <c r="H50" i="2"/>
  <c r="G51" i="2"/>
  <c r="H51" i="2"/>
  <c r="G52" i="2"/>
  <c r="H52" i="2"/>
  <c r="G53" i="2"/>
  <c r="H53" i="2"/>
  <c r="G54" i="2"/>
  <c r="H54" i="2"/>
  <c r="F55" i="2"/>
  <c r="E55" i="2"/>
  <c r="E56" i="2"/>
  <c r="E57" i="2"/>
</calcChain>
</file>

<file path=xl/sharedStrings.xml><?xml version="1.0" encoding="utf-8"?>
<sst xmlns="http://schemas.openxmlformats.org/spreadsheetml/2006/main" count="280" uniqueCount="224">
  <si>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</si>
  <si>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</si>
  <si>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</si>
  <si>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</si>
  <si>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</si>
  <si>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</si>
  <si>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</si>
  <si>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</si>
  <si>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</si>
  <si>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</si>
  <si>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</si>
  <si>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</si>
  <si>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</si>
  <si>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</si>
  <si>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</si>
  <si>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</si>
  <si>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</si>
  <si>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</si>
  <si>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</si>
  <si>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</si>
  <si>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</si>
  <si>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</si>
  <si>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</si>
  <si>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</si>
  <si>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</si>
  <si>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</si>
  <si>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</si>
  <si>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</si>
  <si>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</si>
  <si>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</si>
  <si>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</si>
  <si>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</si>
  <si>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</si>
  <si>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</si>
  <si>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</si>
  <si>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</si>
  <si>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</si>
  <si>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</si>
  <si>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</si>
  <si>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</si>
  <si>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</si>
  <si>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</si>
  <si>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</si>
  <si>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</si>
  <si>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</si>
  <si>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</si>
  <si>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</si>
  <si>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</si>
  <si>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</si>
  <si>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</si>
  <si>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</si>
  <si>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</si>
  <si>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</si>
  <si>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</si>
  <si>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</si>
  <si>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</si>
  <si>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</si>
  <si>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</si>
  <si>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</si>
  <si>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</si>
  <si>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</si>
  <si>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</si>
  <si>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</si>
  <si>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</si>
  <si>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</si>
  <si>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</si>
  <si>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</si>
  <si>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</si>
  <si>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</si>
  <si>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</si>
  <si>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</si>
  <si>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</si>
  <si>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</si>
  <si>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</si>
  <si>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</si>
  <si>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</si>
  <si>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</si>
  <si>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</si>
  <si>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</si>
  <si>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</si>
  <si>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</si>
  <si>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</si>
  <si>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</si>
  <si>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</si>
  <si>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</si>
  <si>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</si>
  <si>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</si>
  <si>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</si>
  <si>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</si>
  <si>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</si>
  <si>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</si>
  <si>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</si>
  <si>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</si>
  <si>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</si>
  <si>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</si>
  <si>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</si>
  <si>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</si>
  <si>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</si>
  <si>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</si>
  <si>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</si>
  <si>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</si>
  <si>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</si>
  <si>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</si>
  <si>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</si>
  <si>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</si>
  <si>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</si>
  <si>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</si>
  <si>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</si>
  <si>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</si>
  <si>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</si>
  <si>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</si>
  <si>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</si>
  <si>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</si>
  <si>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</si>
  <si>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</si>
  <si>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</si>
  <si>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</si>
  <si>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</si>
  <si>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</si>
  <si>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</si>
  <si>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</si>
  <si>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</si>
  <si>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</si>
  <si>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</si>
  <si>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</si>
  <si>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</si>
  <si>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</si>
  <si>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</si>
  <si>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</si>
  <si>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</si>
  <si>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</si>
  <si>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</si>
  <si>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</si>
  <si>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</si>
  <si>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</si>
  <si>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</si>
  <si>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</si>
  <si>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</si>
  <si>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</si>
  <si>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</si>
  <si>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</si>
  <si>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</si>
  <si>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</si>
  <si>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</si>
  <si>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</si>
  <si>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</si>
  <si>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</si>
  <si>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</si>
  <si>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</si>
  <si>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</si>
  <si>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</si>
  <si>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</si>
  <si>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</si>
  <si>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</si>
  <si>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</si>
  <si>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</si>
  <si>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</si>
  <si>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</si>
  <si>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</si>
  <si>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</si>
  <si>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</si>
  <si>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</si>
  <si>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</si>
  <si>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</si>
  <si>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</si>
  <si>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</si>
  <si>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</si>
  <si>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</si>
  <si>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</si>
  <si>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</si>
  <si>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</si>
  <si>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</si>
  <si>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</si>
  <si>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</si>
  <si>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</si>
  <si>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</si>
  <si>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</si>
  <si>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t>(3)   ممرات الحركة من منطقة التجمع وحتى الأهداف.</t>
  </si>
  <si>
    <t>(4)   تأشير خط البدء وخط الانفتاح المحتمل.</t>
  </si>
  <si>
    <t>(5)   تحديد / تأشير الأماكن المحتملة أو المؤكدة لموانع العدو (حسب المعلومات الاستخبارية من المستوى الأعلى).</t>
  </si>
  <si>
    <t>(6)   تأشير الأماكن المحتملة لكمائن العدو على طول طرق الحركة.</t>
  </si>
  <si>
    <t>جـ.   الحصول على المعلومات الاستخبارية من المستوى الأعلى.</t>
  </si>
  <si>
    <t>إجراءات التحضير.</t>
  </si>
  <si>
    <t>أ.    أسلوب الحركة والتشكيلة حتى منطقة التشكيل.</t>
  </si>
  <si>
    <t>ب.  الحركة من منطقة التشكيل وحتى موقع فتح الثغرة.</t>
  </si>
  <si>
    <t>جـ.  العمل عند التماس مع العدو أثناء الحركة مثل (الكمائن، الهجمات التخريبية، القصف المدفعي، الهجوم الجوي، ... إلخ)..</t>
  </si>
  <si>
    <r>
      <t>د.   إجراءات فتح الثغرة</t>
    </r>
    <r>
      <rPr>
        <b/>
        <sz val="12"/>
        <color rgb="FF000000"/>
        <rFont val="Arial"/>
        <family val="2"/>
      </rPr>
      <t>.</t>
    </r>
  </si>
  <si>
    <t>هـ.   إجراءات السيطرة لتقديم نيران الإسناد لعناصر الهندسة.</t>
  </si>
  <si>
    <t>و.   إجراءات التنسيق مع باقي الوحدات(عناصر الهندسة، قاعدة الإسناد بالنيران، الإسناد الناري وقوات الاقتحام).</t>
  </si>
  <si>
    <t>ز.  الخطط الطارئة والتي تشمل (الهجمات المعاكسة المحتملة من قبل العدو، والهجمات من قبل أنظمة النيران غير المباشرة للعدو مثل المدفعية، الصواريخ، الطائرات العمودية الهجومية، والقدرات الجوية الأُخرى).</t>
  </si>
  <si>
    <t>إجراءات التنفيذ.</t>
  </si>
  <si>
    <t>أ.    يتحرك أحد فصائل السرية ويجتاز الثغرة بتشكيلة خط منفرد تحت إسناد بقية الفصائل ورماية الهاون ويحتل مواقع رمي على الطرف البعيد.</t>
  </si>
  <si>
    <t>ب.    تتحرك باقي فصائل السرية وتستكمل عملية الحماية على الجانب البعيد من المانع.</t>
  </si>
  <si>
    <r>
      <t>1.</t>
    </r>
    <r>
      <rPr>
        <sz val="7"/>
        <color theme="1"/>
        <rFont val="Arial"/>
        <family val="2"/>
      </rPr>
      <t xml:space="preserve"> </t>
    </r>
    <r>
      <rPr>
        <sz val="12"/>
        <color rgb="FF000000"/>
        <rFont val="Arial"/>
        <family val="2"/>
      </rPr>
      <t xml:space="preserve">   تستلم السرية أمر العمليات من المستوى الأعلى ويتم القيام بما يلي:</t>
    </r>
  </si>
  <si>
    <r>
      <t>أ‌.</t>
    </r>
    <r>
      <rPr>
        <sz val="7"/>
        <color rgb="FF000000"/>
        <rFont val="Arial"/>
        <family val="2"/>
      </rPr>
      <t xml:space="preserve">      </t>
    </r>
    <r>
      <rPr>
        <sz val="12"/>
        <color rgb="FF000000"/>
        <rFont val="Arial"/>
        <family val="2"/>
      </rPr>
      <t xml:space="preserve">   البدء بإجراءات التخطيط من خلال إجراءات المعركة الثمانية </t>
    </r>
    <r>
      <rPr>
        <sz val="12"/>
        <color theme="1"/>
        <rFont val="Arial"/>
        <family val="2"/>
      </rPr>
      <t>(استلام المهمة - إصدار الأمر الإنذاري - عمل خطة أولية - بدء الحركة – الاستطلاع - إكمال الخطة - إصدار الأمر – الإشراف والمراقبة)</t>
    </r>
    <r>
      <rPr>
        <sz val="12"/>
        <color rgb="FF000000"/>
        <rFont val="Arial"/>
        <family val="2"/>
      </rPr>
      <t>.</t>
    </r>
  </si>
  <si>
    <r>
      <t>ب‌.</t>
    </r>
    <r>
      <rPr>
        <sz val="7"/>
        <color rgb="FF000000"/>
        <rFont val="Arial"/>
        <family val="2"/>
      </rPr>
      <t xml:space="preserve">    </t>
    </r>
    <r>
      <rPr>
        <sz val="12"/>
        <color rgb="FF000000"/>
        <rFont val="Arial"/>
        <family val="2"/>
      </rPr>
      <t xml:space="preserve"> تنفيذ الاستطلاع من الخارطة وتحديد ما يلي بشكل أولي:</t>
    </r>
  </si>
  <si>
    <r>
      <t>(1)</t>
    </r>
    <r>
      <rPr>
        <sz val="7"/>
        <color rgb="FF000000"/>
        <rFont val="Arial"/>
        <family val="2"/>
      </rPr>
      <t xml:space="preserve">  </t>
    </r>
    <r>
      <rPr>
        <sz val="12"/>
        <color rgb="FF000000"/>
        <rFont val="Arial"/>
        <family val="2"/>
      </rPr>
      <t xml:space="preserve"> مناطق التجمع للفصائل والوحدات المساندة للسرايا.</t>
    </r>
  </si>
  <si>
    <r>
      <t>(2)</t>
    </r>
    <r>
      <rPr>
        <sz val="7"/>
        <color rgb="FF000000"/>
        <rFont val="Arial"/>
        <family val="2"/>
      </rPr>
      <t xml:space="preserve">  </t>
    </r>
    <r>
      <rPr>
        <sz val="12"/>
        <color rgb="FF000000"/>
        <rFont val="Arial"/>
        <family val="2"/>
      </rPr>
      <t xml:space="preserve"> طرق الحركة لمنطقة التجمع.</t>
    </r>
  </si>
  <si>
    <r>
      <t>2.</t>
    </r>
    <r>
      <rPr>
        <sz val="7"/>
        <color theme="1"/>
        <rFont val="Arial"/>
        <family val="2"/>
      </rPr>
      <t xml:space="preserve"> </t>
    </r>
    <r>
      <rPr>
        <sz val="12"/>
        <color rgb="FF000000"/>
        <rFont val="Arial"/>
        <family val="2"/>
      </rPr>
      <t xml:space="preserve">  إصدار أمر العمليات للوحدات المرؤوسة، وتقديم ايجازات تأكيدية من قبل القادة المرؤوسين للتأكد من أنهم يفهمون قصد قائد السرية ومفهوم عملياته.</t>
    </r>
  </si>
  <si>
    <r>
      <t>1.</t>
    </r>
    <r>
      <rPr>
        <sz val="7"/>
        <color rgb="FF000000"/>
        <rFont val="Arial"/>
        <family val="2"/>
      </rPr>
      <t xml:space="preserve">   </t>
    </r>
    <r>
      <rPr>
        <sz val="12"/>
        <color rgb="FF000000"/>
        <rFont val="Arial"/>
        <family val="2"/>
      </rPr>
      <t xml:space="preserve">  تنقيح الخطة بناءً على الاستخبارات المحدثة باستمرار. </t>
    </r>
  </si>
  <si>
    <r>
      <t>2.</t>
    </r>
    <r>
      <rPr>
        <sz val="7"/>
        <color rgb="FF000000"/>
        <rFont val="Arial"/>
        <family val="2"/>
      </rPr>
      <t xml:space="preserve">   </t>
    </r>
    <r>
      <rPr>
        <sz val="12"/>
        <color rgb="FF000000"/>
        <rFont val="Arial"/>
        <family val="2"/>
      </rPr>
      <t xml:space="preserve">  الإشراف على إجراءات المعركة للفصائل لضمان أن إجراءات التخطيط والتحضير تتم بطريقة صحيحة وتتفق مع قصد القائد.</t>
    </r>
  </si>
  <si>
    <r>
      <t>3.</t>
    </r>
    <r>
      <rPr>
        <sz val="7"/>
        <color theme="1"/>
        <rFont val="Arial"/>
        <family val="2"/>
      </rPr>
      <t xml:space="preserve">  </t>
    </r>
    <r>
      <rPr>
        <sz val="12"/>
        <color rgb="FF000000"/>
        <rFont val="Arial"/>
        <family val="2"/>
      </rPr>
      <t xml:space="preserve">  تنفيذ التجارب على إجراءات فتح الثغرة بمشاركة جميع العناصر المعنية بفتح الثغرة (الهندسة، وحدات المناورة، النيران) وذلك لضمان توحيد وتنسيق الإجراءات بين جميع العناصر، ويتم التركيز خلال التجارب على ما يلي:</t>
    </r>
    <r>
      <rPr>
        <sz val="14"/>
        <color theme="1"/>
        <rFont val="Arial"/>
        <family val="2"/>
      </rPr>
      <t xml:space="preserve">  </t>
    </r>
  </si>
  <si>
    <r>
      <t>4.</t>
    </r>
    <r>
      <rPr>
        <sz val="7"/>
        <color theme="1"/>
        <rFont val="Arial"/>
        <family val="2"/>
      </rPr>
      <t xml:space="preserve">  </t>
    </r>
    <r>
      <rPr>
        <sz val="12"/>
        <color rgb="FF000000"/>
        <rFont val="Arial"/>
        <family val="2"/>
      </rPr>
      <t xml:space="preserve">  إجراء التعديلات على الخطة بناءً على التجارب وحسب الحاجة.</t>
    </r>
  </si>
  <si>
    <r>
      <t>5.</t>
    </r>
    <r>
      <rPr>
        <sz val="7"/>
        <color theme="1"/>
        <rFont val="Arial"/>
        <family val="2"/>
      </rPr>
      <t xml:space="preserve">  </t>
    </r>
    <r>
      <rPr>
        <sz val="12"/>
        <color rgb="FF000000"/>
        <rFont val="Arial"/>
        <family val="2"/>
      </rPr>
      <t>توضيع القوات للحركة إلى منطقة التجمع.</t>
    </r>
  </si>
  <si>
    <r>
      <t>1.</t>
    </r>
    <r>
      <rPr>
        <sz val="7"/>
        <color rgb="FF000000"/>
        <rFont val="Arial"/>
        <family val="2"/>
      </rPr>
      <t xml:space="preserve">   </t>
    </r>
    <r>
      <rPr>
        <sz val="12"/>
        <color rgb="FF000000"/>
        <rFont val="Arial"/>
        <family val="2"/>
      </rPr>
      <t xml:space="preserve">    بالأمر أو حسب التوقيتات الموضوعة في أمر العمليات، تتحرك السرية من منطقة التجمع إلى منطقة التشكيل بأسلوب حركة وتشكيلة مناسبين.</t>
    </r>
  </si>
  <si>
    <r>
      <t>2.</t>
    </r>
    <r>
      <rPr>
        <sz val="7"/>
        <color rgb="FF000000"/>
        <rFont val="Arial"/>
        <family val="2"/>
      </rPr>
      <t xml:space="preserve">   </t>
    </r>
    <r>
      <rPr>
        <sz val="12"/>
        <color rgb="FF000000"/>
        <rFont val="Arial"/>
        <family val="2"/>
      </rPr>
      <t xml:space="preserve">   يسيطر قائد السرية على الحركة على طول الطريق ويعدل التشكيلة وأسلوب الحركة والسرعة والمسافة بين الوحدات حسب طبيعة الأرض والموقف.</t>
    </r>
  </si>
  <si>
    <r>
      <t>3.</t>
    </r>
    <r>
      <rPr>
        <sz val="7"/>
        <color rgb="FF000000"/>
        <rFont val="Arial"/>
        <family val="2"/>
      </rPr>
      <t xml:space="preserve">   </t>
    </r>
    <r>
      <rPr>
        <sz val="12"/>
        <color rgb="FF000000"/>
        <rFont val="Arial"/>
        <family val="2"/>
      </rPr>
      <t xml:space="preserve">  تطبيق إجراءات التماس مع العدو إذا حصل أثناء الحركة.</t>
    </r>
  </si>
  <si>
    <r>
      <t>4.</t>
    </r>
    <r>
      <rPr>
        <sz val="7"/>
        <color rgb="FF000000"/>
        <rFont val="Arial"/>
        <family val="2"/>
      </rPr>
      <t xml:space="preserve">   </t>
    </r>
    <r>
      <rPr>
        <sz val="12"/>
        <color rgb="FF000000"/>
        <rFont val="Arial"/>
        <family val="2"/>
      </rPr>
      <t xml:space="preserve">  على مسافة (6 – 8) كم من الحد الأمامي لمنطقة معركة العدو، تبدأ السرية بالتحول من تشكيل المسير إلى تشكيل ما قبل المعركة (خط الفتح التعبوي) (التحول من تشكيل ارتال كتائب الى ارتال سرايا).</t>
    </r>
  </si>
  <si>
    <r>
      <t>5.</t>
    </r>
    <r>
      <rPr>
        <sz val="7"/>
        <color rgb="FF000000"/>
        <rFont val="Arial"/>
        <family val="2"/>
      </rPr>
      <t xml:space="preserve">   </t>
    </r>
    <r>
      <rPr>
        <sz val="12"/>
        <color rgb="FF000000"/>
        <rFont val="Arial"/>
        <family val="2"/>
      </rPr>
      <t xml:space="preserve">   قبل الوصول إلى منطقة التشكيل تنفصل قوة الإسناد وتحتل مواقعها (قاعدة الإسناد بالنيران).</t>
    </r>
  </si>
  <si>
    <r>
      <t>6.</t>
    </r>
    <r>
      <rPr>
        <sz val="7"/>
        <color rgb="FF000000"/>
        <rFont val="Arial"/>
        <family val="2"/>
      </rPr>
      <t xml:space="preserve">   </t>
    </r>
    <r>
      <rPr>
        <sz val="12"/>
        <color rgb="FF000000"/>
        <rFont val="Arial"/>
        <family val="2"/>
      </rPr>
      <t xml:space="preserve">  عندما تبدأ قاعدة الإسناد والنيران غير المباشرة بتقديم الإسناد وإسكات قوات العدو، يتحرك قائد قوة فتح الثغرة (قائد السرية) مع عنصر الأمن والحماية، لتأسيس الحماية على الجانب القريب من المانع.</t>
    </r>
  </si>
  <si>
    <r>
      <t>7.</t>
    </r>
    <r>
      <rPr>
        <sz val="7"/>
        <color rgb="FF000000"/>
        <rFont val="Arial"/>
        <family val="2"/>
      </rPr>
      <t xml:space="preserve">   </t>
    </r>
    <r>
      <rPr>
        <sz val="12"/>
        <color rgb="FF000000"/>
        <rFont val="Arial"/>
        <family val="2"/>
      </rPr>
      <t xml:space="preserve">  عندما ينفتح عنصر الأمن والحماية في موقعه، يقوم قائد عنصر فتح الثغرة (ضابط الهندسة) بإجراء استطلاع للحصول على معلومات المانع ويؤكد/ يدقق خطته لفتح الثغرة في المانع.</t>
    </r>
  </si>
  <si>
    <r>
      <t>8.</t>
    </r>
    <r>
      <rPr>
        <sz val="7"/>
        <color rgb="FF000000"/>
        <rFont val="Arial"/>
        <family val="2"/>
      </rPr>
      <t xml:space="preserve">   </t>
    </r>
    <r>
      <rPr>
        <sz val="12"/>
        <color rgb="FF000000"/>
        <rFont val="Arial"/>
        <family val="2"/>
      </rPr>
      <t xml:space="preserve">  يقوم قائد عنصر فتح الثغرة بالإبلاغ بدقة عن مكان فتح الثغرة، والوقت المقدر لفتح الثغرة، والتأكد من تطهيره وتأشيره.</t>
    </r>
  </si>
  <si>
    <r>
      <t>9.</t>
    </r>
    <r>
      <rPr>
        <sz val="7"/>
        <color rgb="FF000000"/>
        <rFont val="Arial"/>
        <family val="2"/>
      </rPr>
      <t xml:space="preserve">   </t>
    </r>
    <r>
      <rPr>
        <sz val="12"/>
        <color rgb="FF000000"/>
        <rFont val="Arial"/>
        <family val="2"/>
      </rPr>
      <t xml:space="preserve">  تتحرك وحدات الحماية لاحتلال مواقع لها في الجانب القريب من المانع وتبدأ بمشاغلة قوات العدو في المنطقة البعيدة للمانع للتقليل من تدخل العدو في عملية فتح الثغرة وتوفير الحماية لعناصر فتح الثغرة.</t>
    </r>
  </si>
  <si>
    <r>
      <t>10.</t>
    </r>
    <r>
      <rPr>
        <sz val="7"/>
        <color rgb="FF000000"/>
        <rFont val="Arial"/>
        <family val="2"/>
      </rPr>
      <t xml:space="preserve">    </t>
    </r>
    <r>
      <rPr>
        <sz val="12"/>
        <color rgb="FF000000"/>
        <rFont val="Arial"/>
        <family val="2"/>
      </rPr>
      <t xml:space="preserve">  تتحرك قوة فتح الثغرة (تتكون من قدرات ومعدات هندسية لفتح الثغرة وجماعة هندسة ميدان لأغراض التأشير وخدمات الإسناد الفني والطبي والشرطة العسكرية) باتجاه حقل الألغام تحت إسناد عناصر الحماية.</t>
    </r>
  </si>
  <si>
    <r>
      <t>11.</t>
    </r>
    <r>
      <rPr>
        <sz val="7"/>
        <color rgb="FF000000"/>
        <rFont val="Arial"/>
        <family val="2"/>
      </rPr>
      <t xml:space="preserve">    </t>
    </r>
    <r>
      <rPr>
        <sz val="12"/>
        <color rgb="FF000000"/>
        <rFont val="Arial"/>
        <family val="2"/>
      </rPr>
      <t xml:space="preserve">  تقوم عناصر الهندسة بفتح الثغرات في حقل الألغام. </t>
    </r>
  </si>
  <si>
    <r>
      <t>12.</t>
    </r>
    <r>
      <rPr>
        <sz val="7"/>
        <color rgb="FF000000"/>
        <rFont val="Arial"/>
        <family val="2"/>
      </rPr>
      <t xml:space="preserve">    </t>
    </r>
    <r>
      <rPr>
        <sz val="12"/>
        <color rgb="FF000000"/>
        <rFont val="Arial"/>
        <family val="2"/>
      </rPr>
      <t xml:space="preserve">  تستمر فصائل السرية بتأمين الحماية القريبة لقوة فتح الثغرة أثناء تنفيذها.</t>
    </r>
  </si>
  <si>
    <r>
      <t>13.</t>
    </r>
    <r>
      <rPr>
        <sz val="7"/>
        <color rgb="FF000000"/>
        <rFont val="Arial"/>
        <family val="2"/>
      </rPr>
      <t xml:space="preserve">    </t>
    </r>
    <r>
      <rPr>
        <sz val="12"/>
        <color rgb="FF000000"/>
        <rFont val="Arial"/>
        <family val="2"/>
      </rPr>
      <t xml:space="preserve"> عند اكتمال فتح الثغرة يؤسس قائد قوة فتح الثغرة الأمن والحماية المحلية على الجانب البعيد من المانع كما يلي: </t>
    </r>
  </si>
  <si>
    <r>
      <t>14.</t>
    </r>
    <r>
      <rPr>
        <sz val="7"/>
        <color rgb="FF000000"/>
        <rFont val="Arial"/>
        <family val="2"/>
      </rPr>
      <t xml:space="preserve">    </t>
    </r>
    <r>
      <rPr>
        <sz val="12"/>
        <color rgb="FF000000"/>
        <rFont val="Arial"/>
        <family val="2"/>
      </rPr>
      <t xml:space="preserve">  يبلغ قائد السرية قيادة الكتيبة/ مجموعة القتال عن الانتهاء من عملية فتح الثغرة باستخدام اجهزة الاتصالات والوسائل الاخرى.</t>
    </r>
  </si>
  <si>
    <r>
      <t>15.</t>
    </r>
    <r>
      <rPr>
        <sz val="7"/>
        <color rgb="FF000000"/>
        <rFont val="Arial"/>
        <family val="2"/>
      </rPr>
      <t xml:space="preserve">    </t>
    </r>
    <r>
      <rPr>
        <sz val="12"/>
        <color rgb="FF000000"/>
        <rFont val="Arial"/>
        <family val="2"/>
      </rPr>
      <t xml:space="preserve">  تقوم قوة الاقتحام بالتحرك من خلال الثغرات وبإسناد من قوة فتح الثغرة وتقتحم أهداف العدو وحسب الخطة الموضوعة.</t>
    </r>
  </si>
  <si>
    <r>
      <t>16.</t>
    </r>
    <r>
      <rPr>
        <sz val="7"/>
        <color rgb="FF000000"/>
        <rFont val="Arial"/>
        <family val="2"/>
      </rPr>
      <t xml:space="preserve">    </t>
    </r>
    <r>
      <rPr>
        <sz val="12"/>
        <color rgb="FF000000"/>
        <rFont val="Arial"/>
        <family val="2"/>
      </rPr>
      <t xml:space="preserve">  بعد انتهاء مرحلة الاقتحام والتوسع على الهدف، تستعد قوة فتح الثغرة للتحرك للأمام للالتحاق بالكتيبة/ مجموعة القتال. </t>
    </r>
  </si>
  <si>
    <r>
      <t>17.</t>
    </r>
    <r>
      <rPr>
        <sz val="7"/>
        <color rgb="FF000000"/>
        <rFont val="Arial"/>
        <family val="2"/>
      </rPr>
      <t xml:space="preserve">    </t>
    </r>
    <r>
      <rPr>
        <sz val="12"/>
        <color rgb="FF000000"/>
        <rFont val="Arial"/>
        <family val="2"/>
      </rPr>
      <t xml:space="preserve"> التثبت وإعادة التنظيم والاستعداد للعمليات المستقبلية.</t>
    </r>
  </si>
  <si>
    <t>ملاحظة: يتم التخطيط لهذا الواجب بنفس الأسلوب وبنفس الإجراءات للهجوم المدبر.</t>
  </si>
  <si>
    <t>ملاحظة: يتم التحضير للهجوم في منطقة الحشد قبل الحركة إلى منطقة التجمع ويشمل التحضير الأفراد والمعدات والأسلحة والآليات ويتم تنفيذ الإجراءات التالية:</t>
  </si>
  <si>
    <r>
      <rPr>
        <b/>
        <sz val="14"/>
        <color rgb="FF000000"/>
        <rFont val="Arial"/>
        <family val="2"/>
      </rPr>
      <t>تقييم سرية فريق القتال المشاة الآلي/الدروع في تنفيذ الهجوم المدبر (فتح الثغرة)</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</si>
</sst>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4"/>
      <color theme="1"/>
      <name val="Arial"/>
      <family val="2"/>
    </font>
    <font>
      <sz val="12"/>
      <color theme="1"/>
      <name val="Arial"/>
      <family val="2"/>
    </font>
    <font>
      <sz val="10"/>
      <color theme="1"/>
      <name val="Arial"/>
      <family val="2"/>
    </font>
    <font>
      <sz val="7"/>
      <color theme="1"/>
      <name val="Arial"/>
      <family val="2"/>
    </font>
    <font>
      <sz val="7"/>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2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6" fillId="0" borderId="3" xfId="0" applyFont="1" applyBorder="1" applyAlignment="1">
      <alignment vertical="center" wrapText="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2" fillId="0" borderId="12" xfId="0" applyFont="1" applyBorder="1" applyAlignment="1">
      <alignment horizontal="center" vertical="center" wrapText="1"/>
    </xf>
    <xf numFmtId="0" fontId="1" fillId="5" borderId="24" xfId="0" applyFont="1" applyFill="1" applyBorder="1" applyAlignment="1">
      <alignment horizontal="right" vertical="center" wrapText="1" readingOrder="2"/>
    </xf>
    <xf numFmtId="0" fontId="1" fillId="5" borderId="25" xfId="0" applyFont="1" applyFill="1" applyBorder="1" applyAlignment="1">
      <alignment horizontal="right" vertical="center" wrapText="1" readingOrder="2"/>
    </xf>
    <xf numFmtId="0" fontId="1" fillId="5" borderId="26" xfId="0" applyFont="1" applyFill="1" applyBorder="1" applyAlignment="1">
      <alignment horizontal="right" vertical="center" wrapText="1" readingOrder="2"/>
    </xf>
    <xf numFmtId="0" fontId="13" fillId="0" borderId="23" xfId="0" applyFont="1" applyBorder="1" applyAlignment="1">
      <alignment horizontal="right" vertical="center" wrapText="1" readingOrder="2"/>
    </xf>
    <xf numFmtId="0" fontId="13" fillId="0" borderId="3" xfId="0" applyFont="1" applyBorder="1" applyAlignment="1">
      <alignment horizontal="right" vertical="center" wrapText="1" readingOrder="2"/>
    </xf>
    <xf numFmtId="0" fontId="13" fillId="0" borderId="23"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13" fillId="0" borderId="23" xfId="0" applyFont="1" applyBorder="1" applyAlignment="1">
      <alignment horizontal="right" vertical="center" wrapText="1" indent="4" readingOrder="2"/>
    </xf>
    <xf numFmtId="0" fontId="13" fillId="0" borderId="3" xfId="0" applyFont="1" applyBorder="1" applyAlignment="1">
      <alignment horizontal="right" vertical="center" wrapText="1" indent="4"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3" fillId="0" borderId="11" xfId="0" applyFont="1" applyBorder="1" applyAlignment="1">
      <alignment horizontal="right" vertical="center" wrapText="1" readingOrder="2"/>
    </xf>
    <xf numFmtId="0" fontId="13" fillId="0" borderId="12" xfId="0" applyFont="1" applyBorder="1" applyAlignment="1">
      <alignment horizontal="right" vertical="center" wrapText="1" readingOrder="2"/>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6</xdr:col>
      <xdr:colOff>502594</xdr:colOff>
      <xdr:row>58</xdr:row>
      <xdr:rowOff>74233</xdr:rowOff>
    </xdr:from>
    <xdr:to>
      <xdr:col>7</xdr:col>
      <xdr:colOff>575898</xdr:colOff>
      <xdr:row>58</xdr:row>
      <xdr:rowOff>491833</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75B44E78-85B2-F88B-6D60-B548505EFEE2}"/>
                </a:ext>
              </a:extLst>
            </xdr14:cNvPr>
            <xdr14:cNvContentPartPr/>
          </xdr14:nvContentPartPr>
          <xdr14:nvPr macro=""/>
          <xdr14:xfrm>
            <a:off x="10376275897" y="30520440"/>
            <a:ext cx="732240" cy="417600"/>
          </xdr14:xfrm>
        </xdr:contentPart>
      </mc:Choice>
      <mc:Fallback>
        <xdr:pic>
          <xdr:nvPicPr>
            <xdr:cNvPr id="2" name="Ink 1">
              <a:extLst>
                <a:ext uri="{FF2B5EF4-FFF2-40B4-BE49-F238E27FC236}">
                  <a16:creationId xmlns:a16="http://schemas.microsoft.com/office/drawing/2014/main" id="{75B44E78-85B2-F88B-6D60-B548505EFEE2}"/>
                </a:ext>
              </a:extLst>
            </xdr:cNvPr>
            <xdr:cNvPicPr/>
          </xdr:nvPicPr>
          <xdr:blipFill>
            <a:blip xmlns:r="http://schemas.openxmlformats.org/officeDocument/2006/relationships" r:embed="rId2"/>
            <a:stretch>
              <a:fillRect/>
            </a:stretch>
          </xdr:blipFill>
          <xdr:spPr>
            <a:xfrm>
              <a:off x="10376269777" y="30514320"/>
              <a:ext cx="744480" cy="429840"/>
            </a:xfrm>
            <a:prstGeom prst="rect">
              <a:avLst/>
            </a:prstGeom>
          </xdr:spPr>
        </xdr:pic>
      </mc:Fallback>
    </mc:AlternateContent>
    <xdr:clientData/>
  </xdr:twoCellAnchor>
  <xdr:twoCellAnchor editAs="oneCell">
    <xdr:from>
      <xdr:col>7</xdr:col>
      <xdr:colOff>597858</xdr:colOff>
      <xdr:row>58</xdr:row>
      <xdr:rowOff>214273</xdr:rowOff>
    </xdr:from>
    <xdr:to>
      <xdr:col>9</xdr:col>
      <xdr:colOff>582107</xdr:colOff>
      <xdr:row>58</xdr:row>
      <xdr:rowOff>545473</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E7158C49-6BB7-6B4B-59CC-CD8E8079801A}"/>
                </a:ext>
              </a:extLst>
            </xdr14:cNvPr>
            <xdr14:cNvContentPartPr/>
          </xdr14:nvContentPartPr>
          <xdr14:nvPr macro=""/>
          <xdr14:xfrm>
            <a:off x="10374951817" y="30660480"/>
            <a:ext cx="1302120" cy="331200"/>
          </xdr14:xfrm>
        </xdr:contentPart>
      </mc:Choice>
      <mc:Fallback>
        <xdr:pic>
          <xdr:nvPicPr>
            <xdr:cNvPr id="3" name="Ink 2">
              <a:extLst>
                <a:ext uri="{FF2B5EF4-FFF2-40B4-BE49-F238E27FC236}">
                  <a16:creationId xmlns:a16="http://schemas.microsoft.com/office/drawing/2014/main" id="{E7158C49-6BB7-6B4B-59CC-CD8E8079801A}"/>
                </a:ext>
              </a:extLst>
            </xdr:cNvPr>
            <xdr:cNvPicPr/>
          </xdr:nvPicPr>
          <xdr:blipFill>
            <a:blip xmlns:r="http://schemas.openxmlformats.org/officeDocument/2006/relationships" r:embed="rId4"/>
            <a:stretch>
              <a:fillRect/>
            </a:stretch>
          </xdr:blipFill>
          <xdr:spPr>
            <a:xfrm>
              <a:off x="10374945697" y="30654360"/>
              <a:ext cx="1314360" cy="3434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19:01.896"/>
    </inkml:context>
    <inkml:brush xml:id="br0">
      <inkml:brushProperty name="width" value="0.035" units="cm"/>
      <inkml:brushProperty name="height" value="0.035" units="cm"/>
    </inkml:brush>
  </inkml:definitions>
  <inkml:trace contextRef="#ctx0" brushRef="#br0">1463 1159 6449,'0'0'0,"0"0"3041,0-4-793,0 4-2248,0-7 2064,2 1-287,-2 2-393,5 4-320,-5 0-1064,0 0 809,0-4-121,0 4-104,0-4-104,0 4-480,0-5 432,-7 1-88,5 4-16,-6-4-32,8 4-296,-2-4 384,2 0 0,0 0 48,-5-1 9,5 5-441,-2-4 456,2 0 40,0 0-24,0-2-24,0 6-448,0-4 416,0-3-80,-7 1-88,7 0 24,0 6-272,0-17 192,-5 13-136,-2-13 48,2 11-80,5 6-24,-7-25 80,2 6 16,-3 1 24,4 1-32,4 17-88,-22-19 104,22 1 88,-2-3 24,-15 2-47,17 19-169,-5-21 144,-2-2-24,-12 1-32,-1-3-200,20 25 112,-5-25 40,-21 0-56,19 4-88,-12-2 344,19 23-240,-8-19 16,4-2-48,-13 3 80,12-1-152,5 19 104,-3-19 24,-4 13 112,2-19-104,1 19 56,4 6-88,-8-21 64,6 15-152,-3-15 112,3 15 40,2 6-64,-7-21 40,2 15 8,0-15 40,5 4-88,0 17 0,-5-6-72,5-19 56,0 8-56,-2 1 96,2 16-24,0-6 96,0-17-56,0 16-24,-7-11-16,7 18 0,0-4-88,0-13 24,0 13 96,4 0 16,-4 4-48,3-7-152,-3 1 288,0 2-224,2 0-32,-2 4 120,3-4-136,16 4 136,-14-5 0,-5 5 0,16-4 0,4 4-80,1 0 24,1-4 40,-22 4 16,29 0 48,5 0-48,-13 0 24,3-4-112,-24 4 88,27 0 16,2-4-16,4 0 0,-2 0 48,-31 4-48,29-7-48,5 1-72,-3 0 88,5-11 152,-36 17-120,34-4 16,0-2 0,-5-13 0,-3 15-184,-26 4 168,27-17 16,1 13 32,-1-2 8,2-13 80,-29 19-136,21-4-40,-1-2 112,1-1-120,-4 1 24,-17 6 24,14-16 88,-4 11-56,7-1 24,-10 0-56,-7 6 0,7-17-32,8 13 16,-8-2 48,-2 0-88,-5 6 56,7-7 16,-5 1-96,1 6 48,-3-4 32,0 4 0,2 0-56,3 0 8,-5 0-112,0 0-48,0 0 208,-7 2-177,-8 4-87,6 1 160,-18 9-48,27-16 152,-19 6-88,-3 3 32,3 12-88,-5-15 160,24-6-16,-26 21-64,2-15 64,2 15 0,-9-5-8,31-16 8,-19 17-16,-10 0 160,2 1-144,-2 1-32,29-19 32,-26 17 48,-5 1-152,-1 1 32,3 0 88,29-19-16,-33 19-72,-1-1-16,-2 3 88,-2 0 56,38-21-56,-29 23 56,-3-2-40,-1-3 40,1 1-24,32-19-32,-28 19 0,-6-3-16,7 3-24,3-2 8,24-17 32,-26 8-56,4 13 112,-4-15-40,4 2-120,22-8 104,-19 9 88,12-1-56,-10 0-48,7-1 72,10-7-56,-5 6-40,-16-2 8,18 0-40,-16 0 72,19-4 0,-7 5-16,-12-1 16,14-2 104,0 0-48,5-2-56,-7 2 88,0 0-24,-1-2 80,-6 0-32,14 0-112,-5 0 152,-16-4-64,21-2-16,-17-1-56,17 7-16,-3-6 128,-4-13 9,-12 13-49,12-10 48,7 16-136,-27-7-48,22-14 80,-21 15-64,9-15 32,17 21 0,-19-6 136,2-13-88,0 13-64,-4-17 56,21 23-40,-17-16-56,-3-5-16,4 0 232,11 0-192,5 21 32,-29-23 120,7 3-16,5-1-72,-2 2 72,19 19-104,-5-19-88,-19 3 104,20 9 120,-16-11-224,20 18 88,-5 0 88,3-6-72,-5-1-32,4 3 56,3 4-40,0-4 32,-4 4 0,-1 0-32,5 0 16,0 0-16,-5 0-32,5 0 48,0 0-120,0 0 104,0 0-104,0 2-16,5 4 0,2 3 32,-7-9 88,10 16 8,4-10 8,-9 13 32,17-10-168,-22-9 120,16 20 16,-11-3-168,14 0 120,-14-1 168,-5-16-136,7 19-104,13-2 288,-18 1-304,8 1 224,-10-19-104,24 17-80,-19-1 80,11-9 80,-8 13-264,-8-20 184,4 7 120,4 11-280,-1-11 248,3 9-136,-10-16 48,7 6-16,0 11 96,0-11-144,-4 3 336,-3-9-272,2 8 56,-2 0-80,0 1 48,0-3-64,0-6 40,-5 6 24,-2 0 112,5-1-328,-3 1 104,5-6 88,-7 2 16,-13 2-16,3-2 312,10 0-192,7-2-120,-26 2-72,9 0 72,-10 0-120,6 0 24,21-2 96,-24 7-104,2-1 184,-2 0-40,-5 0 40,29-6-80,-21 7 120,-3-1-240,4 0 56,13 0 112,7-6-48,-31 7 24,24-1-48,4-4 48,-2 0-48,5-2 24,0 0 56,0 0 128,0-4-216,3 0-240,-3 4 272,2-4-192,1-3 88,1 1-72,-1 0 280,-3 6-104,0-6 40,9-11 152,-9 13-112,5 0 56,-5 4-136,3-5-48,-3 5-56,-3-4 160,-2 4-72,5 0 16,-7 0 136,-10 0-192,10 0 208,-12 0-152,19 0 0,-15 0 88,-6 0-104,4 0 120,0 0-32,17 0-72,-22 0-56,6 0 128,1 0-112,-4-4-96,19 4 136,-17-4-104,3-2-216,6 0-505,-18-15-631,26 21 1456,-17-4-2768,-2-17-2074,-20 21-1775,11-17-2017,28 17 8634,0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19:02.756"/>
    </inkml:context>
    <inkml:brush xml:id="br0">
      <inkml:brushProperty name="width" value="0.035" units="cm"/>
      <inkml:brushProperty name="height" value="0.035" units="cm"/>
    </inkml:brush>
  </inkml:definitions>
  <inkml:trace contextRef="#ctx0" brushRef="#br0">2021 300 14219,'0'0'0,"0"0"0,-7 0 1840,2 0 96,-14 0 25,19-5-57,0 5-1904,0 0 1368,7-4-743,10 4-425,-10 0-128,-7 0-72,29 0 16,-7 0 8,12 2 72,9 2 40,-43-4-136,43 7 200,15 1 64,2 0 264,5-1-88,-65-7-440,62 8 240,8-2 224,-12 2-16,9-1-248,-67-7-200,68 6 304,4 0-504,-2-2 376,-5 1 0,-65-5-176,64 0 232,-6 2 49,0-2 31,0 0 200,-58 0-512,55-5 456,-9-1 224,2-10-384,-5 9-80,-43 7-216,41-18 360,2 1-80,-7 11-176,-9-19-8,-27 25-96,17-17 144,7 0 24,-7 11 104,-8-17-32,-9 23-240,22-6 224,-17-13 0,4 13-191,6-13-33,-15 19 0,4-4 0,6-12 0,-10 11 0,0-1 0,0 6 0,0-16 0,-10 11 0,-16-1 0,7-13 0,19 19 0,-22-4 0,-2-12 0,-2 11 0,-6-13 0,32 18 0,-36-6 0,3-13 0,-6 15 0,1-3 0,38 7 0,-39-6 0,-7 2 0,1 4 0,-1 0 0,46 0 0,-55 0-161,-1 2-255,-6 4 272,4 13 400,58-19-256,-62 6-16,-3 13 144,9-13-48,-1 11 32,57-17-112,-63 6 48,5 2 16,-2 9-15,0-9-98,60-8 49,-60 21 0,-10-12-112,5 16-16,0-7-128,65-18 256,-67 23-16,0 0-80,-6 2-208,-4 4-240,77-29 544,-77 29-1136,-2 4 440,-3 3 408,1 1 592,81-37-304,-92 40 744,8-1-200,2-1-160,0 1-240,82-39-144,-84 36 184,7-1 8,-9 0 24,4-3-56,82-32-160,-77 31 176,-2-2-176,-1-2-16,6-2-16,74-25 32,-82 23-128,-2 0-80,2-5-184,-5-9-480,87-9 872,-79 18-1880,2-18-3610,-12 0-8513,89 0 14003</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9"/>
  <sheetViews>
    <sheetView rightToLeft="1" tabSelected="1" view="pageBreakPreview" topLeftCell="B1" zoomScale="130" zoomScaleNormal="100" zoomScaleSheetLayoutView="130" workbookViewId="0">
      <selection activeCell="G59" sqref="G59:J59"/>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223</v>
      </c>
      <c r="C1" s="71"/>
      <c r="D1" s="71"/>
      <c r="E1" s="71"/>
      <c r="F1" s="71"/>
      <c r="G1" s="71"/>
      <c r="H1" s="71"/>
      <c r="I1" s="71"/>
      <c r="J1" s="71"/>
    </row>
    <row r="2" spans="1:10" ht="30" customHeight="1" x14ac:dyDescent="0.2">
      <c r="B2" s="12" t="s">
        <v>8</v>
      </c>
      <c r="C2" s="77" t="s">
        <v>45</v>
      </c>
      <c r="D2" s="77"/>
      <c r="E2" s="12" t="s">
        <v>7</v>
      </c>
      <c r="F2" s="72">
        <v>45955</v>
      </c>
      <c r="G2" s="72"/>
      <c r="H2" s="72"/>
      <c r="I2" s="72"/>
      <c r="J2" s="72"/>
    </row>
    <row r="3" spans="1:10" ht="30" customHeight="1" x14ac:dyDescent="0.2">
      <c r="B3" s="12" t="s">
        <v>9</v>
      </c>
      <c r="C3" s="77" t="s">
        <v>87</v>
      </c>
      <c r="D3" s="77"/>
      <c r="E3" s="12" t="s">
        <v>6</v>
      </c>
      <c r="F3" s="77" t="s">
        <v>104</v>
      </c>
      <c r="G3" s="77"/>
      <c r="H3" s="77"/>
      <c r="I3" s="77"/>
      <c r="J3" s="77"/>
    </row>
    <row r="4" spans="1:10" ht="30" customHeight="1" thickBot="1" x14ac:dyDescent="0.25">
      <c r="B4" s="6"/>
      <c r="C4" s="7"/>
      <c r="D4" s="7"/>
      <c r="E4" s="6"/>
      <c r="F4" s="7"/>
      <c r="G4" s="7"/>
      <c r="H4" s="8"/>
      <c r="I4" s="7"/>
      <c r="J4" s="7"/>
    </row>
    <row r="5" spans="1:10" ht="24.95" customHeight="1" x14ac:dyDescent="0.2">
      <c r="A5" s="10"/>
      <c r="B5" s="73" t="s">
        <v>0</v>
      </c>
      <c r="C5" s="74"/>
      <c r="D5" s="74"/>
      <c r="E5" s="82" t="s">
        <v>1</v>
      </c>
      <c r="F5" s="82"/>
      <c r="G5" s="82"/>
      <c r="H5" s="82"/>
      <c r="I5" s="82" t="s">
        <v>2</v>
      </c>
      <c r="J5" s="83"/>
    </row>
    <row r="6" spans="1:10" ht="24.95" customHeight="1" thickBot="1" x14ac:dyDescent="0.25">
      <c r="A6" s="10"/>
      <c r="B6" s="75"/>
      <c r="C6" s="76"/>
      <c r="D6" s="76"/>
      <c r="E6" s="11" t="s">
        <v>3</v>
      </c>
      <c r="F6" s="11" t="s">
        <v>4</v>
      </c>
      <c r="G6" s="11" t="s">
        <v>23</v>
      </c>
      <c r="H6" s="11" t="s">
        <v>24</v>
      </c>
      <c r="I6" s="84"/>
      <c r="J6" s="85"/>
    </row>
    <row r="7" spans="1:10" ht="24.95" customHeight="1" thickBot="1" x14ac:dyDescent="0.25">
      <c r="A7" s="10"/>
      <c r="B7" s="80" t="s">
        <v>21</v>
      </c>
      <c r="C7" s="81"/>
      <c r="D7" s="81"/>
      <c r="E7" s="28" t="s">
        <v>18</v>
      </c>
      <c r="F7" s="28" t="s">
        <v>19</v>
      </c>
      <c r="G7" s="28" t="s">
        <v>22</v>
      </c>
      <c r="H7" s="28" t="s">
        <v>20</v>
      </c>
      <c r="I7" s="86" t="s">
        <v>25</v>
      </c>
      <c r="J7" s="87"/>
    </row>
    <row r="8" spans="1:10" ht="39.950000000000003" customHeight="1" x14ac:dyDescent="0.2">
      <c r="A8" s="10"/>
      <c r="B8" s="37" t="s">
        <v>176</v>
      </c>
      <c r="C8" s="38"/>
      <c r="D8" s="38"/>
      <c r="E8" s="38"/>
      <c r="F8" s="38"/>
      <c r="G8" s="38"/>
      <c r="H8" s="38"/>
      <c r="I8" s="38"/>
      <c r="J8" s="39"/>
    </row>
    <row r="9" spans="1:10" ht="39.950000000000003" customHeight="1" x14ac:dyDescent="0.2">
      <c r="A9" s="10"/>
      <c r="B9" s="40" t="s">
        <v>221</v>
      </c>
      <c r="C9" s="41"/>
      <c r="D9" s="41"/>
      <c r="E9" s="9"/>
      <c r="F9" s="26"/>
      <c r="G9" s="30"/>
      <c r="H9" s="31"/>
      <c r="I9" s="48"/>
      <c r="J9" s="49"/>
    </row>
    <row r="10" spans="1:10" ht="39.950000000000003" customHeight="1" x14ac:dyDescent="0.2">
      <c r="A10" s="10"/>
      <c r="B10" s="44" t="s">
        <v>193</v>
      </c>
      <c r="C10" s="45"/>
      <c r="D10" s="45"/>
      <c r="E10" s="32"/>
      <c r="F10" s="26"/>
      <c r="G10" s="30"/>
      <c r="H10" s="31"/>
      <c r="I10" s="48"/>
      <c r="J10" s="49"/>
    </row>
    <row r="11" spans="1:10" ht="52.5" customHeight="1" x14ac:dyDescent="0.2">
      <c r="A11" s="10"/>
      <c r="B11" s="42" t="s">
        <v>194</v>
      </c>
      <c r="C11" s="43"/>
      <c r="D11" s="43"/>
      <c r="E11" s="9">
        <v>5</v>
      </c>
      <c r="F11" s="26">
        <v>3.5</v>
      </c>
      <c r="G11" s="30">
        <f t="shared" ref="G11:G54" si="0">IFERROR(F11/E11,"")</f>
        <v>0.7</v>
      </c>
      <c r="H11" s="31" t="str">
        <f t="shared" ref="H11:H54" si="1">_xlfn.IFS(F11="أدخل العلامة","",F11="لا ينطبق","تم الإلغاء",G11&gt;=90%,"ممتاز",G11&gt;=80%,"جيد جداً",G11&gt;=70%,"جيد",G11&gt;=60%,"مقبول",G11&lt;60%,"راسب")</f>
        <v>جيد</v>
      </c>
      <c r="I11" s="48"/>
      <c r="J11" s="49"/>
    </row>
    <row r="12" spans="1:10" ht="39.950000000000003" customHeight="1" x14ac:dyDescent="0.2">
      <c r="A12" s="10"/>
      <c r="B12" s="42" t="s">
        <v>195</v>
      </c>
      <c r="C12" s="43"/>
      <c r="D12" s="43"/>
      <c r="E12" s="9">
        <v>5</v>
      </c>
      <c r="F12" s="26">
        <v>3.75</v>
      </c>
      <c r="G12" s="30">
        <f t="shared" si="0"/>
        <v>0.75</v>
      </c>
      <c r="H12" s="31" t="str">
        <f t="shared" si="1"/>
        <v>جيد</v>
      </c>
      <c r="I12" s="48"/>
      <c r="J12" s="49"/>
    </row>
    <row r="13" spans="1:10" ht="39.950000000000003" customHeight="1" x14ac:dyDescent="0.2">
      <c r="A13" s="10"/>
      <c r="B13" s="46" t="s">
        <v>196</v>
      </c>
      <c r="C13" s="47"/>
      <c r="D13" s="47"/>
      <c r="E13" s="9">
        <v>5</v>
      </c>
      <c r="F13" s="26">
        <v>3.5</v>
      </c>
      <c r="G13" s="30">
        <f t="shared" si="0"/>
        <v>0.7</v>
      </c>
      <c r="H13" s="31" t="str">
        <f t="shared" si="1"/>
        <v>جيد</v>
      </c>
      <c r="I13" s="48"/>
      <c r="J13" s="49"/>
    </row>
    <row r="14" spans="1:10" ht="39.950000000000003" customHeight="1" x14ac:dyDescent="0.2">
      <c r="A14" s="10"/>
      <c r="B14" s="46" t="s">
        <v>197</v>
      </c>
      <c r="C14" s="47"/>
      <c r="D14" s="47"/>
      <c r="E14" s="9">
        <v>5</v>
      </c>
      <c r="F14" s="26">
        <v>3.5</v>
      </c>
      <c r="G14" s="30">
        <f t="shared" si="0"/>
        <v>0.7</v>
      </c>
      <c r="H14" s="31" t="str">
        <f t="shared" si="1"/>
        <v>جيد</v>
      </c>
      <c r="I14" s="48"/>
      <c r="J14" s="49"/>
    </row>
    <row r="15" spans="1:10" ht="39.950000000000003" customHeight="1" x14ac:dyDescent="0.2">
      <c r="A15" s="10"/>
      <c r="B15" s="46" t="s">
        <v>177</v>
      </c>
      <c r="C15" s="47"/>
      <c r="D15" s="47"/>
      <c r="E15" s="9">
        <v>5</v>
      </c>
      <c r="F15" s="26">
        <v>3.5</v>
      </c>
      <c r="G15" s="30">
        <f t="shared" si="0"/>
        <v>0.7</v>
      </c>
      <c r="H15" s="31" t="str">
        <f t="shared" si="1"/>
        <v>جيد</v>
      </c>
      <c r="I15" s="48"/>
      <c r="J15" s="49"/>
    </row>
    <row r="16" spans="1:10" ht="39.950000000000003" customHeight="1" x14ac:dyDescent="0.2">
      <c r="A16" s="10"/>
      <c r="B16" s="46" t="s">
        <v>178</v>
      </c>
      <c r="C16" s="47"/>
      <c r="D16" s="47"/>
      <c r="E16" s="9">
        <v>5</v>
      </c>
      <c r="F16" s="26">
        <v>3.5</v>
      </c>
      <c r="G16" s="30">
        <f t="shared" si="0"/>
        <v>0.7</v>
      </c>
      <c r="H16" s="31" t="str">
        <f t="shared" si="1"/>
        <v>جيد</v>
      </c>
      <c r="I16" s="48"/>
      <c r="J16" s="49"/>
    </row>
    <row r="17" spans="1:10" ht="39.950000000000003" customHeight="1" x14ac:dyDescent="0.2">
      <c r="A17" s="10"/>
      <c r="B17" s="46" t="s">
        <v>179</v>
      </c>
      <c r="C17" s="47"/>
      <c r="D17" s="47"/>
      <c r="E17" s="9">
        <v>5</v>
      </c>
      <c r="F17" s="26">
        <v>3.5</v>
      </c>
      <c r="G17" s="30">
        <f t="shared" si="0"/>
        <v>0.7</v>
      </c>
      <c r="H17" s="31" t="str">
        <f t="shared" si="1"/>
        <v>جيد</v>
      </c>
      <c r="I17" s="48"/>
      <c r="J17" s="49"/>
    </row>
    <row r="18" spans="1:10" ht="39.950000000000003" customHeight="1" x14ac:dyDescent="0.2">
      <c r="A18" s="10"/>
      <c r="B18" s="46" t="s">
        <v>180</v>
      </c>
      <c r="C18" s="47"/>
      <c r="D18" s="47"/>
      <c r="E18" s="9">
        <v>5</v>
      </c>
      <c r="F18" s="26">
        <v>3.5</v>
      </c>
      <c r="G18" s="30">
        <f t="shared" si="0"/>
        <v>0.7</v>
      </c>
      <c r="H18" s="31" t="str">
        <f t="shared" si="1"/>
        <v>جيد</v>
      </c>
      <c r="I18" s="48"/>
      <c r="J18" s="49"/>
    </row>
    <row r="19" spans="1:10" ht="39.950000000000003" customHeight="1" x14ac:dyDescent="0.2">
      <c r="A19" s="10"/>
      <c r="B19" s="42" t="s">
        <v>181</v>
      </c>
      <c r="C19" s="43"/>
      <c r="D19" s="43"/>
      <c r="E19" s="9">
        <v>5</v>
      </c>
      <c r="F19" s="26">
        <v>3.5</v>
      </c>
      <c r="G19" s="30">
        <f t="shared" si="0"/>
        <v>0.7</v>
      </c>
      <c r="H19" s="31" t="str">
        <f t="shared" si="1"/>
        <v>جيد</v>
      </c>
      <c r="I19" s="48"/>
      <c r="J19" s="49"/>
    </row>
    <row r="20" spans="1:10" ht="50.1" customHeight="1" thickBot="1" x14ac:dyDescent="0.25">
      <c r="A20" s="10"/>
      <c r="B20" s="50" t="s">
        <v>198</v>
      </c>
      <c r="C20" s="51"/>
      <c r="D20" s="51"/>
      <c r="E20" s="36">
        <v>5</v>
      </c>
      <c r="F20" s="27">
        <v>3.75</v>
      </c>
      <c r="G20" s="34">
        <f t="shared" si="0"/>
        <v>0.75</v>
      </c>
      <c r="H20" s="35" t="str">
        <f t="shared" si="1"/>
        <v>جيد</v>
      </c>
      <c r="I20" s="52"/>
      <c r="J20" s="53"/>
    </row>
    <row r="21" spans="1:10" ht="39.950000000000003" customHeight="1" x14ac:dyDescent="0.2">
      <c r="A21" s="10"/>
      <c r="B21" s="37" t="s">
        <v>182</v>
      </c>
      <c r="C21" s="38"/>
      <c r="D21" s="38"/>
      <c r="E21" s="38"/>
      <c r="F21" s="38"/>
      <c r="G21" s="38"/>
      <c r="H21" s="38"/>
      <c r="I21" s="38"/>
      <c r="J21" s="39"/>
    </row>
    <row r="22" spans="1:10" ht="50.1" customHeight="1" x14ac:dyDescent="0.2">
      <c r="A22" s="10"/>
      <c r="B22" s="40" t="s">
        <v>222</v>
      </c>
      <c r="C22" s="41"/>
      <c r="D22" s="41"/>
      <c r="E22" s="9"/>
      <c r="F22" s="26"/>
      <c r="G22" s="30"/>
      <c r="H22" s="31"/>
      <c r="I22" s="48"/>
      <c r="J22" s="49"/>
    </row>
    <row r="23" spans="1:10" ht="39.950000000000003" customHeight="1" x14ac:dyDescent="0.2">
      <c r="A23" s="10"/>
      <c r="B23" s="40" t="s">
        <v>199</v>
      </c>
      <c r="C23" s="41"/>
      <c r="D23" s="41"/>
      <c r="E23" s="9">
        <v>5</v>
      </c>
      <c r="F23" s="26">
        <v>3.5</v>
      </c>
      <c r="G23" s="30">
        <f t="shared" si="0"/>
        <v>0.7</v>
      </c>
      <c r="H23" s="31" t="str">
        <f t="shared" si="1"/>
        <v>جيد</v>
      </c>
      <c r="I23" s="48"/>
      <c r="J23" s="49"/>
    </row>
    <row r="24" spans="1:10" ht="39.950000000000003" customHeight="1" x14ac:dyDescent="0.2">
      <c r="A24" s="10"/>
      <c r="B24" s="40" t="s">
        <v>200</v>
      </c>
      <c r="C24" s="41"/>
      <c r="D24" s="41"/>
      <c r="E24" s="9">
        <v>5</v>
      </c>
      <c r="F24" s="26">
        <v>3.75</v>
      </c>
      <c r="G24" s="30">
        <f t="shared" si="0"/>
        <v>0.75</v>
      </c>
      <c r="H24" s="31" t="str">
        <f t="shared" si="1"/>
        <v>جيد</v>
      </c>
      <c r="I24" s="48"/>
      <c r="J24" s="49"/>
    </row>
    <row r="25" spans="1:10" ht="70.5" customHeight="1" x14ac:dyDescent="0.2">
      <c r="A25" s="10"/>
      <c r="B25" s="44" t="s">
        <v>201</v>
      </c>
      <c r="C25" s="45"/>
      <c r="D25" s="45"/>
      <c r="E25" s="32"/>
      <c r="F25" s="26"/>
      <c r="G25" s="30"/>
      <c r="H25" s="31"/>
      <c r="I25" s="48"/>
      <c r="J25" s="49"/>
    </row>
    <row r="26" spans="1:10" ht="39.950000000000003" customHeight="1" x14ac:dyDescent="0.2">
      <c r="A26" s="10"/>
      <c r="B26" s="42" t="s">
        <v>183</v>
      </c>
      <c r="C26" s="43"/>
      <c r="D26" s="43"/>
      <c r="E26" s="9">
        <v>5</v>
      </c>
      <c r="F26" s="26">
        <v>3.5</v>
      </c>
      <c r="G26" s="30">
        <f t="shared" si="0"/>
        <v>0.7</v>
      </c>
      <c r="H26" s="31" t="str">
        <f t="shared" si="1"/>
        <v>جيد</v>
      </c>
      <c r="I26" s="48"/>
      <c r="J26" s="49"/>
    </row>
    <row r="27" spans="1:10" ht="39.950000000000003" customHeight="1" x14ac:dyDescent="0.2">
      <c r="A27" s="10"/>
      <c r="B27" s="42" t="s">
        <v>184</v>
      </c>
      <c r="C27" s="43"/>
      <c r="D27" s="43"/>
      <c r="E27" s="9">
        <v>5</v>
      </c>
      <c r="F27" s="26">
        <v>3.5</v>
      </c>
      <c r="G27" s="30">
        <f t="shared" si="0"/>
        <v>0.7</v>
      </c>
      <c r="H27" s="31" t="str">
        <f t="shared" si="1"/>
        <v>جيد</v>
      </c>
      <c r="I27" s="48"/>
      <c r="J27" s="49"/>
    </row>
    <row r="28" spans="1:10" ht="39.950000000000003" customHeight="1" x14ac:dyDescent="0.2">
      <c r="A28" s="10"/>
      <c r="B28" s="42" t="s">
        <v>185</v>
      </c>
      <c r="C28" s="43"/>
      <c r="D28" s="43"/>
      <c r="E28" s="9">
        <v>5</v>
      </c>
      <c r="F28" s="26">
        <v>3.5</v>
      </c>
      <c r="G28" s="30">
        <f t="shared" si="0"/>
        <v>0.7</v>
      </c>
      <c r="H28" s="31" t="str">
        <f t="shared" si="1"/>
        <v>جيد</v>
      </c>
      <c r="I28" s="48"/>
      <c r="J28" s="49"/>
    </row>
    <row r="29" spans="1:10" ht="39.950000000000003" customHeight="1" x14ac:dyDescent="0.2">
      <c r="A29" s="10"/>
      <c r="B29" s="42" t="s">
        <v>186</v>
      </c>
      <c r="C29" s="43"/>
      <c r="D29" s="43"/>
      <c r="E29" s="9">
        <v>5</v>
      </c>
      <c r="F29" s="26">
        <v>3.5</v>
      </c>
      <c r="G29" s="30">
        <f t="shared" si="0"/>
        <v>0.7</v>
      </c>
      <c r="H29" s="31" t="str">
        <f t="shared" si="1"/>
        <v>جيد</v>
      </c>
      <c r="I29" s="48"/>
      <c r="J29" s="49"/>
    </row>
    <row r="30" spans="1:10" ht="39.950000000000003" customHeight="1" x14ac:dyDescent="0.2">
      <c r="A30" s="10"/>
      <c r="B30" s="42" t="s">
        <v>187</v>
      </c>
      <c r="C30" s="43"/>
      <c r="D30" s="43"/>
      <c r="E30" s="9">
        <v>5</v>
      </c>
      <c r="F30" s="26">
        <v>3.75</v>
      </c>
      <c r="G30" s="30">
        <f t="shared" si="0"/>
        <v>0.75</v>
      </c>
      <c r="H30" s="31" t="str">
        <f t="shared" si="1"/>
        <v>جيد</v>
      </c>
      <c r="I30" s="48"/>
      <c r="J30" s="49"/>
    </row>
    <row r="31" spans="1:10" ht="39.950000000000003" customHeight="1" x14ac:dyDescent="0.2">
      <c r="A31" s="10"/>
      <c r="B31" s="42" t="s">
        <v>188</v>
      </c>
      <c r="C31" s="43"/>
      <c r="D31" s="43"/>
      <c r="E31" s="9">
        <v>5</v>
      </c>
      <c r="F31" s="26">
        <v>3.75</v>
      </c>
      <c r="G31" s="30">
        <f t="shared" si="0"/>
        <v>0.75</v>
      </c>
      <c r="H31" s="31" t="str">
        <f t="shared" si="1"/>
        <v>جيد</v>
      </c>
      <c r="I31" s="48"/>
      <c r="J31" s="49"/>
    </row>
    <row r="32" spans="1:10" ht="65.099999999999994" customHeight="1" x14ac:dyDescent="0.2">
      <c r="A32" s="10"/>
      <c r="B32" s="42" t="s">
        <v>189</v>
      </c>
      <c r="C32" s="43"/>
      <c r="D32" s="43"/>
      <c r="E32" s="9">
        <v>5</v>
      </c>
      <c r="F32" s="26">
        <v>3.75</v>
      </c>
      <c r="G32" s="30">
        <f t="shared" si="0"/>
        <v>0.75</v>
      </c>
      <c r="H32" s="31" t="str">
        <f t="shared" si="1"/>
        <v>جيد</v>
      </c>
      <c r="I32" s="48"/>
      <c r="J32" s="49"/>
    </row>
    <row r="33" spans="1:10" ht="39.950000000000003" customHeight="1" x14ac:dyDescent="0.2">
      <c r="A33" s="10"/>
      <c r="B33" s="44" t="s">
        <v>202</v>
      </c>
      <c r="C33" s="45"/>
      <c r="D33" s="45"/>
      <c r="E33" s="9">
        <v>5</v>
      </c>
      <c r="F33" s="26">
        <v>3.75</v>
      </c>
      <c r="G33" s="30">
        <f t="shared" si="0"/>
        <v>0.75</v>
      </c>
      <c r="H33" s="31" t="str">
        <f t="shared" si="1"/>
        <v>جيد</v>
      </c>
      <c r="I33" s="48"/>
      <c r="J33" s="49"/>
    </row>
    <row r="34" spans="1:10" ht="39.950000000000003" customHeight="1" thickBot="1" x14ac:dyDescent="0.25">
      <c r="A34" s="10"/>
      <c r="B34" s="50" t="s">
        <v>203</v>
      </c>
      <c r="C34" s="51"/>
      <c r="D34" s="51"/>
      <c r="E34" s="33">
        <v>5</v>
      </c>
      <c r="F34" s="27">
        <v>3.5</v>
      </c>
      <c r="G34" s="34">
        <f t="shared" si="0"/>
        <v>0.7</v>
      </c>
      <c r="H34" s="35" t="str">
        <f t="shared" si="1"/>
        <v>جيد</v>
      </c>
      <c r="I34" s="52"/>
      <c r="J34" s="53"/>
    </row>
    <row r="35" spans="1:10" ht="39.950000000000003" customHeight="1" x14ac:dyDescent="0.2">
      <c r="A35" s="10"/>
      <c r="B35" s="37" t="s">
        <v>190</v>
      </c>
      <c r="C35" s="38"/>
      <c r="D35" s="38"/>
      <c r="E35" s="38"/>
      <c r="F35" s="38"/>
      <c r="G35" s="38"/>
      <c r="H35" s="38"/>
      <c r="I35" s="38"/>
      <c r="J35" s="39"/>
    </row>
    <row r="36" spans="1:10" ht="39.950000000000003" customHeight="1" x14ac:dyDescent="0.2">
      <c r="A36" s="10"/>
      <c r="B36" s="40" t="s">
        <v>204</v>
      </c>
      <c r="C36" s="41"/>
      <c r="D36" s="41"/>
      <c r="E36" s="9">
        <v>5</v>
      </c>
      <c r="F36" s="26">
        <v>3.75</v>
      </c>
      <c r="G36" s="30">
        <f t="shared" si="0"/>
        <v>0.75</v>
      </c>
      <c r="H36" s="31" t="str">
        <f t="shared" si="1"/>
        <v>جيد</v>
      </c>
      <c r="I36" s="48"/>
      <c r="J36" s="49"/>
    </row>
    <row r="37" spans="1:10" ht="50.1" customHeight="1" x14ac:dyDescent="0.2">
      <c r="A37" s="10"/>
      <c r="B37" s="40" t="s">
        <v>205</v>
      </c>
      <c r="C37" s="41"/>
      <c r="D37" s="41"/>
      <c r="E37" s="9">
        <v>5</v>
      </c>
      <c r="F37" s="26">
        <v>3.5</v>
      </c>
      <c r="G37" s="30">
        <f t="shared" si="0"/>
        <v>0.7</v>
      </c>
      <c r="H37" s="31" t="str">
        <f t="shared" si="1"/>
        <v>جيد</v>
      </c>
      <c r="I37" s="48"/>
      <c r="J37" s="49"/>
    </row>
    <row r="38" spans="1:10" ht="39.950000000000003" customHeight="1" x14ac:dyDescent="0.2">
      <c r="A38" s="10"/>
      <c r="B38" s="40" t="s">
        <v>206</v>
      </c>
      <c r="C38" s="41"/>
      <c r="D38" s="41"/>
      <c r="E38" s="9">
        <v>5</v>
      </c>
      <c r="F38" s="26">
        <v>3.75</v>
      </c>
      <c r="G38" s="30">
        <f t="shared" si="0"/>
        <v>0.75</v>
      </c>
      <c r="H38" s="31" t="str">
        <f t="shared" si="1"/>
        <v>جيد</v>
      </c>
      <c r="I38" s="48"/>
      <c r="J38" s="49"/>
    </row>
    <row r="39" spans="1:10" ht="54.95" customHeight="1" x14ac:dyDescent="0.2">
      <c r="A39" s="10"/>
      <c r="B39" s="40" t="s">
        <v>207</v>
      </c>
      <c r="C39" s="41"/>
      <c r="D39" s="41"/>
      <c r="E39" s="9">
        <v>5</v>
      </c>
      <c r="F39" s="26">
        <v>3.75</v>
      </c>
      <c r="G39" s="30">
        <f t="shared" si="0"/>
        <v>0.75</v>
      </c>
      <c r="H39" s="31" t="str">
        <f t="shared" si="1"/>
        <v>جيد</v>
      </c>
      <c r="I39" s="48"/>
      <c r="J39" s="49"/>
    </row>
    <row r="40" spans="1:10" ht="39.950000000000003" customHeight="1" x14ac:dyDescent="0.2">
      <c r="A40" s="10"/>
      <c r="B40" s="40" t="s">
        <v>208</v>
      </c>
      <c r="C40" s="41"/>
      <c r="D40" s="41"/>
      <c r="E40" s="9">
        <v>5</v>
      </c>
      <c r="F40" s="26">
        <v>3.75</v>
      </c>
      <c r="G40" s="30">
        <f t="shared" si="0"/>
        <v>0.75</v>
      </c>
      <c r="H40" s="31" t="str">
        <f t="shared" si="1"/>
        <v>جيد</v>
      </c>
      <c r="I40" s="48"/>
      <c r="J40" s="49"/>
    </row>
    <row r="41" spans="1:10" ht="54.95" customHeight="1" x14ac:dyDescent="0.2">
      <c r="A41" s="10"/>
      <c r="B41" s="40" t="s">
        <v>209</v>
      </c>
      <c r="C41" s="41"/>
      <c r="D41" s="41"/>
      <c r="E41" s="9">
        <v>5</v>
      </c>
      <c r="F41" s="26">
        <v>3.75</v>
      </c>
      <c r="G41" s="30">
        <f t="shared" si="0"/>
        <v>0.75</v>
      </c>
      <c r="H41" s="31" t="str">
        <f t="shared" si="1"/>
        <v>جيد</v>
      </c>
      <c r="I41" s="48"/>
      <c r="J41" s="49"/>
    </row>
    <row r="42" spans="1:10" ht="54.95" customHeight="1" x14ac:dyDescent="0.2">
      <c r="A42" s="10"/>
      <c r="B42" s="40" t="s">
        <v>210</v>
      </c>
      <c r="C42" s="41"/>
      <c r="D42" s="41"/>
      <c r="E42" s="9">
        <v>5</v>
      </c>
      <c r="F42" s="26">
        <v>3.5</v>
      </c>
      <c r="G42" s="30">
        <f t="shared" si="0"/>
        <v>0.7</v>
      </c>
      <c r="H42" s="31" t="str">
        <f t="shared" si="1"/>
        <v>جيد</v>
      </c>
      <c r="I42" s="48"/>
      <c r="J42" s="49"/>
    </row>
    <row r="43" spans="1:10" ht="39.950000000000003" customHeight="1" x14ac:dyDescent="0.2">
      <c r="A43" s="10"/>
      <c r="B43" s="40" t="s">
        <v>211</v>
      </c>
      <c r="C43" s="41"/>
      <c r="D43" s="41"/>
      <c r="E43" s="9">
        <v>5</v>
      </c>
      <c r="F43" s="26">
        <v>3.5</v>
      </c>
      <c r="G43" s="30">
        <f t="shared" si="0"/>
        <v>0.7</v>
      </c>
      <c r="H43" s="31" t="str">
        <f t="shared" si="1"/>
        <v>جيد</v>
      </c>
      <c r="I43" s="48"/>
      <c r="J43" s="49"/>
    </row>
    <row r="44" spans="1:10" ht="54.95" customHeight="1" x14ac:dyDescent="0.2">
      <c r="A44" s="10"/>
      <c r="B44" s="40" t="s">
        <v>212</v>
      </c>
      <c r="C44" s="41"/>
      <c r="D44" s="41"/>
      <c r="E44" s="9">
        <v>5</v>
      </c>
      <c r="F44" s="26">
        <v>3.5</v>
      </c>
      <c r="G44" s="30">
        <f t="shared" si="0"/>
        <v>0.7</v>
      </c>
      <c r="H44" s="31" t="str">
        <f t="shared" si="1"/>
        <v>جيد</v>
      </c>
      <c r="I44" s="48"/>
      <c r="J44" s="49"/>
    </row>
    <row r="45" spans="1:10" ht="54.95" customHeight="1" x14ac:dyDescent="0.2">
      <c r="A45" s="10"/>
      <c r="B45" s="40" t="s">
        <v>213</v>
      </c>
      <c r="C45" s="41"/>
      <c r="D45" s="41"/>
      <c r="E45" s="9">
        <v>5</v>
      </c>
      <c r="F45" s="26">
        <v>3.5</v>
      </c>
      <c r="G45" s="30">
        <f t="shared" si="0"/>
        <v>0.7</v>
      </c>
      <c r="H45" s="31" t="str">
        <f t="shared" si="1"/>
        <v>جيد</v>
      </c>
      <c r="I45" s="48"/>
      <c r="J45" s="49"/>
    </row>
    <row r="46" spans="1:10" ht="39.950000000000003" customHeight="1" x14ac:dyDescent="0.2">
      <c r="A46" s="10"/>
      <c r="B46" s="40" t="s">
        <v>214</v>
      </c>
      <c r="C46" s="41"/>
      <c r="D46" s="41"/>
      <c r="E46" s="9">
        <v>5</v>
      </c>
      <c r="F46" s="26">
        <v>3.5</v>
      </c>
      <c r="G46" s="30">
        <f t="shared" si="0"/>
        <v>0.7</v>
      </c>
      <c r="H46" s="31" t="str">
        <f t="shared" si="1"/>
        <v>جيد</v>
      </c>
      <c r="I46" s="48"/>
      <c r="J46" s="49"/>
    </row>
    <row r="47" spans="1:10" ht="39.950000000000003" customHeight="1" x14ac:dyDescent="0.2">
      <c r="A47" s="10"/>
      <c r="B47" s="40" t="s">
        <v>215</v>
      </c>
      <c r="C47" s="41"/>
      <c r="D47" s="41"/>
      <c r="E47" s="9">
        <v>5</v>
      </c>
      <c r="F47" s="26">
        <v>3.5</v>
      </c>
      <c r="G47" s="30">
        <f t="shared" si="0"/>
        <v>0.7</v>
      </c>
      <c r="H47" s="31" t="str">
        <f t="shared" si="1"/>
        <v>جيد</v>
      </c>
      <c r="I47" s="48"/>
      <c r="J47" s="49"/>
    </row>
    <row r="48" spans="1:10" ht="39.950000000000003" customHeight="1" x14ac:dyDescent="0.2">
      <c r="A48" s="10"/>
      <c r="B48" s="40" t="s">
        <v>216</v>
      </c>
      <c r="C48" s="41"/>
      <c r="D48" s="41"/>
      <c r="E48" s="9"/>
      <c r="F48" s="26"/>
      <c r="G48" s="30"/>
      <c r="H48" s="31"/>
      <c r="I48" s="48"/>
      <c r="J48" s="49"/>
    </row>
    <row r="49" spans="1:10" ht="50.1" customHeight="1" x14ac:dyDescent="0.2">
      <c r="A49" s="10"/>
      <c r="B49" s="42" t="s">
        <v>191</v>
      </c>
      <c r="C49" s="43"/>
      <c r="D49" s="43"/>
      <c r="E49" s="9">
        <v>5</v>
      </c>
      <c r="F49" s="26">
        <v>3.75</v>
      </c>
      <c r="G49" s="30">
        <f t="shared" si="0"/>
        <v>0.75</v>
      </c>
      <c r="H49" s="31" t="str">
        <f t="shared" si="1"/>
        <v>جيد</v>
      </c>
      <c r="I49" s="48"/>
      <c r="J49" s="49"/>
    </row>
    <row r="50" spans="1:10" ht="39.950000000000003" customHeight="1" x14ac:dyDescent="0.2">
      <c r="A50" s="10"/>
      <c r="B50" s="42" t="s">
        <v>192</v>
      </c>
      <c r="C50" s="43"/>
      <c r="D50" s="43"/>
      <c r="E50" s="9">
        <v>5</v>
      </c>
      <c r="F50" s="26">
        <v>3.5</v>
      </c>
      <c r="G50" s="30">
        <f t="shared" si="0"/>
        <v>0.7</v>
      </c>
      <c r="H50" s="31" t="str">
        <f t="shared" si="1"/>
        <v>جيد</v>
      </c>
      <c r="I50" s="48"/>
      <c r="J50" s="49"/>
    </row>
    <row r="51" spans="1:10" ht="39.950000000000003" customHeight="1" x14ac:dyDescent="0.2">
      <c r="A51" s="10"/>
      <c r="B51" s="40" t="s">
        <v>217</v>
      </c>
      <c r="C51" s="41"/>
      <c r="D51" s="41"/>
      <c r="E51" s="9">
        <v>5</v>
      </c>
      <c r="F51" s="26">
        <v>3.75</v>
      </c>
      <c r="G51" s="30">
        <f t="shared" si="0"/>
        <v>0.75</v>
      </c>
      <c r="H51" s="31" t="str">
        <f t="shared" si="1"/>
        <v>جيد</v>
      </c>
      <c r="I51" s="48"/>
      <c r="J51" s="49"/>
    </row>
    <row r="52" spans="1:10" ht="39.950000000000003" customHeight="1" x14ac:dyDescent="0.2">
      <c r="A52" s="10"/>
      <c r="B52" s="40" t="s">
        <v>218</v>
      </c>
      <c r="C52" s="41"/>
      <c r="D52" s="41"/>
      <c r="E52" s="9">
        <v>5</v>
      </c>
      <c r="F52" s="26">
        <v>3.75</v>
      </c>
      <c r="G52" s="30">
        <f t="shared" si="0"/>
        <v>0.75</v>
      </c>
      <c r="H52" s="31" t="str">
        <f t="shared" si="1"/>
        <v>جيد</v>
      </c>
      <c r="I52" s="48"/>
      <c r="J52" s="49"/>
    </row>
    <row r="53" spans="1:10" ht="39.950000000000003" customHeight="1" x14ac:dyDescent="0.2">
      <c r="A53" s="10"/>
      <c r="B53" s="40" t="s">
        <v>219</v>
      </c>
      <c r="C53" s="41"/>
      <c r="D53" s="41"/>
      <c r="E53" s="9">
        <v>5</v>
      </c>
      <c r="F53" s="26">
        <v>3.5</v>
      </c>
      <c r="G53" s="30">
        <f t="shared" si="0"/>
        <v>0.7</v>
      </c>
      <c r="H53" s="31" t="str">
        <f t="shared" si="1"/>
        <v>جيد</v>
      </c>
      <c r="I53" s="48"/>
      <c r="J53" s="49"/>
    </row>
    <row r="54" spans="1:10" ht="39.950000000000003" customHeight="1" thickBot="1" x14ac:dyDescent="0.25">
      <c r="A54" s="10"/>
      <c r="B54" s="58" t="s">
        <v>220</v>
      </c>
      <c r="C54" s="59"/>
      <c r="D54" s="59"/>
      <c r="E54" s="33">
        <v>5</v>
      </c>
      <c r="F54" s="27">
        <v>3.5</v>
      </c>
      <c r="G54" s="34">
        <f t="shared" si="0"/>
        <v>0.7</v>
      </c>
      <c r="H54" s="35" t="str">
        <f t="shared" si="1"/>
        <v>جيد</v>
      </c>
      <c r="I54" s="52"/>
      <c r="J54" s="53"/>
    </row>
    <row r="55" spans="1:10" ht="30" customHeight="1" thickBot="1" x14ac:dyDescent="0.25">
      <c r="A55" s="4"/>
      <c r="B55" s="54" t="s">
        <v>5</v>
      </c>
      <c r="C55" s="55"/>
      <c r="D55" s="55"/>
      <c r="E55" s="29">
        <f>SUM(E8:E54)</f>
        <v>195</v>
      </c>
      <c r="F55" s="29">
        <f>SUM(F8:F54)</f>
        <v>140.25</v>
      </c>
      <c r="G55" s="68"/>
      <c r="H55" s="69"/>
      <c r="I55" s="69"/>
      <c r="J55" s="70"/>
    </row>
    <row r="56" spans="1:10" ht="30" customHeight="1" thickBot="1" x14ac:dyDescent="0.25">
      <c r="A56" s="4"/>
      <c r="B56" s="56" t="s">
        <v>54</v>
      </c>
      <c r="C56" s="57"/>
      <c r="D56" s="57"/>
      <c r="E56" s="78">
        <f>F55/E55/100*100</f>
        <v>0.71923076923076923</v>
      </c>
      <c r="F56" s="78"/>
      <c r="G56" s="78"/>
      <c r="H56" s="78"/>
      <c r="I56" s="78"/>
      <c r="J56" s="79"/>
    </row>
    <row r="57" spans="1:10" ht="30" customHeight="1" thickBot="1" x14ac:dyDescent="0.25">
      <c r="A57" s="4"/>
      <c r="B57" s="56" t="s">
        <v>55</v>
      </c>
      <c r="C57" s="57"/>
      <c r="D57" s="57"/>
      <c r="E57" s="64" t="str">
        <f>_xlfn.IFS(E56&gt;=90%,"ممتاز",E56&gt;=80%,"جيد جداً",E56&gt;=70%,"جيد",E56&gt;=60%,"مقبول",E56&lt;60%,"راسب")</f>
        <v>جيد</v>
      </c>
      <c r="F57" s="64"/>
      <c r="G57" s="64"/>
      <c r="H57" s="64"/>
      <c r="I57" s="64"/>
      <c r="J57" s="65"/>
    </row>
    <row r="58" spans="1:10" ht="42" customHeight="1" x14ac:dyDescent="0.2">
      <c r="B58" s="60" t="s">
        <v>175</v>
      </c>
      <c r="C58" s="60"/>
      <c r="D58" s="60"/>
      <c r="E58" s="66" t="s">
        <v>52</v>
      </c>
      <c r="F58" s="66"/>
      <c r="G58" s="62" t="s">
        <v>104</v>
      </c>
      <c r="H58" s="62"/>
      <c r="I58" s="62"/>
      <c r="J58" s="62"/>
    </row>
    <row r="59" spans="1:10" ht="51" customHeight="1" x14ac:dyDescent="0.2">
      <c r="A59" s="5"/>
      <c r="B59" s="61"/>
      <c r="C59" s="61"/>
      <c r="D59" s="61"/>
      <c r="E59" s="67" t="s">
        <v>53</v>
      </c>
      <c r="F59" s="67"/>
      <c r="G59" s="63"/>
      <c r="H59" s="63"/>
      <c r="I59" s="63"/>
      <c r="J59" s="63"/>
    </row>
  </sheetData>
  <sheetProtection sheet="1" formatCells="0" formatColumns="0" formatRows="0" insertColumns="0" insertRows="0" insertHyperlinks="0" deleteColumns="0" deleteRows="0" selectLockedCells="1" sort="0" autoFilter="0" pivotTables="0"/>
  <mergeCells count="112">
    <mergeCell ref="B1:J1"/>
    <mergeCell ref="F2:J2"/>
    <mergeCell ref="B5:D6"/>
    <mergeCell ref="C2:D2"/>
    <mergeCell ref="C3:D3"/>
    <mergeCell ref="F3:J3"/>
    <mergeCell ref="E56:J56"/>
    <mergeCell ref="B7:D7"/>
    <mergeCell ref="I38:J38"/>
    <mergeCell ref="I39:J39"/>
    <mergeCell ref="I30:J30"/>
    <mergeCell ref="I31:J31"/>
    <mergeCell ref="E5:H5"/>
    <mergeCell ref="I37:J37"/>
    <mergeCell ref="I5:J6"/>
    <mergeCell ref="I7:J7"/>
    <mergeCell ref="I10:J10"/>
    <mergeCell ref="I19:J19"/>
    <mergeCell ref="I20:J20"/>
    <mergeCell ref="I22:J22"/>
    <mergeCell ref="I23:J23"/>
    <mergeCell ref="I24:J24"/>
    <mergeCell ref="I25:J25"/>
    <mergeCell ref="I26:J26"/>
    <mergeCell ref="B58:D59"/>
    <mergeCell ref="G58:J58"/>
    <mergeCell ref="G59:J59"/>
    <mergeCell ref="E57:J57"/>
    <mergeCell ref="I40:J40"/>
    <mergeCell ref="I41:J41"/>
    <mergeCell ref="I42:J42"/>
    <mergeCell ref="I43:J43"/>
    <mergeCell ref="I44:J44"/>
    <mergeCell ref="I49:J49"/>
    <mergeCell ref="I50:J50"/>
    <mergeCell ref="I51:J51"/>
    <mergeCell ref="I52:J52"/>
    <mergeCell ref="I53:J53"/>
    <mergeCell ref="I54:J54"/>
    <mergeCell ref="I45:J45"/>
    <mergeCell ref="I46:J46"/>
    <mergeCell ref="I47:J47"/>
    <mergeCell ref="I48:J48"/>
    <mergeCell ref="E58:F58"/>
    <mergeCell ref="E59:F59"/>
    <mergeCell ref="G55:J55"/>
    <mergeCell ref="I33:J33"/>
    <mergeCell ref="I34:J34"/>
    <mergeCell ref="I36:J36"/>
    <mergeCell ref="B55:D55"/>
    <mergeCell ref="B56:D56"/>
    <mergeCell ref="B57:D57"/>
    <mergeCell ref="I11:J11"/>
    <mergeCell ref="I12:J12"/>
    <mergeCell ref="I13:J13"/>
    <mergeCell ref="I14:J14"/>
    <mergeCell ref="I15:J15"/>
    <mergeCell ref="I16:J16"/>
    <mergeCell ref="I17:J17"/>
    <mergeCell ref="I18:J18"/>
    <mergeCell ref="I28:J28"/>
    <mergeCell ref="I29:J29"/>
    <mergeCell ref="I27:J27"/>
    <mergeCell ref="B33:D33"/>
    <mergeCell ref="B34:D34"/>
    <mergeCell ref="B53:D53"/>
    <mergeCell ref="B54:D54"/>
    <mergeCell ref="B35:J35"/>
    <mergeCell ref="B52:D52"/>
    <mergeCell ref="B14:D14"/>
    <mergeCell ref="B15:D15"/>
    <mergeCell ref="B16:D16"/>
    <mergeCell ref="I32:J32"/>
    <mergeCell ref="I9:J9"/>
    <mergeCell ref="B28:D28"/>
    <mergeCell ref="B29:D29"/>
    <mergeCell ref="B30:D30"/>
    <mergeCell ref="B31:D31"/>
    <mergeCell ref="B32:D32"/>
    <mergeCell ref="B17:D17"/>
    <mergeCell ref="B18:D18"/>
    <mergeCell ref="B19:D19"/>
    <mergeCell ref="B20:D20"/>
    <mergeCell ref="B22:D22"/>
    <mergeCell ref="B23:D23"/>
    <mergeCell ref="B24:D24"/>
    <mergeCell ref="B25:D25"/>
    <mergeCell ref="B21:J21"/>
    <mergeCell ref="B8:J8"/>
    <mergeCell ref="B44:D44"/>
    <mergeCell ref="B45:D45"/>
    <mergeCell ref="B46:D46"/>
    <mergeCell ref="B47:D47"/>
    <mergeCell ref="B48:D48"/>
    <mergeCell ref="B49:D49"/>
    <mergeCell ref="B50:D50"/>
    <mergeCell ref="B51:D51"/>
    <mergeCell ref="B36:D36"/>
    <mergeCell ref="B37:D37"/>
    <mergeCell ref="B38:D38"/>
    <mergeCell ref="B39:D39"/>
    <mergeCell ref="B40:D40"/>
    <mergeCell ref="B41:D41"/>
    <mergeCell ref="B42:D42"/>
    <mergeCell ref="B43:D43"/>
    <mergeCell ref="B26:D26"/>
    <mergeCell ref="B27:D27"/>
    <mergeCell ref="B9:D9"/>
    <mergeCell ref="B10:D10"/>
    <mergeCell ref="B11:D11"/>
    <mergeCell ref="B12:D12"/>
    <mergeCell ref="B13:D13"/>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57">
    <cfRule type="expression" dxfId="21" priority="57">
      <formula>$E57="راسب"</formula>
    </cfRule>
  </conditionalFormatting>
  <conditionalFormatting sqref="E57:J57">
    <cfRule type="expression" dxfId="20" priority="60">
      <formula>$E57="جيد جداً"</formula>
    </cfRule>
    <cfRule type="expression" dxfId="19" priority="59">
      <formula>$E57="جيد"</formula>
    </cfRule>
    <cfRule type="expression" dxfId="18" priority="58">
      <formula>$E57="مقبول"</formula>
    </cfRule>
    <cfRule type="expression" dxfId="17" priority="61">
      <formula>$E57="ممتاز"</formula>
    </cfRule>
  </conditionalFormatting>
  <conditionalFormatting sqref="F9:F20">
    <cfRule type="containsText" dxfId="16" priority="4" operator="containsText" text="أدخل العلامة">
      <formula>NOT(ISERROR(SEARCH("أدخل العلامة",F9)))</formula>
    </cfRule>
  </conditionalFormatting>
  <conditionalFormatting sqref="F22:F34 F36:F54">
    <cfRule type="containsText" dxfId="15" priority="14" operator="containsText" text="أدخل العلامة">
      <formula>NOT(ISERROR(SEARCH("أدخل العلامة",F22)))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58:J58">
    <cfRule type="containsText" dxfId="12" priority="15" operator="containsText" text="أدخل اسم المحكم">
      <formula>NOT(ISERROR(SEARCH("أدخل اسم المحكم",G58)))</formula>
    </cfRule>
  </conditionalFormatting>
  <conditionalFormatting sqref="H9:H20">
    <cfRule type="containsText" dxfId="11" priority="10" operator="containsText" text="راسب">
      <formula>NOT(ISERROR(SEARCH("راسب",H9)))</formula>
    </cfRule>
    <cfRule type="containsText" dxfId="10" priority="9" operator="containsText" text="مقبول">
      <formula>NOT(ISERROR(SEARCH("مقبول",H9)))</formula>
    </cfRule>
    <cfRule type="containsText" dxfId="9" priority="8" operator="containsText" text="جيد">
      <formula>NOT(ISERROR(SEARCH("جيد",H9)))</formula>
    </cfRule>
    <cfRule type="containsText" dxfId="8" priority="7" operator="containsText" text="جيد جداً">
      <formula>NOT(ISERROR(SEARCH("جيد جداً",H9)))</formula>
    </cfRule>
    <cfRule type="containsText" dxfId="7" priority="6" operator="containsText" text="ممتاز">
      <formula>NOT(ISERROR(SEARCH("ممتاز",H9)))</formula>
    </cfRule>
    <cfRule type="containsText" dxfId="6" priority="5" operator="containsText" text="أدخل العلامة">
      <formula>NOT(ISERROR(SEARCH("أدخل العلامة",H9)))</formula>
    </cfRule>
  </conditionalFormatting>
  <conditionalFormatting sqref="H22:H34 H36:H54">
    <cfRule type="containsText" dxfId="5" priority="38" operator="containsText" text="أدخل العلامة">
      <formula>NOT(ISERROR(SEARCH("أدخل العلامة",H22)))</formula>
    </cfRule>
    <cfRule type="containsText" dxfId="4" priority="39" operator="containsText" text="ممتاز">
      <formula>NOT(ISERROR(SEARCH("ممتاز",H22)))</formula>
    </cfRule>
    <cfRule type="containsText" dxfId="3" priority="40" operator="containsText" text="جيد جداً">
      <formula>NOT(ISERROR(SEARCH("جيد جداً",H22)))</formula>
    </cfRule>
    <cfRule type="containsText" dxfId="2" priority="41" operator="containsText" text="جيد">
      <formula>NOT(ISERROR(SEARCH("جيد",H22)))</formula>
    </cfRule>
    <cfRule type="containsText" dxfId="1" priority="42" operator="containsText" text="مقبول">
      <formula>NOT(ISERROR(SEARCH("مقبول",H22)))</formula>
    </cfRule>
    <cfRule type="containsText" dxfId="0" priority="43" operator="containsText" text="راسب">
      <formula>NOT(ISERROR(SEARCH("راسب",H22)))</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F49:F54 F36:F47 F26:F34 F23:F24 F11:F20</xm:sqref>
        </x14:dataValidation>
        <x14:dataValidation type="list" allowBlank="1" showInputMessage="1" showErrorMessage="1" xr:uid="{AE50457C-7424-4A4C-907B-8DC6AA09E7A3}">
          <x14:formula1>
            <xm:f>'بيانات التقييم'!$A$198:$A$285</xm:f>
          </x14:formula1>
          <xm:sqref>G58:J58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19" t="s">
        <v>62</v>
      </c>
    </row>
    <row r="3" spans="1:3" ht="20.100000000000001" customHeight="1" thickBot="1" x14ac:dyDescent="0.3">
      <c r="A3" s="2" t="s">
        <v>26</v>
      </c>
      <c r="C3" s="19" t="s">
        <v>63</v>
      </c>
    </row>
    <row r="4" spans="1:3" ht="20.100000000000001" customHeight="1" thickBot="1" x14ac:dyDescent="0.3">
      <c r="A4" s="2" t="s">
        <v>36</v>
      </c>
      <c r="C4" s="19" t="s">
        <v>64</v>
      </c>
    </row>
    <row r="5" spans="1:3" ht="20.100000000000001" customHeight="1" thickBot="1" x14ac:dyDescent="0.3">
      <c r="A5" s="2" t="s">
        <v>37</v>
      </c>
      <c r="C5" s="19" t="s">
        <v>65</v>
      </c>
    </row>
    <row r="6" spans="1:3" ht="20.100000000000001" customHeight="1" thickBot="1" x14ac:dyDescent="0.3">
      <c r="A6" s="2" t="s">
        <v>38</v>
      </c>
      <c r="C6" s="19" t="s">
        <v>66</v>
      </c>
    </row>
    <row r="7" spans="1:3" ht="20.100000000000001" customHeight="1" thickBot="1" x14ac:dyDescent="0.3">
      <c r="A7" s="2" t="s">
        <v>39</v>
      </c>
      <c r="C7" s="19" t="s">
        <v>67</v>
      </c>
    </row>
    <row r="8" spans="1:3" ht="20.100000000000001" customHeight="1" thickBot="1" x14ac:dyDescent="0.3">
      <c r="A8" s="2" t="s">
        <v>40</v>
      </c>
      <c r="C8" s="19" t="s">
        <v>68</v>
      </c>
    </row>
    <row r="9" spans="1:3" ht="20.100000000000001" customHeight="1" thickBot="1" x14ac:dyDescent="0.3">
      <c r="A9" s="2" t="s">
        <v>41</v>
      </c>
      <c r="C9" s="19" t="s">
        <v>69</v>
      </c>
    </row>
    <row r="10" spans="1:3" ht="20.100000000000001" customHeight="1" thickBot="1" x14ac:dyDescent="0.3">
      <c r="A10" s="2" t="s">
        <v>42</v>
      </c>
      <c r="C10" s="19" t="s">
        <v>70</v>
      </c>
    </row>
    <row r="11" spans="1:3" ht="20.100000000000001" customHeight="1" thickBot="1" x14ac:dyDescent="0.3">
      <c r="A11" s="2" t="s">
        <v>43</v>
      </c>
      <c r="C11" s="19" t="s">
        <v>71</v>
      </c>
    </row>
    <row r="12" spans="1:3" ht="20.100000000000001" customHeight="1" thickBot="1" x14ac:dyDescent="0.3">
      <c r="A12" s="2" t="s">
        <v>44</v>
      </c>
      <c r="C12" s="19" t="s">
        <v>72</v>
      </c>
    </row>
    <row r="13" spans="1:3" ht="20.100000000000001" customHeight="1" thickBot="1" x14ac:dyDescent="0.3">
      <c r="A13" s="2" t="s">
        <v>45</v>
      </c>
      <c r="C13" s="19" t="s">
        <v>73</v>
      </c>
    </row>
    <row r="14" spans="1:3" ht="20.100000000000001" customHeight="1" thickBot="1" x14ac:dyDescent="0.3">
      <c r="A14" s="2" t="s">
        <v>46</v>
      </c>
      <c r="C14" s="19" t="s">
        <v>74</v>
      </c>
    </row>
    <row r="15" spans="1:3" ht="20.100000000000001" customHeight="1" thickBot="1" x14ac:dyDescent="0.3">
      <c r="A15" s="2" t="s">
        <v>47</v>
      </c>
      <c r="C15" s="19" t="s">
        <v>75</v>
      </c>
    </row>
    <row r="16" spans="1:3" ht="20.100000000000001" customHeight="1" thickBot="1" x14ac:dyDescent="0.3">
      <c r="A16" s="2" t="s">
        <v>10</v>
      </c>
      <c r="C16" s="19" t="s">
        <v>76</v>
      </c>
    </row>
    <row r="17" spans="1:3" ht="20.100000000000001" customHeight="1" thickBot="1" x14ac:dyDescent="0.3">
      <c r="A17" s="2" t="s">
        <v>27</v>
      </c>
      <c r="C17" s="19" t="s">
        <v>77</v>
      </c>
    </row>
    <row r="18" spans="1:3" ht="20.100000000000001" customHeight="1" thickBot="1" x14ac:dyDescent="0.3">
      <c r="A18" s="2" t="s">
        <v>48</v>
      </c>
      <c r="C18" s="19" t="s">
        <v>78</v>
      </c>
    </row>
    <row r="19" spans="1:3" ht="20.100000000000001" customHeight="1" thickBot="1" x14ac:dyDescent="0.3">
      <c r="A19" s="2" t="s">
        <v>49</v>
      </c>
      <c r="C19" s="19" t="s">
        <v>79</v>
      </c>
    </row>
    <row r="20" spans="1:3" ht="20.100000000000001" customHeight="1" thickBot="1" x14ac:dyDescent="0.3">
      <c r="A20" s="2" t="s">
        <v>50</v>
      </c>
      <c r="C20" s="19" t="s">
        <v>80</v>
      </c>
    </row>
    <row r="21" spans="1:3" ht="20.100000000000001" customHeight="1" thickBot="1" x14ac:dyDescent="0.3">
      <c r="A21" s="2" t="s">
        <v>51</v>
      </c>
      <c r="C21" s="19" t="s">
        <v>81</v>
      </c>
    </row>
    <row r="22" spans="1:3" ht="20.100000000000001" customHeight="1" thickBot="1" x14ac:dyDescent="0.3">
      <c r="A22" s="2" t="s">
        <v>11</v>
      </c>
      <c r="C22" s="19" t="s">
        <v>82</v>
      </c>
    </row>
    <row r="23" spans="1:3" ht="20.100000000000001" customHeight="1" thickBot="1" x14ac:dyDescent="0.3">
      <c r="A23" s="2" t="s">
        <v>12</v>
      </c>
      <c r="C23" s="19" t="s">
        <v>83</v>
      </c>
    </row>
    <row r="24" spans="1:3" ht="20.100000000000001" customHeight="1" thickBot="1" x14ac:dyDescent="0.3">
      <c r="A24" s="2" t="s">
        <v>15</v>
      </c>
      <c r="C24" s="19" t="s">
        <v>84</v>
      </c>
    </row>
    <row r="25" spans="1:3" ht="20.100000000000001" customHeight="1" thickBot="1" x14ac:dyDescent="0.3">
      <c r="A25" s="2" t="s">
        <v>28</v>
      </c>
      <c r="C25" s="19" t="s">
        <v>85</v>
      </c>
    </row>
    <row r="26" spans="1:3" ht="20.100000000000001" customHeight="1" thickBot="1" x14ac:dyDescent="0.3">
      <c r="A26" s="2" t="s">
        <v>29</v>
      </c>
      <c r="C26" s="19" t="s">
        <v>86</v>
      </c>
    </row>
    <row r="27" spans="1:3" ht="20.100000000000001" customHeight="1" thickBot="1" x14ac:dyDescent="0.3">
      <c r="A27" s="2" t="s">
        <v>13</v>
      </c>
      <c r="C27" s="19" t="s">
        <v>87</v>
      </c>
    </row>
    <row r="28" spans="1:3" ht="20.100000000000001" customHeight="1" thickBot="1" x14ac:dyDescent="0.3">
      <c r="A28" s="2" t="s">
        <v>30</v>
      </c>
      <c r="C28" s="19"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8"/>
    </row>
    <row r="36" spans="1:9" s="17" customFormat="1" ht="20.100000000000001" customHeight="1" x14ac:dyDescent="0.2">
      <c r="A36" s="15"/>
      <c r="B36" s="16"/>
      <c r="C36" s="16"/>
      <c r="D36" s="16"/>
      <c r="E36" s="16"/>
      <c r="F36" s="16"/>
      <c r="G36" s="16"/>
      <c r="H36" s="16"/>
      <c r="I36" s="16"/>
    </row>
    <row r="37" spans="1:9" ht="20.100000000000001" customHeight="1" thickBot="1" x14ac:dyDescent="0.25"/>
    <row r="38" spans="1:9" ht="20.100000000000001" customHeight="1" thickBot="1" x14ac:dyDescent="0.3">
      <c r="A38" s="2" t="s">
        <v>56</v>
      </c>
    </row>
    <row r="39" spans="1:9" ht="20.100000000000001" customHeight="1" thickBot="1" x14ac:dyDescent="0.3">
      <c r="A39" s="13">
        <v>45901</v>
      </c>
    </row>
    <row r="40" spans="1:9" ht="20.100000000000001" customHeight="1" thickBot="1" x14ac:dyDescent="0.3">
      <c r="A40" s="13">
        <v>45902</v>
      </c>
    </row>
    <row r="41" spans="1:9" ht="20.100000000000001" customHeight="1" thickBot="1" x14ac:dyDescent="0.3">
      <c r="A41" s="13">
        <v>45903</v>
      </c>
    </row>
    <row r="42" spans="1:9" ht="20.100000000000001" customHeight="1" thickBot="1" x14ac:dyDescent="0.3">
      <c r="A42" s="13">
        <v>45904</v>
      </c>
    </row>
    <row r="43" spans="1:9" ht="20.100000000000001" customHeight="1" thickBot="1" x14ac:dyDescent="0.3">
      <c r="A43" s="13">
        <v>45905</v>
      </c>
    </row>
    <row r="44" spans="1:9" ht="20.100000000000001" customHeight="1" thickBot="1" x14ac:dyDescent="0.3">
      <c r="A44" s="13">
        <v>45906</v>
      </c>
    </row>
    <row r="45" spans="1:9" ht="20.100000000000001" customHeight="1" thickBot="1" x14ac:dyDescent="0.3">
      <c r="A45" s="13">
        <v>45907</v>
      </c>
    </row>
    <row r="46" spans="1:9" ht="20.100000000000001" customHeight="1" thickBot="1" x14ac:dyDescent="0.3">
      <c r="A46" s="13">
        <v>45908</v>
      </c>
    </row>
    <row r="47" spans="1:9" ht="20.100000000000001" customHeight="1" thickBot="1" x14ac:dyDescent="0.3">
      <c r="A47" s="13">
        <v>45909</v>
      </c>
    </row>
    <row r="48" spans="1:9" ht="20.100000000000001" customHeight="1" thickBot="1" x14ac:dyDescent="0.3">
      <c r="A48" s="13">
        <v>45910</v>
      </c>
    </row>
    <row r="49" spans="1:1" ht="20.100000000000001" customHeight="1" thickBot="1" x14ac:dyDescent="0.3">
      <c r="A49" s="13">
        <v>45911</v>
      </c>
    </row>
    <row r="50" spans="1:1" ht="20.100000000000001" customHeight="1" thickBot="1" x14ac:dyDescent="0.3">
      <c r="A50" s="13">
        <v>45912</v>
      </c>
    </row>
    <row r="51" spans="1:1" ht="20.100000000000001" customHeight="1" thickBot="1" x14ac:dyDescent="0.3">
      <c r="A51" s="13">
        <v>45913</v>
      </c>
    </row>
    <row r="52" spans="1:1" ht="20.100000000000001" customHeight="1" thickBot="1" x14ac:dyDescent="0.3">
      <c r="A52" s="13">
        <v>45914</v>
      </c>
    </row>
    <row r="53" spans="1:1" ht="20.100000000000001" customHeight="1" thickBot="1" x14ac:dyDescent="0.3">
      <c r="A53" s="13">
        <v>45915</v>
      </c>
    </row>
    <row r="54" spans="1:1" ht="20.100000000000001" customHeight="1" thickBot="1" x14ac:dyDescent="0.3">
      <c r="A54" s="13">
        <v>45916</v>
      </c>
    </row>
    <row r="55" spans="1:1" ht="20.100000000000001" customHeight="1" thickBot="1" x14ac:dyDescent="0.3">
      <c r="A55" s="13">
        <v>45917</v>
      </c>
    </row>
    <row r="56" spans="1:1" ht="20.100000000000001" customHeight="1" thickBot="1" x14ac:dyDescent="0.3">
      <c r="A56" s="13">
        <v>45918</v>
      </c>
    </row>
    <row r="57" spans="1:1" ht="20.100000000000001" customHeight="1" thickBot="1" x14ac:dyDescent="0.3">
      <c r="A57" s="13">
        <v>45919</v>
      </c>
    </row>
    <row r="58" spans="1:1" ht="20.100000000000001" customHeight="1" thickBot="1" x14ac:dyDescent="0.3">
      <c r="A58" s="13">
        <v>45920</v>
      </c>
    </row>
    <row r="59" spans="1:1" ht="20.100000000000001" customHeight="1" thickBot="1" x14ac:dyDescent="0.3">
      <c r="A59" s="13">
        <v>45921</v>
      </c>
    </row>
    <row r="60" spans="1:1" ht="20.100000000000001" customHeight="1" thickBot="1" x14ac:dyDescent="0.3">
      <c r="A60" s="13">
        <v>45922</v>
      </c>
    </row>
    <row r="61" spans="1:1" ht="20.100000000000001" customHeight="1" thickBot="1" x14ac:dyDescent="0.3">
      <c r="A61" s="13">
        <v>45923</v>
      </c>
    </row>
    <row r="62" spans="1:1" ht="20.100000000000001" customHeight="1" thickBot="1" x14ac:dyDescent="0.3">
      <c r="A62" s="13">
        <v>45924</v>
      </c>
    </row>
    <row r="63" spans="1:1" ht="20.100000000000001" customHeight="1" thickBot="1" x14ac:dyDescent="0.3">
      <c r="A63" s="13">
        <v>45925</v>
      </c>
    </row>
    <row r="64" spans="1:1" ht="20.100000000000001" customHeight="1" thickBot="1" x14ac:dyDescent="0.3">
      <c r="A64" s="13">
        <v>45926</v>
      </c>
    </row>
    <row r="65" spans="1:1" ht="20.100000000000001" customHeight="1" thickBot="1" x14ac:dyDescent="0.3">
      <c r="A65" s="13">
        <v>45927</v>
      </c>
    </row>
    <row r="66" spans="1:1" ht="20.100000000000001" customHeight="1" thickBot="1" x14ac:dyDescent="0.3">
      <c r="A66" s="13">
        <v>45928</v>
      </c>
    </row>
    <row r="67" spans="1:1" ht="20.100000000000001" customHeight="1" thickBot="1" x14ac:dyDescent="0.3">
      <c r="A67" s="13">
        <v>45929</v>
      </c>
    </row>
    <row r="68" spans="1:1" ht="20.100000000000001" customHeight="1" thickBot="1" x14ac:dyDescent="0.3">
      <c r="A68" s="13">
        <v>45930</v>
      </c>
    </row>
    <row r="69" spans="1:1" ht="20.100000000000001" customHeight="1" thickBot="1" x14ac:dyDescent="0.3">
      <c r="A69" s="13">
        <v>45931</v>
      </c>
    </row>
    <row r="70" spans="1:1" ht="20.100000000000001" customHeight="1" thickBot="1" x14ac:dyDescent="0.3">
      <c r="A70" s="13">
        <v>45932</v>
      </c>
    </row>
    <row r="71" spans="1:1" ht="20.100000000000001" customHeight="1" thickBot="1" x14ac:dyDescent="0.3">
      <c r="A71" s="13">
        <v>45933</v>
      </c>
    </row>
    <row r="72" spans="1:1" ht="20.100000000000001" customHeight="1" thickBot="1" x14ac:dyDescent="0.3">
      <c r="A72" s="13">
        <v>45934</v>
      </c>
    </row>
    <row r="73" spans="1:1" ht="20.100000000000001" customHeight="1" thickBot="1" x14ac:dyDescent="0.3">
      <c r="A73" s="13">
        <v>45935</v>
      </c>
    </row>
    <row r="74" spans="1:1" ht="20.100000000000001" customHeight="1" thickBot="1" x14ac:dyDescent="0.3">
      <c r="A74" s="13">
        <v>45936</v>
      </c>
    </row>
    <row r="75" spans="1:1" ht="20.100000000000001" customHeight="1" thickBot="1" x14ac:dyDescent="0.3">
      <c r="A75" s="13">
        <v>45937</v>
      </c>
    </row>
    <row r="76" spans="1:1" ht="20.100000000000001" customHeight="1" thickBot="1" x14ac:dyDescent="0.3">
      <c r="A76" s="13">
        <v>45938</v>
      </c>
    </row>
    <row r="77" spans="1:1" ht="20.100000000000001" customHeight="1" thickBot="1" x14ac:dyDescent="0.3">
      <c r="A77" s="13">
        <v>45939</v>
      </c>
    </row>
    <row r="78" spans="1:1" ht="20.100000000000001" customHeight="1" thickBot="1" x14ac:dyDescent="0.3">
      <c r="A78" s="13">
        <v>45940</v>
      </c>
    </row>
    <row r="79" spans="1:1" ht="20.100000000000001" customHeight="1" thickBot="1" x14ac:dyDescent="0.3">
      <c r="A79" s="13">
        <v>45941</v>
      </c>
    </row>
    <row r="80" spans="1:1" ht="20.100000000000001" customHeight="1" thickBot="1" x14ac:dyDescent="0.3">
      <c r="A80" s="13">
        <v>45942</v>
      </c>
    </row>
    <row r="81" spans="1:1" ht="20.100000000000001" customHeight="1" thickBot="1" x14ac:dyDescent="0.3">
      <c r="A81" s="13">
        <v>45943</v>
      </c>
    </row>
    <row r="82" spans="1:1" ht="20.100000000000001" customHeight="1" thickBot="1" x14ac:dyDescent="0.3">
      <c r="A82" s="13">
        <v>45944</v>
      </c>
    </row>
    <row r="83" spans="1:1" ht="20.100000000000001" customHeight="1" thickBot="1" x14ac:dyDescent="0.3">
      <c r="A83" s="13">
        <v>45945</v>
      </c>
    </row>
    <row r="84" spans="1:1" ht="20.100000000000001" customHeight="1" thickBot="1" x14ac:dyDescent="0.3">
      <c r="A84" s="13">
        <v>45946</v>
      </c>
    </row>
    <row r="85" spans="1:1" ht="20.100000000000001" customHeight="1" thickBot="1" x14ac:dyDescent="0.3">
      <c r="A85" s="13">
        <v>45947</v>
      </c>
    </row>
    <row r="86" spans="1:1" ht="20.100000000000001" customHeight="1" thickBot="1" x14ac:dyDescent="0.3">
      <c r="A86" s="13">
        <v>45948</v>
      </c>
    </row>
    <row r="87" spans="1:1" ht="20.100000000000001" customHeight="1" thickBot="1" x14ac:dyDescent="0.3">
      <c r="A87" s="13">
        <v>45949</v>
      </c>
    </row>
    <row r="88" spans="1:1" ht="20.100000000000001" customHeight="1" thickBot="1" x14ac:dyDescent="0.3">
      <c r="A88" s="13">
        <v>45950</v>
      </c>
    </row>
    <row r="89" spans="1:1" ht="20.100000000000001" customHeight="1" thickBot="1" x14ac:dyDescent="0.3">
      <c r="A89" s="13">
        <v>45951</v>
      </c>
    </row>
    <row r="90" spans="1:1" ht="20.100000000000001" customHeight="1" thickBot="1" x14ac:dyDescent="0.3">
      <c r="A90" s="13">
        <v>45952</v>
      </c>
    </row>
    <row r="91" spans="1:1" ht="20.100000000000001" customHeight="1" thickBot="1" x14ac:dyDescent="0.3">
      <c r="A91" s="13">
        <v>45953</v>
      </c>
    </row>
    <row r="92" spans="1:1" ht="20.100000000000001" customHeight="1" thickBot="1" x14ac:dyDescent="0.3">
      <c r="A92" s="13">
        <v>45954</v>
      </c>
    </row>
    <row r="93" spans="1:1" ht="20.100000000000001" customHeight="1" thickBot="1" x14ac:dyDescent="0.3">
      <c r="A93" s="13">
        <v>45955</v>
      </c>
    </row>
    <row r="94" spans="1:1" ht="20.100000000000001" customHeight="1" thickBot="1" x14ac:dyDescent="0.3">
      <c r="A94" s="13">
        <v>45956</v>
      </c>
    </row>
    <row r="95" spans="1:1" ht="20.100000000000001" customHeight="1" thickBot="1" x14ac:dyDescent="0.3">
      <c r="A95" s="13">
        <v>45957</v>
      </c>
    </row>
    <row r="96" spans="1:1" ht="20.100000000000001" customHeight="1" thickBot="1" x14ac:dyDescent="0.3">
      <c r="A96" s="13">
        <v>45958</v>
      </c>
    </row>
    <row r="97" spans="1:9" ht="20.100000000000001" customHeight="1" thickBot="1" x14ac:dyDescent="0.3">
      <c r="A97" s="13">
        <v>45959</v>
      </c>
    </row>
    <row r="98" spans="1:9" ht="20.100000000000001" customHeight="1" thickBot="1" x14ac:dyDescent="0.3">
      <c r="A98" s="13">
        <v>45960</v>
      </c>
    </row>
    <row r="99" spans="1:9" ht="20.100000000000001" customHeight="1" thickBot="1" x14ac:dyDescent="0.3">
      <c r="A99" s="13">
        <v>45961</v>
      </c>
    </row>
    <row r="100" spans="1:9" ht="20.100000000000001" customHeight="1" thickBot="1" x14ac:dyDescent="0.3">
      <c r="A100" s="13">
        <v>45962</v>
      </c>
    </row>
    <row r="101" spans="1:9" ht="20.100000000000001" customHeight="1" thickBot="1" x14ac:dyDescent="0.3">
      <c r="A101" s="13">
        <v>45963</v>
      </c>
    </row>
    <row r="102" spans="1:9" ht="20.100000000000001" customHeight="1" thickBot="1" x14ac:dyDescent="0.3">
      <c r="A102" s="13">
        <v>45964</v>
      </c>
    </row>
    <row r="103" spans="1:9" ht="20.100000000000001" customHeight="1" thickBot="1" x14ac:dyDescent="0.3">
      <c r="A103" s="13">
        <v>45965</v>
      </c>
    </row>
    <row r="104" spans="1:9" ht="20.100000000000001" customHeight="1" thickBot="1" x14ac:dyDescent="0.3">
      <c r="A104" s="13">
        <v>45966</v>
      </c>
    </row>
    <row r="105" spans="1:9" ht="20.100000000000001" customHeight="1" thickBot="1" x14ac:dyDescent="0.3">
      <c r="A105" s="13">
        <v>45967</v>
      </c>
    </row>
    <row r="106" spans="1:9" ht="20.100000000000001" customHeight="1" thickBot="1" x14ac:dyDescent="0.3">
      <c r="A106" s="13">
        <v>45968</v>
      </c>
    </row>
    <row r="107" spans="1:9" ht="20.100000000000001" customHeight="1" x14ac:dyDescent="0.2">
      <c r="A107" s="14"/>
    </row>
    <row r="108" spans="1:9" ht="20.100000000000001" customHeight="1" x14ac:dyDescent="0.2">
      <c r="A108" s="14"/>
    </row>
    <row r="109" spans="1:9" s="17" customFormat="1" ht="20.100000000000001" customHeight="1" x14ac:dyDescent="0.2">
      <c r="A109" s="15"/>
      <c r="B109" s="16"/>
      <c r="C109" s="16"/>
      <c r="D109" s="16"/>
      <c r="E109" s="16"/>
      <c r="F109" s="16"/>
      <c r="G109" s="16"/>
      <c r="H109" s="16"/>
      <c r="I109" s="16"/>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0" t="s">
        <v>89</v>
      </c>
    </row>
    <row r="200" spans="1:1" ht="20.100000000000001" customHeight="1" x14ac:dyDescent="0.2">
      <c r="A200" s="20" t="s">
        <v>90</v>
      </c>
    </row>
    <row r="201" spans="1:1" ht="20.100000000000001" customHeight="1" x14ac:dyDescent="0.2">
      <c r="A201" s="20" t="s">
        <v>91</v>
      </c>
    </row>
    <row r="202" spans="1:1" ht="20.100000000000001" customHeight="1" x14ac:dyDescent="0.2">
      <c r="A202" s="20" t="s">
        <v>92</v>
      </c>
    </row>
    <row r="203" spans="1:1" ht="20.100000000000001" customHeight="1" x14ac:dyDescent="0.2">
      <c r="A203" s="20" t="s">
        <v>93</v>
      </c>
    </row>
    <row r="204" spans="1:1" ht="20.100000000000001" customHeight="1" x14ac:dyDescent="0.2">
      <c r="A204" s="20" t="s">
        <v>94</v>
      </c>
    </row>
    <row r="205" spans="1:1" ht="20.100000000000001" customHeight="1" x14ac:dyDescent="0.2">
      <c r="A205" s="20" t="s">
        <v>95</v>
      </c>
    </row>
    <row r="206" spans="1:1" ht="20.100000000000001" customHeight="1" x14ac:dyDescent="0.2">
      <c r="A206" s="20" t="s">
        <v>96</v>
      </c>
    </row>
    <row r="207" spans="1:1" ht="20.100000000000001" customHeight="1" x14ac:dyDescent="0.2">
      <c r="A207" s="20" t="s">
        <v>97</v>
      </c>
    </row>
    <row r="208" spans="1:1" ht="20.100000000000001" customHeight="1" x14ac:dyDescent="0.2">
      <c r="A208" s="21" t="s">
        <v>98</v>
      </c>
    </row>
    <row r="209" spans="1:1" ht="20.100000000000001" customHeight="1" x14ac:dyDescent="0.2">
      <c r="A209" s="21" t="s">
        <v>99</v>
      </c>
    </row>
    <row r="210" spans="1:1" ht="20.100000000000001" customHeight="1" x14ac:dyDescent="0.2">
      <c r="A210" s="20" t="s">
        <v>100</v>
      </c>
    </row>
    <row r="211" spans="1:1" ht="20.100000000000001" customHeight="1" x14ac:dyDescent="0.2">
      <c r="A211" s="20" t="s">
        <v>101</v>
      </c>
    </row>
    <row r="212" spans="1:1" ht="20.100000000000001" customHeight="1" x14ac:dyDescent="0.2">
      <c r="A212" s="20" t="s">
        <v>102</v>
      </c>
    </row>
    <row r="213" spans="1:1" ht="20.100000000000001" customHeight="1" x14ac:dyDescent="0.2">
      <c r="A213" s="20" t="s">
        <v>103</v>
      </c>
    </row>
    <row r="214" spans="1:1" ht="20.100000000000001" customHeight="1" x14ac:dyDescent="0.2">
      <c r="A214" s="20" t="s">
        <v>104</v>
      </c>
    </row>
    <row r="215" spans="1:1" ht="20.100000000000001" customHeight="1" x14ac:dyDescent="0.2">
      <c r="A215" s="20" t="s">
        <v>105</v>
      </c>
    </row>
    <row r="216" spans="1:1" ht="20.100000000000001" customHeight="1" x14ac:dyDescent="0.2">
      <c r="A216" s="20" t="s">
        <v>106</v>
      </c>
    </row>
    <row r="217" spans="1:1" ht="20.100000000000001" customHeight="1" x14ac:dyDescent="0.2">
      <c r="A217" s="20" t="s">
        <v>107</v>
      </c>
    </row>
    <row r="218" spans="1:1" ht="20.100000000000001" customHeight="1" x14ac:dyDescent="0.2">
      <c r="A218" s="20" t="s">
        <v>108</v>
      </c>
    </row>
    <row r="219" spans="1:1" ht="20.100000000000001" customHeight="1" x14ac:dyDescent="0.2">
      <c r="A219" s="20" t="s">
        <v>109</v>
      </c>
    </row>
    <row r="220" spans="1:1" ht="20.100000000000001" customHeight="1" x14ac:dyDescent="0.2">
      <c r="A220" s="20" t="s">
        <v>110</v>
      </c>
    </row>
    <row r="221" spans="1:1" ht="20.100000000000001" customHeight="1" x14ac:dyDescent="0.2">
      <c r="A221" s="20" t="s">
        <v>111</v>
      </c>
    </row>
    <row r="222" spans="1:1" ht="20.100000000000001" customHeight="1" x14ac:dyDescent="0.2">
      <c r="A222" s="20" t="s">
        <v>112</v>
      </c>
    </row>
    <row r="223" spans="1:1" ht="20.100000000000001" customHeight="1" x14ac:dyDescent="0.2">
      <c r="A223" s="20" t="s">
        <v>113</v>
      </c>
    </row>
    <row r="224" spans="1:1" ht="20.100000000000001" customHeight="1" x14ac:dyDescent="0.2">
      <c r="A224" s="20" t="s">
        <v>114</v>
      </c>
    </row>
    <row r="225" spans="1:1" ht="20.100000000000001" customHeight="1" x14ac:dyDescent="0.2">
      <c r="A225" s="20" t="s">
        <v>115</v>
      </c>
    </row>
    <row r="226" spans="1:1" ht="20.100000000000001" customHeight="1" x14ac:dyDescent="0.2">
      <c r="A226" s="20" t="s">
        <v>116</v>
      </c>
    </row>
    <row r="227" spans="1:1" ht="20.100000000000001" customHeight="1" x14ac:dyDescent="0.2">
      <c r="A227" s="20" t="s">
        <v>117</v>
      </c>
    </row>
    <row r="228" spans="1:1" ht="20.100000000000001" customHeight="1" x14ac:dyDescent="0.2">
      <c r="A228" s="20" t="s">
        <v>118</v>
      </c>
    </row>
    <row r="229" spans="1:1" ht="20.100000000000001" customHeight="1" x14ac:dyDescent="0.2">
      <c r="A229" s="20" t="s">
        <v>119</v>
      </c>
    </row>
    <row r="230" spans="1:1" ht="20.100000000000001" customHeight="1" x14ac:dyDescent="0.2">
      <c r="A230" s="20" t="s">
        <v>120</v>
      </c>
    </row>
    <row r="231" spans="1:1" ht="20.100000000000001" customHeight="1" x14ac:dyDescent="0.2">
      <c r="A231" s="20" t="s">
        <v>121</v>
      </c>
    </row>
    <row r="232" spans="1:1" ht="20.100000000000001" customHeight="1" x14ac:dyDescent="0.2">
      <c r="A232" s="20" t="s">
        <v>122</v>
      </c>
    </row>
    <row r="233" spans="1:1" ht="20.100000000000001" customHeight="1" x14ac:dyDescent="0.2">
      <c r="A233" s="20" t="s">
        <v>123</v>
      </c>
    </row>
    <row r="234" spans="1:1" ht="20.100000000000001" customHeight="1" x14ac:dyDescent="0.2">
      <c r="A234" s="20" t="s">
        <v>124</v>
      </c>
    </row>
    <row r="235" spans="1:1" ht="20.100000000000001" customHeight="1" x14ac:dyDescent="0.2">
      <c r="A235" s="22" t="s">
        <v>125</v>
      </c>
    </row>
    <row r="236" spans="1:1" ht="20.100000000000001" customHeight="1" x14ac:dyDescent="0.2">
      <c r="A236" s="20" t="s">
        <v>126</v>
      </c>
    </row>
    <row r="237" spans="1:1" ht="20.100000000000001" customHeight="1" x14ac:dyDescent="0.2">
      <c r="A237" s="20" t="s">
        <v>127</v>
      </c>
    </row>
    <row r="238" spans="1:1" ht="20.100000000000001" customHeight="1" x14ac:dyDescent="0.2">
      <c r="A238" s="20" t="s">
        <v>128</v>
      </c>
    </row>
    <row r="239" spans="1:1" ht="20.100000000000001" customHeight="1" x14ac:dyDescent="0.2">
      <c r="A239" s="20" t="s">
        <v>129</v>
      </c>
    </row>
    <row r="240" spans="1:1" ht="20.100000000000001" customHeight="1" x14ac:dyDescent="0.2">
      <c r="A240" s="20" t="s">
        <v>130</v>
      </c>
    </row>
    <row r="241" spans="1:1" ht="20.100000000000001" customHeight="1" x14ac:dyDescent="0.2">
      <c r="A241" s="20" t="s">
        <v>131</v>
      </c>
    </row>
    <row r="242" spans="1:1" ht="20.100000000000001" customHeight="1" x14ac:dyDescent="0.2">
      <c r="A242" s="20" t="s">
        <v>132</v>
      </c>
    </row>
    <row r="243" spans="1:1" ht="20.100000000000001" customHeight="1" x14ac:dyDescent="0.2">
      <c r="A243" s="20" t="s">
        <v>133</v>
      </c>
    </row>
    <row r="244" spans="1:1" ht="20.100000000000001" customHeight="1" x14ac:dyDescent="0.2">
      <c r="A244" s="20" t="s">
        <v>134</v>
      </c>
    </row>
    <row r="245" spans="1:1" ht="20.100000000000001" customHeight="1" x14ac:dyDescent="0.2">
      <c r="A245" s="20" t="s">
        <v>135</v>
      </c>
    </row>
    <row r="246" spans="1:1" ht="20.100000000000001" customHeight="1" x14ac:dyDescent="0.2">
      <c r="A246" s="20" t="s">
        <v>136</v>
      </c>
    </row>
    <row r="247" spans="1:1" ht="20.100000000000001" customHeight="1" x14ac:dyDescent="0.2">
      <c r="A247" s="20" t="s">
        <v>127</v>
      </c>
    </row>
    <row r="248" spans="1:1" ht="20.100000000000001" customHeight="1" x14ac:dyDescent="0.2">
      <c r="A248" s="20" t="s">
        <v>137</v>
      </c>
    </row>
    <row r="249" spans="1:1" ht="20.100000000000001" customHeight="1" x14ac:dyDescent="0.2">
      <c r="A249" s="20" t="s">
        <v>138</v>
      </c>
    </row>
    <row r="250" spans="1:1" ht="20.100000000000001" customHeight="1" x14ac:dyDescent="0.2">
      <c r="A250" s="22" t="s">
        <v>139</v>
      </c>
    </row>
    <row r="251" spans="1:1" ht="20.100000000000001" customHeight="1" x14ac:dyDescent="0.2">
      <c r="A251" s="23" t="s">
        <v>140</v>
      </c>
    </row>
    <row r="252" spans="1:1" ht="20.100000000000001" customHeight="1" x14ac:dyDescent="0.2">
      <c r="A252" s="20" t="s">
        <v>141</v>
      </c>
    </row>
    <row r="253" spans="1:1" ht="20.100000000000001" customHeight="1" x14ac:dyDescent="0.2">
      <c r="A253" s="20" t="s">
        <v>142</v>
      </c>
    </row>
    <row r="254" spans="1:1" ht="20.100000000000001" customHeight="1" x14ac:dyDescent="0.2">
      <c r="A254" s="24" t="s">
        <v>143</v>
      </c>
    </row>
    <row r="255" spans="1:1" ht="20.100000000000001" customHeight="1" x14ac:dyDescent="0.2">
      <c r="A255" s="24" t="s">
        <v>144</v>
      </c>
    </row>
    <row r="256" spans="1:1" ht="20.100000000000001" customHeight="1" x14ac:dyDescent="0.2">
      <c r="A256" s="25" t="s">
        <v>145</v>
      </c>
    </row>
    <row r="257" spans="1:1" ht="20.100000000000001" customHeight="1" x14ac:dyDescent="0.2">
      <c r="A257" s="20" t="s">
        <v>146</v>
      </c>
    </row>
    <row r="258" spans="1:1" ht="20.100000000000001" customHeight="1" x14ac:dyDescent="0.2">
      <c r="A258" s="25" t="s">
        <v>147</v>
      </c>
    </row>
    <row r="259" spans="1:1" ht="20.100000000000001" customHeight="1" x14ac:dyDescent="0.2">
      <c r="A259" s="20" t="s">
        <v>148</v>
      </c>
    </row>
    <row r="260" spans="1:1" ht="20.100000000000001" customHeight="1" x14ac:dyDescent="0.2">
      <c r="A260" s="25" t="s">
        <v>149</v>
      </c>
    </row>
    <row r="261" spans="1:1" ht="20.100000000000001" customHeight="1" x14ac:dyDescent="0.2">
      <c r="A261" s="20" t="s">
        <v>150</v>
      </c>
    </row>
    <row r="262" spans="1:1" ht="20.100000000000001" customHeight="1" x14ac:dyDescent="0.2">
      <c r="A262" s="20" t="s">
        <v>151</v>
      </c>
    </row>
    <row r="263" spans="1:1" ht="20.100000000000001" customHeight="1" x14ac:dyDescent="0.2">
      <c r="A263" s="25" t="s">
        <v>152</v>
      </c>
    </row>
    <row r="264" spans="1:1" ht="20.100000000000001" customHeight="1" x14ac:dyDescent="0.2">
      <c r="A264" s="25" t="s">
        <v>153</v>
      </c>
    </row>
    <row r="265" spans="1:1" ht="20.100000000000001" customHeight="1" x14ac:dyDescent="0.2">
      <c r="A265" s="25" t="s">
        <v>154</v>
      </c>
    </row>
    <row r="266" spans="1:1" ht="20.100000000000001" customHeight="1" x14ac:dyDescent="0.2">
      <c r="A266" s="20" t="s">
        <v>155</v>
      </c>
    </row>
    <row r="267" spans="1:1" ht="20.100000000000001" customHeight="1" x14ac:dyDescent="0.2">
      <c r="A267" s="20" t="s">
        <v>156</v>
      </c>
    </row>
    <row r="268" spans="1:1" ht="20.100000000000001" customHeight="1" x14ac:dyDescent="0.2">
      <c r="A268" s="20" t="s">
        <v>157</v>
      </c>
    </row>
    <row r="269" spans="1:1" ht="20.100000000000001" customHeight="1" x14ac:dyDescent="0.2">
      <c r="A269" s="20" t="s">
        <v>158</v>
      </c>
    </row>
    <row r="270" spans="1:1" ht="20.100000000000001" customHeight="1" x14ac:dyDescent="0.2">
      <c r="A270" s="25" t="s">
        <v>159</v>
      </c>
    </row>
    <row r="271" spans="1:1" ht="20.100000000000001" customHeight="1" x14ac:dyDescent="0.2">
      <c r="A271" s="25" t="s">
        <v>160</v>
      </c>
    </row>
    <row r="272" spans="1:1" ht="20.100000000000001" customHeight="1" x14ac:dyDescent="0.2">
      <c r="A272" s="20" t="s">
        <v>161</v>
      </c>
    </row>
    <row r="273" spans="1:1" ht="20.100000000000001" customHeight="1" x14ac:dyDescent="0.2">
      <c r="A273" s="25" t="s">
        <v>162</v>
      </c>
    </row>
    <row r="274" spans="1:1" ht="20.100000000000001" customHeight="1" x14ac:dyDescent="0.2">
      <c r="A274" s="25" t="s">
        <v>163</v>
      </c>
    </row>
    <row r="275" spans="1:1" ht="20.100000000000001" customHeight="1" x14ac:dyDescent="0.2">
      <c r="A275" s="20" t="s">
        <v>164</v>
      </c>
    </row>
    <row r="276" spans="1:1" ht="20.100000000000001" customHeight="1" x14ac:dyDescent="0.2">
      <c r="A276" s="20" t="s">
        <v>165</v>
      </c>
    </row>
    <row r="277" spans="1:1" ht="20.100000000000001" customHeight="1" x14ac:dyDescent="0.2">
      <c r="A277" s="25" t="s">
        <v>166</v>
      </c>
    </row>
    <row r="278" spans="1:1" ht="20.100000000000001" customHeight="1" x14ac:dyDescent="0.2">
      <c r="A278" s="20" t="s">
        <v>167</v>
      </c>
    </row>
    <row r="279" spans="1:1" ht="20.100000000000001" customHeight="1" x14ac:dyDescent="0.2">
      <c r="A279" s="20" t="s">
        <v>168</v>
      </c>
    </row>
    <row r="280" spans="1:1" ht="20.100000000000001" customHeight="1" x14ac:dyDescent="0.2">
      <c r="A280" s="20" t="s">
        <v>169</v>
      </c>
    </row>
    <row r="281" spans="1:1" ht="20.100000000000001" customHeight="1" x14ac:dyDescent="0.2">
      <c r="A281" s="20" t="s">
        <v>170</v>
      </c>
    </row>
    <row r="282" spans="1:1" ht="20.100000000000001" customHeight="1" x14ac:dyDescent="0.2">
      <c r="A282" s="25" t="s">
        <v>171</v>
      </c>
    </row>
    <row r="283" spans="1:1" ht="20.100000000000001" customHeight="1" x14ac:dyDescent="0.2">
      <c r="A283" s="25" t="s">
        <v>172</v>
      </c>
    </row>
    <row r="284" spans="1:1" ht="20.100000000000001" customHeight="1" x14ac:dyDescent="0.2">
      <c r="A284" s="25" t="s">
        <v>173</v>
      </c>
    </row>
    <row r="285" spans="1:1" ht="20.100000000000001" customHeight="1" thickBot="1" x14ac:dyDescent="0.25">
      <c r="A285" s="20"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2025-10-22T03:40:53Z</dcterms:modified>
</cp:coreProperties>
</file>