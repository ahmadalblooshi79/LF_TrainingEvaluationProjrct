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-105" yWindow="-105" windowWidth="23250" windowHeight="12570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التقييم'!$A$1:$J$18</definedName>
    <definedName name="_xlnm.Print_Titles" localSheetId="0">'قائمة التقييم'!$7:$7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2" l="1"/>
  <c r="H9" i="2" s="1"/>
  <c r="G10" i="2" l="1"/>
  <c r="H10" i="2" s="1"/>
  <c r="G11" i="2"/>
  <c r="H11" i="2" s="1"/>
  <c r="G12" i="2"/>
  <c r="H12" i="2" s="1"/>
  <c r="G13" i="2"/>
  <c r="H13" i="2" s="1"/>
  <c r="G8" i="2" l="1"/>
  <c r="H8" i="2" s="1"/>
  <c r="F14" i="2" l="1"/>
  <c r="E14" i="2" l="1"/>
  <c r="E15" i="2" l="1"/>
  <c r="E16" i="2" s="1"/>
</calcChain>
</file>

<file path=xl/sharedStrings.xml><?xml version="1.0" encoding="utf-8"?>
<sst xmlns="http://schemas.openxmlformats.org/spreadsheetml/2006/main" count="41" uniqueCount="35">
  <si>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</si>
  <si>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</si>
  <si>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</si>
  <si>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</si>
  <si>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</si>
  <si>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</si>
  <si>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</si>
  <si>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</si>
  <si>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</si>
  <si>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</si>
  <si>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</si>
  <si>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</si>
  <si>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</si>
  <si>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</si>
  <si>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</si>
  <si>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</si>
  <si>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</si>
  <si>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</si>
  <si>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</si>
  <si>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</si>
  <si>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</si>
  <si>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</si>
  <si>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</si>
  <si>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</si>
  <si>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</si>
  <si>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</si>
  <si>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</si>
  <si>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</si>
  <si>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t>1.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Arial"/>
        <family val="2"/>
      </rPr>
      <t>تجهيز الاتصالات السلكية واللاسلكية والبريد العسكري.</t>
    </r>
  </si>
  <si>
    <r>
      <t>2.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Arial"/>
        <family val="2"/>
      </rPr>
      <t>تأمين نظام القيادة والسيطرة الالي أثناء التقدم للتماس.</t>
    </r>
  </si>
  <si>
    <r>
      <t>3.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Arial"/>
        <family val="2"/>
      </rPr>
      <t>تأمين الاتصالات البديلة في حالة الإعاقة الالكترونية (HF).</t>
    </r>
  </si>
  <si>
    <r>
      <t>4.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Arial"/>
        <family val="2"/>
      </rPr>
      <t>إدامة قوة الإشارة والاتصالات.</t>
    </r>
  </si>
  <si>
    <r>
      <t>5.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Arial"/>
        <family val="2"/>
      </rPr>
      <t>التقيد بالأمن اللاسلكي.</t>
    </r>
  </si>
  <si>
    <r>
      <t>6.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Arial"/>
        <family val="2"/>
      </rPr>
      <t>التقيد بقواعد واصول المخابرة الصحيحة.</t>
    </r>
  </si>
  <si>
    <t>تقييم سرية الاشارة في اسناد التقدم للتماس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</si>
</sst>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C0000]d\ mmmm\ yyyy;@"/>
  </numFmts>
  <fonts count="10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7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Alignment="1" applyProtection="1">
      <alignment vertical="center" wrapText="1" readingOrder="2"/>
      <protection locked="0"/>
    </xf>
    <xf numFmtId="0" fontId="5" fillId="0" borderId="0" xfId="0" applyFont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9" fontId="3" fillId="0" borderId="10" xfId="0" applyNumberFormat="1" applyFont="1" applyBorder="1" applyAlignment="1">
      <alignment horizontal="center" vertical="center" wrapText="1" readingOrder="2"/>
    </xf>
    <xf numFmtId="0" fontId="2" fillId="0" borderId="8" xfId="0" applyFont="1" applyBorder="1" applyAlignment="1">
      <alignment horizontal="center" vertical="center" wrapText="1" readingOrder="2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5" fillId="3" borderId="12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5" fillId="3" borderId="2" xfId="0" applyFont="1" applyFill="1" applyBorder="1" applyAlignment="1" applyProtection="1">
      <alignment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2" fillId="0" borderId="18" xfId="0" applyFont="1" applyBorder="1" applyAlignment="1">
      <alignment horizontal="center" vertical="center" wrapText="1" readingOrder="2"/>
    </xf>
    <xf numFmtId="0" fontId="2" fillId="0" borderId="19" xfId="0" applyFont="1" applyBorder="1" applyAlignment="1">
      <alignment horizontal="center" vertical="center" wrapText="1" readingOrder="2"/>
    </xf>
    <xf numFmtId="0" fontId="8" fillId="0" borderId="2" xfId="0" applyFont="1" applyBorder="1" applyAlignment="1">
      <alignment horizontal="right" vertical="center" wrapText="1" readingOrder="2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3" fillId="0" borderId="14" xfId="0" applyFont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horizontal="left" vertical="center" wrapText="1" readingOrder="2"/>
      <protection locked="0"/>
    </xf>
    <xf numFmtId="0" fontId="5" fillId="0" borderId="0" xfId="0" applyFont="1" applyAlignment="1" applyProtection="1">
      <alignment horizontal="left" vertical="center" wrapText="1" readingOrder="2"/>
      <protection locked="0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0" fontId="2" fillId="0" borderId="17" xfId="0" applyFont="1" applyBorder="1" applyAlignment="1">
      <alignment horizontal="center" vertical="center" wrapText="1" readingOrder="2"/>
    </xf>
    <xf numFmtId="164" fontId="5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6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3" borderId="3" xfId="0" applyFont="1" applyFill="1" applyBorder="1" applyAlignment="1" applyProtection="1">
      <alignment horizontal="center" vertical="center" wrapText="1" readingOrder="2"/>
      <protection locked="0"/>
    </xf>
    <xf numFmtId="0" fontId="6" fillId="3" borderId="11" xfId="0" applyFont="1" applyFill="1" applyBorder="1" applyAlignment="1" applyProtection="1">
      <alignment horizontal="center" vertical="center" wrapText="1" readingOrder="2"/>
      <protection locked="0"/>
    </xf>
    <xf numFmtId="0" fontId="6" fillId="3" borderId="12" xfId="0" applyFont="1" applyFill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6" fillId="3" borderId="20" xfId="0" applyFont="1" applyFill="1" applyBorder="1" applyAlignment="1" applyProtection="1">
      <alignment horizontal="center" vertical="center" wrapText="1" readingOrder="2"/>
      <protection locked="0"/>
    </xf>
    <xf numFmtId="0" fontId="6" fillId="3" borderId="21" xfId="0" applyFont="1" applyFill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12" xfId="0" applyFont="1" applyFill="1" applyBorder="1" applyAlignment="1" applyProtection="1">
      <alignment horizontal="center" vertical="center" wrapText="1" readingOrder="2"/>
      <protection locked="0"/>
    </xf>
    <xf numFmtId="0" fontId="5" fillId="3" borderId="13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5" fillId="3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49" fontId="4" fillId="0" borderId="0" xfId="0" applyNumberFormat="1" applyFont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18"/>
  <sheetViews>
    <sheetView rightToLeft="1" tabSelected="1" view="pageBreakPreview" zoomScale="130" zoomScaleNormal="100" zoomScaleSheetLayoutView="130" workbookViewId="0">
      <selection activeCell="B1" sqref="B1:J1"/>
    </sheetView>
  </sheetViews>
  <sheetFormatPr defaultColWidth="9" defaultRowHeight="15" x14ac:dyDescent="0.25"/>
  <cols>
    <col min="1" max="1" width="5.140625" style="1" customWidth="1"/>
    <col min="2" max="2" width="12.140625" style="1" customWidth="1"/>
    <col min="3" max="3" width="9" style="1"/>
    <col min="4" max="4" width="28.140625" style="1" customWidth="1"/>
    <col min="5" max="7" width="9.28515625" style="1" customWidth="1"/>
    <col min="8" max="8" width="9.28515625" style="2" customWidth="1"/>
    <col min="9" max="9" width="9.28515625" style="1" customWidth="1"/>
    <col min="10" max="10" width="15.42578125" style="1" customWidth="1"/>
    <col min="11" max="16384" width="9" style="1"/>
  </cols>
  <sheetData>
    <row r="1" spans="1:10" ht="45" customHeight="1" x14ac:dyDescent="0.25">
      <c r="B1" s="53" t="s">
        <v>34</v>
      </c>
      <c r="C1" s="53"/>
      <c r="D1" s="53"/>
      <c r="E1" s="53"/>
      <c r="F1" s="53"/>
      <c r="G1" s="53"/>
      <c r="H1" s="53"/>
      <c r="I1" s="53"/>
      <c r="J1" s="53"/>
    </row>
    <row r="2" spans="1:10" ht="30" customHeight="1" x14ac:dyDescent="0.25">
      <c r="B2" s="16" t="s">
        <v>8</v>
      </c>
      <c r="C2" s="33" t="s">
        <v>23</v>
      </c>
      <c r="D2" s="33"/>
      <c r="E2" s="16" t="s">
        <v>7</v>
      </c>
      <c r="F2" s="28" t="s">
        <v>22</v>
      </c>
      <c r="G2" s="28"/>
      <c r="H2" s="28"/>
      <c r="I2" s="28"/>
      <c r="J2" s="28"/>
    </row>
    <row r="3" spans="1:10" ht="30" customHeight="1" x14ac:dyDescent="0.25">
      <c r="B3" s="16" t="s">
        <v>9</v>
      </c>
      <c r="C3" s="33" t="s">
        <v>25</v>
      </c>
      <c r="D3" s="33"/>
      <c r="E3" s="16" t="s">
        <v>6</v>
      </c>
      <c r="F3" s="33" t="s">
        <v>24</v>
      </c>
      <c r="G3" s="33"/>
      <c r="H3" s="33"/>
      <c r="I3" s="33"/>
      <c r="J3" s="33"/>
    </row>
    <row r="4" spans="1:10" ht="30" customHeight="1" thickBot="1" x14ac:dyDescent="0.3">
      <c r="B4" s="5"/>
      <c r="C4" s="6"/>
      <c r="D4" s="6"/>
      <c r="E4" s="5"/>
      <c r="F4" s="6"/>
      <c r="G4" s="6"/>
      <c r="H4" s="7"/>
      <c r="I4" s="6"/>
      <c r="J4" s="6"/>
    </row>
    <row r="5" spans="1:10" ht="24.95" customHeight="1" x14ac:dyDescent="0.25">
      <c r="A5" s="13"/>
      <c r="B5" s="29" t="s">
        <v>0</v>
      </c>
      <c r="C5" s="30"/>
      <c r="D5" s="30"/>
      <c r="E5" s="38" t="s">
        <v>1</v>
      </c>
      <c r="F5" s="38"/>
      <c r="G5" s="38"/>
      <c r="H5" s="38"/>
      <c r="I5" s="38" t="s">
        <v>2</v>
      </c>
      <c r="J5" s="39"/>
    </row>
    <row r="6" spans="1:10" ht="24.95" customHeight="1" thickBot="1" x14ac:dyDescent="0.3">
      <c r="A6" s="13"/>
      <c r="B6" s="31"/>
      <c r="C6" s="32"/>
      <c r="D6" s="32"/>
      <c r="E6" s="14" t="s">
        <v>3</v>
      </c>
      <c r="F6" s="14" t="s">
        <v>4</v>
      </c>
      <c r="G6" s="14" t="s">
        <v>15</v>
      </c>
      <c r="H6" s="14" t="s">
        <v>16</v>
      </c>
      <c r="I6" s="40"/>
      <c r="J6" s="41"/>
    </row>
    <row r="7" spans="1:10" ht="24.95" customHeight="1" thickBot="1" x14ac:dyDescent="0.3">
      <c r="A7" s="13"/>
      <c r="B7" s="36" t="s">
        <v>13</v>
      </c>
      <c r="C7" s="37"/>
      <c r="D7" s="37"/>
      <c r="E7" s="15" t="s">
        <v>10</v>
      </c>
      <c r="F7" s="15" t="s">
        <v>11</v>
      </c>
      <c r="G7" s="15" t="s">
        <v>14</v>
      </c>
      <c r="H7" s="15" t="s">
        <v>12</v>
      </c>
      <c r="I7" s="42" t="s">
        <v>17</v>
      </c>
      <c r="J7" s="43"/>
    </row>
    <row r="8" spans="1:10" ht="39.950000000000003" customHeight="1" x14ac:dyDescent="0.25">
      <c r="A8" s="13"/>
      <c r="B8" s="20" t="s">
        <v>28</v>
      </c>
      <c r="C8" s="20"/>
      <c r="D8" s="20"/>
      <c r="E8" s="18">
        <v>5</v>
      </c>
      <c r="F8" s="9" t="s">
        <v>26</v>
      </c>
      <c r="G8" s="10" t="str">
        <f>IFERROR(F8/E8,"")</f>
        <v/>
      </c>
      <c r="H8" s="8" t="str">
        <f>_xlfn.IFS(F8="أدخل العلامة","",F8="لا ينطبق","تم الإلغاء",G8&gt;=90%,"ممتاز",G8&gt;=80%,"جيد جداً",G8&gt;=70%,"جيد",G8&gt;=60%,"مقبول",G8&lt;60%,"راسب")</f>
        <v/>
      </c>
      <c r="I8" s="21"/>
      <c r="J8" s="22"/>
    </row>
    <row r="9" spans="1:10" ht="39.950000000000003" customHeight="1" x14ac:dyDescent="0.25">
      <c r="A9" s="13"/>
      <c r="B9" s="20" t="s">
        <v>29</v>
      </c>
      <c r="C9" s="20"/>
      <c r="D9" s="20"/>
      <c r="E9" s="18">
        <v>5</v>
      </c>
      <c r="F9" s="17" t="s">
        <v>26</v>
      </c>
      <c r="G9" s="10" t="str">
        <f>IFERROR(F9/E9,"")</f>
        <v/>
      </c>
      <c r="H9" s="8" t="str">
        <f>_xlfn.IFS(F9="أدخل العلامة","",F9="لا ينطبق","تم الإلغاء",G9&gt;=90%,"ممتاز",G9&gt;=80%,"جيد جداً",G9&gt;=70%,"جيد",G9&gt;=60%,"مقبول",G9&lt;60%,"راسب")</f>
        <v/>
      </c>
      <c r="I9" s="21"/>
      <c r="J9" s="22"/>
    </row>
    <row r="10" spans="1:10" ht="39.950000000000003" customHeight="1" x14ac:dyDescent="0.25">
      <c r="A10" s="13"/>
      <c r="B10" s="20" t="s">
        <v>30</v>
      </c>
      <c r="C10" s="20"/>
      <c r="D10" s="20"/>
      <c r="E10" s="19">
        <v>5</v>
      </c>
      <c r="F10" s="12" t="s">
        <v>26</v>
      </c>
      <c r="G10" s="10" t="str">
        <f t="shared" ref="G10:G13" si="0">IFERROR(F10/E10,"")</f>
        <v/>
      </c>
      <c r="H10" s="8" t="str">
        <f t="shared" ref="H10:H13" si="1">_xlfn.IFS(F10="أدخل العلامة","",F10="لا ينطبق","تم الإلغاء",G10&gt;=90%,"ممتاز",G10&gt;=80%,"جيد جداً",G10&gt;=70%,"جيد",G10&gt;=60%,"مقبول",G10&lt;60%,"راسب")</f>
        <v/>
      </c>
      <c r="I10" s="44"/>
      <c r="J10" s="45"/>
    </row>
    <row r="11" spans="1:10" ht="39.950000000000003" customHeight="1" x14ac:dyDescent="0.25">
      <c r="A11" s="13"/>
      <c r="B11" s="20" t="s">
        <v>31</v>
      </c>
      <c r="C11" s="20"/>
      <c r="D11" s="20"/>
      <c r="E11" s="18">
        <v>5</v>
      </c>
      <c r="F11" s="12" t="s">
        <v>26</v>
      </c>
      <c r="G11" s="10" t="str">
        <f t="shared" si="0"/>
        <v/>
      </c>
      <c r="H11" s="8" t="str">
        <f t="shared" si="1"/>
        <v/>
      </c>
      <c r="I11" s="44"/>
      <c r="J11" s="45"/>
    </row>
    <row r="12" spans="1:10" ht="39.950000000000003" customHeight="1" x14ac:dyDescent="0.25">
      <c r="A12" s="13"/>
      <c r="B12" s="20" t="s">
        <v>32</v>
      </c>
      <c r="C12" s="20"/>
      <c r="D12" s="20"/>
      <c r="E12" s="19">
        <v>5</v>
      </c>
      <c r="F12" s="12" t="s">
        <v>26</v>
      </c>
      <c r="G12" s="10" t="str">
        <f t="shared" si="0"/>
        <v/>
      </c>
      <c r="H12" s="8" t="str">
        <f t="shared" si="1"/>
        <v/>
      </c>
      <c r="I12" s="44"/>
      <c r="J12" s="45"/>
    </row>
    <row r="13" spans="1:10" ht="39.950000000000003" customHeight="1" thickBot="1" x14ac:dyDescent="0.3">
      <c r="A13" s="13"/>
      <c r="B13" s="20" t="s">
        <v>33</v>
      </c>
      <c r="C13" s="20"/>
      <c r="D13" s="20"/>
      <c r="E13" s="18">
        <v>5</v>
      </c>
      <c r="F13" s="12" t="s">
        <v>26</v>
      </c>
      <c r="G13" s="10" t="str">
        <f t="shared" si="0"/>
        <v/>
      </c>
      <c r="H13" s="8" t="str">
        <f t="shared" si="1"/>
        <v/>
      </c>
      <c r="I13" s="44"/>
      <c r="J13" s="45"/>
    </row>
    <row r="14" spans="1:10" ht="30" customHeight="1" thickBot="1" x14ac:dyDescent="0.3">
      <c r="A14" s="3"/>
      <c r="B14" s="52" t="s">
        <v>5</v>
      </c>
      <c r="C14" s="42"/>
      <c r="D14" s="42"/>
      <c r="E14" s="11">
        <f>SUM(E8:E13)</f>
        <v>30</v>
      </c>
      <c r="F14" s="11">
        <f>SUM(F8:F13)</f>
        <v>0</v>
      </c>
      <c r="G14" s="25"/>
      <c r="H14" s="26"/>
      <c r="I14" s="26"/>
      <c r="J14" s="27"/>
    </row>
    <row r="15" spans="1:10" ht="30" customHeight="1" thickBot="1" x14ac:dyDescent="0.3">
      <c r="A15" s="3"/>
      <c r="B15" s="52" t="s">
        <v>20</v>
      </c>
      <c r="C15" s="42"/>
      <c r="D15" s="42"/>
      <c r="E15" s="34">
        <f>F14/E14/100*100</f>
        <v>0</v>
      </c>
      <c r="F15" s="34"/>
      <c r="G15" s="34"/>
      <c r="H15" s="34"/>
      <c r="I15" s="34"/>
      <c r="J15" s="35"/>
    </row>
    <row r="16" spans="1:10" ht="30" customHeight="1" thickBot="1" x14ac:dyDescent="0.3">
      <c r="A16" s="3"/>
      <c r="B16" s="52" t="s">
        <v>21</v>
      </c>
      <c r="C16" s="42"/>
      <c r="D16" s="42"/>
      <c r="E16" s="50" t="str">
        <f>_xlfn.IFS(E15&gt;=90%,"ممتاز",E15&gt;=80%,"جيد جداً",E15&gt;=70%,"جيد",E15&gt;=60%,"مقبول",E15&lt;60%,"راسب")</f>
        <v>راسب</v>
      </c>
      <c r="F16" s="50"/>
      <c r="G16" s="50"/>
      <c r="H16" s="50"/>
      <c r="I16" s="50"/>
      <c r="J16" s="51"/>
    </row>
    <row r="17" spans="1:10" ht="42" customHeight="1" x14ac:dyDescent="0.25">
      <c r="B17" s="46" t="s">
        <v>27</v>
      </c>
      <c r="C17" s="46"/>
      <c r="D17" s="46"/>
      <c r="E17" s="23" t="s">
        <v>18</v>
      </c>
      <c r="F17" s="23"/>
      <c r="G17" s="48" t="s">
        <v>24</v>
      </c>
      <c r="H17" s="48"/>
      <c r="I17" s="48"/>
      <c r="J17" s="48"/>
    </row>
    <row r="18" spans="1:10" ht="51" customHeight="1" x14ac:dyDescent="0.25">
      <c r="A18" s="4"/>
      <c r="B18" s="47"/>
      <c r="C18" s="47"/>
      <c r="D18" s="47"/>
      <c r="E18" s="24" t="s">
        <v>19</v>
      </c>
      <c r="F18" s="24"/>
      <c r="G18" s="49"/>
      <c r="H18" s="49"/>
      <c r="I18" s="49"/>
      <c r="J18" s="49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33">
    <mergeCell ref="B7:D7"/>
    <mergeCell ref="E5:H5"/>
    <mergeCell ref="I5:J6"/>
    <mergeCell ref="I7:J7"/>
    <mergeCell ref="I10:J10"/>
    <mergeCell ref="I8:J8"/>
    <mergeCell ref="B1:J1"/>
    <mergeCell ref="F2:J2"/>
    <mergeCell ref="B5:D6"/>
    <mergeCell ref="C2:D2"/>
    <mergeCell ref="C3:D3"/>
    <mergeCell ref="F3:J3"/>
    <mergeCell ref="B13:D13"/>
    <mergeCell ref="I9:J9"/>
    <mergeCell ref="E17:F17"/>
    <mergeCell ref="E18:F18"/>
    <mergeCell ref="G14:J14"/>
    <mergeCell ref="E15:J15"/>
    <mergeCell ref="B17:D18"/>
    <mergeCell ref="G17:J17"/>
    <mergeCell ref="G18:J18"/>
    <mergeCell ref="E16:J16"/>
    <mergeCell ref="B14:D14"/>
    <mergeCell ref="B15:D15"/>
    <mergeCell ref="B16:D16"/>
    <mergeCell ref="I11:J11"/>
    <mergeCell ref="I12:J12"/>
    <mergeCell ref="I13:J13"/>
    <mergeCell ref="B8:D8"/>
    <mergeCell ref="B9:D9"/>
    <mergeCell ref="B10:D10"/>
    <mergeCell ref="B11:D11"/>
    <mergeCell ref="B12:D12"/>
  </mergeCells>
  <conditionalFormatting sqref="E16">
    <cfRule type="expression" dxfId="23" priority="57">
      <formula>$E16="راسب"</formula>
    </cfRule>
  </conditionalFormatting>
  <conditionalFormatting sqref="E16:J16">
    <cfRule type="expression" dxfId="22" priority="58">
      <formula>$E16="مقبول"</formula>
    </cfRule>
    <cfRule type="expression" dxfId="21" priority="59">
      <formula>$E16="جيد"</formula>
    </cfRule>
    <cfRule type="expression" dxfId="20" priority="60">
      <formula>$E16="جيد جداً"</formula>
    </cfRule>
    <cfRule type="expression" dxfId="19" priority="61">
      <formula>$E16="ممتاز"</formula>
    </cfRule>
  </conditionalFormatting>
  <conditionalFormatting sqref="H8 H10:H13">
    <cfRule type="containsText" dxfId="18" priority="39" operator="containsText" text="ممتاز">
      <formula>NOT(ISERROR(SEARCH("ممتاز",H8)))</formula>
    </cfRule>
    <cfRule type="containsText" dxfId="17" priority="40" operator="containsText" text="جيد جداً">
      <formula>NOT(ISERROR(SEARCH("جيد جداً",H8)))</formula>
    </cfRule>
    <cfRule type="containsText" dxfId="16" priority="41" operator="containsText" text="جيد">
      <formula>NOT(ISERROR(SEARCH("جيد",H8)))</formula>
    </cfRule>
    <cfRule type="containsText" dxfId="15" priority="42" operator="containsText" text="مقبول">
      <formula>NOT(ISERROR(SEARCH("مقبول",H8)))</formula>
    </cfRule>
    <cfRule type="containsText" dxfId="14" priority="43" operator="containsText" text="راسب">
      <formula>NOT(ISERROR(SEARCH("راسب",H8)))</formula>
    </cfRule>
  </conditionalFormatting>
  <conditionalFormatting sqref="H8 H10:H13">
    <cfRule type="containsText" dxfId="13" priority="38" operator="containsText" text="أدخل العلامة">
      <formula>NOT(ISERROR(SEARCH("أدخل العلامة",H8)))</formula>
    </cfRule>
  </conditionalFormatting>
  <conditionalFormatting sqref="F2:J2">
    <cfRule type="containsText" dxfId="12" priority="19" operator="containsText" text="أدخل التاريخ">
      <formula>NOT(ISERROR(SEARCH("أدخل التاريخ",F2)))</formula>
    </cfRule>
  </conditionalFormatting>
  <conditionalFormatting sqref="C2:D2">
    <cfRule type="containsText" dxfId="11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0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F3:J3">
    <cfRule type="containsText" dxfId="9" priority="16" operator="containsText" text="أدخل أسم المحكم">
      <formula>NOT(ISERROR(SEARCH("أدخل أسم المحكم",F3)))</formula>
    </cfRule>
  </conditionalFormatting>
  <conditionalFormatting sqref="G17:J17">
    <cfRule type="containsText" dxfId="8" priority="15" operator="containsText" text="أدخل اسم المحكم">
      <formula>NOT(ISERROR(SEARCH("أدخل اسم المحكم",G17)))</formula>
    </cfRule>
  </conditionalFormatting>
  <conditionalFormatting sqref="F8 F10:F13">
    <cfRule type="containsText" dxfId="7" priority="14" operator="containsText" text="أدخل العلامة">
      <formula>NOT(ISERROR(SEARCH("أدخل العلامة",F8)))</formula>
    </cfRule>
  </conditionalFormatting>
  <conditionalFormatting sqref="H9">
    <cfRule type="containsText" dxfId="6" priority="6" operator="containsText" text="ممتاز">
      <formula>NOT(ISERROR(SEARCH("ممتاز",H9)))</formula>
    </cfRule>
    <cfRule type="containsText" dxfId="5" priority="7" operator="containsText" text="جيد جداً">
      <formula>NOT(ISERROR(SEARCH("جيد جداً",H9)))</formula>
    </cfRule>
    <cfRule type="containsText" dxfId="4" priority="8" operator="containsText" text="جيد">
      <formula>NOT(ISERROR(SEARCH("جيد",H9)))</formula>
    </cfRule>
    <cfRule type="containsText" dxfId="3" priority="9" operator="containsText" text="مقبول">
      <formula>NOT(ISERROR(SEARCH("مقبول",H9)))</formula>
    </cfRule>
    <cfRule type="containsText" dxfId="2" priority="10" operator="containsText" text="راسب">
      <formula>NOT(ISERROR(SEARCH("راسب",H9)))</formula>
    </cfRule>
  </conditionalFormatting>
  <conditionalFormatting sqref="H9">
    <cfRule type="containsText" dxfId="1" priority="5" operator="containsText" text="أدخل العلامة">
      <formula>NOT(ISERROR(SEARCH("أدخل العلامة",H9)))</formula>
    </cfRule>
  </conditionalFormatting>
  <conditionalFormatting sqref="F9">
    <cfRule type="containsText" dxfId="0" priority="4" operator="containsText" text="أدخل العلامة">
      <formula>NOT(ISERROR(SEARCH("أدخل العلامة",F9)))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#REF!</xm:f>
          </x14:formula1>
          <xm:sqref>F2:J2</xm:sqref>
        </x14:dataValidation>
        <x14:dataValidation type="list" allowBlank="1" showInputMessage="1" showErrorMessage="1">
          <x14:formula1>
            <xm:f>#REF!</xm:f>
          </x14:formula1>
          <xm:sqref>C2:D2</xm:sqref>
        </x14:dataValidation>
        <x14:dataValidation type="list" allowBlank="1" showInputMessage="1" showErrorMessage="1">
          <x14:formula1>
            <xm:f>#REF!</xm:f>
          </x14:formula1>
          <xm:sqref>F8:F13</xm:sqref>
        </x14:dataValidation>
        <x14:dataValidation type="list" allowBlank="1" showInputMessage="1" showErrorMessage="1">
          <x14:formula1>
            <xm:f>#REF!</xm:f>
          </x14:formula1>
          <xm:sqref>G17:J17 F3:J3</xm:sqref>
        </x14:dataValidation>
        <x14:dataValidation type="list" allowBlank="1" showInputMessage="1" showErrorMessage="1">
          <x14:formula1>
            <xm:f>#REF!</xm:f>
          </x14:formula1>
          <xm:sqref>C3:D3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قائمة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2026-08-30T05:17:12Z</dcterms:modified>
</cp:coreProperties>
</file>