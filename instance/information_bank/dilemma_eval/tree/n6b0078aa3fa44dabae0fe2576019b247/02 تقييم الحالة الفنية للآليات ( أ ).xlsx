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B835DE55-AA63-4CE6-82DF-AE2363DC57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التقييم'!$A$1:$J$80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3" i="2"/>
  <c r="G14" i="2"/>
  <c r="G15" i="2"/>
  <c r="G17" i="2"/>
  <c r="G18" i="2"/>
  <c r="G19" i="2"/>
  <c r="G20" i="2"/>
  <c r="G21" i="2"/>
  <c r="G22" i="2"/>
  <c r="G24" i="2"/>
  <c r="G25" i="2"/>
  <c r="G26" i="2"/>
  <c r="G27" i="2"/>
  <c r="G29" i="2"/>
  <c r="G30" i="2"/>
  <c r="G31" i="2"/>
  <c r="G32" i="2"/>
  <c r="G33" i="2"/>
  <c r="G34" i="2"/>
  <c r="G35" i="2"/>
  <c r="G36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3" i="2"/>
  <c r="G54" i="2"/>
  <c r="G55" i="2"/>
  <c r="G57" i="2"/>
  <c r="G58" i="2"/>
  <c r="G59" i="2"/>
  <c r="G61" i="2"/>
  <c r="G62" i="2"/>
  <c r="G64" i="2"/>
  <c r="G65" i="2"/>
  <c r="G66" i="2"/>
  <c r="G67" i="2"/>
  <c r="G68" i="2"/>
  <c r="G69" i="2"/>
  <c r="G71" i="2"/>
  <c r="G72" i="2"/>
  <c r="G73" i="2"/>
  <c r="G74" i="2"/>
  <c r="G75" i="2"/>
  <c r="H9" i="2"/>
  <c r="H10" i="2"/>
  <c r="H11" i="2"/>
  <c r="H12" i="2"/>
  <c r="H13" i="2"/>
  <c r="H14" i="2"/>
  <c r="H15" i="2"/>
  <c r="H17" i="2"/>
  <c r="H18" i="2"/>
  <c r="H19" i="2"/>
  <c r="H20" i="2"/>
  <c r="H21" i="2"/>
  <c r="H22" i="2"/>
  <c r="H24" i="2"/>
  <c r="H25" i="2"/>
  <c r="H26" i="2"/>
  <c r="H27" i="2"/>
  <c r="H29" i="2"/>
  <c r="H30" i="2"/>
  <c r="H31" i="2"/>
  <c r="H32" i="2"/>
  <c r="H33" i="2"/>
  <c r="H34" i="2"/>
  <c r="H35" i="2"/>
  <c r="H36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3" i="2"/>
  <c r="H54" i="2"/>
  <c r="H55" i="2"/>
  <c r="H57" i="2"/>
  <c r="H58" i="2"/>
  <c r="H59" i="2"/>
  <c r="H61" i="2"/>
  <c r="H62" i="2"/>
  <c r="H64" i="2"/>
  <c r="H65" i="2"/>
  <c r="H66" i="2"/>
  <c r="H67" i="2"/>
  <c r="H68" i="2"/>
  <c r="H69" i="2"/>
  <c r="H71" i="2"/>
  <c r="H72" i="2"/>
  <c r="H73" i="2"/>
  <c r="H74" i="2"/>
  <c r="H75" i="2"/>
  <c r="F76" i="2"/>
  <c r="E76" i="2"/>
  <c r="E77" i="2"/>
  <c r="E78" i="2"/>
</calcChain>
</file>

<file path=xl/sharedStrings.xml><?xml version="1.0" encoding="utf-8"?>
<sst xmlns="http://schemas.openxmlformats.org/spreadsheetml/2006/main" count="305" uniqueCount="249">
  <si>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</si>
  <si>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</si>
  <si>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</si>
  <si>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</si>
  <si>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</si>
  <si>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</si>
  <si>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</si>
  <si>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</si>
  <si>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</si>
  <si>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</si>
  <si>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</si>
  <si>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</si>
  <si>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</si>
  <si>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</si>
  <si>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</si>
  <si>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</si>
  <si>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</si>
  <si>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</si>
  <si>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</si>
  <si>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</si>
  <si>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</si>
  <si>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</si>
  <si>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</si>
  <si>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</si>
  <si>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</si>
  <si>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</si>
  <si>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</si>
  <si>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</si>
  <si>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</si>
  <si>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</si>
  <si>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</si>
  <si>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</si>
  <si>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</si>
  <si>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</si>
  <si>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</si>
  <si>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</si>
  <si>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</si>
  <si>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</si>
  <si>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</si>
  <si>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</si>
  <si>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</si>
  <si>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</si>
  <si>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</si>
  <si>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</si>
  <si>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</si>
  <si>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</si>
  <si>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</si>
  <si>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</si>
  <si>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</si>
  <si>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</si>
  <si>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</si>
  <si>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</si>
  <si>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</si>
  <si>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</si>
  <si>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</si>
  <si>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</si>
  <si>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</si>
  <si>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</si>
  <si>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</si>
  <si>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</si>
  <si>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</si>
  <si>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</si>
  <si>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</si>
  <si>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</si>
  <si>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</si>
  <si>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</si>
  <si>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</si>
  <si>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</si>
  <si>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</si>
  <si>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</si>
  <si>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</si>
  <si>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</si>
  <si>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</si>
  <si>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</si>
  <si>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</si>
  <si>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</si>
  <si>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</si>
  <si>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</si>
  <si>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</si>
  <si>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</si>
  <si>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</si>
  <si>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</si>
  <si>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</si>
  <si>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</si>
  <si>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</si>
  <si>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</si>
  <si>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</si>
  <si>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</si>
  <si>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</si>
  <si>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</si>
  <si>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</si>
  <si>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</si>
  <si>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</si>
  <si>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</si>
  <si>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</si>
  <si>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</si>
  <si>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</si>
  <si>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</si>
  <si>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</si>
  <si>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</si>
  <si>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</si>
  <si>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</si>
  <si>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</si>
  <si>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</si>
  <si>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</si>
  <si>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</si>
  <si>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</si>
  <si>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</si>
  <si>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</si>
  <si>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</si>
  <si>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</si>
  <si>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</si>
  <si>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</si>
  <si>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</si>
  <si>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</si>
  <si>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</si>
  <si>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</si>
  <si>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</si>
  <si>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</si>
  <si>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</si>
  <si>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</si>
  <si>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</si>
  <si>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</si>
  <si>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</si>
  <si>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</si>
  <si>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</si>
  <si>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</si>
  <si>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</si>
  <si>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</si>
  <si>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</si>
  <si>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</si>
  <si>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</si>
  <si>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</si>
  <si>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</si>
  <si>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</si>
  <si>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</si>
  <si>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</si>
  <si>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</si>
  <si>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</si>
  <si>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</si>
  <si>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</si>
  <si>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</si>
  <si>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</si>
  <si>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</si>
  <si>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</si>
  <si>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</si>
  <si>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</si>
  <si>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</si>
  <si>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</si>
  <si>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</si>
  <si>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</si>
  <si>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</si>
  <si>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</si>
  <si>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</si>
  <si>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</si>
  <si>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</si>
  <si>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</si>
  <si>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</si>
  <si>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</si>
  <si>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</si>
  <si>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</si>
  <si>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</si>
  <si>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</si>
  <si>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</si>
  <si>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</si>
  <si>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</si>
  <si>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</si>
  <si>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</si>
  <si>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</si>
  <si>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</si>
  <si>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</si>
  <si>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</si>
  <si>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</si>
  <si>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</si>
  <si>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</si>
  <si>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</si>
  <si>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</si>
  <si>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</si>
  <si>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</si>
  <si>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</si>
  <si>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السجلات والوثائق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</si>
  <si>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</si>
  <si>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كشف معتمد من القائد بالمرتب والموجود ونسبة الصلاحية للآليات.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</si>
  <si>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تدوين إطلاق الذخائر من المدفع او الآلية.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</si>
  <si>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سجلات الصيانة الدورية لكل آلية.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</si>
  <si>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تعليمات وإجراءات الصيانة الدورية واللوحات الإرشادية.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</si>
  <si>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السجلات الخاصة بكل آلية بواسطة الطاقم وتصديق الضابط المسئول بالإضافة لسندات الاستلام والتسليم وتصديقها وحفظها.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</si>
  <si>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وإدامة سجل تسليم واستلام الآليات.</t>
    </r>
  </si>
  <si>
    <r>
      <t>مجموعة الجسم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</si>
  <si>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الفحص الداخلي والخارجي (النظافة، النواقص، الأضرار، الصبغ، إلخ).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</si>
  <si>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الصلاحية العامة لمجموعة الجنزير وعجلات الدوران ونعل الجنزير ومسامير التثبيت للفقرات والرفارف.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</si>
  <si>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صلاحية الإطارات ونظام ضغط الهواء ونفخ الإطارات.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</si>
  <si>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صناديق العدة والتأكد من محتوياتها وصلاحية الطفاية اليدوية.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</si>
  <si>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صلاحية مقاعد غرفة الطاقم والأبواب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</si>
  <si>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توفر أجهزة الرؤية وصلاحيتها.</t>
    </r>
  </si>
  <si>
    <r>
      <t>الزيوت / السوائل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</si>
  <si>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مستـوى الزيـت / المياه (المحرك، نظام ناقل الحركـة، الفرامـل، المقــود، البطاريات، المبرد (الراديتر)، عمود ناقل الحركة (الدفرشن)، ونظام الهيدروليك.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</si>
  <si>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عدم تسرّب الزيت / المياه من الأجزاء.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</si>
  <si>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التقيد بتوقيتات تغيير الزيت / المياه.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</si>
  <si>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التشحيم والتزييت.</t>
    </r>
  </si>
  <si>
    <r>
      <t>مجموعة القوى</t>
    </r>
    <r>
      <rPr>
        <b/>
        <sz val="12"/>
        <color rgb="FF000000"/>
        <rFont val="Arial"/>
        <family val="2"/>
      </rPr>
      <t xml:space="preserve"> (يتم التأكد من الحالة العامة للاتي):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</si>
  <si>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</si>
  <si>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ناقل الحركة.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</si>
  <si>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التبريد.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</si>
  <si>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الفرامل.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</si>
  <si>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التوجيه.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</si>
  <si>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الوقود.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</si>
  <si>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مولد الطاقة الرئيس / الإضافي.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</si>
  <si>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العادم ونظام الهواء المضغوط.</t>
    </r>
  </si>
  <si>
    <r>
      <t xml:space="preserve">البرج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</si>
  <si>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الفحص الداخلي والخارجي.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</si>
  <si>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المدفع الرئيس وتوابعه.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</si>
  <si>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فحص الأسلحة الثانوية والأغطية المطاطية.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</si>
  <si>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إدارة المعركة.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</si>
  <si>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القواذف الدخانية.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</si>
  <si>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الرؤية الليلية.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</si>
  <si>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التعبئة.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</si>
  <si>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خادعات الصواريخ.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</si>
  <si>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التعبئة الآلي.</t>
    </r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</si>
  <si>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جهاز الاستقرار.</t>
    </r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</si>
  <si>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جهـاز التسديـد الرئيس/ الاحتياطي.</t>
    </r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</si>
  <si>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جهاز تسديد الآمـــر.</t>
    </r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</si>
  <si>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الكاميرا.</t>
    </r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</si>
  <si>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الحاسب الآلي.</t>
    </r>
  </si>
  <si>
    <r>
      <t>أنظمة البيئة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</si>
  <si>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التكييف.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</si>
  <si>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الوقاية من أسلحة الدمار الشامل.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</si>
  <si>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إطفاء الحريق.</t>
    </r>
  </si>
  <si>
    <r>
      <t>المهمات الإضافية</t>
    </r>
    <r>
      <rPr>
        <b/>
        <sz val="12"/>
        <color rgb="FF000000"/>
        <rFont val="Arial"/>
        <family val="2"/>
      </rPr>
      <t xml:space="preserve"> 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</si>
  <si>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قطع الغيار الاحتياطية.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</si>
  <si>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الأغطية شباك التمويه مع الركائز.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</si>
  <si>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وصلاحية معدات مطابقة محاور المدفع (على مستوى سرية / قسم).</t>
    </r>
  </si>
  <si>
    <t xml:space="preserve">المستوى الفني للطاقم. 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</si>
  <si>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اكتمال الطاقم المؤهل (نسبة لعدد الآليات).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</si>
  <si>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إلمام الطاقم بواجباته والأجهزة والمعدات.</t>
    </r>
  </si>
  <si>
    <r>
      <t>الأنظمة المساعـدة للآليات</t>
    </r>
    <r>
      <rPr>
        <b/>
        <sz val="12"/>
        <color rgb="FF000000"/>
        <rFont val="Arial"/>
        <family val="2"/>
      </rPr>
      <t xml:space="preserve"> (يتم التأكد من الحالة العامة للآتي):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</si>
  <si>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وحدة القدرة المساعدة.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</si>
  <si>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أعمدة الارتكاز (حواضن الرفع والخفض للآلية).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</si>
  <si>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الأنظمة الهيدروليكية.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</si>
  <si>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الوقود الاحتياطي.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</si>
  <si>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نظام العوم.</t>
    </r>
  </si>
  <si>
    <t>مدى توفر ونظافة المواقف المغطاة الخاصة للآليات</t>
  </si>
  <si>
    <t>خزانات تجميع ماء التكييف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</si>
  <si>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مدى إلمام الطاقم بمكان خزان المياه.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</si>
  <si>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وجود الخزان + مصفي المياه (الفلتر).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</si>
  <si>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درجة نظافة المياه (خالي من الشوائب / إزالة الأملاح من الوصلات + محبس المياه).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</si>
  <si>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عدم وجود تسربات من الفلتر / الخزان / محبس المياه وأنابيب التوصيل.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</si>
  <si>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عدم ارتخاء براغي قواعد التثبيت.</t>
    </r>
  </si>
  <si>
    <t>تقييم الحالة الفنية للآليات ( أ )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</si>
</sst>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2" fillId="0" borderId="4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498231</xdr:colOff>
      <xdr:row>79</xdr:row>
      <xdr:rowOff>52754</xdr:rowOff>
    </xdr:from>
    <xdr:to>
      <xdr:col>7</xdr:col>
      <xdr:colOff>510970</xdr:colOff>
      <xdr:row>79</xdr:row>
      <xdr:rowOff>460514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0685BDA-5EF5-4D68-8975-0DE165BE1BCA}"/>
                </a:ext>
              </a:extLst>
            </xdr14:cNvPr>
            <xdr14:cNvContentPartPr/>
          </xdr14:nvContentPartPr>
          <xdr14:nvPr macro=""/>
          <xdr14:xfrm>
            <a:off x="10079395014" y="31417846"/>
            <a:ext cx="651647" cy="4077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4E02E15-4EC1-B39B-8813-BC18DAB0089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61594" y="31198680"/>
              <a:ext cx="684720" cy="42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394330</xdr:colOff>
      <xdr:row>79</xdr:row>
      <xdr:rowOff>298514</xdr:rowOff>
    </xdr:from>
    <xdr:to>
      <xdr:col>9</xdr:col>
      <xdr:colOff>178562</xdr:colOff>
      <xdr:row>79</xdr:row>
      <xdr:rowOff>616754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A01AB26-8501-4027-9BFC-5726536CBF8E}"/>
                </a:ext>
              </a:extLst>
            </xdr14:cNvPr>
            <xdr14:cNvContentPartPr/>
          </xdr14:nvContentPartPr>
          <xdr14:nvPr macro=""/>
          <xdr14:xfrm>
            <a:off x="10078449607" y="31663606"/>
            <a:ext cx="1062047" cy="3182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C39052C-25FE-00C9-D9F0-CFD9407C3E7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095354" y="31447080"/>
              <a:ext cx="1095120" cy="330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8:49:42.2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1125 1132 16059,'0'0'0,"-3"-22"704,3 2 104,0 20-808,-2-21 952,2-2-15,0 17-105,0-10-160,0 16-672,0-6 584,0 0-152,0-15-64,0 17-40,0 4-328,-5-16 296,3 12 24,-1-2-23,1-14-33,2 20-264,-3-7 288,-4-11-40,3 14 16,-3-14 40,7 18-304,-17-5 224,11-20-16,-11 9-64,-1 10-104,18 6-40,-5-26 112,-20 7-40,8-1-16,-1-2 16,18 22-72,-20-19 40,2-2-24,4-3 56,-4-1-40,18 25-32,-15-26 0,9 2 8,-13 7-48,14-1 96,5 18-56,-5-15 48,-1 9-40,1-19 80,3 21-56,2 4-32,-3-4 56,-2-2-16,1-10 48,4 16-48,0 0-40,-3-6 64,3 2-40,0 0-80,0 0 72,0 4-16,0-6 24,0-1-24,0-9 16,5 12 0,-5 4-16,7-16 16,11 0-64,-3 10 80,3-10-64,-18 16 32,24-6 0,4 0 16,0-14-16,2 20 0,-30 0 0,33-4-16,0-13 8,-3 13 32,5-12-24,-35 16 0,33-4-40,-1-2 40,1-10-72,4 12 16,-37 4 56,31-27-16,1 11 16,2-3 16,-1 0-48,-33 19 32,33-20 0,4 2 32,-2 0-8,3-1 24,-38 19-48,30-18 24,3 0-112,-5-2 32,-1 4 40,-27 16 16,28-18-56,-4 12 72,-1-12 16,-7 12-8,-16 6-24,17-7 56,-10 1-56,16 2-24,-20 4-64,-3 0 88,8-4-56,7 4 24,-15 0 8,0 0-48,0 0 72,0 0-56,0 0 8,0 0-32,0 2 120,0-2-40,-3 0-40,1 2-48,-3 0 56,0 0-64,5-2 96,-1 4-40,-6 2 40,2 1-48,-2-1 40,7-6 8,-7 6 40,0 0-24,0 10-8,-10-10-8,17-6 0,-5 17 0,-10-8-8,-4 11-24,15-12 64,4-8-32,-26 22-48,9-14 24,-1 15 64,-4-15-40,22-8 0,-15 20 16,-2-4 8,-4 3-24,0-2-40,21-17 40,-19 18 32,-4-1-8,2-1-24,2-8 88,19-8-88,-20 16-56,0-8 72,7 11-32,-6-11-112,19-8 128,-16 20 0,-2-2 0,-4 0 24,4 2 136,18-20-160,-26 22 40,5 1-8,2-1-8,0-2-80,19-20 56,-23 20 0,5-3-16,-1-2-48,-2-7-64,21-8 128,-7 18-56,-14-12 40,14 11 16,-14-13-72,21-4 72,-5 6-32,-11 10 48,12-10 72,-6 2-32,10-8-56,-17 8 72,11-1-48,-11-1-40,12 2 216,5-8-200,-8 6 56,1 2-24,-3-2-104,5-4 16,5-2 56,-8 2-40,3 0 40,0 0 56,0-2-40,5 0-16,-5 2-16,3 1 16,-5 1 40,3 2-128,4-6 88,-10 7 32,-7-1-64,14 0 24,-14 0 192,17-6-184,-7 2 0,-1 0 16,2 0-16,-11 0-32,17-2 32,-5 0 40,1 0 48,-15 0-48,12 0 64,7 0-104,-16-4 88,9 0-64,-14 0 104,14 0-168,7 4 40,-18-6 0,8 0 32,-13-1-48,7-8 40,16 15-24,-21-4 48,4-2-32,-4-14-8,2 14 136,19 6-144,-21-19 48,-2 13 8,3-14-96,-7 14-24,27 6 64,-20-25 32,-6 5-16,1 0 56,1 1-32,24 19-40,-28-25-16,-2-1-24,2-1 56,0-5-48,28 32 32,-28-24 16,5 4 16,-1 4 56,1 10-48,23 6-40,-21-6 56,2-10 0,14 16-24,-8-5 40,13 5-72,-3-4 104,-4 0 24,2 4-48,5 0-40,0 0-40,0 0-72,0 0-48,0 4 24,3 3 80,-3-7 16,21 20 0,-2-2 16,-1-1-8,10 6-32,-28-23 24,26 20 40,-5 0-40,4-1-24,-1 3 32,-24-22-8,23 16 0,0-8-24,-4 9-24,7-11 32,-26-6 16,18 17-96,3-11 64,-2 12 72,-1-12-64,-18-6 24,22 17-16,-4-9-72,-2 10 64,1-12-24,-17-6 48,7 20 16,11-11 40,-15 11-96,7-12-8,-10-8 48,4 18-16,-1-13-8,-3 3-48,0-1 72,0-7 0,0 6-72,-3 0 88,-1 0-8,-4 2 8,8-8-16,-16 8 48,12 8-24,-20-10 64,5 3-16,19-9-72,-18 16 104,-6-10-88,3 10 40,-4-10-56,25-6 0,-28 18 32,-2-2-80,-3 2-24,-4 4 40,37-22 32,-40 23-56,0 1 72,1-4-16,-1 1-16,40-21 16,-33 8 0,8 10-24,1-12 32,6-3-48,18-3 40,-8 2-128,-7-2-8,7 0-16,1-3-112,7 3 264,-7-4-312,1 0-200,3 0-256,-1-2-160,4 6 928,-3-6-1281,1 2-367,2 0-505,0 0-1423,0 4 3576,-3-4-5489,3 0-1257,0 4 6746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8:49:42.2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1741 535 11138,'0'0'0,"0"0"0,0 2 3241,-2 0-1257,-1 0-616,3 0-359,0-2-1009,0 0 632,0 2-384,5 0-96,2 0-16,-7-2-136,17 6 320,-12 0 112,18 0 80,-4 2 16,-19-8-528,22 6 504,1 1-32,6-1 216,-1 0-39,-28-6-649,37 0 680,2 0 112,1 0-280,2-4 32,-42 4-544,47 0 392,-5-17 32,5 11-40,3-18-31,-50 24-353,49-20 384,1 1-176,2-3-88,-4 0-88,-48 22-32,49-25 48,3-1-48,-5 2 88,3-1 32,-50 25-120,45-22 16,-3-1-88,0 1 80,-2 4-80,-40 18 72,34-16 152,-4 10-104,-6-11-112,-8 13 96,-16 4-32,5-6-48,2 2 96,-2 0 120,0 4-96,-5 0-72,0-4-32,0 0 232,0 0-16,-3 0-96,3 4-88,-5-6 16,-4 0-88,-9-11 40,8 13-48,10 4 80,-24-6 16,-2 0-88,0 0-40,-4-10 176,30 16-64,-31-4 184,0-13-96,-9 11-56,8-12-48,32 18 16,-39-4 48,-1-2 72,0-12-40,-4 12-96,44 6 16,-45-23-48,2 17-40,-4-10 40,-3 12 16,50 4 32,-45-4-168,-2 0 48,3 0 120,-4 4 72,48 0-72,-47 0 184,5 0-32,-4 0-88,-1 0 40,47 0-104,-47 2-88,0 2 120,2 2-32,-2 0-64,47-6 64,-47 6-48,-7 12 16,-3 1 8,0-1 64,57-18-40,-59 22 48,7-4-80,5 5 184,-2-5-56,49-18-96,-47 8 80,2 17 24,-2-7-104,0 2 16,47-20-16,-44 20 64,-3 3-48,-5-3-48,3 9-32,49-29 64,-57 28-64,1 4 96,-5 5-64,-6-2 0,67-35 32,-64 38-24,1-1-120,-3-1 24,2 7 104,64-43 16,-68 36-488,-5 7-464,-3 4-857,1-1-1423,75-46 3232,-90 47-7802,5 8-2608,85-55 10410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80"/>
  <sheetViews>
    <sheetView rightToLeft="1" tabSelected="1" view="pageBreakPreview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7" t="s">
        <v>248</v>
      </c>
      <c r="C1" s="57"/>
      <c r="D1" s="57"/>
      <c r="E1" s="57"/>
      <c r="F1" s="57"/>
      <c r="G1" s="57"/>
      <c r="H1" s="57"/>
      <c r="I1" s="57"/>
      <c r="J1" s="57"/>
    </row>
    <row r="2" spans="1:10" ht="30" customHeight="1" x14ac:dyDescent="0.3">
      <c r="B2" s="13" t="s">
        <v>8</v>
      </c>
      <c r="C2" s="63" t="s">
        <v>47</v>
      </c>
      <c r="D2" s="63"/>
      <c r="E2" s="13" t="s">
        <v>7</v>
      </c>
      <c r="F2" s="58">
        <v>45929</v>
      </c>
      <c r="G2" s="58"/>
      <c r="H2" s="58"/>
      <c r="I2" s="58"/>
      <c r="J2" s="58"/>
    </row>
    <row r="3" spans="1:10" ht="30" customHeight="1" x14ac:dyDescent="0.3">
      <c r="B3" s="13" t="s">
        <v>9</v>
      </c>
      <c r="C3" s="63" t="s">
        <v>178</v>
      </c>
      <c r="D3" s="63"/>
      <c r="E3" s="13" t="s">
        <v>6</v>
      </c>
      <c r="F3" s="63" t="s">
        <v>104</v>
      </c>
      <c r="G3" s="63"/>
      <c r="H3" s="63"/>
      <c r="I3" s="63"/>
      <c r="J3" s="63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1"/>
      <c r="B5" s="59" t="s">
        <v>0</v>
      </c>
      <c r="C5" s="60"/>
      <c r="D5" s="60"/>
      <c r="E5" s="68" t="s">
        <v>1</v>
      </c>
      <c r="F5" s="68"/>
      <c r="G5" s="68"/>
      <c r="H5" s="68"/>
      <c r="I5" s="68" t="s">
        <v>2</v>
      </c>
      <c r="J5" s="69"/>
    </row>
    <row r="6" spans="1:10" ht="24.9" customHeight="1" thickBot="1" x14ac:dyDescent="0.35">
      <c r="A6" s="11"/>
      <c r="B6" s="61"/>
      <c r="C6" s="62"/>
      <c r="D6" s="62"/>
      <c r="E6" s="12" t="s">
        <v>3</v>
      </c>
      <c r="F6" s="12" t="s">
        <v>4</v>
      </c>
      <c r="G6" s="12" t="s">
        <v>23</v>
      </c>
      <c r="H6" s="12" t="s">
        <v>24</v>
      </c>
      <c r="I6" s="70"/>
      <c r="J6" s="71"/>
    </row>
    <row r="7" spans="1:10" ht="24.9" customHeight="1" thickBot="1" x14ac:dyDescent="0.35">
      <c r="A7" s="11"/>
      <c r="B7" s="66" t="s">
        <v>21</v>
      </c>
      <c r="C7" s="67"/>
      <c r="D7" s="67"/>
      <c r="E7" s="33" t="s">
        <v>18</v>
      </c>
      <c r="F7" s="33" t="s">
        <v>19</v>
      </c>
      <c r="G7" s="33" t="s">
        <v>22</v>
      </c>
      <c r="H7" s="33" t="s">
        <v>20</v>
      </c>
      <c r="I7" s="72" t="s">
        <v>25</v>
      </c>
      <c r="J7" s="73"/>
    </row>
    <row r="8" spans="1:10" ht="30" customHeight="1" x14ac:dyDescent="0.3">
      <c r="A8" s="11"/>
      <c r="B8" s="86" t="s">
        <v>180</v>
      </c>
      <c r="C8" s="87"/>
      <c r="D8" s="87"/>
      <c r="E8" s="30"/>
      <c r="F8" s="37"/>
      <c r="G8" s="38"/>
      <c r="H8" s="39"/>
      <c r="I8" s="50"/>
      <c r="J8" s="51"/>
    </row>
    <row r="9" spans="1:10" ht="30" customHeight="1" x14ac:dyDescent="0.3">
      <c r="A9" s="11"/>
      <c r="B9" s="88" t="s">
        <v>181</v>
      </c>
      <c r="C9" s="89"/>
      <c r="D9" s="89"/>
      <c r="E9" s="9">
        <v>5</v>
      </c>
      <c r="F9" s="27">
        <v>3.75</v>
      </c>
      <c r="G9" s="35">
        <f>IFERROR(F9/E9,"")</f>
        <v>0.75</v>
      </c>
      <c r="H9" s="36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9.9" customHeight="1" x14ac:dyDescent="0.3">
      <c r="A10" s="11"/>
      <c r="B10" s="88" t="s">
        <v>182</v>
      </c>
      <c r="C10" s="89"/>
      <c r="D10" s="89"/>
      <c r="E10" s="9">
        <v>5</v>
      </c>
      <c r="F10" s="27">
        <v>4</v>
      </c>
      <c r="G10" s="35">
        <f t="shared" ref="G10:G73" si="0">IFERROR(F10/E10,"")</f>
        <v>0.8</v>
      </c>
      <c r="H10" s="36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4"/>
      <c r="J10" s="45"/>
    </row>
    <row r="11" spans="1:10" ht="30" customHeight="1" x14ac:dyDescent="0.3">
      <c r="A11" s="11"/>
      <c r="B11" s="88" t="s">
        <v>183</v>
      </c>
      <c r="C11" s="89"/>
      <c r="D11" s="89"/>
      <c r="E11" s="9">
        <v>5</v>
      </c>
      <c r="F11" s="27">
        <v>3.75</v>
      </c>
      <c r="G11" s="35">
        <f t="shared" si="0"/>
        <v>0.75</v>
      </c>
      <c r="H11" s="36" t="str">
        <f t="shared" si="1"/>
        <v>جيد</v>
      </c>
      <c r="I11" s="44"/>
      <c r="J11" s="45"/>
    </row>
    <row r="12" spans="1:10" ht="30" customHeight="1" x14ac:dyDescent="0.3">
      <c r="A12" s="11"/>
      <c r="B12" s="88" t="s">
        <v>184</v>
      </c>
      <c r="C12" s="89"/>
      <c r="D12" s="89"/>
      <c r="E12" s="9">
        <v>5</v>
      </c>
      <c r="F12" s="27">
        <v>3.75</v>
      </c>
      <c r="G12" s="35">
        <f t="shared" si="0"/>
        <v>0.75</v>
      </c>
      <c r="H12" s="36" t="str">
        <f t="shared" si="1"/>
        <v>جيد</v>
      </c>
      <c r="I12" s="44"/>
      <c r="J12" s="45"/>
    </row>
    <row r="13" spans="1:10" ht="30" customHeight="1" x14ac:dyDescent="0.3">
      <c r="A13" s="11"/>
      <c r="B13" s="88" t="s">
        <v>185</v>
      </c>
      <c r="C13" s="89"/>
      <c r="D13" s="89"/>
      <c r="E13" s="9">
        <v>5</v>
      </c>
      <c r="F13" s="27">
        <v>3.75</v>
      </c>
      <c r="G13" s="35">
        <f t="shared" si="0"/>
        <v>0.75</v>
      </c>
      <c r="H13" s="36" t="str">
        <f t="shared" si="1"/>
        <v>جيد</v>
      </c>
      <c r="I13" s="44"/>
      <c r="J13" s="45"/>
    </row>
    <row r="14" spans="1:10" ht="39.9" customHeight="1" x14ac:dyDescent="0.3">
      <c r="A14" s="11"/>
      <c r="B14" s="88" t="s">
        <v>186</v>
      </c>
      <c r="C14" s="89"/>
      <c r="D14" s="89"/>
      <c r="E14" s="9">
        <v>5</v>
      </c>
      <c r="F14" s="27">
        <v>3.75</v>
      </c>
      <c r="G14" s="35">
        <f t="shared" si="0"/>
        <v>0.75</v>
      </c>
      <c r="H14" s="36" t="str">
        <f t="shared" si="1"/>
        <v>جيد</v>
      </c>
      <c r="I14" s="44"/>
      <c r="J14" s="45"/>
    </row>
    <row r="15" spans="1:10" ht="30" customHeight="1" thickBot="1" x14ac:dyDescent="0.35">
      <c r="A15" s="11"/>
      <c r="B15" s="84" t="s">
        <v>187</v>
      </c>
      <c r="C15" s="85"/>
      <c r="D15" s="85"/>
      <c r="E15" s="31">
        <v>5</v>
      </c>
      <c r="F15" s="29">
        <v>3.5</v>
      </c>
      <c r="G15" s="40">
        <f t="shared" si="0"/>
        <v>0.7</v>
      </c>
      <c r="H15" s="41" t="str">
        <f t="shared" si="1"/>
        <v>جيد</v>
      </c>
      <c r="I15" s="46"/>
      <c r="J15" s="47"/>
    </row>
    <row r="16" spans="1:10" ht="30" customHeight="1" x14ac:dyDescent="0.3">
      <c r="A16" s="11"/>
      <c r="B16" s="86" t="s">
        <v>188</v>
      </c>
      <c r="C16" s="87"/>
      <c r="D16" s="87"/>
      <c r="E16" s="32"/>
      <c r="F16" s="37"/>
      <c r="G16" s="38"/>
      <c r="H16" s="39"/>
      <c r="I16" s="50"/>
      <c r="J16" s="51"/>
    </row>
    <row r="17" spans="1:10" ht="39.9" customHeight="1" x14ac:dyDescent="0.3">
      <c r="A17" s="11"/>
      <c r="B17" s="88" t="s">
        <v>189</v>
      </c>
      <c r="C17" s="89"/>
      <c r="D17" s="89"/>
      <c r="E17" s="9">
        <v>5</v>
      </c>
      <c r="F17" s="27">
        <v>3.75</v>
      </c>
      <c r="G17" s="35">
        <f t="shared" si="0"/>
        <v>0.75</v>
      </c>
      <c r="H17" s="36" t="str">
        <f t="shared" si="1"/>
        <v>جيد</v>
      </c>
      <c r="I17" s="44"/>
      <c r="J17" s="45"/>
    </row>
    <row r="18" spans="1:10" ht="39.9" customHeight="1" x14ac:dyDescent="0.3">
      <c r="A18" s="11"/>
      <c r="B18" s="88" t="s">
        <v>190</v>
      </c>
      <c r="C18" s="89"/>
      <c r="D18" s="89"/>
      <c r="E18" s="9">
        <v>5</v>
      </c>
      <c r="F18" s="27">
        <v>3.75</v>
      </c>
      <c r="G18" s="35">
        <f t="shared" si="0"/>
        <v>0.75</v>
      </c>
      <c r="H18" s="36" t="str">
        <f t="shared" si="1"/>
        <v>جيد</v>
      </c>
      <c r="I18" s="44"/>
      <c r="J18" s="45"/>
    </row>
    <row r="19" spans="1:10" ht="30" customHeight="1" x14ac:dyDescent="0.3">
      <c r="A19" s="11"/>
      <c r="B19" s="88" t="s">
        <v>191</v>
      </c>
      <c r="C19" s="89"/>
      <c r="D19" s="89"/>
      <c r="E19" s="9">
        <v>6</v>
      </c>
      <c r="F19" s="27">
        <v>4.25</v>
      </c>
      <c r="G19" s="35">
        <f t="shared" si="0"/>
        <v>0.70833333333333337</v>
      </c>
      <c r="H19" s="36" t="str">
        <f t="shared" si="1"/>
        <v>جيد</v>
      </c>
      <c r="I19" s="44"/>
      <c r="J19" s="45"/>
    </row>
    <row r="20" spans="1:10" ht="30" customHeight="1" x14ac:dyDescent="0.3">
      <c r="A20" s="11"/>
      <c r="B20" s="88" t="s">
        <v>192</v>
      </c>
      <c r="C20" s="89"/>
      <c r="D20" s="89"/>
      <c r="E20" s="9">
        <v>6</v>
      </c>
      <c r="F20" s="27">
        <v>4.25</v>
      </c>
      <c r="G20" s="35">
        <f t="shared" si="0"/>
        <v>0.70833333333333337</v>
      </c>
      <c r="H20" s="36" t="str">
        <f t="shared" si="1"/>
        <v>جيد</v>
      </c>
      <c r="I20" s="44"/>
      <c r="J20" s="45"/>
    </row>
    <row r="21" spans="1:10" ht="30" customHeight="1" x14ac:dyDescent="0.3">
      <c r="A21" s="11"/>
      <c r="B21" s="88" t="s">
        <v>193</v>
      </c>
      <c r="C21" s="89"/>
      <c r="D21" s="89"/>
      <c r="E21" s="9">
        <v>5</v>
      </c>
      <c r="F21" s="27">
        <v>3.75</v>
      </c>
      <c r="G21" s="35">
        <f t="shared" si="0"/>
        <v>0.75</v>
      </c>
      <c r="H21" s="36" t="str">
        <f t="shared" si="1"/>
        <v>جيد</v>
      </c>
      <c r="I21" s="44"/>
      <c r="J21" s="45"/>
    </row>
    <row r="22" spans="1:10" ht="30" customHeight="1" thickBot="1" x14ac:dyDescent="0.35">
      <c r="A22" s="11"/>
      <c r="B22" s="84" t="s">
        <v>194</v>
      </c>
      <c r="C22" s="85"/>
      <c r="D22" s="85"/>
      <c r="E22" s="31">
        <v>5</v>
      </c>
      <c r="F22" s="29">
        <v>3.75</v>
      </c>
      <c r="G22" s="40">
        <f t="shared" si="0"/>
        <v>0.75</v>
      </c>
      <c r="H22" s="41" t="str">
        <f t="shared" si="1"/>
        <v>جيد</v>
      </c>
      <c r="I22" s="46"/>
      <c r="J22" s="47"/>
    </row>
    <row r="23" spans="1:10" ht="30" customHeight="1" x14ac:dyDescent="0.3">
      <c r="A23" s="11"/>
      <c r="B23" s="86" t="s">
        <v>195</v>
      </c>
      <c r="C23" s="87"/>
      <c r="D23" s="87"/>
      <c r="E23" s="32"/>
      <c r="F23" s="37"/>
      <c r="G23" s="38"/>
      <c r="H23" s="39"/>
      <c r="I23" s="50"/>
      <c r="J23" s="51"/>
    </row>
    <row r="24" spans="1:10" ht="51" customHeight="1" x14ac:dyDescent="0.3">
      <c r="A24" s="11"/>
      <c r="B24" s="88" t="s">
        <v>196</v>
      </c>
      <c r="C24" s="89"/>
      <c r="D24" s="89"/>
      <c r="E24" s="9">
        <v>10</v>
      </c>
      <c r="F24" s="27">
        <v>7.25</v>
      </c>
      <c r="G24" s="35">
        <f t="shared" si="0"/>
        <v>0.72499999999999998</v>
      </c>
      <c r="H24" s="36" t="str">
        <f t="shared" si="1"/>
        <v>جيد</v>
      </c>
      <c r="I24" s="44"/>
      <c r="J24" s="45"/>
    </row>
    <row r="25" spans="1:10" ht="30" customHeight="1" x14ac:dyDescent="0.3">
      <c r="A25" s="11"/>
      <c r="B25" s="88" t="s">
        <v>197</v>
      </c>
      <c r="C25" s="89"/>
      <c r="D25" s="89"/>
      <c r="E25" s="9">
        <v>6</v>
      </c>
      <c r="F25" s="27">
        <v>4.5</v>
      </c>
      <c r="G25" s="35">
        <f t="shared" si="0"/>
        <v>0.75</v>
      </c>
      <c r="H25" s="36" t="str">
        <f t="shared" si="1"/>
        <v>جيد</v>
      </c>
      <c r="I25" s="44"/>
      <c r="J25" s="45"/>
    </row>
    <row r="26" spans="1:10" ht="30" customHeight="1" x14ac:dyDescent="0.3">
      <c r="A26" s="11"/>
      <c r="B26" s="88" t="s">
        <v>198</v>
      </c>
      <c r="C26" s="89"/>
      <c r="D26" s="89"/>
      <c r="E26" s="9">
        <v>6</v>
      </c>
      <c r="F26" s="27">
        <v>5</v>
      </c>
      <c r="G26" s="35">
        <f t="shared" si="0"/>
        <v>0.83333333333333337</v>
      </c>
      <c r="H26" s="36" t="str">
        <f t="shared" si="1"/>
        <v>جيد جداً</v>
      </c>
      <c r="I26" s="44"/>
      <c r="J26" s="45"/>
    </row>
    <row r="27" spans="1:10" ht="30" customHeight="1" thickBot="1" x14ac:dyDescent="0.35">
      <c r="A27" s="11"/>
      <c r="B27" s="84" t="s">
        <v>199</v>
      </c>
      <c r="C27" s="85"/>
      <c r="D27" s="85"/>
      <c r="E27" s="31">
        <v>6</v>
      </c>
      <c r="F27" s="29">
        <v>4.75</v>
      </c>
      <c r="G27" s="40">
        <f t="shared" si="0"/>
        <v>0.79166666666666663</v>
      </c>
      <c r="H27" s="41" t="str">
        <f t="shared" si="1"/>
        <v>جيد</v>
      </c>
      <c r="I27" s="46"/>
      <c r="J27" s="47"/>
    </row>
    <row r="28" spans="1:10" ht="30" customHeight="1" x14ac:dyDescent="0.3">
      <c r="A28" s="11"/>
      <c r="B28" s="86" t="s">
        <v>200</v>
      </c>
      <c r="C28" s="87"/>
      <c r="D28" s="87"/>
      <c r="E28" s="32"/>
      <c r="F28" s="37"/>
      <c r="G28" s="38"/>
      <c r="H28" s="39"/>
      <c r="I28" s="50"/>
      <c r="J28" s="51"/>
    </row>
    <row r="29" spans="1:10" ht="30" customHeight="1" x14ac:dyDescent="0.3">
      <c r="A29" s="11"/>
      <c r="B29" s="88" t="s">
        <v>201</v>
      </c>
      <c r="C29" s="89"/>
      <c r="D29" s="89"/>
      <c r="E29" s="9">
        <v>5</v>
      </c>
      <c r="F29" s="27">
        <v>3.75</v>
      </c>
      <c r="G29" s="35">
        <f t="shared" si="0"/>
        <v>0.75</v>
      </c>
      <c r="H29" s="36" t="str">
        <f t="shared" si="1"/>
        <v>جيد</v>
      </c>
      <c r="I29" s="44"/>
      <c r="J29" s="45"/>
    </row>
    <row r="30" spans="1:10" ht="30" customHeight="1" x14ac:dyDescent="0.3">
      <c r="A30" s="11"/>
      <c r="B30" s="88" t="s">
        <v>202</v>
      </c>
      <c r="C30" s="89"/>
      <c r="D30" s="89"/>
      <c r="E30" s="9">
        <v>5</v>
      </c>
      <c r="F30" s="27">
        <v>3.75</v>
      </c>
      <c r="G30" s="35">
        <f t="shared" si="0"/>
        <v>0.75</v>
      </c>
      <c r="H30" s="36" t="str">
        <f t="shared" si="1"/>
        <v>جيد</v>
      </c>
      <c r="I30" s="44"/>
      <c r="J30" s="45"/>
    </row>
    <row r="31" spans="1:10" ht="30" customHeight="1" x14ac:dyDescent="0.3">
      <c r="A31" s="11"/>
      <c r="B31" s="88" t="s">
        <v>203</v>
      </c>
      <c r="C31" s="89"/>
      <c r="D31" s="89"/>
      <c r="E31" s="9">
        <v>5</v>
      </c>
      <c r="F31" s="27">
        <v>3.75</v>
      </c>
      <c r="G31" s="35">
        <f t="shared" si="0"/>
        <v>0.75</v>
      </c>
      <c r="H31" s="36" t="str">
        <f t="shared" si="1"/>
        <v>جيد</v>
      </c>
      <c r="I31" s="44"/>
      <c r="J31" s="45"/>
    </row>
    <row r="32" spans="1:10" ht="30" customHeight="1" x14ac:dyDescent="0.3">
      <c r="A32" s="11"/>
      <c r="B32" s="88" t="s">
        <v>204</v>
      </c>
      <c r="C32" s="89"/>
      <c r="D32" s="89"/>
      <c r="E32" s="9">
        <v>5</v>
      </c>
      <c r="F32" s="27">
        <v>3.5</v>
      </c>
      <c r="G32" s="35">
        <f t="shared" si="0"/>
        <v>0.7</v>
      </c>
      <c r="H32" s="36" t="str">
        <f t="shared" si="1"/>
        <v>جيد</v>
      </c>
      <c r="I32" s="44"/>
      <c r="J32" s="45"/>
    </row>
    <row r="33" spans="1:10" ht="30" customHeight="1" x14ac:dyDescent="0.3">
      <c r="A33" s="11"/>
      <c r="B33" s="88" t="s">
        <v>205</v>
      </c>
      <c r="C33" s="89"/>
      <c r="D33" s="89"/>
      <c r="E33" s="9">
        <v>5</v>
      </c>
      <c r="F33" s="27">
        <v>3.5</v>
      </c>
      <c r="G33" s="35">
        <f t="shared" si="0"/>
        <v>0.7</v>
      </c>
      <c r="H33" s="36" t="str">
        <f t="shared" si="1"/>
        <v>جيد</v>
      </c>
      <c r="I33" s="44"/>
      <c r="J33" s="45"/>
    </row>
    <row r="34" spans="1:10" ht="30" customHeight="1" x14ac:dyDescent="0.3">
      <c r="A34" s="11"/>
      <c r="B34" s="88" t="s">
        <v>206</v>
      </c>
      <c r="C34" s="89"/>
      <c r="D34" s="89"/>
      <c r="E34" s="9">
        <v>5</v>
      </c>
      <c r="F34" s="27">
        <v>3.5</v>
      </c>
      <c r="G34" s="35">
        <f t="shared" si="0"/>
        <v>0.7</v>
      </c>
      <c r="H34" s="36" t="str">
        <f t="shared" si="1"/>
        <v>جيد</v>
      </c>
      <c r="I34" s="44"/>
      <c r="J34" s="45"/>
    </row>
    <row r="35" spans="1:10" ht="30" customHeight="1" x14ac:dyDescent="0.3">
      <c r="A35" s="11"/>
      <c r="B35" s="88" t="s">
        <v>207</v>
      </c>
      <c r="C35" s="89"/>
      <c r="D35" s="89"/>
      <c r="E35" s="9">
        <v>5</v>
      </c>
      <c r="F35" s="27">
        <v>3.75</v>
      </c>
      <c r="G35" s="35">
        <f t="shared" si="0"/>
        <v>0.75</v>
      </c>
      <c r="H35" s="36" t="str">
        <f t="shared" si="1"/>
        <v>جيد</v>
      </c>
      <c r="I35" s="44"/>
      <c r="J35" s="45"/>
    </row>
    <row r="36" spans="1:10" ht="30" customHeight="1" thickBot="1" x14ac:dyDescent="0.35">
      <c r="A36" s="11"/>
      <c r="B36" s="84" t="s">
        <v>208</v>
      </c>
      <c r="C36" s="85"/>
      <c r="D36" s="85"/>
      <c r="E36" s="31">
        <v>5</v>
      </c>
      <c r="F36" s="29">
        <v>3.75</v>
      </c>
      <c r="G36" s="40">
        <f t="shared" si="0"/>
        <v>0.75</v>
      </c>
      <c r="H36" s="41" t="str">
        <f t="shared" si="1"/>
        <v>جيد</v>
      </c>
      <c r="I36" s="46"/>
      <c r="J36" s="47"/>
    </row>
    <row r="37" spans="1:10" ht="30" customHeight="1" x14ac:dyDescent="0.3">
      <c r="A37" s="11"/>
      <c r="B37" s="86" t="s">
        <v>209</v>
      </c>
      <c r="C37" s="87"/>
      <c r="D37" s="87"/>
      <c r="E37" s="30"/>
      <c r="F37" s="37"/>
      <c r="G37" s="38"/>
      <c r="H37" s="39"/>
      <c r="I37" s="50"/>
      <c r="J37" s="51"/>
    </row>
    <row r="38" spans="1:10" ht="30" customHeight="1" x14ac:dyDescent="0.3">
      <c r="A38" s="11"/>
      <c r="B38" s="88" t="s">
        <v>210</v>
      </c>
      <c r="C38" s="89"/>
      <c r="D38" s="89"/>
      <c r="E38" s="9">
        <v>5</v>
      </c>
      <c r="F38" s="27">
        <v>3.5</v>
      </c>
      <c r="G38" s="35">
        <f t="shared" si="0"/>
        <v>0.7</v>
      </c>
      <c r="H38" s="36" t="str">
        <f t="shared" si="1"/>
        <v>جيد</v>
      </c>
      <c r="I38" s="44"/>
      <c r="J38" s="45"/>
    </row>
    <row r="39" spans="1:10" ht="30" customHeight="1" x14ac:dyDescent="0.3">
      <c r="A39" s="11"/>
      <c r="B39" s="88" t="s">
        <v>211</v>
      </c>
      <c r="C39" s="89"/>
      <c r="D39" s="89"/>
      <c r="E39" s="9">
        <v>5</v>
      </c>
      <c r="F39" s="27">
        <v>3.75</v>
      </c>
      <c r="G39" s="35">
        <f t="shared" si="0"/>
        <v>0.75</v>
      </c>
      <c r="H39" s="36" t="str">
        <f t="shared" si="1"/>
        <v>جيد</v>
      </c>
      <c r="I39" s="44"/>
      <c r="J39" s="45"/>
    </row>
    <row r="40" spans="1:10" ht="30" customHeight="1" x14ac:dyDescent="0.3">
      <c r="A40" s="11"/>
      <c r="B40" s="88" t="s">
        <v>212</v>
      </c>
      <c r="C40" s="89"/>
      <c r="D40" s="89"/>
      <c r="E40" s="9">
        <v>5</v>
      </c>
      <c r="F40" s="27">
        <v>3.75</v>
      </c>
      <c r="G40" s="35">
        <f t="shared" si="0"/>
        <v>0.75</v>
      </c>
      <c r="H40" s="36" t="str">
        <f t="shared" si="1"/>
        <v>جيد</v>
      </c>
      <c r="I40" s="44"/>
      <c r="J40" s="45"/>
    </row>
    <row r="41" spans="1:10" ht="30" customHeight="1" x14ac:dyDescent="0.3">
      <c r="A41" s="11"/>
      <c r="B41" s="88" t="s">
        <v>213</v>
      </c>
      <c r="C41" s="89"/>
      <c r="D41" s="89"/>
      <c r="E41" s="9">
        <v>5</v>
      </c>
      <c r="F41" s="27">
        <v>3.75</v>
      </c>
      <c r="G41" s="35">
        <f t="shared" si="0"/>
        <v>0.75</v>
      </c>
      <c r="H41" s="36" t="str">
        <f t="shared" si="1"/>
        <v>جيد</v>
      </c>
      <c r="I41" s="44"/>
      <c r="J41" s="45"/>
    </row>
    <row r="42" spans="1:10" ht="30" customHeight="1" x14ac:dyDescent="0.3">
      <c r="A42" s="11"/>
      <c r="B42" s="88" t="s">
        <v>214</v>
      </c>
      <c r="C42" s="89"/>
      <c r="D42" s="89"/>
      <c r="E42" s="9">
        <v>5</v>
      </c>
      <c r="F42" s="27">
        <v>3.75</v>
      </c>
      <c r="G42" s="35">
        <f t="shared" si="0"/>
        <v>0.75</v>
      </c>
      <c r="H42" s="36" t="str">
        <f t="shared" si="1"/>
        <v>جيد</v>
      </c>
      <c r="I42" s="44"/>
      <c r="J42" s="45"/>
    </row>
    <row r="43" spans="1:10" ht="30" customHeight="1" x14ac:dyDescent="0.3">
      <c r="A43" s="11"/>
      <c r="B43" s="88" t="s">
        <v>215</v>
      </c>
      <c r="C43" s="89"/>
      <c r="D43" s="89"/>
      <c r="E43" s="9">
        <v>5</v>
      </c>
      <c r="F43" s="27">
        <v>3.75</v>
      </c>
      <c r="G43" s="35">
        <f t="shared" si="0"/>
        <v>0.75</v>
      </c>
      <c r="H43" s="36" t="str">
        <f t="shared" si="1"/>
        <v>جيد</v>
      </c>
      <c r="I43" s="44"/>
      <c r="J43" s="45"/>
    </row>
    <row r="44" spans="1:10" ht="30" customHeight="1" x14ac:dyDescent="0.3">
      <c r="A44" s="11"/>
      <c r="B44" s="88" t="s">
        <v>216</v>
      </c>
      <c r="C44" s="89"/>
      <c r="D44" s="89"/>
      <c r="E44" s="9">
        <v>5</v>
      </c>
      <c r="F44" s="27">
        <v>3.75</v>
      </c>
      <c r="G44" s="35">
        <f t="shared" si="0"/>
        <v>0.75</v>
      </c>
      <c r="H44" s="36" t="str">
        <f t="shared" si="1"/>
        <v>جيد</v>
      </c>
      <c r="I44" s="44"/>
      <c r="J44" s="45"/>
    </row>
    <row r="45" spans="1:10" ht="30" customHeight="1" x14ac:dyDescent="0.3">
      <c r="A45" s="11"/>
      <c r="B45" s="88" t="s">
        <v>217</v>
      </c>
      <c r="C45" s="89"/>
      <c r="D45" s="89"/>
      <c r="E45" s="9">
        <v>5</v>
      </c>
      <c r="F45" s="27">
        <v>3.75</v>
      </c>
      <c r="G45" s="35">
        <f t="shared" si="0"/>
        <v>0.75</v>
      </c>
      <c r="H45" s="36" t="str">
        <f t="shared" si="1"/>
        <v>جيد</v>
      </c>
      <c r="I45" s="44"/>
      <c r="J45" s="45"/>
    </row>
    <row r="46" spans="1:10" ht="30" customHeight="1" x14ac:dyDescent="0.3">
      <c r="A46" s="11"/>
      <c r="B46" s="88" t="s">
        <v>218</v>
      </c>
      <c r="C46" s="89"/>
      <c r="D46" s="89"/>
      <c r="E46" s="9">
        <v>5</v>
      </c>
      <c r="F46" s="27">
        <v>3.75</v>
      </c>
      <c r="G46" s="35">
        <f t="shared" si="0"/>
        <v>0.75</v>
      </c>
      <c r="H46" s="36" t="str">
        <f t="shared" si="1"/>
        <v>جيد</v>
      </c>
      <c r="I46" s="44"/>
      <c r="J46" s="45"/>
    </row>
    <row r="47" spans="1:10" ht="30" customHeight="1" x14ac:dyDescent="0.3">
      <c r="A47" s="11"/>
      <c r="B47" s="88" t="s">
        <v>219</v>
      </c>
      <c r="C47" s="89"/>
      <c r="D47" s="89"/>
      <c r="E47" s="9">
        <v>5</v>
      </c>
      <c r="F47" s="27">
        <v>3.5</v>
      </c>
      <c r="G47" s="35">
        <f t="shared" si="0"/>
        <v>0.7</v>
      </c>
      <c r="H47" s="36" t="str">
        <f t="shared" si="1"/>
        <v>جيد</v>
      </c>
      <c r="I47" s="44"/>
      <c r="J47" s="45"/>
    </row>
    <row r="48" spans="1:10" ht="30" customHeight="1" x14ac:dyDescent="0.3">
      <c r="A48" s="11"/>
      <c r="B48" s="88" t="s">
        <v>220</v>
      </c>
      <c r="C48" s="89"/>
      <c r="D48" s="89"/>
      <c r="E48" s="9">
        <v>5</v>
      </c>
      <c r="F48" s="27">
        <v>3.5</v>
      </c>
      <c r="G48" s="35">
        <f t="shared" si="0"/>
        <v>0.7</v>
      </c>
      <c r="H48" s="36" t="str">
        <f t="shared" si="1"/>
        <v>جيد</v>
      </c>
      <c r="I48" s="44"/>
      <c r="J48" s="45"/>
    </row>
    <row r="49" spans="1:10" ht="30" customHeight="1" x14ac:dyDescent="0.3">
      <c r="A49" s="11"/>
      <c r="B49" s="88" t="s">
        <v>221</v>
      </c>
      <c r="C49" s="89"/>
      <c r="D49" s="89"/>
      <c r="E49" s="9">
        <v>5</v>
      </c>
      <c r="F49" s="27">
        <v>3.5</v>
      </c>
      <c r="G49" s="35">
        <f t="shared" si="0"/>
        <v>0.7</v>
      </c>
      <c r="H49" s="36" t="str">
        <f t="shared" si="1"/>
        <v>جيد</v>
      </c>
      <c r="I49" s="44"/>
      <c r="J49" s="45"/>
    </row>
    <row r="50" spans="1:10" ht="30" customHeight="1" x14ac:dyDescent="0.3">
      <c r="A50" s="11"/>
      <c r="B50" s="88" t="s">
        <v>222</v>
      </c>
      <c r="C50" s="89"/>
      <c r="D50" s="89"/>
      <c r="E50" s="9">
        <v>5</v>
      </c>
      <c r="F50" s="27">
        <v>3.75</v>
      </c>
      <c r="G50" s="35">
        <f t="shared" si="0"/>
        <v>0.75</v>
      </c>
      <c r="H50" s="36" t="str">
        <f t="shared" si="1"/>
        <v>جيد</v>
      </c>
      <c r="I50" s="44"/>
      <c r="J50" s="45"/>
    </row>
    <row r="51" spans="1:10" ht="30" customHeight="1" thickBot="1" x14ac:dyDescent="0.35">
      <c r="A51" s="11"/>
      <c r="B51" s="84" t="s">
        <v>223</v>
      </c>
      <c r="C51" s="85"/>
      <c r="D51" s="85"/>
      <c r="E51" s="31">
        <v>5</v>
      </c>
      <c r="F51" s="29">
        <v>3.75</v>
      </c>
      <c r="G51" s="40">
        <f t="shared" si="0"/>
        <v>0.75</v>
      </c>
      <c r="H51" s="41" t="str">
        <f t="shared" si="1"/>
        <v>جيد</v>
      </c>
      <c r="I51" s="46"/>
      <c r="J51" s="47"/>
    </row>
    <row r="52" spans="1:10" ht="30" customHeight="1" x14ac:dyDescent="0.3">
      <c r="A52" s="11"/>
      <c r="B52" s="86" t="s">
        <v>224</v>
      </c>
      <c r="C52" s="87"/>
      <c r="D52" s="87"/>
      <c r="E52" s="32"/>
      <c r="F52" s="37"/>
      <c r="G52" s="38"/>
      <c r="H52" s="39"/>
      <c r="I52" s="50"/>
      <c r="J52" s="51"/>
    </row>
    <row r="53" spans="1:10" ht="30" customHeight="1" x14ac:dyDescent="0.3">
      <c r="A53" s="11"/>
      <c r="B53" s="88" t="s">
        <v>225</v>
      </c>
      <c r="C53" s="89"/>
      <c r="D53" s="89"/>
      <c r="E53" s="9">
        <v>6</v>
      </c>
      <c r="F53" s="27">
        <v>4.5</v>
      </c>
      <c r="G53" s="35">
        <f t="shared" si="0"/>
        <v>0.75</v>
      </c>
      <c r="H53" s="36" t="str">
        <f t="shared" si="1"/>
        <v>جيد</v>
      </c>
      <c r="I53" s="44"/>
      <c r="J53" s="45"/>
    </row>
    <row r="54" spans="1:10" ht="30" customHeight="1" x14ac:dyDescent="0.3">
      <c r="A54" s="11"/>
      <c r="B54" s="88" t="s">
        <v>226</v>
      </c>
      <c r="C54" s="89"/>
      <c r="D54" s="89"/>
      <c r="E54" s="9">
        <v>7</v>
      </c>
      <c r="F54" s="27">
        <v>5.75</v>
      </c>
      <c r="G54" s="35">
        <f t="shared" si="0"/>
        <v>0.8214285714285714</v>
      </c>
      <c r="H54" s="36" t="str">
        <f t="shared" si="1"/>
        <v>جيد جداً</v>
      </c>
      <c r="I54" s="44"/>
      <c r="J54" s="45"/>
    </row>
    <row r="55" spans="1:10" ht="30" customHeight="1" thickBot="1" x14ac:dyDescent="0.35">
      <c r="A55" s="11"/>
      <c r="B55" s="84" t="s">
        <v>227</v>
      </c>
      <c r="C55" s="85"/>
      <c r="D55" s="85"/>
      <c r="E55" s="31">
        <v>6</v>
      </c>
      <c r="F55" s="29">
        <v>5.25</v>
      </c>
      <c r="G55" s="40">
        <f t="shared" si="0"/>
        <v>0.875</v>
      </c>
      <c r="H55" s="41" t="str">
        <f t="shared" si="1"/>
        <v>جيد جداً</v>
      </c>
      <c r="I55" s="46"/>
      <c r="J55" s="47"/>
    </row>
    <row r="56" spans="1:10" ht="30" customHeight="1" x14ac:dyDescent="0.3">
      <c r="A56" s="11"/>
      <c r="B56" s="86" t="s">
        <v>228</v>
      </c>
      <c r="C56" s="87"/>
      <c r="D56" s="87"/>
      <c r="E56" s="30"/>
      <c r="F56" s="37"/>
      <c r="G56" s="38"/>
      <c r="H56" s="39"/>
      <c r="I56" s="50"/>
      <c r="J56" s="51"/>
    </row>
    <row r="57" spans="1:10" ht="30" customHeight="1" x14ac:dyDescent="0.3">
      <c r="A57" s="11"/>
      <c r="B57" s="88" t="s">
        <v>229</v>
      </c>
      <c r="C57" s="89"/>
      <c r="D57" s="89"/>
      <c r="E57" s="9">
        <v>10</v>
      </c>
      <c r="F57" s="27">
        <v>8</v>
      </c>
      <c r="G57" s="35">
        <f t="shared" si="0"/>
        <v>0.8</v>
      </c>
      <c r="H57" s="36" t="str">
        <f t="shared" si="1"/>
        <v>جيد جداً</v>
      </c>
      <c r="I57" s="44"/>
      <c r="J57" s="45"/>
    </row>
    <row r="58" spans="1:10" ht="30" customHeight="1" x14ac:dyDescent="0.3">
      <c r="A58" s="11"/>
      <c r="B58" s="88" t="s">
        <v>230</v>
      </c>
      <c r="C58" s="89"/>
      <c r="D58" s="89"/>
      <c r="E58" s="9">
        <v>6</v>
      </c>
      <c r="F58" s="27">
        <v>4.75</v>
      </c>
      <c r="G58" s="35">
        <f t="shared" si="0"/>
        <v>0.79166666666666663</v>
      </c>
      <c r="H58" s="36" t="str">
        <f t="shared" si="1"/>
        <v>جيد</v>
      </c>
      <c r="I58" s="44"/>
      <c r="J58" s="45"/>
    </row>
    <row r="59" spans="1:10" ht="39.9" customHeight="1" thickBot="1" x14ac:dyDescent="0.35">
      <c r="A59" s="11"/>
      <c r="B59" s="84" t="s">
        <v>231</v>
      </c>
      <c r="C59" s="85"/>
      <c r="D59" s="85"/>
      <c r="E59" s="31">
        <v>9</v>
      </c>
      <c r="F59" s="29">
        <v>7</v>
      </c>
      <c r="G59" s="40">
        <f t="shared" si="0"/>
        <v>0.77777777777777779</v>
      </c>
      <c r="H59" s="41" t="str">
        <f t="shared" si="1"/>
        <v>جيد</v>
      </c>
      <c r="I59" s="46"/>
      <c r="J59" s="47"/>
    </row>
    <row r="60" spans="1:10" ht="30" customHeight="1" x14ac:dyDescent="0.3">
      <c r="A60" s="11"/>
      <c r="B60" s="86" t="s">
        <v>232</v>
      </c>
      <c r="C60" s="87"/>
      <c r="D60" s="87"/>
      <c r="E60" s="32"/>
      <c r="F60" s="37"/>
      <c r="G60" s="38"/>
      <c r="H60" s="39"/>
      <c r="I60" s="50"/>
      <c r="J60" s="51"/>
    </row>
    <row r="61" spans="1:10" ht="30" customHeight="1" x14ac:dyDescent="0.3">
      <c r="A61" s="11"/>
      <c r="B61" s="88" t="s">
        <v>233</v>
      </c>
      <c r="C61" s="89"/>
      <c r="D61" s="89"/>
      <c r="E61" s="9">
        <v>10</v>
      </c>
      <c r="F61" s="27">
        <v>7</v>
      </c>
      <c r="G61" s="35">
        <f t="shared" si="0"/>
        <v>0.7</v>
      </c>
      <c r="H61" s="36" t="str">
        <f t="shared" si="1"/>
        <v>جيد</v>
      </c>
      <c r="I61" s="44"/>
      <c r="J61" s="45"/>
    </row>
    <row r="62" spans="1:10" ht="30" customHeight="1" thickBot="1" x14ac:dyDescent="0.35">
      <c r="A62" s="11"/>
      <c r="B62" s="84" t="s">
        <v>234</v>
      </c>
      <c r="C62" s="85"/>
      <c r="D62" s="85"/>
      <c r="E62" s="31">
        <v>10</v>
      </c>
      <c r="F62" s="29">
        <v>8</v>
      </c>
      <c r="G62" s="40">
        <f t="shared" si="0"/>
        <v>0.8</v>
      </c>
      <c r="H62" s="41" t="str">
        <f t="shared" si="1"/>
        <v>جيد جداً</v>
      </c>
      <c r="I62" s="46"/>
      <c r="J62" s="47"/>
    </row>
    <row r="63" spans="1:10" ht="30" customHeight="1" x14ac:dyDescent="0.3">
      <c r="A63" s="11"/>
      <c r="B63" s="86" t="s">
        <v>235</v>
      </c>
      <c r="C63" s="87"/>
      <c r="D63" s="87"/>
      <c r="E63" s="32"/>
      <c r="F63" s="37"/>
      <c r="G63" s="38"/>
      <c r="H63" s="39"/>
      <c r="I63" s="50"/>
      <c r="J63" s="51"/>
    </row>
    <row r="64" spans="1:10" ht="30" customHeight="1" x14ac:dyDescent="0.3">
      <c r="A64" s="11"/>
      <c r="B64" s="88" t="s">
        <v>236</v>
      </c>
      <c r="C64" s="89"/>
      <c r="D64" s="89"/>
      <c r="E64" s="9">
        <v>8</v>
      </c>
      <c r="F64" s="27">
        <v>6.25</v>
      </c>
      <c r="G64" s="35">
        <f t="shared" si="0"/>
        <v>0.78125</v>
      </c>
      <c r="H64" s="36" t="str">
        <f t="shared" si="1"/>
        <v>جيد</v>
      </c>
      <c r="I64" s="44"/>
      <c r="J64" s="45"/>
    </row>
    <row r="65" spans="1:10" ht="30" customHeight="1" x14ac:dyDescent="0.3">
      <c r="A65" s="11"/>
      <c r="B65" s="88" t="s">
        <v>237</v>
      </c>
      <c r="C65" s="89"/>
      <c r="D65" s="89"/>
      <c r="E65" s="9">
        <v>8</v>
      </c>
      <c r="F65" s="27">
        <v>6.25</v>
      </c>
      <c r="G65" s="35">
        <f t="shared" si="0"/>
        <v>0.78125</v>
      </c>
      <c r="H65" s="36" t="str">
        <f t="shared" si="1"/>
        <v>جيد</v>
      </c>
      <c r="I65" s="44"/>
      <c r="J65" s="45"/>
    </row>
    <row r="66" spans="1:10" ht="30" customHeight="1" x14ac:dyDescent="0.3">
      <c r="A66" s="11"/>
      <c r="B66" s="88" t="s">
        <v>238</v>
      </c>
      <c r="C66" s="89"/>
      <c r="D66" s="89"/>
      <c r="E66" s="9">
        <v>8</v>
      </c>
      <c r="F66" s="27">
        <v>6</v>
      </c>
      <c r="G66" s="35">
        <f t="shared" si="0"/>
        <v>0.75</v>
      </c>
      <c r="H66" s="36" t="str">
        <f t="shared" si="1"/>
        <v>جيد</v>
      </c>
      <c r="I66" s="44"/>
      <c r="J66" s="45"/>
    </row>
    <row r="67" spans="1:10" ht="30" customHeight="1" x14ac:dyDescent="0.3">
      <c r="A67" s="11"/>
      <c r="B67" s="88" t="s">
        <v>239</v>
      </c>
      <c r="C67" s="89"/>
      <c r="D67" s="89"/>
      <c r="E67" s="9">
        <v>8</v>
      </c>
      <c r="F67" s="27">
        <v>6</v>
      </c>
      <c r="G67" s="35">
        <f t="shared" si="0"/>
        <v>0.75</v>
      </c>
      <c r="H67" s="36" t="str">
        <f t="shared" si="1"/>
        <v>جيد</v>
      </c>
      <c r="I67" s="44"/>
      <c r="J67" s="45"/>
    </row>
    <row r="68" spans="1:10" ht="30" customHeight="1" thickBot="1" x14ac:dyDescent="0.35">
      <c r="A68" s="11"/>
      <c r="B68" s="84" t="s">
        <v>240</v>
      </c>
      <c r="C68" s="85"/>
      <c r="D68" s="85"/>
      <c r="E68" s="31">
        <v>10</v>
      </c>
      <c r="F68" s="29">
        <v>8</v>
      </c>
      <c r="G68" s="40">
        <f t="shared" si="0"/>
        <v>0.8</v>
      </c>
      <c r="H68" s="41" t="str">
        <f t="shared" si="1"/>
        <v>جيد جداً</v>
      </c>
      <c r="I68" s="46"/>
      <c r="J68" s="47"/>
    </row>
    <row r="69" spans="1:10" ht="30" customHeight="1" thickBot="1" x14ac:dyDescent="0.35">
      <c r="A69" s="11"/>
      <c r="B69" s="90" t="s">
        <v>241</v>
      </c>
      <c r="C69" s="91"/>
      <c r="D69" s="91"/>
      <c r="E69" s="10">
        <v>10</v>
      </c>
      <c r="F69" s="42">
        <v>7</v>
      </c>
      <c r="G69" s="43">
        <f t="shared" si="0"/>
        <v>0.7</v>
      </c>
      <c r="H69" s="28" t="str">
        <f t="shared" si="1"/>
        <v>جيد</v>
      </c>
      <c r="I69" s="48"/>
      <c r="J69" s="49"/>
    </row>
    <row r="70" spans="1:10" ht="30" customHeight="1" x14ac:dyDescent="0.3">
      <c r="A70" s="11"/>
      <c r="B70" s="86" t="s">
        <v>242</v>
      </c>
      <c r="C70" s="87"/>
      <c r="D70" s="87"/>
      <c r="E70" s="32"/>
      <c r="F70" s="37"/>
      <c r="G70" s="38"/>
      <c r="H70" s="39"/>
      <c r="I70" s="50"/>
      <c r="J70" s="51"/>
    </row>
    <row r="71" spans="1:10" ht="30" customHeight="1" x14ac:dyDescent="0.3">
      <c r="A71" s="11"/>
      <c r="B71" s="88" t="s">
        <v>243</v>
      </c>
      <c r="C71" s="89"/>
      <c r="D71" s="89"/>
      <c r="E71" s="9">
        <v>6</v>
      </c>
      <c r="F71" s="27">
        <v>5</v>
      </c>
      <c r="G71" s="35">
        <f t="shared" si="0"/>
        <v>0.83333333333333337</v>
      </c>
      <c r="H71" s="36" t="str">
        <f t="shared" si="1"/>
        <v>جيد جداً</v>
      </c>
      <c r="I71" s="44"/>
      <c r="J71" s="45"/>
    </row>
    <row r="72" spans="1:10" ht="30" customHeight="1" x14ac:dyDescent="0.3">
      <c r="A72" s="11"/>
      <c r="B72" s="88" t="s">
        <v>244</v>
      </c>
      <c r="C72" s="89"/>
      <c r="D72" s="89"/>
      <c r="E72" s="9">
        <v>8</v>
      </c>
      <c r="F72" s="27">
        <v>6.75</v>
      </c>
      <c r="G72" s="35">
        <f t="shared" si="0"/>
        <v>0.84375</v>
      </c>
      <c r="H72" s="36" t="str">
        <f t="shared" si="1"/>
        <v>جيد جداً</v>
      </c>
      <c r="I72" s="44"/>
      <c r="J72" s="45"/>
    </row>
    <row r="73" spans="1:10" ht="39.9" customHeight="1" x14ac:dyDescent="0.3">
      <c r="A73" s="11"/>
      <c r="B73" s="88" t="s">
        <v>245</v>
      </c>
      <c r="C73" s="89"/>
      <c r="D73" s="89"/>
      <c r="E73" s="9">
        <v>5</v>
      </c>
      <c r="F73" s="27">
        <v>3.75</v>
      </c>
      <c r="G73" s="35">
        <f t="shared" si="0"/>
        <v>0.75</v>
      </c>
      <c r="H73" s="36" t="str">
        <f t="shared" si="1"/>
        <v>جيد</v>
      </c>
      <c r="I73" s="44"/>
      <c r="J73" s="45"/>
    </row>
    <row r="74" spans="1:10" ht="39.9" customHeight="1" x14ac:dyDescent="0.3">
      <c r="A74" s="11"/>
      <c r="B74" s="88" t="s">
        <v>246</v>
      </c>
      <c r="C74" s="89"/>
      <c r="D74" s="89"/>
      <c r="E74" s="9">
        <v>5</v>
      </c>
      <c r="F74" s="27">
        <v>3.75</v>
      </c>
      <c r="G74" s="35">
        <f t="shared" ref="G74:G75" si="2">IFERROR(F74/E74,"")</f>
        <v>0.75</v>
      </c>
      <c r="H74" s="36" t="str">
        <f t="shared" ref="H74:H75" si="3">_xlfn.IFS(F74="أدخل العلامة","",F74="لا ينطبق","تم الإلغاء",G74&gt;=90%,"ممتاز",G74&gt;=80%,"جيد جداً",G74&gt;=70%,"جيد",G74&gt;=60%,"مقبول",G74&lt;60%,"راسب")</f>
        <v>جيد</v>
      </c>
      <c r="I74" s="44"/>
      <c r="J74" s="45"/>
    </row>
    <row r="75" spans="1:10" ht="30" customHeight="1" thickBot="1" x14ac:dyDescent="0.35">
      <c r="A75" s="11"/>
      <c r="B75" s="84" t="s">
        <v>247</v>
      </c>
      <c r="C75" s="85"/>
      <c r="D75" s="85"/>
      <c r="E75" s="31">
        <v>5</v>
      </c>
      <c r="F75" s="29">
        <v>4</v>
      </c>
      <c r="G75" s="40">
        <f t="shared" si="2"/>
        <v>0.8</v>
      </c>
      <c r="H75" s="41" t="str">
        <f t="shared" si="3"/>
        <v>جيد جداً</v>
      </c>
      <c r="I75" s="46"/>
      <c r="J75" s="47"/>
    </row>
    <row r="76" spans="1:10" ht="30" customHeight="1" thickBot="1" x14ac:dyDescent="0.35">
      <c r="A76" s="4"/>
      <c r="B76" s="80" t="s">
        <v>5</v>
      </c>
      <c r="C76" s="81"/>
      <c r="D76" s="81"/>
      <c r="E76" s="34">
        <f>SUM(E8:E75)</f>
        <v>350</v>
      </c>
      <c r="F76" s="34">
        <f>SUM(F8:F75)</f>
        <v>265</v>
      </c>
      <c r="G76" s="54"/>
      <c r="H76" s="55"/>
      <c r="I76" s="55"/>
      <c r="J76" s="56"/>
    </row>
    <row r="77" spans="1:10" ht="30" customHeight="1" thickBot="1" x14ac:dyDescent="0.35">
      <c r="A77" s="4"/>
      <c r="B77" s="82" t="s">
        <v>54</v>
      </c>
      <c r="C77" s="83"/>
      <c r="D77" s="83"/>
      <c r="E77" s="64">
        <f>F76/E76/100*100</f>
        <v>0.75714285714285712</v>
      </c>
      <c r="F77" s="64"/>
      <c r="G77" s="64"/>
      <c r="H77" s="64"/>
      <c r="I77" s="64"/>
      <c r="J77" s="65"/>
    </row>
    <row r="78" spans="1:10" ht="30" customHeight="1" thickBot="1" x14ac:dyDescent="0.35">
      <c r="A78" s="4"/>
      <c r="B78" s="82" t="s">
        <v>55</v>
      </c>
      <c r="C78" s="83"/>
      <c r="D78" s="83"/>
      <c r="E78" s="78" t="str">
        <f>_xlfn.IFS(E77&gt;=90%,"ممتاز",E77&gt;=80%,"جيد جداً",E77&gt;=70%,"جيد",E77&gt;=60%,"مقبول",E77&lt;60%,"راسب")</f>
        <v>جيد</v>
      </c>
      <c r="F78" s="78"/>
      <c r="G78" s="78"/>
      <c r="H78" s="78"/>
      <c r="I78" s="78"/>
      <c r="J78" s="79"/>
    </row>
    <row r="79" spans="1:10" ht="42" customHeight="1" x14ac:dyDescent="0.3">
      <c r="B79" s="74" t="s">
        <v>174</v>
      </c>
      <c r="C79" s="74"/>
      <c r="D79" s="74"/>
      <c r="E79" s="52" t="s">
        <v>52</v>
      </c>
      <c r="F79" s="52"/>
      <c r="G79" s="76" t="s">
        <v>104</v>
      </c>
      <c r="H79" s="76"/>
      <c r="I79" s="76"/>
      <c r="J79" s="76"/>
    </row>
    <row r="80" spans="1:10" ht="51" customHeight="1" x14ac:dyDescent="0.3">
      <c r="A80" s="5"/>
      <c r="B80" s="75"/>
      <c r="C80" s="75"/>
      <c r="D80" s="75"/>
      <c r="E80" s="53" t="s">
        <v>53</v>
      </c>
      <c r="F80" s="53"/>
      <c r="G80" s="77"/>
      <c r="H80" s="77"/>
      <c r="I80" s="77"/>
      <c r="J80" s="77"/>
    </row>
  </sheetData>
  <sheetProtection formatCells="0" formatColumns="0" formatRows="0" insertColumns="0" insertRows="0" insertHyperlinks="0" deleteColumns="0" deleteRows="0" selectLockedCells="1" sort="0" autoFilter="0" pivotTables="0"/>
  <mergeCells count="157">
    <mergeCell ref="B71:D71"/>
    <mergeCell ref="B72:D72"/>
    <mergeCell ref="B73:D73"/>
    <mergeCell ref="B74:D74"/>
    <mergeCell ref="B75:D7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29:D29"/>
    <mergeCell ref="B30:D30"/>
    <mergeCell ref="B31:D31"/>
    <mergeCell ref="B32:D32"/>
    <mergeCell ref="B33:D33"/>
    <mergeCell ref="B34:D34"/>
    <mergeCell ref="I32:J32"/>
    <mergeCell ref="I33:J33"/>
    <mergeCell ref="I34:J34"/>
    <mergeCell ref="I8:J8"/>
    <mergeCell ref="B76:D76"/>
    <mergeCell ref="B77:D77"/>
    <mergeCell ref="B78:D7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26:J26"/>
    <mergeCell ref="I27:J27"/>
    <mergeCell ref="I63:J63"/>
    <mergeCell ref="I64:J64"/>
    <mergeCell ref="I65:J65"/>
    <mergeCell ref="B27:D27"/>
    <mergeCell ref="B28:D28"/>
    <mergeCell ref="B79:D80"/>
    <mergeCell ref="G79:J79"/>
    <mergeCell ref="G80:J80"/>
    <mergeCell ref="E78:J7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B1:J1"/>
    <mergeCell ref="F2:J2"/>
    <mergeCell ref="B5:D6"/>
    <mergeCell ref="C2:D2"/>
    <mergeCell ref="C3:D3"/>
    <mergeCell ref="F3:J3"/>
    <mergeCell ref="E77:J77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9:J9"/>
    <mergeCell ref="I66:J66"/>
    <mergeCell ref="I67:J67"/>
    <mergeCell ref="I68:J68"/>
    <mergeCell ref="I69:J69"/>
    <mergeCell ref="I70:J70"/>
    <mergeCell ref="I71:J71"/>
    <mergeCell ref="E79:F79"/>
    <mergeCell ref="E80:F80"/>
    <mergeCell ref="G76:J76"/>
    <mergeCell ref="I72:J72"/>
    <mergeCell ref="I73:J73"/>
    <mergeCell ref="I74:J74"/>
    <mergeCell ref="I75:J75"/>
    <mergeCell ref="I35:J35"/>
    <mergeCell ref="I36:J3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8">
    <cfRule type="expression" dxfId="14" priority="57">
      <formula>$E78="راسب"</formula>
    </cfRule>
  </conditionalFormatting>
  <conditionalFormatting sqref="E78:J78">
    <cfRule type="expression" dxfId="13" priority="60">
      <formula>$E78="جيد جداً"</formula>
    </cfRule>
    <cfRule type="expression" dxfId="12" priority="59">
      <formula>$E78="جيد"</formula>
    </cfRule>
    <cfRule type="expression" dxfId="11" priority="58">
      <formula>$E78="مقبول"</formula>
    </cfRule>
    <cfRule type="expression" dxfId="10" priority="61">
      <formula>$E78="ممتاز"</formula>
    </cfRule>
  </conditionalFormatting>
  <conditionalFormatting sqref="F8:F7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79:J79">
    <cfRule type="containsText" dxfId="6" priority="15" operator="containsText" text="أدخل اسم المحكم">
      <formula>NOT(ISERROR(SEARCH("أدخل اسم المحكم",G79)))</formula>
    </cfRule>
  </conditionalFormatting>
  <conditionalFormatting sqref="H8:H75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F9:F15 F17:F18 F73:F75 F21:F22 F29:F36 F38:F51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G79:J79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7E2C8733-43FE-448E-A1A9-0AA2C064FF6E}">
          <x14:formula1>
            <xm:f>'بيانات التقييم'!$A$111:$A$137</xm:f>
          </x14:formula1>
          <xm:sqref>F19 F20 F25 F26 F27 F53 F55 F58 F71</xm:sqref>
        </x14:dataValidation>
        <x14:dataValidation type="list" allowBlank="1" showInputMessage="1" showErrorMessage="1" xr:uid="{11F5BBD6-8C6A-4153-8D01-59FD04F69BF3}">
          <x14:formula1>
            <xm:f>'بيانات التقييم'!$A$111:$A$153</xm:f>
          </x14:formula1>
          <xm:sqref>F24 F57 F61 F62 F68 F69</xm:sqref>
        </x14:dataValidation>
        <x14:dataValidation type="list" allowBlank="1" showInputMessage="1" showErrorMessage="1" xr:uid="{0DB51D11-7198-47AE-A193-2D2151F95274}">
          <x14:formula1>
            <xm:f>'بيانات التقييم'!$A$111:$A$141</xm:f>
          </x14:formula1>
          <xm:sqref>F54</xm:sqref>
        </x14:dataValidation>
        <x14:dataValidation type="list" allowBlank="1" showInputMessage="1" showErrorMessage="1" xr:uid="{AF21D6C4-2DBC-443A-A278-36D97ABEFA4F}">
          <x14:formula1>
            <xm:f>'بيانات التقييم'!$A$111:$A$145</xm:f>
          </x14:formula1>
          <xm:sqref>F64:F67 F72</xm:sqref>
        </x14:dataValidation>
        <x14:dataValidation type="list" allowBlank="1" showInputMessage="1" showErrorMessage="1" xr:uid="{4CAA7EF8-0FC6-40B2-A182-4F2290093312}">
          <x14:formula1>
            <xm:f>'بيانات التقييم'!$A$111:$A$149</xm:f>
          </x14:formula1>
          <xm:sqref>F59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5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2025-10-27T18:59:42Z</dcterms:modified>
</cp:coreProperties>
</file>