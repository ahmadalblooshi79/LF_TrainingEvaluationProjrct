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DDC1C8F-D13A-402B-8A6B-0A66BA04F7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20" i="2"/>
  <c r="H20" i="2"/>
  <c r="G22" i="2"/>
  <c r="H22" i="2"/>
  <c r="G23" i="2"/>
  <c r="H23" i="2"/>
  <c r="G24" i="2"/>
  <c r="H24" i="2" s="1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8" i="2"/>
  <c r="H38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<sst xmlns="http://schemas.openxmlformats.org/spreadsheetml/2006/main" count="279" uniqueCount="222">
  <si>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</si>
  <si>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</si>
  <si>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</si>
  <si>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</si>
  <si>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</si>
  <si>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</si>
  <si>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</si>
  <si>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</si>
  <si>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</si>
  <si>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</si>
  <si>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</si>
  <si>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</si>
  <si>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</si>
  <si>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</si>
  <si>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</si>
  <si>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</si>
  <si>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</si>
  <si>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</si>
  <si>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</si>
  <si>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</si>
  <si>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</si>
  <si>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</si>
  <si>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</si>
  <si>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</si>
  <si>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</si>
  <si>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</si>
  <si>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</si>
  <si>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</si>
  <si>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</si>
  <si>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</si>
  <si>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</si>
  <si>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</si>
  <si>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</si>
  <si>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</si>
  <si>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</si>
  <si>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</si>
  <si>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</si>
  <si>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</si>
  <si>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</si>
  <si>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</si>
  <si>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</si>
  <si>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</si>
  <si>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</si>
  <si>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</si>
  <si>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</si>
  <si>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</si>
  <si>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</si>
  <si>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</si>
  <si>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</si>
  <si>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</si>
  <si>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</si>
  <si>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</si>
  <si>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</si>
  <si>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</si>
  <si>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</si>
  <si>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</si>
  <si>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</si>
  <si>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</si>
  <si>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</si>
  <si>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</si>
  <si>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</si>
  <si>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</si>
  <si>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</si>
  <si>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</si>
  <si>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</si>
  <si>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</si>
  <si>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</si>
  <si>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</si>
  <si>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</si>
  <si>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</si>
  <si>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</si>
  <si>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</si>
  <si>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</si>
  <si>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</si>
  <si>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</si>
  <si>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</si>
  <si>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</si>
  <si>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</si>
  <si>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</si>
  <si>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</si>
  <si>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</si>
  <si>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</si>
  <si>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</si>
  <si>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</si>
  <si>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</si>
  <si>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</si>
  <si>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</si>
  <si>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</si>
  <si>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</si>
  <si>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</si>
  <si>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</si>
  <si>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</si>
  <si>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</si>
  <si>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</si>
  <si>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</si>
  <si>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</si>
  <si>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</si>
  <si>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</si>
  <si>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</si>
  <si>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</si>
  <si>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</si>
  <si>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</si>
  <si>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</si>
  <si>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</si>
  <si>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</si>
  <si>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</si>
  <si>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</si>
  <si>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</si>
  <si>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</si>
  <si>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</si>
  <si>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</si>
  <si>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</si>
  <si>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</si>
  <si>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</si>
  <si>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</si>
  <si>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</si>
  <si>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</si>
  <si>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</si>
  <si>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</si>
  <si>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</si>
  <si>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</si>
  <si>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</si>
  <si>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</si>
  <si>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</si>
  <si>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</si>
  <si>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</si>
  <si>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</si>
  <si>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</si>
  <si>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</si>
  <si>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</si>
  <si>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</si>
  <si>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</si>
  <si>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</si>
  <si>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</si>
  <si>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</si>
  <si>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</si>
  <si>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</si>
  <si>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</si>
  <si>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</si>
  <si>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</si>
  <si>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</si>
  <si>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</si>
  <si>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</si>
  <si>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</si>
  <si>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</si>
  <si>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</si>
  <si>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</si>
  <si>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</si>
  <si>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</si>
  <si>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</si>
  <si>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</si>
  <si>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</si>
  <si>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</si>
  <si>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</si>
  <si>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</si>
  <si>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</si>
  <si>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</si>
  <si>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</si>
  <si>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</si>
  <si>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</si>
  <si>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</si>
  <si>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</si>
  <si>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</si>
  <si>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</si>
  <si>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</si>
  <si>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</si>
  <si>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</si>
  <si>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</si>
  <si>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</si>
  <si>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</si>
  <si>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</si>
  <si>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</si>
  <si>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</si>
  <si>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</si>
  <si>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</si>
  <si>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</si>
  <si>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</si>
  <si>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جـ.    تحديد منطقة التجمع المحددة من المستوى الأعلى.</t>
  </si>
  <si>
    <t>د.     تحديد طرق الحركة لمنطقة التجمع.</t>
  </si>
  <si>
    <t>هـ.    تحديد المقتربات وممرات الحركة من منطقة التجمع وحتى منطقة التشكيل وخط البدء.</t>
  </si>
  <si>
    <t>و.    دمج وتوحيد متطلبات الاستخبارات وخطة سرية الـ م/د.</t>
  </si>
  <si>
    <t>إجراءات التحضير.</t>
  </si>
  <si>
    <t>إجراءات التنفيذ.</t>
  </si>
  <si>
    <t>أ.    الحركة من منطقة التجمع إلى منطقة التشكيل وخط البدء، بأسلوب الحركة والتشكيلة المناسبين.</t>
  </si>
  <si>
    <t>ب.   تأمين خط البدء بالنيران كما يلي:</t>
  </si>
  <si>
    <t>(5)    تحديد طبيعة نشاط العدو الجوي.</t>
  </si>
  <si>
    <t>(7)    اكتشاف إعادة تجميع العدو لقواته.</t>
  </si>
  <si>
    <r>
      <t>1.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  يعمل قائد سرية الـ م/د على فهم الموقف باستخدام معدات الاتصال المتوفرة، والخرائط.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</si>
  <si>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 البدء بإجراءات التخطيط من خلال إجراءات المعركة الثمانية.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</si>
  <si>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سرية الـ م/د من الخارطة وتحديد ما يلي بشكل أولي.</t>
    </r>
  </si>
  <si>
    <r>
      <t>3.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>إصدار أمر العمليات للفصائل، وتقديم ايجازات للتأكد من أنهم يفهمون قصد القائد ومفهوم عملياته.</t>
    </r>
  </si>
  <si>
    <r>
      <t>1.</t>
    </r>
    <r>
      <rPr>
        <sz val="7"/>
        <color theme="1"/>
        <rFont val="Arial"/>
        <family val="2"/>
      </rPr>
      <t xml:space="preserve">       </t>
    </r>
    <r>
      <rPr>
        <sz val="12"/>
        <color rgb="FF000000"/>
        <rFont val="Arial"/>
        <family val="2"/>
      </rPr>
      <t xml:space="preserve">   تقوم سرية الـ م/د بالتحضير والاستعداد للمهمة من خلال:</t>
    </r>
  </si>
  <si>
    <r>
      <t>أ‌.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   تنقيح الخطة بناءً على الاستخبارات المحدثة باستمرار.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</si>
  <si>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   تنفيذ سرية الـ م/د للاستطلاع من أجل:</t>
    </r>
  </si>
  <si>
    <r>
      <t>2.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</si>
  <si>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الإشراف على الفصائل لضمان أن التخطيط والتحضير يجري بطريقة صحيحة وتتفق مع قصد القائد.</t>
    </r>
  </si>
  <si>
    <r>
      <t>4.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توضيع القوات للحركة.</t>
    </r>
  </si>
  <si>
    <r>
      <t>1.</t>
    </r>
    <r>
      <rPr>
        <sz val="7"/>
        <color theme="1"/>
        <rFont val="Arial"/>
        <family val="2"/>
      </rPr>
      <t xml:space="preserve">       </t>
    </r>
    <r>
      <rPr>
        <sz val="12"/>
        <color rgb="FF000000"/>
        <rFont val="Arial"/>
        <family val="2"/>
      </rPr>
      <t>تنفذ سرية الـ م/د الهجوم وتقوم بالإجراءات التالية:</t>
    </r>
  </si>
  <si>
    <t>(12)    اكتشاف ظهور أسلحة جديدة للعدو أو اتباعه أساليب قتال جديدة.</t>
  </si>
  <si>
    <t>(13)    تحديد توقيت بدء انسحاب العدو واتجاهه ومتابعته.</t>
  </si>
  <si>
    <t>(11)     متابعة الموقف الكيميائي في قطاع هجوم قواتنا.</t>
  </si>
  <si>
    <t>(10)    تحديد طبيعة الأرض وطبيعة الموانع (ألغام – أسلاك – مناطق مدمرة) في اتجاهات تقدم القوات ومدى توفر مصادر المياه.</t>
  </si>
  <si>
    <t>(9)     تحديد درجة التجهيز الهندسي لخطوط العدو الدفاعية في العمق ومدى احتلالها بالقوات.</t>
  </si>
  <si>
    <t>(8)    متابعة انتقالات مراكز القيادة والسيطرة ووسائله الإلكترونية.</t>
  </si>
  <si>
    <t>(6)    اكتشاف تقدم احتياطات العدو وخطوط البدء لتوجيه الهجمات المعاكسة ومتابعتها.</t>
  </si>
  <si>
    <t>(4)    اكتشاف نقاط المقاومة للعدو والتي مازالت تعرقل تقدم قواتنا.</t>
  </si>
  <si>
    <t>(3)    متابعة انتقالات مدفعية العدو وهاوناته والأسلحة المضادة للدبابات.</t>
  </si>
  <si>
    <t>(2)    متابعة الانتقالات والأماكن الجديدة لمواقع أسلحة التدمير الشامل لعدو.</t>
  </si>
  <si>
    <t>(1)    تحديد نتائج القصف التمهيدي ودرجـة تأثيره على القوة البشريـة وأسلحـة ومعدات ودفاعات العدو (تحديد خسائر العدو).</t>
  </si>
  <si>
    <t>(11)   تحديد الموانع أو التحصينات الضعيفة في دفاع العدو خاصة على طول الأجنحة.</t>
  </si>
  <si>
    <t>(10)   تحديد الطرق التي تتوفر فيها التخفية والتستر التي تسمح للقوات الصديقة بالاقتراب من دفاعات العدو.</t>
  </si>
  <si>
    <t>(9)    تحديد المقتربات غير المراقبة أو المدافع عنها والتي تؤدي إلى أجنحة أو مؤخرة العدو.</t>
  </si>
  <si>
    <t>(8)    تحديد الأجنحة المكشوفة أو الضعيفة للعدو.</t>
  </si>
  <si>
    <t>(7)    تحديد الفجوات في دفاع العدو.</t>
  </si>
  <si>
    <t>(6)    تحديد نقاط ضعف العدو.</t>
  </si>
  <si>
    <t>(5)    تحديد مناطق اشتباك العدو.</t>
  </si>
  <si>
    <t>(1)     تحديد حجم وتأليف وتوزيعات قوة العدو في منطقة الأهداف.</t>
  </si>
  <si>
    <t>(2)    تحديد موقع ونوع وعمق وتأليف الموانع والممرات حول الموانع.</t>
  </si>
  <si>
    <t>(3)   تحديد طرق الهجوم المعاكس أو التعزيزات المعادية.</t>
  </si>
  <si>
    <t>(4)   تحديد نوع التحصينات المعادية وجهد القدرة على البقاء.</t>
  </si>
  <si>
    <r>
      <t>2.</t>
    </r>
    <r>
      <rPr>
        <sz val="7"/>
        <color rgb="FF000000"/>
        <rFont val="Arial"/>
        <family val="2"/>
      </rPr>
      <t xml:space="preserve">        </t>
    </r>
    <r>
      <rPr>
        <sz val="12"/>
        <color rgb="FF000000"/>
        <rFont val="Arial"/>
        <family val="2"/>
      </rPr>
      <t xml:space="preserve">   يستلم قائد السرية أمر العمليات من مجموعة اللواء ويتم القيام بما يلي:</t>
    </r>
  </si>
  <si>
    <r>
      <rPr>
        <b/>
        <sz val="14"/>
        <color rgb="FF000000"/>
        <rFont val="Arial"/>
        <family val="2"/>
      </rPr>
      <t>تقييم سرية الـ م/ د في تنفيذ إسناد الهجوم (المدبر)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</si>
</sst>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7"/>
      <color rgb="FF000000"/>
      <name val="Arial"/>
      <family val="2"/>
    </font>
    <font>
      <sz val="7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23" xfId="0" applyFont="1" applyBorder="1" applyAlignment="1">
      <alignment horizontal="right" vertical="center" wrapText="1" indent="4" readingOrder="2"/>
    </xf>
    <xf numFmtId="0" fontId="16" fillId="0" borderId="3" xfId="0" applyFont="1" applyBorder="1" applyAlignment="1">
      <alignment horizontal="right" vertical="center" wrapText="1" indent="4" readingOrder="2"/>
    </xf>
    <xf numFmtId="0" fontId="13" fillId="0" borderId="11" xfId="0" applyFont="1" applyBorder="1" applyAlignment="1">
      <alignment horizontal="right" vertical="center" wrapText="1" indent="4" readingOrder="2"/>
    </xf>
    <xf numFmtId="0" fontId="16" fillId="0" borderId="12" xfId="0" applyFont="1" applyBorder="1" applyAlignment="1">
      <alignment horizontal="right" vertical="center" wrapText="1" indent="4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indent="4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255109</xdr:colOff>
      <xdr:row>56</xdr:row>
      <xdr:rowOff>26390</xdr:rowOff>
    </xdr:from>
    <xdr:to>
      <xdr:col>9</xdr:col>
      <xdr:colOff>492021</xdr:colOff>
      <xdr:row>60</xdr:row>
      <xdr:rowOff>15240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5056EED6-C398-9D6A-ED46-7EE1A9E093DB}"/>
                </a:ext>
              </a:extLst>
            </xdr14:cNvPr>
            <xdr14:cNvContentPartPr/>
          </xdr14:nvContentPartPr>
          <xdr14:nvPr macro=""/>
          <xdr14:xfrm>
            <a:off x="11456856851" y="23392080"/>
            <a:ext cx="2377440" cy="1159560"/>
          </xdr14:xfrm>
        </xdr:contentPart>
      </mc:Choice>
      <mc:Fallback xmlns=""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5056EED6-C398-9D6A-ED46-7EE1A9E093D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56848211" y="23383440"/>
              <a:ext cx="2395080" cy="1177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8:28:56.4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813 1223,'0'0,"0"0,0 0,0 0,0 0,0 0,0 0,0 0,0 0,0 0,0 0,0 0,-17 20,15-17,-31 13,-1 24,28-34,-57 86,-41 6,87-80,-53 83,-16-3,71-82,-56 66,2-3,58-66,-13 13,7 13,15-32,4 25,15-11,-15-18,31-6,122-18,-129 18,173-72,95-43,-244 98,229-117,84-21,-303 133,278-146,-10-46,-276 183,208-128,16-16,-231 151,117-83,-23 11,-115 83,38-26,-10 2,-43 34,-1 12,-25 15,15-18,-48 13,16 23,27-33,-73 86,-41 7,101-84,-63 68,-4-4,74-68,-61 57,5-9,58-50,-12 1,6 10,14-17,6 13,-21-16,16 0,22 0,-18 0,13 0,2-19,-15 16,13 6,-15-23,0 17,17 6,-34 17,15-17,-30 13,-3 5,29-18,-22 32,-24 4,43-32,-17 7,-9 25,29-32,-22 5,10-2,70-20,-17-9,17-1,-43 17,51-13,9-5,-58 18,30-13,11-4,-44 17,18 6,-8-3,-53 20,18-1,15-15,-48 13,-2 22,44-33,-35 27,-9 6,43-32,-17 6,-8 26,27-32,-22 6,12 6,16-15,-15 13,7-8,1-18,25 9,-15 0,30-21,21 2,-44 16,86-53,42-23,-114 67,145-94,39-32,-174 118,159-97,33-21,-188 116,99-74,20 17,-130 67,69-53,25 5,-100 50,65-39,18 10,-86 32,52-45,19-7,-76 49,45-19,-6-11,-44 35,38-10,-28-4,-14 16,29 6,-15-3,-51 19,-1 1,29-17,-109 92,-58 24,145-101,-186 102,-62 36,234-133,-245 151,-59 22,290-163,-216 111,-74 53,287-164,-211 151,-76 12,295-159,-209 143,-69 36,275-181,-169 127,-71 34,247-163,-130 92,-13-7,166-103,-73 49,10-25,78-35,-51 32,42-36,16 0,-13 0,-2 0,15 0,-13 19,15-38,0 14,17-11,0-23,-14 33,115-66,55-66,-144 115,150-92,80-62,-214 145,204-152,114-52,-304 197,193-139,60-38,-263 181,213-127,32-54,-248 183,185-111,-7-13,-187 131,100-47,-17-5,-100 66,29-55,4 8,-44 50,-1-21,-8 11,0 14,18-50,-1 15,-16 34,-19-26,0-8,16 34,-48-8,-19 14,58 0,-134 0,-45 40,158-34,-126 27,-84 26,202-50,-145 61,-22-12,172-48,-35 40,1-11,58-32,-47 25,41-12,15-17,4 14,-2 22,0-33,17 28,35 5,-43-33,138 47,43-14,-159-32,146 26,30 26,-174-51,124 23,33 28,-159-50,42 21,-4 10,-58-34,30 46,-6 7,-31-50,26 61,-64 28,27-82,-21 125,-58 36,73-149,-113 122,-29 27,131-151,-90 105,-25-33,118-82,-61 28,-5-25,74-16,-8 14,3-17,16 0,-14 0,34-20,-16 17,31-34,88-61,-102 83,152-107,88-35,-217 131,210-145,94-66,-289 200,266-162,23-16,-292 181,221-130,36-12,-263 148,164-102,-5 13,-174 97,73-20,-20-19,-73 50,26-1,-22-10,-15 17,-4 26,-15-4,15-16,-83 34,-87 42,145-68,-188 95,-97 52,260-133,-276 126,-87 86,350-201,-286 183,-64 38,350-219,-302 179,-47 39,344-215,-258 173,-36 3,311-185,-257 132,34-7,230-131,-99 66,42-13,86-66,-53 13,35-6,29-17,29-26,-23 23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A52" zoomScale="130" zoomScaleNormal="100" zoomScaleSheetLayoutView="130" workbookViewId="0">
      <selection activeCell="E25" sqref="E25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71" t="s">
        <v>221</v>
      </c>
      <c r="C1" s="71"/>
      <c r="D1" s="71"/>
      <c r="E1" s="71"/>
      <c r="F1" s="71"/>
      <c r="G1" s="71"/>
      <c r="H1" s="71"/>
      <c r="I1" s="71"/>
      <c r="J1" s="71"/>
    </row>
    <row r="2" spans="1:10" ht="30" customHeight="1" x14ac:dyDescent="0.3">
      <c r="B2" s="12" t="s">
        <v>8</v>
      </c>
      <c r="C2" s="77" t="s">
        <v>27</v>
      </c>
      <c r="D2" s="77"/>
      <c r="E2" s="12" t="s">
        <v>7</v>
      </c>
      <c r="F2" s="72">
        <v>45927</v>
      </c>
      <c r="G2" s="72"/>
      <c r="H2" s="72"/>
      <c r="I2" s="72"/>
      <c r="J2" s="72"/>
    </row>
    <row r="3" spans="1:10" ht="30" customHeight="1" x14ac:dyDescent="0.3">
      <c r="B3" s="12" t="s">
        <v>9</v>
      </c>
      <c r="C3" s="77" t="s">
        <v>70</v>
      </c>
      <c r="D3" s="77"/>
      <c r="E3" s="12" t="s">
        <v>6</v>
      </c>
      <c r="F3" s="77" t="s">
        <v>116</v>
      </c>
      <c r="G3" s="77"/>
      <c r="H3" s="77"/>
      <c r="I3" s="77"/>
      <c r="J3" s="7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73" t="s">
        <v>0</v>
      </c>
      <c r="C5" s="74"/>
      <c r="D5" s="74"/>
      <c r="E5" s="82" t="s">
        <v>1</v>
      </c>
      <c r="F5" s="82"/>
      <c r="G5" s="82"/>
      <c r="H5" s="82"/>
      <c r="I5" s="82" t="s">
        <v>2</v>
      </c>
      <c r="J5" s="83"/>
    </row>
    <row r="6" spans="1:10" ht="24.9" customHeight="1" thickBot="1" x14ac:dyDescent="0.35">
      <c r="A6" s="10"/>
      <c r="B6" s="75"/>
      <c r="C6" s="76"/>
      <c r="D6" s="76"/>
      <c r="E6" s="11" t="s">
        <v>3</v>
      </c>
      <c r="F6" s="11" t="s">
        <v>4</v>
      </c>
      <c r="G6" s="11" t="s">
        <v>23</v>
      </c>
      <c r="H6" s="11" t="s">
        <v>24</v>
      </c>
      <c r="I6" s="84"/>
      <c r="J6" s="85"/>
    </row>
    <row r="7" spans="1:10" ht="24.9" customHeight="1" thickBot="1" x14ac:dyDescent="0.35">
      <c r="A7" s="10"/>
      <c r="B7" s="80" t="s">
        <v>21</v>
      </c>
      <c r="C7" s="81"/>
      <c r="D7" s="81"/>
      <c r="E7" s="28" t="s">
        <v>18</v>
      </c>
      <c r="F7" s="28" t="s">
        <v>19</v>
      </c>
      <c r="G7" s="28" t="s">
        <v>22</v>
      </c>
      <c r="H7" s="28" t="s">
        <v>20</v>
      </c>
      <c r="I7" s="86" t="s">
        <v>25</v>
      </c>
      <c r="J7" s="87"/>
    </row>
    <row r="8" spans="1:10" ht="30" customHeight="1" x14ac:dyDescent="0.3">
      <c r="A8" s="10"/>
      <c r="B8" s="48" t="s">
        <v>176</v>
      </c>
      <c r="C8" s="49"/>
      <c r="D8" s="49"/>
      <c r="E8" s="49"/>
      <c r="F8" s="49"/>
      <c r="G8" s="49"/>
      <c r="H8" s="49"/>
      <c r="I8" s="49"/>
      <c r="J8" s="50"/>
    </row>
    <row r="9" spans="1:10" ht="39.9" customHeight="1" x14ac:dyDescent="0.3">
      <c r="A9" s="10"/>
      <c r="B9" s="40" t="s">
        <v>187</v>
      </c>
      <c r="C9" s="41"/>
      <c r="D9" s="41"/>
      <c r="E9" s="9">
        <v>5</v>
      </c>
      <c r="F9" s="26">
        <v>4</v>
      </c>
      <c r="G9" s="30">
        <f>IFERROR(F9/E9,"")</f>
        <v>0.8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1"/>
      <c r="J9" s="52"/>
    </row>
    <row r="10" spans="1:10" ht="39.9" customHeight="1" x14ac:dyDescent="0.3">
      <c r="A10" s="10"/>
      <c r="B10" s="40" t="s">
        <v>220</v>
      </c>
      <c r="C10" s="41"/>
      <c r="D10" s="41"/>
      <c r="E10" s="32"/>
      <c r="F10" s="26"/>
      <c r="G10" s="30"/>
      <c r="H10" s="31"/>
      <c r="I10" s="51"/>
      <c r="J10" s="52"/>
    </row>
    <row r="11" spans="1:10" ht="30" customHeight="1" x14ac:dyDescent="0.3">
      <c r="A11" s="10"/>
      <c r="B11" s="46" t="s">
        <v>188</v>
      </c>
      <c r="C11" s="47"/>
      <c r="D11" s="47"/>
      <c r="E11" s="9">
        <v>5</v>
      </c>
      <c r="F11" s="26">
        <v>3.75</v>
      </c>
      <c r="G11" s="30">
        <f t="shared" ref="G11:G52" si="0">IFERROR(F11/E11,"")</f>
        <v>0.75</v>
      </c>
      <c r="H11" s="31" t="str">
        <f t="shared" ref="H11:H52" si="1">_xlfn.IFS(F11="أدخل العلامة","",F11="لا ينطبق","تم الإلغاء",G11&gt;=90%,"ممتاز",G11&gt;=80%,"جيد جداً",G11&gt;=70%,"جيد",G11&gt;=60%,"مقبول",G11&lt;60%,"راسب")</f>
        <v>جيد</v>
      </c>
      <c r="I11" s="51"/>
      <c r="J11" s="52"/>
    </row>
    <row r="12" spans="1:10" ht="30" customHeight="1" x14ac:dyDescent="0.3">
      <c r="A12" s="10"/>
      <c r="B12" s="46" t="s">
        <v>189</v>
      </c>
      <c r="C12" s="47"/>
      <c r="D12" s="47"/>
      <c r="E12" s="9">
        <v>5</v>
      </c>
      <c r="F12" s="26">
        <v>4</v>
      </c>
      <c r="G12" s="30">
        <f t="shared" si="0"/>
        <v>0.8</v>
      </c>
      <c r="H12" s="31" t="str">
        <f t="shared" si="1"/>
        <v>جيد جداً</v>
      </c>
      <c r="I12" s="51"/>
      <c r="J12" s="52"/>
    </row>
    <row r="13" spans="1:10" ht="30" customHeight="1" x14ac:dyDescent="0.3">
      <c r="A13" s="10"/>
      <c r="B13" s="46" t="s">
        <v>177</v>
      </c>
      <c r="C13" s="47"/>
      <c r="D13" s="47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51"/>
      <c r="J13" s="52"/>
    </row>
    <row r="14" spans="1:10" ht="30" customHeight="1" x14ac:dyDescent="0.3">
      <c r="A14" s="10"/>
      <c r="B14" s="46" t="s">
        <v>178</v>
      </c>
      <c r="C14" s="47"/>
      <c r="D14" s="47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51"/>
      <c r="J14" s="52"/>
    </row>
    <row r="15" spans="1:10" ht="39.9" customHeight="1" x14ac:dyDescent="0.3">
      <c r="A15" s="10"/>
      <c r="B15" s="46" t="s">
        <v>179</v>
      </c>
      <c r="C15" s="47"/>
      <c r="D15" s="47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51"/>
      <c r="J15" s="52"/>
    </row>
    <row r="16" spans="1:10" ht="30" customHeight="1" x14ac:dyDescent="0.3">
      <c r="A16" s="10"/>
      <c r="B16" s="46" t="s">
        <v>180</v>
      </c>
      <c r="C16" s="47"/>
      <c r="D16" s="47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51"/>
      <c r="J16" s="52"/>
    </row>
    <row r="17" spans="1:10" ht="39.9" customHeight="1" thickBot="1" x14ac:dyDescent="0.35">
      <c r="A17" s="10"/>
      <c r="B17" s="42" t="s">
        <v>190</v>
      </c>
      <c r="C17" s="43"/>
      <c r="D17" s="43"/>
      <c r="E17" s="33">
        <v>5</v>
      </c>
      <c r="F17" s="27">
        <v>3.75</v>
      </c>
      <c r="G17" s="34">
        <f t="shared" si="0"/>
        <v>0.75</v>
      </c>
      <c r="H17" s="35" t="str">
        <f t="shared" si="1"/>
        <v>جيد</v>
      </c>
      <c r="I17" s="53"/>
      <c r="J17" s="54"/>
    </row>
    <row r="18" spans="1:10" ht="30" customHeight="1" x14ac:dyDescent="0.3">
      <c r="A18" s="10"/>
      <c r="B18" s="48" t="s">
        <v>181</v>
      </c>
      <c r="C18" s="49"/>
      <c r="D18" s="49"/>
      <c r="E18" s="49"/>
      <c r="F18" s="49"/>
      <c r="G18" s="49"/>
      <c r="H18" s="49"/>
      <c r="I18" s="49"/>
      <c r="J18" s="50"/>
    </row>
    <row r="19" spans="1:10" ht="30" customHeight="1" x14ac:dyDescent="0.3">
      <c r="A19" s="10"/>
      <c r="B19" s="44" t="s">
        <v>191</v>
      </c>
      <c r="C19" s="45"/>
      <c r="D19" s="45"/>
      <c r="E19" s="9"/>
      <c r="F19" s="26"/>
      <c r="G19" s="30"/>
      <c r="H19" s="31"/>
      <c r="I19" s="51"/>
      <c r="J19" s="52"/>
    </row>
    <row r="20" spans="1:10" ht="30" customHeight="1" x14ac:dyDescent="0.3">
      <c r="A20" s="10"/>
      <c r="B20" s="46" t="s">
        <v>192</v>
      </c>
      <c r="C20" s="47"/>
      <c r="D20" s="47"/>
      <c r="E20" s="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51"/>
      <c r="J20" s="52"/>
    </row>
    <row r="21" spans="1:10" ht="30" customHeight="1" x14ac:dyDescent="0.3">
      <c r="A21" s="10"/>
      <c r="B21" s="46" t="s">
        <v>193</v>
      </c>
      <c r="C21" s="47"/>
      <c r="D21" s="47"/>
      <c r="E21" s="32"/>
      <c r="F21" s="26"/>
      <c r="G21" s="30"/>
      <c r="H21" s="31"/>
      <c r="I21" s="51"/>
      <c r="J21" s="52"/>
    </row>
    <row r="22" spans="1:10" ht="39.9" customHeight="1" x14ac:dyDescent="0.3">
      <c r="A22" s="10"/>
      <c r="B22" s="36" t="s">
        <v>216</v>
      </c>
      <c r="C22" s="37"/>
      <c r="D22" s="37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51"/>
      <c r="J22" s="52"/>
    </row>
    <row r="23" spans="1:10" ht="39.9" customHeight="1" x14ac:dyDescent="0.3">
      <c r="A23" s="10"/>
      <c r="B23" s="36" t="s">
        <v>217</v>
      </c>
      <c r="C23" s="37"/>
      <c r="D23" s="37"/>
      <c r="E23" s="9">
        <v>5</v>
      </c>
      <c r="F23" s="26">
        <v>3.5</v>
      </c>
      <c r="G23" s="30">
        <f t="shared" si="0"/>
        <v>0.7</v>
      </c>
      <c r="H23" s="31" t="str">
        <f t="shared" si="1"/>
        <v>جيد</v>
      </c>
      <c r="I23" s="51"/>
      <c r="J23" s="52"/>
    </row>
    <row r="24" spans="1:10" ht="30" customHeight="1" x14ac:dyDescent="0.3">
      <c r="A24" s="10"/>
      <c r="B24" s="36" t="s">
        <v>218</v>
      </c>
      <c r="C24" s="37"/>
      <c r="D24" s="37"/>
      <c r="E24" s="9">
        <v>0</v>
      </c>
      <c r="F24" s="26" t="s">
        <v>17</v>
      </c>
      <c r="G24" s="30" t="str">
        <f t="shared" si="0"/>
        <v/>
      </c>
      <c r="H24" s="31" t="str">
        <f t="shared" si="1"/>
        <v>تم الإلغاء</v>
      </c>
      <c r="I24" s="51"/>
      <c r="J24" s="52"/>
    </row>
    <row r="25" spans="1:10" ht="30" customHeight="1" x14ac:dyDescent="0.3">
      <c r="A25" s="10"/>
      <c r="B25" s="36" t="s">
        <v>219</v>
      </c>
      <c r="C25" s="37"/>
      <c r="D25" s="37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51"/>
      <c r="J25" s="52"/>
    </row>
    <row r="26" spans="1:10" ht="30" customHeight="1" x14ac:dyDescent="0.3">
      <c r="A26" s="10"/>
      <c r="B26" s="36" t="s">
        <v>215</v>
      </c>
      <c r="C26" s="37"/>
      <c r="D26" s="37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51"/>
      <c r="J26" s="52"/>
    </row>
    <row r="27" spans="1:10" ht="30" customHeight="1" x14ac:dyDescent="0.3">
      <c r="A27" s="10"/>
      <c r="B27" s="36" t="s">
        <v>214</v>
      </c>
      <c r="C27" s="37"/>
      <c r="D27" s="37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51"/>
      <c r="J27" s="52"/>
    </row>
    <row r="28" spans="1:10" ht="30" customHeight="1" x14ac:dyDescent="0.3">
      <c r="A28" s="10"/>
      <c r="B28" s="36" t="s">
        <v>213</v>
      </c>
      <c r="C28" s="37"/>
      <c r="D28" s="37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51"/>
      <c r="J28" s="52"/>
    </row>
    <row r="29" spans="1:10" ht="30" customHeight="1" x14ac:dyDescent="0.3">
      <c r="A29" s="10"/>
      <c r="B29" s="36" t="s">
        <v>212</v>
      </c>
      <c r="C29" s="37"/>
      <c r="D29" s="37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51"/>
      <c r="J29" s="52"/>
    </row>
    <row r="30" spans="1:10" ht="39.9" customHeight="1" x14ac:dyDescent="0.3">
      <c r="A30" s="10"/>
      <c r="B30" s="36" t="s">
        <v>211</v>
      </c>
      <c r="C30" s="37"/>
      <c r="D30" s="37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51"/>
      <c r="J30" s="52"/>
    </row>
    <row r="31" spans="1:10" ht="39.9" customHeight="1" x14ac:dyDescent="0.3">
      <c r="A31" s="10"/>
      <c r="B31" s="36" t="s">
        <v>210</v>
      </c>
      <c r="C31" s="37"/>
      <c r="D31" s="37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51"/>
      <c r="J31" s="52"/>
    </row>
    <row r="32" spans="1:10" ht="39.9" customHeight="1" x14ac:dyDescent="0.3">
      <c r="A32" s="10"/>
      <c r="B32" s="36" t="s">
        <v>209</v>
      </c>
      <c r="C32" s="37"/>
      <c r="D32" s="37"/>
      <c r="E32" s="9">
        <v>5</v>
      </c>
      <c r="F32" s="26">
        <v>3.75</v>
      </c>
      <c r="G32" s="30">
        <f t="shared" si="0"/>
        <v>0.75</v>
      </c>
      <c r="H32" s="31" t="str">
        <f t="shared" si="1"/>
        <v>جيد</v>
      </c>
      <c r="I32" s="51"/>
      <c r="J32" s="52"/>
    </row>
    <row r="33" spans="1:10" ht="30" customHeight="1" x14ac:dyDescent="0.3">
      <c r="A33" s="10"/>
      <c r="B33" s="40" t="s">
        <v>194</v>
      </c>
      <c r="C33" s="41"/>
      <c r="D33" s="41"/>
      <c r="E33" s="9">
        <v>5</v>
      </c>
      <c r="F33" s="26">
        <v>3.75</v>
      </c>
      <c r="G33" s="30">
        <f t="shared" si="0"/>
        <v>0.75</v>
      </c>
      <c r="H33" s="31" t="str">
        <f t="shared" si="1"/>
        <v>جيد</v>
      </c>
      <c r="I33" s="51"/>
      <c r="J33" s="52"/>
    </row>
    <row r="34" spans="1:10" ht="39.9" customHeight="1" x14ac:dyDescent="0.3">
      <c r="A34" s="10"/>
      <c r="B34" s="40" t="s">
        <v>195</v>
      </c>
      <c r="C34" s="41"/>
      <c r="D34" s="41"/>
      <c r="E34" s="9">
        <v>5</v>
      </c>
      <c r="F34" s="26">
        <v>3.75</v>
      </c>
      <c r="G34" s="30">
        <f t="shared" si="0"/>
        <v>0.75</v>
      </c>
      <c r="H34" s="31" t="str">
        <f t="shared" si="1"/>
        <v>جيد</v>
      </c>
      <c r="I34" s="51"/>
      <c r="J34" s="52"/>
    </row>
    <row r="35" spans="1:10" ht="30" customHeight="1" thickBot="1" x14ac:dyDescent="0.35">
      <c r="A35" s="10"/>
      <c r="B35" s="42" t="s">
        <v>196</v>
      </c>
      <c r="C35" s="43"/>
      <c r="D35" s="43"/>
      <c r="E35" s="33">
        <v>5</v>
      </c>
      <c r="F35" s="27">
        <v>3.75</v>
      </c>
      <c r="G35" s="34">
        <f t="shared" si="0"/>
        <v>0.75</v>
      </c>
      <c r="H35" s="35" t="str">
        <f t="shared" si="1"/>
        <v>جيد</v>
      </c>
      <c r="I35" s="53"/>
      <c r="J35" s="54"/>
    </row>
    <row r="36" spans="1:10" ht="30" customHeight="1" x14ac:dyDescent="0.3">
      <c r="A36" s="10"/>
      <c r="B36" s="48" t="s">
        <v>182</v>
      </c>
      <c r="C36" s="49"/>
      <c r="D36" s="49"/>
      <c r="E36" s="49"/>
      <c r="F36" s="49"/>
      <c r="G36" s="49"/>
      <c r="H36" s="49"/>
      <c r="I36" s="49"/>
      <c r="J36" s="50"/>
    </row>
    <row r="37" spans="1:10" ht="30" customHeight="1" x14ac:dyDescent="0.3">
      <c r="A37" s="10"/>
      <c r="B37" s="44" t="s">
        <v>197</v>
      </c>
      <c r="C37" s="45"/>
      <c r="D37" s="45"/>
      <c r="E37" s="9"/>
      <c r="F37" s="26"/>
      <c r="G37" s="30"/>
      <c r="H37" s="31"/>
      <c r="I37" s="51"/>
      <c r="J37" s="52"/>
    </row>
    <row r="38" spans="1:10" ht="39.9" customHeight="1" x14ac:dyDescent="0.3">
      <c r="A38" s="10"/>
      <c r="B38" s="46" t="s">
        <v>183</v>
      </c>
      <c r="C38" s="47"/>
      <c r="D38" s="47"/>
      <c r="E38" s="9">
        <v>5</v>
      </c>
      <c r="F38" s="26">
        <v>3.75</v>
      </c>
      <c r="G38" s="30">
        <f t="shared" si="0"/>
        <v>0.75</v>
      </c>
      <c r="H38" s="31" t="str">
        <f t="shared" si="1"/>
        <v>جيد</v>
      </c>
      <c r="I38" s="51"/>
      <c r="J38" s="52"/>
    </row>
    <row r="39" spans="1:10" ht="30" customHeight="1" x14ac:dyDescent="0.3">
      <c r="A39" s="10"/>
      <c r="B39" s="46" t="s">
        <v>184</v>
      </c>
      <c r="C39" s="47"/>
      <c r="D39" s="47"/>
      <c r="E39" s="32"/>
      <c r="F39" s="26"/>
      <c r="G39" s="30"/>
      <c r="H39" s="31"/>
      <c r="I39" s="51"/>
      <c r="J39" s="52"/>
    </row>
    <row r="40" spans="1:10" ht="39.9" customHeight="1" x14ac:dyDescent="0.3">
      <c r="A40" s="10"/>
      <c r="B40" s="36" t="s">
        <v>208</v>
      </c>
      <c r="C40" s="37"/>
      <c r="D40" s="37"/>
      <c r="E40" s="9">
        <v>5</v>
      </c>
      <c r="F40" s="26">
        <v>3.5</v>
      </c>
      <c r="G40" s="30">
        <f t="shared" si="0"/>
        <v>0.7</v>
      </c>
      <c r="H40" s="31" t="str">
        <f t="shared" si="1"/>
        <v>جيد</v>
      </c>
      <c r="I40" s="51"/>
      <c r="J40" s="52"/>
    </row>
    <row r="41" spans="1:10" ht="30" customHeight="1" x14ac:dyDescent="0.3">
      <c r="A41" s="10"/>
      <c r="B41" s="36" t="s">
        <v>207</v>
      </c>
      <c r="C41" s="37"/>
      <c r="D41" s="37"/>
      <c r="E41" s="9">
        <v>5</v>
      </c>
      <c r="F41" s="26">
        <v>3.5</v>
      </c>
      <c r="G41" s="30">
        <f t="shared" si="0"/>
        <v>0.7</v>
      </c>
      <c r="H41" s="31" t="str">
        <f t="shared" si="1"/>
        <v>جيد</v>
      </c>
      <c r="I41" s="51"/>
      <c r="J41" s="52"/>
    </row>
    <row r="42" spans="1:10" ht="30" customHeight="1" x14ac:dyDescent="0.3">
      <c r="A42" s="10"/>
      <c r="B42" s="36" t="s">
        <v>206</v>
      </c>
      <c r="C42" s="37"/>
      <c r="D42" s="37"/>
      <c r="E42" s="9">
        <v>5</v>
      </c>
      <c r="F42" s="26">
        <v>3.75</v>
      </c>
      <c r="G42" s="30">
        <f t="shared" si="0"/>
        <v>0.75</v>
      </c>
      <c r="H42" s="31" t="str">
        <f t="shared" si="1"/>
        <v>جيد</v>
      </c>
      <c r="I42" s="51"/>
      <c r="J42" s="52"/>
    </row>
    <row r="43" spans="1:10" ht="30" customHeight="1" x14ac:dyDescent="0.3">
      <c r="A43" s="10"/>
      <c r="B43" s="36" t="s">
        <v>205</v>
      </c>
      <c r="C43" s="37"/>
      <c r="D43" s="37"/>
      <c r="E43" s="9">
        <v>5</v>
      </c>
      <c r="F43" s="26">
        <v>3.75</v>
      </c>
      <c r="G43" s="30">
        <f t="shared" si="0"/>
        <v>0.75</v>
      </c>
      <c r="H43" s="31" t="str">
        <f t="shared" si="1"/>
        <v>جيد</v>
      </c>
      <c r="I43" s="51"/>
      <c r="J43" s="52"/>
    </row>
    <row r="44" spans="1:10" ht="30" customHeight="1" x14ac:dyDescent="0.3">
      <c r="A44" s="10"/>
      <c r="B44" s="36" t="s">
        <v>185</v>
      </c>
      <c r="C44" s="55"/>
      <c r="D44" s="55"/>
      <c r="E44" s="9">
        <v>5</v>
      </c>
      <c r="F44" s="26">
        <v>3.5</v>
      </c>
      <c r="G44" s="30">
        <f t="shared" si="0"/>
        <v>0.7</v>
      </c>
      <c r="H44" s="31" t="str">
        <f t="shared" si="1"/>
        <v>جيد</v>
      </c>
      <c r="I44" s="51"/>
      <c r="J44" s="52"/>
    </row>
    <row r="45" spans="1:10" ht="30" customHeight="1" x14ac:dyDescent="0.3">
      <c r="A45" s="10"/>
      <c r="B45" s="36" t="s">
        <v>204</v>
      </c>
      <c r="C45" s="37"/>
      <c r="D45" s="37"/>
      <c r="E45" s="9">
        <v>5</v>
      </c>
      <c r="F45" s="26">
        <v>3.5</v>
      </c>
      <c r="G45" s="30">
        <f t="shared" si="0"/>
        <v>0.7</v>
      </c>
      <c r="H45" s="31" t="str">
        <f t="shared" si="1"/>
        <v>جيد</v>
      </c>
      <c r="I45" s="51"/>
      <c r="J45" s="52"/>
    </row>
    <row r="46" spans="1:10" ht="30" customHeight="1" x14ac:dyDescent="0.3">
      <c r="A46" s="10"/>
      <c r="B46" s="36" t="s">
        <v>186</v>
      </c>
      <c r="C46" s="55"/>
      <c r="D46" s="55"/>
      <c r="E46" s="9">
        <v>5</v>
      </c>
      <c r="F46" s="26">
        <v>3.5</v>
      </c>
      <c r="G46" s="30">
        <f t="shared" si="0"/>
        <v>0.7</v>
      </c>
      <c r="H46" s="31" t="str">
        <f t="shared" si="1"/>
        <v>جيد</v>
      </c>
      <c r="I46" s="51"/>
      <c r="J46" s="52"/>
    </row>
    <row r="47" spans="1:10" ht="30" customHeight="1" x14ac:dyDescent="0.3">
      <c r="A47" s="10"/>
      <c r="B47" s="36" t="s">
        <v>203</v>
      </c>
      <c r="C47" s="37"/>
      <c r="D47" s="37"/>
      <c r="E47" s="9">
        <v>5</v>
      </c>
      <c r="F47" s="26">
        <v>3.5</v>
      </c>
      <c r="G47" s="30">
        <f t="shared" si="0"/>
        <v>0.7</v>
      </c>
      <c r="H47" s="31" t="str">
        <f t="shared" si="1"/>
        <v>جيد</v>
      </c>
      <c r="I47" s="51"/>
      <c r="J47" s="52"/>
    </row>
    <row r="48" spans="1:10" ht="39.9" customHeight="1" x14ac:dyDescent="0.3">
      <c r="A48" s="10"/>
      <c r="B48" s="36" t="s">
        <v>202</v>
      </c>
      <c r="C48" s="37"/>
      <c r="D48" s="37"/>
      <c r="E48" s="9">
        <v>5</v>
      </c>
      <c r="F48" s="26">
        <v>3.75</v>
      </c>
      <c r="G48" s="30">
        <f t="shared" si="0"/>
        <v>0.75</v>
      </c>
      <c r="H48" s="31" t="str">
        <f t="shared" si="1"/>
        <v>جيد</v>
      </c>
      <c r="I48" s="51"/>
      <c r="J48" s="52"/>
    </row>
    <row r="49" spans="1:10" ht="39.9" customHeight="1" x14ac:dyDescent="0.3">
      <c r="A49" s="10"/>
      <c r="B49" s="36" t="s">
        <v>201</v>
      </c>
      <c r="C49" s="37"/>
      <c r="D49" s="37"/>
      <c r="E49" s="9">
        <v>5</v>
      </c>
      <c r="F49" s="26">
        <v>3.5</v>
      </c>
      <c r="G49" s="30">
        <f t="shared" si="0"/>
        <v>0.7</v>
      </c>
      <c r="H49" s="31" t="str">
        <f t="shared" si="1"/>
        <v>جيد</v>
      </c>
      <c r="I49" s="51"/>
      <c r="J49" s="52"/>
    </row>
    <row r="50" spans="1:10" ht="30" customHeight="1" x14ac:dyDescent="0.3">
      <c r="A50" s="10"/>
      <c r="B50" s="36" t="s">
        <v>200</v>
      </c>
      <c r="C50" s="37"/>
      <c r="D50" s="37"/>
      <c r="E50" s="9">
        <v>5</v>
      </c>
      <c r="F50" s="26">
        <v>3.75</v>
      </c>
      <c r="G50" s="30">
        <f t="shared" si="0"/>
        <v>0.75</v>
      </c>
      <c r="H50" s="31" t="str">
        <f t="shared" si="1"/>
        <v>جيد</v>
      </c>
      <c r="I50" s="51"/>
      <c r="J50" s="52"/>
    </row>
    <row r="51" spans="1:10" ht="39.9" customHeight="1" x14ac:dyDescent="0.3">
      <c r="A51" s="10"/>
      <c r="B51" s="36" t="s">
        <v>198</v>
      </c>
      <c r="C51" s="37"/>
      <c r="D51" s="37"/>
      <c r="E51" s="9">
        <v>5</v>
      </c>
      <c r="F51" s="26">
        <v>3.75</v>
      </c>
      <c r="G51" s="30">
        <f t="shared" si="0"/>
        <v>0.75</v>
      </c>
      <c r="H51" s="31" t="str">
        <f t="shared" si="1"/>
        <v>جيد</v>
      </c>
      <c r="I51" s="51"/>
      <c r="J51" s="52"/>
    </row>
    <row r="52" spans="1:10" ht="30" customHeight="1" thickBot="1" x14ac:dyDescent="0.35">
      <c r="A52" s="10"/>
      <c r="B52" s="38" t="s">
        <v>199</v>
      </c>
      <c r="C52" s="39"/>
      <c r="D52" s="39"/>
      <c r="E52" s="33">
        <v>5</v>
      </c>
      <c r="F52" s="27">
        <v>3.75</v>
      </c>
      <c r="G52" s="34">
        <f t="shared" si="0"/>
        <v>0.75</v>
      </c>
      <c r="H52" s="35" t="str">
        <f t="shared" si="1"/>
        <v>جيد</v>
      </c>
      <c r="I52" s="53"/>
      <c r="J52" s="54"/>
    </row>
    <row r="53" spans="1:10" ht="30" customHeight="1" thickBot="1" x14ac:dyDescent="0.35">
      <c r="A53" s="4"/>
      <c r="B53" s="56" t="s">
        <v>5</v>
      </c>
      <c r="C53" s="57"/>
      <c r="D53" s="57"/>
      <c r="E53" s="29">
        <f>SUM(E8:E52)</f>
        <v>180</v>
      </c>
      <c r="F53" s="29">
        <f>SUM(F8:F52)</f>
        <v>133</v>
      </c>
      <c r="G53" s="68"/>
      <c r="H53" s="69"/>
      <c r="I53" s="69"/>
      <c r="J53" s="70"/>
    </row>
    <row r="54" spans="1:10" ht="30" customHeight="1" thickBot="1" x14ac:dyDescent="0.35">
      <c r="A54" s="4"/>
      <c r="B54" s="58" t="s">
        <v>54</v>
      </c>
      <c r="C54" s="59"/>
      <c r="D54" s="59"/>
      <c r="E54" s="78">
        <f>F53/E53/100*100</f>
        <v>0.73888888888888893</v>
      </c>
      <c r="F54" s="78"/>
      <c r="G54" s="78"/>
      <c r="H54" s="78"/>
      <c r="I54" s="78"/>
      <c r="J54" s="79"/>
    </row>
    <row r="55" spans="1:10" ht="30" customHeight="1" thickBot="1" x14ac:dyDescent="0.35">
      <c r="A55" s="4"/>
      <c r="B55" s="58" t="s">
        <v>55</v>
      </c>
      <c r="C55" s="59"/>
      <c r="D55" s="59"/>
      <c r="E55" s="64" t="str">
        <f>_xlfn.IFS(E54&gt;=90%,"ممتاز",E54&gt;=80%,"جيد جداً",E54&gt;=70%,"جيد",E54&gt;=60%,"مقبول",E54&lt;60%,"راسب")</f>
        <v>جيد</v>
      </c>
      <c r="F55" s="64"/>
      <c r="G55" s="64"/>
      <c r="H55" s="64"/>
      <c r="I55" s="64"/>
      <c r="J55" s="65"/>
    </row>
    <row r="56" spans="1:10" ht="42" customHeight="1" x14ac:dyDescent="0.3">
      <c r="B56" s="60" t="s">
        <v>175</v>
      </c>
      <c r="C56" s="60"/>
      <c r="D56" s="60"/>
      <c r="E56" s="66" t="s">
        <v>52</v>
      </c>
      <c r="F56" s="66"/>
      <c r="G56" s="62" t="s">
        <v>116</v>
      </c>
      <c r="H56" s="62"/>
      <c r="I56" s="62"/>
      <c r="J56" s="62"/>
    </row>
    <row r="57" spans="1:10" ht="51" customHeight="1" x14ac:dyDescent="0.3">
      <c r="A57" s="5"/>
      <c r="B57" s="61"/>
      <c r="C57" s="61"/>
      <c r="D57" s="61"/>
      <c r="E57" s="67" t="s">
        <v>53</v>
      </c>
      <c r="F57" s="67"/>
      <c r="G57" s="63"/>
      <c r="H57" s="63"/>
      <c r="I57" s="63"/>
      <c r="J57" s="63"/>
    </row>
  </sheetData>
  <sheetProtection formatCells="0" formatColumns="0" formatRows="0" insertColumns="0" insertRows="0" insertHyperlinks="0" deleteColumns="0" deleteRows="0" selectLockedCells="1" sort="0" autoFilter="0" pivotTables="0"/>
  <mergeCells count="108"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45:J45"/>
    <mergeCell ref="I46:J46"/>
    <mergeCell ref="I47:J47"/>
    <mergeCell ref="I48:J48"/>
    <mergeCell ref="E56:F56"/>
    <mergeCell ref="E57:F57"/>
    <mergeCell ref="G53:J53"/>
    <mergeCell ref="B42:D42"/>
    <mergeCell ref="B43:D43"/>
    <mergeCell ref="B44:D44"/>
    <mergeCell ref="B45:D45"/>
    <mergeCell ref="B53:D53"/>
    <mergeCell ref="B54:D54"/>
    <mergeCell ref="B55:D55"/>
    <mergeCell ref="I11:J11"/>
    <mergeCell ref="I12:J12"/>
    <mergeCell ref="I13:J13"/>
    <mergeCell ref="I14:J14"/>
    <mergeCell ref="I15:J15"/>
    <mergeCell ref="I16:J16"/>
    <mergeCell ref="I17:J17"/>
    <mergeCell ref="I28:J28"/>
    <mergeCell ref="I29:J29"/>
    <mergeCell ref="I26:J26"/>
    <mergeCell ref="I27:J27"/>
    <mergeCell ref="B17:D17"/>
    <mergeCell ref="B19:D19"/>
    <mergeCell ref="B20:D20"/>
    <mergeCell ref="B21:D21"/>
    <mergeCell ref="B22:D22"/>
    <mergeCell ref="B23:D23"/>
    <mergeCell ref="B24:D24"/>
    <mergeCell ref="B25:D25"/>
    <mergeCell ref="B18:J18"/>
    <mergeCell ref="B26:D26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B27:D27"/>
    <mergeCell ref="B28:D28"/>
    <mergeCell ref="B29:D29"/>
    <mergeCell ref="B30:D30"/>
    <mergeCell ref="B31:D31"/>
    <mergeCell ref="B46:D46"/>
    <mergeCell ref="B47:D47"/>
    <mergeCell ref="B48:D48"/>
    <mergeCell ref="B49:D49"/>
    <mergeCell ref="B50:D50"/>
    <mergeCell ref="B51:D51"/>
    <mergeCell ref="B52:D52"/>
    <mergeCell ref="B32:D32"/>
    <mergeCell ref="B33:D33"/>
    <mergeCell ref="B34:D34"/>
    <mergeCell ref="B35:D35"/>
    <mergeCell ref="B37:D37"/>
    <mergeCell ref="B38:D38"/>
    <mergeCell ref="B39:D39"/>
    <mergeCell ref="B40:D40"/>
    <mergeCell ref="B41:D41"/>
    <mergeCell ref="B36:J36"/>
    <mergeCell ref="I32:J32"/>
    <mergeCell ref="I33:J33"/>
    <mergeCell ref="I34:J34"/>
    <mergeCell ref="I35:J35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17">
    <cfRule type="containsText" dxfId="16" priority="4" operator="containsText" text="أدخل العلامة">
      <formula>NOT(ISERROR(SEARCH("أدخل العلامة",F9)))</formula>
    </cfRule>
  </conditionalFormatting>
  <conditionalFormatting sqref="F19:F35 F37:F52">
    <cfRule type="containsText" dxfId="15" priority="14" operator="containsText" text="أدخل العلامة">
      <formula>NOT(ISERROR(SEARCH("أدخل العلامة",F19)))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17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9:H35 H37:H52">
    <cfRule type="containsText" dxfId="5" priority="38" operator="containsText" text="أدخل العلامة">
      <formula>NOT(ISERROR(SEARCH("أدخل العلامة",H19)))</formula>
    </cfRule>
    <cfRule type="containsText" dxfId="4" priority="39" operator="containsText" text="ممتاز">
      <formula>NOT(ISERROR(SEARCH("ممتاز",H19)))</formula>
    </cfRule>
    <cfRule type="containsText" dxfId="3" priority="40" operator="containsText" text="جيد جداً">
      <formula>NOT(ISERROR(SEARCH("جيد جداً",H19)))</formula>
    </cfRule>
    <cfRule type="containsText" dxfId="2" priority="41" operator="containsText" text="جيد">
      <formula>NOT(ISERROR(SEARCH("جيد",H19)))</formula>
    </cfRule>
    <cfRule type="containsText" dxfId="1" priority="42" operator="containsText" text="مقبول">
      <formula>NOT(ISERROR(SEARCH("مقبول",H19)))</formula>
    </cfRule>
    <cfRule type="containsText" dxfId="0" priority="43" operator="containsText" text="راسب">
      <formula>NOT(ISERROR(SEARCH("راسب",H19)))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F40:F52 F38 F22:F35 F20 F11:F17 F9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G56:J56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777343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2025-10-27T20:43:19Z</dcterms:modified>
</cp:coreProperties>
</file>