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9523D314-88CD-6B45-814D-90AAD8E01652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F40" i="2"/>
  <c r="E40" i="2"/>
  <c r="E41" i="2"/>
  <c r="E42" i="2"/>
</calcChain>
</file>

<file path=xl/sharedStrings.xml><?xml version="1.0" encoding="utf-8"?>
<sst xmlns="http://schemas.openxmlformats.org/spreadsheetml/2006/main" count="269" uniqueCount="213">
  <si>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</si>
  <si>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</si>
  <si>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</si>
  <si>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</si>
  <si>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</si>
  <si>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</si>
  <si>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</si>
  <si>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</si>
  <si>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</si>
  <si>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</si>
  <si>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</si>
  <si>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</si>
  <si>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</si>
  <si>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</si>
  <si>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</si>
  <si>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</si>
  <si>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</si>
  <si>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</si>
  <si>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</si>
  <si>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</si>
  <si>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</si>
  <si>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</si>
  <si>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</si>
  <si>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</si>
  <si>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</si>
  <si>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</si>
  <si>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</si>
  <si>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</si>
  <si>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</si>
  <si>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</si>
  <si>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</si>
  <si>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</si>
  <si>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</si>
  <si>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</si>
  <si>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</si>
  <si>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</si>
  <si>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</si>
  <si>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</si>
  <si>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</si>
  <si>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</si>
  <si>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</si>
  <si>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</si>
  <si>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</si>
  <si>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</si>
  <si>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</si>
  <si>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</si>
  <si>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</si>
  <si>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</si>
  <si>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</si>
  <si>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</si>
  <si>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</si>
  <si>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</si>
  <si>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</si>
  <si>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</si>
  <si>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</si>
  <si>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</si>
  <si>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</si>
  <si>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</si>
  <si>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</si>
  <si>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</si>
  <si>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</si>
  <si>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</si>
  <si>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</si>
  <si>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</si>
  <si>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</si>
  <si>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</si>
  <si>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</si>
  <si>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</si>
  <si>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</si>
  <si>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</si>
  <si>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</si>
  <si>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</si>
  <si>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</si>
  <si>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</si>
  <si>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</si>
  <si>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</si>
  <si>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</si>
  <si>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</si>
  <si>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</si>
  <si>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</si>
  <si>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</si>
  <si>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</si>
  <si>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</si>
  <si>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</si>
  <si>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</si>
  <si>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</si>
  <si>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</si>
  <si>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</si>
  <si>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</si>
  <si>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</si>
  <si>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</si>
  <si>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</si>
  <si>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</si>
  <si>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</si>
  <si>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</si>
  <si>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</si>
  <si>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</si>
  <si>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</si>
  <si>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</si>
  <si>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</si>
  <si>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</si>
  <si>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</si>
  <si>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</si>
  <si>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</si>
  <si>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</si>
  <si>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</si>
  <si>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</si>
  <si>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</si>
  <si>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</si>
  <si>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</si>
  <si>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</si>
  <si>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</si>
  <si>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</si>
  <si>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</si>
  <si>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</si>
  <si>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</si>
  <si>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</si>
  <si>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</si>
  <si>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</si>
  <si>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</si>
  <si>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</si>
  <si>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</si>
  <si>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</si>
  <si>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</si>
  <si>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</si>
  <si>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</si>
  <si>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</si>
  <si>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</si>
  <si>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</si>
  <si>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</si>
  <si>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</si>
  <si>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</si>
  <si>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</si>
  <si>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</si>
  <si>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</si>
  <si>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</si>
  <si>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</si>
  <si>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</si>
  <si>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</si>
  <si>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</si>
  <si>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</si>
  <si>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</si>
  <si>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</si>
  <si>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</si>
  <si>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</si>
  <si>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</si>
  <si>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</si>
  <si>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</si>
  <si>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</si>
  <si>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</si>
  <si>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</si>
  <si>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</si>
  <si>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</si>
  <si>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</si>
  <si>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</si>
  <si>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</si>
  <si>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</si>
  <si>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</si>
  <si>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</si>
  <si>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</si>
  <si>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</si>
  <si>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</si>
  <si>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</si>
  <si>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</si>
  <si>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</si>
  <si>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</si>
  <si>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</si>
  <si>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</si>
  <si>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</si>
  <si>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</si>
  <si>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</si>
  <si>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</si>
  <si>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</si>
  <si>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</si>
  <si>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</si>
  <si>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</si>
  <si>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</si>
  <si>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</si>
  <si>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</si>
  <si>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</si>
  <si>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سرية الصيانة في إسناد الهجوم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</si>
  <si>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</si>
  <si>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يجب أن يضمن مخططو الصيانة إسناد عمليات الصيانة لإدامة الزخم للقوات المقاتلة.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</si>
  <si>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على أفراد الصيانة والإنقاذ تنفيذ مهمتهم حتى أقصى مسافة ممكنة في المنطقة الأمامية.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</si>
  <si>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تنفيذ أعمال الإصلاحات في موقع العطل بقدر الإمكان.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</si>
  <si>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العمل على المحافظة على أكبر عدد من منظومات الأسلحة في حالة تشغيلية ومتنقلة.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</si>
  <si>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قدرات الصيانة العضوية بالوحدة المقاتلة.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</si>
  <si>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إعادة تنظيم القوات ومنظومات السلاح والمعدات.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</si>
  <si>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تعديل إجراءات وأساليب وتعبية إسناد الصيانة بسبب تغيرات الموقف العملياتي.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</si>
  <si>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الوضع في الاعتبار القيود التي يفرضها الوقت اللازم للإصلاح (وخصوصاً أثناء العمليات التعرضية).</t>
    </r>
  </si>
  <si>
    <r>
      <t>إجراءات التحضير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Arial"/>
        <family val="2"/>
      </rPr>
      <t>قبل تنفيذ العمليات التعرضية يجب على مخططي الصيانة أخذ النقاط التالية في الاعتبار: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</si>
  <si>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معدلات المخزون من قطع الغيار.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</si>
  <si>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نقل فرق إسناد الصيانة ونقاط تجميع الصيانة إلى المقدمة.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</si>
  <si>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الطرق وإجراءات إنقاذ وجمع وإخلاء وتوزيع المعدات المستولى عليها من العدو والمعدات المتروكة.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</si>
  <si>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إمكانية إعادة توجيه جهود إسناد الصيانة لتلبية المتطلبات التعبوية المتغيرة.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</si>
  <si>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الاستخدام الكبير لتقدير الأعطال بالمعركة وعمليات إصلاحها.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</si>
  <si>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موافقة قسم الاستبدال بالاستعواض للحصول على قطع الغيار والمكونات الهامة بشكل آني وسريع.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</si>
  <si>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الإجراءات والتوجيهات التي تسمح لفرق إسناد الصيانة بسحب وصيانة كمية من قطع الغيار والمجموعات الرئيسية التي يكون عليها طلب كبير.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</si>
  <si>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التأكيد على إخلاء المعدات العاطلة، مع تحديد عمليات الإصلاح بالمنطقة الأمامية بحيث تشمل فقط استبدال وتعديل وصيانة المكونات.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</si>
  <si>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تطبيق نظام العمل على مدار 24 ساعة بقدر الإمكان.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</si>
  <si>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استخدام النقل الجوي لنقل أفراد الصيانة وقطع الغيار.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</si>
  <si>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زيادة إلحاق فرق إسناد الصيانة من وحدات الصيانة بخطي الإسناد الثاني والثالث.</t>
    </r>
  </si>
  <si>
    <r>
      <t xml:space="preserve">إجراءات التنفيذ. </t>
    </r>
    <r>
      <rPr>
        <sz val="12"/>
        <color rgb="FF000000"/>
        <rFont val="Arial"/>
        <family val="2"/>
      </rPr>
      <t>تنفذ سرية الصيانة الهجوم على شكل هجوم سريع وهجوم مدبر على النحو التالي: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</si>
  <si>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يراقب ضابط الصيانة بكل مجموعة قتال الموقف التعبوي من أجل إسناد الهجوم.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</si>
  <si>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يقوم ضابط الصيانة بإبلاغ ركن العمليات وركن الإمداد بنقاط تجميع الصيانة.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</si>
  <si>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تحديد أولويات جهود الإنقاذ والإخلاء والإصلاحات بالموقع.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</si>
  <si>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تجميع وتصنيف والتبليغ عن المعدات المتروكة.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</si>
  <si>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نقل إسناد الصيانة إلى أبعد موقع في الأمام بقدر الإمكان في حالة إزدياد سرعة إيقاع العمليات.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</si>
  <si>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يجب على القادة الوضع في الاعتبار قابلية تعرض فرق إسناد الصيانة للهجوم، وقدرة العدو على شن هجوم معاكس ناجح.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</si>
  <si>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تحديد مسافات المناورة للوحدات القتالية عند تنفيذ العمليات التعرضية.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</si>
  <si>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طلب مساعدة من الوحدات القتالية من أجل توفير الأمن لعمليات الصيانة.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</si>
  <si>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بعد الهجوم يقوم ضابط الصيانة بكل مجموعة قتال بتنسيق متطلبات الصيانة مع نائب القائد.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</si>
  <si>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مناقشة الموقف الحالي وأولويات الجهد وخطط العملية القادمة.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</si>
</sst>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24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" fillId="0" borderId="25" xfId="0" applyFont="1" applyBorder="1" applyAlignment="1">
      <alignment horizontal="right" vertical="center" wrapText="1" readingOrder="2"/>
    </xf>
    <xf numFmtId="0" fontId="1" fillId="0" borderId="26" xfId="0" applyFont="1" applyBorder="1" applyAlignment="1">
      <alignment horizontal="right" vertical="center" wrapText="1" readingOrder="2"/>
    </xf>
    <xf numFmtId="0" fontId="1" fillId="0" borderId="27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476745</xdr:colOff>
      <xdr:row>42</xdr:row>
      <xdr:rowOff>332320</xdr:rowOff>
    </xdr:from>
    <xdr:to>
      <xdr:col>9</xdr:col>
      <xdr:colOff>771554</xdr:colOff>
      <xdr:row>43</xdr:row>
      <xdr:rowOff>562988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691FB1E-EED2-1AB6-917B-1084E034187E}"/>
                </a:ext>
              </a:extLst>
            </xdr14:cNvPr>
            <xdr14:cNvContentPartPr/>
          </xdr14:nvContentPartPr>
          <xdr14:nvPr macro=""/>
          <xdr14:xfrm>
            <a:off x="10397815265" y="20398320"/>
            <a:ext cx="2269080" cy="7617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691FB1E-EED2-1AB6-917B-1084E034187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7809145" y="20392200"/>
              <a:ext cx="2281320" cy="77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190175</xdr:colOff>
      <xdr:row>43</xdr:row>
      <xdr:rowOff>211628</xdr:rowOff>
    </xdr:from>
    <xdr:to>
      <xdr:col>9</xdr:col>
      <xdr:colOff>455474</xdr:colOff>
      <xdr:row>43</xdr:row>
      <xdr:rowOff>607628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2F8C526-2645-4383-0365-5F6DAC9A3512}"/>
                </a:ext>
              </a:extLst>
            </xdr14:cNvPr>
            <xdr14:cNvContentPartPr/>
          </xdr14:nvContentPartPr>
          <xdr14:nvPr macro=""/>
          <xdr14:xfrm>
            <a:off x="10398131345" y="20808720"/>
            <a:ext cx="1581480" cy="3960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2F8C526-2645-4383-0365-5F6DAC9A351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125225" y="20802600"/>
              <a:ext cx="1593720" cy="408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5:29:06.9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4381 1734 6401,'0'0'0,"0"-2"576,0 2-816,0 0-144,0 0 384,-5 0-344,-9 3 136,2 9 128,-8-8 72,20-4 8,-24 13 8,-12-9 8,-5 10-16,-14-10 8,55-4-8,-60 15 0,-7-13 8,-13 3 8,-4-1 0,84-4-16,-94 4 8,-4 0 0,-6-1-8,-6-3-24,110 0 24,-116 0-24,-4 0-8,-10-3 0,0-2 24,130 5 8,-135-6-8,-2-8-8,3 8 32,-3-9 16,137 15-32,-135-15 40,3 0-8,6-4-32,6-4 16,120 23-16,-113-24 16,12-4 0,55 12 16,-9-6 32,55 22-64,-50-23 48,-6-9 48,8 0 0,0-9-8,48 41-88,-43-44 168,2-8-56,14-2 48,11-3 8,16 57-168,-3-58 184,8-3 56,24-1-48,5-1-8,-34 63-184,103-121 72,17 17-48,10 15-16,0 13-16,-130 76 8,132-65-8,13-2 24,11 6-24,17 4 0,-173 57 8,176-54 64,16 5-24,5 3 32,10 3 0,-207 43-72,212-39 56,2 3-8,-5 3-8,-2 5-32,-207 28-8,205-24 24,-8 4-16,-5 7-8,-4 9-32,-188 4 32,175-3 0,-4 3 16,-7 4-8,-8 13 40,-156-17-48,144 16-48,-11 2 16,-13 5 0,-14 3-8,-106-26 40,91 30-24,-14 1-8,-17 2-32,-16 1 32,-44-34 32,26 34-88,-21 1-40,-5 4 48,-27 0-8,27-39 88,-43 40-8,-17 3 8,-19 0-24,-22 1 24,101-44 0,-123 45-16,-12 3 16,-19 1-8,-12 1 0,166-50 8,-178 48-16,-17 3-8,-7 2 16,-12 2-40,214-55 48,-223 60-32,-8-1-8,-7 4 0,-8 2 0,246-65 40,-247 67-40,-1 1 8,0-1 0,3 3-8,245-70 40,-246 68-16,6-1-32,11-3-8,114-36 16,115-28 40,-140 37-120,6-3-8,-27 6-24,14-1-72,147-39 224,-87 21-152,-7 2-80,8-3-8,-8 2-48,94-22 288,-103 23-352,-1 3 64,6-5-1,1 2 1250,97-23-961,-89 18-144,3 2 72,9-4 64,2-1-208,75-15 216,-60 12-1497,2-8 1017,17 0-456,3-1-896,38-3 1832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5:29:07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4063 52 4656,'0'0'0,"65"-14"297,17 1-185,5-1-24,-87 14-88,57-4 24,-30-1-32,-15 4-32,-12 1 32,0 0 8,-14 0-24,-20 4-8,-12 12 56,-19-3-32,65-13 8,-79 15 16,-20 4-24,-14 1 24,-14 4 24,127-24-40,-140 27 8,-11 3 40,-10 2-32,-13 4-16,174-36 0,-182 38 16,-1 2-16,-12 1-8,-2 5 8,197-46 0,-198 44-32,-4 0-8,5 0 0,2-1-16,195-43 56,-195 44-48,8 0 40,4 1-56,96-23 24,87-22 40,-105 27-56,6 0 32,-16 3 8,11-2-48,104-28 64,-118 33-81,17-5-79,-12 2-120,19-4-200,94-26 480,-79 19-1528,19-3-440,60-16 1968</inkml:trace>
  <inkml:trace contextRef="#ctx0" brushRef="#br0" timeOffset="1">4051 491 5345,'0'0'0,"53"-12"544,5 0-416,-58 12-128,55-4 8,-31 3-64,-36 3-8,-16 14 24,28-16 40,-46 14 8,-19 2 40,-24 2-16,-15-1-16,104-17-16,-125 20 8,-14 2-16,-10-1-16,-17 2 8,166-23 16,-173 24-16,-13 1-8,-4 1-24,-4 1 16,194-27 32,-195 27-32,-3 0-16,-1 3-8,9 0 24,190-30 32,-188 32-40,5 3 0,15 0-8,7 1 0,161-36 48,-72 18-8,-17 5 0,7 0-128,-7 2-368,89-25 504,-84 26-3505,84-26 3505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4"/>
  <sheetViews>
    <sheetView rightToLeft="1" tabSelected="1" view="pageBreakPreview" topLeftCell="C1" zoomScale="130" zoomScaleNormal="100" zoomScaleSheetLayoutView="130" workbookViewId="0">
      <selection activeCell="G43" sqref="G43:J43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44" t="s">
        <v>180</v>
      </c>
      <c r="C1" s="44"/>
      <c r="D1" s="44"/>
      <c r="E1" s="44"/>
      <c r="F1" s="44"/>
      <c r="G1" s="44"/>
      <c r="H1" s="44"/>
      <c r="I1" s="44"/>
      <c r="J1" s="44"/>
    </row>
    <row r="2" spans="1:10" ht="30" customHeight="1" x14ac:dyDescent="0.2">
      <c r="B2" s="10" t="s">
        <v>8</v>
      </c>
      <c r="C2" s="50" t="s">
        <v>32</v>
      </c>
      <c r="D2" s="50"/>
      <c r="E2" s="10" t="s">
        <v>7</v>
      </c>
      <c r="F2" s="45">
        <v>45953</v>
      </c>
      <c r="G2" s="45"/>
      <c r="H2" s="45"/>
      <c r="I2" s="45"/>
      <c r="J2" s="45"/>
    </row>
    <row r="3" spans="1:10" ht="30" customHeight="1" x14ac:dyDescent="0.2">
      <c r="B3" s="10" t="s">
        <v>9</v>
      </c>
      <c r="C3" s="50" t="s">
        <v>67</v>
      </c>
      <c r="D3" s="50"/>
      <c r="E3" s="10" t="s">
        <v>6</v>
      </c>
      <c r="F3" s="50" t="s">
        <v>136</v>
      </c>
      <c r="G3" s="50"/>
      <c r="H3" s="50"/>
      <c r="I3" s="50"/>
      <c r="J3" s="50"/>
    </row>
    <row r="4" spans="1:10" ht="30" customHeight="1" thickBot="1" x14ac:dyDescent="0.25">
      <c r="B4" s="6"/>
      <c r="C4" s="37"/>
      <c r="D4" s="37"/>
      <c r="E4" s="6"/>
      <c r="F4" s="37"/>
      <c r="G4" s="37"/>
      <c r="H4" s="37"/>
      <c r="I4" s="37"/>
      <c r="J4" s="37"/>
    </row>
    <row r="5" spans="1:10" ht="24.95" customHeight="1" x14ac:dyDescent="0.2">
      <c r="A5" s="8"/>
      <c r="B5" s="46" t="s">
        <v>0</v>
      </c>
      <c r="C5" s="47"/>
      <c r="D5" s="47"/>
      <c r="E5" s="51" t="s">
        <v>1</v>
      </c>
      <c r="F5" s="51"/>
      <c r="G5" s="51"/>
      <c r="H5" s="51"/>
      <c r="I5" s="51" t="s">
        <v>2</v>
      </c>
      <c r="J5" s="52"/>
    </row>
    <row r="6" spans="1:10" ht="24.95" customHeight="1" thickBot="1" x14ac:dyDescent="0.25">
      <c r="A6" s="8"/>
      <c r="B6" s="48"/>
      <c r="C6" s="49"/>
      <c r="D6" s="49"/>
      <c r="E6" s="9" t="s">
        <v>3</v>
      </c>
      <c r="F6" s="9" t="s">
        <v>4</v>
      </c>
      <c r="G6" s="9" t="s">
        <v>23</v>
      </c>
      <c r="H6" s="9" t="s">
        <v>24</v>
      </c>
      <c r="I6" s="53"/>
      <c r="J6" s="54"/>
    </row>
    <row r="7" spans="1:10" ht="24.95" customHeight="1" thickBot="1" x14ac:dyDescent="0.25">
      <c r="A7" s="8"/>
      <c r="B7" s="38" t="s">
        <v>21</v>
      </c>
      <c r="C7" s="39"/>
      <c r="D7" s="39"/>
      <c r="E7" s="26" t="s">
        <v>18</v>
      </c>
      <c r="F7" s="26" t="s">
        <v>19</v>
      </c>
      <c r="G7" s="26" t="s">
        <v>22</v>
      </c>
      <c r="H7" s="26" t="s">
        <v>20</v>
      </c>
      <c r="I7" s="42" t="s">
        <v>25</v>
      </c>
      <c r="J7" s="43"/>
    </row>
    <row r="8" spans="1:10" ht="39.950000000000003" customHeight="1" x14ac:dyDescent="0.2">
      <c r="A8" s="8"/>
      <c r="B8" s="74" t="s">
        <v>181</v>
      </c>
      <c r="C8" s="75"/>
      <c r="D8" s="75"/>
      <c r="E8" s="75"/>
      <c r="F8" s="75"/>
      <c r="G8" s="75"/>
      <c r="H8" s="75"/>
      <c r="I8" s="75"/>
      <c r="J8" s="76"/>
    </row>
    <row r="9" spans="1:10" ht="39.950000000000003" customHeight="1" x14ac:dyDescent="0.2">
      <c r="A9" s="8"/>
      <c r="B9" s="72" t="s">
        <v>182</v>
      </c>
      <c r="C9" s="73"/>
      <c r="D9" s="73"/>
      <c r="E9" s="7">
        <v>5</v>
      </c>
      <c r="F9" s="24">
        <v>4</v>
      </c>
      <c r="G9" s="28">
        <f>IFERROR(F9/E9,"")</f>
        <v>0.8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35"/>
      <c r="J9" s="36"/>
    </row>
    <row r="10" spans="1:10" ht="39.950000000000003" customHeight="1" x14ac:dyDescent="0.2">
      <c r="A10" s="8"/>
      <c r="B10" s="72" t="s">
        <v>183</v>
      </c>
      <c r="C10" s="73"/>
      <c r="D10" s="73"/>
      <c r="E10" s="7">
        <v>5</v>
      </c>
      <c r="F10" s="24">
        <v>3.75</v>
      </c>
      <c r="G10" s="28">
        <f t="shared" ref="G10:G39" si="0">IFERROR(F10/E10,"")</f>
        <v>0.75</v>
      </c>
      <c r="H10" s="29" t="str">
        <f t="shared" ref="H10:H39" si="1">_xlfn.IFS(F10="أدخل العلامة","",F10="لا ينطبق","تم الإلغاء",G10&gt;=90%,"ممتاز",G10&gt;=80%,"جيد جداً",G10&gt;=70%,"جيد",G10&gt;=60%,"مقبول",G10&lt;60%,"راسب")</f>
        <v>جيد</v>
      </c>
      <c r="I10" s="35"/>
      <c r="J10" s="36"/>
    </row>
    <row r="11" spans="1:10" ht="39.950000000000003" customHeight="1" x14ac:dyDescent="0.2">
      <c r="A11" s="8"/>
      <c r="B11" s="72" t="s">
        <v>184</v>
      </c>
      <c r="C11" s="73"/>
      <c r="D11" s="73"/>
      <c r="E11" s="7">
        <v>5</v>
      </c>
      <c r="F11" s="24">
        <v>3.75</v>
      </c>
      <c r="G11" s="28">
        <f t="shared" si="0"/>
        <v>0.75</v>
      </c>
      <c r="H11" s="29" t="str">
        <f t="shared" si="1"/>
        <v>جيد</v>
      </c>
      <c r="I11" s="35"/>
      <c r="J11" s="36"/>
    </row>
    <row r="12" spans="1:10" ht="39.950000000000003" customHeight="1" x14ac:dyDescent="0.2">
      <c r="A12" s="8"/>
      <c r="B12" s="72" t="s">
        <v>185</v>
      </c>
      <c r="C12" s="73"/>
      <c r="D12" s="73"/>
      <c r="E12" s="7">
        <v>5</v>
      </c>
      <c r="F12" s="24">
        <v>3.5</v>
      </c>
      <c r="G12" s="28">
        <f t="shared" si="0"/>
        <v>0.7</v>
      </c>
      <c r="H12" s="29" t="str">
        <f t="shared" si="1"/>
        <v>جيد</v>
      </c>
      <c r="I12" s="35"/>
      <c r="J12" s="36"/>
    </row>
    <row r="13" spans="1:10" ht="39.950000000000003" customHeight="1" x14ac:dyDescent="0.2">
      <c r="A13" s="8"/>
      <c r="B13" s="72" t="s">
        <v>186</v>
      </c>
      <c r="C13" s="73"/>
      <c r="D13" s="73"/>
      <c r="E13" s="7">
        <v>5</v>
      </c>
      <c r="F13" s="24">
        <v>3.75</v>
      </c>
      <c r="G13" s="28">
        <f t="shared" si="0"/>
        <v>0.75</v>
      </c>
      <c r="H13" s="29" t="str">
        <f t="shared" si="1"/>
        <v>جيد</v>
      </c>
      <c r="I13" s="35"/>
      <c r="J13" s="36"/>
    </row>
    <row r="14" spans="1:10" ht="39.950000000000003" customHeight="1" x14ac:dyDescent="0.2">
      <c r="A14" s="8"/>
      <c r="B14" s="72" t="s">
        <v>187</v>
      </c>
      <c r="C14" s="73"/>
      <c r="D14" s="73"/>
      <c r="E14" s="7">
        <v>5</v>
      </c>
      <c r="F14" s="24">
        <v>4</v>
      </c>
      <c r="G14" s="28">
        <f t="shared" si="0"/>
        <v>0.8</v>
      </c>
      <c r="H14" s="29" t="str">
        <f t="shared" si="1"/>
        <v>جيد جداً</v>
      </c>
      <c r="I14" s="35"/>
      <c r="J14" s="36"/>
    </row>
    <row r="15" spans="1:10" ht="39.950000000000003" customHeight="1" x14ac:dyDescent="0.2">
      <c r="A15" s="8"/>
      <c r="B15" s="72" t="s">
        <v>188</v>
      </c>
      <c r="C15" s="73"/>
      <c r="D15" s="73"/>
      <c r="E15" s="7">
        <v>5</v>
      </c>
      <c r="F15" s="24">
        <v>3.75</v>
      </c>
      <c r="G15" s="28">
        <f t="shared" si="0"/>
        <v>0.75</v>
      </c>
      <c r="H15" s="29" t="str">
        <f t="shared" si="1"/>
        <v>جيد</v>
      </c>
      <c r="I15" s="35"/>
      <c r="J15" s="36"/>
    </row>
    <row r="16" spans="1:10" ht="39.950000000000003" customHeight="1" thickBot="1" x14ac:dyDescent="0.25">
      <c r="A16" s="8"/>
      <c r="B16" s="55" t="s">
        <v>189</v>
      </c>
      <c r="C16" s="56"/>
      <c r="D16" s="56"/>
      <c r="E16" s="30">
        <v>5</v>
      </c>
      <c r="F16" s="25">
        <v>3.75</v>
      </c>
      <c r="G16" s="31">
        <f t="shared" si="0"/>
        <v>0.75</v>
      </c>
      <c r="H16" s="32" t="str">
        <f t="shared" si="1"/>
        <v>جيد</v>
      </c>
      <c r="I16" s="40"/>
      <c r="J16" s="41"/>
    </row>
    <row r="17" spans="1:10" ht="39.950000000000003" customHeight="1" x14ac:dyDescent="0.2">
      <c r="A17" s="8"/>
      <c r="B17" s="74" t="s">
        <v>190</v>
      </c>
      <c r="C17" s="75"/>
      <c r="D17" s="75"/>
      <c r="E17" s="75"/>
      <c r="F17" s="75"/>
      <c r="G17" s="75"/>
      <c r="H17" s="75"/>
      <c r="I17" s="75"/>
      <c r="J17" s="76"/>
    </row>
    <row r="18" spans="1:10" ht="39.950000000000003" customHeight="1" x14ac:dyDescent="0.2">
      <c r="A18" s="8"/>
      <c r="B18" s="72" t="s">
        <v>191</v>
      </c>
      <c r="C18" s="73"/>
      <c r="D18" s="73"/>
      <c r="E18" s="7">
        <v>5</v>
      </c>
      <c r="F18" s="24">
        <v>4</v>
      </c>
      <c r="G18" s="28">
        <f t="shared" si="0"/>
        <v>0.8</v>
      </c>
      <c r="H18" s="29" t="str">
        <f t="shared" si="1"/>
        <v>جيد جداً</v>
      </c>
      <c r="I18" s="35"/>
      <c r="J18" s="36"/>
    </row>
    <row r="19" spans="1:10" ht="39.950000000000003" customHeight="1" x14ac:dyDescent="0.2">
      <c r="A19" s="8"/>
      <c r="B19" s="72" t="s">
        <v>192</v>
      </c>
      <c r="C19" s="73"/>
      <c r="D19" s="73"/>
      <c r="E19" s="7">
        <v>5</v>
      </c>
      <c r="F19" s="24">
        <v>3.75</v>
      </c>
      <c r="G19" s="28">
        <f t="shared" si="0"/>
        <v>0.75</v>
      </c>
      <c r="H19" s="29" t="str">
        <f t="shared" si="1"/>
        <v>جيد</v>
      </c>
      <c r="I19" s="35"/>
      <c r="J19" s="36"/>
    </row>
    <row r="20" spans="1:10" ht="39.950000000000003" customHeight="1" x14ac:dyDescent="0.2">
      <c r="A20" s="8"/>
      <c r="B20" s="72" t="s">
        <v>193</v>
      </c>
      <c r="C20" s="73"/>
      <c r="D20" s="73"/>
      <c r="E20" s="7">
        <v>5</v>
      </c>
      <c r="F20" s="24">
        <v>3.75</v>
      </c>
      <c r="G20" s="28">
        <f t="shared" si="0"/>
        <v>0.75</v>
      </c>
      <c r="H20" s="29" t="str">
        <f t="shared" si="1"/>
        <v>جيد</v>
      </c>
      <c r="I20" s="35"/>
      <c r="J20" s="36"/>
    </row>
    <row r="21" spans="1:10" ht="39.950000000000003" customHeight="1" x14ac:dyDescent="0.2">
      <c r="A21" s="8"/>
      <c r="B21" s="72" t="s">
        <v>194</v>
      </c>
      <c r="C21" s="73"/>
      <c r="D21" s="73"/>
      <c r="E21" s="7">
        <v>5</v>
      </c>
      <c r="F21" s="24">
        <v>3.75</v>
      </c>
      <c r="G21" s="28">
        <f t="shared" si="0"/>
        <v>0.75</v>
      </c>
      <c r="H21" s="29" t="str">
        <f t="shared" si="1"/>
        <v>جيد</v>
      </c>
      <c r="I21" s="35"/>
      <c r="J21" s="36"/>
    </row>
    <row r="22" spans="1:10" ht="39.950000000000003" customHeight="1" x14ac:dyDescent="0.2">
      <c r="A22" s="8"/>
      <c r="B22" s="72" t="s">
        <v>195</v>
      </c>
      <c r="C22" s="73"/>
      <c r="D22" s="73"/>
      <c r="E22" s="7">
        <v>5</v>
      </c>
      <c r="F22" s="24">
        <v>3.75</v>
      </c>
      <c r="G22" s="28">
        <f t="shared" si="0"/>
        <v>0.75</v>
      </c>
      <c r="H22" s="29" t="str">
        <f t="shared" si="1"/>
        <v>جيد</v>
      </c>
      <c r="I22" s="35"/>
      <c r="J22" s="36"/>
    </row>
    <row r="23" spans="1:10" ht="39.950000000000003" customHeight="1" x14ac:dyDescent="0.2">
      <c r="A23" s="8"/>
      <c r="B23" s="72" t="s">
        <v>196</v>
      </c>
      <c r="C23" s="73"/>
      <c r="D23" s="73"/>
      <c r="E23" s="7">
        <v>5</v>
      </c>
      <c r="F23" s="24">
        <v>3.75</v>
      </c>
      <c r="G23" s="28">
        <f t="shared" si="0"/>
        <v>0.75</v>
      </c>
      <c r="H23" s="29" t="str">
        <f t="shared" si="1"/>
        <v>جيد</v>
      </c>
      <c r="I23" s="35"/>
      <c r="J23" s="36"/>
    </row>
    <row r="24" spans="1:10" ht="39.950000000000003" customHeight="1" x14ac:dyDescent="0.2">
      <c r="A24" s="8"/>
      <c r="B24" s="72" t="s">
        <v>197</v>
      </c>
      <c r="C24" s="73"/>
      <c r="D24" s="73"/>
      <c r="E24" s="7">
        <v>5</v>
      </c>
      <c r="F24" s="24">
        <v>4</v>
      </c>
      <c r="G24" s="28">
        <f t="shared" si="0"/>
        <v>0.8</v>
      </c>
      <c r="H24" s="29" t="str">
        <f t="shared" si="1"/>
        <v>جيد جداً</v>
      </c>
      <c r="I24" s="35"/>
      <c r="J24" s="36"/>
    </row>
    <row r="25" spans="1:10" ht="39.950000000000003" customHeight="1" x14ac:dyDescent="0.2">
      <c r="A25" s="8"/>
      <c r="B25" s="72" t="s">
        <v>198</v>
      </c>
      <c r="C25" s="73"/>
      <c r="D25" s="73"/>
      <c r="E25" s="7">
        <v>5</v>
      </c>
      <c r="F25" s="24">
        <v>3.75</v>
      </c>
      <c r="G25" s="28">
        <f t="shared" si="0"/>
        <v>0.75</v>
      </c>
      <c r="H25" s="29" t="str">
        <f t="shared" si="1"/>
        <v>جيد</v>
      </c>
      <c r="I25" s="35"/>
      <c r="J25" s="36"/>
    </row>
    <row r="26" spans="1:10" ht="39.950000000000003" customHeight="1" x14ac:dyDescent="0.2">
      <c r="A26" s="8"/>
      <c r="B26" s="72" t="s">
        <v>199</v>
      </c>
      <c r="C26" s="73"/>
      <c r="D26" s="73"/>
      <c r="E26" s="7">
        <v>5</v>
      </c>
      <c r="F26" s="24">
        <v>3.75</v>
      </c>
      <c r="G26" s="28">
        <f t="shared" si="0"/>
        <v>0.75</v>
      </c>
      <c r="H26" s="29" t="str">
        <f t="shared" si="1"/>
        <v>جيد</v>
      </c>
      <c r="I26" s="35"/>
      <c r="J26" s="36"/>
    </row>
    <row r="27" spans="1:10" ht="39.950000000000003" customHeight="1" x14ac:dyDescent="0.2">
      <c r="A27" s="8"/>
      <c r="B27" s="72" t="s">
        <v>200</v>
      </c>
      <c r="C27" s="73"/>
      <c r="D27" s="73"/>
      <c r="E27" s="7">
        <v>5</v>
      </c>
      <c r="F27" s="24">
        <v>3.75</v>
      </c>
      <c r="G27" s="28">
        <f t="shared" si="0"/>
        <v>0.75</v>
      </c>
      <c r="H27" s="29" t="str">
        <f t="shared" si="1"/>
        <v>جيد</v>
      </c>
      <c r="I27" s="35"/>
      <c r="J27" s="36"/>
    </row>
    <row r="28" spans="1:10" ht="39.950000000000003" customHeight="1" thickBot="1" x14ac:dyDescent="0.25">
      <c r="A28" s="8"/>
      <c r="B28" s="55" t="s">
        <v>201</v>
      </c>
      <c r="C28" s="56"/>
      <c r="D28" s="56"/>
      <c r="E28" s="30">
        <v>5</v>
      </c>
      <c r="F28" s="25">
        <v>4</v>
      </c>
      <c r="G28" s="31">
        <f t="shared" si="0"/>
        <v>0.8</v>
      </c>
      <c r="H28" s="32" t="str">
        <f t="shared" si="1"/>
        <v>جيد جداً</v>
      </c>
      <c r="I28" s="40"/>
      <c r="J28" s="41"/>
    </row>
    <row r="29" spans="1:10" ht="39.950000000000003" customHeight="1" x14ac:dyDescent="0.2">
      <c r="A29" s="8"/>
      <c r="B29" s="74" t="s">
        <v>202</v>
      </c>
      <c r="C29" s="75"/>
      <c r="D29" s="75"/>
      <c r="E29" s="75"/>
      <c r="F29" s="75"/>
      <c r="G29" s="75"/>
      <c r="H29" s="75"/>
      <c r="I29" s="75"/>
      <c r="J29" s="76"/>
    </row>
    <row r="30" spans="1:10" ht="39.950000000000003" customHeight="1" x14ac:dyDescent="0.2">
      <c r="A30" s="8"/>
      <c r="B30" s="72" t="s">
        <v>203</v>
      </c>
      <c r="C30" s="73"/>
      <c r="D30" s="73"/>
      <c r="E30" s="7">
        <v>5</v>
      </c>
      <c r="F30" s="24">
        <v>3.75</v>
      </c>
      <c r="G30" s="28">
        <f t="shared" si="0"/>
        <v>0.75</v>
      </c>
      <c r="H30" s="29" t="str">
        <f t="shared" si="1"/>
        <v>جيد</v>
      </c>
      <c r="I30" s="35"/>
      <c r="J30" s="36"/>
    </row>
    <row r="31" spans="1:10" ht="39.950000000000003" customHeight="1" x14ac:dyDescent="0.2">
      <c r="A31" s="8"/>
      <c r="B31" s="72" t="s">
        <v>204</v>
      </c>
      <c r="C31" s="73"/>
      <c r="D31" s="73"/>
      <c r="E31" s="7">
        <v>5</v>
      </c>
      <c r="F31" s="24">
        <v>3.75</v>
      </c>
      <c r="G31" s="28">
        <f t="shared" si="0"/>
        <v>0.75</v>
      </c>
      <c r="H31" s="29" t="str">
        <f t="shared" si="1"/>
        <v>جيد</v>
      </c>
      <c r="I31" s="35"/>
      <c r="J31" s="36"/>
    </row>
    <row r="32" spans="1:10" ht="39.950000000000003" customHeight="1" x14ac:dyDescent="0.2">
      <c r="A32" s="8"/>
      <c r="B32" s="72" t="s">
        <v>205</v>
      </c>
      <c r="C32" s="73"/>
      <c r="D32" s="73"/>
      <c r="E32" s="7">
        <v>5</v>
      </c>
      <c r="F32" s="24">
        <v>3.75</v>
      </c>
      <c r="G32" s="28">
        <f t="shared" si="0"/>
        <v>0.75</v>
      </c>
      <c r="H32" s="29" t="str">
        <f t="shared" si="1"/>
        <v>جيد</v>
      </c>
      <c r="I32" s="35"/>
      <c r="J32" s="36"/>
    </row>
    <row r="33" spans="1:10" ht="39.950000000000003" customHeight="1" x14ac:dyDescent="0.2">
      <c r="A33" s="8"/>
      <c r="B33" s="72" t="s">
        <v>206</v>
      </c>
      <c r="C33" s="73"/>
      <c r="D33" s="73"/>
      <c r="E33" s="7">
        <v>5</v>
      </c>
      <c r="F33" s="24">
        <v>3.75</v>
      </c>
      <c r="G33" s="28">
        <f t="shared" si="0"/>
        <v>0.75</v>
      </c>
      <c r="H33" s="29" t="str">
        <f t="shared" si="1"/>
        <v>جيد</v>
      </c>
      <c r="I33" s="35"/>
      <c r="J33" s="36"/>
    </row>
    <row r="34" spans="1:10" ht="39.950000000000003" customHeight="1" x14ac:dyDescent="0.2">
      <c r="A34" s="8"/>
      <c r="B34" s="72" t="s">
        <v>207</v>
      </c>
      <c r="C34" s="73"/>
      <c r="D34" s="73"/>
      <c r="E34" s="7">
        <v>5</v>
      </c>
      <c r="F34" s="24">
        <v>4</v>
      </c>
      <c r="G34" s="28">
        <f t="shared" si="0"/>
        <v>0.8</v>
      </c>
      <c r="H34" s="29" t="str">
        <f t="shared" si="1"/>
        <v>جيد جداً</v>
      </c>
      <c r="I34" s="35"/>
      <c r="J34" s="36"/>
    </row>
    <row r="35" spans="1:10" ht="39.950000000000003" customHeight="1" x14ac:dyDescent="0.2">
      <c r="A35" s="8"/>
      <c r="B35" s="72" t="s">
        <v>208</v>
      </c>
      <c r="C35" s="73"/>
      <c r="D35" s="73"/>
      <c r="E35" s="7">
        <v>5</v>
      </c>
      <c r="F35" s="24">
        <v>3.75</v>
      </c>
      <c r="G35" s="28">
        <f t="shared" si="0"/>
        <v>0.75</v>
      </c>
      <c r="H35" s="29" t="str">
        <f t="shared" si="1"/>
        <v>جيد</v>
      </c>
      <c r="I35" s="35"/>
      <c r="J35" s="36"/>
    </row>
    <row r="36" spans="1:10" ht="39.950000000000003" customHeight="1" x14ac:dyDescent="0.2">
      <c r="A36" s="8"/>
      <c r="B36" s="72" t="s">
        <v>209</v>
      </c>
      <c r="C36" s="73"/>
      <c r="D36" s="73"/>
      <c r="E36" s="7">
        <v>5</v>
      </c>
      <c r="F36" s="24">
        <v>3.75</v>
      </c>
      <c r="G36" s="28">
        <f t="shared" si="0"/>
        <v>0.75</v>
      </c>
      <c r="H36" s="29" t="str">
        <f t="shared" si="1"/>
        <v>جيد</v>
      </c>
      <c r="I36" s="35"/>
      <c r="J36" s="36"/>
    </row>
    <row r="37" spans="1:10" ht="39.950000000000003" customHeight="1" x14ac:dyDescent="0.2">
      <c r="A37" s="8"/>
      <c r="B37" s="72" t="s">
        <v>210</v>
      </c>
      <c r="C37" s="73"/>
      <c r="D37" s="73"/>
      <c r="E37" s="7">
        <v>5</v>
      </c>
      <c r="F37" s="24">
        <v>3.75</v>
      </c>
      <c r="G37" s="28">
        <f t="shared" si="0"/>
        <v>0.75</v>
      </c>
      <c r="H37" s="29" t="str">
        <f t="shared" si="1"/>
        <v>جيد</v>
      </c>
      <c r="I37" s="35"/>
      <c r="J37" s="36"/>
    </row>
    <row r="38" spans="1:10" ht="39.950000000000003" customHeight="1" x14ac:dyDescent="0.2">
      <c r="A38" s="8"/>
      <c r="B38" s="72" t="s">
        <v>211</v>
      </c>
      <c r="C38" s="73"/>
      <c r="D38" s="73"/>
      <c r="E38" s="7">
        <v>5</v>
      </c>
      <c r="F38" s="24">
        <v>3.75</v>
      </c>
      <c r="G38" s="28">
        <f t="shared" si="0"/>
        <v>0.75</v>
      </c>
      <c r="H38" s="29" t="str">
        <f t="shared" si="1"/>
        <v>جيد</v>
      </c>
      <c r="I38" s="35"/>
      <c r="J38" s="36"/>
    </row>
    <row r="39" spans="1:10" ht="39.950000000000003" customHeight="1" thickBot="1" x14ac:dyDescent="0.25">
      <c r="A39" s="8"/>
      <c r="B39" s="55" t="s">
        <v>212</v>
      </c>
      <c r="C39" s="56"/>
      <c r="D39" s="56"/>
      <c r="E39" s="30">
        <v>5</v>
      </c>
      <c r="F39" s="25">
        <v>4</v>
      </c>
      <c r="G39" s="31">
        <f t="shared" si="0"/>
        <v>0.8</v>
      </c>
      <c r="H39" s="32" t="str">
        <f t="shared" si="1"/>
        <v>جيد جداً</v>
      </c>
      <c r="I39" s="40"/>
      <c r="J39" s="41"/>
    </row>
    <row r="40" spans="1:10" ht="30" customHeight="1" thickBot="1" x14ac:dyDescent="0.25">
      <c r="A40" s="4"/>
      <c r="B40" s="33" t="s">
        <v>5</v>
      </c>
      <c r="C40" s="34"/>
      <c r="D40" s="34"/>
      <c r="E40" s="27">
        <f>SUM(E8:E39)</f>
        <v>145</v>
      </c>
      <c r="F40" s="27">
        <f>SUM(F8:F39)</f>
        <v>110.25</v>
      </c>
      <c r="G40" s="59"/>
      <c r="H40" s="60"/>
      <c r="I40" s="60"/>
      <c r="J40" s="61"/>
    </row>
    <row r="41" spans="1:10" ht="30" customHeight="1" thickBot="1" x14ac:dyDescent="0.25">
      <c r="A41" s="4"/>
      <c r="B41" s="70" t="s">
        <v>54</v>
      </c>
      <c r="C41" s="71"/>
      <c r="D41" s="71"/>
      <c r="E41" s="62">
        <f>F40/E40/100*100</f>
        <v>0.76034482758620692</v>
      </c>
      <c r="F41" s="62"/>
      <c r="G41" s="62"/>
      <c r="H41" s="62"/>
      <c r="I41" s="62"/>
      <c r="J41" s="63"/>
    </row>
    <row r="42" spans="1:10" ht="30" customHeight="1" thickBot="1" x14ac:dyDescent="0.25">
      <c r="A42" s="4"/>
      <c r="B42" s="70" t="s">
        <v>55</v>
      </c>
      <c r="C42" s="71"/>
      <c r="D42" s="71"/>
      <c r="E42" s="68" t="str">
        <f>_xlfn.IFS(E41&gt;=90%,"ممتاز",E41&gt;=80%,"جيد جداً",E41&gt;=70%,"جيد",E41&gt;=60%,"مقبول",E41&lt;60%,"راسب")</f>
        <v>جيد</v>
      </c>
      <c r="F42" s="68"/>
      <c r="G42" s="68"/>
      <c r="H42" s="68"/>
      <c r="I42" s="68"/>
      <c r="J42" s="69"/>
    </row>
    <row r="43" spans="1:10" ht="42" customHeight="1" x14ac:dyDescent="0.2">
      <c r="B43" s="64" t="s">
        <v>174</v>
      </c>
      <c r="C43" s="64"/>
      <c r="D43" s="64"/>
      <c r="E43" s="57" t="s">
        <v>52</v>
      </c>
      <c r="F43" s="57"/>
      <c r="G43" s="66" t="s">
        <v>136</v>
      </c>
      <c r="H43" s="66"/>
      <c r="I43" s="66"/>
      <c r="J43" s="66"/>
    </row>
    <row r="44" spans="1:10" ht="51" customHeight="1" x14ac:dyDescent="0.2">
      <c r="A44" s="5"/>
      <c r="B44" s="65"/>
      <c r="C44" s="65"/>
      <c r="D44" s="65"/>
      <c r="E44" s="58" t="s">
        <v>53</v>
      </c>
      <c r="F44" s="58"/>
      <c r="G44" s="67"/>
      <c r="H44" s="67"/>
      <c r="I44" s="67"/>
      <c r="J44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4">
    <mergeCell ref="B35:D35"/>
    <mergeCell ref="B36:D36"/>
    <mergeCell ref="B37:D37"/>
    <mergeCell ref="B38:D38"/>
    <mergeCell ref="B39:D39"/>
    <mergeCell ref="B8:J8"/>
    <mergeCell ref="B26:D26"/>
    <mergeCell ref="B27:D27"/>
    <mergeCell ref="B28:D28"/>
    <mergeCell ref="B18:D18"/>
    <mergeCell ref="B19:D19"/>
    <mergeCell ref="B20:D20"/>
    <mergeCell ref="B21:D21"/>
    <mergeCell ref="B22:D22"/>
    <mergeCell ref="B23:D23"/>
    <mergeCell ref="B24:D24"/>
    <mergeCell ref="B25:D25"/>
    <mergeCell ref="B9:D9"/>
    <mergeCell ref="B10:D10"/>
    <mergeCell ref="B32:D32"/>
    <mergeCell ref="B33:D33"/>
    <mergeCell ref="B34:D34"/>
    <mergeCell ref="B17:J17"/>
    <mergeCell ref="B29:J29"/>
    <mergeCell ref="B11:D11"/>
    <mergeCell ref="B12:D12"/>
    <mergeCell ref="B13:D13"/>
    <mergeCell ref="B14:D14"/>
    <mergeCell ref="B15:D15"/>
    <mergeCell ref="B43:D44"/>
    <mergeCell ref="G43:J43"/>
    <mergeCell ref="G44:J44"/>
    <mergeCell ref="E42:J42"/>
    <mergeCell ref="B41:D41"/>
    <mergeCell ref="B42:D42"/>
    <mergeCell ref="I9:J9"/>
    <mergeCell ref="E43:F43"/>
    <mergeCell ref="E44:F44"/>
    <mergeCell ref="G40:J40"/>
    <mergeCell ref="E41:J41"/>
    <mergeCell ref="I19:J19"/>
    <mergeCell ref="I20:J20"/>
    <mergeCell ref="I21:J21"/>
    <mergeCell ref="I22:J22"/>
    <mergeCell ref="B1:J1"/>
    <mergeCell ref="F2:J2"/>
    <mergeCell ref="B5:D6"/>
    <mergeCell ref="C2:D2"/>
    <mergeCell ref="C3:D3"/>
    <mergeCell ref="F3:J3"/>
    <mergeCell ref="E5:H5"/>
    <mergeCell ref="I5:J6"/>
    <mergeCell ref="I23:J23"/>
    <mergeCell ref="I24:J24"/>
    <mergeCell ref="I25:J25"/>
    <mergeCell ref="F4:J4"/>
    <mergeCell ref="C4:D4"/>
    <mergeCell ref="B7:D7"/>
    <mergeCell ref="I7:J7"/>
    <mergeCell ref="I10:J10"/>
    <mergeCell ref="I11:J11"/>
    <mergeCell ref="I12:J12"/>
    <mergeCell ref="I13:J13"/>
    <mergeCell ref="I14:J14"/>
    <mergeCell ref="I15:J15"/>
    <mergeCell ref="I16:J16"/>
    <mergeCell ref="I18:J18"/>
    <mergeCell ref="B16:D16"/>
    <mergeCell ref="B40:D40"/>
    <mergeCell ref="I26:J26"/>
    <mergeCell ref="I27:J27"/>
    <mergeCell ref="I32:J32"/>
    <mergeCell ref="I33:J33"/>
    <mergeCell ref="I34:J34"/>
    <mergeCell ref="I35:J35"/>
    <mergeCell ref="I36:J36"/>
    <mergeCell ref="I38:J38"/>
    <mergeCell ref="I39:J39"/>
    <mergeCell ref="I30:J30"/>
    <mergeCell ref="I31:J31"/>
    <mergeCell ref="I37:J37"/>
    <mergeCell ref="I28:J28"/>
    <mergeCell ref="B30:D30"/>
    <mergeCell ref="B31:D31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2">
    <cfRule type="expression" dxfId="21" priority="57">
      <formula>$E42="راسب"</formula>
    </cfRule>
  </conditionalFormatting>
  <conditionalFormatting sqref="E42:J42">
    <cfRule type="expression" dxfId="20" priority="60">
      <formula>$E42="جيد جداً"</formula>
    </cfRule>
    <cfRule type="expression" dxfId="19" priority="59">
      <formula>$E42="جيد"</formula>
    </cfRule>
    <cfRule type="expression" dxfId="18" priority="58">
      <formula>$E42="مقبول"</formula>
    </cfRule>
    <cfRule type="expression" dxfId="17" priority="61">
      <formula>$E42="ممتاز"</formula>
    </cfRule>
  </conditionalFormatting>
  <conditionalFormatting sqref="F9:F16">
    <cfRule type="containsText" dxfId="16" priority="4" operator="containsText" text="أدخل العلامة">
      <formula>NOT(ISERROR(SEARCH("أدخل العلامة",F9)))</formula>
    </cfRule>
  </conditionalFormatting>
  <conditionalFormatting sqref="F18:F28 F30:F39">
    <cfRule type="containsText" dxfId="15" priority="14" operator="containsText" text="أدخل العلامة">
      <formula>NOT(ISERROR(SEARCH("أدخل العلامة",F18)))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43:J43">
    <cfRule type="containsText" dxfId="12" priority="15" operator="containsText" text="أدخل اسم المحكم">
      <formula>NOT(ISERROR(SEARCH("أدخل اسم المحكم",G43)))</formula>
    </cfRule>
  </conditionalFormatting>
  <conditionalFormatting sqref="H9:H16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8:H28 H30:H39">
    <cfRule type="containsText" dxfId="5" priority="38" operator="containsText" text="أدخل العلامة">
      <formula>NOT(ISERROR(SEARCH("أدخل العلامة",H18)))</formula>
    </cfRule>
    <cfRule type="containsText" dxfId="4" priority="39" operator="containsText" text="ممتاز">
      <formula>NOT(ISERROR(SEARCH("ممتاز",H18)))</formula>
    </cfRule>
    <cfRule type="containsText" dxfId="3" priority="40" operator="containsText" text="جيد جداً">
      <formula>NOT(ISERROR(SEARCH("جيد جداً",H18)))</formula>
    </cfRule>
    <cfRule type="containsText" dxfId="2" priority="41" operator="containsText" text="جيد">
      <formula>NOT(ISERROR(SEARCH("جيد",H18)))</formula>
    </cfRule>
    <cfRule type="containsText" dxfId="1" priority="42" operator="containsText" text="مقبول">
      <formula>NOT(ISERROR(SEARCH("مقبول",H18)))</formula>
    </cfRule>
    <cfRule type="containsText" dxfId="0" priority="43" operator="containsText" text="راسب">
      <formula>NOT(ISERROR(SEARCH("راسب",H18)))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F9:F16 F18:F28 F30:F39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G43:J43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7" t="s">
        <v>62</v>
      </c>
    </row>
    <row r="3" spans="1:3" ht="20.100000000000001" customHeight="1" thickBot="1" x14ac:dyDescent="0.3">
      <c r="A3" s="2" t="s">
        <v>26</v>
      </c>
      <c r="C3" s="17" t="s">
        <v>63</v>
      </c>
    </row>
    <row r="4" spans="1:3" ht="20.100000000000001" customHeight="1" thickBot="1" x14ac:dyDescent="0.3">
      <c r="A4" s="2" t="s">
        <v>36</v>
      </c>
      <c r="C4" s="17" t="s">
        <v>64</v>
      </c>
    </row>
    <row r="5" spans="1:3" ht="20.100000000000001" customHeight="1" thickBot="1" x14ac:dyDescent="0.3">
      <c r="A5" s="2" t="s">
        <v>37</v>
      </c>
      <c r="C5" s="17" t="s">
        <v>65</v>
      </c>
    </row>
    <row r="6" spans="1:3" ht="20.100000000000001" customHeight="1" thickBot="1" x14ac:dyDescent="0.3">
      <c r="A6" s="2" t="s">
        <v>38</v>
      </c>
      <c r="C6" s="17" t="s">
        <v>66</v>
      </c>
    </row>
    <row r="7" spans="1:3" ht="20.100000000000001" customHeight="1" thickBot="1" x14ac:dyDescent="0.3">
      <c r="A7" s="2" t="s">
        <v>39</v>
      </c>
      <c r="C7" s="17" t="s">
        <v>67</v>
      </c>
    </row>
    <row r="8" spans="1:3" ht="20.100000000000001" customHeight="1" thickBot="1" x14ac:dyDescent="0.3">
      <c r="A8" s="2" t="s">
        <v>40</v>
      </c>
      <c r="C8" s="17" t="s">
        <v>68</v>
      </c>
    </row>
    <row r="9" spans="1:3" ht="20.100000000000001" customHeight="1" thickBot="1" x14ac:dyDescent="0.3">
      <c r="A9" s="2" t="s">
        <v>41</v>
      </c>
      <c r="C9" s="17" t="s">
        <v>69</v>
      </c>
    </row>
    <row r="10" spans="1:3" ht="20.100000000000001" customHeight="1" thickBot="1" x14ac:dyDescent="0.3">
      <c r="A10" s="2" t="s">
        <v>42</v>
      </c>
      <c r="C10" s="17" t="s">
        <v>70</v>
      </c>
    </row>
    <row r="11" spans="1:3" ht="20.100000000000001" customHeight="1" thickBot="1" x14ac:dyDescent="0.3">
      <c r="A11" s="2" t="s">
        <v>43</v>
      </c>
      <c r="C11" s="17" t="s">
        <v>71</v>
      </c>
    </row>
    <row r="12" spans="1:3" ht="20.100000000000001" customHeight="1" thickBot="1" x14ac:dyDescent="0.3">
      <c r="A12" s="2" t="s">
        <v>44</v>
      </c>
      <c r="C12" s="17" t="s">
        <v>72</v>
      </c>
    </row>
    <row r="13" spans="1:3" ht="20.100000000000001" customHeight="1" thickBot="1" x14ac:dyDescent="0.3">
      <c r="A13" s="2" t="s">
        <v>45</v>
      </c>
      <c r="C13" s="17" t="s">
        <v>73</v>
      </c>
    </row>
    <row r="14" spans="1:3" ht="20.100000000000001" customHeight="1" thickBot="1" x14ac:dyDescent="0.3">
      <c r="A14" s="2" t="s">
        <v>46</v>
      </c>
      <c r="C14" s="17" t="s">
        <v>74</v>
      </c>
    </row>
    <row r="15" spans="1:3" ht="20.100000000000001" customHeight="1" thickBot="1" x14ac:dyDescent="0.3">
      <c r="A15" s="2" t="s">
        <v>47</v>
      </c>
      <c r="C15" s="17" t="s">
        <v>75</v>
      </c>
    </row>
    <row r="16" spans="1:3" ht="20.100000000000001" customHeight="1" thickBot="1" x14ac:dyDescent="0.3">
      <c r="A16" s="2" t="s">
        <v>10</v>
      </c>
      <c r="C16" s="17" t="s">
        <v>76</v>
      </c>
    </row>
    <row r="17" spans="1:3" ht="20.100000000000001" customHeight="1" thickBot="1" x14ac:dyDescent="0.3">
      <c r="A17" s="2" t="s">
        <v>27</v>
      </c>
      <c r="C17" s="17" t="s">
        <v>77</v>
      </c>
    </row>
    <row r="18" spans="1:3" ht="20.100000000000001" customHeight="1" thickBot="1" x14ac:dyDescent="0.3">
      <c r="A18" s="2" t="s">
        <v>48</v>
      </c>
      <c r="C18" s="17" t="s">
        <v>78</v>
      </c>
    </row>
    <row r="19" spans="1:3" ht="20.100000000000001" customHeight="1" thickBot="1" x14ac:dyDescent="0.3">
      <c r="A19" s="2" t="s">
        <v>49</v>
      </c>
      <c r="C19" s="17" t="s">
        <v>79</v>
      </c>
    </row>
    <row r="20" spans="1:3" ht="20.100000000000001" customHeight="1" thickBot="1" x14ac:dyDescent="0.3">
      <c r="A20" s="2" t="s">
        <v>50</v>
      </c>
      <c r="C20" s="17" t="s">
        <v>80</v>
      </c>
    </row>
    <row r="21" spans="1:3" ht="20.100000000000001" customHeight="1" thickBot="1" x14ac:dyDescent="0.3">
      <c r="A21" s="2" t="s">
        <v>51</v>
      </c>
      <c r="C21" s="17" t="s">
        <v>81</v>
      </c>
    </row>
    <row r="22" spans="1:3" ht="20.100000000000001" customHeight="1" thickBot="1" x14ac:dyDescent="0.3">
      <c r="A22" s="2" t="s">
        <v>11</v>
      </c>
      <c r="C22" s="17" t="s">
        <v>82</v>
      </c>
    </row>
    <row r="23" spans="1:3" ht="20.100000000000001" customHeight="1" thickBot="1" x14ac:dyDescent="0.3">
      <c r="A23" s="2" t="s">
        <v>12</v>
      </c>
      <c r="C23" s="17" t="s">
        <v>83</v>
      </c>
    </row>
    <row r="24" spans="1:3" ht="20.100000000000001" customHeight="1" thickBot="1" x14ac:dyDescent="0.3">
      <c r="A24" s="2" t="s">
        <v>15</v>
      </c>
      <c r="C24" s="17" t="s">
        <v>84</v>
      </c>
    </row>
    <row r="25" spans="1:3" ht="20.100000000000001" customHeight="1" thickBot="1" x14ac:dyDescent="0.3">
      <c r="A25" s="2" t="s">
        <v>28</v>
      </c>
      <c r="C25" s="17" t="s">
        <v>85</v>
      </c>
    </row>
    <row r="26" spans="1:3" ht="20.100000000000001" customHeight="1" thickBot="1" x14ac:dyDescent="0.3">
      <c r="A26" s="2" t="s">
        <v>29</v>
      </c>
      <c r="C26" s="17" t="s">
        <v>86</v>
      </c>
    </row>
    <row r="27" spans="1:3" ht="20.100000000000001" customHeight="1" thickBot="1" x14ac:dyDescent="0.3">
      <c r="A27" s="2" t="s">
        <v>13</v>
      </c>
      <c r="C27" s="17" t="s">
        <v>87</v>
      </c>
    </row>
    <row r="28" spans="1:3" ht="20.100000000000001" customHeight="1" thickBot="1" x14ac:dyDescent="0.3">
      <c r="A28" s="2" t="s">
        <v>30</v>
      </c>
      <c r="C28" s="17" t="s">
        <v>88</v>
      </c>
    </row>
    <row r="29" spans="1:3" ht="20.100000000000001" customHeight="1" thickBot="1" x14ac:dyDescent="0.3">
      <c r="A29" s="2" t="s">
        <v>31</v>
      </c>
      <c r="C29" s="17" t="s">
        <v>177</v>
      </c>
    </row>
    <row r="30" spans="1:3" ht="20.100000000000001" customHeight="1" thickBot="1" x14ac:dyDescent="0.3">
      <c r="A30" s="2" t="s">
        <v>32</v>
      </c>
      <c r="C30" s="17" t="s">
        <v>178</v>
      </c>
    </row>
    <row r="31" spans="1:3" ht="20.100000000000001" customHeight="1" thickBot="1" x14ac:dyDescent="0.3">
      <c r="A31" s="2" t="s">
        <v>33</v>
      </c>
      <c r="C31" s="17" t="s">
        <v>179</v>
      </c>
    </row>
    <row r="32" spans="1:3" ht="20.100000000000001" customHeight="1" thickBot="1" x14ac:dyDescent="0.3">
      <c r="A32" s="2" t="s">
        <v>16</v>
      </c>
      <c r="C32" s="17"/>
    </row>
    <row r="33" spans="1:9" ht="20.100000000000001" customHeight="1" thickBot="1" x14ac:dyDescent="0.3">
      <c r="A33" s="2" t="s">
        <v>14</v>
      </c>
      <c r="C33" s="17"/>
    </row>
    <row r="34" spans="1:9" ht="20.100000000000001" customHeight="1" thickBot="1" x14ac:dyDescent="0.3">
      <c r="A34" s="2" t="s">
        <v>34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1">
        <v>45931</v>
      </c>
    </row>
    <row r="40" spans="1:9" ht="20.100000000000001" customHeight="1" thickBot="1" x14ac:dyDescent="0.3">
      <c r="A40" s="11">
        <v>45932</v>
      </c>
    </row>
    <row r="41" spans="1:9" ht="20.100000000000001" customHeight="1" thickBot="1" x14ac:dyDescent="0.3">
      <c r="A41" s="11">
        <v>45933</v>
      </c>
    </row>
    <row r="42" spans="1:9" ht="20.100000000000001" customHeight="1" thickBot="1" x14ac:dyDescent="0.3">
      <c r="A42" s="11">
        <v>45934</v>
      </c>
    </row>
    <row r="43" spans="1:9" ht="20.100000000000001" customHeight="1" thickBot="1" x14ac:dyDescent="0.3">
      <c r="A43" s="11">
        <v>45935</v>
      </c>
    </row>
    <row r="44" spans="1:9" ht="20.100000000000001" customHeight="1" thickBot="1" x14ac:dyDescent="0.3">
      <c r="A44" s="11">
        <v>45936</v>
      </c>
    </row>
    <row r="45" spans="1:9" ht="20.100000000000001" customHeight="1" thickBot="1" x14ac:dyDescent="0.3">
      <c r="A45" s="11">
        <v>45937</v>
      </c>
    </row>
    <row r="46" spans="1:9" ht="20.100000000000001" customHeight="1" thickBot="1" x14ac:dyDescent="0.3">
      <c r="A46" s="11">
        <v>45938</v>
      </c>
    </row>
    <row r="47" spans="1:9" ht="20.100000000000001" customHeight="1" thickBot="1" x14ac:dyDescent="0.3">
      <c r="A47" s="11">
        <v>45939</v>
      </c>
    </row>
    <row r="48" spans="1:9" ht="20.100000000000001" customHeight="1" thickBot="1" x14ac:dyDescent="0.3">
      <c r="A48" s="11">
        <v>45940</v>
      </c>
    </row>
    <row r="49" spans="1:1" ht="20.100000000000001" customHeight="1" thickBot="1" x14ac:dyDescent="0.3">
      <c r="A49" s="11">
        <v>45941</v>
      </c>
    </row>
    <row r="50" spans="1:1" ht="20.100000000000001" customHeight="1" thickBot="1" x14ac:dyDescent="0.3">
      <c r="A50" s="11">
        <v>45942</v>
      </c>
    </row>
    <row r="51" spans="1:1" ht="20.100000000000001" customHeight="1" thickBot="1" x14ac:dyDescent="0.3">
      <c r="A51" s="11">
        <v>45943</v>
      </c>
    </row>
    <row r="52" spans="1:1" ht="20.100000000000001" customHeight="1" thickBot="1" x14ac:dyDescent="0.3">
      <c r="A52" s="11">
        <v>45944</v>
      </c>
    </row>
    <row r="53" spans="1:1" ht="20.100000000000001" customHeight="1" thickBot="1" x14ac:dyDescent="0.3">
      <c r="A53" s="11">
        <v>45945</v>
      </c>
    </row>
    <row r="54" spans="1:1" ht="20.100000000000001" customHeight="1" thickBot="1" x14ac:dyDescent="0.3">
      <c r="A54" s="11">
        <v>45946</v>
      </c>
    </row>
    <row r="55" spans="1:1" ht="20.100000000000001" customHeight="1" thickBot="1" x14ac:dyDescent="0.3">
      <c r="A55" s="11">
        <v>45947</v>
      </c>
    </row>
    <row r="56" spans="1:1" ht="20.100000000000001" customHeight="1" thickBot="1" x14ac:dyDescent="0.3">
      <c r="A56" s="11">
        <v>45948</v>
      </c>
    </row>
    <row r="57" spans="1:1" ht="20.100000000000001" customHeight="1" thickBot="1" x14ac:dyDescent="0.3">
      <c r="A57" s="11">
        <v>45949</v>
      </c>
    </row>
    <row r="58" spans="1:1" ht="20.100000000000001" customHeight="1" thickBot="1" x14ac:dyDescent="0.3">
      <c r="A58" s="11">
        <v>45950</v>
      </c>
    </row>
    <row r="59" spans="1:1" ht="20.100000000000001" customHeight="1" thickBot="1" x14ac:dyDescent="0.3">
      <c r="A59" s="11">
        <v>45951</v>
      </c>
    </row>
    <row r="60" spans="1:1" ht="20.100000000000001" customHeight="1" thickBot="1" x14ac:dyDescent="0.3">
      <c r="A60" s="11">
        <v>45952</v>
      </c>
    </row>
    <row r="61" spans="1:1" ht="20.100000000000001" customHeight="1" thickBot="1" x14ac:dyDescent="0.3">
      <c r="A61" s="11">
        <v>45953</v>
      </c>
    </row>
    <row r="62" spans="1:1" ht="20.100000000000001" customHeight="1" thickBot="1" x14ac:dyDescent="0.3">
      <c r="A62" s="11">
        <v>45954</v>
      </c>
    </row>
    <row r="63" spans="1:1" ht="20.100000000000001" customHeight="1" thickBot="1" x14ac:dyDescent="0.3">
      <c r="A63" s="11">
        <v>45955</v>
      </c>
    </row>
    <row r="64" spans="1:1" ht="20.100000000000001" customHeight="1" thickBot="1" x14ac:dyDescent="0.3">
      <c r="A64" s="11">
        <v>45956</v>
      </c>
    </row>
    <row r="65" spans="1:1" ht="20.100000000000001" customHeight="1" thickBot="1" x14ac:dyDescent="0.3">
      <c r="A65" s="11">
        <v>45957</v>
      </c>
    </row>
    <row r="66" spans="1:1" ht="20.100000000000001" customHeight="1" thickBot="1" x14ac:dyDescent="0.3">
      <c r="A66" s="11">
        <v>45958</v>
      </c>
    </row>
    <row r="67" spans="1:1" ht="20.100000000000001" customHeight="1" thickBot="1" x14ac:dyDescent="0.3">
      <c r="A67" s="11">
        <v>45959</v>
      </c>
    </row>
    <row r="68" spans="1:1" ht="20.100000000000001" customHeight="1" thickBot="1" x14ac:dyDescent="0.3">
      <c r="A68" s="11">
        <v>45960</v>
      </c>
    </row>
    <row r="69" spans="1:1" ht="20.100000000000001" customHeight="1" thickBot="1" x14ac:dyDescent="0.3">
      <c r="A69" s="11">
        <v>45961</v>
      </c>
    </row>
    <row r="70" spans="1:1" ht="20.100000000000001" customHeight="1" thickBot="1" x14ac:dyDescent="0.25">
      <c r="A70" s="11"/>
    </row>
    <row r="71" spans="1:1" ht="20.100000000000001" customHeight="1" thickBot="1" x14ac:dyDescent="0.25">
      <c r="A71" s="11"/>
    </row>
    <row r="72" spans="1:1" ht="20.100000000000001" customHeight="1" thickBot="1" x14ac:dyDescent="0.25">
      <c r="A72" s="11"/>
    </row>
    <row r="73" spans="1:1" ht="20.100000000000001" customHeight="1" thickBot="1" x14ac:dyDescent="0.25">
      <c r="A73" s="11"/>
    </row>
    <row r="74" spans="1:1" ht="20.100000000000001" customHeight="1" thickBot="1" x14ac:dyDescent="0.25">
      <c r="A74" s="11"/>
    </row>
    <row r="75" spans="1:1" ht="20.100000000000001" customHeight="1" thickBot="1" x14ac:dyDescent="0.25">
      <c r="A75" s="11"/>
    </row>
    <row r="76" spans="1:1" ht="20.100000000000001" customHeight="1" thickBot="1" x14ac:dyDescent="0.25">
      <c r="A76" s="11"/>
    </row>
    <row r="77" spans="1:1" ht="20.100000000000001" customHeight="1" thickBot="1" x14ac:dyDescent="0.25">
      <c r="A77" s="11"/>
    </row>
    <row r="78" spans="1:1" ht="20.100000000000001" customHeight="1" thickBot="1" x14ac:dyDescent="0.25">
      <c r="A78" s="11"/>
    </row>
    <row r="79" spans="1:1" ht="20.100000000000001" customHeight="1" thickBot="1" x14ac:dyDescent="0.25">
      <c r="A79" s="11"/>
    </row>
    <row r="80" spans="1:1" ht="20.100000000000001" customHeight="1" thickBot="1" x14ac:dyDescent="0.25">
      <c r="A80" s="11"/>
    </row>
    <row r="81" spans="1:1" ht="20.100000000000001" customHeight="1" thickBot="1" x14ac:dyDescent="0.25">
      <c r="A81" s="11"/>
    </row>
    <row r="82" spans="1:1" ht="20.100000000000001" customHeight="1" thickBot="1" x14ac:dyDescent="0.25">
      <c r="A82" s="11"/>
    </row>
    <row r="83" spans="1:1" ht="20.100000000000001" customHeight="1" thickBot="1" x14ac:dyDescent="0.25">
      <c r="A83" s="11"/>
    </row>
    <row r="84" spans="1:1" ht="20.100000000000001" customHeight="1" thickBot="1" x14ac:dyDescent="0.25">
      <c r="A84" s="11"/>
    </row>
    <row r="85" spans="1:1" ht="20.100000000000001" customHeight="1" thickBot="1" x14ac:dyDescent="0.25">
      <c r="A85" s="11"/>
    </row>
    <row r="86" spans="1:1" ht="20.100000000000001" customHeight="1" thickBot="1" x14ac:dyDescent="0.25">
      <c r="A86" s="11"/>
    </row>
    <row r="87" spans="1:1" ht="20.100000000000001" customHeight="1" thickBot="1" x14ac:dyDescent="0.25">
      <c r="A87" s="11"/>
    </row>
    <row r="88" spans="1:1" ht="20.100000000000001" customHeight="1" thickBot="1" x14ac:dyDescent="0.25">
      <c r="A88" s="11"/>
    </row>
    <row r="89" spans="1:1" ht="20.100000000000001" customHeight="1" thickBot="1" x14ac:dyDescent="0.25">
      <c r="A89" s="11"/>
    </row>
    <row r="90" spans="1:1" ht="20.100000000000001" customHeight="1" thickBot="1" x14ac:dyDescent="0.25">
      <c r="A90" s="11"/>
    </row>
    <row r="91" spans="1:1" ht="20.100000000000001" customHeight="1" thickBot="1" x14ac:dyDescent="0.25">
      <c r="A91" s="11"/>
    </row>
    <row r="92" spans="1:1" ht="20.100000000000001" customHeight="1" thickBot="1" x14ac:dyDescent="0.25">
      <c r="A92" s="11"/>
    </row>
    <row r="93" spans="1:1" ht="20.100000000000001" customHeight="1" thickBot="1" x14ac:dyDescent="0.25">
      <c r="A93" s="11"/>
    </row>
    <row r="94" spans="1:1" ht="20.100000000000001" customHeight="1" thickBot="1" x14ac:dyDescent="0.25">
      <c r="A94" s="11"/>
    </row>
    <row r="95" spans="1:1" ht="20.100000000000001" customHeight="1" thickBot="1" x14ac:dyDescent="0.25">
      <c r="A95" s="11"/>
    </row>
    <row r="96" spans="1:1" ht="20.100000000000001" customHeight="1" thickBot="1" x14ac:dyDescent="0.25">
      <c r="A96" s="11"/>
    </row>
    <row r="97" spans="1:9" ht="20.100000000000001" customHeight="1" thickBot="1" x14ac:dyDescent="0.25">
      <c r="A97" s="11"/>
    </row>
    <row r="98" spans="1:9" ht="20.100000000000001" customHeight="1" thickBot="1" x14ac:dyDescent="0.25">
      <c r="A98" s="11"/>
    </row>
    <row r="99" spans="1:9" ht="20.100000000000001" customHeight="1" thickBot="1" x14ac:dyDescent="0.25">
      <c r="A99" s="11"/>
    </row>
    <row r="100" spans="1:9" ht="20.100000000000001" customHeight="1" thickBot="1" x14ac:dyDescent="0.25">
      <c r="A100" s="11"/>
    </row>
    <row r="101" spans="1:9" ht="20.100000000000001" customHeight="1" thickBot="1" x14ac:dyDescent="0.25">
      <c r="A101" s="11"/>
    </row>
    <row r="102" spans="1:9" ht="20.100000000000001" customHeight="1" thickBot="1" x14ac:dyDescent="0.25">
      <c r="A102" s="11"/>
    </row>
    <row r="103" spans="1:9" ht="20.100000000000001" customHeight="1" thickBot="1" x14ac:dyDescent="0.25">
      <c r="A103" s="11"/>
    </row>
    <row r="104" spans="1:9" ht="20.100000000000001" customHeight="1" thickBot="1" x14ac:dyDescent="0.25">
      <c r="A104" s="11"/>
    </row>
    <row r="105" spans="1:9" ht="20.100000000000001" customHeight="1" thickBot="1" x14ac:dyDescent="0.25">
      <c r="A105" s="11"/>
    </row>
    <row r="106" spans="1:9" ht="20.100000000000001" customHeight="1" thickBot="1" x14ac:dyDescent="0.25">
      <c r="A106" s="11"/>
    </row>
    <row r="107" spans="1:9" ht="20.100000000000001" customHeight="1" x14ac:dyDescent="0.2">
      <c r="A107" s="12"/>
    </row>
    <row r="108" spans="1:9" ht="20.100000000000001" customHeight="1" x14ac:dyDescent="0.2">
      <c r="A108" s="12"/>
    </row>
    <row r="109" spans="1:9" s="15" customFormat="1" ht="20.100000000000001" customHeight="1" x14ac:dyDescent="0.2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8" t="s">
        <v>89</v>
      </c>
    </row>
    <row r="200" spans="1:1" ht="20.100000000000001" customHeight="1" x14ac:dyDescent="0.2">
      <c r="A200" s="18" t="s">
        <v>90</v>
      </c>
    </row>
    <row r="201" spans="1:1" ht="20.100000000000001" customHeight="1" x14ac:dyDescent="0.2">
      <c r="A201" s="18" t="s">
        <v>91</v>
      </c>
    </row>
    <row r="202" spans="1:1" ht="20.100000000000001" customHeight="1" x14ac:dyDescent="0.2">
      <c r="A202" s="18" t="s">
        <v>92</v>
      </c>
    </row>
    <row r="203" spans="1:1" ht="20.100000000000001" customHeight="1" x14ac:dyDescent="0.2">
      <c r="A203" s="18" t="s">
        <v>93</v>
      </c>
    </row>
    <row r="204" spans="1:1" ht="20.100000000000001" customHeight="1" x14ac:dyDescent="0.2">
      <c r="A204" s="18" t="s">
        <v>94</v>
      </c>
    </row>
    <row r="205" spans="1:1" ht="20.100000000000001" customHeight="1" x14ac:dyDescent="0.2">
      <c r="A205" s="18" t="s">
        <v>95</v>
      </c>
    </row>
    <row r="206" spans="1:1" ht="20.100000000000001" customHeight="1" x14ac:dyDescent="0.2">
      <c r="A206" s="18" t="s">
        <v>96</v>
      </c>
    </row>
    <row r="207" spans="1:1" ht="20.100000000000001" customHeight="1" x14ac:dyDescent="0.2">
      <c r="A207" s="18" t="s">
        <v>97</v>
      </c>
    </row>
    <row r="208" spans="1:1" ht="20.100000000000001" customHeight="1" x14ac:dyDescent="0.2">
      <c r="A208" s="19" t="s">
        <v>98</v>
      </c>
    </row>
    <row r="209" spans="1:1" ht="20.100000000000001" customHeight="1" x14ac:dyDescent="0.2">
      <c r="A209" s="19" t="s">
        <v>99</v>
      </c>
    </row>
    <row r="210" spans="1:1" ht="20.100000000000001" customHeight="1" x14ac:dyDescent="0.2">
      <c r="A210" s="18" t="s">
        <v>100</v>
      </c>
    </row>
    <row r="211" spans="1:1" ht="20.100000000000001" customHeight="1" x14ac:dyDescent="0.2">
      <c r="A211" s="18" t="s">
        <v>101</v>
      </c>
    </row>
    <row r="212" spans="1:1" ht="20.100000000000001" customHeight="1" x14ac:dyDescent="0.2">
      <c r="A212" s="18" t="s">
        <v>175</v>
      </c>
    </row>
    <row r="213" spans="1:1" ht="20.100000000000001" customHeight="1" x14ac:dyDescent="0.2">
      <c r="A213" s="18" t="s">
        <v>102</v>
      </c>
    </row>
    <row r="214" spans="1:1" ht="20.100000000000001" customHeight="1" x14ac:dyDescent="0.2">
      <c r="A214" s="18" t="s">
        <v>103</v>
      </c>
    </row>
    <row r="215" spans="1:1" ht="20.100000000000001" customHeight="1" x14ac:dyDescent="0.2">
      <c r="A215" s="18" t="s">
        <v>104</v>
      </c>
    </row>
    <row r="216" spans="1:1" ht="20.100000000000001" customHeight="1" x14ac:dyDescent="0.2">
      <c r="A216" s="18" t="s">
        <v>105</v>
      </c>
    </row>
    <row r="217" spans="1:1" ht="20.100000000000001" customHeight="1" x14ac:dyDescent="0.2">
      <c r="A217" s="18" t="s">
        <v>106</v>
      </c>
    </row>
    <row r="218" spans="1:1" ht="20.100000000000001" customHeight="1" x14ac:dyDescent="0.2">
      <c r="A218" s="18" t="s">
        <v>107</v>
      </c>
    </row>
    <row r="219" spans="1:1" ht="20.100000000000001" customHeight="1" x14ac:dyDescent="0.2">
      <c r="A219" s="18" t="s">
        <v>108</v>
      </c>
    </row>
    <row r="220" spans="1:1" ht="20.100000000000001" customHeight="1" x14ac:dyDescent="0.2">
      <c r="A220" s="18" t="s">
        <v>109</v>
      </c>
    </row>
    <row r="221" spans="1:1" ht="20.100000000000001" customHeight="1" x14ac:dyDescent="0.2">
      <c r="A221" s="18" t="s">
        <v>110</v>
      </c>
    </row>
    <row r="222" spans="1:1" ht="20.100000000000001" customHeight="1" x14ac:dyDescent="0.2">
      <c r="A222" s="18" t="s">
        <v>111</v>
      </c>
    </row>
    <row r="223" spans="1:1" ht="20.100000000000001" customHeight="1" x14ac:dyDescent="0.2">
      <c r="A223" s="18" t="s">
        <v>112</v>
      </c>
    </row>
    <row r="224" spans="1:1" ht="20.100000000000001" customHeight="1" x14ac:dyDescent="0.2">
      <c r="A224" s="18" t="s">
        <v>176</v>
      </c>
    </row>
    <row r="225" spans="1:1" ht="20.100000000000001" customHeight="1" x14ac:dyDescent="0.2">
      <c r="A225" s="18" t="s">
        <v>113</v>
      </c>
    </row>
    <row r="226" spans="1:1" ht="20.100000000000001" customHeight="1" x14ac:dyDescent="0.2">
      <c r="A226" s="18" t="s">
        <v>114</v>
      </c>
    </row>
    <row r="227" spans="1:1" ht="20.100000000000001" customHeight="1" x14ac:dyDescent="0.2">
      <c r="A227" s="18" t="s">
        <v>115</v>
      </c>
    </row>
    <row r="228" spans="1:1" ht="20.100000000000001" customHeight="1" x14ac:dyDescent="0.2">
      <c r="A228" s="18" t="s">
        <v>116</v>
      </c>
    </row>
    <row r="229" spans="1:1" ht="20.100000000000001" customHeight="1" x14ac:dyDescent="0.2">
      <c r="A229" s="18" t="s">
        <v>117</v>
      </c>
    </row>
    <row r="230" spans="1:1" ht="20.100000000000001" customHeight="1" x14ac:dyDescent="0.2">
      <c r="A230" s="18" t="s">
        <v>118</v>
      </c>
    </row>
    <row r="231" spans="1:1" ht="20.100000000000001" customHeight="1" x14ac:dyDescent="0.2">
      <c r="A231" s="18" t="s">
        <v>119</v>
      </c>
    </row>
    <row r="232" spans="1:1" ht="20.100000000000001" customHeight="1" x14ac:dyDescent="0.2">
      <c r="A232" s="18" t="s">
        <v>120</v>
      </c>
    </row>
    <row r="233" spans="1:1" ht="20.100000000000001" customHeight="1" x14ac:dyDescent="0.2">
      <c r="A233" s="18" t="s">
        <v>121</v>
      </c>
    </row>
    <row r="234" spans="1:1" ht="20.100000000000001" customHeight="1" x14ac:dyDescent="0.2">
      <c r="A234" s="18" t="s">
        <v>122</v>
      </c>
    </row>
    <row r="235" spans="1:1" ht="20.100000000000001" customHeight="1" x14ac:dyDescent="0.2">
      <c r="A235" s="18" t="s">
        <v>123</v>
      </c>
    </row>
    <row r="236" spans="1:1" ht="20.100000000000001" customHeight="1" x14ac:dyDescent="0.2">
      <c r="A236" s="20" t="s">
        <v>124</v>
      </c>
    </row>
    <row r="237" spans="1:1" ht="20.100000000000001" customHeight="1" x14ac:dyDescent="0.2">
      <c r="A237" s="18" t="s">
        <v>125</v>
      </c>
    </row>
    <row r="238" spans="1:1" ht="20.100000000000001" customHeight="1" x14ac:dyDescent="0.2">
      <c r="A238" s="18" t="s">
        <v>126</v>
      </c>
    </row>
    <row r="239" spans="1:1" ht="20.100000000000001" customHeight="1" x14ac:dyDescent="0.2">
      <c r="A239" s="18" t="s">
        <v>127</v>
      </c>
    </row>
    <row r="240" spans="1:1" ht="20.100000000000001" customHeight="1" x14ac:dyDescent="0.2">
      <c r="A240" s="18" t="s">
        <v>128</v>
      </c>
    </row>
    <row r="241" spans="1:1" ht="20.100000000000001" customHeight="1" x14ac:dyDescent="0.2">
      <c r="A241" s="18" t="s">
        <v>129</v>
      </c>
    </row>
    <row r="242" spans="1:1" ht="20.100000000000001" customHeight="1" x14ac:dyDescent="0.2">
      <c r="A242" s="18" t="s">
        <v>130</v>
      </c>
    </row>
    <row r="243" spans="1:1" ht="20.100000000000001" customHeight="1" x14ac:dyDescent="0.2">
      <c r="A243" s="18" t="s">
        <v>131</v>
      </c>
    </row>
    <row r="244" spans="1:1" ht="20.100000000000001" customHeight="1" x14ac:dyDescent="0.2">
      <c r="A244" s="18" t="s">
        <v>132</v>
      </c>
    </row>
    <row r="245" spans="1:1" ht="20.100000000000001" customHeight="1" x14ac:dyDescent="0.2">
      <c r="A245" s="18" t="s">
        <v>133</v>
      </c>
    </row>
    <row r="246" spans="1:1" ht="20.100000000000001" customHeight="1" x14ac:dyDescent="0.2">
      <c r="A246" s="18" t="s">
        <v>134</v>
      </c>
    </row>
    <row r="247" spans="1:1" ht="20.100000000000001" customHeight="1" x14ac:dyDescent="0.2">
      <c r="A247" s="18" t="s">
        <v>135</v>
      </c>
    </row>
    <row r="248" spans="1:1" ht="20.100000000000001" customHeight="1" x14ac:dyDescent="0.2">
      <c r="A248" s="18" t="s">
        <v>126</v>
      </c>
    </row>
    <row r="249" spans="1:1" ht="20.100000000000001" customHeight="1" x14ac:dyDescent="0.2">
      <c r="A249" s="18" t="s">
        <v>136</v>
      </c>
    </row>
    <row r="250" spans="1:1" ht="20.100000000000001" customHeight="1" x14ac:dyDescent="0.2">
      <c r="A250" s="18" t="s">
        <v>137</v>
      </c>
    </row>
    <row r="251" spans="1:1" ht="20.100000000000001" customHeight="1" x14ac:dyDescent="0.2">
      <c r="A251" s="20" t="s">
        <v>138</v>
      </c>
    </row>
    <row r="252" spans="1:1" ht="20.100000000000001" customHeight="1" x14ac:dyDescent="0.2">
      <c r="A252" s="21" t="s">
        <v>139</v>
      </c>
    </row>
    <row r="253" spans="1:1" ht="20.100000000000001" customHeight="1" x14ac:dyDescent="0.2">
      <c r="A253" s="18" t="s">
        <v>140</v>
      </c>
    </row>
    <row r="254" spans="1:1" ht="20.100000000000001" customHeight="1" x14ac:dyDescent="0.2">
      <c r="A254" s="18" t="s">
        <v>141</v>
      </c>
    </row>
    <row r="255" spans="1:1" ht="20.100000000000001" customHeight="1" x14ac:dyDescent="0.2">
      <c r="A255" s="22" t="s">
        <v>142</v>
      </c>
    </row>
    <row r="256" spans="1:1" ht="20.100000000000001" customHeight="1" x14ac:dyDescent="0.2">
      <c r="A256" s="22" t="s">
        <v>143</v>
      </c>
    </row>
    <row r="257" spans="1:1" ht="20.100000000000001" customHeight="1" x14ac:dyDescent="0.2">
      <c r="A257" s="23" t="s">
        <v>144</v>
      </c>
    </row>
    <row r="258" spans="1:1" ht="20.100000000000001" customHeight="1" x14ac:dyDescent="0.2">
      <c r="A258" s="18" t="s">
        <v>145</v>
      </c>
    </row>
    <row r="259" spans="1:1" ht="20.100000000000001" customHeight="1" x14ac:dyDescent="0.2">
      <c r="A259" s="23" t="s">
        <v>146</v>
      </c>
    </row>
    <row r="260" spans="1:1" ht="20.100000000000001" customHeight="1" x14ac:dyDescent="0.2">
      <c r="A260" s="18" t="s">
        <v>147</v>
      </c>
    </row>
    <row r="261" spans="1:1" ht="20.100000000000001" customHeight="1" x14ac:dyDescent="0.2">
      <c r="A261" s="23" t="s">
        <v>148</v>
      </c>
    </row>
    <row r="262" spans="1:1" ht="20.100000000000001" customHeight="1" x14ac:dyDescent="0.2">
      <c r="A262" s="18" t="s">
        <v>149</v>
      </c>
    </row>
    <row r="263" spans="1:1" ht="20.100000000000001" customHeight="1" x14ac:dyDescent="0.2">
      <c r="A263" s="18" t="s">
        <v>150</v>
      </c>
    </row>
    <row r="264" spans="1:1" ht="20.100000000000001" customHeight="1" x14ac:dyDescent="0.2">
      <c r="A264" s="23" t="s">
        <v>151</v>
      </c>
    </row>
    <row r="265" spans="1:1" ht="20.100000000000001" customHeight="1" x14ac:dyDescent="0.2">
      <c r="A265" s="23" t="s">
        <v>152</v>
      </c>
    </row>
    <row r="266" spans="1:1" ht="20.100000000000001" customHeight="1" x14ac:dyDescent="0.2">
      <c r="A266" s="23" t="s">
        <v>153</v>
      </c>
    </row>
    <row r="267" spans="1:1" ht="20.100000000000001" customHeight="1" x14ac:dyDescent="0.2">
      <c r="A267" s="18" t="s">
        <v>154</v>
      </c>
    </row>
    <row r="268" spans="1:1" ht="20.100000000000001" customHeight="1" x14ac:dyDescent="0.2">
      <c r="A268" s="18" t="s">
        <v>155</v>
      </c>
    </row>
    <row r="269" spans="1:1" ht="20.100000000000001" customHeight="1" x14ac:dyDescent="0.2">
      <c r="A269" s="18" t="s">
        <v>156</v>
      </c>
    </row>
    <row r="270" spans="1:1" ht="20.100000000000001" customHeight="1" x14ac:dyDescent="0.2">
      <c r="A270" s="18" t="s">
        <v>157</v>
      </c>
    </row>
    <row r="271" spans="1:1" ht="20.100000000000001" customHeight="1" x14ac:dyDescent="0.2">
      <c r="A271" s="23" t="s">
        <v>158</v>
      </c>
    </row>
    <row r="272" spans="1:1" ht="20.100000000000001" customHeight="1" x14ac:dyDescent="0.2">
      <c r="A272" s="23" t="s">
        <v>159</v>
      </c>
    </row>
    <row r="273" spans="1:1" ht="20.100000000000001" customHeight="1" x14ac:dyDescent="0.2">
      <c r="A273" s="18" t="s">
        <v>160</v>
      </c>
    </row>
    <row r="274" spans="1:1" ht="20.100000000000001" customHeight="1" x14ac:dyDescent="0.2">
      <c r="A274" s="23" t="s">
        <v>161</v>
      </c>
    </row>
    <row r="275" spans="1:1" ht="20.100000000000001" customHeight="1" x14ac:dyDescent="0.2">
      <c r="A275" s="23" t="s">
        <v>162</v>
      </c>
    </row>
    <row r="276" spans="1:1" ht="20.100000000000001" customHeight="1" x14ac:dyDescent="0.2">
      <c r="A276" s="18" t="s">
        <v>163</v>
      </c>
    </row>
    <row r="277" spans="1:1" ht="20.100000000000001" customHeight="1" x14ac:dyDescent="0.2">
      <c r="A277" s="18" t="s">
        <v>164</v>
      </c>
    </row>
    <row r="278" spans="1:1" ht="20.100000000000001" customHeight="1" x14ac:dyDescent="0.2">
      <c r="A278" s="23" t="s">
        <v>165</v>
      </c>
    </row>
    <row r="279" spans="1:1" ht="20.100000000000001" customHeight="1" x14ac:dyDescent="0.2">
      <c r="A279" s="18" t="s">
        <v>166</v>
      </c>
    </row>
    <row r="280" spans="1:1" ht="20.100000000000001" customHeight="1" x14ac:dyDescent="0.2">
      <c r="A280" s="18" t="s">
        <v>167</v>
      </c>
    </row>
    <row r="281" spans="1:1" ht="20.100000000000001" customHeight="1" x14ac:dyDescent="0.2">
      <c r="A281" s="18" t="s">
        <v>168</v>
      </c>
    </row>
    <row r="282" spans="1:1" ht="20.100000000000001" customHeight="1" x14ac:dyDescent="0.2">
      <c r="A282" s="18" t="s">
        <v>169</v>
      </c>
    </row>
    <row r="283" spans="1:1" ht="20.100000000000001" customHeight="1" x14ac:dyDescent="0.2">
      <c r="A283" s="23" t="s">
        <v>170</v>
      </c>
    </row>
    <row r="284" spans="1:1" ht="20.100000000000001" customHeight="1" x14ac:dyDescent="0.2">
      <c r="A284" s="23" t="s">
        <v>171</v>
      </c>
    </row>
    <row r="285" spans="1:1" ht="20.100000000000001" customHeight="1" x14ac:dyDescent="0.2">
      <c r="A285" s="23" t="s">
        <v>172</v>
      </c>
    </row>
    <row r="286" spans="1:1" ht="20.100000000000001" customHeight="1" thickBot="1" x14ac:dyDescent="0.25">
      <c r="A286" s="18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2025-10-21T12:21:41Z</dcterms:modified>
</cp:coreProperties>
</file>