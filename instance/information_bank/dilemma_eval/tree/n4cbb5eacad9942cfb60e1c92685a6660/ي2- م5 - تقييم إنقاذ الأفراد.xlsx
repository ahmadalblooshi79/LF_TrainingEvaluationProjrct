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BBC6CA4-A0F2-475B-99E4-EF67ED71F7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 s="1"/>
  <c r="G13" i="2"/>
  <c r="H13" i="2"/>
  <c r="G14" i="2"/>
  <c r="H14" i="2"/>
  <c r="G16" i="2"/>
  <c r="H16" i="2"/>
  <c r="G17" i="2"/>
  <c r="H17" i="2" s="1"/>
  <c r="G18" i="2"/>
  <c r="H18" i="2" s="1"/>
  <c r="G19" i="2"/>
  <c r="H19" i="2"/>
  <c r="G20" i="2"/>
  <c r="H20" i="2" s="1"/>
  <c r="G21" i="2"/>
  <c r="H21" i="2"/>
  <c r="F22" i="2"/>
  <c r="E23" i="2" s="1"/>
  <c r="E24" i="2" s="1"/>
  <c r="E22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<sst xmlns="http://schemas.openxmlformats.org/spreadsheetml/2006/main" count="250" uniqueCount="194">
  <si>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</si>
  <si>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</si>
  <si>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</si>
  <si>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</si>
  <si>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</si>
  <si>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</si>
  <si>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</si>
  <si>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</si>
  <si>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</si>
  <si>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</si>
  <si>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</si>
  <si>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</si>
  <si>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</si>
  <si>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</si>
  <si>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</si>
  <si>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</si>
  <si>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</si>
  <si>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</si>
  <si>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</si>
  <si>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</si>
  <si>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</si>
  <si>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</si>
  <si>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</si>
  <si>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</si>
  <si>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</si>
  <si>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</si>
  <si>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</si>
  <si>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</si>
  <si>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</si>
  <si>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</si>
  <si>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</si>
  <si>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</si>
  <si>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</si>
  <si>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</si>
  <si>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</si>
  <si>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</si>
  <si>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</si>
  <si>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</si>
  <si>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</si>
  <si>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</si>
  <si>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</si>
  <si>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</si>
  <si>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</si>
  <si>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</si>
  <si>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</si>
  <si>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</si>
  <si>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</si>
  <si>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</si>
  <si>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</si>
  <si>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</si>
  <si>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</si>
  <si>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</si>
  <si>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</si>
  <si>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</si>
  <si>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</si>
  <si>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</si>
  <si>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</si>
  <si>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</si>
  <si>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</si>
  <si>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</si>
  <si>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</si>
  <si>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</si>
  <si>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</si>
  <si>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</si>
  <si>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</si>
  <si>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</si>
  <si>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</si>
  <si>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</si>
  <si>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</si>
  <si>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</si>
  <si>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</si>
  <si>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</si>
  <si>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</si>
  <si>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</si>
  <si>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</si>
  <si>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</si>
  <si>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</si>
  <si>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</si>
  <si>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</si>
  <si>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</si>
  <si>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</si>
  <si>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</si>
  <si>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</si>
  <si>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</si>
  <si>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</si>
  <si>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</si>
  <si>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</si>
  <si>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</si>
  <si>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</si>
  <si>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</si>
  <si>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</si>
  <si>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</si>
  <si>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</si>
  <si>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</si>
  <si>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</si>
  <si>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</si>
  <si>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</si>
  <si>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</si>
  <si>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</si>
  <si>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</si>
  <si>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</si>
  <si>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</si>
  <si>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</si>
  <si>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</si>
  <si>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</si>
  <si>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</si>
  <si>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</si>
  <si>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</si>
  <si>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</si>
  <si>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</si>
  <si>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</si>
  <si>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</si>
  <si>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</si>
  <si>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</si>
  <si>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</si>
  <si>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</si>
  <si>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</si>
  <si>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</si>
  <si>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</si>
  <si>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</si>
  <si>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</si>
  <si>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</si>
  <si>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</si>
  <si>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</si>
  <si>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</si>
  <si>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</si>
  <si>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</si>
  <si>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</si>
  <si>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</si>
  <si>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</si>
  <si>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</si>
  <si>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</si>
  <si>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</si>
  <si>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</si>
  <si>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</si>
  <si>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</si>
  <si>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</si>
  <si>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</si>
  <si>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</si>
  <si>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</si>
  <si>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</si>
  <si>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</si>
  <si>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</si>
  <si>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</si>
  <si>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</si>
  <si>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</si>
  <si>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</si>
  <si>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</si>
  <si>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</si>
  <si>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</si>
  <si>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</si>
  <si>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</si>
  <si>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</si>
  <si>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</si>
  <si>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</si>
  <si>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</si>
  <si>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</si>
  <si>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</si>
  <si>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</si>
  <si>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</si>
  <si>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</si>
  <si>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</si>
  <si>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</si>
  <si>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</si>
  <si>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</si>
  <si>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</si>
  <si>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</si>
  <si>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</si>
  <si>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</si>
  <si>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</si>
  <si>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</si>
  <si>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</si>
  <si>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</si>
  <si>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</si>
  <si>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</si>
  <si>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</si>
  <si>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</si>
  <si>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</si>
  <si>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</si>
  <si>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</si>
  <si>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</si>
  <si>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</si>
  <si>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</si>
  <si>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</si>
  <si>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</si>
  <si>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</si>
  <si>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</si>
  <si>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</si>
  <si>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</si>
  <si>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</si>
  <si>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</si>
  <si>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</si>
  <si>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</si>
  <si>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اليوم/2 - تقييم معضلة/5 -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</si>
</sst>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159014</xdr:colOff>
      <xdr:row>25</xdr:row>
      <xdr:rowOff>99085</xdr:rowOff>
    </xdr:from>
    <xdr:to>
      <xdr:col>8</xdr:col>
      <xdr:colOff>388031</xdr:colOff>
      <xdr:row>25</xdr:row>
      <xdr:rowOff>463405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9F8F479-6A1D-41B9-BD34-ED3DC2860204}"/>
                </a:ext>
              </a:extLst>
            </xdr14:cNvPr>
            <xdr14:cNvContentPartPr/>
          </xdr14:nvContentPartPr>
          <xdr14:nvPr macro=""/>
          <xdr14:xfrm>
            <a:off x="10423314769" y="9767520"/>
            <a:ext cx="883440" cy="364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9F8F479-6A1D-41B9-BD34-ED3DC28602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305769" y="9758520"/>
              <a:ext cx="901080" cy="38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624134</xdr:colOff>
      <xdr:row>25</xdr:row>
      <xdr:rowOff>170365</xdr:rowOff>
    </xdr:from>
    <xdr:to>
      <xdr:col>8</xdr:col>
      <xdr:colOff>602951</xdr:colOff>
      <xdr:row>25</xdr:row>
      <xdr:rowOff>547285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85BAD90-017A-ED4A-5C05-09AA1AEE8523}"/>
                </a:ext>
              </a:extLst>
            </xdr14:cNvPr>
            <xdr14:cNvContentPartPr/>
          </xdr14:nvContentPartPr>
          <xdr14:nvPr macro=""/>
          <xdr14:xfrm>
            <a:off x="10423099849" y="9838800"/>
            <a:ext cx="633240" cy="3769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85BAD90-017A-ED4A-5C05-09AA1AEE852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091209" y="9829800"/>
              <a:ext cx="650880" cy="394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8:33:28.7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1986 646 3104,'0'0'0,"0"0"0,-2-1 1296,-1-2 321,1 0-441,0 0-488,-1 1-288,3 0-200,0 2-200,0-2 128,0 0-64,0 0-24,0 1-32,2-2 8,-1 2 24,-1 1-40,0-1 40,1 0 16,-1-2-8,1 2-32,0 0-40,0-1-56,-1 2 80,3-3-104,-1 0-80,1-1-64,0 1-72,1-1-56,1 0 0,-5 4 376,10-9-400,-6 5-24,9-1-48,-3-7-40,2 9 40,0-9 63,-12 12 409,14-5-320,0-7 80,1 8 48,-1-8 48,1 8 32,0-8 16,-15 12 96,16-4-80,0-7 8,0 8-8,1-2 0,-1 0 16,0 1-8,-16 4 72,17-3-64,-1 0 8,-1 2 0,0 0 0,-2 0 8,1 0 0,-14 1 48,12 0-40,0 0 0,0 0 24,-2 2 0,0 0 0,-5 1 8,-5-3 8,12 2-8,-7 1 0,6 0 8,-8 1 8,2-1 0,5 7 8,-10-10-16,1 2 32,3 2 16,-2 7 0,-1-9 24,0 8 16,1-8 24,-2-2-112,0 11 144,0-7 32,-3 6 8,1-6 16,-2 7 0,-6-8-16,10-3-184,-4 12 184,-9-8-16,3 10-32,1-10-24,-4 10-31,2-4-9,11-10-72,-14 9 56,1-5 0,-1 8-8,-1-8 8,2 6 32,-1-7-16,14-3-72,-15 3 120,0 1-16,-2 6-16,2-10 8,-2 3 0,1 1 32,16-4-128,-14 2 152,-2 1 8,1-3-8,-1 0-8,-1 0-16,2 0 16,15 0-144,-17 0 176,0-2 8,0 1 56,-1 0 8,1-1 8,2-1-8,15 3-248,-18-1 320,1-3-64,-1 2-8,0-2 8,0 1-96,0-1 81,18 4-241,-18-3 192,-1-1-24,0 2-24,-1-1-80,-2 2 32,0-1 8,22 2-104,-20-2 48,-1 0 0,-1 1-40,0 0-16,0-1 96,-1 0-16,23 2-72,-23-2 64,0 0-48,-1 0-48,2 0-16,-4-1 88,1 1 32,25 2-72,-26-4-8,1 2 24,1-1-112,0 0-16,1-2 136,0 0-8,23 5-16,-23-9 0,1 5 24,-1 1-80,0-7 40,0 6-8,2-8 48,21 12-24,-22-9-16,1-3-16,-1-1 88,2 2-80,1-2 96,-1-1 40,20 14-112,-18-14 40,0-2 80,2 1-72,0-1 8,2 1-16,-2-2-16,16 17-24,-13-16 16,0 0-56,1-1 32,1 0-16,1 3-24,1-2 16,9 16 32,-3-15-72,-7-1-16,10-2-8,-4 2-64,2 3-64,2-1-80,0 14 304,-3-12-360,3 0-89,0-1 57,3-1-56,0 1 8,7 0 16,-10 13 424,3-12-456,11 3 32,-5-2 96,4 6-8,2-11 24,0 6 24,-15 10 288,20-11-336,-1-1 71,2 2 17,1 5 40,-1-5 16,2 6 24,-23 4 168,24-4-112,0 1 32,4-1 32,-2 2-16,2 1 16,-2-1 8,-26 2 40,28 0-32,-1 0 48,-1 0-24,1 0 8,-1 3 0,-1 0-32,-25-3 32,27 4 16,-1 0 8,-2 6-16,1-7 16,-2 6-8,-3-5 0,-20-4-16,20 4 32,-1 8 8,-1-9-8,-3 8 16,2-7 16,-4 6-8,-13-10-56,15 4 88,-2 8 32,-1-8 8,-1 10 32,-2-10 0,-4 9 16,-5-13-176,11 9 185,-8 2 15,1-1-8,0 0 16,-2 1-24,-1-1 32,-1-10-216,0 12 256,0-1-8,-3 2 40,-7 1 32,6 1 32,-9 1 0,13-16-352,-12 17 328,-3 0-32,-1 1-16,-2 0 24,-2 0 112,-1 0 49,21-18-465,-25 19 520,1 0 32,-2 0-8,-4 0 40,0-1-16,-2 0-24,32-18-544,-34 20 512,0-1-48,0-1-63,-5 1-33,0 0-64,-2 0-56,41-19-248,-43 21 216,0-1-32,-3 3-64,-5 0 8,1 1-16,-4 0-8,54-24-104,-52 22 80,0 0-40,-4-2-16,2 2 0,-2-2-16,1-1 8,55-19-16,-54 20 24,1-2-16,3-2 16,0 1-16,5-3-16,4-2-8,41-12 16,-38 11-40,3-1-32,2-7-24,1 8-104,6-8-216,0-1-352,26-2 768,-22 4-1201,1-2-463,0-2-448,2 0-305,0 0 81,1-2 695,18 2 1641,-19-5-984,-1-7-1224,20 12 2208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8:33:29.8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1708 0 2432,'0'0'0,"2"0"328,-2 0-328,3 0 320,7 0-144,-8 0-48,2 0 0,0 3 40,1-1 72,-5-2-240,5 2 344,0 2 129,-2-2 135,1 1 88,-1-1 72,-2 2 40,-1-4-808,0 3 800,0 7-40,0-8-39,-4 9-81,-7-7-8,2 10-16,9-14-616,-10 11 488,-4 3-80,-3 1-128,-2 1-96,-3 0 0,0-3 16,22-13-200,-26 17 144,0-1 0,-3 0-16,2 2-56,-2-3 65,-1 0-137,30-15 0,-30 17 0,1 0-16,-2 1-64,0-1 136,1-4-112,0 2 7,30-15 49,-28 14-192,2-4-64,2 1-40,0-7-240,4 5-216,-1-6-280,21-3 1032,-20 3-1256,2 1-161,1-2-31,2-2 24,1 0 95,1-1 313,13 1 1016,-13-3-648,4-2 280,-1-5 240,6 5 96,-8-8-8,10 1 8,2 12 32,-4-14-24,1 1 0,0-3 48,3 3-40,0 2 16,0 0 16,0 11-16,0-3 0,0-8 56,0 7 128,0-1 328,0 2 424,0-1 449,0 4-1385,-2-3 1680,-1 0-64,1 1-231,0 1-265,-2-2-160,1 2-216,3 1-744,-4 0 608,-7 0-16,9 0-103,-2 0-129,-8 3-32,9-1-32,3-2-296,-15 4 200,3-1 96,0 0-80,-1-1-144,-3 1 40,1 8-120,15-11 8,-17 4 0,-1 7 112,0-8-48,0 8-48,-1-7-16,1 8-48,18-12 48,-18 3-80,0 10 104,1-10-64,1 8 24,-1-8 16,1 9-80,16-12 80,-16 4-16,2 5-64,-1-9 0,0 4-8,0 0-56,-1-1-40,16-3 184,-16 4-264,2-2-24,1 1-40,-1-1 0,-1-2-1,0 2 49,15-2 280,-16 3-208,-1-3 72,2 0-8,-2 0 88,-1 0 16,0 0-8,18 0 48,-19 0 8,1 0 32,0 0-24,0 0 8,-1 0-16,1 0-8,18 0 0,-18 0 40,0 0 32,1 0-40,1 0 0,1 0-24,0 0-32,15 0 24,-15-1 56,1-1-16,-1 1 32,2-1 40,1-2-24,0 1 48,12 3-136,-11-4 168,7-1-16,-10-4-48,11 5-96,-7-7-128,8 2-88,2 9 208,-10-10-248,8-1-56,-1-1-48,0 0-40,-1 0-56,2-1-32,2 13 480,0-13-528,0 0-64,0-3-24,1 2 23,1-2 41,2 1 64,-4 15 488,11-16-440,-8 0 96,7 2 48,-5 1 40,8 0 24,-4 1 72,-9 12 160,10-12-128,0 2 88,-1 1 48,1 4 0,-1-5 16,1 7 8,-10 3-32,9-4 56,-5-1-16,8 2 0,-8-1 8,7 3 8,-8 0 32,-3 1-88,5 0 88,0 0-8,-2 0-32,1 0-16,-2 3 16,-1 8 16,-1-11-64,3 2 88,0 10 32,1-2 8,-3 2 8,2 2 8,-2 3-32,-1-17-112,1 19 96,0 2-8,-1 0-40,0 3-16,0 3 0,0 0-16,0-27-16,0 30 40,0-1-8,-2 1-8,2 0-16,-3 0 0,3 1 8,0-31-16,0 33 0,0 2 32,2 0-8,1 0 40,2-3 16,6 0 32,-11-32-112,4 32 136,12-2 56,-3-2 64,3 1 40,-1-1 9,3-2-41,-18-26-264,22 25 224,1 0-64,4-2-8,3-1-8,3-3-8,3-1-16,-36-18-120,38 14 48,5 1-48,1-2-40,3-1-32,1 0-24,0-3-96,-48-9 192,52 4-432,0 8-208,4-10-241,2 2-135,3 5-112,3-9-144,-64 0 1272,66 0-1265,2 0 337,4 0 320,1-2 296,3-8-1520,-76 10 1832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A19" zoomScale="130" zoomScaleNormal="100" zoomScaleSheetLayoutView="130" workbookViewId="0">
      <selection activeCell="F9" sqref="F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9" t="s">
        <v>193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x14ac:dyDescent="0.3">
      <c r="B2" s="11" t="s">
        <v>8</v>
      </c>
      <c r="C2" s="75" t="s">
        <v>41</v>
      </c>
      <c r="D2" s="75"/>
      <c r="E2" s="11" t="s">
        <v>7</v>
      </c>
      <c r="F2" s="70">
        <v>45944</v>
      </c>
      <c r="G2" s="70"/>
      <c r="H2" s="70"/>
      <c r="I2" s="70"/>
      <c r="J2" s="70"/>
    </row>
    <row r="3" spans="1:10" ht="30" customHeight="1" x14ac:dyDescent="0.3">
      <c r="B3" s="11" t="s">
        <v>9</v>
      </c>
      <c r="C3" s="75" t="s">
        <v>82</v>
      </c>
      <c r="D3" s="75"/>
      <c r="E3" s="11" t="s">
        <v>6</v>
      </c>
      <c r="F3" s="75" t="s">
        <v>92</v>
      </c>
      <c r="G3" s="75"/>
      <c r="H3" s="75"/>
      <c r="I3" s="75"/>
      <c r="J3" s="7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71" t="s">
        <v>0</v>
      </c>
      <c r="C5" s="72"/>
      <c r="D5" s="72"/>
      <c r="E5" s="76" t="s">
        <v>1</v>
      </c>
      <c r="F5" s="76"/>
      <c r="G5" s="76"/>
      <c r="H5" s="76"/>
      <c r="I5" s="76" t="s">
        <v>2</v>
      </c>
      <c r="J5" s="77"/>
    </row>
    <row r="6" spans="1:10" ht="24.9" customHeight="1" thickBot="1" x14ac:dyDescent="0.35">
      <c r="A6" s="9"/>
      <c r="B6" s="73"/>
      <c r="C6" s="74"/>
      <c r="D6" s="74"/>
      <c r="E6" s="10" t="s">
        <v>3</v>
      </c>
      <c r="F6" s="10" t="s">
        <v>4</v>
      </c>
      <c r="G6" s="10" t="s">
        <v>23</v>
      </c>
      <c r="H6" s="10" t="s">
        <v>24</v>
      </c>
      <c r="I6" s="78"/>
      <c r="J6" s="79"/>
    </row>
    <row r="7" spans="1:10" ht="24.9" customHeight="1" thickBot="1" x14ac:dyDescent="0.35">
      <c r="A7" s="9"/>
      <c r="B7" s="59" t="s">
        <v>21</v>
      </c>
      <c r="C7" s="60"/>
      <c r="D7" s="60"/>
      <c r="E7" s="30" t="s">
        <v>18</v>
      </c>
      <c r="F7" s="30" t="s">
        <v>19</v>
      </c>
      <c r="G7" s="30" t="s">
        <v>22</v>
      </c>
      <c r="H7" s="30" t="s">
        <v>20</v>
      </c>
      <c r="I7" s="61" t="s">
        <v>25</v>
      </c>
      <c r="J7" s="62"/>
    </row>
    <row r="8" spans="1:10" ht="30" customHeight="1" x14ac:dyDescent="0.3">
      <c r="A8" s="9"/>
      <c r="B8" s="65" t="s">
        <v>178</v>
      </c>
      <c r="C8" s="66"/>
      <c r="D8" s="66"/>
      <c r="E8" s="35"/>
      <c r="F8" s="36"/>
      <c r="G8" s="37"/>
      <c r="H8" s="38"/>
      <c r="I8" s="86"/>
      <c r="J8" s="87"/>
    </row>
    <row r="9" spans="1:10" ht="30" customHeight="1" x14ac:dyDescent="0.3">
      <c r="A9" s="9"/>
      <c r="B9" s="48" t="s">
        <v>182</v>
      </c>
      <c r="C9" s="49"/>
      <c r="D9" s="49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3"/>
      <c r="J9" s="64"/>
    </row>
    <row r="10" spans="1:10" ht="30" customHeight="1" x14ac:dyDescent="0.3">
      <c r="A10" s="9"/>
      <c r="B10" s="48" t="s">
        <v>183</v>
      </c>
      <c r="C10" s="49"/>
      <c r="D10" s="49"/>
      <c r="E10" s="32">
        <v>3</v>
      </c>
      <c r="F10" s="25">
        <v>2.25</v>
      </c>
      <c r="G10" s="33">
        <f t="shared" ref="G10:G21" si="0">IFERROR(F10/E10,"")</f>
        <v>0.75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</v>
      </c>
      <c r="I10" s="63"/>
      <c r="J10" s="64"/>
    </row>
    <row r="11" spans="1:10" ht="30" customHeight="1" x14ac:dyDescent="0.3">
      <c r="A11" s="9"/>
      <c r="B11" s="48" t="s">
        <v>184</v>
      </c>
      <c r="C11" s="49"/>
      <c r="D11" s="49"/>
      <c r="E11" s="32">
        <v>3</v>
      </c>
      <c r="F11" s="25">
        <v>2.25</v>
      </c>
      <c r="G11" s="33">
        <f t="shared" si="0"/>
        <v>0.75</v>
      </c>
      <c r="H11" s="34" t="str">
        <f t="shared" si="1"/>
        <v>جيد</v>
      </c>
      <c r="I11" s="63"/>
      <c r="J11" s="64"/>
    </row>
    <row r="12" spans="1:10" ht="30" customHeight="1" x14ac:dyDescent="0.3">
      <c r="A12" s="9"/>
      <c r="B12" s="48" t="s">
        <v>185</v>
      </c>
      <c r="C12" s="49"/>
      <c r="D12" s="49"/>
      <c r="E12" s="32">
        <v>3</v>
      </c>
      <c r="F12" s="25">
        <v>2</v>
      </c>
      <c r="G12" s="33">
        <f t="shared" si="0"/>
        <v>0.66666666666666663</v>
      </c>
      <c r="H12" s="34" t="str">
        <f t="shared" si="1"/>
        <v>مقبول</v>
      </c>
      <c r="I12" s="63"/>
      <c r="J12" s="64"/>
    </row>
    <row r="13" spans="1:10" ht="30" customHeight="1" x14ac:dyDescent="0.3">
      <c r="A13" s="9"/>
      <c r="B13" s="48" t="s">
        <v>186</v>
      </c>
      <c r="C13" s="49"/>
      <c r="D13" s="49"/>
      <c r="E13" s="32">
        <v>3</v>
      </c>
      <c r="F13" s="25">
        <v>2.25</v>
      </c>
      <c r="G13" s="33">
        <f t="shared" si="0"/>
        <v>0.75</v>
      </c>
      <c r="H13" s="34" t="str">
        <f t="shared" si="1"/>
        <v>جيد</v>
      </c>
      <c r="I13" s="63"/>
      <c r="J13" s="64"/>
    </row>
    <row r="14" spans="1:10" ht="30" customHeight="1" thickBot="1" x14ac:dyDescent="0.35">
      <c r="A14" s="9"/>
      <c r="B14" s="67" t="s">
        <v>187</v>
      </c>
      <c r="C14" s="68"/>
      <c r="D14" s="68"/>
      <c r="E14" s="39">
        <v>3</v>
      </c>
      <c r="F14" s="26">
        <v>2.25</v>
      </c>
      <c r="G14" s="40">
        <f t="shared" si="0"/>
        <v>0.75</v>
      </c>
      <c r="H14" s="41" t="str">
        <f t="shared" si="1"/>
        <v>جيد</v>
      </c>
      <c r="I14" s="57"/>
      <c r="J14" s="58"/>
    </row>
    <row r="15" spans="1:10" ht="30" customHeight="1" x14ac:dyDescent="0.3">
      <c r="A15" s="9"/>
      <c r="B15" s="65" t="s">
        <v>179</v>
      </c>
      <c r="C15" s="66"/>
      <c r="D15" s="66"/>
      <c r="E15" s="35"/>
      <c r="F15" s="36"/>
      <c r="G15" s="37"/>
      <c r="H15" s="38"/>
      <c r="I15" s="86"/>
      <c r="J15" s="87"/>
    </row>
    <row r="16" spans="1:10" ht="30" customHeight="1" x14ac:dyDescent="0.3">
      <c r="A16" s="9"/>
      <c r="B16" s="48" t="s">
        <v>188</v>
      </c>
      <c r="C16" s="49"/>
      <c r="D16" s="49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63"/>
      <c r="J16" s="64"/>
    </row>
    <row r="17" spans="1:10" ht="30" customHeight="1" x14ac:dyDescent="0.3">
      <c r="A17" s="9"/>
      <c r="B17" s="48" t="s">
        <v>180</v>
      </c>
      <c r="C17" s="49"/>
      <c r="D17" s="49"/>
      <c r="E17" s="32">
        <v>3</v>
      </c>
      <c r="F17" s="25">
        <v>2</v>
      </c>
      <c r="G17" s="33">
        <f t="shared" si="0"/>
        <v>0.66666666666666663</v>
      </c>
      <c r="H17" s="34" t="str">
        <f t="shared" si="1"/>
        <v>مقبول</v>
      </c>
      <c r="I17" s="63"/>
      <c r="J17" s="64"/>
    </row>
    <row r="18" spans="1:10" ht="30" customHeight="1" x14ac:dyDescent="0.3">
      <c r="A18" s="9"/>
      <c r="B18" s="48" t="s">
        <v>181</v>
      </c>
      <c r="C18" s="49"/>
      <c r="D18" s="49"/>
      <c r="E18" s="32">
        <v>3</v>
      </c>
      <c r="F18" s="25">
        <v>2</v>
      </c>
      <c r="G18" s="33">
        <f t="shared" si="0"/>
        <v>0.66666666666666663</v>
      </c>
      <c r="H18" s="34" t="str">
        <f t="shared" si="1"/>
        <v>مقبول</v>
      </c>
      <c r="I18" s="63"/>
      <c r="J18" s="64"/>
    </row>
    <row r="19" spans="1:10" ht="30" customHeight="1" x14ac:dyDescent="0.3">
      <c r="A19" s="9"/>
      <c r="B19" s="48" t="s">
        <v>189</v>
      </c>
      <c r="C19" s="49"/>
      <c r="D19" s="49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63"/>
      <c r="J19" s="64"/>
    </row>
    <row r="20" spans="1:10" ht="30" customHeight="1" x14ac:dyDescent="0.3">
      <c r="A20" s="9"/>
      <c r="B20" s="48" t="s">
        <v>190</v>
      </c>
      <c r="C20" s="49"/>
      <c r="D20" s="49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63"/>
      <c r="J20" s="64"/>
    </row>
    <row r="21" spans="1:10" ht="30" customHeight="1" thickBot="1" x14ac:dyDescent="0.35">
      <c r="A21" s="9"/>
      <c r="B21" s="67" t="s">
        <v>191</v>
      </c>
      <c r="C21" s="68"/>
      <c r="D21" s="68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7"/>
      <c r="J21" s="58"/>
    </row>
    <row r="22" spans="1:10" ht="30" customHeight="1" thickBot="1" x14ac:dyDescent="0.35">
      <c r="A22" s="4"/>
      <c r="B22" s="88" t="s">
        <v>5</v>
      </c>
      <c r="C22" s="89"/>
      <c r="D22" s="89"/>
      <c r="E22" s="31">
        <f>SUM(E8:E21)</f>
        <v>36</v>
      </c>
      <c r="F22" s="31">
        <f>SUM(F8:F21)</f>
        <v>26.25</v>
      </c>
      <c r="G22" s="52"/>
      <c r="H22" s="53"/>
      <c r="I22" s="53"/>
      <c r="J22" s="54"/>
    </row>
    <row r="23" spans="1:10" ht="30" customHeight="1" thickBot="1" x14ac:dyDescent="0.35">
      <c r="A23" s="4"/>
      <c r="B23" s="90" t="s">
        <v>54</v>
      </c>
      <c r="C23" s="91"/>
      <c r="D23" s="91"/>
      <c r="E23" s="55">
        <f>F22/E22/100*100</f>
        <v>0.72916666666666663</v>
      </c>
      <c r="F23" s="55"/>
      <c r="G23" s="55"/>
      <c r="H23" s="55"/>
      <c r="I23" s="55"/>
      <c r="J23" s="56"/>
    </row>
    <row r="24" spans="1:10" ht="30" customHeight="1" thickBot="1" x14ac:dyDescent="0.35">
      <c r="A24" s="4"/>
      <c r="B24" s="90" t="s">
        <v>55</v>
      </c>
      <c r="C24" s="91"/>
      <c r="D24" s="91"/>
      <c r="E24" s="46" t="str">
        <f>_xlfn.IFS(E23&gt;=90%,"ممتاز",E23&gt;=80%,"جيد جداً",E23&gt;=70%,"جيد",E23&gt;=60%,"مقبول",E23&lt;60%,"راسب")</f>
        <v>جيد</v>
      </c>
      <c r="F24" s="46"/>
      <c r="G24" s="46"/>
      <c r="H24" s="46"/>
      <c r="I24" s="46"/>
      <c r="J24" s="47"/>
    </row>
    <row r="25" spans="1:10" ht="42" customHeight="1" x14ac:dyDescent="0.3">
      <c r="B25" s="42" t="s">
        <v>192</v>
      </c>
      <c r="C25" s="42"/>
      <c r="D25" s="42"/>
      <c r="E25" s="50" t="s">
        <v>52</v>
      </c>
      <c r="F25" s="50"/>
      <c r="G25" s="44" t="s">
        <v>92</v>
      </c>
      <c r="H25" s="44"/>
      <c r="I25" s="44"/>
      <c r="J25" s="44"/>
    </row>
    <row r="26" spans="1:10" ht="51" customHeight="1" x14ac:dyDescent="0.3">
      <c r="A26" s="5"/>
      <c r="B26" s="43"/>
      <c r="C26" s="43"/>
      <c r="D26" s="43"/>
      <c r="E26" s="51" t="s">
        <v>53</v>
      </c>
      <c r="F26" s="51"/>
      <c r="G26" s="45"/>
      <c r="H26" s="45"/>
      <c r="I26" s="45"/>
      <c r="J26" s="45"/>
    </row>
    <row r="27" spans="1:10" ht="15.6" x14ac:dyDescent="0.3">
      <c r="A27" s="27">
        <v>3</v>
      </c>
      <c r="B27" s="80" t="s">
        <v>175</v>
      </c>
      <c r="C27" s="81"/>
    </row>
    <row r="28" spans="1:10" ht="15.6" x14ac:dyDescent="0.3">
      <c r="A28" s="28">
        <v>2</v>
      </c>
      <c r="B28" s="82" t="s">
        <v>176</v>
      </c>
      <c r="C28" s="83"/>
    </row>
    <row r="29" spans="1:10" ht="15.6" x14ac:dyDescent="0.3">
      <c r="A29" s="29">
        <v>1</v>
      </c>
      <c r="B29" s="84" t="s">
        <v>177</v>
      </c>
      <c r="C29" s="8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2025-10-15T17:36:49Z</dcterms:modified>
</cp:coreProperties>
</file>