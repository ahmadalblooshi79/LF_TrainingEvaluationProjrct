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DCE4448-5B33-6340-A586-EC77DAAD9D0D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3" i="2"/>
  <c r="H13" i="2"/>
  <c r="G16" i="2"/>
  <c r="H16" i="2"/>
  <c r="G17" i="2"/>
  <c r="H17" i="2"/>
  <c r="G18" i="2"/>
  <c r="H18" i="2"/>
  <c r="G19" i="2"/>
  <c r="H19" i="2"/>
  <c r="G20" i="2"/>
  <c r="H20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F30" i="2"/>
  <c r="E30" i="2"/>
  <c r="E31" i="2"/>
  <c r="E32" i="2"/>
</calcChain>
</file>

<file path=xl/sharedStrings.xml><?xml version="1.0" encoding="utf-8"?>
<sst xmlns="http://schemas.openxmlformats.org/spreadsheetml/2006/main" count="255" uniqueCount="199">
  <si>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</si>
  <si>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</si>
  <si>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</si>
  <si>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</si>
  <si>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</si>
  <si>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</si>
  <si>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</si>
  <si>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</si>
  <si>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</si>
  <si>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</si>
  <si>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</si>
  <si>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</si>
  <si>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</si>
  <si>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</si>
  <si>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</si>
  <si>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</si>
  <si>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</si>
  <si>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</si>
  <si>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</si>
  <si>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</si>
  <si>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</si>
  <si>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</si>
  <si>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</si>
  <si>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</si>
  <si>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</si>
  <si>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</si>
  <si>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</si>
  <si>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</si>
  <si>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</si>
  <si>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</si>
  <si>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</si>
  <si>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</si>
  <si>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</si>
  <si>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</si>
  <si>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</si>
  <si>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</si>
  <si>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</si>
  <si>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</si>
  <si>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</si>
  <si>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</si>
  <si>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</si>
  <si>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</si>
  <si>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</si>
  <si>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</si>
  <si>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</si>
  <si>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</si>
  <si>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</si>
  <si>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</si>
  <si>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</si>
  <si>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</si>
  <si>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</si>
  <si>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</si>
  <si>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</si>
  <si>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</si>
  <si>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</si>
  <si>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</si>
  <si>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</si>
  <si>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</si>
  <si>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</si>
  <si>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</si>
  <si>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</si>
  <si>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</si>
  <si>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</si>
  <si>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</si>
  <si>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</si>
  <si>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</si>
  <si>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</si>
  <si>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</si>
  <si>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</si>
  <si>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</si>
  <si>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</si>
  <si>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</si>
  <si>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</si>
  <si>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</si>
  <si>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</si>
  <si>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</si>
  <si>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</si>
  <si>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</si>
  <si>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</si>
  <si>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</si>
  <si>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</si>
  <si>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</si>
  <si>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</si>
  <si>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</si>
  <si>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</si>
  <si>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</si>
  <si>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</si>
  <si>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</si>
  <si>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</si>
  <si>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</si>
  <si>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</si>
  <si>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</si>
  <si>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</si>
  <si>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</si>
  <si>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</si>
  <si>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</si>
  <si>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</si>
  <si>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</si>
  <si>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</si>
  <si>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</si>
  <si>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</si>
  <si>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</si>
  <si>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</si>
  <si>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</si>
  <si>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</si>
  <si>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</si>
  <si>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</si>
  <si>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</si>
  <si>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</si>
  <si>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</si>
  <si>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</si>
  <si>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</si>
  <si>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</si>
  <si>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</si>
  <si>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</si>
  <si>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</si>
  <si>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</si>
  <si>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</si>
  <si>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</si>
  <si>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</si>
  <si>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</si>
  <si>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</si>
  <si>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</si>
  <si>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</si>
  <si>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</si>
  <si>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</si>
  <si>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</si>
  <si>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</si>
  <si>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</si>
  <si>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</si>
  <si>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</si>
  <si>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</si>
  <si>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</si>
  <si>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</si>
  <si>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</si>
  <si>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</si>
  <si>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</si>
  <si>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</si>
  <si>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</si>
  <si>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</si>
  <si>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</si>
  <si>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</si>
  <si>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</si>
  <si>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</si>
  <si>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</si>
  <si>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</si>
  <si>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</si>
  <si>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</si>
  <si>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</si>
  <si>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</si>
  <si>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</si>
  <si>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</si>
  <si>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</si>
  <si>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</si>
  <si>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</si>
  <si>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</si>
  <si>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</si>
  <si>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</si>
  <si>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</si>
  <si>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</si>
  <si>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</si>
  <si>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</si>
  <si>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</si>
  <si>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</si>
  <si>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</si>
  <si>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</si>
  <si>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</si>
  <si>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</si>
  <si>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</si>
  <si>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</si>
  <si>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</si>
  <si>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</si>
  <si>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</si>
  <si>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</si>
  <si>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</si>
  <si>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</si>
  <si>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أ.     يطلب ضابط الإسناد الناري التقييم من ضباط الرصد.</t>
  </si>
  <si>
    <t>ب.   يطلب ضابط الإسناد الناري من خلال ضابط الاستخبارات تقييم الأضرار على الأهداف المحددة.</t>
  </si>
  <si>
    <t>أ.    إدامة المعلومات عن حالة عناصر الإسناد الناري المتوفرة لتشمل ما يلي:</t>
  </si>
  <si>
    <t>(1)  المواقع.</t>
  </si>
  <si>
    <t>(2)  المهام.</t>
  </si>
  <si>
    <t>(3)  الإمكانيات.</t>
  </si>
  <si>
    <t>(4)  موقف الذخيرة.</t>
  </si>
  <si>
    <t>(5)  حالة المعدات.</t>
  </si>
  <si>
    <t>ب.   جمع وإدامة ومعرفة موقف القوات الصديقة لتشمل:</t>
  </si>
  <si>
    <t>(1)  مخططات المناورة.</t>
  </si>
  <si>
    <t>(2)  مواقع قوات المناورة ومواقع عناصر الإسناد الإداري والنقليات.</t>
  </si>
  <si>
    <t>(3)  أماكن ضباط الرصد كما تم التبليغ عنها.</t>
  </si>
  <si>
    <t>(4)  موانع القوات الصديقة وموانع العدو.</t>
  </si>
  <si>
    <t xml:space="preserve">جـ.   توقع أين ومتى يحتاج ضابط الإسناد الناري لاتخاذ قرار أو توصيات أو القيام بإجراء.  </t>
  </si>
  <si>
    <t>د.   البقاء على اطلاع على تغييرات خطة المناورة والنيران أثناء المعركة.</t>
  </si>
  <si>
    <r>
      <t>4.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مراقبة شبكات الاتصالات للوحدات لضمان اتباع الإجراءات المحددة.</t>
    </r>
  </si>
  <si>
    <r>
      <t>5.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إدامة كافة معلومات تحديد الأهداف الحالية في قائمة البيانات المناسبة.</t>
    </r>
  </si>
  <si>
    <r>
      <t>1.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 يقوم ضابط الإسناد الناري بتنسيق طلبات الإسناد الناري المخططة وذلك من خلال:</t>
    </r>
    <r>
      <rPr>
        <sz val="14"/>
        <color theme="1"/>
        <rFont val="Calibri Light"/>
        <family val="2"/>
      </rPr>
      <t xml:space="preserve">  </t>
    </r>
  </si>
  <si>
    <t>ب.    رد الفعل على المواقف المتغيرة.</t>
  </si>
  <si>
    <t>أ.     استلام طلبات الوحدات للنيران المخططة (القصف التمهيدي - الأهداف ذات الأولوية - الأهداف تحت الطلب - القصف المعاكس).</t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</si>
  <si>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 xml:space="preserve"> يقوم ضابط الإسناد الناري بعمل تقييم للعمليات القتالية من خلال: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</si>
  <si>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يراقب ضابط الإسناد الناري الموقف الحالي ويشمل:</t>
    </r>
  </si>
  <si>
    <r>
      <rPr>
        <b/>
        <sz val="14"/>
        <color rgb="FF000000"/>
        <rFont val="Arial"/>
        <family val="2"/>
      </rPr>
      <t>تقييم الكتيبة/ مجموعة القتال في استخدام النيران المميتة في إسناد الكتيبة/ مجموعة القتال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</si>
</sst>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4"/>
      <color theme="1"/>
      <name val="Calibri Light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7" fillId="0" borderId="2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628021</xdr:colOff>
      <xdr:row>33</xdr:row>
      <xdr:rowOff>112668</xdr:rowOff>
    </xdr:from>
    <xdr:to>
      <xdr:col>8</xdr:col>
      <xdr:colOff>104560</xdr:colOff>
      <xdr:row>33</xdr:row>
      <xdr:rowOff>480588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6EA161B-A568-7B62-9753-C0DC70896AD5}"/>
                </a:ext>
              </a:extLst>
            </xdr14:cNvPr>
            <xdr14:cNvContentPartPr/>
          </xdr14:nvContentPartPr>
          <xdr14:nvPr macro=""/>
          <xdr14:xfrm>
            <a:off x="10399140349" y="15629760"/>
            <a:ext cx="792720" cy="3679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6EA161B-A568-7B62-9753-C0DC70896A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34229" y="15623640"/>
              <a:ext cx="804960" cy="38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40120</xdr:colOff>
      <xdr:row>33</xdr:row>
      <xdr:rowOff>159108</xdr:rowOff>
    </xdr:from>
    <xdr:to>
      <xdr:col>9</xdr:col>
      <xdr:colOff>294990</xdr:colOff>
      <xdr:row>33</xdr:row>
      <xdr:rowOff>540348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8A5C5AF-0F3E-CFDA-9D95-69DA6F3738CA}"/>
                </a:ext>
              </a:extLst>
            </xdr14:cNvPr>
            <xdr14:cNvContentPartPr/>
          </xdr14:nvContentPartPr>
          <xdr14:nvPr macro=""/>
          <xdr14:xfrm>
            <a:off x="10398291829" y="15676200"/>
            <a:ext cx="912960" cy="3812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8A5C5AF-0F3E-CFDA-9D95-69DA6F3738C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285709" y="15670080"/>
              <a:ext cx="925200" cy="393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9:14:54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1660 1021 14403,'0'0'0,"0"0"0,0 0 1664,2-11-288,-2 8 201,5-9-201,-5 12-1376,3 0 1024,-1 0-280,-2 0-288,0 0-104,0 0-352,0-3 360,0 3-87,0-2-81,0-1 0,0 3-192,0 0 136,0-3 56,0 3 16,0-3-16,0 3-192,-2-3 296,-3 0-32,2 3 64,3-2-48,0 2-280,-2-5 216,-5 2 80,-3 1 8,5-3-56,5 5-248,-2-4 200,-1-9-80,-1 9 8,-8-10 40,12 14-168,-3-13 96,-9 0-8,10-1-72,-3-2-40,5 16 24,-12-15 0,10-4-104,-13-1 32,13 2 40,2 18 32,-17-20-88,12 0 128,-7 2 152,10-1-16,2 19-176,-15-20 152,10 2 41,-11-1-297,13 1 47,3 18 57,-14-19 129,9 1-57,-7 1 8,7-2 168,5 19-248,-5-17 112,0 0-384,-7 0 392,12 3-80,0 14-40,-2-14 80,-8-1 384,10 3-392,-4-1 24,4 13-96,-3-11 40,-2-1-8,5 8-120,-2-9 160,2 13-72,0-4 0,-5-8 32,5 10 104,0-3-120,0 5-16,0-4-16,0-7-32,0 8 40,3-1-72,-3 4 80,2-12 32,0 9-48,1-1-16,9-7 0,-12 11 32,5-3-40,7-1 24,-10 1 32,10 0-112,-12 3 96,5-3-56,9 3-8,1 0-24,-6 0 136,-9 0-48,15 0-32,-10 0 32,9 0 72,0-3-56,-14 3-16,17-3 32,-2 3-48,4-2 48,0-1-32,-19 3 0,19-3 0,1 0 120,-1 0-56,-2 0 24,-17 3-88,19-2-88,-5-3 40,6 1-136,-1-9 112,-19 13 72,17-3 192,0-8-176,2 7-48,-2-11 64,-17 15-32,21-11-56,-1 0 112,1-1 8,1 0-128,-22 12 64,22-12 32,2-1-240,-3 1 312,1-1-104,-22 13 0,22-13-240,-3 2 280,-5 6-40,1-10 48,-15 15-48,14-5 48,3-9 8,-5 10-232,-10-9 176,-2 13 0,15-4 72,-8-9-136,5 9 112,-5-7-152,-7 11 104,12-5-48,-7-6-24,7 11 0,-12-4 40,0 4 32,5-5-32,0 1 0,-3 1 112,-2 3-96,0 0 16,0 0-152,0 0 112,0 0-80,0 0-88,0 0 208,0 0-105,-5 0-103,3 0-40,-3 3 80,5-3 168,-2 4-128,-8 1 8,5 6 64,-4-7-16,9-4 72,-8 13-16,-6-9-8,12 12 136,-13-10-40,15-6-72,-5 15-16,-9-3 8,2-1-128,0 2 96,12-13 40,-12 11 88,-3 2-88,3-2-16,-4 2 32,16-13-16,-15 14-32,-2-2 32,-2 1 16,5 1-16,14-14 0,-20 13 56,4 1-72,-1-1-24,-3 1 24,20-14 16,-21 14-192,4 0 192,-5 2 48,5-2-8,17-14-40,-19 14 32,0-1-16,0 0-32,-3-2-128,22-11 144,-22 6-16,6 10 56,-1-11 8,2 11 128,15-16-176,-14 6 112,-1 8-80,-1-9 24,-1 10-112,17-15 56,-19 4-104,2 10 0,0-10 24,-2 8 32,19-12 48,-17 4 32,-2 7-8,4-6-48,-2 0 80,17-5-56,-17 6-40,3 0 80,-5-1 0,4 0-48,15-5 8,-12 5 24,0 0-8,0-1 24,-2 0-8,14-4-32,-12 3 56,-5-2 32,5 1 104,0-1-88,12-1-104,-12 0 88,7 0-48,-12 0-64,0 0 136,17 0-112,-14 0 16,-3 0 48,0 0 8,0-3-128,17 3 56,-16-2 96,-1-3-64,-2 1 32,2-9-7,17 13-57,-24-3-73,0-8 162,0 7-73,4-10-48,20 14 32,-21-5 160,1-12-72,-4 4 8,0-2 200,24 15-296,-21-17 192,-3-2-536,-5-1 480,2-1-48,27 21-88,-31-24-56,2 0 504,3-3-368,-3 3-248,29 24 168,-24-25-64,2 4 8,0 4-48,6 1 136,16 16-32,-15-11 24,1 7 40,2-9-96,7 10 32,5 3 0,-14-3 32,11-1 8,-2-7 40,0 11-8,5 0-72,-2-5 64,-3 3-48,0-1 40,3 0-40,2 3-16,0 0 16,0-3-48,-5 3-104,5 0 16,0 0 120,0 0-152,0 1 24,5 4 8,-3 9 40,-2-14 80,12 14-16,-4 2 0,9 1 32,-5 3-40,-12-20 24,14 21-64,5 0 48,-4 1-72,4-2 0,-19-20 88,19 21 160,3-3-56,-1 1-8,-1-2 128,-20-17-224,19 16-80,0 1 96,-2-2 0,0-1-32,-17-14 16,17 16 64,-3 0-64,1-2-80,-1 2 72,-14-16 8,14 14 72,-9 0-104,7 0 16,-9 0-240,-3-14 256,7 15-88,-2-4 72,2-5 136,-2 6-88,-5-12-32,7 3 0,-5 3 16,6 0-88,-6-1 112,-2-5-40,2 5 0,1 0-16,-3 1-72,2-2 224,-2-4-136,3 6-48,-1-2 80,-2 1-64,-5-1 64,5-4-32,-5 4 16,-7 2-80,10 5 160,-15-7-304,17-4 208,-14 5 24,-1-1 8,1 0-104,-5-1 232,19-3-160,-17 3-16,-5-2 32,0 1 120,1-2-192,21 0 56,-24 0-64,-3-3 16,1 0-160,-1-1 80,27 4 128,-26-3-185,2-1 25,5 1 88,-1 0 24,20 3 48,-16 0-16,-1-3-40,-3 0 24,8 3 80,12 0-48,-9-3 0,6-1 32,-1 1-24,-8 0 56,12 3-64,0-2-16,0-1 32,0 0-48,0-1-8,0 4 40,2-5-64,0 1 24,6-9 40,1 11-136,-9 2 136,5-12 0,7 8-40,-7-9 40,7 9-32,-12 4 32,5-13 32,7 9 8,-10-9-80,3 9 168,-5 4-128,5-16 72,0 12 32,-1-10-40,-4 11 40,0 3-104,0-12 40,0 10 81,0-3-17,-4 1-16,4 4-88,-3-4 72,-14-1-96,3 3 96,-1-1-144,15 3 72,-24 0-32,0 0 0,-2 0-24,-5 1 40,31-1 16,-32 3 16,1 1 24,5-2 112,-6-1-120,32-1-32,-26 2-16,-5-1 0,4-1-48,6 1-8,21-1 72,-29 0-72,5 0-361,0 0-487,-1 0-576,25 0 1496,-19 0-2393,-2 0-879,-3 3-4762,-8-1-472,32-2 8506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9:14:55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1239 532 18195,'0'0'0,"-3"5"1137,-1 0-561,-1 1 216,5-6-792,-3 6 808,3-5-80,0-1-272,0 0-248,0 0-208,3 1 248,-1 1-168,3 2 80,9 0 57,-14-4-217,15 6 176,7 5 72,2-6 16,2 6-32,-26-11-232,26 4 248,6 8-8,-6-8 24,10 0 104,-36-4-368,34 4 328,4-2 112,-1-2-24,3 0-64,-40 0-352,41-4 384,-2-8-120,2 8-56,2-9 9,-43 13-217,41-11 200,2 7-88,5-15 24,0 8-416,-48 11 280,48-13 104,1 0 136,-1 0 0,0 1 200,-48 12-440,48-13 160,-2 0-144,-8 2-40,-2 6 24,-36 5 0,34-17-32,-5 13 104,4-13 80,-11 6-168,-22 11 16,22-13-88,-1 0-112,-4-1-104,-2-2 440,-15 16-136,12-14 168,-8-2-48,1 2-8,0-2-112,-5 16 0,5-15 56,-3-4 176,-2 1 64,0-3-88,0 21-208,-5-22 208,-7-1-208,8 2 88,-11 0 8,15 21-96,-14-20 16,2 4-48,-3-1 32,1 3 32,14 14-32,-12-11 80,-3-1 24,-1 8-24,-4 0 16,20 4-96,-24-12-64,0 12 96,0-2-48,-7-1-48,31 3 64,-31 0-32,-3-3 64,-5 3 32,1-3-256,38 3 192,-41-3-88,5 0-72,2 3-120,3-3 328,31 3-48,-34 0-48,3 0 8,0-2 112,-3 2-40,34 0-32,-33 0 16,-4 0 16,-1 2-32,2 1-48,36-3 48,-36 5 48,-8-1 0,1 0-96,-7 9 160,50-13-112,-51 11 40,3 2 8,-2 3-32,1 2-48,49-18 32,-50 20 64,-1 1-216,1 2 136,2 1-216,48-24 232,-46 24-280,3 1 96,2 0 80,-5 4-64,46-29 168,-38 30-184,-1 2 136,-2 4-88,0 1 288,41-37-152,-40 41 104,-4 0 24,1-1 208,2 0-200,41-40-136,-46 37 248,1 1-64,1 2-216,1 1-16,43-41 48,-48 40-216,0 0-152,24-22-312,-10 6-312,34-24 992,-36 23-1409,-7 7-615,-5 0-697,-8 5-1064,56-35 3785,-60 40-6657,-12 4-1857,72-44 8514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C19" zoomScale="130" zoomScaleNormal="100" zoomScaleSheetLayoutView="130" workbookViewId="0">
      <selection activeCell="G34" sqref="G34:J34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5" t="s">
        <v>198</v>
      </c>
      <c r="C1" s="55"/>
      <c r="D1" s="55"/>
      <c r="E1" s="55"/>
      <c r="F1" s="55"/>
      <c r="G1" s="55"/>
      <c r="H1" s="55"/>
      <c r="I1" s="55"/>
      <c r="J1" s="55"/>
    </row>
    <row r="2" spans="1:10" ht="30" customHeight="1">
      <c r="B2" s="12" t="s">
        <v>8</v>
      </c>
      <c r="C2" s="61" t="s">
        <v>44</v>
      </c>
      <c r="D2" s="61"/>
      <c r="E2" s="12" t="s">
        <v>7</v>
      </c>
      <c r="F2" s="56">
        <v>45957</v>
      </c>
      <c r="G2" s="56"/>
      <c r="H2" s="56"/>
      <c r="I2" s="56"/>
      <c r="J2" s="56"/>
    </row>
    <row r="3" spans="1:10" ht="30" customHeight="1">
      <c r="B3" s="12" t="s">
        <v>9</v>
      </c>
      <c r="C3" s="61" t="s">
        <v>85</v>
      </c>
      <c r="D3" s="61"/>
      <c r="E3" s="12" t="s">
        <v>6</v>
      </c>
      <c r="F3" s="61" t="s">
        <v>104</v>
      </c>
      <c r="G3" s="61"/>
      <c r="H3" s="61"/>
      <c r="I3" s="61"/>
      <c r="J3" s="61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57" t="s">
        <v>0</v>
      </c>
      <c r="C5" s="58"/>
      <c r="D5" s="58"/>
      <c r="E5" s="66" t="s">
        <v>1</v>
      </c>
      <c r="F5" s="66"/>
      <c r="G5" s="66"/>
      <c r="H5" s="66"/>
      <c r="I5" s="66" t="s">
        <v>2</v>
      </c>
      <c r="J5" s="67"/>
    </row>
    <row r="6" spans="1:10" ht="24.95" customHeight="1" thickBot="1">
      <c r="A6" s="10"/>
      <c r="B6" s="59"/>
      <c r="C6" s="60"/>
      <c r="D6" s="60"/>
      <c r="E6" s="11" t="s">
        <v>3</v>
      </c>
      <c r="F6" s="11" t="s">
        <v>4</v>
      </c>
      <c r="G6" s="11" t="s">
        <v>23</v>
      </c>
      <c r="H6" s="11" t="s">
        <v>24</v>
      </c>
      <c r="I6" s="68"/>
      <c r="J6" s="69"/>
    </row>
    <row r="7" spans="1:10" ht="24.95" customHeight="1" thickBot="1">
      <c r="A7" s="10"/>
      <c r="B7" s="64" t="s">
        <v>21</v>
      </c>
      <c r="C7" s="65"/>
      <c r="D7" s="65"/>
      <c r="E7" s="28" t="s">
        <v>18</v>
      </c>
      <c r="F7" s="28" t="s">
        <v>19</v>
      </c>
      <c r="G7" s="28" t="s">
        <v>22</v>
      </c>
      <c r="H7" s="28" t="s">
        <v>20</v>
      </c>
      <c r="I7" s="47" t="s">
        <v>25</v>
      </c>
      <c r="J7" s="48"/>
    </row>
    <row r="8" spans="1:10" ht="39.950000000000003" customHeight="1">
      <c r="A8" s="10"/>
      <c r="B8" s="80" t="s">
        <v>193</v>
      </c>
      <c r="C8" s="81"/>
      <c r="D8" s="81"/>
      <c r="E8" s="33"/>
      <c r="F8" s="34"/>
      <c r="G8" s="35"/>
      <c r="H8" s="36"/>
      <c r="I8" s="76"/>
      <c r="J8" s="77"/>
    </row>
    <row r="9" spans="1:10" ht="39.950000000000003" customHeight="1">
      <c r="A9" s="10"/>
      <c r="B9" s="82" t="s">
        <v>195</v>
      </c>
      <c r="C9" s="83"/>
      <c r="D9" s="83"/>
      <c r="E9" s="9">
        <v>5</v>
      </c>
      <c r="F9" s="26">
        <v>3.75</v>
      </c>
      <c r="G9" s="31">
        <f t="shared" ref="G9" si="0">IFERROR(F9/E9,"")</f>
        <v>0.75</v>
      </c>
      <c r="H9" s="32" t="str">
        <f t="shared" ref="H9" si="1"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50000000000003" customHeight="1">
      <c r="A10" s="10"/>
      <c r="B10" s="82" t="s">
        <v>194</v>
      </c>
      <c r="C10" s="83"/>
      <c r="D10" s="83"/>
      <c r="E10" s="9">
        <v>5</v>
      </c>
      <c r="F10" s="26">
        <v>3.5</v>
      </c>
      <c r="G10" s="31">
        <f t="shared" ref="G10" si="2">IFERROR(F10/E10,"")</f>
        <v>0.7</v>
      </c>
      <c r="H10" s="32" t="str">
        <f t="shared" ref="H10" si="3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50000000000003" customHeight="1">
      <c r="A11" s="10"/>
      <c r="B11" s="84" t="s">
        <v>196</v>
      </c>
      <c r="C11" s="85"/>
      <c r="D11" s="85"/>
      <c r="E11" s="9"/>
      <c r="F11" s="26"/>
      <c r="G11" s="31"/>
      <c r="H11" s="32"/>
      <c r="I11" s="45"/>
      <c r="J11" s="46"/>
    </row>
    <row r="12" spans="1:10" ht="39.950000000000003" customHeight="1">
      <c r="A12" s="10"/>
      <c r="B12" s="82" t="s">
        <v>176</v>
      </c>
      <c r="C12" s="83"/>
      <c r="D12" s="83"/>
      <c r="E12" s="9">
        <v>5</v>
      </c>
      <c r="F12" s="26">
        <v>3.75</v>
      </c>
      <c r="G12" s="31">
        <f t="shared" ref="G12:G29" si="4">IFERROR(F12/E12,"")</f>
        <v>0.75</v>
      </c>
      <c r="H12" s="32" t="str">
        <f t="shared" ref="H12:H29" si="5">_xlfn.IFS(F12="أدخل العلامة","",F12="لا ينطبق","تم الإلغاء",G12&gt;=90%,"ممتاز",G12&gt;=80%,"جيد جداً",G12&gt;=70%,"جيد",G12&gt;=60%,"مقبول",G12&lt;60%,"راسب")</f>
        <v>جيد</v>
      </c>
      <c r="I12" s="45"/>
      <c r="J12" s="46"/>
    </row>
    <row r="13" spans="1:10" ht="39.950000000000003" customHeight="1">
      <c r="A13" s="10"/>
      <c r="B13" s="82" t="s">
        <v>177</v>
      </c>
      <c r="C13" s="83"/>
      <c r="D13" s="83"/>
      <c r="E13" s="9">
        <v>5</v>
      </c>
      <c r="F13" s="26">
        <v>3.75</v>
      </c>
      <c r="G13" s="31">
        <f t="shared" si="4"/>
        <v>0.75</v>
      </c>
      <c r="H13" s="32" t="str">
        <f t="shared" si="5"/>
        <v>جيد</v>
      </c>
      <c r="I13" s="45"/>
      <c r="J13" s="46"/>
    </row>
    <row r="14" spans="1:10" ht="39.950000000000003" customHeight="1">
      <c r="A14" s="10"/>
      <c r="B14" s="84" t="s">
        <v>197</v>
      </c>
      <c r="C14" s="85"/>
      <c r="D14" s="85"/>
      <c r="E14" s="30"/>
      <c r="F14" s="26"/>
      <c r="G14" s="31"/>
      <c r="H14" s="32"/>
      <c r="I14" s="45"/>
      <c r="J14" s="46"/>
    </row>
    <row r="15" spans="1:10" ht="39.950000000000003" customHeight="1">
      <c r="A15" s="10"/>
      <c r="B15" s="82" t="s">
        <v>178</v>
      </c>
      <c r="C15" s="83"/>
      <c r="D15" s="83"/>
      <c r="E15" s="30"/>
      <c r="F15" s="26"/>
      <c r="G15" s="31"/>
      <c r="H15" s="32"/>
      <c r="I15" s="45"/>
      <c r="J15" s="46"/>
    </row>
    <row r="16" spans="1:10" ht="39.950000000000003" customHeight="1">
      <c r="A16" s="10"/>
      <c r="B16" s="78" t="s">
        <v>179</v>
      </c>
      <c r="C16" s="79"/>
      <c r="D16" s="79"/>
      <c r="E16" s="9">
        <v>5</v>
      </c>
      <c r="F16" s="26">
        <v>3.5</v>
      </c>
      <c r="G16" s="31">
        <f t="shared" si="4"/>
        <v>0.7</v>
      </c>
      <c r="H16" s="32" t="str">
        <f t="shared" si="5"/>
        <v>جيد</v>
      </c>
      <c r="I16" s="45"/>
      <c r="J16" s="46"/>
    </row>
    <row r="17" spans="1:10" ht="39.950000000000003" customHeight="1">
      <c r="A17" s="10"/>
      <c r="B17" s="78" t="s">
        <v>180</v>
      </c>
      <c r="C17" s="79"/>
      <c r="D17" s="79"/>
      <c r="E17" s="9">
        <v>5</v>
      </c>
      <c r="F17" s="26">
        <v>3.75</v>
      </c>
      <c r="G17" s="31">
        <f t="shared" si="4"/>
        <v>0.75</v>
      </c>
      <c r="H17" s="32" t="str">
        <f t="shared" si="5"/>
        <v>جيد</v>
      </c>
      <c r="I17" s="45"/>
      <c r="J17" s="46"/>
    </row>
    <row r="18" spans="1:10" ht="39.950000000000003" customHeight="1">
      <c r="A18" s="10"/>
      <c r="B18" s="78" t="s">
        <v>181</v>
      </c>
      <c r="C18" s="79"/>
      <c r="D18" s="79"/>
      <c r="E18" s="9">
        <v>5</v>
      </c>
      <c r="F18" s="26">
        <v>3.5</v>
      </c>
      <c r="G18" s="31">
        <f t="shared" si="4"/>
        <v>0.7</v>
      </c>
      <c r="H18" s="32" t="str">
        <f t="shared" si="5"/>
        <v>جيد</v>
      </c>
      <c r="I18" s="45"/>
      <c r="J18" s="46"/>
    </row>
    <row r="19" spans="1:10" ht="39.950000000000003" customHeight="1">
      <c r="A19" s="10"/>
      <c r="B19" s="78" t="s">
        <v>182</v>
      </c>
      <c r="C19" s="79"/>
      <c r="D19" s="79"/>
      <c r="E19" s="9">
        <v>5</v>
      </c>
      <c r="F19" s="26">
        <v>3.75</v>
      </c>
      <c r="G19" s="31">
        <f t="shared" si="4"/>
        <v>0.75</v>
      </c>
      <c r="H19" s="32" t="str">
        <f t="shared" si="5"/>
        <v>جيد</v>
      </c>
      <c r="I19" s="45"/>
      <c r="J19" s="46"/>
    </row>
    <row r="20" spans="1:10" ht="39.950000000000003" customHeight="1">
      <c r="A20" s="10"/>
      <c r="B20" s="78" t="s">
        <v>183</v>
      </c>
      <c r="C20" s="79"/>
      <c r="D20" s="79"/>
      <c r="E20" s="9">
        <v>5</v>
      </c>
      <c r="F20" s="26">
        <v>3.5</v>
      </c>
      <c r="G20" s="31">
        <f t="shared" si="4"/>
        <v>0.7</v>
      </c>
      <c r="H20" s="32" t="str">
        <f t="shared" si="5"/>
        <v>جيد</v>
      </c>
      <c r="I20" s="45"/>
      <c r="J20" s="46"/>
    </row>
    <row r="21" spans="1:10" ht="39.950000000000003" customHeight="1">
      <c r="A21" s="10"/>
      <c r="B21" s="82" t="s">
        <v>184</v>
      </c>
      <c r="C21" s="83"/>
      <c r="D21" s="83"/>
      <c r="E21" s="9"/>
      <c r="F21" s="26"/>
      <c r="G21" s="31"/>
      <c r="H21" s="32"/>
      <c r="I21" s="45"/>
      <c r="J21" s="46"/>
    </row>
    <row r="22" spans="1:10" ht="39.950000000000003" customHeight="1">
      <c r="A22" s="10"/>
      <c r="B22" s="78" t="s">
        <v>185</v>
      </c>
      <c r="C22" s="79"/>
      <c r="D22" s="79"/>
      <c r="E22" s="9">
        <v>5</v>
      </c>
      <c r="F22" s="26">
        <v>3.5</v>
      </c>
      <c r="G22" s="31">
        <f t="shared" si="4"/>
        <v>0.7</v>
      </c>
      <c r="H22" s="32" t="str">
        <f t="shared" si="5"/>
        <v>جيد</v>
      </c>
      <c r="I22" s="45"/>
      <c r="J22" s="46"/>
    </row>
    <row r="23" spans="1:10" ht="39.950000000000003" customHeight="1">
      <c r="A23" s="10"/>
      <c r="B23" s="78" t="s">
        <v>186</v>
      </c>
      <c r="C23" s="79"/>
      <c r="D23" s="79"/>
      <c r="E23" s="9">
        <v>5</v>
      </c>
      <c r="F23" s="26">
        <v>3.5</v>
      </c>
      <c r="G23" s="31">
        <f t="shared" si="4"/>
        <v>0.7</v>
      </c>
      <c r="H23" s="32" t="str">
        <f t="shared" si="5"/>
        <v>جيد</v>
      </c>
      <c r="I23" s="45"/>
      <c r="J23" s="46"/>
    </row>
    <row r="24" spans="1:10" ht="39.950000000000003" customHeight="1">
      <c r="A24" s="10"/>
      <c r="B24" s="78" t="s">
        <v>187</v>
      </c>
      <c r="C24" s="79"/>
      <c r="D24" s="79"/>
      <c r="E24" s="9">
        <v>5</v>
      </c>
      <c r="F24" s="26">
        <v>3.75</v>
      </c>
      <c r="G24" s="31">
        <f t="shared" si="4"/>
        <v>0.75</v>
      </c>
      <c r="H24" s="32" t="str">
        <f t="shared" si="5"/>
        <v>جيد</v>
      </c>
      <c r="I24" s="45"/>
      <c r="J24" s="46"/>
    </row>
    <row r="25" spans="1:10" ht="39.950000000000003" customHeight="1">
      <c r="A25" s="10"/>
      <c r="B25" s="78" t="s">
        <v>188</v>
      </c>
      <c r="C25" s="79"/>
      <c r="D25" s="79"/>
      <c r="E25" s="9">
        <v>5</v>
      </c>
      <c r="F25" s="26">
        <v>3.5</v>
      </c>
      <c r="G25" s="31">
        <f t="shared" si="4"/>
        <v>0.7</v>
      </c>
      <c r="H25" s="32" t="str">
        <f t="shared" si="5"/>
        <v>جيد</v>
      </c>
      <c r="I25" s="45"/>
      <c r="J25" s="46"/>
    </row>
    <row r="26" spans="1:10" ht="39.950000000000003" customHeight="1">
      <c r="A26" s="10"/>
      <c r="B26" s="82" t="s">
        <v>189</v>
      </c>
      <c r="C26" s="83"/>
      <c r="D26" s="83"/>
      <c r="E26" s="9">
        <v>5</v>
      </c>
      <c r="F26" s="26">
        <v>3.5</v>
      </c>
      <c r="G26" s="31">
        <f t="shared" si="4"/>
        <v>0.7</v>
      </c>
      <c r="H26" s="32" t="str">
        <f t="shared" si="5"/>
        <v>جيد</v>
      </c>
      <c r="I26" s="45"/>
      <c r="J26" s="46"/>
    </row>
    <row r="27" spans="1:10" ht="39.950000000000003" customHeight="1">
      <c r="A27" s="10"/>
      <c r="B27" s="82" t="s">
        <v>190</v>
      </c>
      <c r="C27" s="83"/>
      <c r="D27" s="83"/>
      <c r="E27" s="9">
        <v>5</v>
      </c>
      <c r="F27" s="26">
        <v>3.5</v>
      </c>
      <c r="G27" s="31">
        <f t="shared" si="4"/>
        <v>0.7</v>
      </c>
      <c r="H27" s="32" t="str">
        <f t="shared" si="5"/>
        <v>جيد</v>
      </c>
      <c r="I27" s="45"/>
      <c r="J27" s="46"/>
    </row>
    <row r="28" spans="1:10" ht="39.950000000000003" customHeight="1">
      <c r="A28" s="10"/>
      <c r="B28" s="88" t="s">
        <v>191</v>
      </c>
      <c r="C28" s="89"/>
      <c r="D28" s="89"/>
      <c r="E28" s="9">
        <v>5</v>
      </c>
      <c r="F28" s="26">
        <v>3.5</v>
      </c>
      <c r="G28" s="31">
        <f t="shared" si="4"/>
        <v>0.7</v>
      </c>
      <c r="H28" s="32" t="str">
        <f t="shared" si="5"/>
        <v>جيد</v>
      </c>
      <c r="I28" s="45"/>
      <c r="J28" s="46"/>
    </row>
    <row r="29" spans="1:10" ht="39.950000000000003" customHeight="1" thickBot="1">
      <c r="A29" s="10"/>
      <c r="B29" s="86" t="s">
        <v>192</v>
      </c>
      <c r="C29" s="87"/>
      <c r="D29" s="87"/>
      <c r="E29" s="37">
        <v>5</v>
      </c>
      <c r="F29" s="27">
        <v>3.5</v>
      </c>
      <c r="G29" s="38">
        <f t="shared" si="4"/>
        <v>0.7</v>
      </c>
      <c r="H29" s="39" t="str">
        <f t="shared" si="5"/>
        <v>جيد</v>
      </c>
      <c r="I29" s="74"/>
      <c r="J29" s="75"/>
    </row>
    <row r="30" spans="1:10" ht="30" customHeight="1" thickBot="1">
      <c r="A30" s="4"/>
      <c r="B30" s="70" t="s">
        <v>5</v>
      </c>
      <c r="C30" s="71"/>
      <c r="D30" s="71"/>
      <c r="E30" s="29">
        <f>SUM(E8:E29)</f>
        <v>85</v>
      </c>
      <c r="F30" s="29">
        <f>SUM(F8:F29)</f>
        <v>61</v>
      </c>
      <c r="G30" s="42"/>
      <c r="H30" s="43"/>
      <c r="I30" s="43"/>
      <c r="J30" s="44"/>
    </row>
    <row r="31" spans="1:10" ht="30" customHeight="1" thickBot="1">
      <c r="A31" s="4"/>
      <c r="B31" s="72" t="s">
        <v>54</v>
      </c>
      <c r="C31" s="73"/>
      <c r="D31" s="73"/>
      <c r="E31" s="62">
        <f>F30/E30/100*100</f>
        <v>0.71764705882352942</v>
      </c>
      <c r="F31" s="62"/>
      <c r="G31" s="62"/>
      <c r="H31" s="62"/>
      <c r="I31" s="62"/>
      <c r="J31" s="63"/>
    </row>
    <row r="32" spans="1:10" ht="30" customHeight="1" thickBot="1">
      <c r="A32" s="4"/>
      <c r="B32" s="72" t="s">
        <v>55</v>
      </c>
      <c r="C32" s="73"/>
      <c r="D32" s="73"/>
      <c r="E32" s="53" t="str">
        <f>_xlfn.IFS(E31&gt;=90%,"ممتاز",E31&gt;=80%,"جيد جداً",E31&gt;=70%,"جيد",E31&gt;=60%,"مقبول",E31&lt;60%,"راسب")</f>
        <v>جيد</v>
      </c>
      <c r="F32" s="53"/>
      <c r="G32" s="53"/>
      <c r="H32" s="53"/>
      <c r="I32" s="53"/>
      <c r="J32" s="54"/>
    </row>
    <row r="33" spans="1:10" ht="42" customHeight="1">
      <c r="B33" s="49" t="s">
        <v>175</v>
      </c>
      <c r="C33" s="49"/>
      <c r="D33" s="49"/>
      <c r="E33" s="40" t="s">
        <v>52</v>
      </c>
      <c r="F33" s="40"/>
      <c r="G33" s="51" t="s">
        <v>104</v>
      </c>
      <c r="H33" s="51"/>
      <c r="I33" s="51"/>
      <c r="J33" s="51"/>
    </row>
    <row r="34" spans="1:10" ht="51" customHeight="1">
      <c r="A34" s="5"/>
      <c r="B34" s="50"/>
      <c r="C34" s="50"/>
      <c r="D34" s="50"/>
      <c r="E34" s="41" t="s">
        <v>53</v>
      </c>
      <c r="F34" s="41"/>
      <c r="G34" s="52"/>
      <c r="H34" s="52"/>
      <c r="I34" s="52"/>
      <c r="J34" s="5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5">
    <mergeCell ref="B29:D2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16:D16"/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14:D14"/>
    <mergeCell ref="B15:D15"/>
    <mergeCell ref="B30:D30"/>
    <mergeCell ref="B31:D31"/>
    <mergeCell ref="B32:D32"/>
    <mergeCell ref="I10:J10"/>
    <mergeCell ref="I11:J11"/>
    <mergeCell ref="I12:J12"/>
    <mergeCell ref="I22:J22"/>
    <mergeCell ref="I23:J23"/>
    <mergeCell ref="I17:J17"/>
    <mergeCell ref="I18:J18"/>
    <mergeCell ref="I19:J19"/>
    <mergeCell ref="I20:J20"/>
    <mergeCell ref="I21:J21"/>
    <mergeCell ref="I26:J26"/>
    <mergeCell ref="I27:J27"/>
    <mergeCell ref="I28:J28"/>
    <mergeCell ref="B33:D34"/>
    <mergeCell ref="G33:J33"/>
    <mergeCell ref="G34:J34"/>
    <mergeCell ref="E32:J32"/>
    <mergeCell ref="B1:J1"/>
    <mergeCell ref="F2:J2"/>
    <mergeCell ref="B5:D6"/>
    <mergeCell ref="C2:D2"/>
    <mergeCell ref="C3:D3"/>
    <mergeCell ref="F3:J3"/>
    <mergeCell ref="E31:J31"/>
    <mergeCell ref="B7:D7"/>
    <mergeCell ref="I24:J24"/>
    <mergeCell ref="I25:J25"/>
    <mergeCell ref="E5:H5"/>
    <mergeCell ref="I5:J6"/>
    <mergeCell ref="E33:F33"/>
    <mergeCell ref="E34:F34"/>
    <mergeCell ref="G30:J30"/>
    <mergeCell ref="I9:J9"/>
    <mergeCell ref="I7:J7"/>
    <mergeCell ref="I13:J13"/>
    <mergeCell ref="I14:J14"/>
    <mergeCell ref="I15:J15"/>
    <mergeCell ref="I16:J16"/>
    <mergeCell ref="I29:J29"/>
    <mergeCell ref="I8:J8"/>
  </mergeCells>
  <conditionalFormatting sqref="C2:D2">
    <cfRule type="containsText" dxfId="16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14" priority="71">
      <formula>$E32="راسب"</formula>
    </cfRule>
  </conditionalFormatting>
  <conditionalFormatting sqref="E32:J32">
    <cfRule type="expression" dxfId="13" priority="75">
      <formula>$E32="ممتاز"</formula>
    </cfRule>
    <cfRule type="expression" dxfId="12" priority="74">
      <formula>$E32="جيد جداً"</formula>
    </cfRule>
    <cfRule type="expression" dxfId="11" priority="73">
      <formula>$E32="جيد"</formula>
    </cfRule>
    <cfRule type="expression" dxfId="10" priority="72">
      <formula>$E32="مقبول"</formula>
    </cfRule>
  </conditionalFormatting>
  <conditionalFormatting sqref="F8:F29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33" operator="containsText" text="أدخل التاريخ">
      <formula>NOT(ISERROR(SEARCH("أدخل التاريخ",F2)))</formula>
    </cfRule>
  </conditionalFormatting>
  <conditionalFormatting sqref="F3:J3">
    <cfRule type="containsText" dxfId="7" priority="30" operator="containsText" text="أدخل أسم المحكم">
      <formula>NOT(ISERROR(SEARCH("أدخل أسم المحكم",F3)))</formula>
    </cfRule>
  </conditionalFormatting>
  <conditionalFormatting sqref="G33:J33">
    <cfRule type="containsText" dxfId="6" priority="29" operator="containsText" text="أدخل اسم المحكم">
      <formula>NOT(ISERROR(SEARCH("أدخل اسم المحكم",G33)))</formula>
    </cfRule>
  </conditionalFormatting>
  <conditionalFormatting sqref="H8:H29">
    <cfRule type="containsText" dxfId="5" priority="7" operator="containsText" text="راسب">
      <formula>NOT(ISERROR(SEARCH("راسب",H8)))</formula>
    </cfRule>
    <cfRule type="containsText" dxfId="4" priority="6" operator="containsText" text="مقبول">
      <formula>NOT(ISERROR(SEARCH("مقبول",H8)))</formula>
    </cfRule>
    <cfRule type="containsText" dxfId="3" priority="5" operator="containsText" text="جيد">
      <formula>NOT(ISERROR(SEARCH("جيد",H8)))</formula>
    </cfRule>
    <cfRule type="containsText" dxfId="2" priority="4" operator="containsText" text="جيد جداً">
      <formula>NOT(ISERROR(SEARCH("جيد جداً",H8)))</formula>
    </cfRule>
    <cfRule type="containsText" dxfId="1" priority="3" operator="containsText" text="ممتاز">
      <formula>NOT(ISERROR(SEARCH("ممتاز",H8)))</formula>
    </cfRule>
    <cfRule type="containsText" dxfId="0" priority="2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F22:F29 F16:F20 F12:F13 F9:F10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G33:J33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45901</v>
      </c>
    </row>
    <row r="40" spans="1:9" ht="20.100000000000001" customHeight="1" thickBot="1">
      <c r="A40" s="13">
        <v>45902</v>
      </c>
    </row>
    <row r="41" spans="1:9" ht="20.100000000000001" customHeight="1" thickBot="1">
      <c r="A41" s="13">
        <v>45903</v>
      </c>
    </row>
    <row r="42" spans="1:9" ht="20.100000000000001" customHeight="1" thickBot="1">
      <c r="A42" s="13">
        <v>45904</v>
      </c>
    </row>
    <row r="43" spans="1:9" ht="20.100000000000001" customHeight="1" thickBot="1">
      <c r="A43" s="13">
        <v>45905</v>
      </c>
    </row>
    <row r="44" spans="1:9" ht="20.100000000000001" customHeight="1" thickBot="1">
      <c r="A44" s="13">
        <v>45906</v>
      </c>
    </row>
    <row r="45" spans="1:9" ht="20.100000000000001" customHeight="1" thickBot="1">
      <c r="A45" s="13">
        <v>45907</v>
      </c>
    </row>
    <row r="46" spans="1:9" ht="20.100000000000001" customHeight="1" thickBot="1">
      <c r="A46" s="13">
        <v>45908</v>
      </c>
    </row>
    <row r="47" spans="1:9" ht="20.100000000000001" customHeight="1" thickBot="1">
      <c r="A47" s="13">
        <v>45909</v>
      </c>
    </row>
    <row r="48" spans="1:9" ht="20.100000000000001" customHeight="1" thickBot="1">
      <c r="A48" s="13">
        <v>45910</v>
      </c>
    </row>
    <row r="49" spans="1:1" ht="20.100000000000001" customHeight="1" thickBot="1">
      <c r="A49" s="13">
        <v>45911</v>
      </c>
    </row>
    <row r="50" spans="1:1" ht="20.100000000000001" customHeight="1" thickBot="1">
      <c r="A50" s="13">
        <v>45912</v>
      </c>
    </row>
    <row r="51" spans="1:1" ht="20.100000000000001" customHeight="1" thickBot="1">
      <c r="A51" s="13">
        <v>45913</v>
      </c>
    </row>
    <row r="52" spans="1:1" ht="20.100000000000001" customHeight="1" thickBot="1">
      <c r="A52" s="13">
        <v>45914</v>
      </c>
    </row>
    <row r="53" spans="1:1" ht="20.100000000000001" customHeight="1" thickBot="1">
      <c r="A53" s="13">
        <v>45915</v>
      </c>
    </row>
    <row r="54" spans="1:1" ht="20.100000000000001" customHeight="1" thickBot="1">
      <c r="A54" s="13">
        <v>45916</v>
      </c>
    </row>
    <row r="55" spans="1:1" ht="20.100000000000001" customHeight="1" thickBot="1">
      <c r="A55" s="13">
        <v>45917</v>
      </c>
    </row>
    <row r="56" spans="1:1" ht="20.100000000000001" customHeight="1" thickBot="1">
      <c r="A56" s="13">
        <v>45918</v>
      </c>
    </row>
    <row r="57" spans="1:1" ht="20.100000000000001" customHeight="1" thickBot="1">
      <c r="A57" s="13">
        <v>45919</v>
      </c>
    </row>
    <row r="58" spans="1:1" ht="20.100000000000001" customHeight="1" thickBot="1">
      <c r="A58" s="13">
        <v>45920</v>
      </c>
    </row>
    <row r="59" spans="1:1" ht="20.100000000000001" customHeight="1" thickBot="1">
      <c r="A59" s="13">
        <v>45921</v>
      </c>
    </row>
    <row r="60" spans="1:1" ht="20.100000000000001" customHeight="1" thickBot="1">
      <c r="A60" s="13">
        <v>45922</v>
      </c>
    </row>
    <row r="61" spans="1:1" ht="20.100000000000001" customHeight="1" thickBot="1">
      <c r="A61" s="13">
        <v>45923</v>
      </c>
    </row>
    <row r="62" spans="1:1" ht="20.100000000000001" customHeight="1" thickBot="1">
      <c r="A62" s="13">
        <v>45924</v>
      </c>
    </row>
    <row r="63" spans="1:1" ht="20.100000000000001" customHeight="1" thickBot="1">
      <c r="A63" s="13">
        <v>45925</v>
      </c>
    </row>
    <row r="64" spans="1:1" ht="20.100000000000001" customHeight="1" thickBot="1">
      <c r="A64" s="13">
        <v>45926</v>
      </c>
    </row>
    <row r="65" spans="1:1" ht="20.100000000000001" customHeight="1" thickBot="1">
      <c r="A65" s="13">
        <v>45927</v>
      </c>
    </row>
    <row r="66" spans="1:1" ht="20.100000000000001" customHeight="1" thickBot="1">
      <c r="A66" s="13">
        <v>45928</v>
      </c>
    </row>
    <row r="67" spans="1:1" ht="20.100000000000001" customHeight="1" thickBot="1">
      <c r="A67" s="13">
        <v>45929</v>
      </c>
    </row>
    <row r="68" spans="1:1" ht="20.100000000000001" customHeight="1" thickBot="1">
      <c r="A68" s="13">
        <v>45930</v>
      </c>
    </row>
    <row r="69" spans="1:1" ht="20.100000000000001" customHeight="1" thickBot="1">
      <c r="A69" s="13">
        <v>45931</v>
      </c>
    </row>
    <row r="70" spans="1:1" ht="20.100000000000001" customHeight="1" thickBot="1">
      <c r="A70" s="13">
        <v>45932</v>
      </c>
    </row>
    <row r="71" spans="1:1" ht="20.100000000000001" customHeight="1" thickBot="1">
      <c r="A71" s="13">
        <v>45933</v>
      </c>
    </row>
    <row r="72" spans="1:1" ht="20.100000000000001" customHeight="1" thickBot="1">
      <c r="A72" s="13">
        <v>45934</v>
      </c>
    </row>
    <row r="73" spans="1:1" ht="20.100000000000001" customHeight="1" thickBot="1">
      <c r="A73" s="13">
        <v>45935</v>
      </c>
    </row>
    <row r="74" spans="1:1" ht="20.100000000000001" customHeight="1" thickBot="1">
      <c r="A74" s="13">
        <v>45936</v>
      </c>
    </row>
    <row r="75" spans="1:1" ht="20.100000000000001" customHeight="1" thickBot="1">
      <c r="A75" s="13">
        <v>45937</v>
      </c>
    </row>
    <row r="76" spans="1:1" ht="20.100000000000001" customHeight="1" thickBot="1">
      <c r="A76" s="13">
        <v>45938</v>
      </c>
    </row>
    <row r="77" spans="1:1" ht="20.100000000000001" customHeight="1" thickBot="1">
      <c r="A77" s="13">
        <v>45939</v>
      </c>
    </row>
    <row r="78" spans="1:1" ht="20.100000000000001" customHeight="1" thickBot="1">
      <c r="A78" s="13">
        <v>45940</v>
      </c>
    </row>
    <row r="79" spans="1:1" ht="20.100000000000001" customHeight="1" thickBot="1">
      <c r="A79" s="13">
        <v>45941</v>
      </c>
    </row>
    <row r="80" spans="1:1" ht="20.100000000000001" customHeight="1" thickBot="1">
      <c r="A80" s="13">
        <v>45942</v>
      </c>
    </row>
    <row r="81" spans="1:1" ht="20.100000000000001" customHeight="1" thickBot="1">
      <c r="A81" s="13">
        <v>45943</v>
      </c>
    </row>
    <row r="82" spans="1:1" ht="20.100000000000001" customHeight="1" thickBot="1">
      <c r="A82" s="13">
        <v>45944</v>
      </c>
    </row>
    <row r="83" spans="1:1" ht="20.100000000000001" customHeight="1" thickBot="1">
      <c r="A83" s="13">
        <v>45945</v>
      </c>
    </row>
    <row r="84" spans="1:1" ht="20.100000000000001" customHeight="1" thickBot="1">
      <c r="A84" s="13">
        <v>45946</v>
      </c>
    </row>
    <row r="85" spans="1:1" ht="20.100000000000001" customHeight="1" thickBot="1">
      <c r="A85" s="13">
        <v>45947</v>
      </c>
    </row>
    <row r="86" spans="1:1" ht="20.100000000000001" customHeight="1" thickBot="1">
      <c r="A86" s="13">
        <v>45948</v>
      </c>
    </row>
    <row r="87" spans="1:1" ht="20.100000000000001" customHeight="1" thickBot="1">
      <c r="A87" s="13">
        <v>45949</v>
      </c>
    </row>
    <row r="88" spans="1:1" ht="20.100000000000001" customHeight="1" thickBot="1">
      <c r="A88" s="13">
        <v>45950</v>
      </c>
    </row>
    <row r="89" spans="1:1" ht="20.100000000000001" customHeight="1" thickBot="1">
      <c r="A89" s="13">
        <v>45951</v>
      </c>
    </row>
    <row r="90" spans="1:1" ht="20.100000000000001" customHeight="1" thickBot="1">
      <c r="A90" s="13">
        <v>45952</v>
      </c>
    </row>
    <row r="91" spans="1:1" ht="20.100000000000001" customHeight="1" thickBot="1">
      <c r="A91" s="13">
        <v>45953</v>
      </c>
    </row>
    <row r="92" spans="1:1" ht="20.100000000000001" customHeight="1" thickBot="1">
      <c r="A92" s="13">
        <v>45954</v>
      </c>
    </row>
    <row r="93" spans="1:1" ht="20.100000000000001" customHeight="1" thickBot="1">
      <c r="A93" s="13">
        <v>45955</v>
      </c>
    </row>
    <row r="94" spans="1:1" ht="20.100000000000001" customHeight="1" thickBot="1">
      <c r="A94" s="13">
        <v>45956</v>
      </c>
    </row>
    <row r="95" spans="1:1" ht="20.100000000000001" customHeight="1" thickBot="1">
      <c r="A95" s="13">
        <v>45957</v>
      </c>
    </row>
    <row r="96" spans="1:1" ht="20.100000000000001" customHeight="1" thickBot="1">
      <c r="A96" s="13">
        <v>45958</v>
      </c>
    </row>
    <row r="97" spans="1:9" ht="20.100000000000001" customHeight="1" thickBot="1">
      <c r="A97" s="13">
        <v>45959</v>
      </c>
    </row>
    <row r="98" spans="1:9" ht="20.100000000000001" customHeight="1" thickBot="1">
      <c r="A98" s="13">
        <v>45960</v>
      </c>
    </row>
    <row r="99" spans="1:9" ht="20.100000000000001" customHeight="1" thickBot="1">
      <c r="A99" s="13">
        <v>45961</v>
      </c>
    </row>
    <row r="100" spans="1:9" ht="20.100000000000001" customHeight="1" thickBot="1">
      <c r="A100" s="13">
        <v>45962</v>
      </c>
    </row>
    <row r="101" spans="1:9" ht="20.100000000000001" customHeight="1" thickBot="1">
      <c r="A101" s="13">
        <v>45963</v>
      </c>
    </row>
    <row r="102" spans="1:9" ht="20.100000000000001" customHeight="1" thickBot="1">
      <c r="A102" s="13">
        <v>45964</v>
      </c>
    </row>
    <row r="103" spans="1:9" ht="20.100000000000001" customHeight="1" thickBot="1">
      <c r="A103" s="13">
        <v>45965</v>
      </c>
    </row>
    <row r="104" spans="1:9" ht="20.100000000000001" customHeight="1" thickBot="1">
      <c r="A104" s="13">
        <v>45966</v>
      </c>
    </row>
    <row r="105" spans="1:9" ht="20.100000000000001" customHeight="1" thickBot="1">
      <c r="A105" s="13">
        <v>45967</v>
      </c>
    </row>
    <row r="106" spans="1:9" ht="20.100000000000001" customHeight="1" thickBot="1">
      <c r="A106" s="13">
        <v>45968</v>
      </c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102</v>
      </c>
    </row>
    <row r="213" spans="1:1" ht="20.100000000000001" customHeight="1">
      <c r="A213" s="20" t="s">
        <v>103</v>
      </c>
    </row>
    <row r="214" spans="1:1" ht="20.100000000000001" customHeight="1">
      <c r="A214" s="20" t="s">
        <v>104</v>
      </c>
    </row>
    <row r="215" spans="1:1" ht="20.100000000000001" customHeight="1">
      <c r="A215" s="20" t="s">
        <v>105</v>
      </c>
    </row>
    <row r="216" spans="1:1" ht="20.100000000000001" customHeight="1">
      <c r="A216" s="20" t="s">
        <v>106</v>
      </c>
    </row>
    <row r="217" spans="1:1" ht="20.100000000000001" customHeight="1">
      <c r="A217" s="20" t="s">
        <v>107</v>
      </c>
    </row>
    <row r="218" spans="1:1" ht="20.100000000000001" customHeight="1">
      <c r="A218" s="20" t="s">
        <v>108</v>
      </c>
    </row>
    <row r="219" spans="1:1" ht="20.100000000000001" customHeight="1">
      <c r="A219" s="20" t="s">
        <v>109</v>
      </c>
    </row>
    <row r="220" spans="1:1" ht="20.100000000000001" customHeight="1">
      <c r="A220" s="20" t="s">
        <v>110</v>
      </c>
    </row>
    <row r="221" spans="1:1" ht="20.100000000000001" customHeight="1">
      <c r="A221" s="20" t="s">
        <v>111</v>
      </c>
    </row>
    <row r="222" spans="1:1" ht="20.100000000000001" customHeight="1">
      <c r="A222" s="20" t="s">
        <v>112</v>
      </c>
    </row>
    <row r="223" spans="1:1" ht="20.100000000000001" customHeight="1">
      <c r="A223" s="20" t="s">
        <v>113</v>
      </c>
    </row>
    <row r="224" spans="1:1" ht="20.100000000000001" customHeight="1">
      <c r="A224" s="20" t="s">
        <v>114</v>
      </c>
    </row>
    <row r="225" spans="1:1" ht="20.100000000000001" customHeight="1">
      <c r="A225" s="20" t="s">
        <v>115</v>
      </c>
    </row>
    <row r="226" spans="1:1" ht="20.100000000000001" customHeight="1">
      <c r="A226" s="20" t="s">
        <v>116</v>
      </c>
    </row>
    <row r="227" spans="1:1" ht="20.100000000000001" customHeight="1">
      <c r="A227" s="20" t="s">
        <v>117</v>
      </c>
    </row>
    <row r="228" spans="1:1" ht="20.100000000000001" customHeight="1">
      <c r="A228" s="20" t="s">
        <v>118</v>
      </c>
    </row>
    <row r="229" spans="1:1" ht="20.100000000000001" customHeight="1">
      <c r="A229" s="20" t="s">
        <v>119</v>
      </c>
    </row>
    <row r="230" spans="1:1" ht="20.100000000000001" customHeight="1">
      <c r="A230" s="20" t="s">
        <v>120</v>
      </c>
    </row>
    <row r="231" spans="1:1" ht="20.100000000000001" customHeight="1">
      <c r="A231" s="20" t="s">
        <v>121</v>
      </c>
    </row>
    <row r="232" spans="1:1" ht="20.100000000000001" customHeight="1">
      <c r="A232" s="20" t="s">
        <v>122</v>
      </c>
    </row>
    <row r="233" spans="1:1" ht="20.100000000000001" customHeight="1">
      <c r="A233" s="20" t="s">
        <v>123</v>
      </c>
    </row>
    <row r="234" spans="1:1" ht="20.100000000000001" customHeight="1">
      <c r="A234" s="20" t="s">
        <v>124</v>
      </c>
    </row>
    <row r="235" spans="1:1" ht="20.100000000000001" customHeight="1">
      <c r="A235" s="22" t="s">
        <v>125</v>
      </c>
    </row>
    <row r="236" spans="1:1" ht="20.100000000000001" customHeight="1">
      <c r="A236" s="20" t="s">
        <v>126</v>
      </c>
    </row>
    <row r="237" spans="1:1" ht="20.100000000000001" customHeight="1">
      <c r="A237" s="20" t="s">
        <v>127</v>
      </c>
    </row>
    <row r="238" spans="1:1" ht="20.100000000000001" customHeight="1">
      <c r="A238" s="20" t="s">
        <v>128</v>
      </c>
    </row>
    <row r="239" spans="1:1" ht="20.100000000000001" customHeight="1">
      <c r="A239" s="20" t="s">
        <v>129</v>
      </c>
    </row>
    <row r="240" spans="1:1" ht="20.100000000000001" customHeight="1">
      <c r="A240" s="20" t="s">
        <v>130</v>
      </c>
    </row>
    <row r="241" spans="1:1" ht="20.100000000000001" customHeight="1">
      <c r="A241" s="20" t="s">
        <v>131</v>
      </c>
    </row>
    <row r="242" spans="1:1" ht="20.100000000000001" customHeight="1">
      <c r="A242" s="20" t="s">
        <v>132</v>
      </c>
    </row>
    <row r="243" spans="1:1" ht="20.100000000000001" customHeight="1">
      <c r="A243" s="20" t="s">
        <v>133</v>
      </c>
    </row>
    <row r="244" spans="1:1" ht="20.100000000000001" customHeight="1">
      <c r="A244" s="20" t="s">
        <v>134</v>
      </c>
    </row>
    <row r="245" spans="1:1" ht="20.100000000000001" customHeight="1">
      <c r="A245" s="20" t="s">
        <v>135</v>
      </c>
    </row>
    <row r="246" spans="1:1" ht="20.100000000000001" customHeight="1">
      <c r="A246" s="20" t="s">
        <v>136</v>
      </c>
    </row>
    <row r="247" spans="1:1" ht="20.100000000000001" customHeight="1">
      <c r="A247" s="20" t="s">
        <v>127</v>
      </c>
    </row>
    <row r="248" spans="1:1" ht="20.100000000000001" customHeight="1">
      <c r="A248" s="20" t="s">
        <v>137</v>
      </c>
    </row>
    <row r="249" spans="1:1" ht="20.100000000000001" customHeight="1">
      <c r="A249" s="20" t="s">
        <v>138</v>
      </c>
    </row>
    <row r="250" spans="1:1" ht="20.100000000000001" customHeight="1">
      <c r="A250" s="22" t="s">
        <v>139</v>
      </c>
    </row>
    <row r="251" spans="1:1" ht="20.100000000000001" customHeight="1">
      <c r="A251" s="23" t="s">
        <v>140</v>
      </c>
    </row>
    <row r="252" spans="1:1" ht="20.100000000000001" customHeight="1">
      <c r="A252" s="20" t="s">
        <v>141</v>
      </c>
    </row>
    <row r="253" spans="1:1" ht="20.100000000000001" customHeight="1">
      <c r="A253" s="20" t="s">
        <v>142</v>
      </c>
    </row>
    <row r="254" spans="1:1" ht="20.100000000000001" customHeight="1">
      <c r="A254" s="24" t="s">
        <v>143</v>
      </c>
    </row>
    <row r="255" spans="1:1" ht="20.100000000000001" customHeight="1">
      <c r="A255" s="24" t="s">
        <v>144</v>
      </c>
    </row>
    <row r="256" spans="1:1" ht="20.100000000000001" customHeight="1">
      <c r="A256" s="25" t="s">
        <v>145</v>
      </c>
    </row>
    <row r="257" spans="1:1" ht="20.100000000000001" customHeight="1">
      <c r="A257" s="20" t="s">
        <v>146</v>
      </c>
    </row>
    <row r="258" spans="1:1" ht="20.100000000000001" customHeight="1">
      <c r="A258" s="25" t="s">
        <v>147</v>
      </c>
    </row>
    <row r="259" spans="1:1" ht="20.100000000000001" customHeight="1">
      <c r="A259" s="20" t="s">
        <v>148</v>
      </c>
    </row>
    <row r="260" spans="1:1" ht="20.100000000000001" customHeight="1">
      <c r="A260" s="25" t="s">
        <v>149</v>
      </c>
    </row>
    <row r="261" spans="1:1" ht="20.100000000000001" customHeight="1">
      <c r="A261" s="20" t="s">
        <v>150</v>
      </c>
    </row>
    <row r="262" spans="1:1" ht="20.100000000000001" customHeight="1">
      <c r="A262" s="20" t="s">
        <v>151</v>
      </c>
    </row>
    <row r="263" spans="1:1" ht="20.100000000000001" customHeight="1">
      <c r="A263" s="25" t="s">
        <v>152</v>
      </c>
    </row>
    <row r="264" spans="1:1" ht="20.100000000000001" customHeight="1">
      <c r="A264" s="25" t="s">
        <v>153</v>
      </c>
    </row>
    <row r="265" spans="1:1" ht="20.100000000000001" customHeight="1">
      <c r="A265" s="25" t="s">
        <v>154</v>
      </c>
    </row>
    <row r="266" spans="1:1" ht="20.100000000000001" customHeight="1">
      <c r="A266" s="20" t="s">
        <v>155</v>
      </c>
    </row>
    <row r="267" spans="1:1" ht="20.100000000000001" customHeight="1">
      <c r="A267" s="20" t="s">
        <v>156</v>
      </c>
    </row>
    <row r="268" spans="1:1" ht="20.100000000000001" customHeight="1">
      <c r="A268" s="20" t="s">
        <v>157</v>
      </c>
    </row>
    <row r="269" spans="1:1" ht="20.100000000000001" customHeight="1">
      <c r="A269" s="20" t="s">
        <v>158</v>
      </c>
    </row>
    <row r="270" spans="1:1" ht="20.100000000000001" customHeight="1">
      <c r="A270" s="25" t="s">
        <v>159</v>
      </c>
    </row>
    <row r="271" spans="1:1" ht="20.100000000000001" customHeight="1">
      <c r="A271" s="25" t="s">
        <v>160</v>
      </c>
    </row>
    <row r="272" spans="1:1" ht="20.100000000000001" customHeight="1">
      <c r="A272" s="20" t="s">
        <v>161</v>
      </c>
    </row>
    <row r="273" spans="1:1" ht="20.100000000000001" customHeight="1">
      <c r="A273" s="25" t="s">
        <v>162</v>
      </c>
    </row>
    <row r="274" spans="1:1" ht="20.100000000000001" customHeight="1">
      <c r="A274" s="25" t="s">
        <v>163</v>
      </c>
    </row>
    <row r="275" spans="1:1" ht="20.100000000000001" customHeight="1">
      <c r="A275" s="20" t="s">
        <v>164</v>
      </c>
    </row>
    <row r="276" spans="1:1" ht="20.100000000000001" customHeight="1">
      <c r="A276" s="20" t="s">
        <v>165</v>
      </c>
    </row>
    <row r="277" spans="1:1" ht="20.100000000000001" customHeight="1">
      <c r="A277" s="25" t="s">
        <v>166</v>
      </c>
    </row>
    <row r="278" spans="1:1" ht="20.100000000000001" customHeight="1">
      <c r="A278" s="20" t="s">
        <v>167</v>
      </c>
    </row>
    <row r="279" spans="1:1" ht="20.100000000000001" customHeight="1">
      <c r="A279" s="20" t="s">
        <v>168</v>
      </c>
    </row>
    <row r="280" spans="1:1" ht="20.100000000000001" customHeight="1">
      <c r="A280" s="20" t="s">
        <v>169</v>
      </c>
    </row>
    <row r="281" spans="1:1" ht="20.100000000000001" customHeight="1">
      <c r="A281" s="20" t="s">
        <v>170</v>
      </c>
    </row>
    <row r="282" spans="1:1" ht="20.100000000000001" customHeight="1">
      <c r="A282" s="25" t="s">
        <v>171</v>
      </c>
    </row>
    <row r="283" spans="1:1" ht="20.100000000000001" customHeight="1">
      <c r="A283" s="25" t="s">
        <v>172</v>
      </c>
    </row>
    <row r="284" spans="1:1" ht="20.100000000000001" customHeight="1">
      <c r="A284" s="25" t="s">
        <v>173</v>
      </c>
    </row>
    <row r="285" spans="1:1" ht="20.100000000000001" customHeight="1" thickBot="1">
      <c r="A285" s="20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2025-10-22T04:56:17Z</dcterms:modified>
</cp:coreProperties>
</file>