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F1827B11-8A31-3648-BBBF-A27B96ACA2F1}"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<sst xmlns="http://schemas.openxmlformats.org/spreadsheetml/2006/main" count="258" uniqueCount="202">
  <si>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</si>
  <si>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</si>
  <si>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</si>
  <si>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</si>
  <si>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</si>
  <si>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</si>
  <si>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</si>
  <si>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</si>
  <si>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</si>
  <si>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</si>
  <si>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</si>
  <si>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</si>
  <si>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</si>
  <si>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</si>
  <si>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</si>
  <si>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</si>
  <si>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</si>
  <si>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</si>
  <si>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</si>
  <si>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</si>
  <si>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</si>
  <si>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</si>
  <si>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</si>
  <si>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</si>
  <si>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</si>
  <si>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</si>
  <si>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</si>
  <si>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</si>
  <si>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</si>
  <si>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</si>
  <si>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</si>
  <si>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</si>
  <si>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</si>
  <si>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</si>
  <si>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</si>
  <si>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</si>
  <si>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</si>
  <si>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</si>
  <si>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</si>
  <si>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</si>
  <si>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</si>
  <si>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</si>
  <si>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</si>
  <si>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</si>
  <si>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</si>
  <si>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</si>
  <si>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</si>
  <si>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</si>
  <si>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</si>
  <si>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</si>
  <si>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</si>
  <si>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</si>
  <si>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</si>
  <si>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</si>
  <si>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</si>
  <si>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</si>
  <si>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</si>
  <si>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</si>
  <si>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</si>
  <si>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</si>
  <si>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</si>
  <si>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</si>
  <si>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</si>
  <si>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</si>
  <si>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</si>
  <si>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</si>
  <si>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</si>
  <si>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</si>
  <si>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</si>
  <si>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</si>
  <si>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</si>
  <si>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</si>
  <si>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</si>
  <si>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</si>
  <si>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</si>
  <si>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</si>
  <si>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</si>
  <si>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</si>
  <si>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</si>
  <si>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</si>
  <si>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</si>
  <si>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</si>
  <si>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</si>
  <si>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</si>
  <si>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</si>
  <si>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</si>
  <si>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</si>
  <si>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</si>
  <si>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</si>
  <si>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</si>
  <si>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</si>
  <si>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</si>
  <si>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</si>
  <si>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</si>
  <si>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</si>
  <si>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</si>
  <si>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</si>
  <si>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</si>
  <si>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</si>
  <si>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</si>
  <si>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</si>
  <si>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</si>
  <si>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</si>
  <si>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</si>
  <si>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</si>
  <si>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</si>
  <si>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</si>
  <si>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</si>
  <si>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</si>
  <si>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</si>
  <si>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</si>
  <si>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</si>
  <si>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</si>
  <si>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</si>
  <si>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</si>
  <si>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</si>
  <si>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</si>
  <si>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</si>
  <si>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</si>
  <si>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</si>
  <si>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</si>
  <si>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</si>
  <si>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</si>
  <si>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</si>
  <si>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</si>
  <si>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</si>
  <si>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</si>
  <si>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</si>
  <si>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</si>
  <si>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</si>
  <si>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</si>
  <si>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</si>
  <si>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</si>
  <si>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</si>
  <si>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</si>
  <si>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</si>
  <si>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</si>
  <si>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</si>
  <si>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</si>
  <si>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</si>
  <si>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</si>
  <si>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</si>
  <si>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</si>
  <si>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</si>
  <si>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</si>
  <si>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</si>
  <si>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</si>
  <si>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</si>
  <si>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</si>
  <si>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</si>
  <si>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</si>
  <si>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</si>
  <si>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</si>
  <si>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</si>
  <si>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</si>
  <si>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</si>
  <si>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</si>
  <si>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</si>
  <si>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</si>
  <si>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</si>
  <si>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</si>
  <si>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</si>
  <si>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</si>
  <si>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</si>
  <si>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</si>
  <si>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</si>
  <si>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</si>
  <si>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</si>
  <si>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</si>
  <si>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</si>
  <si>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</si>
  <si>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</si>
  <si>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</si>
  <si>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</si>
  <si>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</si>
  <si>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</si>
  <si>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</si>
  <si>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</si>
  <si>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</si>
  <si>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</si>
  <si>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</si>
  <si>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</si>
  <si>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</si>
  <si>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</si>
  <si>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</si>
  <si>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</si>
  <si>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</si>
  <si>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</si>
  <si>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</si>
  <si>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</si>
  <si>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</si>
  <si>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</si>
  <si>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</si>
  <si>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</si>
  <si>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</si>
  <si>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</si>
  <si>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</si>
  <si>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</si>
  <si>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</si>
  <si>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</si>
  <si>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</si>
  <si>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مشاة راجلة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</si>
</sst>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290575</xdr:colOff>
      <xdr:row>36</xdr:row>
      <xdr:rowOff>225335</xdr:rowOff>
    </xdr:from>
    <xdr:to>
      <xdr:col>8</xdr:col>
      <xdr:colOff>271834</xdr:colOff>
      <xdr:row>36</xdr:row>
      <xdr:rowOff>597575</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834B2604-ED8F-C588-5EB9-9FD523B24212}"/>
                </a:ext>
              </a:extLst>
            </xdr14:cNvPr>
            <xdr14:cNvContentPartPr/>
          </xdr14:nvContentPartPr>
          <xdr14:nvPr macro=""/>
          <xdr14:xfrm>
            <a:off x="10398973075" y="18524880"/>
            <a:ext cx="1297440" cy="372240"/>
          </xdr14:xfrm>
        </xdr:contentPart>
      </mc:Choice>
      <mc:Fallback>
        <xdr:pic>
          <xdr:nvPicPr>
            <xdr:cNvPr id="2" name="Ink 1">
              <a:extLst>
                <a:ext uri="{FF2B5EF4-FFF2-40B4-BE49-F238E27FC236}">
                  <a16:creationId xmlns:a16="http://schemas.microsoft.com/office/drawing/2014/main" id="{834B2604-ED8F-C588-5EB9-9FD523B24212}"/>
                </a:ext>
              </a:extLst>
            </xdr:cNvPr>
            <xdr:cNvPicPr/>
          </xdr:nvPicPr>
          <xdr:blipFill>
            <a:blip xmlns:r="http://schemas.openxmlformats.org/officeDocument/2006/relationships" r:embed="rId2"/>
            <a:stretch>
              <a:fillRect/>
            </a:stretch>
          </xdr:blipFill>
          <xdr:spPr>
            <a:xfrm>
              <a:off x="10398964435" y="18516240"/>
              <a:ext cx="1315080" cy="3898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4T06:36:25.064"/>
    </inkml:context>
    <inkml:brush xml:id="br0">
      <inkml:brushProperty name="width" value="0.05" units="cm"/>
      <inkml:brushProperty name="height" value="0.05" units="cm"/>
    </inkml:brush>
  </inkml:definitions>
  <inkml:trace contextRef="#ctx0" brushRef="#br0">3457 137 9089,'0'0'0,"0"-14"617,0 0-465,0 14-152,0-15 72,0 3-104,3 12-72,-3 0-88,0 0 192,2 0-224,0 0 31,3 0 25,-2 2 16,-3-2 152,2 3-64,10 0 8,-10 1-32,10 1 32,-12-5 56,5 4-48,7 7 16,-9-8 32,9 1 0,-12-4 0,7 5 0,5 6-24,-10-8 48,10 1 8,-12-4-32,0 4 16,3 1 8,2 6-24,-1-8 0,-4-3 0,3 4-8,-1 9 24,3-9-32,-3 12 48,-2-16-32,3 13 24,2 1 16,-3 1 24,3 3-40,-5-18-24,0 18 80,0 0-16,0 2 40,0 2-24,0-22-80,0 21 32,0 0 64,0 2-32,0-2-64,0-21 0,-3 20 16,1 0-32,0-1-8,2-4 104,0-15-80,-3 16 89,1-3 15,2-2-80,-3-7 96,3-4-120,-2 5 112,0-1 24,-1-1 216,1-3 8,2 0-360,-5 3 560,0-3-56,-7 0-64,3 0-40,9 0-400,-15 0 192,1 0 96,-3-3-80,-2-2 8,19 5-216,-22-4 192,-2-7 16,0 7-15,2-9-65,22 13-128,-19-6 56,2-8-8,0 10-40,3-9-16,14 13 8,-19-4 112,4-1-160,3 0 16,5 0-32,7 5 64,-19-2-88,2-1-8,7 1-9,-9 1-47,19 1 152,-12 0-232,0 0-8,-10 0 56,3 4 64,19-4 120,-24 11-96,0-8 24,-3 13-8,3-12 16,24-4 64,-21 16-16,-6-12 88,8 9 0,-7-13 24,26 0-96,-24 4 56,2 0 0,-9-1 48,4 0 16,27-3-120,-31 3 128,-3-3-8,-2 0-32,-2 0-8,38 0-80,-41-3 40,-7 0-64,-10 2-8,-9 1-32,67 0 64,-75 0-40,-7 4-40,-2 7 88,-7 1 8,91-12-16,-101 14 48,0 2 160,-8 2-88,-1 1 105,110-19-225,-108 20 240,-3-2-32,3-1-16,-3 2-32,111-19-160,-103 15 200,2 1-80,0 0 24,2-2-40,99-14-104,-96 14 0,-5-1 48,9-9 0,3 7 48,89-11-96,-82 0 200,6 3-16,1-3-32,12 0 32,63 0-184,-57-3 128,11-1 48,10 0-56,5 0 24,31 4-144,-24-5 80,7 2 8,12 2 24,0 0-120,5 1 8,-2-2-88,2 2-32,5 0-56,11-1 64,-16 1 112,20-2-40,11-2 32,10-2 16,14-9 64,-55 15-72,67-14 128,18-6-88,11-7-16,10-5 24,-106 32-48,118-35-8,7-2 32,4-2-16,1 3-56,-130 36 48,128-37 40,-1 0-24,6 1-72,-3-1 80,-130 37-24,127-37-136,-9 2 104,-5 1 152,-7 1-120,-106 33 0,101-30 24,-10 2-32,-4 2 8,-10 0-24,-77 26 24,65-24 128,2 1-128,-12 5-16,-7 2 160,-48 16-144,39-12-16,-10 0 40,-10 8 80,-14-2-136,-5 6 32,12-4 48,-12 3 64,0 1 32,0 0-144,-3 0 112,1 0-64,-3 0 0,-4 0-120,9 0 72,-12 2-24,-3 3 72,1 6-104,-6-7-24,20-4 80,-16 14-120,-6-1 24,5 3 56,-4 2 48,21-18-8,-20 22-8,3 2-32,1 4 80,4 1-8,12-29-32,-5 30 8,2 1-8,-1 0-32,1-1-16,3-30 48,0 30 16,0 0-64,5 1 32,9 0-16,-14-31 32,12 33 72,0 1 64,-7 2-16,12 1 16,-17-37-136,15 38-56,-1 0-72,8 4 0,-1-3 32,-21-39 96,15 42 40,6-1-64,-6-1 136,-1-2-136,-14-38 24,17 36-64,0-5 40,-3-6-72,1-6 96,-15-19 0,19 14-112,-7-3-176,-2-6-608,-8-1-888,-2-4 1784,17 0-2913,-12-1-4617,-5 1 7530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D28" zoomScale="130" zoomScaleNormal="100" zoomScaleSheetLayoutView="130" workbookViewId="0">
      <selection activeCell="G36" sqref="G36:J36"/>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1" t="s">
        <v>201</v>
      </c>
      <c r="C1" s="71"/>
      <c r="D1" s="71"/>
      <c r="E1" s="71"/>
      <c r="F1" s="71"/>
      <c r="G1" s="71"/>
      <c r="H1" s="71"/>
      <c r="I1" s="71"/>
      <c r="J1" s="71"/>
    </row>
    <row r="2" spans="1:10" ht="30" customHeight="1" x14ac:dyDescent="0.2">
      <c r="B2" s="13" t="s">
        <v>8</v>
      </c>
      <c r="C2" s="77" t="s">
        <v>37</v>
      </c>
      <c r="D2" s="77"/>
      <c r="E2" s="13" t="s">
        <v>7</v>
      </c>
      <c r="F2" s="72">
        <v>45912</v>
      </c>
      <c r="G2" s="72"/>
      <c r="H2" s="72"/>
      <c r="I2" s="72"/>
      <c r="J2" s="72"/>
    </row>
    <row r="3" spans="1:10" ht="30" customHeight="1" x14ac:dyDescent="0.2">
      <c r="B3" s="13" t="s">
        <v>9</v>
      </c>
      <c r="C3" s="77" t="s">
        <v>78</v>
      </c>
      <c r="D3" s="77"/>
      <c r="E3" s="13" t="s">
        <v>6</v>
      </c>
      <c r="F3" s="77" t="s">
        <v>134</v>
      </c>
      <c r="G3" s="77"/>
      <c r="H3" s="77"/>
      <c r="I3" s="77"/>
      <c r="J3" s="77"/>
    </row>
    <row r="4" spans="1:10" ht="30" customHeight="1" thickBot="1" x14ac:dyDescent="0.25">
      <c r="B4" s="6"/>
      <c r="C4" s="7"/>
      <c r="D4" s="7"/>
      <c r="E4" s="6"/>
      <c r="F4" s="7"/>
      <c r="G4" s="7"/>
      <c r="H4" s="8"/>
      <c r="I4" s="7"/>
      <c r="J4" s="7"/>
    </row>
    <row r="5" spans="1:10" ht="24.95" customHeight="1" x14ac:dyDescent="0.2">
      <c r="A5" s="11"/>
      <c r="B5" s="73" t="s">
        <v>0</v>
      </c>
      <c r="C5" s="74"/>
      <c r="D5" s="74"/>
      <c r="E5" s="82" t="s">
        <v>1</v>
      </c>
      <c r="F5" s="82"/>
      <c r="G5" s="82"/>
      <c r="H5" s="82"/>
      <c r="I5" s="82" t="s">
        <v>2</v>
      </c>
      <c r="J5" s="83"/>
    </row>
    <row r="6" spans="1:10" ht="24.95" customHeight="1" thickBot="1" x14ac:dyDescent="0.25">
      <c r="A6" s="11"/>
      <c r="B6" s="75"/>
      <c r="C6" s="76"/>
      <c r="D6" s="76"/>
      <c r="E6" s="12" t="s">
        <v>3</v>
      </c>
      <c r="F6" s="12" t="s">
        <v>4</v>
      </c>
      <c r="G6" s="12" t="s">
        <v>23</v>
      </c>
      <c r="H6" s="12" t="s">
        <v>24</v>
      </c>
      <c r="I6" s="84"/>
      <c r="J6" s="85"/>
    </row>
    <row r="7" spans="1:10" ht="24.95" customHeight="1" thickBot="1" x14ac:dyDescent="0.25">
      <c r="A7" s="11"/>
      <c r="B7" s="80" t="s">
        <v>21</v>
      </c>
      <c r="C7" s="81"/>
      <c r="D7" s="81"/>
      <c r="E7" s="30" t="s">
        <v>18</v>
      </c>
      <c r="F7" s="30" t="s">
        <v>19</v>
      </c>
      <c r="G7" s="30" t="s">
        <v>22</v>
      </c>
      <c r="H7" s="30" t="s">
        <v>20</v>
      </c>
      <c r="I7" s="93" t="s">
        <v>25</v>
      </c>
      <c r="J7" s="94"/>
    </row>
    <row r="8" spans="1:10" ht="39.950000000000003" customHeight="1" thickBot="1" x14ac:dyDescent="0.25">
      <c r="A8" s="11"/>
      <c r="B8" s="49" t="s">
        <v>195</v>
      </c>
      <c r="C8" s="50"/>
      <c r="D8" s="50"/>
      <c r="E8" s="10">
        <v>5</v>
      </c>
      <c r="F8" s="41">
        <v>3.75</v>
      </c>
      <c r="G8" s="42">
        <f>IFERROR(F8/E8,"")</f>
        <v>0.75</v>
      </c>
      <c r="H8" s="28" t="str">
        <f>_xlfn.IFS(F8="أدخل العلامة","",F8="لا ينطبق","تم الإلغاء",G8&gt;=90%,"ممتاز",G8&gt;=80%,"جيد جداً",G8&gt;=70%,"جيد",G8&gt;=60%,"مقبول",G8&lt;60%,"راسب")</f>
        <v>جيد</v>
      </c>
      <c r="I8" s="91"/>
      <c r="J8" s="92"/>
    </row>
    <row r="9" spans="1:10" ht="39.950000000000003" customHeight="1" thickBot="1" x14ac:dyDescent="0.25">
      <c r="A9" s="11"/>
      <c r="B9" s="51" t="s">
        <v>196</v>
      </c>
      <c r="C9" s="52"/>
      <c r="D9" s="52"/>
      <c r="E9" s="10">
        <v>5</v>
      </c>
      <c r="F9" s="41">
        <v>3.75</v>
      </c>
      <c r="G9" s="42">
        <f>IFERROR(F9/E9,"")</f>
        <v>0.75</v>
      </c>
      <c r="H9" s="28" t="str">
        <f>_xlfn.IFS(F9="أدخل العلامة","",F9="لا ينطبق","تم الإلغاء",G9&gt;=90%,"ممتاز",G9&gt;=80%,"جيد جداً",G9&gt;=70%,"جيد",G9&gt;=60%,"مقبول",G9&lt;60%,"راسب")</f>
        <v>جيد</v>
      </c>
      <c r="I9" s="91"/>
      <c r="J9" s="92"/>
    </row>
    <row r="10" spans="1:10" ht="39.950000000000003" customHeight="1" thickBot="1" x14ac:dyDescent="0.25">
      <c r="A10" s="11"/>
      <c r="B10" s="51" t="s">
        <v>197</v>
      </c>
      <c r="C10" s="52"/>
      <c r="D10" s="5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91"/>
      <c r="J10" s="92"/>
    </row>
    <row r="11" spans="1:10" ht="39.950000000000003" customHeight="1" x14ac:dyDescent="0.2">
      <c r="A11" s="11"/>
      <c r="B11" s="47" t="s">
        <v>198</v>
      </c>
      <c r="C11" s="48"/>
      <c r="D11" s="48"/>
      <c r="E11" s="40"/>
      <c r="F11" s="34"/>
      <c r="G11" s="35"/>
      <c r="H11" s="36"/>
      <c r="I11" s="57"/>
      <c r="J11" s="58"/>
    </row>
    <row r="12" spans="1:10" ht="39.950000000000003" customHeight="1" x14ac:dyDescent="0.2">
      <c r="A12" s="11"/>
      <c r="B12" s="43" t="s">
        <v>176</v>
      </c>
      <c r="C12" s="44"/>
      <c r="D12" s="44"/>
      <c r="E12" s="9">
        <v>5</v>
      </c>
      <c r="F12" s="27">
        <v>3.75</v>
      </c>
      <c r="G12" s="32">
        <f t="shared" si="0"/>
        <v>0.75</v>
      </c>
      <c r="H12" s="33" t="str">
        <f t="shared" si="1"/>
        <v>جيد</v>
      </c>
      <c r="I12" s="55"/>
      <c r="J12" s="56"/>
    </row>
    <row r="13" spans="1:10" ht="54.95" customHeight="1" x14ac:dyDescent="0.2">
      <c r="A13" s="11"/>
      <c r="B13" s="43" t="s">
        <v>177</v>
      </c>
      <c r="C13" s="44"/>
      <c r="D13" s="44"/>
      <c r="E13" s="9">
        <v>5</v>
      </c>
      <c r="F13" s="27">
        <v>3.25</v>
      </c>
      <c r="G13" s="32">
        <f t="shared" si="0"/>
        <v>0.65</v>
      </c>
      <c r="H13" s="33" t="str">
        <f t="shared" si="1"/>
        <v>مقبول</v>
      </c>
      <c r="I13" s="55"/>
      <c r="J13" s="56"/>
    </row>
    <row r="14" spans="1:10" ht="71.25" customHeight="1" x14ac:dyDescent="0.2">
      <c r="A14" s="11"/>
      <c r="B14" s="43" t="s">
        <v>178</v>
      </c>
      <c r="C14" s="44"/>
      <c r="D14" s="44"/>
      <c r="E14" s="9">
        <v>5</v>
      </c>
      <c r="F14" s="27">
        <v>3.25</v>
      </c>
      <c r="G14" s="32">
        <f t="shared" si="0"/>
        <v>0.65</v>
      </c>
      <c r="H14" s="33" t="str">
        <f t="shared" si="1"/>
        <v>مقبول</v>
      </c>
      <c r="I14" s="55"/>
      <c r="J14" s="56"/>
    </row>
    <row r="15" spans="1:10" ht="39.950000000000003" customHeight="1" x14ac:dyDescent="0.2">
      <c r="A15" s="11"/>
      <c r="B15" s="43" t="s">
        <v>179</v>
      </c>
      <c r="C15" s="44"/>
      <c r="D15" s="44"/>
      <c r="E15" s="9">
        <v>5</v>
      </c>
      <c r="F15" s="27">
        <v>3.75</v>
      </c>
      <c r="G15" s="32">
        <f t="shared" si="0"/>
        <v>0.75</v>
      </c>
      <c r="H15" s="33" t="str">
        <f t="shared" si="1"/>
        <v>جيد</v>
      </c>
      <c r="I15" s="55"/>
      <c r="J15" s="56"/>
    </row>
    <row r="16" spans="1:10" ht="68.25" customHeight="1" x14ac:dyDescent="0.2">
      <c r="A16" s="11"/>
      <c r="B16" s="43" t="s">
        <v>180</v>
      </c>
      <c r="C16" s="44"/>
      <c r="D16" s="44"/>
      <c r="E16" s="9">
        <v>5</v>
      </c>
      <c r="F16" s="27">
        <v>3.75</v>
      </c>
      <c r="G16" s="32">
        <f t="shared" si="0"/>
        <v>0.75</v>
      </c>
      <c r="H16" s="33" t="str">
        <f t="shared" si="1"/>
        <v>جيد</v>
      </c>
      <c r="I16" s="55"/>
      <c r="J16" s="56"/>
    </row>
    <row r="17" spans="1:10" ht="65.099999999999994" customHeight="1" thickBot="1" x14ac:dyDescent="0.25">
      <c r="A17" s="11"/>
      <c r="B17" s="45" t="s">
        <v>181</v>
      </c>
      <c r="C17" s="46"/>
      <c r="D17" s="46"/>
      <c r="E17" s="37">
        <v>5</v>
      </c>
      <c r="F17" s="29">
        <v>3.25</v>
      </c>
      <c r="G17" s="38">
        <f t="shared" si="0"/>
        <v>0.65</v>
      </c>
      <c r="H17" s="39" t="str">
        <f t="shared" si="1"/>
        <v>مقبول</v>
      </c>
      <c r="I17" s="53"/>
      <c r="J17" s="54"/>
    </row>
    <row r="18" spans="1:10" ht="39.950000000000003" customHeight="1" x14ac:dyDescent="0.2">
      <c r="A18" s="11"/>
      <c r="B18" s="59" t="s">
        <v>199</v>
      </c>
      <c r="C18" s="60"/>
      <c r="D18" s="60"/>
      <c r="E18" s="40"/>
      <c r="F18" s="34"/>
      <c r="G18" s="35"/>
      <c r="H18" s="36"/>
      <c r="I18" s="57"/>
      <c r="J18" s="58"/>
    </row>
    <row r="19" spans="1:10" ht="39.950000000000003" customHeight="1" x14ac:dyDescent="0.2">
      <c r="A19" s="11"/>
      <c r="B19" s="43" t="s">
        <v>182</v>
      </c>
      <c r="C19" s="44"/>
      <c r="D19" s="44"/>
      <c r="E19" s="9">
        <v>5</v>
      </c>
      <c r="F19" s="27">
        <v>3.25</v>
      </c>
      <c r="G19" s="32">
        <f t="shared" si="0"/>
        <v>0.65</v>
      </c>
      <c r="H19" s="33" t="str">
        <f t="shared" si="1"/>
        <v>مقبول</v>
      </c>
      <c r="I19" s="55"/>
      <c r="J19" s="56"/>
    </row>
    <row r="20" spans="1:10" ht="39.950000000000003" customHeight="1" x14ac:dyDescent="0.2">
      <c r="A20" s="11"/>
      <c r="B20" s="43" t="s">
        <v>183</v>
      </c>
      <c r="C20" s="44"/>
      <c r="D20" s="44"/>
      <c r="E20" s="9">
        <v>5</v>
      </c>
      <c r="F20" s="27">
        <v>3.25</v>
      </c>
      <c r="G20" s="32">
        <f t="shared" si="0"/>
        <v>0.65</v>
      </c>
      <c r="H20" s="33" t="str">
        <f t="shared" si="1"/>
        <v>مقبول</v>
      </c>
      <c r="I20" s="55"/>
      <c r="J20" s="56"/>
    </row>
    <row r="21" spans="1:10" ht="39.950000000000003" customHeight="1" x14ac:dyDescent="0.2">
      <c r="A21" s="11"/>
      <c r="B21" s="43" t="s">
        <v>184</v>
      </c>
      <c r="C21" s="44"/>
      <c r="D21" s="44"/>
      <c r="E21" s="9">
        <v>5</v>
      </c>
      <c r="F21" s="27">
        <v>3.25</v>
      </c>
      <c r="G21" s="32">
        <f t="shared" si="0"/>
        <v>0.65</v>
      </c>
      <c r="H21" s="33" t="str">
        <f t="shared" si="1"/>
        <v>مقبول</v>
      </c>
      <c r="I21" s="55"/>
      <c r="J21" s="56"/>
    </row>
    <row r="22" spans="1:10" ht="39.950000000000003" customHeight="1" x14ac:dyDescent="0.2">
      <c r="A22" s="11"/>
      <c r="B22" s="43" t="s">
        <v>185</v>
      </c>
      <c r="C22" s="44"/>
      <c r="D22" s="44"/>
      <c r="E22" s="9">
        <v>5</v>
      </c>
      <c r="F22" s="27">
        <v>3.75</v>
      </c>
      <c r="G22" s="32">
        <f t="shared" si="0"/>
        <v>0.75</v>
      </c>
      <c r="H22" s="33" t="str">
        <f t="shared" si="1"/>
        <v>جيد</v>
      </c>
      <c r="I22" s="55"/>
      <c r="J22" s="56"/>
    </row>
    <row r="23" spans="1:10" ht="39.950000000000003" customHeight="1" x14ac:dyDescent="0.2">
      <c r="A23" s="11"/>
      <c r="B23" s="43" t="s">
        <v>186</v>
      </c>
      <c r="C23" s="44"/>
      <c r="D23" s="44"/>
      <c r="E23" s="9">
        <v>5</v>
      </c>
      <c r="F23" s="27">
        <v>3.75</v>
      </c>
      <c r="G23" s="32">
        <f t="shared" si="0"/>
        <v>0.75</v>
      </c>
      <c r="H23" s="33" t="str">
        <f t="shared" si="1"/>
        <v>جيد</v>
      </c>
      <c r="I23" s="55"/>
      <c r="J23" s="56"/>
    </row>
    <row r="24" spans="1:10" ht="39.950000000000003" customHeight="1" x14ac:dyDescent="0.2">
      <c r="A24" s="11"/>
      <c r="B24" s="43" t="s">
        <v>187</v>
      </c>
      <c r="C24" s="44"/>
      <c r="D24" s="44"/>
      <c r="E24" s="9">
        <v>5</v>
      </c>
      <c r="F24" s="27">
        <v>3.75</v>
      </c>
      <c r="G24" s="32">
        <f t="shared" si="0"/>
        <v>0.75</v>
      </c>
      <c r="H24" s="33" t="str">
        <f t="shared" si="1"/>
        <v>جيد</v>
      </c>
      <c r="I24" s="55"/>
      <c r="J24" s="56"/>
    </row>
    <row r="25" spans="1:10" ht="39.950000000000003" customHeight="1" x14ac:dyDescent="0.2">
      <c r="A25" s="11"/>
      <c r="B25" s="43" t="s">
        <v>188</v>
      </c>
      <c r="C25" s="44"/>
      <c r="D25" s="44"/>
      <c r="E25" s="9">
        <v>5</v>
      </c>
      <c r="F25" s="27">
        <v>3.25</v>
      </c>
      <c r="G25" s="32">
        <f t="shared" si="0"/>
        <v>0.65</v>
      </c>
      <c r="H25" s="33" t="str">
        <f t="shared" si="1"/>
        <v>مقبول</v>
      </c>
      <c r="I25" s="55"/>
      <c r="J25" s="56"/>
    </row>
    <row r="26" spans="1:10" ht="39.950000000000003" customHeight="1" thickBot="1" x14ac:dyDescent="0.25">
      <c r="A26" s="11"/>
      <c r="B26" s="45" t="s">
        <v>189</v>
      </c>
      <c r="C26" s="46"/>
      <c r="D26" s="46"/>
      <c r="E26" s="37">
        <v>5</v>
      </c>
      <c r="F26" s="29">
        <v>3.25</v>
      </c>
      <c r="G26" s="38">
        <f t="shared" si="0"/>
        <v>0.65</v>
      </c>
      <c r="H26" s="39" t="str">
        <f t="shared" si="1"/>
        <v>مقبول</v>
      </c>
      <c r="I26" s="53"/>
      <c r="J26" s="54"/>
    </row>
    <row r="27" spans="1:10" ht="39.950000000000003" customHeight="1" x14ac:dyDescent="0.2">
      <c r="A27" s="11"/>
      <c r="B27" s="47" t="s">
        <v>200</v>
      </c>
      <c r="C27" s="48"/>
      <c r="D27" s="48"/>
      <c r="E27" s="40"/>
      <c r="F27" s="34"/>
      <c r="G27" s="35"/>
      <c r="H27" s="36"/>
      <c r="I27" s="57"/>
      <c r="J27" s="58"/>
    </row>
    <row r="28" spans="1:10" ht="39.950000000000003" customHeight="1" x14ac:dyDescent="0.2">
      <c r="A28" s="11"/>
      <c r="B28" s="43" t="s">
        <v>190</v>
      </c>
      <c r="C28" s="44"/>
      <c r="D28" s="44"/>
      <c r="E28" s="9">
        <v>5</v>
      </c>
      <c r="F28" s="27">
        <v>3.25</v>
      </c>
      <c r="G28" s="32">
        <f t="shared" si="0"/>
        <v>0.65</v>
      </c>
      <c r="H28" s="33" t="str">
        <f t="shared" si="1"/>
        <v>مقبول</v>
      </c>
      <c r="I28" s="55"/>
      <c r="J28" s="56"/>
    </row>
    <row r="29" spans="1:10" ht="39.950000000000003" customHeight="1" x14ac:dyDescent="0.2">
      <c r="A29" s="11"/>
      <c r="B29" s="43" t="s">
        <v>191</v>
      </c>
      <c r="C29" s="44"/>
      <c r="D29" s="44"/>
      <c r="E29" s="9">
        <v>5</v>
      </c>
      <c r="F29" s="27">
        <v>3.25</v>
      </c>
      <c r="G29" s="32">
        <f t="shared" si="0"/>
        <v>0.65</v>
      </c>
      <c r="H29" s="33" t="str">
        <f t="shared" si="1"/>
        <v>مقبول</v>
      </c>
      <c r="I29" s="55"/>
      <c r="J29" s="56"/>
    </row>
    <row r="30" spans="1:10" ht="39.950000000000003" customHeight="1" x14ac:dyDescent="0.2">
      <c r="A30" s="11"/>
      <c r="B30" s="43" t="s">
        <v>192</v>
      </c>
      <c r="C30" s="44"/>
      <c r="D30" s="44"/>
      <c r="E30" s="9">
        <v>5</v>
      </c>
      <c r="F30" s="27">
        <v>3.75</v>
      </c>
      <c r="G30" s="32">
        <f t="shared" si="0"/>
        <v>0.75</v>
      </c>
      <c r="H30" s="33" t="str">
        <f t="shared" si="1"/>
        <v>جيد</v>
      </c>
      <c r="I30" s="55"/>
      <c r="J30" s="56"/>
    </row>
    <row r="31" spans="1:10" ht="39.950000000000003" customHeight="1" x14ac:dyDescent="0.2">
      <c r="A31" s="11"/>
      <c r="B31" s="43" t="s">
        <v>193</v>
      </c>
      <c r="C31" s="44"/>
      <c r="D31" s="44"/>
      <c r="E31" s="9">
        <v>5</v>
      </c>
      <c r="F31" s="27">
        <v>3.75</v>
      </c>
      <c r="G31" s="32">
        <f t="shared" si="0"/>
        <v>0.75</v>
      </c>
      <c r="H31" s="33" t="str">
        <f t="shared" si="1"/>
        <v>جيد</v>
      </c>
      <c r="I31" s="55"/>
      <c r="J31" s="56"/>
    </row>
    <row r="32" spans="1:10" ht="39.950000000000003" customHeight="1" thickBot="1" x14ac:dyDescent="0.25">
      <c r="A32" s="11"/>
      <c r="B32" s="45" t="s">
        <v>194</v>
      </c>
      <c r="C32" s="46"/>
      <c r="D32" s="46"/>
      <c r="E32" s="37">
        <v>5</v>
      </c>
      <c r="F32" s="29">
        <v>3.75</v>
      </c>
      <c r="G32" s="38">
        <f t="shared" si="0"/>
        <v>0.75</v>
      </c>
      <c r="H32" s="39" t="str">
        <f t="shared" si="1"/>
        <v>جيد</v>
      </c>
      <c r="I32" s="53"/>
      <c r="J32" s="54"/>
    </row>
    <row r="33" spans="1:10" ht="30" customHeight="1" thickBot="1" x14ac:dyDescent="0.25">
      <c r="A33" s="4"/>
      <c r="B33" s="61" t="s">
        <v>5</v>
      </c>
      <c r="C33" s="62"/>
      <c r="D33" s="62"/>
      <c r="E33" s="31">
        <f>SUM(E8:E32)</f>
        <v>110</v>
      </c>
      <c r="F33" s="31">
        <f>SUM(F8:F32)</f>
        <v>77.5</v>
      </c>
      <c r="G33" s="88"/>
      <c r="H33" s="89"/>
      <c r="I33" s="89"/>
      <c r="J33" s="90"/>
    </row>
    <row r="34" spans="1:10" ht="30" customHeight="1" thickBot="1" x14ac:dyDescent="0.25">
      <c r="A34" s="4"/>
      <c r="B34" s="63" t="s">
        <v>54</v>
      </c>
      <c r="C34" s="64"/>
      <c r="D34" s="64"/>
      <c r="E34" s="78">
        <f>F33/E33/100*100</f>
        <v>0.70454545454545459</v>
      </c>
      <c r="F34" s="78"/>
      <c r="G34" s="78"/>
      <c r="H34" s="78"/>
      <c r="I34" s="78"/>
      <c r="J34" s="79"/>
    </row>
    <row r="35" spans="1:10" ht="30" customHeight="1" thickBot="1" x14ac:dyDescent="0.2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2">
      <c r="B36" s="65" t="s">
        <v>175</v>
      </c>
      <c r="C36" s="65"/>
      <c r="D36" s="65"/>
      <c r="E36" s="86" t="s">
        <v>52</v>
      </c>
      <c r="F36" s="86"/>
      <c r="G36" s="67" t="s">
        <v>134</v>
      </c>
      <c r="H36" s="67"/>
      <c r="I36" s="67"/>
      <c r="J36" s="67"/>
    </row>
    <row r="37" spans="1:10" ht="51" customHeight="1" x14ac:dyDescent="0.2">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2025-10-08T15:41:41Z</dcterms:modified>
</cp:coreProperties>
</file>