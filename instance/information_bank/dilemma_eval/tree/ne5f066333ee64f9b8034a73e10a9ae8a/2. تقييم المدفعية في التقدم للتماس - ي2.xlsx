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105" yWindow="-105" windowWidth="23250" windowHeight="1257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التقييم'!$A$1:$J$33</definedName>
    <definedName name="_xlnm.Print_Titles" localSheetId="0">'قائمة التقييم'!$7:$7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1" i="2"/>
  <c r="H11" i="2" s="1"/>
  <c r="G12" i="2"/>
  <c r="H12" i="2" s="1"/>
  <c r="G13" i="2"/>
  <c r="H13" i="2" s="1"/>
  <c r="G14" i="2"/>
  <c r="H14" i="2" s="1"/>
  <c r="G15" i="2"/>
  <c r="H15" i="2" s="1"/>
  <c r="G16" i="2"/>
  <c r="H16" i="2" s="1"/>
  <c r="G17" i="2"/>
  <c r="H17" i="2" s="1"/>
  <c r="G18" i="2"/>
  <c r="H18" i="2" s="1"/>
  <c r="G19" i="2"/>
  <c r="H19" i="2" s="1"/>
  <c r="G20" i="2"/>
  <c r="H20" i="2" s="1"/>
  <c r="G22" i="2"/>
  <c r="H22" i="2" s="1"/>
  <c r="G23" i="2"/>
  <c r="H23" i="2" s="1"/>
  <c r="G24" i="2"/>
  <c r="H24" i="2" s="1"/>
  <c r="G25" i="2"/>
  <c r="H25" i="2" s="1"/>
  <c r="G26" i="2"/>
  <c r="H26" i="2" s="1"/>
  <c r="G27" i="2"/>
  <c r="H27" i="2" s="1"/>
  <c r="G28" i="2"/>
  <c r="H28" i="2" s="1"/>
  <c r="F29" i="2" l="1"/>
  <c r="E29" i="2" l="1"/>
  <c r="E30" i="2" l="1"/>
  <c r="E31" i="2" s="1"/>
</calcChain>
</file>

<file path=xl/sharedStrings.xml><?xml version="1.0" encoding="utf-8"?>
<sst xmlns="http://schemas.openxmlformats.org/spreadsheetml/2006/main" count="69" uniqueCount="50">
  <si>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</si>
  <si>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</si>
  <si>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</si>
  <si>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</si>
  <si>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</si>
  <si>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</si>
  <si>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</si>
  <si>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</si>
  <si>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</si>
  <si>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</si>
  <si>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</si>
  <si>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</si>
  <si>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</si>
  <si>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</si>
  <si>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</si>
  <si>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</si>
  <si>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</si>
  <si>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</si>
  <si>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</si>
  <si>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</si>
  <si>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</si>
  <si>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</si>
  <si>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</si>
  <si>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</si>
  <si>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</si>
  <si>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</si>
  <si>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</si>
  <si>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r>
      <t>1.</t>
    </r>
    <r>
      <rPr>
        <sz val="7"/>
        <color rgb="FF000000"/>
        <rFont val="Times New Roman"/>
        <family val="1"/>
      </rPr>
      <t xml:space="preserve">        </t>
    </r>
    <r>
      <rPr>
        <sz val="12"/>
        <color rgb="FF000000"/>
        <rFont val="Arial"/>
        <family val="2"/>
      </rPr>
      <t>اعتبارات قائد كتيبة المدفعية عند التقدّم للتماس هي:</t>
    </r>
  </si>
  <si>
    <t>أ. تحديد أولوية النيران للجهد الرئيسي وتخطيط أولوية الأهداف.</t>
  </si>
  <si>
    <t xml:space="preserve">ب. تخطيط النيران على النقاط الهامة على طول طريق التقدم. </t>
  </si>
  <si>
    <t>جـ. تخطيط النيران لإسناد زخم وحدة المناورة.</t>
  </si>
  <si>
    <t>د. توضيع الأجهزة الليزرية مع فرق القتال/ السرايا الأمامية.</t>
  </si>
  <si>
    <t>هـ. التأكّد من الاتصالات الخاصة بطلب الرماية السريعة الممررة من قبل فرق القتال/ السرايا الأمامية والجهد الرئيسي.</t>
  </si>
  <si>
    <t>و. التأكد من أن خلايا تنسيق الإسناد الناري في الوحدات الخلفية والمجاورة تقوم بالتنسيق مع بعضها البعض، وتمرر المعلومات باستمرار.</t>
  </si>
  <si>
    <t>ز. توضيع ضباط الرصد الأماميين أو المسيطرين الجويين الأماميين مع فرق القتال/ السرايا الأمامية.</t>
  </si>
  <si>
    <t>ح. التخطيط لهجمات سريعة وخاصة في الحالات الطارئة.</t>
  </si>
  <si>
    <t>ط. العمل على إخماد/ إسكات الدفاع الجوي المعادي والقصف المعاكس المعادي.</t>
  </si>
  <si>
    <t>ي. العمل على توضيع خطوط تنسيق النيران، أمام القوّات الصديقة بشكل كافٍ، والتخطيط لخطوط تنسيق النيران بالأمر" حتى يكون بالإمكان رفع النيران ونقلها بسرعة.</t>
  </si>
  <si>
    <t>ك. توقع حركة متكررة لكتيبة المدفعية ورماية سريعة.</t>
  </si>
  <si>
    <t>ل. إبقاء الذخيرة محمّلة.</t>
  </si>
  <si>
    <r>
      <t>2.</t>
    </r>
    <r>
      <rPr>
        <sz val="7"/>
        <color rgb="FF000000"/>
        <rFont val="Times New Roman"/>
        <family val="1"/>
      </rPr>
      <t xml:space="preserve">        </t>
    </r>
    <r>
      <rPr>
        <sz val="12"/>
        <color rgb="FF000000"/>
        <rFont val="Arial"/>
        <family val="2"/>
      </rPr>
      <t>أدوار كتيبة المدفعية في التقدم للتماس كما يلي:</t>
    </r>
  </si>
  <si>
    <t>أ. توفير نيران فورية للعناصر الأمامية أو العناصر المشتبكة مع العدو.</t>
  </si>
  <si>
    <t>ب. ادامة ارتباط وثيق مع مجموعة اللواء من خلال ضباط الرصد الاماميين المتحركين مع الكتيبة.</t>
  </si>
  <si>
    <t>جـ. خطة نار ساترة للهجمات السريعة على أن تكون سهلة.</t>
  </si>
  <si>
    <t>د. مهاجمة أهداف في العمق بنيران مجمعة لمنع التعزيزات لقوات العدو، حيث إن موقف العدو يكون غامضاً في العادة، وإن تحديد مناطق حيوية صديقة للعناصر الأمامية قد يكون أكثر فائدة من تحديد مناطق حظر رماية.</t>
  </si>
  <si>
    <r>
      <t>3.</t>
    </r>
    <r>
      <rPr>
        <sz val="7"/>
        <color rgb="FF000000"/>
        <rFont val="Times New Roman"/>
        <family val="1"/>
      </rPr>
      <t xml:space="preserve">        </t>
    </r>
    <r>
      <rPr>
        <sz val="12"/>
        <color rgb="FF000000"/>
        <rFont val="Arial"/>
        <family val="2"/>
      </rPr>
      <t>انتخاب مواقع المدافع المحتملة وعلى طول محور التقدم من قبل قائد كتيبة المدفعية من الخارطة والصور الجوية وإعطائها أسماء رمزية لتسهيل عملية احتلالها، ويفضل أن يكون انفتاح كتيبة المدفعية أقرب ما يمكن لهذه المناطق.</t>
    </r>
  </si>
  <si>
    <r>
      <t>4.</t>
    </r>
    <r>
      <rPr>
        <sz val="7"/>
        <color rgb="FF000000"/>
        <rFont val="Times New Roman"/>
        <family val="1"/>
      </rPr>
      <t xml:space="preserve">        </t>
    </r>
    <r>
      <rPr>
        <sz val="12"/>
        <color rgb="FF000000"/>
        <rFont val="Arial"/>
        <family val="2"/>
      </rPr>
      <t>يتم تأكيد صلاحية هذه المواقع من قبل ضباط الرصد الأماميين وضباط الرصد الجويين أثناء مرورهم منها أو تحليقهم فوقها.</t>
    </r>
  </si>
  <si>
    <r>
      <t>5.</t>
    </r>
    <r>
      <rPr>
        <sz val="7"/>
        <color rgb="FF000000"/>
        <rFont val="Times New Roman"/>
        <family val="1"/>
      </rPr>
      <t xml:space="preserve">        </t>
    </r>
    <r>
      <rPr>
        <sz val="12"/>
        <color rgb="FF000000"/>
        <rFont val="Arial"/>
        <family val="2"/>
      </rPr>
      <t>تخصيص ضابط رصد مع مقدمة الحرس لتقديم الإسناد المدفعي في الوقت المناسب.</t>
    </r>
  </si>
  <si>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</si>
  <si>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تقييم كتيبة المدفعية في التقدم للتماس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</si>
</sst>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C0000]d\ mmmm\ yyyy;@"/>
  </numFmts>
  <fonts count="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2"/>
      <color rgb="FF000000"/>
      <name val="Arial"/>
      <family val="2"/>
    </font>
    <font>
      <sz val="7"/>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22">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77">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2" fillId="0" borderId="8"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3" fillId="0" borderId="11" xfId="0" applyFont="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2" fillId="0" borderId="18" xfId="0" applyFont="1" applyBorder="1" applyAlignment="1">
      <alignment horizontal="center" vertical="center" wrapText="1" readingOrder="2"/>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3" fillId="0" borderId="8" xfId="0" applyFont="1" applyBorder="1" applyAlignment="1" applyProtection="1">
      <alignment horizontal="center" vertical="center" wrapText="1" readingOrder="2"/>
      <protection locked="0"/>
    </xf>
    <xf numFmtId="9" fontId="3" fillId="0" borderId="8" xfId="0" applyNumberFormat="1" applyFont="1" applyBorder="1" applyAlignment="1">
      <alignment horizontal="center" vertical="center" wrapText="1" readingOrder="2"/>
    </xf>
    <xf numFmtId="0" fontId="7" fillId="0" borderId="7" xfId="0" applyFont="1" applyBorder="1" applyAlignment="1">
      <alignment horizontal="right" vertical="center" wrapText="1" readingOrder="2"/>
    </xf>
    <xf numFmtId="0" fontId="7" fillId="0" borderId="8" xfId="0" applyFont="1" applyBorder="1" applyAlignment="1">
      <alignment horizontal="right" vertical="center" wrapText="1" readingOrder="2"/>
    </xf>
    <xf numFmtId="0" fontId="7" fillId="0" borderId="21" xfId="0" applyFont="1" applyBorder="1" applyAlignment="1">
      <alignment horizontal="right" vertical="center" wrapText="1" indent="2" readingOrder="2"/>
    </xf>
    <xf numFmtId="0" fontId="7" fillId="0" borderId="2" xfId="0" applyFont="1" applyBorder="1" applyAlignment="1">
      <alignment horizontal="right" vertical="center" wrapText="1" indent="2" readingOrder="2"/>
    </xf>
    <xf numFmtId="0" fontId="7" fillId="0" borderId="10" xfId="0" applyFont="1" applyBorder="1" applyAlignment="1">
      <alignment horizontal="right" vertical="center" wrapText="1" indent="2" readingOrder="2"/>
    </xf>
    <xf numFmtId="0" fontId="7" fillId="0" borderId="11" xfId="0" applyFont="1" applyBorder="1" applyAlignment="1">
      <alignment horizontal="right" vertical="center" wrapText="1" indent="2" readingOrder="2"/>
    </xf>
    <xf numFmtId="0" fontId="7" fillId="0" borderId="4" xfId="0" applyFont="1" applyBorder="1" applyAlignment="1">
      <alignment horizontal="right" vertical="center" wrapText="1" readingOrder="2"/>
    </xf>
    <xf numFmtId="0" fontId="7" fillId="0" borderId="3" xfId="0" applyFont="1" applyBorder="1" applyAlignment="1">
      <alignment horizontal="right" vertical="center" wrapText="1" readingOrder="2"/>
    </xf>
    <xf numFmtId="0" fontId="3" fillId="0" borderId="3" xfId="0" applyFont="1" applyBorder="1" applyAlignment="1" applyProtection="1">
      <alignment horizontal="center" vertical="center" wrapText="1" readingOrder="2"/>
      <protection locked="0"/>
    </xf>
    <xf numFmtId="0" fontId="3" fillId="0" borderId="5" xfId="0" applyFont="1" applyBorder="1" applyAlignment="1" applyProtection="1">
      <alignment horizontal="center" vertical="center" wrapText="1" readingOrder="2"/>
      <protection locked="0"/>
    </xf>
    <xf numFmtId="0" fontId="5" fillId="3" borderId="17" xfId="0" applyFont="1" applyFill="1" applyBorder="1" applyAlignment="1" applyProtection="1">
      <alignment horizontal="center" vertical="center" wrapText="1" readingOrder="2"/>
      <protection locked="0"/>
    </xf>
    <xf numFmtId="0" fontId="5" fillId="3" borderId="18"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8"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5" fillId="0" borderId="0" xfId="0" applyFont="1" applyBorder="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4" xfId="0" applyFont="1" applyFill="1" applyBorder="1" applyAlignment="1" applyProtection="1">
      <alignment horizontal="center" vertical="center" wrapText="1" readingOrder="2"/>
      <protection locked="0"/>
    </xf>
    <xf numFmtId="0" fontId="6" fillId="3" borderId="15" xfId="0" applyFont="1" applyFill="1" applyBorder="1" applyAlignment="1" applyProtection="1">
      <alignment horizontal="center"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5" fillId="3" borderId="15" xfId="0" applyFont="1" applyFill="1" applyBorder="1" applyAlignment="1" applyProtection="1">
      <alignment horizontal="center" vertical="center" wrapText="1" readingOrder="2"/>
      <protection locked="0"/>
    </xf>
    <xf numFmtId="0" fontId="5" fillId="3" borderId="16" xfId="0" applyFont="1" applyFill="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0" fontId="5" fillId="0" borderId="0" xfId="0" applyFont="1" applyAlignment="1" applyProtection="1">
      <alignment horizontal="left" vertical="center" wrapText="1" readingOrder="2"/>
      <protection locked="0"/>
    </xf>
    <xf numFmtId="0" fontId="2" fillId="0" borderId="19" xfId="0" applyFont="1" applyBorder="1" applyAlignment="1">
      <alignment horizontal="center" vertical="center" wrapText="1" readingOrder="2"/>
    </xf>
    <xf numFmtId="0" fontId="2" fillId="0" borderId="13" xfId="0" applyFont="1" applyBorder="1" applyAlignment="1">
      <alignment horizontal="center" vertical="center" wrapText="1" readingOrder="2"/>
    </xf>
    <xf numFmtId="0" fontId="2" fillId="0" borderId="20" xfId="0" applyFont="1" applyBorder="1" applyAlignment="1">
      <alignment horizontal="center" vertical="center" wrapText="1" readingOrder="2"/>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33"/>
  <sheetViews>
    <sheetView rightToLeft="1" tabSelected="1" view="pageBreakPreview" zoomScale="130" zoomScaleNormal="100" zoomScaleSheetLayoutView="130" workbookViewId="0">
      <selection activeCell="B1" sqref="B1:J1"/>
    </sheetView>
  </sheetViews>
  <sheetFormatPr defaultColWidth="9" defaultRowHeight="15" x14ac:dyDescent="0.25"/>
  <cols>
    <col min="1" max="1" width="5.140625" style="1" customWidth="1"/>
    <col min="2" max="2" width="12.140625" style="1" customWidth="1"/>
    <col min="3" max="3" width="9" style="1"/>
    <col min="4" max="4" width="28.140625" style="1" customWidth="1"/>
    <col min="5" max="7" width="9.28515625" style="1" customWidth="1"/>
    <col min="8" max="8" width="9.28515625" style="2" customWidth="1"/>
    <col min="9" max="9" width="9.28515625" style="1" customWidth="1"/>
    <col min="10" max="10" width="15.42578125" style="1" customWidth="1"/>
    <col min="11" max="16384" width="9" style="1"/>
  </cols>
  <sheetData>
    <row r="1" spans="1:10" ht="45" customHeight="1" x14ac:dyDescent="0.25">
      <c r="B1" s="76" t="s">
        <v>49</v>
      </c>
      <c r="C1" s="76"/>
      <c r="D1" s="76"/>
      <c r="E1" s="76"/>
      <c r="F1" s="76"/>
      <c r="G1" s="76"/>
      <c r="H1" s="76"/>
      <c r="I1" s="76"/>
      <c r="J1" s="76"/>
    </row>
    <row r="2" spans="1:10" ht="30" customHeight="1" x14ac:dyDescent="0.25">
      <c r="B2" s="12" t="s">
        <v>8</v>
      </c>
      <c r="C2" s="58" t="s">
        <v>23</v>
      </c>
      <c r="D2" s="58"/>
      <c r="E2" s="12" t="s">
        <v>7</v>
      </c>
      <c r="F2" s="53" t="s">
        <v>22</v>
      </c>
      <c r="G2" s="53"/>
      <c r="H2" s="53"/>
      <c r="I2" s="53"/>
      <c r="J2" s="53"/>
    </row>
    <row r="3" spans="1:10" ht="30" customHeight="1" x14ac:dyDescent="0.25">
      <c r="B3" s="12" t="s">
        <v>9</v>
      </c>
      <c r="C3" s="58" t="s">
        <v>25</v>
      </c>
      <c r="D3" s="58"/>
      <c r="E3" s="12" t="s">
        <v>6</v>
      </c>
      <c r="F3" s="58" t="s">
        <v>24</v>
      </c>
      <c r="G3" s="58"/>
      <c r="H3" s="58"/>
      <c r="I3" s="58"/>
      <c r="J3" s="58"/>
    </row>
    <row r="4" spans="1:10" ht="30" customHeight="1" thickBot="1" x14ac:dyDescent="0.3">
      <c r="B4" s="5"/>
      <c r="C4" s="6"/>
      <c r="D4" s="6"/>
      <c r="E4" s="5"/>
      <c r="F4" s="6"/>
      <c r="G4" s="6"/>
      <c r="H4" s="7"/>
      <c r="I4" s="6"/>
      <c r="J4" s="6"/>
    </row>
    <row r="5" spans="1:10" ht="24.95" customHeight="1" x14ac:dyDescent="0.25">
      <c r="A5" s="10"/>
      <c r="B5" s="54" t="s">
        <v>0</v>
      </c>
      <c r="C5" s="55"/>
      <c r="D5" s="55"/>
      <c r="E5" s="63" t="s">
        <v>1</v>
      </c>
      <c r="F5" s="63"/>
      <c r="G5" s="63"/>
      <c r="H5" s="63"/>
      <c r="I5" s="63" t="s">
        <v>2</v>
      </c>
      <c r="J5" s="64"/>
    </row>
    <row r="6" spans="1:10" ht="24.95" customHeight="1" thickBot="1" x14ac:dyDescent="0.3">
      <c r="A6" s="10"/>
      <c r="B6" s="56"/>
      <c r="C6" s="57"/>
      <c r="D6" s="57"/>
      <c r="E6" s="11" t="s">
        <v>3</v>
      </c>
      <c r="F6" s="11" t="s">
        <v>4</v>
      </c>
      <c r="G6" s="11" t="s">
        <v>15</v>
      </c>
      <c r="H6" s="11" t="s">
        <v>16</v>
      </c>
      <c r="I6" s="65"/>
      <c r="J6" s="66"/>
    </row>
    <row r="7" spans="1:10" ht="24.95" customHeight="1" thickBot="1" x14ac:dyDescent="0.3">
      <c r="A7" s="10"/>
      <c r="B7" s="61" t="s">
        <v>13</v>
      </c>
      <c r="C7" s="62"/>
      <c r="D7" s="62"/>
      <c r="E7" s="16" t="s">
        <v>10</v>
      </c>
      <c r="F7" s="16" t="s">
        <v>11</v>
      </c>
      <c r="G7" s="16" t="s">
        <v>14</v>
      </c>
      <c r="H7" s="16" t="s">
        <v>12</v>
      </c>
      <c r="I7" s="67" t="s">
        <v>17</v>
      </c>
      <c r="J7" s="68"/>
    </row>
    <row r="8" spans="1:10" ht="39.950000000000003" customHeight="1" x14ac:dyDescent="0.25">
      <c r="A8" s="10"/>
      <c r="B8" s="35" t="s">
        <v>27</v>
      </c>
      <c r="C8" s="36"/>
      <c r="D8" s="36"/>
      <c r="E8" s="20"/>
      <c r="F8" s="21"/>
      <c r="G8" s="22"/>
      <c r="H8" s="23"/>
      <c r="I8" s="37"/>
      <c r="J8" s="38"/>
    </row>
    <row r="9" spans="1:10" ht="39.950000000000003" customHeight="1" x14ac:dyDescent="0.25">
      <c r="A9" s="10"/>
      <c r="B9" s="31" t="s">
        <v>28</v>
      </c>
      <c r="C9" s="32"/>
      <c r="D9" s="32"/>
      <c r="E9" s="8">
        <v>5</v>
      </c>
      <c r="F9" s="13" t="s">
        <v>26</v>
      </c>
      <c r="G9" s="18" t="str">
        <f>IFERROR(F9/E9,"")</f>
        <v/>
      </c>
      <c r="H9" s="19" t="str">
        <f>_xlfn.IFS(F9="أدخل العلامة","",F9="لا ينطبق","تم الإلغاء",G9&gt;=90%,"ممتاز",G9&gt;=80%,"جيد جداً",G9&gt;=70%,"جيد",G9&gt;=60%,"مقبول",G9&lt;60%,"راسب")</f>
        <v/>
      </c>
      <c r="I9" s="43"/>
      <c r="J9" s="44"/>
    </row>
    <row r="10" spans="1:10" ht="39.950000000000003" customHeight="1" x14ac:dyDescent="0.25">
      <c r="A10" s="10"/>
      <c r="B10" s="31" t="s">
        <v>29</v>
      </c>
      <c r="C10" s="32"/>
      <c r="D10" s="32"/>
      <c r="E10" s="8">
        <v>5</v>
      </c>
      <c r="F10" s="13" t="s">
        <v>26</v>
      </c>
      <c r="G10" s="18" t="str">
        <f t="shared" ref="G10:G28" si="0">IFERROR(F10/E10,"")</f>
        <v/>
      </c>
      <c r="H10" s="19" t="str">
        <f t="shared" ref="H10:H28" si="1">_xlfn.IFS(F10="أدخل العلامة","",F10="لا ينطبق","تم الإلغاء",G10&gt;=90%,"ممتاز",G10&gt;=80%,"جيد جداً",G10&gt;=70%,"جيد",G10&gt;=60%,"مقبول",G10&lt;60%,"راسب")</f>
        <v/>
      </c>
      <c r="I10" s="43"/>
      <c r="J10" s="44"/>
    </row>
    <row r="11" spans="1:10" ht="39.950000000000003" customHeight="1" x14ac:dyDescent="0.25">
      <c r="A11" s="10"/>
      <c r="B11" s="31" t="s">
        <v>30</v>
      </c>
      <c r="C11" s="32"/>
      <c r="D11" s="32"/>
      <c r="E11" s="8">
        <v>5</v>
      </c>
      <c r="F11" s="13" t="s">
        <v>26</v>
      </c>
      <c r="G11" s="18" t="str">
        <f t="shared" si="0"/>
        <v/>
      </c>
      <c r="H11" s="19" t="str">
        <f t="shared" si="1"/>
        <v/>
      </c>
      <c r="I11" s="43"/>
      <c r="J11" s="44"/>
    </row>
    <row r="12" spans="1:10" ht="39.950000000000003" customHeight="1" x14ac:dyDescent="0.25">
      <c r="A12" s="10"/>
      <c r="B12" s="31" t="s">
        <v>31</v>
      </c>
      <c r="C12" s="32"/>
      <c r="D12" s="32"/>
      <c r="E12" s="8">
        <v>5</v>
      </c>
      <c r="F12" s="13" t="s">
        <v>26</v>
      </c>
      <c r="G12" s="18" t="str">
        <f t="shared" si="0"/>
        <v/>
      </c>
      <c r="H12" s="19" t="str">
        <f t="shared" si="1"/>
        <v/>
      </c>
      <c r="I12" s="43"/>
      <c r="J12" s="44"/>
    </row>
    <row r="13" spans="1:10" ht="39.950000000000003" customHeight="1" x14ac:dyDescent="0.25">
      <c r="A13" s="10"/>
      <c r="B13" s="31" t="s">
        <v>32</v>
      </c>
      <c r="C13" s="32"/>
      <c r="D13" s="32"/>
      <c r="E13" s="8">
        <v>5</v>
      </c>
      <c r="F13" s="13" t="s">
        <v>26</v>
      </c>
      <c r="G13" s="18" t="str">
        <f t="shared" si="0"/>
        <v/>
      </c>
      <c r="H13" s="19" t="str">
        <f t="shared" si="1"/>
        <v/>
      </c>
      <c r="I13" s="43"/>
      <c r="J13" s="44"/>
    </row>
    <row r="14" spans="1:10" ht="60" customHeight="1" x14ac:dyDescent="0.25">
      <c r="A14" s="10"/>
      <c r="B14" s="31" t="s">
        <v>33</v>
      </c>
      <c r="C14" s="32"/>
      <c r="D14" s="32"/>
      <c r="E14" s="8">
        <v>5</v>
      </c>
      <c r="F14" s="13" t="s">
        <v>26</v>
      </c>
      <c r="G14" s="18" t="str">
        <f t="shared" si="0"/>
        <v/>
      </c>
      <c r="H14" s="19" t="str">
        <f t="shared" si="1"/>
        <v/>
      </c>
      <c r="I14" s="43"/>
      <c r="J14" s="44"/>
    </row>
    <row r="15" spans="1:10" ht="39.950000000000003" customHeight="1" x14ac:dyDescent="0.25">
      <c r="A15" s="10"/>
      <c r="B15" s="31" t="s">
        <v>34</v>
      </c>
      <c r="C15" s="32"/>
      <c r="D15" s="32"/>
      <c r="E15" s="8">
        <v>5</v>
      </c>
      <c r="F15" s="13" t="s">
        <v>26</v>
      </c>
      <c r="G15" s="18" t="str">
        <f t="shared" si="0"/>
        <v/>
      </c>
      <c r="H15" s="19" t="str">
        <f t="shared" si="1"/>
        <v/>
      </c>
      <c r="I15" s="43"/>
      <c r="J15" s="44"/>
    </row>
    <row r="16" spans="1:10" ht="39.950000000000003" customHeight="1" x14ac:dyDescent="0.25">
      <c r="A16" s="10"/>
      <c r="B16" s="31" t="s">
        <v>35</v>
      </c>
      <c r="C16" s="32"/>
      <c r="D16" s="32"/>
      <c r="E16" s="8">
        <v>5</v>
      </c>
      <c r="F16" s="13" t="s">
        <v>26</v>
      </c>
      <c r="G16" s="18" t="str">
        <f t="shared" si="0"/>
        <v/>
      </c>
      <c r="H16" s="19" t="str">
        <f t="shared" si="1"/>
        <v/>
      </c>
      <c r="I16" s="43"/>
      <c r="J16" s="44"/>
    </row>
    <row r="17" spans="1:10" ht="39.950000000000003" customHeight="1" x14ac:dyDescent="0.25">
      <c r="A17" s="10"/>
      <c r="B17" s="31" t="s">
        <v>36</v>
      </c>
      <c r="C17" s="32"/>
      <c r="D17" s="32"/>
      <c r="E17" s="8">
        <v>5</v>
      </c>
      <c r="F17" s="13" t="s">
        <v>26</v>
      </c>
      <c r="G17" s="18" t="str">
        <f t="shared" si="0"/>
        <v/>
      </c>
      <c r="H17" s="19" t="str">
        <f t="shared" si="1"/>
        <v/>
      </c>
      <c r="I17" s="43"/>
      <c r="J17" s="44"/>
    </row>
    <row r="18" spans="1:10" ht="60" customHeight="1" x14ac:dyDescent="0.25">
      <c r="A18" s="10"/>
      <c r="B18" s="31" t="s">
        <v>37</v>
      </c>
      <c r="C18" s="32"/>
      <c r="D18" s="32"/>
      <c r="E18" s="8">
        <v>5</v>
      </c>
      <c r="F18" s="13" t="s">
        <v>26</v>
      </c>
      <c r="G18" s="18" t="str">
        <f t="shared" si="0"/>
        <v/>
      </c>
      <c r="H18" s="19" t="str">
        <f t="shared" si="1"/>
        <v/>
      </c>
      <c r="I18" s="43"/>
      <c r="J18" s="44"/>
    </row>
    <row r="19" spans="1:10" ht="39.950000000000003" customHeight="1" x14ac:dyDescent="0.25">
      <c r="A19" s="10"/>
      <c r="B19" s="31" t="s">
        <v>38</v>
      </c>
      <c r="C19" s="32"/>
      <c r="D19" s="32"/>
      <c r="E19" s="8">
        <v>5</v>
      </c>
      <c r="F19" s="13" t="s">
        <v>26</v>
      </c>
      <c r="G19" s="18" t="str">
        <f t="shared" si="0"/>
        <v/>
      </c>
      <c r="H19" s="19" t="str">
        <f t="shared" si="1"/>
        <v/>
      </c>
      <c r="I19" s="43"/>
      <c r="J19" s="44"/>
    </row>
    <row r="20" spans="1:10" ht="39.950000000000003" customHeight="1" thickBot="1" x14ac:dyDescent="0.3">
      <c r="A20" s="10"/>
      <c r="B20" s="33" t="s">
        <v>39</v>
      </c>
      <c r="C20" s="34"/>
      <c r="D20" s="34"/>
      <c r="E20" s="24">
        <v>5</v>
      </c>
      <c r="F20" s="15" t="s">
        <v>26</v>
      </c>
      <c r="G20" s="25" t="str">
        <f t="shared" si="0"/>
        <v/>
      </c>
      <c r="H20" s="26" t="str">
        <f t="shared" si="1"/>
        <v/>
      </c>
      <c r="I20" s="69"/>
      <c r="J20" s="70"/>
    </row>
    <row r="21" spans="1:10" ht="39.950000000000003" customHeight="1" x14ac:dyDescent="0.25">
      <c r="A21" s="10"/>
      <c r="B21" s="35" t="s">
        <v>40</v>
      </c>
      <c r="C21" s="36"/>
      <c r="D21" s="36"/>
      <c r="E21" s="20"/>
      <c r="F21" s="21"/>
      <c r="G21" s="22"/>
      <c r="H21" s="23"/>
      <c r="I21" s="37"/>
      <c r="J21" s="38"/>
    </row>
    <row r="22" spans="1:10" ht="39.950000000000003" customHeight="1" x14ac:dyDescent="0.25">
      <c r="A22" s="10"/>
      <c r="B22" s="31" t="s">
        <v>41</v>
      </c>
      <c r="C22" s="32"/>
      <c r="D22" s="32"/>
      <c r="E22" s="8">
        <v>5</v>
      </c>
      <c r="F22" s="13" t="s">
        <v>26</v>
      </c>
      <c r="G22" s="18" t="str">
        <f t="shared" si="0"/>
        <v/>
      </c>
      <c r="H22" s="19" t="str">
        <f t="shared" si="1"/>
        <v/>
      </c>
      <c r="I22" s="43"/>
      <c r="J22" s="44"/>
    </row>
    <row r="23" spans="1:10" ht="39.950000000000003" customHeight="1" x14ac:dyDescent="0.25">
      <c r="A23" s="10"/>
      <c r="B23" s="31" t="s">
        <v>42</v>
      </c>
      <c r="C23" s="32"/>
      <c r="D23" s="32"/>
      <c r="E23" s="8">
        <v>5</v>
      </c>
      <c r="F23" s="13" t="s">
        <v>26</v>
      </c>
      <c r="G23" s="18" t="str">
        <f t="shared" si="0"/>
        <v/>
      </c>
      <c r="H23" s="19" t="str">
        <f t="shared" si="1"/>
        <v/>
      </c>
      <c r="I23" s="43"/>
      <c r="J23" s="44"/>
    </row>
    <row r="24" spans="1:10" ht="39.950000000000003" customHeight="1" x14ac:dyDescent="0.25">
      <c r="A24" s="10"/>
      <c r="B24" s="31" t="s">
        <v>43</v>
      </c>
      <c r="C24" s="32"/>
      <c r="D24" s="32"/>
      <c r="E24" s="8">
        <v>5</v>
      </c>
      <c r="F24" s="13" t="s">
        <v>26</v>
      </c>
      <c r="G24" s="18" t="str">
        <f t="shared" si="0"/>
        <v/>
      </c>
      <c r="H24" s="19" t="str">
        <f t="shared" si="1"/>
        <v/>
      </c>
      <c r="I24" s="43"/>
      <c r="J24" s="44"/>
    </row>
    <row r="25" spans="1:10" ht="60" customHeight="1" thickBot="1" x14ac:dyDescent="0.3">
      <c r="A25" s="10"/>
      <c r="B25" s="33" t="s">
        <v>44</v>
      </c>
      <c r="C25" s="34"/>
      <c r="D25" s="34"/>
      <c r="E25" s="24">
        <v>5</v>
      </c>
      <c r="F25" s="15" t="s">
        <v>26</v>
      </c>
      <c r="G25" s="25" t="str">
        <f t="shared" si="0"/>
        <v/>
      </c>
      <c r="H25" s="26" t="str">
        <f t="shared" si="1"/>
        <v/>
      </c>
      <c r="I25" s="69"/>
      <c r="J25" s="70"/>
    </row>
    <row r="26" spans="1:10" ht="60" customHeight="1" thickBot="1" x14ac:dyDescent="0.3">
      <c r="A26" s="10"/>
      <c r="B26" s="29" t="s">
        <v>45</v>
      </c>
      <c r="C26" s="30"/>
      <c r="D26" s="30"/>
      <c r="E26" s="9">
        <v>5</v>
      </c>
      <c r="F26" s="27" t="s">
        <v>26</v>
      </c>
      <c r="G26" s="28" t="str">
        <f t="shared" si="0"/>
        <v/>
      </c>
      <c r="H26" s="14" t="str">
        <f t="shared" si="1"/>
        <v/>
      </c>
      <c r="I26" s="45"/>
      <c r="J26" s="46"/>
    </row>
    <row r="27" spans="1:10" ht="39.950000000000003" customHeight="1" thickBot="1" x14ac:dyDescent="0.3">
      <c r="A27" s="10"/>
      <c r="B27" s="29" t="s">
        <v>46</v>
      </c>
      <c r="C27" s="30"/>
      <c r="D27" s="30"/>
      <c r="E27" s="9">
        <v>5</v>
      </c>
      <c r="F27" s="27" t="s">
        <v>26</v>
      </c>
      <c r="G27" s="28" t="str">
        <f t="shared" si="0"/>
        <v/>
      </c>
      <c r="H27" s="14" t="str">
        <f t="shared" si="1"/>
        <v/>
      </c>
      <c r="I27" s="45"/>
      <c r="J27" s="46"/>
    </row>
    <row r="28" spans="1:10" ht="39.950000000000003" customHeight="1" thickBot="1" x14ac:dyDescent="0.3">
      <c r="A28" s="10"/>
      <c r="B28" s="29" t="s">
        <v>47</v>
      </c>
      <c r="C28" s="30"/>
      <c r="D28" s="30"/>
      <c r="E28" s="9">
        <v>5</v>
      </c>
      <c r="F28" s="27" t="s">
        <v>26</v>
      </c>
      <c r="G28" s="28" t="str">
        <f t="shared" si="0"/>
        <v/>
      </c>
      <c r="H28" s="14" t="str">
        <f t="shared" si="1"/>
        <v/>
      </c>
      <c r="I28" s="45"/>
      <c r="J28" s="46"/>
    </row>
    <row r="29" spans="1:10" ht="30" customHeight="1" thickBot="1" x14ac:dyDescent="0.3">
      <c r="A29" s="3"/>
      <c r="B29" s="39" t="s">
        <v>5</v>
      </c>
      <c r="C29" s="40"/>
      <c r="D29" s="40"/>
      <c r="E29" s="17">
        <f>SUM(E8:E28)</f>
        <v>95</v>
      </c>
      <c r="F29" s="17">
        <f>SUM(F8:F28)</f>
        <v>0</v>
      </c>
      <c r="G29" s="73"/>
      <c r="H29" s="74"/>
      <c r="I29" s="74"/>
      <c r="J29" s="75"/>
    </row>
    <row r="30" spans="1:10" ht="30" customHeight="1" thickBot="1" x14ac:dyDescent="0.3">
      <c r="A30" s="3"/>
      <c r="B30" s="41" t="s">
        <v>20</v>
      </c>
      <c r="C30" s="42"/>
      <c r="D30" s="42"/>
      <c r="E30" s="59">
        <f>F29/E29/100*100</f>
        <v>0</v>
      </c>
      <c r="F30" s="59"/>
      <c r="G30" s="59"/>
      <c r="H30" s="59"/>
      <c r="I30" s="59"/>
      <c r="J30" s="60"/>
    </row>
    <row r="31" spans="1:10" ht="30" customHeight="1" thickBot="1" x14ac:dyDescent="0.3">
      <c r="A31" s="3"/>
      <c r="B31" s="41" t="s">
        <v>21</v>
      </c>
      <c r="C31" s="42"/>
      <c r="D31" s="42"/>
      <c r="E31" s="51" t="str">
        <f>_xlfn.IFS(E30&gt;=90%,"ممتاز",E30&gt;=80%,"جيد جداً",E30&gt;=70%,"جيد",E30&gt;=60%,"مقبول",E30&lt;60%,"راسب")</f>
        <v>راسب</v>
      </c>
      <c r="F31" s="51"/>
      <c r="G31" s="51"/>
      <c r="H31" s="51"/>
      <c r="I31" s="51"/>
      <c r="J31" s="52"/>
    </row>
    <row r="32" spans="1:10" ht="42" customHeight="1" x14ac:dyDescent="0.25">
      <c r="B32" s="47" t="s">
        <v>48</v>
      </c>
      <c r="C32" s="47"/>
      <c r="D32" s="47"/>
      <c r="E32" s="71" t="s">
        <v>18</v>
      </c>
      <c r="F32" s="71"/>
      <c r="G32" s="49" t="s">
        <v>24</v>
      </c>
      <c r="H32" s="49"/>
      <c r="I32" s="49"/>
      <c r="J32" s="49"/>
    </row>
    <row r="33" spans="1:10" ht="51" customHeight="1" x14ac:dyDescent="0.25">
      <c r="A33" s="4"/>
      <c r="B33" s="48"/>
      <c r="C33" s="48"/>
      <c r="D33" s="48"/>
      <c r="E33" s="72" t="s">
        <v>19</v>
      </c>
      <c r="F33" s="72"/>
      <c r="G33" s="50"/>
      <c r="H33" s="50"/>
      <c r="I33" s="50"/>
      <c r="J33" s="50"/>
    </row>
  </sheetData>
  <sheetProtection sheet="1" formatCells="0" formatColumns="0" formatRows="0" insertColumns="0" insertRows="0" insertHyperlinks="0" deleteColumns="0" deleteRows="0" selectLockedCells="1" sort="0" autoFilter="0" pivotTables="0"/>
  <mergeCells count="63">
    <mergeCell ref="E32:F32"/>
    <mergeCell ref="E33:F33"/>
    <mergeCell ref="G29:J29"/>
    <mergeCell ref="I9:J9"/>
    <mergeCell ref="I23:J23"/>
    <mergeCell ref="I24:J24"/>
    <mergeCell ref="I25:J25"/>
    <mergeCell ref="I26:J26"/>
    <mergeCell ref="I27:J27"/>
    <mergeCell ref="B32:D33"/>
    <mergeCell ref="G32:J32"/>
    <mergeCell ref="G33:J33"/>
    <mergeCell ref="E31:J31"/>
    <mergeCell ref="B1:J1"/>
    <mergeCell ref="F2:J2"/>
    <mergeCell ref="B5:D6"/>
    <mergeCell ref="C2:D2"/>
    <mergeCell ref="C3:D3"/>
    <mergeCell ref="F3:J3"/>
    <mergeCell ref="E30:J30"/>
    <mergeCell ref="B7:D7"/>
    <mergeCell ref="E5:H5"/>
    <mergeCell ref="I5:J6"/>
    <mergeCell ref="I7:J7"/>
    <mergeCell ref="I10:J10"/>
    <mergeCell ref="B29:D29"/>
    <mergeCell ref="B30:D30"/>
    <mergeCell ref="B31:D31"/>
    <mergeCell ref="I11:J11"/>
    <mergeCell ref="I12:J12"/>
    <mergeCell ref="I13:J13"/>
    <mergeCell ref="I14:J14"/>
    <mergeCell ref="I15:J15"/>
    <mergeCell ref="I16:J16"/>
    <mergeCell ref="I17:J17"/>
    <mergeCell ref="I18:J18"/>
    <mergeCell ref="I28:J28"/>
    <mergeCell ref="I19:J19"/>
    <mergeCell ref="I20:J20"/>
    <mergeCell ref="I21:J21"/>
    <mergeCell ref="I22:J22"/>
    <mergeCell ref="B13:D13"/>
    <mergeCell ref="B14:D14"/>
    <mergeCell ref="B15:D15"/>
    <mergeCell ref="B16:D16"/>
    <mergeCell ref="I8:J8"/>
    <mergeCell ref="B8:D8"/>
    <mergeCell ref="B9:D9"/>
    <mergeCell ref="B10:D10"/>
    <mergeCell ref="B11:D11"/>
    <mergeCell ref="B12:D12"/>
    <mergeCell ref="B26:D26"/>
    <mergeCell ref="B27:D27"/>
    <mergeCell ref="B28:D28"/>
    <mergeCell ref="B17:D17"/>
    <mergeCell ref="B18:D18"/>
    <mergeCell ref="B19:D19"/>
    <mergeCell ref="B20:D20"/>
    <mergeCell ref="B21:D21"/>
    <mergeCell ref="B22:D22"/>
    <mergeCell ref="B23:D23"/>
    <mergeCell ref="B24:D24"/>
    <mergeCell ref="B25:D25"/>
  </mergeCells>
  <conditionalFormatting sqref="E31">
    <cfRule type="expression" dxfId="23" priority="57">
      <formula>$E31="راسب"</formula>
    </cfRule>
  </conditionalFormatting>
  <conditionalFormatting sqref="E31:J31">
    <cfRule type="expression" dxfId="22" priority="58">
      <formula>$E31="مقبول"</formula>
    </cfRule>
    <cfRule type="expression" dxfId="21" priority="59">
      <formula>$E31="جيد"</formula>
    </cfRule>
    <cfRule type="expression" dxfId="20" priority="60">
      <formula>$E31="جيد جداً"</formula>
    </cfRule>
    <cfRule type="expression" dxfId="19" priority="61">
      <formula>$E31="ممتاز"</formula>
    </cfRule>
  </conditionalFormatting>
  <conditionalFormatting sqref="H8 H10:H28">
    <cfRule type="containsText" dxfId="18" priority="39" operator="containsText" text="ممتاز">
      <formula>NOT(ISERROR(SEARCH("ممتاز",H8)))</formula>
    </cfRule>
    <cfRule type="containsText" dxfId="17" priority="40" operator="containsText" text="جيد جداً">
      <formula>NOT(ISERROR(SEARCH("جيد جداً",H8)))</formula>
    </cfRule>
    <cfRule type="containsText" dxfId="16" priority="41" operator="containsText" text="جيد">
      <formula>NOT(ISERROR(SEARCH("جيد",H8)))</formula>
    </cfRule>
    <cfRule type="containsText" dxfId="15" priority="42" operator="containsText" text="مقبول">
      <formula>NOT(ISERROR(SEARCH("مقبول",H8)))</formula>
    </cfRule>
    <cfRule type="containsText" dxfId="14" priority="43" operator="containsText" text="راسب">
      <formula>NOT(ISERROR(SEARCH("راسب",H8)))</formula>
    </cfRule>
  </conditionalFormatting>
  <conditionalFormatting sqref="H8 H10:H28">
    <cfRule type="containsText" dxfId="13" priority="38" operator="containsText" text="أدخل العلامة">
      <formula>NOT(ISERROR(SEARCH("أدخل العلامة",H8)))</formula>
    </cfRule>
  </conditionalFormatting>
  <conditionalFormatting sqref="F2:J2">
    <cfRule type="containsText" dxfId="12" priority="19" operator="containsText" text="أدخل التاريخ">
      <formula>NOT(ISERROR(SEARCH("أدخل التاريخ",F2)))</formula>
    </cfRule>
  </conditionalFormatting>
  <conditionalFormatting sqref="C2:D2">
    <cfRule type="containsText" dxfId="11" priority="18" operator="containsText" text="أدخل الوحدة الخاضعة للتقييم">
      <formula>NOT(ISERROR(SEARCH("أدخل الوحدة الخاضعة للتقييم",C2)))</formula>
    </cfRule>
  </conditionalFormatting>
  <conditionalFormatting sqref="C3:D3">
    <cfRule type="containsText" dxfId="10" priority="17" operator="containsText" text="أدخل أسم قائد الوحدة الخاضعة للتقييم">
      <formula>NOT(ISERROR(SEARCH("أدخل أسم قائد الوحدة الخاضعة للتقييم",C3)))</formula>
    </cfRule>
  </conditionalFormatting>
  <conditionalFormatting sqref="F3:J3">
    <cfRule type="containsText" dxfId="9" priority="16" operator="containsText" text="أدخل أسم المحكم">
      <formula>NOT(ISERROR(SEARCH("أدخل أسم المحكم",F3)))</formula>
    </cfRule>
  </conditionalFormatting>
  <conditionalFormatting sqref="G32:J32">
    <cfRule type="containsText" dxfId="8" priority="15" operator="containsText" text="أدخل اسم المحكم">
      <formula>NOT(ISERROR(SEARCH("أدخل اسم المحكم",G32)))</formula>
    </cfRule>
  </conditionalFormatting>
  <conditionalFormatting sqref="F8 F10:F28">
    <cfRule type="containsText" dxfId="7" priority="14" operator="containsText" text="أدخل العلامة">
      <formula>NOT(ISERROR(SEARCH("أدخل العلامة",F8)))</formula>
    </cfRule>
  </conditionalFormatting>
  <conditionalFormatting sqref="H9">
    <cfRule type="containsText" dxfId="6" priority="6" operator="containsText" text="ممتاز">
      <formula>NOT(ISERROR(SEARCH("ممتاز",H9)))</formula>
    </cfRule>
    <cfRule type="containsText" dxfId="5" priority="7" operator="containsText" text="جيد جداً">
      <formula>NOT(ISERROR(SEARCH("جيد جداً",H9)))</formula>
    </cfRule>
    <cfRule type="containsText" dxfId="4" priority="8" operator="containsText" text="جيد">
      <formula>NOT(ISERROR(SEARCH("جيد",H9)))</formula>
    </cfRule>
    <cfRule type="containsText" dxfId="3" priority="9" operator="containsText" text="مقبول">
      <formula>NOT(ISERROR(SEARCH("مقبول",H9)))</formula>
    </cfRule>
    <cfRule type="containsText" dxfId="2" priority="10" operator="containsText" text="راسب">
      <formula>NOT(ISERROR(SEARCH("راسب",H9)))</formula>
    </cfRule>
  </conditionalFormatting>
  <conditionalFormatting sqref="H9">
    <cfRule type="containsText" dxfId="1" priority="5" operator="containsText" text="أدخل العلامة">
      <formula>NOT(ISERROR(SEARCH("أدخل العلامة",H9)))</formula>
    </cfRule>
  </conditionalFormatting>
  <conditionalFormatting sqref="F9">
    <cfRule type="containsText" dxfId="0" priority="4" operator="containsText" text="أدخل العلامة">
      <formula>NOT(ISERROR(SEARCH("أدخل العلامة",F9)))</formula>
    </cfRule>
  </conditionalFormatting>
  <printOptions horizontalCentered="1"/>
  <pageMargins left="0.70866141732283472" right="0.70866141732283472" top="0.74803149606299213" bottom="0.74803149606299213" header="0.31496062992125984" footer="0.31496062992125984"/>
  <pageSetup paperSize="9" scale="75" fitToHeight="0" orientation="portrait" r:id="rId1"/>
  <headerFooter>
    <oddHeader>&amp;C&amp;"-,Bold"&amp;12&amp;Uسري للغاية</oddHeader>
    <oddFooter>&amp;C&amp;"-,Bold"&amp;P&amp;"-,Regular"
&amp;"-,Bold"&amp;Uسري للغاية</oddFooter>
  </headerFooter>
  <extLst>
    <ext xmlns:x14="http://schemas.microsoft.com/office/spreadsheetml/2009/9/main" uri="{CCE6A557-97BC-4b89-ADB6-D9C93CAAB3DF}">
      <x14:dataValidations xmlns:xm="http://schemas.microsoft.com/office/excel/2006/main" count="5">
        <x14:dataValidation type="list" allowBlank="1" showInputMessage="1" showErrorMessage="1">
          <x14:formula1>
            <xm:f>#REF!</xm:f>
          </x14:formula1>
          <xm:sqref>F2:J2</xm:sqref>
        </x14:dataValidation>
        <x14:dataValidation type="list" allowBlank="1" showInputMessage="1" showErrorMessage="1">
          <x14:formula1>
            <xm:f>#REF!</xm:f>
          </x14:formula1>
          <xm:sqref>C2:D2</xm:sqref>
        </x14:dataValidation>
        <x14:dataValidation type="list" allowBlank="1" showInputMessage="1" showErrorMessage="1">
          <x14:formula1>
            <xm:f>#REF!</xm:f>
          </x14:formula1>
          <xm:sqref>F22:F28 F9:F20</xm:sqref>
        </x14:dataValidation>
        <x14:dataValidation type="list" allowBlank="1" showInputMessage="1" showErrorMessage="1">
          <x14:formula1>
            <xm:f>#REF!</xm:f>
          </x14:formula1>
          <xm:sqref>G32:J32 F3:J3</xm:sqref>
        </x14:dataValidation>
        <x14:dataValidation type="list" allowBlank="1" showInputMessage="1" showErrorMessage="1">
          <x14:formula1>
            <xm:f>#REF!</xm:f>
          </x14:formula1>
          <xm:sqref>C3:D3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2026-08-30T05:15:34Z</dcterms:modified>
</cp:coreProperties>
</file>