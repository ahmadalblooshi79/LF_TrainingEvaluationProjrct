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EE4536E-3A32-FE4C-BFEE-FC3B0BEF109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<sst xmlns="http://schemas.openxmlformats.org/spreadsheetml/2006/main" count="244" uniqueCount="188">
  <si>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</si>
  <si>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</si>
  <si>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</si>
  <si>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</si>
  <si>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</si>
  <si>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</si>
  <si>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</si>
  <si>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</si>
  <si>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</si>
  <si>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</si>
  <si>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</si>
  <si>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</si>
  <si>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</si>
  <si>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</si>
  <si>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</si>
  <si>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</si>
  <si>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</si>
  <si>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</si>
  <si>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</si>
  <si>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</si>
  <si>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</si>
  <si>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</si>
  <si>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</si>
  <si>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</si>
  <si>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</si>
  <si>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</si>
  <si>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</si>
  <si>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</si>
  <si>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</si>
  <si>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</si>
  <si>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</si>
  <si>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</si>
  <si>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</si>
  <si>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</si>
  <si>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</si>
  <si>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</si>
  <si>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</si>
  <si>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</si>
  <si>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</si>
  <si>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</si>
  <si>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</si>
  <si>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</si>
  <si>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</si>
  <si>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</si>
  <si>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</si>
  <si>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</si>
  <si>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</si>
  <si>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</si>
  <si>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</si>
  <si>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</si>
  <si>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</si>
  <si>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</si>
  <si>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</si>
  <si>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</si>
  <si>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</si>
  <si>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</si>
  <si>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</si>
  <si>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</si>
  <si>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</si>
  <si>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</si>
  <si>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</si>
  <si>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</si>
  <si>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</si>
  <si>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</si>
  <si>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</si>
  <si>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</si>
  <si>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</si>
  <si>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</si>
  <si>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</si>
  <si>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</si>
  <si>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</si>
  <si>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</si>
  <si>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</si>
  <si>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</si>
  <si>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</si>
  <si>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</si>
  <si>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</si>
  <si>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</si>
  <si>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</si>
  <si>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</si>
  <si>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</si>
  <si>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</si>
  <si>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</si>
  <si>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</si>
  <si>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</si>
  <si>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</si>
  <si>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</si>
  <si>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</si>
  <si>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</si>
  <si>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</si>
  <si>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</si>
  <si>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</si>
  <si>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</si>
  <si>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</si>
  <si>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</si>
  <si>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</si>
  <si>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</si>
  <si>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</si>
  <si>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</si>
  <si>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</si>
  <si>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</si>
  <si>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</si>
  <si>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</si>
  <si>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</si>
  <si>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</si>
  <si>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</si>
  <si>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</si>
  <si>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</si>
  <si>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</si>
  <si>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</si>
  <si>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</si>
  <si>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</si>
  <si>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</si>
  <si>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</si>
  <si>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</si>
  <si>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</si>
  <si>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</si>
  <si>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</si>
  <si>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</si>
  <si>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</si>
  <si>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</si>
  <si>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</si>
  <si>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</si>
  <si>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</si>
  <si>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</si>
  <si>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</si>
  <si>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</si>
  <si>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</si>
  <si>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</si>
  <si>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</si>
  <si>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</si>
  <si>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</si>
  <si>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</si>
  <si>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</si>
  <si>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</si>
  <si>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</si>
  <si>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</si>
  <si>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</si>
  <si>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</si>
  <si>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</si>
  <si>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</si>
  <si>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</si>
  <si>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</si>
  <si>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</si>
  <si>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</si>
  <si>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</si>
  <si>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</si>
  <si>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</si>
  <si>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</si>
  <si>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</si>
  <si>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</si>
  <si>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</si>
  <si>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</si>
  <si>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</si>
  <si>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</si>
  <si>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</si>
  <si>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</si>
  <si>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</si>
  <si>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</si>
  <si>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</si>
  <si>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</si>
  <si>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</si>
  <si>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</si>
  <si>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</si>
  <si>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</si>
  <si>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</si>
  <si>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</si>
  <si>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</si>
  <si>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</si>
  <si>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</si>
  <si>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</si>
  <si>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</si>
  <si>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</si>
  <si>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</si>
  <si>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</si>
  <si>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</si>
  <si>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</si>
  <si>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</si>
  <si>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</si>
  <si>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</si>
  <si>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إسناد كتيبة المدفعية للدفاع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</si>
  <si>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 التأكد من دخول المدافع في العمل.</t>
  </si>
  <si>
    <t>2.    تحضير النماذج واجراء التحضيرات اللازمة لخطط الرمي.</t>
  </si>
  <si>
    <t>3.    تنسيق الاهداف والسيطرة على تنفيذ جدول توقيت الرماية في الوقت المحدد.</t>
  </si>
  <si>
    <t>4.    تأشير الاهداف الدفاعية على الخرائط.</t>
  </si>
  <si>
    <t>5.    تنسيق جميع الاهداف الدفاعية.</t>
  </si>
  <si>
    <t>6.    تحديث معلومات الرماية لهدف الحماية النهائي باستمرار (معلومات البرقية الجوية ومعلومات التسجيل).</t>
  </si>
  <si>
    <t>7.    تحضير منهج المدفع لخطة الرمي.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</si>
</sst>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11128</xdr:colOff>
      <xdr:row>18</xdr:row>
      <xdr:rowOff>167628</xdr:rowOff>
    </xdr:from>
    <xdr:to>
      <xdr:col>9</xdr:col>
      <xdr:colOff>283617</xdr:colOff>
      <xdr:row>19</xdr:row>
      <xdr:rowOff>186003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09DD054-8024-8D9E-6388-64B8FB5DDE1F}"/>
                </a:ext>
              </a:extLst>
            </xdr14:cNvPr>
            <xdr14:cNvContentPartPr/>
          </xdr14:nvContentPartPr>
          <xdr14:nvPr macro=""/>
          <xdr14:xfrm>
            <a:off x="10398303202" y="8064720"/>
            <a:ext cx="2246760" cy="664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09DD054-8024-8D9E-6388-64B8FB5DDE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94202" y="8055720"/>
              <a:ext cx="2264400" cy="682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15:05.1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6079 436,'0'0,"0"0,0 0,0 0,0 0,0 0,-15 0,-1 0,13 0,-43 0,-66 0,90 0,-116 16,-87 0,203-15,-196 30,-23 17,221-44,-200 40,11-12,196-30,-471 92,-77 51,508-132,-311 86,-69 13,386-100,-307 88,-31 12,345-100,-305 105,-7-5,323-103,-247 78,35-7,221-73,-200 51,92-26,116-30,-72 12,19-30,59 14,-36 4,26-18,14 14,20 4,-10-2,-16-16,40 0,-28 14,73-13,51-33,-113 43,162-54,64-5,-212 56,214-48,78-40,-277 83,265-70,43-14,-308 85,265-72,92-28,-348 97,295-82,69-16,-363 99,293-84,54-14,-349 97,281-66,3 0,-292 71,233-44,-4 6,-235 42,148-36,-41 26,-125 14,56-12,-12-2,-55 14,14 4,-39-2,14 0,-44 0,-82 16,108-14,-153 12,-67 18,206-27,-237 22,-66 21,287-40,-253 32,-49 25,300-56,-233 62,-68 9,300-68,-247 72,-36 12,286-82,-253 85,-2-3,262-82,-219 84,-10-2,233-82,-147 52,26-17,137-42,-50 34,9-9,54-28,-29 8,15-4,64-32,-23 24,-15 0,44-16,98-32,-123 40,134-33,102-39,-220 69,247-74,69-27,-301 95,296-78,21-18,-318 98,299-82,51-31,-348 111,263-78,69-18,-333 98,232-82,53 17,-287 68,157-40,-15 4,-163 40,70 0,-18-8,-69 13,40 6,-36-3,-14 0,-20 0,2 0,13 0,-26 0,-68 16,84-14,-150 12,-61 34,190-41,-221 34,-98 23,302-55,-299 78,-35 25,330-95,-290 79,-73 48,358-123,-280 86,-45 22,327-110,-221 90,-42 3,275-96,-164 64,33-16,151-54,-76 13,38 9,55-28,-30 8,15-4,48-32,-8 8,-14 13,12-10,98-36,-97 43,114-52,96-22,-193 69,193-90,79-11,-259 95,231-95,13-16,-250 111,194-94,-57 15,-150 82,77-37,-23 3,-68 41,8-18,-4 9,-14 14,-36-12,18-2,14 14,-12-28,-2 14,14 14,-28-12,14-2,13 14,-10-12,-3 14,14 0,4-16,-2 8,32 32,0-8,0 16,-27-27,54 22,21 53,-68-67,105 71,11 44,-108-108,72 88,-92-108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B1" zoomScale="130" zoomScaleNormal="100" zoomScaleSheetLayoutView="130" workbookViewId="0">
      <selection activeCell="F10" sqref="F1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2" t="s">
        <v>180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">
      <c r="B2" s="12" t="s">
        <v>8</v>
      </c>
      <c r="C2" s="58" t="s">
        <v>48</v>
      </c>
      <c r="D2" s="58"/>
      <c r="E2" s="12" t="s">
        <v>7</v>
      </c>
      <c r="F2" s="53">
        <v>45955</v>
      </c>
      <c r="G2" s="53"/>
      <c r="H2" s="53"/>
      <c r="I2" s="53"/>
      <c r="J2" s="53"/>
    </row>
    <row r="3" spans="1:10" ht="30" customHeight="1" x14ac:dyDescent="0.2">
      <c r="B3" s="12" t="s">
        <v>9</v>
      </c>
      <c r="C3" s="58" t="s">
        <v>68</v>
      </c>
      <c r="D3" s="58"/>
      <c r="E3" s="12" t="s">
        <v>6</v>
      </c>
      <c r="F3" s="58" t="s">
        <v>97</v>
      </c>
      <c r="G3" s="58"/>
      <c r="H3" s="58"/>
      <c r="I3" s="58"/>
      <c r="J3" s="5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4" t="s">
        <v>0</v>
      </c>
      <c r="C5" s="55"/>
      <c r="D5" s="55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25">
      <c r="A6" s="10"/>
      <c r="B6" s="56"/>
      <c r="C6" s="57"/>
      <c r="D6" s="57"/>
      <c r="E6" s="11" t="s">
        <v>3</v>
      </c>
      <c r="F6" s="11" t="s">
        <v>4</v>
      </c>
      <c r="G6" s="11" t="s">
        <v>23</v>
      </c>
      <c r="H6" s="11" t="s">
        <v>24</v>
      </c>
      <c r="I6" s="65"/>
      <c r="J6" s="66"/>
    </row>
    <row r="7" spans="1:10" ht="24.95" customHeight="1" thickBot="1" x14ac:dyDescent="0.25">
      <c r="A7" s="10"/>
      <c r="B7" s="61" t="s">
        <v>21</v>
      </c>
      <c r="C7" s="62"/>
      <c r="D7" s="62"/>
      <c r="E7" s="27" t="s">
        <v>18</v>
      </c>
      <c r="F7" s="27" t="s">
        <v>19</v>
      </c>
      <c r="G7" s="27" t="s">
        <v>22</v>
      </c>
      <c r="H7" s="27" t="s">
        <v>20</v>
      </c>
      <c r="I7" s="67" t="s">
        <v>25</v>
      </c>
      <c r="J7" s="68"/>
    </row>
    <row r="8" spans="1:10" ht="39.950000000000003" customHeight="1" thickBot="1" x14ac:dyDescent="0.25">
      <c r="A8" s="10"/>
      <c r="B8" s="39" t="s">
        <v>181</v>
      </c>
      <c r="C8" s="40"/>
      <c r="D8" s="40"/>
      <c r="E8" s="31">
        <v>10</v>
      </c>
      <c r="F8" s="32">
        <v>8.5</v>
      </c>
      <c r="G8" s="33">
        <f>IFERROR(F8/E8,"")</f>
        <v>0.85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5"/>
      <c r="J8" s="76"/>
    </row>
    <row r="9" spans="1:10" ht="39.950000000000003" customHeight="1" thickBot="1" x14ac:dyDescent="0.25">
      <c r="A9" s="10"/>
      <c r="B9" s="41" t="s">
        <v>182</v>
      </c>
      <c r="C9" s="42"/>
      <c r="D9" s="42"/>
      <c r="E9" s="9">
        <v>10</v>
      </c>
      <c r="F9" s="35">
        <v>7.25</v>
      </c>
      <c r="G9" s="29">
        <f>IFERROR(F9/E9,"")</f>
        <v>0.72499999999999998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 thickBot="1" x14ac:dyDescent="0.25">
      <c r="A10" s="10"/>
      <c r="B10" s="41" t="s">
        <v>183</v>
      </c>
      <c r="C10" s="42"/>
      <c r="D10" s="42"/>
      <c r="E10" s="9">
        <v>10</v>
      </c>
      <c r="F10" s="35">
        <v>7.75</v>
      </c>
      <c r="G10" s="29">
        <f t="shared" ref="G10:G14" si="0">IFERROR(F10/E10,"")</f>
        <v>0.77500000000000002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50000000000003" customHeight="1" thickBot="1" x14ac:dyDescent="0.25">
      <c r="A11" s="10"/>
      <c r="B11" s="41" t="s">
        <v>184</v>
      </c>
      <c r="C11" s="42"/>
      <c r="D11" s="42"/>
      <c r="E11" s="9">
        <v>10</v>
      </c>
      <c r="F11" s="35">
        <v>7.5</v>
      </c>
      <c r="G11" s="29">
        <f t="shared" si="0"/>
        <v>0.75</v>
      </c>
      <c r="H11" s="30" t="str">
        <f t="shared" si="1"/>
        <v>جيد</v>
      </c>
      <c r="I11" s="45"/>
      <c r="J11" s="46"/>
    </row>
    <row r="12" spans="1:10" ht="39.950000000000003" customHeight="1" thickBot="1" x14ac:dyDescent="0.25">
      <c r="A12" s="10"/>
      <c r="B12" s="41" t="s">
        <v>185</v>
      </c>
      <c r="C12" s="42"/>
      <c r="D12" s="42"/>
      <c r="E12" s="9">
        <v>10</v>
      </c>
      <c r="F12" s="35">
        <v>7.25</v>
      </c>
      <c r="G12" s="29">
        <f t="shared" si="0"/>
        <v>0.72499999999999998</v>
      </c>
      <c r="H12" s="30" t="str">
        <f t="shared" si="1"/>
        <v>جيد</v>
      </c>
      <c r="I12" s="45"/>
      <c r="J12" s="46"/>
    </row>
    <row r="13" spans="1:10" ht="39.950000000000003" customHeight="1" x14ac:dyDescent="0.2">
      <c r="A13" s="10"/>
      <c r="B13" s="41" t="s">
        <v>186</v>
      </c>
      <c r="C13" s="42"/>
      <c r="D13" s="42"/>
      <c r="E13" s="9">
        <v>10</v>
      </c>
      <c r="F13" s="35">
        <v>7.25</v>
      </c>
      <c r="G13" s="29">
        <f t="shared" si="0"/>
        <v>0.72499999999999998</v>
      </c>
      <c r="H13" s="30" t="str">
        <f t="shared" si="1"/>
        <v>جيد</v>
      </c>
      <c r="I13" s="45"/>
      <c r="J13" s="46"/>
    </row>
    <row r="14" spans="1:10" ht="39.950000000000003" customHeight="1" thickBot="1" x14ac:dyDescent="0.25">
      <c r="A14" s="10"/>
      <c r="B14" s="43" t="s">
        <v>187</v>
      </c>
      <c r="C14" s="44"/>
      <c r="D14" s="44"/>
      <c r="E14" s="36">
        <v>10</v>
      </c>
      <c r="F14" s="26">
        <v>7.5</v>
      </c>
      <c r="G14" s="37">
        <f t="shared" si="0"/>
        <v>0.75</v>
      </c>
      <c r="H14" s="38" t="str">
        <f t="shared" si="1"/>
        <v>جيد</v>
      </c>
      <c r="I14" s="81"/>
      <c r="J14" s="82"/>
    </row>
    <row r="15" spans="1:10" ht="30" customHeight="1" thickBot="1" x14ac:dyDescent="0.25">
      <c r="A15" s="4"/>
      <c r="B15" s="77" t="s">
        <v>5</v>
      </c>
      <c r="C15" s="78"/>
      <c r="D15" s="78"/>
      <c r="E15" s="28">
        <f>SUM(E8:E14)</f>
        <v>70</v>
      </c>
      <c r="F15" s="28">
        <f>SUM(F8:F14)</f>
        <v>53</v>
      </c>
      <c r="G15" s="49"/>
      <c r="H15" s="50"/>
      <c r="I15" s="50"/>
      <c r="J15" s="51"/>
    </row>
    <row r="16" spans="1:10" ht="30" customHeight="1" thickBot="1" x14ac:dyDescent="0.25">
      <c r="A16" s="4"/>
      <c r="B16" s="79" t="s">
        <v>54</v>
      </c>
      <c r="C16" s="80"/>
      <c r="D16" s="80"/>
      <c r="E16" s="59">
        <f>F15/E15/100*100</f>
        <v>0.75714285714285712</v>
      </c>
      <c r="F16" s="59"/>
      <c r="G16" s="59"/>
      <c r="H16" s="59"/>
      <c r="I16" s="59"/>
      <c r="J16" s="60"/>
    </row>
    <row r="17" spans="1:10" ht="30" customHeight="1" thickBot="1" x14ac:dyDescent="0.25">
      <c r="A17" s="4"/>
      <c r="B17" s="79" t="s">
        <v>55</v>
      </c>
      <c r="C17" s="80"/>
      <c r="D17" s="80"/>
      <c r="E17" s="73" t="str">
        <f>_xlfn.IFS(E16&gt;=90%,"ممتاز",E16&gt;=80%,"جيد جداً",E16&gt;=70%,"جيد",E16&gt;=60%,"مقبول",E16&lt;60%,"راسب")</f>
        <v>جيد</v>
      </c>
      <c r="F17" s="73"/>
      <c r="G17" s="73"/>
      <c r="H17" s="73"/>
      <c r="I17" s="73"/>
      <c r="J17" s="74"/>
    </row>
    <row r="18" spans="1:10" ht="42" customHeight="1" x14ac:dyDescent="0.2">
      <c r="B18" s="69" t="s">
        <v>174</v>
      </c>
      <c r="C18" s="69"/>
      <c r="D18" s="69"/>
      <c r="E18" s="47" t="s">
        <v>52</v>
      </c>
      <c r="F18" s="47"/>
      <c r="G18" s="71" t="s">
        <v>97</v>
      </c>
      <c r="H18" s="71"/>
      <c r="I18" s="71"/>
      <c r="J18" s="71"/>
    </row>
    <row r="19" spans="1:10" ht="51" customHeight="1" x14ac:dyDescent="0.2">
      <c r="A19" s="5"/>
      <c r="B19" s="70"/>
      <c r="C19" s="70"/>
      <c r="D19" s="70"/>
      <c r="E19" s="48" t="s">
        <v>53</v>
      </c>
      <c r="F19" s="48"/>
      <c r="G19" s="72"/>
      <c r="H19" s="72"/>
      <c r="I19" s="72"/>
      <c r="J19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I13:J13"/>
    <mergeCell ref="I14:J14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B13:D13"/>
    <mergeCell ref="B14:D14"/>
    <mergeCell ref="I9:J9"/>
    <mergeCell ref="E18:F18"/>
    <mergeCell ref="E19:F19"/>
    <mergeCell ref="G15:J15"/>
    <mergeCell ref="E16:J16"/>
    <mergeCell ref="B18:D19"/>
    <mergeCell ref="G18:J18"/>
    <mergeCell ref="G19:J19"/>
    <mergeCell ref="E17:J17"/>
    <mergeCell ref="B15:D15"/>
    <mergeCell ref="B16:D16"/>
    <mergeCell ref="B17:D17"/>
    <mergeCell ref="I11:J11"/>
    <mergeCell ref="I12:J12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60">
      <formula>$E17="جيد جداً"</formula>
    </cfRule>
    <cfRule type="expression" dxfId="12" priority="59">
      <formula>$E17="جيد"</formula>
    </cfRule>
    <cfRule type="expression" dxfId="11" priority="58">
      <formula>$E17="مقبول"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6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2025-10-22T08:09:11Z</dcterms:modified>
</cp:coreProperties>
</file>