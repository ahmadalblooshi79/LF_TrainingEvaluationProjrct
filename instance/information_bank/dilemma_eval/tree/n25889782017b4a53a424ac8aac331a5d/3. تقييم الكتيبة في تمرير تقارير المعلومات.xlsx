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511E9BFA-BC29-7B43-AD81-D3C5B78AAA94}"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<sst xmlns="http://schemas.openxmlformats.org/spreadsheetml/2006/main" count="258" uniqueCount="202">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</sst>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7</xdr:col>
      <xdr:colOff>59110</xdr:colOff>
      <xdr:row>36</xdr:row>
      <xdr:rowOff>31737</xdr:rowOff>
    </xdr:from>
    <xdr:to>
      <xdr:col>8</xdr:col>
      <xdr:colOff>467047</xdr:colOff>
      <xdr:row>36</xdr:row>
      <xdr:rowOff>539337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E48E8DEC-4853-FF30-0C3F-7A9988AE1039}"/>
                </a:ext>
              </a:extLst>
            </xdr14:cNvPr>
            <xdr14:cNvContentPartPr/>
          </xdr14:nvContentPartPr>
          <xdr14:nvPr macro=""/>
          <xdr14:xfrm>
            <a:off x="10423235753" y="18288360"/>
            <a:ext cx="1062360" cy="507600"/>
          </xdr14:xfrm>
        </xdr:contentPart>
      </mc:Choice>
      <mc:Fallback>
        <xdr:pic>
          <xdr:nvPicPr>
            <xdr:cNvPr id="2" name="Ink 1">
              <a:extLst>
                <a:ext uri="{FF2B5EF4-FFF2-40B4-BE49-F238E27FC236}">
                  <a16:creationId xmlns:a16="http://schemas.microsoft.com/office/drawing/2014/main" id="{E48E8DEC-4853-FF30-0C3F-7A9988AE1039}"/>
                </a:ext>
              </a:extLst>
            </xdr:cNvPr>
            <xdr:cNvPicPr/>
          </xdr:nvPicPr>
          <xdr:blipFill>
            <a:blip xmlns:r="http://schemas.openxmlformats.org/officeDocument/2006/relationships" r:embed="rId2"/>
            <a:stretch>
              <a:fillRect/>
            </a:stretch>
          </xdr:blipFill>
          <xdr:spPr>
            <a:xfrm>
              <a:off x="10423227113" y="18279720"/>
              <a:ext cx="1080000" cy="525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4T04:38:07.456"/>
    </inkml:context>
    <inkml:brush xml:id="br0">
      <inkml:brushProperty name="width" value="0.05" units="cm"/>
      <inkml:brushProperty name="height" value="0.05" units="cm"/>
    </inkml:brush>
  </inkml:definitions>
  <inkml:trace contextRef="#ctx0" brushRef="#br0">2465 742 14155,'0'0'0,"-19"-21"4561,-1-6-4129,20 27-432,-22-33 408,4 9-80,3 6-120,3 4-56,3 1-16,-1 0 72,10 13-208,-3-11 240,-2 0 16,0 6-40,2-4-112,-1 5-16,3-6-48,1 10-40,-2-2 16,1-1-8,1-1-32,0 0 0,0 2-56,0-2-32,0 4 112,4-3-128,0-7-40,6 7 16,-6-8-32,9 6 8,-1-6-48,-12 11 224,14-9-232,2 4 0,2-8-64,1 2-24,2 1-16,1 1-9,-22 9 345,23-11-304,1 1 56,1-1 48,-1 2 32,0-1 56,1 6-8,-25 4 120,26-11-104,-3 7 48,4-1-40,-2 1 24,-1 0 16,-1 2-24,-23 2 80,19-2-48,0 2-16,-1 3-8,0 0 16,-2 7-8,-1-8 16,-15-2 48,15 11-72,-2-1 40,0-7-32,-1 13 0,-1-5 8,-8 1-8,-3-12 64,10 12-56,-10 0 8,2 0-16,-2 0 8,0 0 32,-3 2 24,3-14 0,-10 14 48,-1 1 8,-2-1-16,-2 3 16,-2 0-8,-2 1 0,19-18-48,-21 18 56,0 0-24,-5-2 0,-1 2 0,-2 0-16,-1 0 24,30-18-40,-30 16 16,1-2 16,1 1 16,-2-5-40,1 0 16,-1-6-32,30-4 8,-30 9-48,-1-6-24,0-3-16,-2 0-16,0 0 16,-2-2 8,35 2 80,-37-3-64,1-7 56,0 5 8,-1-7 8,1 2 40,0-4-16,36 14-32,-36-13 64,0-1 16,1 0-16,-2-2 16,1 0 0,1 1 40,35 15-120,-32-17 168,1-1-8,2 0 48,3 0-8,1 1-8,1 2 48,24 15-240,-19-16 200,-1 1-32,2 0-40,3 1-56,0 2-32,5 0 40,10 12-80,-10-12 72,5 0-56,-6 0-16,8 0-64,-7-1-40,8 1 32,2 12 72,-3-13-136,2-1 8,0 1-88,1-1-80,0-2 8,2 2-80,-2 14 368,4-16-472,6 1 24,-8-1-80,10 2 72,-8-2 192,8 2 8,-12 14 256,3-16-160,12 1 8,-2-1-1,0 2 17,3-1 136,-2 2 24,-14 13-24,18-13-24,-1 0-8,1 1-96,1 2-40,0-1 72,6 7 96,-25 4 0,23-11-24,5 7-8,1-1-32,-1 2-80,6-1 64,-2 3 64,-32 1 16,33 0-72,1 0 32,0 2-16,-1 9-88,2-7 8,0 9 72,-35-13 64,32 11-136,-1 1 64,2 1 0,-5 1 0,0 2 0,-2 1 72,-26-17 0,24 18-8,-2 0-40,1 0-64,-4 0 48,0 0 64,-3-2-32,-16-16 32,11 18 80,-7-1-80,6 0 64,-10-2-24,0 2 40,-4 0 0,4-17-80,-12 17 56,-4 0 208,-5 2-104,-4 0 152,-5 0-56,-4 3-160,34-22-96,-36 20 200,-3 2-168,-8 2 24,-1-2 136,-2 5-120,-5-1-8,55-26-64,-53 25 73,-5 2-65,1-2-8,-3 1 64,-1-1-88,0 2-65,61-27 89,-62 27-112,3-2-176,0 2-48,0-2-152,3-1-208,1-1-136,55-23 832,-51 21-984,2 0-145,5-2-111,2-4-192,1-1 72,6-4 239,35-10 1121,-33 10-832,3-8 352,6 2 216,4-1 120,2-3 80,3 0 56,15 0 8,-12 0 0,3-2 48,5-2 64,0-5 96,2 5 80,1-6 40,1 10-328,0-4 280,2-8-104,9 1-88,-1-1-72,2-1-32,2-3 0,-14 16 16,16-15 0,3-2 0,1 0 16,2-1 0,3 0 0,1 0 0,-26 18-16,27-18 32,0 0 8,0 2 48,-2-1 40,-3 2 72,0 1 120,-22 14-320,19-12 481,-4 0 199,-2 3 200,-10 5 152,7 0 112,-10 1 217,0 3-1361,0-1 1520,-1 1-72,-3 0-199,-6 0-433,1 0-376,-4 2-96,13-2-344,-16 2 280,-4 2-24,-3 0-64,-3 7-16,-7 0-48,-1 1-24,34-12-104,-38 13 80,-2 2 0,-2 2-24,-1-2 0,-2 3-32,1 3-8,44-21-16,-46 18 24,1 2 0,-1-3 24,2 1-16,0 1-8,-1-1-16,45-18-8,-43 15 24,2 2-8,-1-2-16,4-3 0,-2 1 0,2-1-24,38-12 24,-36 10-16,3 0 8,3-8-32,2 2 40,3 0-8,2-1 32,23-3-24,-20 3 8,1-1 16,2-2 24,4 0-24,-1-1 48,4 0 0,10 1-72,-11-2 48,1 0 24,6 1-32,-7-3 8,7 2 0,1-1-8,3 3-40,-5-3 32,0 0-8,-5 0 0,7-1-8,-2 1-16,-5-1 24,10 4-24,-2-1 0,-3-2 56,-4 1-8,7 1-32,-1-2 8,3 3-24,-4-2 0,0 0 0,0 1 8,0-2-16,1 2 16,-1 0-16,4 1 8,-3-3-40,0 2-8,1 0 16,-1 0-16,2 0 0,-1-1-40,2 2 88,-2-2-128,0 1-16,0-2-40,1 2 8,-1-1-32,1-2 8,1 4 200,0-3-184,-1-1 16,1-1-8,0 0 32,0-4 8,0 6 0,0 3 136,0-3-120,2-2-24,1 0-56,0-4-24,1 7-16,6-1 32,-10 3 208,2-5-144,9 0 0,-8 0 32,10 1 0,-3 0 0,1 0 0,-11 4 112,9-3-88,2 0-1,-1 2-7,-1 0 24,-5 0-8,9 1-24,-13 0 104,4 0-112,6 0-16,-7 0 8,-1 3 0,1 1 16,-1 0 48,-2-4 56,0 9-48,0-6 48,0 6 104,0-5 8,0 8 112,0-1 128,0-11-352,-3 12 441,-1 2-17,0 0 8,-5 3-88,8 0-80,-3 1 32,4-18-296,-4 20 256,1 1-56,-1-2-24,3 1-80,1 1 32,0-2-72,0-19-56,10 20 104,-7-1-48,13 0-96,-2-1 48,3 2-96,0-1 64,-17-19 24,20 20-208,2 0-328,2 1-480,4-1-593,4 1-583,5-3-937,-37-18 3129,41 16-2760,6-4 823,2-2 761,7-8-968,-56-2 2144</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6"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0" t="s">
        <v>201</v>
      </c>
      <c r="C1" s="60"/>
      <c r="D1" s="60"/>
      <c r="E1" s="60"/>
      <c r="F1" s="60"/>
      <c r="G1" s="60"/>
      <c r="H1" s="60"/>
      <c r="I1" s="60"/>
      <c r="J1" s="60"/>
    </row>
    <row r="2" spans="1:10" ht="30" customHeight="1" x14ac:dyDescent="0.2">
      <c r="B2" s="13" t="s">
        <v>8</v>
      </c>
      <c r="C2" s="66" t="s">
        <v>40</v>
      </c>
      <c r="D2" s="66"/>
      <c r="E2" s="13" t="s">
        <v>7</v>
      </c>
      <c r="F2" s="61">
        <v>45954</v>
      </c>
      <c r="G2" s="61"/>
      <c r="H2" s="61"/>
      <c r="I2" s="61"/>
      <c r="J2" s="61"/>
    </row>
    <row r="3" spans="1:10" ht="30" customHeight="1" x14ac:dyDescent="0.2">
      <c r="B3" s="13" t="s">
        <v>9</v>
      </c>
      <c r="C3" s="66" t="s">
        <v>81</v>
      </c>
      <c r="D3" s="66"/>
      <c r="E3" s="13" t="s">
        <v>6</v>
      </c>
      <c r="F3" s="66" t="s">
        <v>92</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200</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50000000000003" customHeight="1" thickBot="1" x14ac:dyDescent="0.25">
      <c r="A9" s="11"/>
      <c r="B9" s="91" t="s">
        <v>195</v>
      </c>
      <c r="C9" s="92"/>
      <c r="D9" s="92"/>
      <c r="E9" s="10">
        <v>5</v>
      </c>
      <c r="F9" s="41">
        <v>3.75</v>
      </c>
      <c r="G9" s="42">
        <f>IFERROR(F9/E9,"")</f>
        <v>0.75</v>
      </c>
      <c r="H9" s="28" t="str">
        <f>_xlfn.IFS(F9="أدخل العلامة","",F9="لا ينطبق","تم الإلغاء",G9&gt;=90%,"ممتاز",G9&gt;=80%,"جيد جداً",G9&gt;=70%,"جيد",G9&gt;=60%,"مقبول",G9&lt;60%,"راسب")</f>
        <v>جيد</v>
      </c>
      <c r="I9" s="48"/>
      <c r="J9" s="49"/>
    </row>
    <row r="10" spans="1:10" ht="39.950000000000003" customHeight="1" thickBot="1" x14ac:dyDescent="0.25">
      <c r="A10" s="11"/>
      <c r="B10" s="91" t="s">
        <v>196</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50000000000003" customHeight="1" x14ac:dyDescent="0.2">
      <c r="A11" s="11"/>
      <c r="B11" s="93" t="s">
        <v>197</v>
      </c>
      <c r="C11" s="94"/>
      <c r="D11" s="94"/>
      <c r="E11" s="40"/>
      <c r="F11" s="34"/>
      <c r="G11" s="35"/>
      <c r="H11" s="36"/>
      <c r="I11" s="79"/>
      <c r="J11" s="80"/>
    </row>
    <row r="12" spans="1:10" ht="39.950000000000003" customHeight="1" x14ac:dyDescent="0.2">
      <c r="A12" s="11"/>
      <c r="B12" s="83" t="s">
        <v>176</v>
      </c>
      <c r="C12" s="84"/>
      <c r="D12" s="84"/>
      <c r="E12" s="9">
        <v>5</v>
      </c>
      <c r="F12" s="27">
        <v>3.75</v>
      </c>
      <c r="G12" s="32">
        <f t="shared" si="0"/>
        <v>0.75</v>
      </c>
      <c r="H12" s="33" t="str">
        <f t="shared" si="1"/>
        <v>جيد</v>
      </c>
      <c r="I12" s="52"/>
      <c r="J12" s="53"/>
    </row>
    <row r="13" spans="1:10" ht="54.95" customHeight="1" x14ac:dyDescent="0.2">
      <c r="A13" s="11"/>
      <c r="B13" s="83" t="s">
        <v>177</v>
      </c>
      <c r="C13" s="84"/>
      <c r="D13" s="84"/>
      <c r="E13" s="9">
        <v>5</v>
      </c>
      <c r="F13" s="27">
        <v>3.75</v>
      </c>
      <c r="G13" s="32">
        <f t="shared" si="0"/>
        <v>0.75</v>
      </c>
      <c r="H13" s="33" t="str">
        <f t="shared" si="1"/>
        <v>جيد</v>
      </c>
      <c r="I13" s="52"/>
      <c r="J13" s="53"/>
    </row>
    <row r="14" spans="1:10" ht="71.25" customHeight="1" x14ac:dyDescent="0.2">
      <c r="A14" s="11"/>
      <c r="B14" s="83" t="s">
        <v>178</v>
      </c>
      <c r="C14" s="84"/>
      <c r="D14" s="84"/>
      <c r="E14" s="9">
        <v>5</v>
      </c>
      <c r="F14" s="27">
        <v>3.75</v>
      </c>
      <c r="G14" s="32">
        <f t="shared" si="0"/>
        <v>0.75</v>
      </c>
      <c r="H14" s="33" t="str">
        <f t="shared" si="1"/>
        <v>جيد</v>
      </c>
      <c r="I14" s="52"/>
      <c r="J14" s="53"/>
    </row>
    <row r="15" spans="1:10" ht="39.950000000000003" customHeight="1" x14ac:dyDescent="0.2">
      <c r="A15" s="11"/>
      <c r="B15" s="83" t="s">
        <v>179</v>
      </c>
      <c r="C15" s="84"/>
      <c r="D15" s="84"/>
      <c r="E15" s="9">
        <v>5</v>
      </c>
      <c r="F15" s="27">
        <v>3.75</v>
      </c>
      <c r="G15" s="32">
        <f t="shared" si="0"/>
        <v>0.75</v>
      </c>
      <c r="H15" s="33" t="str">
        <f t="shared" si="1"/>
        <v>جيد</v>
      </c>
      <c r="I15" s="52"/>
      <c r="J15" s="53"/>
    </row>
    <row r="16" spans="1:10" ht="68.25" customHeight="1" x14ac:dyDescent="0.2">
      <c r="A16" s="11"/>
      <c r="B16" s="83" t="s">
        <v>180</v>
      </c>
      <c r="C16" s="84"/>
      <c r="D16" s="84"/>
      <c r="E16" s="9">
        <v>5</v>
      </c>
      <c r="F16" s="27">
        <v>3.75</v>
      </c>
      <c r="G16" s="32">
        <f t="shared" si="0"/>
        <v>0.75</v>
      </c>
      <c r="H16" s="33" t="str">
        <f t="shared" si="1"/>
        <v>جيد</v>
      </c>
      <c r="I16" s="52"/>
      <c r="J16" s="53"/>
    </row>
    <row r="17" spans="1:10" ht="65.099999999999994" customHeight="1" thickBot="1" x14ac:dyDescent="0.25">
      <c r="A17" s="11"/>
      <c r="B17" s="85" t="s">
        <v>181</v>
      </c>
      <c r="C17" s="86"/>
      <c r="D17" s="86"/>
      <c r="E17" s="37">
        <v>5</v>
      </c>
      <c r="F17" s="29">
        <v>3.75</v>
      </c>
      <c r="G17" s="38">
        <f t="shared" si="0"/>
        <v>0.75</v>
      </c>
      <c r="H17" s="39" t="str">
        <f t="shared" si="1"/>
        <v>جيد</v>
      </c>
      <c r="I17" s="81"/>
      <c r="J17" s="82"/>
    </row>
    <row r="18" spans="1:10" ht="39.950000000000003" customHeight="1" x14ac:dyDescent="0.2">
      <c r="A18" s="11"/>
      <c r="B18" s="87" t="s">
        <v>198</v>
      </c>
      <c r="C18" s="88"/>
      <c r="D18" s="88"/>
      <c r="E18" s="40"/>
      <c r="F18" s="34"/>
      <c r="G18" s="35"/>
      <c r="H18" s="36"/>
      <c r="I18" s="79"/>
      <c r="J18" s="80"/>
    </row>
    <row r="19" spans="1:10" ht="39.950000000000003" customHeight="1" x14ac:dyDescent="0.2">
      <c r="A19" s="11"/>
      <c r="B19" s="83" t="s">
        <v>182</v>
      </c>
      <c r="C19" s="84"/>
      <c r="D19" s="84"/>
      <c r="E19" s="9">
        <v>5</v>
      </c>
      <c r="F19" s="27">
        <v>3.75</v>
      </c>
      <c r="G19" s="32">
        <f t="shared" si="0"/>
        <v>0.75</v>
      </c>
      <c r="H19" s="33" t="str">
        <f t="shared" si="1"/>
        <v>جيد</v>
      </c>
      <c r="I19" s="52"/>
      <c r="J19" s="53"/>
    </row>
    <row r="20" spans="1:10" ht="39.950000000000003" customHeight="1" x14ac:dyDescent="0.2">
      <c r="A20" s="11"/>
      <c r="B20" s="83" t="s">
        <v>183</v>
      </c>
      <c r="C20" s="84"/>
      <c r="D20" s="84"/>
      <c r="E20" s="9">
        <v>5</v>
      </c>
      <c r="F20" s="27">
        <v>3.75</v>
      </c>
      <c r="G20" s="32">
        <f t="shared" si="0"/>
        <v>0.75</v>
      </c>
      <c r="H20" s="33" t="str">
        <f t="shared" si="1"/>
        <v>جيد</v>
      </c>
      <c r="I20" s="52"/>
      <c r="J20" s="53"/>
    </row>
    <row r="21" spans="1:10" ht="39.950000000000003" customHeight="1" x14ac:dyDescent="0.2">
      <c r="A21" s="11"/>
      <c r="B21" s="83" t="s">
        <v>184</v>
      </c>
      <c r="C21" s="84"/>
      <c r="D21" s="84"/>
      <c r="E21" s="9">
        <v>5</v>
      </c>
      <c r="F21" s="27">
        <v>3.75</v>
      </c>
      <c r="G21" s="32">
        <f t="shared" si="0"/>
        <v>0.75</v>
      </c>
      <c r="H21" s="33" t="str">
        <f t="shared" si="1"/>
        <v>جيد</v>
      </c>
      <c r="I21" s="52"/>
      <c r="J21" s="53"/>
    </row>
    <row r="22" spans="1:10" ht="39.950000000000003" customHeight="1" x14ac:dyDescent="0.2">
      <c r="A22" s="11"/>
      <c r="B22" s="83" t="s">
        <v>185</v>
      </c>
      <c r="C22" s="84"/>
      <c r="D22" s="84"/>
      <c r="E22" s="9">
        <v>5</v>
      </c>
      <c r="F22" s="27">
        <v>3.75</v>
      </c>
      <c r="G22" s="32">
        <f t="shared" si="0"/>
        <v>0.75</v>
      </c>
      <c r="H22" s="33" t="str">
        <f t="shared" si="1"/>
        <v>جيد</v>
      </c>
      <c r="I22" s="52"/>
      <c r="J22" s="53"/>
    </row>
    <row r="23" spans="1:10" ht="39.950000000000003" customHeight="1" x14ac:dyDescent="0.2">
      <c r="A23" s="11"/>
      <c r="B23" s="83" t="s">
        <v>186</v>
      </c>
      <c r="C23" s="84"/>
      <c r="D23" s="84"/>
      <c r="E23" s="9">
        <v>5</v>
      </c>
      <c r="F23" s="27">
        <v>3.75</v>
      </c>
      <c r="G23" s="32">
        <f t="shared" si="0"/>
        <v>0.75</v>
      </c>
      <c r="H23" s="33" t="str">
        <f t="shared" si="1"/>
        <v>جيد</v>
      </c>
      <c r="I23" s="52"/>
      <c r="J23" s="53"/>
    </row>
    <row r="24" spans="1:10" ht="39.950000000000003" customHeight="1" x14ac:dyDescent="0.2">
      <c r="A24" s="11"/>
      <c r="B24" s="83" t="s">
        <v>187</v>
      </c>
      <c r="C24" s="84"/>
      <c r="D24" s="84"/>
      <c r="E24" s="9">
        <v>5</v>
      </c>
      <c r="F24" s="27">
        <v>3.75</v>
      </c>
      <c r="G24" s="32">
        <f t="shared" si="0"/>
        <v>0.75</v>
      </c>
      <c r="H24" s="33" t="str">
        <f t="shared" si="1"/>
        <v>جيد</v>
      </c>
      <c r="I24" s="52"/>
      <c r="J24" s="53"/>
    </row>
    <row r="25" spans="1:10" ht="39.950000000000003" customHeight="1" x14ac:dyDescent="0.2">
      <c r="A25" s="11"/>
      <c r="B25" s="83" t="s">
        <v>188</v>
      </c>
      <c r="C25" s="84"/>
      <c r="D25" s="84"/>
      <c r="E25" s="9">
        <v>5</v>
      </c>
      <c r="F25" s="27">
        <v>3.75</v>
      </c>
      <c r="G25" s="32">
        <f t="shared" si="0"/>
        <v>0.75</v>
      </c>
      <c r="H25" s="33" t="str">
        <f t="shared" si="1"/>
        <v>جيد</v>
      </c>
      <c r="I25" s="52"/>
      <c r="J25" s="53"/>
    </row>
    <row r="26" spans="1:10" ht="39.950000000000003" customHeight="1" thickBot="1" x14ac:dyDescent="0.25">
      <c r="A26" s="11"/>
      <c r="B26" s="85" t="s">
        <v>189</v>
      </c>
      <c r="C26" s="86"/>
      <c r="D26" s="86"/>
      <c r="E26" s="37">
        <v>5</v>
      </c>
      <c r="F26" s="29">
        <v>3.75</v>
      </c>
      <c r="G26" s="38">
        <f t="shared" si="0"/>
        <v>0.75</v>
      </c>
      <c r="H26" s="39" t="str">
        <f t="shared" si="1"/>
        <v>جيد</v>
      </c>
      <c r="I26" s="81"/>
      <c r="J26" s="82"/>
    </row>
    <row r="27" spans="1:10" ht="39.950000000000003" customHeight="1" x14ac:dyDescent="0.2">
      <c r="A27" s="11"/>
      <c r="B27" s="93" t="s">
        <v>199</v>
      </c>
      <c r="C27" s="94"/>
      <c r="D27" s="94"/>
      <c r="E27" s="40"/>
      <c r="F27" s="34"/>
      <c r="G27" s="35"/>
      <c r="H27" s="36"/>
      <c r="I27" s="79"/>
      <c r="J27" s="80"/>
    </row>
    <row r="28" spans="1:10" ht="39.950000000000003" customHeight="1" x14ac:dyDescent="0.2">
      <c r="A28" s="11"/>
      <c r="B28" s="83" t="s">
        <v>190</v>
      </c>
      <c r="C28" s="84"/>
      <c r="D28" s="84"/>
      <c r="E28" s="9">
        <v>5</v>
      </c>
      <c r="F28" s="27">
        <v>3.75</v>
      </c>
      <c r="G28" s="32">
        <f t="shared" si="0"/>
        <v>0.75</v>
      </c>
      <c r="H28" s="33" t="str">
        <f t="shared" si="1"/>
        <v>جيد</v>
      </c>
      <c r="I28" s="52"/>
      <c r="J28" s="53"/>
    </row>
    <row r="29" spans="1:10" ht="39.950000000000003" customHeight="1" x14ac:dyDescent="0.2">
      <c r="A29" s="11"/>
      <c r="B29" s="83" t="s">
        <v>191</v>
      </c>
      <c r="C29" s="84"/>
      <c r="D29" s="84"/>
      <c r="E29" s="9">
        <v>5</v>
      </c>
      <c r="F29" s="27">
        <v>3.75</v>
      </c>
      <c r="G29" s="32">
        <f t="shared" si="0"/>
        <v>0.75</v>
      </c>
      <c r="H29" s="33" t="str">
        <f t="shared" si="1"/>
        <v>جيد</v>
      </c>
      <c r="I29" s="52"/>
      <c r="J29" s="53"/>
    </row>
    <row r="30" spans="1:10" ht="39.950000000000003" customHeight="1" x14ac:dyDescent="0.2">
      <c r="A30" s="11"/>
      <c r="B30" s="83" t="s">
        <v>192</v>
      </c>
      <c r="C30" s="84"/>
      <c r="D30" s="84"/>
      <c r="E30" s="9">
        <v>5</v>
      </c>
      <c r="F30" s="27">
        <v>3.75</v>
      </c>
      <c r="G30" s="32">
        <f t="shared" si="0"/>
        <v>0.75</v>
      </c>
      <c r="H30" s="33" t="str">
        <f t="shared" si="1"/>
        <v>جيد</v>
      </c>
      <c r="I30" s="52"/>
      <c r="J30" s="53"/>
    </row>
    <row r="31" spans="1:10" ht="39.950000000000003" customHeight="1" x14ac:dyDescent="0.2">
      <c r="A31" s="11"/>
      <c r="B31" s="83" t="s">
        <v>193</v>
      </c>
      <c r="C31" s="84"/>
      <c r="D31" s="84"/>
      <c r="E31" s="9">
        <v>5</v>
      </c>
      <c r="F31" s="27">
        <v>3.5</v>
      </c>
      <c r="G31" s="32">
        <f t="shared" si="0"/>
        <v>0.7</v>
      </c>
      <c r="H31" s="33" t="str">
        <f t="shared" si="1"/>
        <v>جيد</v>
      </c>
      <c r="I31" s="52"/>
      <c r="J31" s="53"/>
    </row>
    <row r="32" spans="1:10" ht="39.950000000000003" customHeight="1" thickBot="1" x14ac:dyDescent="0.25">
      <c r="A32" s="11"/>
      <c r="B32" s="85" t="s">
        <v>194</v>
      </c>
      <c r="C32" s="86"/>
      <c r="D32" s="86"/>
      <c r="E32" s="37">
        <v>5</v>
      </c>
      <c r="F32" s="29">
        <v>3.5</v>
      </c>
      <c r="G32" s="38">
        <f t="shared" si="0"/>
        <v>0.7</v>
      </c>
      <c r="H32" s="39" t="str">
        <f t="shared" si="1"/>
        <v>جيد</v>
      </c>
      <c r="I32" s="81"/>
      <c r="J32" s="82"/>
    </row>
    <row r="33" spans="1:10" ht="30" customHeight="1" thickBot="1" x14ac:dyDescent="0.25">
      <c r="A33" s="4"/>
      <c r="B33" s="75" t="s">
        <v>5</v>
      </c>
      <c r="C33" s="76"/>
      <c r="D33" s="76"/>
      <c r="E33" s="31">
        <f>SUM(E8:E32)</f>
        <v>110</v>
      </c>
      <c r="F33" s="31">
        <f>SUM(F8:F32)</f>
        <v>82</v>
      </c>
      <c r="G33" s="45"/>
      <c r="H33" s="46"/>
      <c r="I33" s="46"/>
      <c r="J33" s="47"/>
    </row>
    <row r="34" spans="1:10" ht="30" customHeight="1" thickBot="1" x14ac:dyDescent="0.25">
      <c r="A34" s="4"/>
      <c r="B34" s="77" t="s">
        <v>54</v>
      </c>
      <c r="C34" s="78"/>
      <c r="D34" s="78"/>
      <c r="E34" s="67">
        <f>F33/E33/100*100</f>
        <v>0.74545454545454548</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2">
      <c r="B36" s="54" t="s">
        <v>175</v>
      </c>
      <c r="C36" s="54"/>
      <c r="D36" s="54"/>
      <c r="E36" s="43" t="s">
        <v>52</v>
      </c>
      <c r="F36" s="43"/>
      <c r="G36" s="56" t="s">
        <v>92</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