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FE404771-2CFD-4E7F-9D09-C3A360F556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التقييم'!$A$1:$J$101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 s="1"/>
  <c r="G13" i="2"/>
  <c r="H13" i="2"/>
  <c r="G14" i="2"/>
  <c r="H14" i="2" s="1"/>
  <c r="G15" i="2"/>
  <c r="H15" i="2"/>
  <c r="G16" i="2"/>
  <c r="H16" i="2"/>
  <c r="G17" i="2"/>
  <c r="H17" i="2"/>
  <c r="G18" i="2"/>
  <c r="H18" i="2"/>
  <c r="G19" i="2"/>
  <c r="H19" i="2"/>
  <c r="G20" i="2"/>
  <c r="H20" i="2" s="1"/>
  <c r="G21" i="2"/>
  <c r="H21" i="2" s="1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1" i="2"/>
  <c r="H31" i="2" s="1"/>
  <c r="G32" i="2"/>
  <c r="H32" i="2"/>
  <c r="G33" i="2"/>
  <c r="H33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8" i="2"/>
  <c r="H78" i="2"/>
  <c r="G79" i="2"/>
  <c r="H79" i="2"/>
  <c r="G80" i="2"/>
  <c r="H80" i="2"/>
  <c r="G81" i="2"/>
  <c r="H81" i="2"/>
  <c r="G82" i="2"/>
  <c r="H82" i="2"/>
  <c r="G83" i="2"/>
  <c r="H83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 s="1"/>
  <c r="G93" i="2"/>
  <c r="H93" i="2"/>
  <c r="G94" i="2"/>
  <c r="H94" i="2"/>
  <c r="G95" i="2"/>
  <c r="H95" i="2"/>
  <c r="G96" i="2"/>
  <c r="H96" i="2"/>
  <c r="G8" i="2"/>
  <c r="H8" i="2"/>
  <c r="F97" i="2"/>
  <c r="E97" i="2"/>
  <c r="E98" i="2" s="1"/>
  <c r="E9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15" authorId="0" shapeId="0" xr:uid="{598F9312-7730-6F40-877B-1D854A74373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ضرورة تسجيل البرقية في الوقت المناسب</t>
        </r>
      </text>
    </comment>
  </commentList>
</comments>
</file>

<file path=xl/sharedStrings.xml><?xml version="1.0" encoding="utf-8"?>
<sst xmlns="http://schemas.openxmlformats.org/spreadsheetml/2006/main" count="332" uniqueCount="270">
  <si>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</si>
  <si>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</si>
  <si>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</si>
  <si>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</si>
  <si>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</si>
  <si>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</si>
  <si>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</si>
  <si>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</si>
  <si>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</si>
  <si>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</si>
  <si>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</si>
  <si>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</si>
  <si>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</si>
  <si>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</si>
  <si>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</si>
  <si>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</si>
  <si>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</si>
  <si>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</si>
  <si>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</si>
  <si>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</si>
  <si>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</si>
  <si>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</si>
  <si>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</si>
  <si>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</si>
  <si>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</si>
  <si>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</si>
  <si>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</si>
  <si>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</si>
  <si>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</si>
  <si>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</si>
  <si>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</si>
  <si>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</si>
  <si>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</si>
  <si>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</si>
  <si>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</si>
  <si>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</si>
  <si>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</si>
  <si>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</si>
  <si>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</si>
  <si>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</si>
  <si>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</si>
  <si>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</si>
  <si>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</si>
  <si>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</si>
  <si>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</si>
  <si>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</si>
  <si>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</si>
  <si>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</si>
  <si>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</si>
  <si>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</si>
  <si>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</si>
  <si>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</si>
  <si>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</si>
  <si>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</si>
  <si>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</si>
  <si>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</si>
  <si>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</si>
  <si>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</si>
  <si>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</si>
  <si>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</si>
  <si>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</si>
  <si>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</si>
  <si>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</si>
  <si>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</si>
  <si>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</si>
  <si>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</si>
  <si>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</si>
  <si>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</si>
  <si>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</si>
  <si>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</si>
  <si>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</si>
  <si>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</si>
  <si>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</si>
  <si>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</si>
  <si>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</si>
  <si>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</si>
  <si>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</si>
  <si>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</si>
  <si>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</si>
  <si>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</si>
  <si>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</si>
  <si>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</si>
  <si>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</si>
  <si>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</si>
  <si>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</si>
  <si>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</si>
  <si>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</si>
  <si>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</si>
  <si>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</si>
  <si>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</si>
  <si>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</si>
  <si>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</si>
  <si>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</si>
  <si>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</si>
  <si>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</si>
  <si>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</si>
  <si>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</si>
  <si>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</si>
  <si>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</si>
  <si>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</si>
  <si>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</si>
  <si>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</si>
  <si>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</si>
  <si>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</si>
  <si>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</si>
  <si>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</si>
  <si>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</si>
  <si>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</si>
  <si>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</si>
  <si>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</si>
  <si>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</si>
  <si>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</si>
  <si>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</si>
  <si>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</si>
  <si>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</si>
  <si>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</si>
  <si>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</si>
  <si>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</si>
  <si>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</si>
  <si>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</si>
  <si>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</si>
  <si>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</si>
  <si>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</si>
  <si>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</si>
  <si>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</si>
  <si>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</si>
  <si>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</si>
  <si>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</si>
  <si>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</si>
  <si>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</si>
  <si>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</si>
  <si>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</si>
  <si>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</si>
  <si>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</si>
  <si>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</si>
  <si>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</si>
  <si>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</si>
  <si>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</si>
  <si>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</si>
  <si>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</si>
  <si>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</si>
  <si>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</si>
  <si>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</si>
  <si>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</si>
  <si>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</si>
  <si>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</si>
  <si>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</si>
  <si>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</si>
  <si>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</si>
  <si>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</si>
  <si>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</si>
  <si>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</si>
  <si>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</si>
  <si>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</si>
  <si>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</si>
  <si>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</si>
  <si>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</si>
  <si>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</si>
  <si>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</si>
  <si>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</si>
  <si>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</si>
  <si>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</si>
  <si>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</si>
  <si>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</si>
  <si>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</si>
  <si>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</si>
  <si>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</si>
  <si>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</si>
  <si>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</si>
  <si>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</si>
  <si>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</si>
  <si>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</si>
  <si>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</si>
  <si>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</si>
  <si>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</si>
  <si>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</si>
  <si>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</si>
  <si>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</si>
  <si>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</si>
  <si>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</si>
  <si>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رفع الجاهزية القتالية لسرية الدفاع الكيميائي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</si>
  <si>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استلام برقية رفع الحالة وتفهم القائد لمضمون البرقية في الوقت المحدد.</t>
    </r>
  </si>
  <si>
    <r>
      <t>2.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القائد.</t>
    </r>
  </si>
  <si>
    <t>أ. استلام المهمة وتفهم المطلوب في الوقت المحدد.</t>
  </si>
  <si>
    <t>ب. الرد بالاعتراف على البرقية حسب الوقت المحدد.</t>
  </si>
  <si>
    <t>جـ. تحرير برقية رفع الحالة وإرسالها إلى مستوى الأعلى والأدنى.</t>
  </si>
  <si>
    <t>د. الكشف من الخارطة.</t>
  </si>
  <si>
    <t>هـ. إصدار أمر إنذاري والحصول على الاعتراف من المستوى الأدنى.</t>
  </si>
  <si>
    <t>و. تسجيل برقية رفع الحالة في سجل الحوادث.</t>
  </si>
  <si>
    <t>ز. عمل تقدير موقف للوقت من قبل القائد مع مراعاة ثلثي الوقت لعمل وإجراءات المرؤوسين وتشمل الإجراءات منذ استلام المهمة وحتى ساعة الصفر.</t>
  </si>
  <si>
    <t>ح. عمل تقدير موقف ذهني سريع من قبل القائد.</t>
  </si>
  <si>
    <t>ط. إنذار الوحدة بالمهمة ووسائل الإنذار المتوفرة.</t>
  </si>
  <si>
    <t>ي. توضيح المطلوب للقادة المرؤوسين والإجابة على استفساراتهم.</t>
  </si>
  <si>
    <t>ك. التقيد بأصول المخابرة في عملية إرسال البرقية.</t>
  </si>
  <si>
    <t>ل. التقيد بواجبات الأركان الصغرى في كتابة الأمر الإنذاري.</t>
  </si>
  <si>
    <r>
      <t>3.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التقييد بمشتملات الأمر الإنذاري.</t>
    </r>
    <r>
      <rPr>
        <sz val="12"/>
        <color rgb="FF000000"/>
        <rFont val="Arial"/>
        <family val="2"/>
      </rPr>
      <t xml:space="preserve"> يسلم مكتوب لنائب القائد ونسخة للمحكم ويشمل:</t>
    </r>
  </si>
  <si>
    <t>أ. ملخص عن العمليات المقبلة.</t>
  </si>
  <si>
    <t>ب. موقع ووقت اجتماع قسم الأمر.</t>
  </si>
  <si>
    <t>جـ. تفاصيل عن منطقة التجمع.</t>
  </si>
  <si>
    <t>د. تحديدات الحركة (حسب المهمة).</t>
  </si>
  <si>
    <t>هـ. منطقة التجمع.</t>
  </si>
  <si>
    <t>و. حدود الكشف.</t>
  </si>
  <si>
    <t>ز. التعليمات الإدارية.</t>
  </si>
  <si>
    <r>
      <t>4.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وسائل الإنذار</t>
    </r>
    <r>
      <rPr>
        <b/>
        <sz val="12"/>
        <color rgb="FF000000"/>
        <rFont val="Arial"/>
        <family val="2"/>
      </rPr>
      <t>.</t>
    </r>
  </si>
  <si>
    <t>أ. التأكد من استخدام وسائل الإنذار المتوفرة (المسموعة، المرئية، الضوئية) حسب ما جاء في تعليمات التحول.</t>
  </si>
  <si>
    <t>ب. التأكد من وصول البرقية إلى المرؤوسين وتفهمها من قبلهم.</t>
  </si>
  <si>
    <t>جـ. التأكد من إصدار الأوامر إلى القادة المرؤوسين (شفهية، مكتوبة، بواسطة اللاسلكي).</t>
  </si>
  <si>
    <r>
      <t>5.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التحـول.</t>
    </r>
  </si>
  <si>
    <t>أ. تحرك الوحدات المرؤوسة لتنفيذ التحول حسب تعليمات رفع حالات الاستعداد القتالي (حسب الخطة الزمنية لتعليمات رفع حالات الاستعداد القتالي).</t>
  </si>
  <si>
    <t>ب. وجود خطة مفصلة موضح بها الإجراءات خلال وقت محدد.</t>
  </si>
  <si>
    <t>جـ. التزام مرتب الوحدة (الفصائل) وتنفيذها بطريقة سليمة (تفهم الجميع للخطة الموضوعة) وحسب الحالة المطلوبة.</t>
  </si>
  <si>
    <t>د. مدى سيطرة ضباط السرية على تحركات ضباط الصف والجنود، ومرونة القيادة في التغلب على العقبات التي قد تحدث إثناء العمل.</t>
  </si>
  <si>
    <t>هـ. مدى التقيد بالتوقيتات المبينة في الخطة الزمنية.</t>
  </si>
  <si>
    <t>و. أسلوب وإجراءات تنفيذ الخطة الزمنية.</t>
  </si>
  <si>
    <t>ز. التأكد من الحماس وجديـة الضبـاط والرتـب الأخرى في تنفيـذ الواجبات ومـــدى تفهمهم لإجراءات رفع الحالة.</t>
  </si>
  <si>
    <t>ح. التأكد من إجراءات التحميل / تعبئة الذخيرة (التقيد باحتياطات الأمان ومخطط التحميل).</t>
  </si>
  <si>
    <t>ط. التأكد من استلام المهمات الكيميائية.</t>
  </si>
  <si>
    <t>ي. التأكد من تعبئة وتحميل الوقود والمياه.</t>
  </si>
  <si>
    <t>ك. التأكد من تحميل الأرزاق لـ (48) ساعة.</t>
  </si>
  <si>
    <t>ل. التأكد من تحميل المهمات الإدارية والهندسية التابعة للسرية.</t>
  </si>
  <si>
    <t>م. التأكد من تركيب الأسلحة والأجهزة واختبارها.</t>
  </si>
  <si>
    <t>ن. وجود خطة التحميل ومدى التقيد بها أثناء عملية التحميل ومدى فعاليتها.</t>
  </si>
  <si>
    <r>
      <t>6.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جاهزية القوة.</t>
    </r>
  </si>
  <si>
    <t>أ. اصطفاف القوة بالميدان في الوقت المحدد في تعليمات رفع حالات الاستعداد القتالي.</t>
  </si>
  <si>
    <t>ب. التأكد من نسبة استكمال وجاهزية الضباط والأفراد من حيث (السلاح وملحقاته، حقائب الكتف، القلادة المعدنية، البطاقة، رخصة السواقة، حقيبة الميدان، مفكرة الميدان للضباط).</t>
  </si>
  <si>
    <t>جـ. مدى إلمام الضباط والرتب الأخرى باستخدام المعدات والآليات حسب تخصصاتهم.</t>
  </si>
  <si>
    <t>د. تعبئة وإدامة جداول الركوب والتحميل طبقاً لحالات الاستعداد القتالي ومطابقته للواقع.</t>
  </si>
  <si>
    <t xml:space="preserve">هـ. التأكد من عدم تحميل الآليات أكثر من حمولتها المقررة </t>
  </si>
  <si>
    <t>و. تعبئة وإدامة سجلات استلام الذخائر.</t>
  </si>
  <si>
    <t>ز. التأكد من جاهزية الآليات من حيث (الوقود، المياه، العدة، سجل الآلية، وتحميل شباك التمويه مع العصي، إلخ...).</t>
  </si>
  <si>
    <t>ح. مدى التقيد بتعليمات المؤخرة للقوة.</t>
  </si>
  <si>
    <t>ط. التأكد من نسبة استكمال الأسلحة والمعدات.</t>
  </si>
  <si>
    <t>ي. التأكد من نسبة استكمال الآليات ( أ ).</t>
  </si>
  <si>
    <t>ك. مدى توفر نقليات (ب).</t>
  </si>
  <si>
    <t>ل. التأكد من نسبة استكمال القوة البشرية.</t>
  </si>
  <si>
    <r>
      <t>7.</t>
    </r>
    <r>
      <rPr>
        <b/>
        <sz val="7"/>
        <color rgb="FF000000"/>
        <rFont val="Times New Roman"/>
        <family val="1"/>
      </rPr>
      <t xml:space="preserve">          </t>
    </r>
    <r>
      <rPr>
        <b/>
        <u/>
        <sz val="11"/>
        <color rgb="FF000000"/>
        <rFont val="Arial"/>
        <family val="2"/>
      </rPr>
      <t>فـرش المتاع</t>
    </r>
    <r>
      <rPr>
        <b/>
        <sz val="11"/>
        <color rgb="FF000000"/>
        <rFont val="Arial"/>
        <family val="2"/>
      </rPr>
      <t xml:space="preserve">. </t>
    </r>
    <r>
      <rPr>
        <sz val="11"/>
        <color rgb="FF000000"/>
        <rFont val="Arial"/>
        <family val="2"/>
      </rPr>
      <t>حقيبة الميدان وتشمل:</t>
    </r>
  </si>
  <si>
    <t>أ. عدد (1) بدلة مموهه.</t>
  </si>
  <si>
    <t>ب. خـوذه.</t>
  </si>
  <si>
    <t>جـ. فوطه.</t>
  </si>
  <si>
    <t>د. جراب.</t>
  </si>
  <si>
    <t>هـ. ملابس داخلية.</t>
  </si>
  <si>
    <t>و. ملابس رياضة (شورت، حذاء، فانله).</t>
  </si>
  <si>
    <t>ز. أدوات الطعام.</t>
  </si>
  <si>
    <t>ح. أدوات الخياطة.</t>
  </si>
  <si>
    <t>ط. أدوات حلاقة + معجون وفرشاة أسنان.</t>
  </si>
  <si>
    <t>ي. كيس النوم.</t>
  </si>
  <si>
    <t>ك. لباس مدني.</t>
  </si>
  <si>
    <t>ل. شماغ (عسكري / مدني).</t>
  </si>
  <si>
    <t>م. مشمع أرضي.</t>
  </si>
  <si>
    <t>ن. ترتيب ونظافة محتويات الحقيبة.</t>
  </si>
  <si>
    <r>
      <t>8.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اختبار المعلومات العسكرية للمرتب</t>
    </r>
    <r>
      <rPr>
        <b/>
        <sz val="12"/>
        <color rgb="FF000000"/>
        <rFont val="Arial"/>
        <family val="2"/>
      </rPr>
      <t>.</t>
    </r>
  </si>
  <si>
    <t>أ. الأسلحة وخصائصها الفنية ومسمياتها.</t>
  </si>
  <si>
    <t>ب. الذخائر (الخطوط، الوحدة الحسابية).</t>
  </si>
  <si>
    <t>جـ. الهيكل التنظيمي للوحدة تحت التفتيش.</t>
  </si>
  <si>
    <t>د. أمن الأفراد والمعسكرات والمنشآت.</t>
  </si>
  <si>
    <t>هـ. التخصصات المهنية.</t>
  </si>
  <si>
    <t>و. حالات الاستعداد القتالي.</t>
  </si>
  <si>
    <r>
      <t>9.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صندوق أو آلية الوثائق.</t>
    </r>
  </si>
  <si>
    <t>أ. توفر صندوق لحفظ الوثائق والسجلات والقرطاسية اللازمة.</t>
  </si>
  <si>
    <t>ب. توفر الخرائط والخطط الضرورية.</t>
  </si>
  <si>
    <t>جـ. توفر وصلاحية الإضاءة الرئيسة والبديلة.</t>
  </si>
  <si>
    <t>د. توفر وصلاحية وسائل الاتصالات الإشارية.</t>
  </si>
  <si>
    <t>هـ. التأكد من إعداد وتجهيز الآلية.</t>
  </si>
  <si>
    <t>و. التأكد من وجود فهرس بمحتويات الصندوق ومطابقته مع الموجود.</t>
  </si>
  <si>
    <t>ز. وجود الأوامر الثابتة لقيادته.</t>
  </si>
  <si>
    <t>ح. وجود قوائم التوزيع الشهرية.</t>
  </si>
  <si>
    <t>ط. وجود نموذج برقيــات.</t>
  </si>
  <si>
    <t>ي. توفر كشف بأرقام الهواتف الهامة (عسكرية، مدنية).</t>
  </si>
  <si>
    <t>ك. وجود وإدامة سجل الوارد والصادر.</t>
  </si>
  <si>
    <r>
      <t>10.</t>
    </r>
    <r>
      <rPr>
        <b/>
        <sz val="7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التأكد من الإشراف والمتابعة من المستوى الأعلى وقيادة المستوى نفسه.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</si>
</sst>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  <font>
      <b/>
      <u/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 readingOrder="1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0" fontId="3" fillId="0" borderId="18" xfId="0" applyFont="1" applyBorder="1" applyAlignment="1" applyProtection="1">
      <alignment horizontal="center" vertical="center" wrapText="1" readingOrder="2"/>
      <protection locked="0"/>
    </xf>
    <xf numFmtId="9" fontId="3" fillId="0" borderId="18" xfId="0" applyNumberFormat="1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1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21" xfId="0" applyFont="1" applyBorder="1" applyAlignment="1" applyProtection="1">
      <alignment horizontal="center" vertical="center" wrapText="1" readingOrder="2"/>
      <protection locked="0"/>
    </xf>
    <xf numFmtId="9" fontId="3" fillId="0" borderId="21" xfId="0" applyNumberFormat="1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1"/>
    </xf>
    <xf numFmtId="0" fontId="2" fillId="0" borderId="24" xfId="0" applyFont="1" applyBorder="1" applyAlignment="1">
      <alignment horizontal="center" vertical="center" wrapText="1" readingOrder="2"/>
    </xf>
    <xf numFmtId="0" fontId="3" fillId="0" borderId="24" xfId="0" applyFont="1" applyBorder="1" applyAlignment="1" applyProtection="1">
      <alignment horizontal="center" vertical="center" wrapText="1" readingOrder="2"/>
      <protection locked="0"/>
    </xf>
    <xf numFmtId="9" fontId="3" fillId="0" borderId="24" xfId="0" applyNumberFormat="1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1"/>
    </xf>
    <xf numFmtId="0" fontId="3" fillId="0" borderId="18" xfId="0" applyFont="1" applyBorder="1" applyAlignment="1" applyProtection="1">
      <alignment horizontal="center" vertical="center" wrapText="1" readingOrder="2"/>
      <protection locked="0"/>
    </xf>
    <xf numFmtId="0" fontId="3" fillId="0" borderId="19" xfId="0" applyFont="1" applyBorder="1" applyAlignment="1" applyProtection="1">
      <alignment horizontal="center" vertical="center" wrapText="1" readingOrder="2"/>
      <protection locked="0"/>
    </xf>
    <xf numFmtId="0" fontId="3" fillId="0" borderId="21" xfId="0" applyFont="1" applyBorder="1" applyAlignment="1" applyProtection="1">
      <alignment horizontal="center" vertical="center" wrapText="1" readingOrder="2"/>
      <protection locked="0"/>
    </xf>
    <xf numFmtId="0" fontId="3" fillId="0" borderId="22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3" fillId="0" borderId="24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17" xfId="0" applyFont="1" applyBorder="1" applyAlignment="1">
      <alignment horizontal="right" vertical="center" wrapText="1" readingOrder="2"/>
    </xf>
    <xf numFmtId="0" fontId="2" fillId="0" borderId="18" xfId="0" applyFont="1" applyBorder="1" applyAlignment="1">
      <alignment horizontal="right" vertical="center" wrapText="1" readingOrder="2"/>
    </xf>
    <xf numFmtId="0" fontId="12" fillId="0" borderId="20" xfId="0" applyFont="1" applyBorder="1" applyAlignment="1">
      <alignment horizontal="right" vertical="center" wrapText="1" indent="2" readingOrder="2"/>
    </xf>
    <xf numFmtId="0" fontId="12" fillId="0" borderId="21" xfId="0" applyFont="1" applyBorder="1" applyAlignment="1">
      <alignment horizontal="right" vertical="center" wrapText="1" indent="2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24" xfId="0" applyFont="1" applyBorder="1" applyAlignment="1">
      <alignment horizontal="right" vertical="center" wrapText="1" indent="2" readingOrder="2"/>
    </xf>
    <xf numFmtId="0" fontId="6" fillId="0" borderId="17" xfId="0" applyFont="1" applyBorder="1" applyAlignment="1">
      <alignment horizontal="right" vertical="center" wrapText="1" readingOrder="2"/>
    </xf>
    <xf numFmtId="0" fontId="6" fillId="0" borderId="18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432834</xdr:colOff>
      <xdr:row>100</xdr:row>
      <xdr:rowOff>34878</xdr:rowOff>
    </xdr:from>
    <xdr:to>
      <xdr:col>8</xdr:col>
      <xdr:colOff>268653</xdr:colOff>
      <xdr:row>100</xdr:row>
      <xdr:rowOff>485238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FA45365-0DD7-D660-B1F0-D13AAC8D507F}"/>
                </a:ext>
              </a:extLst>
            </xdr14:cNvPr>
            <xdr14:cNvContentPartPr/>
          </xdr14:nvContentPartPr>
          <xdr14:nvPr macro=""/>
          <xdr14:xfrm>
            <a:off x="10398976256" y="41038560"/>
            <a:ext cx="1152000" cy="450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FA45365-0DD7-D660-B1F0-D13AAC8D507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970136" y="41032440"/>
              <a:ext cx="1164240" cy="46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52:55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1352 1009 8,'0'0'0,"0"5"0,0 8 8,0-13-8,0 11 0,0-7 24,0 9 32,0-9-8,0-4-48,-2 13 64,-1-9-56,1 10-32,-3-9 32,5-5-8,-2 14 0,2-10 0,-5 10 8,-4-2-8,9-12 0,-12 3-8,0 9 8,8-7 0,-12 8 16,16-13-16,-11 4 72,-1 7-40,-3-11 0,-6 3 8,21-3-40,-18 0-16,-1 3 48,-2-3-8,8 0 8,13 0-32,-22-2 24,6 1 72,0-3-64,2-1-8,14 5-24,-14-4 40,0-1-64,0-7 152,-2 9-56,16 3-72,-12-5 64,-1-1-8,5 2-32,-5-1 136,13 5-160,-2-2 112,-13 0 0,10-1-48,0 2-48,5 1-16,-8-2 80,5-2 56,-9 3-56,8-2-40,4 3-40,-4-2 56,1 0-80,-1 0 56,4-1 8,0 3-40,-3-1-16,3 0 32,0-1 16,0 2-8,0 0-24,3 0 16,1 0 40,-1 4-40,-3 9 16,0-13-32,1 3 56,-1 10-24,3-9 32,-1 9-16,-2-13-48,0 4 56,5 10-8,-5-9-24,0 9 0,0-14-24,0 4 16,0 9 16,0-9 8,0 8 0,0-12-40,0 2 32,-5 3 8,0-1 16,1 0-8,4-4-48,-4 3 32,-11 0 16,13 0-24,-9-3 32,11 0-56,-5 0 72,-2 0-24,-4-2 8,11-1 0,0 3-56,-8-2 80,-6-3 16,12 2 8,-12 1 16,14 2-120,-12-3 128,-1-3-24,-2-8-8,-1 3-48,16 11-48,-16-6 64,2-7 8,0 9 0,0 0 24,14 4-96,-12-6 104,-1 2 8,1-1 48,-3 1 1,15 4-161,-3-3 168,-9 0 8,9 2 16,-4 0-24,7 1-168,-4-2 160,4 1-56,-2-1-24,-1 2-48,3 0-32,0 0-8,0 0-8,-2 0-8,-1 0-16,3 0 40,0 3-16,0 0-8,0 0 8,0 1 24,0-4-8,0 4 24,3 1-24,2-1 16,8 0 8,-13-4-24,3 4 8,17 8 40,-5-12-8,5 3 0,-20-3-40,26 2 40,4 1 8,0-3-48,1 0 24,-31 0-24,35 0 24,0 0 0,-3-1 16,5-3-8,-37 4-32,35-12 32,5 8-16,-1-9 32,-2 9-24,-37 4-24,38-14 40,-1 2 0,0 1-16,3 0 40,-40 11-64,37-13 56,0 0 16,-2 0-16,-3 2 16,-32 11-72,28-12 80,-7 8 0,-2-7 24,-17 9 16,-2 2-120,11-4 152,-11 1-24,0 0-40,-4 1-64,4 2-24,-16-3 0,-5 1-80,-9 1 8,-10 1 24,40 0 48,-41 0-96,-6 0 64,3 3 8,-1 0-16,45-3 40,-41 2-8,1 1-32,0 2 24,6-1 16,34-4 0,-33 11-8,6-8 8,1 1 0,7 8-40,19-12 40,-11 0-24,6 4 24,0 0-32,3 0-8,2-4 40,0 12-8,0-9 24,2 1-16,9 0 48,-11-4-48,5 4 16,14 1-8,2-1 56,0-1-16,-21-3-48,21 3 48,0-1 0,-1 1-24,1-3 16,-21 0-40,26 0 32,-2 0 0,4 0 32,-3-1-24,-25 1-40,25-3 24,-2-1-8,1 1 0,0-1-16,-24 4 0,18-5 32,-2 3-8,0-1-16,-11 0 32,-5 3-40,14-3 24,-14 2 16,0 1-24,5 0 0,-5 0-16,0 0-32,-3 0 8,-2 0-8,-15 0-16,20 0 48,-23 4-24,-12 0-24,-1 0-16,-7 8-8,43-12 72,-43 0-8,0 3-8,-2-1 48,6-2 40,39 0-72,-35 3-8,5-3 32,4 0-24,7 0 8,19 0-8,-13 0 32,8 0 24,-2 0 16,7 0-16,0 0-56,0-1 56,17-2-32,1-1 0,5 0 0,-23 4-24,30-5 16,8 1 0,0 0-8,7-1 24,-45 5-32,46-4 72,4-1-8,1 0-48,0 0 40,-51 5-56,49-6 24,2 0 8,0 1 32,2-1-48,-53 6-16,58-6 40,-2 2-40,0 0 8,-2-2 32,-54 6-40,46-4 8,-2-1 8,-4 1-8,-3 0-8,-37 4 0,33-4-8,-8-1 16,-4 1 32,-9 0 0,-12 4-40,3-4 48,-3 1-16,-3-2-80,-11-7-40,14 12 88,-21-6-88,-14-10 16,-11 4 32,-8-3 80,54 15-40,-58-17 32,-4-1-16,-9-2 32,-1-1-48,72 21 0,-79-23 16,0 1 8,-4-2 32,1 0-8,82 24-48,-84-25 64,-2-4-24,7 1-48,0-2 64,79 30-56,-78-30 24,7-1 16,1-1 8,1-2-16,69 34-32,-58-34 48,0-1 0,11-2 0,3 1 8,44 36-56,-28-34 32,5 1-24,16 2 48,4 3-64,3 28 8,0-29 16,19 4-72,9-2-32,16 1 40,-44 26 48,56-26-40,16 4 40,16 0-32,12 4 8,-100 18 24,114-16-72,12 2 48,6 8 0,8-5 8,-140 11 16,148-1-8,4-1-40,2 2 0,-3 0 16,-151 0 32,144 3-32,-7 1-8,-6 9 0,-11-10-56,-120-3 96,112 14-96,-8-2 0,-8-8 8,-8 13 16,-88-17 72,79 13-56,-11 1 48,-12 0-16,-13 2 8,-43-16 16,33 15-24,-12 1-8,-9 0 24,-12-2 8,0-14 0,-3 17 8,-20-1 32,-9 2-56,-11 0 16,43-18 0,-55 20 32,-15-1-40,-7-2 32,-11 1-24,88-18 0,-97 17-16,-6 3 8,-6-1 16,-5 1 24,114-20-32,-119 18-8,-7 2-8,4 1 24,-4 1 16,126-22-24,-133 24 56,1 0 0,-1 0-32,5-1 40,128-23-64,-121 24 72,5 2 0,12 1 0,-1 1-40,105-28-32,-100 29 8,2-1 8,12 0-24,7 2 0,79-30 8,-72 30-8,6 1-32,6 1-24,4-2-40,56-30 104,-46 28-112,1-4 16,13 0 40,4-2 48,28-22 8,-23 18 32,12 3-40,3-2-392,4-1-504,4-18 904,0 19-984,0-15-17,2-1 265,3-7 248,-5 4 488,16-29-440,-2-1-128,12-2 96,4 5 64,-30 27 408,41-24-496,4 2 192,-4 4 32,6 1 88,-47 17 184,42-14-88,-42 14 88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a874" id="{F28651CC-266F-4C4E-9993-835DD91F3CF9}" userId="S::a874@365adk.top::dfa6451d-b281-4683-8353-bf1872166ce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5" dT="2025-09-29T04:00:52.25" personId="{F28651CC-266F-4C4E-9993-835DD91F3CF9}" id="{598F9312-7730-6F40-877B-1D854A743731}">
    <text>ضرورة تسجيل البرقية في الوقت المناسب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01"/>
  <sheetViews>
    <sheetView rightToLeft="1" tabSelected="1" view="pageBreakPreview" topLeftCell="A91" zoomScale="130" zoomScaleNormal="100" zoomScaleSheetLayoutView="130" workbookViewId="0">
      <selection activeCell="E92" sqref="E9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5" t="s">
        <v>180</v>
      </c>
      <c r="C1" s="55"/>
      <c r="D1" s="55"/>
      <c r="E1" s="55"/>
      <c r="F1" s="55"/>
      <c r="G1" s="55"/>
      <c r="H1" s="55"/>
      <c r="I1" s="55"/>
      <c r="J1" s="55"/>
    </row>
    <row r="2" spans="1:10" ht="30" customHeight="1" x14ac:dyDescent="0.3">
      <c r="B2" s="12" t="s">
        <v>8</v>
      </c>
      <c r="C2" s="61" t="s">
        <v>13</v>
      </c>
      <c r="D2" s="61"/>
      <c r="E2" s="12" t="s">
        <v>7</v>
      </c>
      <c r="F2" s="56">
        <v>45929</v>
      </c>
      <c r="G2" s="56"/>
      <c r="H2" s="56"/>
      <c r="I2" s="56"/>
      <c r="J2" s="56"/>
    </row>
    <row r="3" spans="1:10" ht="30" customHeight="1" x14ac:dyDescent="0.3">
      <c r="B3" s="12" t="s">
        <v>9</v>
      </c>
      <c r="C3" s="61" t="s">
        <v>71</v>
      </c>
      <c r="D3" s="61"/>
      <c r="E3" s="12" t="s">
        <v>6</v>
      </c>
      <c r="F3" s="61" t="s">
        <v>135</v>
      </c>
      <c r="G3" s="61"/>
      <c r="H3" s="61"/>
      <c r="I3" s="61"/>
      <c r="J3" s="61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7" t="s">
        <v>0</v>
      </c>
      <c r="C5" s="58"/>
      <c r="D5" s="58"/>
      <c r="E5" s="66" t="s">
        <v>1</v>
      </c>
      <c r="F5" s="66"/>
      <c r="G5" s="66"/>
      <c r="H5" s="66"/>
      <c r="I5" s="66" t="s">
        <v>2</v>
      </c>
      <c r="J5" s="67"/>
    </row>
    <row r="6" spans="1:10" ht="24.9" customHeight="1" thickBot="1" x14ac:dyDescent="0.35">
      <c r="A6" s="10"/>
      <c r="B6" s="59"/>
      <c r="C6" s="60"/>
      <c r="D6" s="60"/>
      <c r="E6" s="11" t="s">
        <v>3</v>
      </c>
      <c r="F6" s="11" t="s">
        <v>4</v>
      </c>
      <c r="G6" s="11" t="s">
        <v>23</v>
      </c>
      <c r="H6" s="11" t="s">
        <v>24</v>
      </c>
      <c r="I6" s="68"/>
      <c r="J6" s="69"/>
    </row>
    <row r="7" spans="1:10" ht="24.9" customHeight="1" thickBot="1" x14ac:dyDescent="0.35">
      <c r="A7" s="10"/>
      <c r="B7" s="64" t="s">
        <v>21</v>
      </c>
      <c r="C7" s="65"/>
      <c r="D7" s="65"/>
      <c r="E7" s="27" t="s">
        <v>18</v>
      </c>
      <c r="F7" s="27" t="s">
        <v>19</v>
      </c>
      <c r="G7" s="27" t="s">
        <v>22</v>
      </c>
      <c r="H7" s="27" t="s">
        <v>20</v>
      </c>
      <c r="I7" s="70" t="s">
        <v>25</v>
      </c>
      <c r="J7" s="71"/>
    </row>
    <row r="8" spans="1:10" ht="39.9" customHeight="1" thickBot="1" x14ac:dyDescent="0.35">
      <c r="A8" s="10"/>
      <c r="B8" s="80" t="s">
        <v>181</v>
      </c>
      <c r="C8" s="81"/>
      <c r="D8" s="81"/>
      <c r="E8" s="9">
        <v>5</v>
      </c>
      <c r="F8" s="28">
        <v>4.25</v>
      </c>
      <c r="G8" s="29">
        <f>IFERROR(F8/E8,"")</f>
        <v>0.85</v>
      </c>
      <c r="H8" s="26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53"/>
      <c r="J8" s="54"/>
    </row>
    <row r="9" spans="1:10" ht="30" customHeight="1" x14ac:dyDescent="0.3">
      <c r="A9" s="10"/>
      <c r="B9" s="82" t="s">
        <v>182</v>
      </c>
      <c r="C9" s="83"/>
      <c r="D9" s="83"/>
      <c r="E9" s="30"/>
      <c r="F9" s="31"/>
      <c r="G9" s="32"/>
      <c r="H9" s="33"/>
      <c r="I9" s="42"/>
      <c r="J9" s="43"/>
    </row>
    <row r="10" spans="1:10" ht="30" customHeight="1" x14ac:dyDescent="0.3">
      <c r="A10" s="10"/>
      <c r="B10" s="84" t="s">
        <v>183</v>
      </c>
      <c r="C10" s="85"/>
      <c r="D10" s="85"/>
      <c r="E10" s="34">
        <v>5</v>
      </c>
      <c r="F10" s="35">
        <v>4</v>
      </c>
      <c r="G10" s="36">
        <f t="shared" ref="G10:G73" si="0">IFERROR(F10/E10,"")</f>
        <v>0.8</v>
      </c>
      <c r="H10" s="37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4"/>
      <c r="J10" s="45"/>
    </row>
    <row r="11" spans="1:10" ht="30" customHeight="1" x14ac:dyDescent="0.3">
      <c r="A11" s="10"/>
      <c r="B11" s="84" t="s">
        <v>184</v>
      </c>
      <c r="C11" s="85"/>
      <c r="D11" s="85"/>
      <c r="E11" s="34">
        <v>5</v>
      </c>
      <c r="F11" s="35">
        <v>4.25</v>
      </c>
      <c r="G11" s="36">
        <f t="shared" si="0"/>
        <v>0.85</v>
      </c>
      <c r="H11" s="37" t="str">
        <f t="shared" si="1"/>
        <v>جيد جداً</v>
      </c>
      <c r="I11" s="44"/>
      <c r="J11" s="45"/>
    </row>
    <row r="12" spans="1:10" ht="30" customHeight="1" x14ac:dyDescent="0.3">
      <c r="A12" s="10"/>
      <c r="B12" s="84" t="s">
        <v>185</v>
      </c>
      <c r="C12" s="85"/>
      <c r="D12" s="85"/>
      <c r="E12" s="34">
        <v>0</v>
      </c>
      <c r="F12" s="35" t="s">
        <v>17</v>
      </c>
      <c r="G12" s="36" t="str">
        <f t="shared" si="0"/>
        <v/>
      </c>
      <c r="H12" s="37" t="str">
        <f t="shared" si="1"/>
        <v>تم الإلغاء</v>
      </c>
      <c r="I12" s="44"/>
      <c r="J12" s="45"/>
    </row>
    <row r="13" spans="1:10" ht="30" customHeight="1" x14ac:dyDescent="0.3">
      <c r="A13" s="10"/>
      <c r="B13" s="84" t="s">
        <v>186</v>
      </c>
      <c r="C13" s="85"/>
      <c r="D13" s="85"/>
      <c r="E13" s="34">
        <v>5</v>
      </c>
      <c r="F13" s="35">
        <v>3.5</v>
      </c>
      <c r="G13" s="36">
        <f t="shared" si="0"/>
        <v>0.7</v>
      </c>
      <c r="H13" s="37" t="str">
        <f t="shared" si="1"/>
        <v>جيد</v>
      </c>
      <c r="I13" s="44"/>
      <c r="J13" s="45"/>
    </row>
    <row r="14" spans="1:10" ht="30" customHeight="1" x14ac:dyDescent="0.3">
      <c r="A14" s="10"/>
      <c r="B14" s="84" t="s">
        <v>187</v>
      </c>
      <c r="C14" s="85"/>
      <c r="D14" s="85"/>
      <c r="E14" s="34">
        <v>0</v>
      </c>
      <c r="F14" s="35" t="s">
        <v>17</v>
      </c>
      <c r="G14" s="36" t="str">
        <f t="shared" si="0"/>
        <v/>
      </c>
      <c r="H14" s="37" t="str">
        <f t="shared" si="1"/>
        <v>تم الإلغاء</v>
      </c>
      <c r="I14" s="44"/>
      <c r="J14" s="45"/>
    </row>
    <row r="15" spans="1:10" ht="30" customHeight="1" x14ac:dyDescent="0.3">
      <c r="A15" s="10"/>
      <c r="B15" s="84" t="s">
        <v>188</v>
      </c>
      <c r="C15" s="85"/>
      <c r="D15" s="85"/>
      <c r="E15" s="34">
        <v>5</v>
      </c>
      <c r="F15" s="35">
        <v>3.5</v>
      </c>
      <c r="G15" s="36">
        <f t="shared" si="0"/>
        <v>0.7</v>
      </c>
      <c r="H15" s="37" t="str">
        <f t="shared" si="1"/>
        <v>جيد</v>
      </c>
      <c r="I15" s="44"/>
      <c r="J15" s="45"/>
    </row>
    <row r="16" spans="1:10" ht="55.5" customHeight="1" x14ac:dyDescent="0.3">
      <c r="A16" s="10"/>
      <c r="B16" s="84" t="s">
        <v>189</v>
      </c>
      <c r="C16" s="85"/>
      <c r="D16" s="85"/>
      <c r="E16" s="34">
        <v>5</v>
      </c>
      <c r="F16" s="35">
        <v>4</v>
      </c>
      <c r="G16" s="36">
        <f t="shared" si="0"/>
        <v>0.8</v>
      </c>
      <c r="H16" s="37" t="str">
        <f t="shared" si="1"/>
        <v>جيد جداً</v>
      </c>
      <c r="I16" s="44"/>
      <c r="J16" s="45"/>
    </row>
    <row r="17" spans="1:10" ht="30" customHeight="1" x14ac:dyDescent="0.3">
      <c r="A17" s="10"/>
      <c r="B17" s="84" t="s">
        <v>190</v>
      </c>
      <c r="C17" s="85"/>
      <c r="D17" s="85"/>
      <c r="E17" s="34">
        <v>5</v>
      </c>
      <c r="F17" s="35">
        <v>4</v>
      </c>
      <c r="G17" s="36">
        <f t="shared" si="0"/>
        <v>0.8</v>
      </c>
      <c r="H17" s="37" t="str">
        <f t="shared" si="1"/>
        <v>جيد جداً</v>
      </c>
      <c r="I17" s="44"/>
      <c r="J17" s="45"/>
    </row>
    <row r="18" spans="1:10" ht="30" customHeight="1" x14ac:dyDescent="0.3">
      <c r="A18" s="10"/>
      <c r="B18" s="84" t="s">
        <v>191</v>
      </c>
      <c r="C18" s="85"/>
      <c r="D18" s="85"/>
      <c r="E18" s="34">
        <v>5</v>
      </c>
      <c r="F18" s="35">
        <v>4</v>
      </c>
      <c r="G18" s="36">
        <f t="shared" si="0"/>
        <v>0.8</v>
      </c>
      <c r="H18" s="37" t="str">
        <f t="shared" si="1"/>
        <v>جيد جداً</v>
      </c>
      <c r="I18" s="44"/>
      <c r="J18" s="45"/>
    </row>
    <row r="19" spans="1:10" ht="30" customHeight="1" x14ac:dyDescent="0.3">
      <c r="A19" s="10"/>
      <c r="B19" s="84" t="s">
        <v>192</v>
      </c>
      <c r="C19" s="85"/>
      <c r="D19" s="85"/>
      <c r="E19" s="34">
        <v>5</v>
      </c>
      <c r="F19" s="35">
        <v>4</v>
      </c>
      <c r="G19" s="36">
        <f t="shared" si="0"/>
        <v>0.8</v>
      </c>
      <c r="H19" s="37" t="str">
        <f t="shared" si="1"/>
        <v>جيد جداً</v>
      </c>
      <c r="I19" s="44"/>
      <c r="J19" s="45"/>
    </row>
    <row r="20" spans="1:10" ht="30" customHeight="1" x14ac:dyDescent="0.3">
      <c r="A20" s="10"/>
      <c r="B20" s="84" t="s">
        <v>193</v>
      </c>
      <c r="C20" s="85"/>
      <c r="D20" s="85"/>
      <c r="E20" s="34">
        <v>0</v>
      </c>
      <c r="F20" s="35" t="s">
        <v>17</v>
      </c>
      <c r="G20" s="36" t="str">
        <f t="shared" si="0"/>
        <v/>
      </c>
      <c r="H20" s="37" t="str">
        <f t="shared" si="1"/>
        <v>تم الإلغاء</v>
      </c>
      <c r="I20" s="44"/>
      <c r="J20" s="45"/>
    </row>
    <row r="21" spans="1:10" ht="30" customHeight="1" thickBot="1" x14ac:dyDescent="0.35">
      <c r="A21" s="10"/>
      <c r="B21" s="86" t="s">
        <v>194</v>
      </c>
      <c r="C21" s="87"/>
      <c r="D21" s="87"/>
      <c r="E21" s="38">
        <v>0</v>
      </c>
      <c r="F21" s="39" t="s">
        <v>17</v>
      </c>
      <c r="G21" s="40" t="str">
        <f t="shared" si="0"/>
        <v/>
      </c>
      <c r="H21" s="41" t="str">
        <f t="shared" si="1"/>
        <v>تم الإلغاء</v>
      </c>
      <c r="I21" s="51"/>
      <c r="J21" s="52"/>
    </row>
    <row r="22" spans="1:10" ht="39.9" customHeight="1" x14ac:dyDescent="0.3">
      <c r="A22" s="10"/>
      <c r="B22" s="82" t="s">
        <v>195</v>
      </c>
      <c r="C22" s="83"/>
      <c r="D22" s="83"/>
      <c r="E22" s="30"/>
      <c r="F22" s="31"/>
      <c r="G22" s="32"/>
      <c r="H22" s="33"/>
      <c r="I22" s="42"/>
      <c r="J22" s="43"/>
    </row>
    <row r="23" spans="1:10" ht="30" customHeight="1" x14ac:dyDescent="0.3">
      <c r="A23" s="10"/>
      <c r="B23" s="84" t="s">
        <v>196</v>
      </c>
      <c r="C23" s="85"/>
      <c r="D23" s="85"/>
      <c r="E23" s="34">
        <v>5</v>
      </c>
      <c r="F23" s="35">
        <v>3.5</v>
      </c>
      <c r="G23" s="36">
        <f t="shared" si="0"/>
        <v>0.7</v>
      </c>
      <c r="H23" s="37" t="str">
        <f t="shared" si="1"/>
        <v>جيد</v>
      </c>
      <c r="I23" s="44"/>
      <c r="J23" s="45"/>
    </row>
    <row r="24" spans="1:10" ht="30" customHeight="1" x14ac:dyDescent="0.3">
      <c r="A24" s="10"/>
      <c r="B24" s="84" t="s">
        <v>197</v>
      </c>
      <c r="C24" s="85"/>
      <c r="D24" s="85"/>
      <c r="E24" s="34">
        <v>5</v>
      </c>
      <c r="F24" s="35">
        <v>3.75</v>
      </c>
      <c r="G24" s="36">
        <f t="shared" si="0"/>
        <v>0.75</v>
      </c>
      <c r="H24" s="37" t="str">
        <f t="shared" si="1"/>
        <v>جيد</v>
      </c>
      <c r="I24" s="44"/>
      <c r="J24" s="45"/>
    </row>
    <row r="25" spans="1:10" ht="30" customHeight="1" x14ac:dyDescent="0.3">
      <c r="A25" s="10"/>
      <c r="B25" s="84" t="s">
        <v>198</v>
      </c>
      <c r="C25" s="85"/>
      <c r="D25" s="85"/>
      <c r="E25" s="34">
        <v>5</v>
      </c>
      <c r="F25" s="35">
        <v>3.75</v>
      </c>
      <c r="G25" s="36">
        <f t="shared" si="0"/>
        <v>0.75</v>
      </c>
      <c r="H25" s="37" t="str">
        <f t="shared" si="1"/>
        <v>جيد</v>
      </c>
      <c r="I25" s="44"/>
      <c r="J25" s="45"/>
    </row>
    <row r="26" spans="1:10" ht="30" customHeight="1" x14ac:dyDescent="0.3">
      <c r="A26" s="10"/>
      <c r="B26" s="84" t="s">
        <v>199</v>
      </c>
      <c r="C26" s="85"/>
      <c r="D26" s="85"/>
      <c r="E26" s="34">
        <v>5</v>
      </c>
      <c r="F26" s="35">
        <v>3.75</v>
      </c>
      <c r="G26" s="36">
        <f t="shared" si="0"/>
        <v>0.75</v>
      </c>
      <c r="H26" s="37" t="str">
        <f t="shared" si="1"/>
        <v>جيد</v>
      </c>
      <c r="I26" s="44"/>
      <c r="J26" s="45"/>
    </row>
    <row r="27" spans="1:10" ht="30" customHeight="1" x14ac:dyDescent="0.3">
      <c r="A27" s="10"/>
      <c r="B27" s="84" t="s">
        <v>200</v>
      </c>
      <c r="C27" s="85"/>
      <c r="D27" s="85"/>
      <c r="E27" s="34">
        <v>5</v>
      </c>
      <c r="F27" s="35">
        <v>3.75</v>
      </c>
      <c r="G27" s="36">
        <f t="shared" si="0"/>
        <v>0.75</v>
      </c>
      <c r="H27" s="37" t="str">
        <f t="shared" si="1"/>
        <v>جيد</v>
      </c>
      <c r="I27" s="44"/>
      <c r="J27" s="45"/>
    </row>
    <row r="28" spans="1:10" ht="30" customHeight="1" x14ac:dyDescent="0.3">
      <c r="A28" s="10"/>
      <c r="B28" s="84" t="s">
        <v>201</v>
      </c>
      <c r="C28" s="85"/>
      <c r="D28" s="85"/>
      <c r="E28" s="34">
        <v>5</v>
      </c>
      <c r="F28" s="35">
        <v>3.75</v>
      </c>
      <c r="G28" s="36">
        <f t="shared" si="0"/>
        <v>0.75</v>
      </c>
      <c r="H28" s="37" t="str">
        <f t="shared" si="1"/>
        <v>جيد</v>
      </c>
      <c r="I28" s="44"/>
      <c r="J28" s="45"/>
    </row>
    <row r="29" spans="1:10" ht="30" customHeight="1" thickBot="1" x14ac:dyDescent="0.35">
      <c r="A29" s="10"/>
      <c r="B29" s="86" t="s">
        <v>202</v>
      </c>
      <c r="C29" s="87"/>
      <c r="D29" s="87"/>
      <c r="E29" s="38">
        <v>5</v>
      </c>
      <c r="F29" s="39">
        <v>3.75</v>
      </c>
      <c r="G29" s="40">
        <f t="shared" si="0"/>
        <v>0.75</v>
      </c>
      <c r="H29" s="41" t="str">
        <f t="shared" si="1"/>
        <v>جيد</v>
      </c>
      <c r="I29" s="51"/>
      <c r="J29" s="52"/>
    </row>
    <row r="30" spans="1:10" ht="30" customHeight="1" x14ac:dyDescent="0.3">
      <c r="A30" s="10"/>
      <c r="B30" s="82" t="s">
        <v>203</v>
      </c>
      <c r="C30" s="83"/>
      <c r="D30" s="83"/>
      <c r="E30" s="30"/>
      <c r="F30" s="31"/>
      <c r="G30" s="32"/>
      <c r="H30" s="33"/>
      <c r="I30" s="42"/>
      <c r="J30" s="43"/>
    </row>
    <row r="31" spans="1:10" ht="39.9" customHeight="1" x14ac:dyDescent="0.3">
      <c r="A31" s="10"/>
      <c r="B31" s="84" t="s">
        <v>204</v>
      </c>
      <c r="C31" s="85"/>
      <c r="D31" s="85"/>
      <c r="E31" s="34">
        <v>0</v>
      </c>
      <c r="F31" s="35" t="s">
        <v>17</v>
      </c>
      <c r="G31" s="36" t="str">
        <f t="shared" si="0"/>
        <v/>
      </c>
      <c r="H31" s="37" t="str">
        <f t="shared" si="1"/>
        <v>تم الإلغاء</v>
      </c>
      <c r="I31" s="44"/>
      <c r="J31" s="45"/>
    </row>
    <row r="32" spans="1:10" ht="39.9" customHeight="1" x14ac:dyDescent="0.3">
      <c r="A32" s="10"/>
      <c r="B32" s="84" t="s">
        <v>205</v>
      </c>
      <c r="C32" s="85"/>
      <c r="D32" s="85"/>
      <c r="E32" s="34">
        <v>5</v>
      </c>
      <c r="F32" s="35">
        <v>3.75</v>
      </c>
      <c r="G32" s="36">
        <f t="shared" si="0"/>
        <v>0.75</v>
      </c>
      <c r="H32" s="37" t="str">
        <f t="shared" si="1"/>
        <v>جيد</v>
      </c>
      <c r="I32" s="44"/>
      <c r="J32" s="45"/>
    </row>
    <row r="33" spans="1:10" ht="39.9" customHeight="1" thickBot="1" x14ac:dyDescent="0.35">
      <c r="A33" s="10"/>
      <c r="B33" s="86" t="s">
        <v>206</v>
      </c>
      <c r="C33" s="87"/>
      <c r="D33" s="87"/>
      <c r="E33" s="38">
        <v>5</v>
      </c>
      <c r="F33" s="39">
        <v>3.75</v>
      </c>
      <c r="G33" s="40">
        <f t="shared" si="0"/>
        <v>0.75</v>
      </c>
      <c r="H33" s="41" t="str">
        <f t="shared" si="1"/>
        <v>جيد</v>
      </c>
      <c r="I33" s="51"/>
      <c r="J33" s="52"/>
    </row>
    <row r="34" spans="1:10" ht="30" customHeight="1" x14ac:dyDescent="0.3">
      <c r="A34" s="10"/>
      <c r="B34" s="82" t="s">
        <v>207</v>
      </c>
      <c r="C34" s="83"/>
      <c r="D34" s="83"/>
      <c r="E34" s="30"/>
      <c r="F34" s="31"/>
      <c r="G34" s="32"/>
      <c r="H34" s="33"/>
      <c r="I34" s="42"/>
      <c r="J34" s="43"/>
    </row>
    <row r="35" spans="1:10" ht="39.9" customHeight="1" x14ac:dyDescent="0.3">
      <c r="A35" s="10"/>
      <c r="B35" s="84" t="s">
        <v>208</v>
      </c>
      <c r="C35" s="85"/>
      <c r="D35" s="85"/>
      <c r="E35" s="34">
        <v>5</v>
      </c>
      <c r="F35" s="35">
        <v>3.75</v>
      </c>
      <c r="G35" s="36">
        <f t="shared" si="0"/>
        <v>0.75</v>
      </c>
      <c r="H35" s="37" t="str">
        <f t="shared" si="1"/>
        <v>جيد</v>
      </c>
      <c r="I35" s="44"/>
      <c r="J35" s="45"/>
    </row>
    <row r="36" spans="1:10" ht="30" customHeight="1" x14ac:dyDescent="0.3">
      <c r="A36" s="10"/>
      <c r="B36" s="84" t="s">
        <v>209</v>
      </c>
      <c r="C36" s="85"/>
      <c r="D36" s="85"/>
      <c r="E36" s="34">
        <v>5</v>
      </c>
      <c r="F36" s="35">
        <v>3.75</v>
      </c>
      <c r="G36" s="36">
        <f t="shared" si="0"/>
        <v>0.75</v>
      </c>
      <c r="H36" s="37" t="str">
        <f t="shared" si="1"/>
        <v>جيد</v>
      </c>
      <c r="I36" s="44"/>
      <c r="J36" s="45"/>
    </row>
    <row r="37" spans="1:10" ht="39.9" customHeight="1" x14ac:dyDescent="0.3">
      <c r="A37" s="10"/>
      <c r="B37" s="84" t="s">
        <v>210</v>
      </c>
      <c r="C37" s="85"/>
      <c r="D37" s="85"/>
      <c r="E37" s="34">
        <v>5</v>
      </c>
      <c r="F37" s="35">
        <v>3.75</v>
      </c>
      <c r="G37" s="36">
        <f t="shared" si="0"/>
        <v>0.75</v>
      </c>
      <c r="H37" s="37" t="str">
        <f t="shared" si="1"/>
        <v>جيد</v>
      </c>
      <c r="I37" s="44"/>
      <c r="J37" s="45"/>
    </row>
    <row r="38" spans="1:10" ht="39.9" customHeight="1" x14ac:dyDescent="0.3">
      <c r="A38" s="10"/>
      <c r="B38" s="84" t="s">
        <v>211</v>
      </c>
      <c r="C38" s="85"/>
      <c r="D38" s="85"/>
      <c r="E38" s="34">
        <v>5</v>
      </c>
      <c r="F38" s="35">
        <v>3.75</v>
      </c>
      <c r="G38" s="36">
        <f t="shared" si="0"/>
        <v>0.75</v>
      </c>
      <c r="H38" s="37" t="str">
        <f t="shared" si="1"/>
        <v>جيد</v>
      </c>
      <c r="I38" s="44"/>
      <c r="J38" s="45"/>
    </row>
    <row r="39" spans="1:10" ht="30" customHeight="1" x14ac:dyDescent="0.3">
      <c r="A39" s="10"/>
      <c r="B39" s="84" t="s">
        <v>212</v>
      </c>
      <c r="C39" s="85"/>
      <c r="D39" s="85"/>
      <c r="E39" s="34">
        <v>5</v>
      </c>
      <c r="F39" s="35">
        <v>3.75</v>
      </c>
      <c r="G39" s="36">
        <f t="shared" si="0"/>
        <v>0.75</v>
      </c>
      <c r="H39" s="37" t="str">
        <f t="shared" si="1"/>
        <v>جيد</v>
      </c>
      <c r="I39" s="44"/>
      <c r="J39" s="45"/>
    </row>
    <row r="40" spans="1:10" ht="30" customHeight="1" x14ac:dyDescent="0.3">
      <c r="A40" s="10"/>
      <c r="B40" s="84" t="s">
        <v>213</v>
      </c>
      <c r="C40" s="85"/>
      <c r="D40" s="85"/>
      <c r="E40" s="34">
        <v>5</v>
      </c>
      <c r="F40" s="35">
        <v>3.75</v>
      </c>
      <c r="G40" s="36">
        <f t="shared" si="0"/>
        <v>0.75</v>
      </c>
      <c r="H40" s="37" t="str">
        <f t="shared" si="1"/>
        <v>جيد</v>
      </c>
      <c r="I40" s="44"/>
      <c r="J40" s="45"/>
    </row>
    <row r="41" spans="1:10" ht="39.9" customHeight="1" x14ac:dyDescent="0.3">
      <c r="A41" s="10"/>
      <c r="B41" s="84" t="s">
        <v>214</v>
      </c>
      <c r="C41" s="85"/>
      <c r="D41" s="85"/>
      <c r="E41" s="34">
        <v>5</v>
      </c>
      <c r="F41" s="35">
        <v>3.75</v>
      </c>
      <c r="G41" s="36">
        <f t="shared" si="0"/>
        <v>0.75</v>
      </c>
      <c r="H41" s="37" t="str">
        <f t="shared" si="1"/>
        <v>جيد</v>
      </c>
      <c r="I41" s="44"/>
      <c r="J41" s="45"/>
    </row>
    <row r="42" spans="1:10" ht="39.9" customHeight="1" x14ac:dyDescent="0.3">
      <c r="A42" s="10"/>
      <c r="B42" s="84" t="s">
        <v>215</v>
      </c>
      <c r="C42" s="85"/>
      <c r="D42" s="85"/>
      <c r="E42" s="34">
        <v>5</v>
      </c>
      <c r="F42" s="35">
        <v>3.75</v>
      </c>
      <c r="G42" s="36">
        <f t="shared" si="0"/>
        <v>0.75</v>
      </c>
      <c r="H42" s="37" t="str">
        <f t="shared" si="1"/>
        <v>جيد</v>
      </c>
      <c r="I42" s="44"/>
      <c r="J42" s="45"/>
    </row>
    <row r="43" spans="1:10" ht="30" customHeight="1" x14ac:dyDescent="0.3">
      <c r="A43" s="10"/>
      <c r="B43" s="84" t="s">
        <v>216</v>
      </c>
      <c r="C43" s="85"/>
      <c r="D43" s="85"/>
      <c r="E43" s="34">
        <v>5</v>
      </c>
      <c r="F43" s="35">
        <v>3.75</v>
      </c>
      <c r="G43" s="36">
        <f t="shared" si="0"/>
        <v>0.75</v>
      </c>
      <c r="H43" s="37" t="str">
        <f t="shared" si="1"/>
        <v>جيد</v>
      </c>
      <c r="I43" s="44"/>
      <c r="J43" s="45"/>
    </row>
    <row r="44" spans="1:10" ht="30" customHeight="1" x14ac:dyDescent="0.3">
      <c r="A44" s="10"/>
      <c r="B44" s="84" t="s">
        <v>217</v>
      </c>
      <c r="C44" s="85"/>
      <c r="D44" s="85"/>
      <c r="E44" s="34">
        <v>5</v>
      </c>
      <c r="F44" s="35">
        <v>3.5</v>
      </c>
      <c r="G44" s="36">
        <f t="shared" si="0"/>
        <v>0.7</v>
      </c>
      <c r="H44" s="37" t="str">
        <f t="shared" si="1"/>
        <v>جيد</v>
      </c>
      <c r="I44" s="44"/>
      <c r="J44" s="45"/>
    </row>
    <row r="45" spans="1:10" ht="30" customHeight="1" x14ac:dyDescent="0.3">
      <c r="A45" s="10"/>
      <c r="B45" s="84" t="s">
        <v>218</v>
      </c>
      <c r="C45" s="85"/>
      <c r="D45" s="85"/>
      <c r="E45" s="34">
        <v>5</v>
      </c>
      <c r="F45" s="35">
        <v>3.5</v>
      </c>
      <c r="G45" s="36">
        <f t="shared" si="0"/>
        <v>0.7</v>
      </c>
      <c r="H45" s="37" t="str">
        <f t="shared" si="1"/>
        <v>جيد</v>
      </c>
      <c r="I45" s="44"/>
      <c r="J45" s="45"/>
    </row>
    <row r="46" spans="1:10" ht="30" customHeight="1" x14ac:dyDescent="0.3">
      <c r="A46" s="10"/>
      <c r="B46" s="84" t="s">
        <v>219</v>
      </c>
      <c r="C46" s="85"/>
      <c r="D46" s="85"/>
      <c r="E46" s="34">
        <v>5</v>
      </c>
      <c r="F46" s="35">
        <v>3.5</v>
      </c>
      <c r="G46" s="36">
        <f t="shared" si="0"/>
        <v>0.7</v>
      </c>
      <c r="H46" s="37" t="str">
        <f t="shared" si="1"/>
        <v>جيد</v>
      </c>
      <c r="I46" s="44"/>
      <c r="J46" s="45"/>
    </row>
    <row r="47" spans="1:10" ht="30" customHeight="1" x14ac:dyDescent="0.3">
      <c r="A47" s="10"/>
      <c r="B47" s="84" t="s">
        <v>220</v>
      </c>
      <c r="C47" s="85"/>
      <c r="D47" s="85"/>
      <c r="E47" s="34">
        <v>5</v>
      </c>
      <c r="F47" s="35">
        <v>3.5</v>
      </c>
      <c r="G47" s="36">
        <f t="shared" si="0"/>
        <v>0.7</v>
      </c>
      <c r="H47" s="37" t="str">
        <f t="shared" si="1"/>
        <v>جيد</v>
      </c>
      <c r="I47" s="44"/>
      <c r="J47" s="45"/>
    </row>
    <row r="48" spans="1:10" ht="39.9" customHeight="1" thickBot="1" x14ac:dyDescent="0.35">
      <c r="A48" s="10"/>
      <c r="B48" s="86" t="s">
        <v>221</v>
      </c>
      <c r="C48" s="87"/>
      <c r="D48" s="87"/>
      <c r="E48" s="38">
        <v>5</v>
      </c>
      <c r="F48" s="39">
        <v>3.5</v>
      </c>
      <c r="G48" s="40">
        <f t="shared" si="0"/>
        <v>0.7</v>
      </c>
      <c r="H48" s="41" t="str">
        <f t="shared" si="1"/>
        <v>جيد</v>
      </c>
      <c r="I48" s="51"/>
      <c r="J48" s="52"/>
    </row>
    <row r="49" spans="1:10" ht="30" customHeight="1" x14ac:dyDescent="0.3">
      <c r="A49" s="10"/>
      <c r="B49" s="82" t="s">
        <v>222</v>
      </c>
      <c r="C49" s="83"/>
      <c r="D49" s="83"/>
      <c r="E49" s="30"/>
      <c r="F49" s="31"/>
      <c r="G49" s="32"/>
      <c r="H49" s="33"/>
      <c r="I49" s="42"/>
      <c r="J49" s="43"/>
    </row>
    <row r="50" spans="1:10" ht="39.9" customHeight="1" x14ac:dyDescent="0.3">
      <c r="A50" s="10"/>
      <c r="B50" s="84" t="s">
        <v>223</v>
      </c>
      <c r="C50" s="85"/>
      <c r="D50" s="85"/>
      <c r="E50" s="34">
        <v>5</v>
      </c>
      <c r="F50" s="35">
        <v>4</v>
      </c>
      <c r="G50" s="36">
        <f t="shared" si="0"/>
        <v>0.8</v>
      </c>
      <c r="H50" s="37" t="str">
        <f t="shared" si="1"/>
        <v>جيد جداً</v>
      </c>
      <c r="I50" s="44"/>
      <c r="J50" s="45"/>
    </row>
    <row r="51" spans="1:10" ht="61.5" customHeight="1" x14ac:dyDescent="0.3">
      <c r="A51" s="10"/>
      <c r="B51" s="84" t="s">
        <v>224</v>
      </c>
      <c r="C51" s="85"/>
      <c r="D51" s="85"/>
      <c r="E51" s="34">
        <v>5</v>
      </c>
      <c r="F51" s="35">
        <v>4</v>
      </c>
      <c r="G51" s="36">
        <f t="shared" si="0"/>
        <v>0.8</v>
      </c>
      <c r="H51" s="37" t="str">
        <f t="shared" si="1"/>
        <v>جيد جداً</v>
      </c>
      <c r="I51" s="44"/>
      <c r="J51" s="45"/>
    </row>
    <row r="52" spans="1:10" ht="39.9" customHeight="1" x14ac:dyDescent="0.3">
      <c r="A52" s="10"/>
      <c r="B52" s="84" t="s">
        <v>225</v>
      </c>
      <c r="C52" s="85"/>
      <c r="D52" s="85"/>
      <c r="E52" s="34">
        <v>5</v>
      </c>
      <c r="F52" s="35">
        <v>3.5</v>
      </c>
      <c r="G52" s="36">
        <f t="shared" si="0"/>
        <v>0.7</v>
      </c>
      <c r="H52" s="37" t="str">
        <f t="shared" si="1"/>
        <v>جيد</v>
      </c>
      <c r="I52" s="44"/>
      <c r="J52" s="45"/>
    </row>
    <row r="53" spans="1:10" ht="39.9" customHeight="1" x14ac:dyDescent="0.3">
      <c r="A53" s="10"/>
      <c r="B53" s="84" t="s">
        <v>226</v>
      </c>
      <c r="C53" s="85"/>
      <c r="D53" s="85"/>
      <c r="E53" s="34">
        <v>5</v>
      </c>
      <c r="F53" s="35">
        <v>3.5</v>
      </c>
      <c r="G53" s="36">
        <f t="shared" si="0"/>
        <v>0.7</v>
      </c>
      <c r="H53" s="37" t="str">
        <f t="shared" si="1"/>
        <v>جيد</v>
      </c>
      <c r="I53" s="44"/>
      <c r="J53" s="45"/>
    </row>
    <row r="54" spans="1:10" ht="30" customHeight="1" x14ac:dyDescent="0.3">
      <c r="A54" s="10"/>
      <c r="B54" s="84" t="s">
        <v>227</v>
      </c>
      <c r="C54" s="85"/>
      <c r="D54" s="85"/>
      <c r="E54" s="34">
        <v>5</v>
      </c>
      <c r="F54" s="35">
        <v>4</v>
      </c>
      <c r="G54" s="36">
        <f t="shared" si="0"/>
        <v>0.8</v>
      </c>
      <c r="H54" s="37" t="str">
        <f t="shared" si="1"/>
        <v>جيد جداً</v>
      </c>
      <c r="I54" s="44"/>
      <c r="J54" s="45"/>
    </row>
    <row r="55" spans="1:10" ht="30" customHeight="1" x14ac:dyDescent="0.3">
      <c r="A55" s="10"/>
      <c r="B55" s="84" t="s">
        <v>228</v>
      </c>
      <c r="C55" s="85"/>
      <c r="D55" s="85"/>
      <c r="E55" s="34">
        <v>5</v>
      </c>
      <c r="F55" s="35">
        <v>4</v>
      </c>
      <c r="G55" s="36">
        <f t="shared" si="0"/>
        <v>0.8</v>
      </c>
      <c r="H55" s="37" t="str">
        <f t="shared" si="1"/>
        <v>جيد جداً</v>
      </c>
      <c r="I55" s="44"/>
      <c r="J55" s="45"/>
    </row>
    <row r="56" spans="1:10" ht="40.5" customHeight="1" x14ac:dyDescent="0.3">
      <c r="A56" s="10"/>
      <c r="B56" s="84" t="s">
        <v>229</v>
      </c>
      <c r="C56" s="85"/>
      <c r="D56" s="85"/>
      <c r="E56" s="34">
        <v>5</v>
      </c>
      <c r="F56" s="35">
        <v>3.75</v>
      </c>
      <c r="G56" s="36">
        <f t="shared" si="0"/>
        <v>0.75</v>
      </c>
      <c r="H56" s="37" t="str">
        <f t="shared" si="1"/>
        <v>جيد</v>
      </c>
      <c r="I56" s="44"/>
      <c r="J56" s="45"/>
    </row>
    <row r="57" spans="1:10" ht="30" customHeight="1" x14ac:dyDescent="0.3">
      <c r="A57" s="10"/>
      <c r="B57" s="84" t="s">
        <v>230</v>
      </c>
      <c r="C57" s="85"/>
      <c r="D57" s="85"/>
      <c r="E57" s="34">
        <v>5</v>
      </c>
      <c r="F57" s="35">
        <v>4</v>
      </c>
      <c r="G57" s="36">
        <f t="shared" si="0"/>
        <v>0.8</v>
      </c>
      <c r="H57" s="37" t="str">
        <f t="shared" si="1"/>
        <v>جيد جداً</v>
      </c>
      <c r="I57" s="44"/>
      <c r="J57" s="45"/>
    </row>
    <row r="58" spans="1:10" ht="30" customHeight="1" x14ac:dyDescent="0.3">
      <c r="A58" s="10"/>
      <c r="B58" s="84" t="s">
        <v>231</v>
      </c>
      <c r="C58" s="85"/>
      <c r="D58" s="85"/>
      <c r="E58" s="34">
        <v>5</v>
      </c>
      <c r="F58" s="35">
        <v>4</v>
      </c>
      <c r="G58" s="36">
        <f t="shared" si="0"/>
        <v>0.8</v>
      </c>
      <c r="H58" s="37" t="str">
        <f t="shared" si="1"/>
        <v>جيد جداً</v>
      </c>
      <c r="I58" s="44"/>
      <c r="J58" s="45"/>
    </row>
    <row r="59" spans="1:10" ht="30" customHeight="1" x14ac:dyDescent="0.3">
      <c r="A59" s="10"/>
      <c r="B59" s="84" t="s">
        <v>232</v>
      </c>
      <c r="C59" s="85"/>
      <c r="D59" s="85"/>
      <c r="E59" s="34">
        <v>5</v>
      </c>
      <c r="F59" s="35">
        <v>4</v>
      </c>
      <c r="G59" s="36">
        <f t="shared" si="0"/>
        <v>0.8</v>
      </c>
      <c r="H59" s="37" t="str">
        <f t="shared" si="1"/>
        <v>جيد جداً</v>
      </c>
      <c r="I59" s="44"/>
      <c r="J59" s="45"/>
    </row>
    <row r="60" spans="1:10" ht="30" customHeight="1" x14ac:dyDescent="0.3">
      <c r="A60" s="10"/>
      <c r="B60" s="84" t="s">
        <v>233</v>
      </c>
      <c r="C60" s="85"/>
      <c r="D60" s="85"/>
      <c r="E60" s="34">
        <v>5</v>
      </c>
      <c r="F60" s="35">
        <v>4</v>
      </c>
      <c r="G60" s="36">
        <f t="shared" si="0"/>
        <v>0.8</v>
      </c>
      <c r="H60" s="37" t="str">
        <f t="shared" si="1"/>
        <v>جيد جداً</v>
      </c>
      <c r="I60" s="44"/>
      <c r="J60" s="45"/>
    </row>
    <row r="61" spans="1:10" ht="30" customHeight="1" thickBot="1" x14ac:dyDescent="0.35">
      <c r="A61" s="10"/>
      <c r="B61" s="86" t="s">
        <v>234</v>
      </c>
      <c r="C61" s="87"/>
      <c r="D61" s="87"/>
      <c r="E61" s="38">
        <v>5</v>
      </c>
      <c r="F61" s="39">
        <v>3.5</v>
      </c>
      <c r="G61" s="40">
        <f t="shared" si="0"/>
        <v>0.7</v>
      </c>
      <c r="H61" s="41" t="str">
        <f t="shared" si="1"/>
        <v>جيد</v>
      </c>
      <c r="I61" s="51"/>
      <c r="J61" s="52"/>
    </row>
    <row r="62" spans="1:10" ht="30" customHeight="1" x14ac:dyDescent="0.3">
      <c r="A62" s="10"/>
      <c r="B62" s="88" t="s">
        <v>235</v>
      </c>
      <c r="C62" s="89"/>
      <c r="D62" s="89"/>
      <c r="E62" s="30"/>
      <c r="F62" s="31"/>
      <c r="G62" s="32"/>
      <c r="H62" s="33"/>
      <c r="I62" s="42"/>
      <c r="J62" s="43"/>
    </row>
    <row r="63" spans="1:10" ht="30" customHeight="1" x14ac:dyDescent="0.3">
      <c r="A63" s="10"/>
      <c r="B63" s="84" t="s">
        <v>236</v>
      </c>
      <c r="C63" s="85"/>
      <c r="D63" s="85"/>
      <c r="E63" s="34">
        <v>5</v>
      </c>
      <c r="F63" s="35">
        <v>3.75</v>
      </c>
      <c r="G63" s="36">
        <f t="shared" si="0"/>
        <v>0.75</v>
      </c>
      <c r="H63" s="37" t="str">
        <f t="shared" si="1"/>
        <v>جيد</v>
      </c>
      <c r="I63" s="44"/>
      <c r="J63" s="45"/>
    </row>
    <row r="64" spans="1:10" ht="30" customHeight="1" x14ac:dyDescent="0.3">
      <c r="A64" s="10"/>
      <c r="B64" s="84" t="s">
        <v>237</v>
      </c>
      <c r="C64" s="85"/>
      <c r="D64" s="85"/>
      <c r="E64" s="34">
        <v>5</v>
      </c>
      <c r="F64" s="35">
        <v>4.25</v>
      </c>
      <c r="G64" s="36">
        <f t="shared" si="0"/>
        <v>0.85</v>
      </c>
      <c r="H64" s="37" t="str">
        <f t="shared" si="1"/>
        <v>جيد جداً</v>
      </c>
      <c r="I64" s="44"/>
      <c r="J64" s="45"/>
    </row>
    <row r="65" spans="1:10" ht="30" customHeight="1" x14ac:dyDescent="0.3">
      <c r="A65" s="10"/>
      <c r="B65" s="84" t="s">
        <v>238</v>
      </c>
      <c r="C65" s="85"/>
      <c r="D65" s="85"/>
      <c r="E65" s="34">
        <v>5</v>
      </c>
      <c r="F65" s="35">
        <v>3.75</v>
      </c>
      <c r="G65" s="36">
        <f t="shared" si="0"/>
        <v>0.75</v>
      </c>
      <c r="H65" s="37" t="str">
        <f t="shared" si="1"/>
        <v>جيد</v>
      </c>
      <c r="I65" s="44"/>
      <c r="J65" s="45"/>
    </row>
    <row r="66" spans="1:10" ht="30" customHeight="1" x14ac:dyDescent="0.3">
      <c r="A66" s="10"/>
      <c r="B66" s="84" t="s">
        <v>239</v>
      </c>
      <c r="C66" s="85"/>
      <c r="D66" s="85"/>
      <c r="E66" s="34">
        <v>5</v>
      </c>
      <c r="F66" s="35">
        <v>3.75</v>
      </c>
      <c r="G66" s="36">
        <f t="shared" si="0"/>
        <v>0.75</v>
      </c>
      <c r="H66" s="37" t="str">
        <f t="shared" si="1"/>
        <v>جيد</v>
      </c>
      <c r="I66" s="44"/>
      <c r="J66" s="45"/>
    </row>
    <row r="67" spans="1:10" ht="30" customHeight="1" x14ac:dyDescent="0.3">
      <c r="A67" s="10"/>
      <c r="B67" s="84" t="s">
        <v>240</v>
      </c>
      <c r="C67" s="85"/>
      <c r="D67" s="85"/>
      <c r="E67" s="34">
        <v>5</v>
      </c>
      <c r="F67" s="35">
        <v>3.75</v>
      </c>
      <c r="G67" s="36">
        <f t="shared" si="0"/>
        <v>0.75</v>
      </c>
      <c r="H67" s="37" t="str">
        <f t="shared" si="1"/>
        <v>جيد</v>
      </c>
      <c r="I67" s="44"/>
      <c r="J67" s="45"/>
    </row>
    <row r="68" spans="1:10" ht="30" customHeight="1" x14ac:dyDescent="0.3">
      <c r="A68" s="10"/>
      <c r="B68" s="84" t="s">
        <v>241</v>
      </c>
      <c r="C68" s="85"/>
      <c r="D68" s="85"/>
      <c r="E68" s="34">
        <v>5</v>
      </c>
      <c r="F68" s="35">
        <v>3.75</v>
      </c>
      <c r="G68" s="36">
        <f t="shared" si="0"/>
        <v>0.75</v>
      </c>
      <c r="H68" s="37" t="str">
        <f t="shared" si="1"/>
        <v>جيد</v>
      </c>
      <c r="I68" s="44"/>
      <c r="J68" s="45"/>
    </row>
    <row r="69" spans="1:10" ht="30" customHeight="1" x14ac:dyDescent="0.3">
      <c r="A69" s="10"/>
      <c r="B69" s="84" t="s">
        <v>242</v>
      </c>
      <c r="C69" s="85"/>
      <c r="D69" s="85"/>
      <c r="E69" s="34">
        <v>5</v>
      </c>
      <c r="F69" s="35">
        <v>3.75</v>
      </c>
      <c r="G69" s="36">
        <f t="shared" si="0"/>
        <v>0.75</v>
      </c>
      <c r="H69" s="37" t="str">
        <f t="shared" si="1"/>
        <v>جيد</v>
      </c>
      <c r="I69" s="44"/>
      <c r="J69" s="45"/>
    </row>
    <row r="70" spans="1:10" ht="30" customHeight="1" x14ac:dyDescent="0.3">
      <c r="A70" s="10"/>
      <c r="B70" s="84" t="s">
        <v>243</v>
      </c>
      <c r="C70" s="85"/>
      <c r="D70" s="85"/>
      <c r="E70" s="34">
        <v>5</v>
      </c>
      <c r="F70" s="35">
        <v>3.75</v>
      </c>
      <c r="G70" s="36">
        <f t="shared" si="0"/>
        <v>0.75</v>
      </c>
      <c r="H70" s="37" t="str">
        <f t="shared" si="1"/>
        <v>جيد</v>
      </c>
      <c r="I70" s="44"/>
      <c r="J70" s="45"/>
    </row>
    <row r="71" spans="1:10" ht="30" customHeight="1" x14ac:dyDescent="0.3">
      <c r="A71" s="10"/>
      <c r="B71" s="84" t="s">
        <v>244</v>
      </c>
      <c r="C71" s="85"/>
      <c r="D71" s="85"/>
      <c r="E71" s="34">
        <v>5</v>
      </c>
      <c r="F71" s="35">
        <v>3.75</v>
      </c>
      <c r="G71" s="36">
        <f t="shared" si="0"/>
        <v>0.75</v>
      </c>
      <c r="H71" s="37" t="str">
        <f t="shared" si="1"/>
        <v>جيد</v>
      </c>
      <c r="I71" s="44"/>
      <c r="J71" s="45"/>
    </row>
    <row r="72" spans="1:10" ht="30" customHeight="1" x14ac:dyDescent="0.3">
      <c r="A72" s="10"/>
      <c r="B72" s="84" t="s">
        <v>245</v>
      </c>
      <c r="C72" s="85"/>
      <c r="D72" s="85"/>
      <c r="E72" s="34">
        <v>5</v>
      </c>
      <c r="F72" s="35">
        <v>3.75</v>
      </c>
      <c r="G72" s="36">
        <f t="shared" si="0"/>
        <v>0.75</v>
      </c>
      <c r="H72" s="37" t="str">
        <f t="shared" si="1"/>
        <v>جيد</v>
      </c>
      <c r="I72" s="44"/>
      <c r="J72" s="45"/>
    </row>
    <row r="73" spans="1:10" ht="30" customHeight="1" x14ac:dyDescent="0.3">
      <c r="A73" s="10"/>
      <c r="B73" s="84" t="s">
        <v>246</v>
      </c>
      <c r="C73" s="85"/>
      <c r="D73" s="85"/>
      <c r="E73" s="34">
        <v>5</v>
      </c>
      <c r="F73" s="35">
        <v>3.75</v>
      </c>
      <c r="G73" s="36">
        <f t="shared" si="0"/>
        <v>0.75</v>
      </c>
      <c r="H73" s="37" t="str">
        <f t="shared" si="1"/>
        <v>جيد</v>
      </c>
      <c r="I73" s="44"/>
      <c r="J73" s="45"/>
    </row>
    <row r="74" spans="1:10" ht="30" customHeight="1" x14ac:dyDescent="0.3">
      <c r="A74" s="10"/>
      <c r="B74" s="84" t="s">
        <v>247</v>
      </c>
      <c r="C74" s="85"/>
      <c r="D74" s="85"/>
      <c r="E74" s="34">
        <v>5</v>
      </c>
      <c r="F74" s="35">
        <v>3.75</v>
      </c>
      <c r="G74" s="36">
        <f t="shared" ref="G74:G96" si="2">IFERROR(F74/E74,"")</f>
        <v>0.75</v>
      </c>
      <c r="H74" s="37" t="str">
        <f t="shared" ref="H74:H96" si="3">_xlfn.IFS(F74="أدخل العلامة","",F74="لا ينطبق","تم الإلغاء",G74&gt;=90%,"ممتاز",G74&gt;=80%,"جيد جداً",G74&gt;=70%,"جيد",G74&gt;=60%,"مقبول",G74&lt;60%,"راسب")</f>
        <v>جيد</v>
      </c>
      <c r="I74" s="44"/>
      <c r="J74" s="45"/>
    </row>
    <row r="75" spans="1:10" ht="30" customHeight="1" x14ac:dyDescent="0.3">
      <c r="A75" s="10"/>
      <c r="B75" s="84" t="s">
        <v>248</v>
      </c>
      <c r="C75" s="85"/>
      <c r="D75" s="85"/>
      <c r="E75" s="34">
        <v>5</v>
      </c>
      <c r="F75" s="35">
        <v>3.75</v>
      </c>
      <c r="G75" s="36">
        <f t="shared" si="2"/>
        <v>0.75</v>
      </c>
      <c r="H75" s="37" t="str">
        <f t="shared" si="3"/>
        <v>جيد</v>
      </c>
      <c r="I75" s="44"/>
      <c r="J75" s="45"/>
    </row>
    <row r="76" spans="1:10" ht="30" customHeight="1" thickBot="1" x14ac:dyDescent="0.35">
      <c r="A76" s="10"/>
      <c r="B76" s="86" t="s">
        <v>249</v>
      </c>
      <c r="C76" s="87"/>
      <c r="D76" s="87"/>
      <c r="E76" s="38">
        <v>5</v>
      </c>
      <c r="F76" s="39">
        <v>3.75</v>
      </c>
      <c r="G76" s="40">
        <f t="shared" si="2"/>
        <v>0.75</v>
      </c>
      <c r="H76" s="41" t="str">
        <f t="shared" si="3"/>
        <v>جيد</v>
      </c>
      <c r="I76" s="51"/>
      <c r="J76" s="52"/>
    </row>
    <row r="77" spans="1:10" ht="30" customHeight="1" x14ac:dyDescent="0.3">
      <c r="A77" s="10"/>
      <c r="B77" s="82" t="s">
        <v>250</v>
      </c>
      <c r="C77" s="83"/>
      <c r="D77" s="83"/>
      <c r="E77" s="30"/>
      <c r="F77" s="31"/>
      <c r="G77" s="32"/>
      <c r="H77" s="33"/>
      <c r="I77" s="42"/>
      <c r="J77" s="43"/>
    </row>
    <row r="78" spans="1:10" ht="30" customHeight="1" x14ac:dyDescent="0.3">
      <c r="A78" s="10"/>
      <c r="B78" s="84" t="s">
        <v>251</v>
      </c>
      <c r="C78" s="85"/>
      <c r="D78" s="85"/>
      <c r="E78" s="34">
        <v>5</v>
      </c>
      <c r="F78" s="35">
        <v>3.5</v>
      </c>
      <c r="G78" s="36">
        <f t="shared" si="2"/>
        <v>0.7</v>
      </c>
      <c r="H78" s="37" t="str">
        <f t="shared" si="3"/>
        <v>جيد</v>
      </c>
      <c r="I78" s="44"/>
      <c r="J78" s="45"/>
    </row>
    <row r="79" spans="1:10" ht="30" customHeight="1" x14ac:dyDescent="0.3">
      <c r="A79" s="10"/>
      <c r="B79" s="84" t="s">
        <v>252</v>
      </c>
      <c r="C79" s="85"/>
      <c r="D79" s="85"/>
      <c r="E79" s="34">
        <v>5</v>
      </c>
      <c r="F79" s="35">
        <v>3.5</v>
      </c>
      <c r="G79" s="36">
        <f t="shared" si="2"/>
        <v>0.7</v>
      </c>
      <c r="H79" s="37" t="str">
        <f t="shared" si="3"/>
        <v>جيد</v>
      </c>
      <c r="I79" s="44"/>
      <c r="J79" s="45"/>
    </row>
    <row r="80" spans="1:10" ht="30" customHeight="1" x14ac:dyDescent="0.3">
      <c r="A80" s="10"/>
      <c r="B80" s="84" t="s">
        <v>253</v>
      </c>
      <c r="C80" s="85"/>
      <c r="D80" s="85"/>
      <c r="E80" s="34">
        <v>5</v>
      </c>
      <c r="F80" s="35">
        <v>3.5</v>
      </c>
      <c r="G80" s="36">
        <f t="shared" si="2"/>
        <v>0.7</v>
      </c>
      <c r="H80" s="37" t="str">
        <f t="shared" si="3"/>
        <v>جيد</v>
      </c>
      <c r="I80" s="44"/>
      <c r="J80" s="45"/>
    </row>
    <row r="81" spans="1:10" ht="30" customHeight="1" x14ac:dyDescent="0.3">
      <c r="A81" s="10"/>
      <c r="B81" s="84" t="s">
        <v>254</v>
      </c>
      <c r="C81" s="85"/>
      <c r="D81" s="85"/>
      <c r="E81" s="34">
        <v>5</v>
      </c>
      <c r="F81" s="35">
        <v>3.5</v>
      </c>
      <c r="G81" s="36">
        <f t="shared" si="2"/>
        <v>0.7</v>
      </c>
      <c r="H81" s="37" t="str">
        <f t="shared" si="3"/>
        <v>جيد</v>
      </c>
      <c r="I81" s="44"/>
      <c r="J81" s="45"/>
    </row>
    <row r="82" spans="1:10" ht="30" customHeight="1" x14ac:dyDescent="0.3">
      <c r="A82" s="10"/>
      <c r="B82" s="84" t="s">
        <v>255</v>
      </c>
      <c r="C82" s="85"/>
      <c r="D82" s="85"/>
      <c r="E82" s="34">
        <v>5</v>
      </c>
      <c r="F82" s="35">
        <v>4</v>
      </c>
      <c r="G82" s="36">
        <f t="shared" si="2"/>
        <v>0.8</v>
      </c>
      <c r="H82" s="37" t="str">
        <f t="shared" si="3"/>
        <v>جيد جداً</v>
      </c>
      <c r="I82" s="44"/>
      <c r="J82" s="45"/>
    </row>
    <row r="83" spans="1:10" ht="30" customHeight="1" thickBot="1" x14ac:dyDescent="0.35">
      <c r="A83" s="10"/>
      <c r="B83" s="86" t="s">
        <v>256</v>
      </c>
      <c r="C83" s="87"/>
      <c r="D83" s="87"/>
      <c r="E83" s="38">
        <v>5</v>
      </c>
      <c r="F83" s="39">
        <v>3.5</v>
      </c>
      <c r="G83" s="40">
        <f t="shared" si="2"/>
        <v>0.7</v>
      </c>
      <c r="H83" s="41" t="str">
        <f t="shared" si="3"/>
        <v>جيد</v>
      </c>
      <c r="I83" s="51"/>
      <c r="J83" s="52"/>
    </row>
    <row r="84" spans="1:10" ht="30" customHeight="1" x14ac:dyDescent="0.3">
      <c r="A84" s="10"/>
      <c r="B84" s="82" t="s">
        <v>257</v>
      </c>
      <c r="C84" s="83"/>
      <c r="D84" s="83"/>
      <c r="E84" s="30"/>
      <c r="F84" s="31"/>
      <c r="G84" s="32"/>
      <c r="H84" s="33"/>
      <c r="I84" s="42"/>
      <c r="J84" s="43"/>
    </row>
    <row r="85" spans="1:10" ht="30" customHeight="1" x14ac:dyDescent="0.3">
      <c r="A85" s="10"/>
      <c r="B85" s="84" t="s">
        <v>258</v>
      </c>
      <c r="C85" s="85"/>
      <c r="D85" s="85"/>
      <c r="E85" s="34">
        <v>5</v>
      </c>
      <c r="F85" s="35">
        <v>4.25</v>
      </c>
      <c r="G85" s="36">
        <f t="shared" si="2"/>
        <v>0.85</v>
      </c>
      <c r="H85" s="37" t="str">
        <f t="shared" si="3"/>
        <v>جيد جداً</v>
      </c>
      <c r="I85" s="44"/>
      <c r="J85" s="45"/>
    </row>
    <row r="86" spans="1:10" ht="30" customHeight="1" x14ac:dyDescent="0.3">
      <c r="A86" s="10"/>
      <c r="B86" s="84" t="s">
        <v>259</v>
      </c>
      <c r="C86" s="85"/>
      <c r="D86" s="85"/>
      <c r="E86" s="34">
        <v>5</v>
      </c>
      <c r="F86" s="35">
        <v>4</v>
      </c>
      <c r="G86" s="36">
        <f t="shared" si="2"/>
        <v>0.8</v>
      </c>
      <c r="H86" s="37" t="str">
        <f t="shared" si="3"/>
        <v>جيد جداً</v>
      </c>
      <c r="I86" s="44"/>
      <c r="J86" s="45"/>
    </row>
    <row r="87" spans="1:10" ht="30" customHeight="1" x14ac:dyDescent="0.3">
      <c r="A87" s="10"/>
      <c r="B87" s="84" t="s">
        <v>260</v>
      </c>
      <c r="C87" s="85"/>
      <c r="D87" s="85"/>
      <c r="E87" s="34">
        <v>5</v>
      </c>
      <c r="F87" s="35">
        <v>3.5</v>
      </c>
      <c r="G87" s="36">
        <f t="shared" si="2"/>
        <v>0.7</v>
      </c>
      <c r="H87" s="37" t="str">
        <f t="shared" si="3"/>
        <v>جيد</v>
      </c>
      <c r="I87" s="44"/>
      <c r="J87" s="45"/>
    </row>
    <row r="88" spans="1:10" ht="30" customHeight="1" x14ac:dyDescent="0.3">
      <c r="A88" s="10"/>
      <c r="B88" s="84" t="s">
        <v>261</v>
      </c>
      <c r="C88" s="85"/>
      <c r="D88" s="85"/>
      <c r="E88" s="34">
        <v>5</v>
      </c>
      <c r="F88" s="35">
        <v>4</v>
      </c>
      <c r="G88" s="36">
        <f t="shared" si="2"/>
        <v>0.8</v>
      </c>
      <c r="H88" s="37" t="str">
        <f t="shared" si="3"/>
        <v>جيد جداً</v>
      </c>
      <c r="I88" s="44"/>
      <c r="J88" s="45"/>
    </row>
    <row r="89" spans="1:10" ht="30" customHeight="1" x14ac:dyDescent="0.3">
      <c r="A89" s="10"/>
      <c r="B89" s="84" t="s">
        <v>262</v>
      </c>
      <c r="C89" s="85"/>
      <c r="D89" s="85"/>
      <c r="E89" s="34">
        <v>5</v>
      </c>
      <c r="F89" s="35">
        <v>4</v>
      </c>
      <c r="G89" s="36">
        <f t="shared" si="2"/>
        <v>0.8</v>
      </c>
      <c r="H89" s="37" t="str">
        <f t="shared" si="3"/>
        <v>جيد جداً</v>
      </c>
      <c r="I89" s="44"/>
      <c r="J89" s="45"/>
    </row>
    <row r="90" spans="1:10" ht="30" customHeight="1" x14ac:dyDescent="0.3">
      <c r="A90" s="10"/>
      <c r="B90" s="84" t="s">
        <v>263</v>
      </c>
      <c r="C90" s="85"/>
      <c r="D90" s="85"/>
      <c r="E90" s="34">
        <v>5</v>
      </c>
      <c r="F90" s="35">
        <v>3.5</v>
      </c>
      <c r="G90" s="36">
        <f t="shared" si="2"/>
        <v>0.7</v>
      </c>
      <c r="H90" s="37" t="str">
        <f t="shared" si="3"/>
        <v>جيد</v>
      </c>
      <c r="I90" s="44"/>
      <c r="J90" s="45"/>
    </row>
    <row r="91" spans="1:10" ht="30" customHeight="1" x14ac:dyDescent="0.3">
      <c r="A91" s="10"/>
      <c r="B91" s="84" t="s">
        <v>264</v>
      </c>
      <c r="C91" s="85"/>
      <c r="D91" s="85"/>
      <c r="E91" s="34">
        <v>5</v>
      </c>
      <c r="F91" s="35">
        <v>4</v>
      </c>
      <c r="G91" s="36">
        <f t="shared" si="2"/>
        <v>0.8</v>
      </c>
      <c r="H91" s="37" t="str">
        <f t="shared" si="3"/>
        <v>جيد جداً</v>
      </c>
      <c r="I91" s="44"/>
      <c r="J91" s="45"/>
    </row>
    <row r="92" spans="1:10" ht="30" customHeight="1" x14ac:dyDescent="0.3">
      <c r="A92" s="10"/>
      <c r="B92" s="84" t="s">
        <v>265</v>
      </c>
      <c r="C92" s="85"/>
      <c r="D92" s="85"/>
      <c r="E92" s="34">
        <v>0</v>
      </c>
      <c r="F92" s="35" t="s">
        <v>17</v>
      </c>
      <c r="G92" s="36" t="str">
        <f t="shared" si="2"/>
        <v/>
      </c>
      <c r="H92" s="37" t="str">
        <f t="shared" si="3"/>
        <v>تم الإلغاء</v>
      </c>
      <c r="I92" s="44"/>
      <c r="J92" s="45"/>
    </row>
    <row r="93" spans="1:10" ht="30" customHeight="1" x14ac:dyDescent="0.3">
      <c r="A93" s="10"/>
      <c r="B93" s="84" t="s">
        <v>266</v>
      </c>
      <c r="C93" s="85"/>
      <c r="D93" s="85"/>
      <c r="E93" s="34">
        <v>5</v>
      </c>
      <c r="F93" s="35">
        <v>4</v>
      </c>
      <c r="G93" s="36">
        <f t="shared" si="2"/>
        <v>0.8</v>
      </c>
      <c r="H93" s="37" t="str">
        <f t="shared" si="3"/>
        <v>جيد جداً</v>
      </c>
      <c r="I93" s="44"/>
      <c r="J93" s="45"/>
    </row>
    <row r="94" spans="1:10" ht="30" customHeight="1" x14ac:dyDescent="0.3">
      <c r="A94" s="10"/>
      <c r="B94" s="84" t="s">
        <v>267</v>
      </c>
      <c r="C94" s="85"/>
      <c r="D94" s="85"/>
      <c r="E94" s="34">
        <v>5</v>
      </c>
      <c r="F94" s="35">
        <v>4</v>
      </c>
      <c r="G94" s="36">
        <f t="shared" si="2"/>
        <v>0.8</v>
      </c>
      <c r="H94" s="37" t="str">
        <f t="shared" si="3"/>
        <v>جيد جداً</v>
      </c>
      <c r="I94" s="44"/>
      <c r="J94" s="45"/>
    </row>
    <row r="95" spans="1:10" ht="30" customHeight="1" thickBot="1" x14ac:dyDescent="0.35">
      <c r="A95" s="10"/>
      <c r="B95" s="86" t="s">
        <v>268</v>
      </c>
      <c r="C95" s="87"/>
      <c r="D95" s="87"/>
      <c r="E95" s="38">
        <v>5</v>
      </c>
      <c r="F95" s="39">
        <v>4</v>
      </c>
      <c r="G95" s="40">
        <f t="shared" si="2"/>
        <v>0.8</v>
      </c>
      <c r="H95" s="41" t="str">
        <f t="shared" si="3"/>
        <v>جيد جداً</v>
      </c>
      <c r="I95" s="51"/>
      <c r="J95" s="52"/>
    </row>
    <row r="96" spans="1:10" ht="39" customHeight="1" thickBot="1" x14ac:dyDescent="0.35">
      <c r="A96" s="10"/>
      <c r="B96" s="80" t="s">
        <v>269</v>
      </c>
      <c r="C96" s="81"/>
      <c r="D96" s="81"/>
      <c r="E96" s="9">
        <v>5</v>
      </c>
      <c r="F96" s="28">
        <v>4.25</v>
      </c>
      <c r="G96" s="29">
        <f t="shared" si="2"/>
        <v>0.85</v>
      </c>
      <c r="H96" s="26" t="str">
        <f t="shared" si="3"/>
        <v>جيد جداً</v>
      </c>
      <c r="I96" s="53"/>
      <c r="J96" s="54"/>
    </row>
    <row r="97" spans="1:10" ht="30" customHeight="1" thickBot="1" x14ac:dyDescent="0.35">
      <c r="A97" s="4"/>
      <c r="B97" s="78" t="s">
        <v>5</v>
      </c>
      <c r="C97" s="79"/>
      <c r="D97" s="79"/>
      <c r="E97" s="9">
        <f>SUM(E8:E96)</f>
        <v>375</v>
      </c>
      <c r="F97" s="9">
        <f>SUM(F8:F96)</f>
        <v>284.5</v>
      </c>
      <c r="G97" s="48"/>
      <c r="H97" s="49"/>
      <c r="I97" s="49"/>
      <c r="J97" s="50"/>
    </row>
    <row r="98" spans="1:10" ht="30" customHeight="1" thickBot="1" x14ac:dyDescent="0.35">
      <c r="A98" s="4"/>
      <c r="B98" s="78" t="s">
        <v>54</v>
      </c>
      <c r="C98" s="79"/>
      <c r="D98" s="79"/>
      <c r="E98" s="62">
        <f>F97/E97/100*100</f>
        <v>0.75866666666666671</v>
      </c>
      <c r="F98" s="62"/>
      <c r="G98" s="62"/>
      <c r="H98" s="62"/>
      <c r="I98" s="62"/>
      <c r="J98" s="63"/>
    </row>
    <row r="99" spans="1:10" ht="30" customHeight="1" thickBot="1" x14ac:dyDescent="0.35">
      <c r="A99" s="4"/>
      <c r="B99" s="78" t="s">
        <v>55</v>
      </c>
      <c r="C99" s="79"/>
      <c r="D99" s="79"/>
      <c r="E99" s="76" t="str">
        <f>_xlfn.IFS(E98&gt;=90%,"ممتاز",E98&gt;=80%,"جيد جداً",E98&gt;=70%,"جيد",E98&gt;=60%,"مقبول",E98&lt;60%,"راسب")</f>
        <v>جيد</v>
      </c>
      <c r="F99" s="76"/>
      <c r="G99" s="76"/>
      <c r="H99" s="76"/>
      <c r="I99" s="76"/>
      <c r="J99" s="77"/>
    </row>
    <row r="100" spans="1:10" ht="42" customHeight="1" x14ac:dyDescent="0.3">
      <c r="B100" s="72" t="s">
        <v>174</v>
      </c>
      <c r="C100" s="72"/>
      <c r="D100" s="72"/>
      <c r="E100" s="46" t="s">
        <v>52</v>
      </c>
      <c r="F100" s="46"/>
      <c r="G100" s="74" t="s">
        <v>135</v>
      </c>
      <c r="H100" s="74"/>
      <c r="I100" s="74"/>
      <c r="J100" s="74"/>
    </row>
    <row r="101" spans="1:10" ht="51" customHeight="1" x14ac:dyDescent="0.3">
      <c r="A101" s="5"/>
      <c r="B101" s="73"/>
      <c r="C101" s="73"/>
      <c r="D101" s="73"/>
      <c r="E101" s="47" t="s">
        <v>53</v>
      </c>
      <c r="F101" s="47"/>
      <c r="G101" s="75"/>
      <c r="H101" s="75"/>
      <c r="I101" s="75"/>
      <c r="J101" s="75"/>
    </row>
  </sheetData>
  <sheetProtection formatCells="0" formatColumns="0" formatRows="0" insertColumns="0" insertRows="0" insertHyperlinks="0" deleteColumns="0" deleteRows="0" selectLockedCells="1" sort="0" autoFilter="0" pivotTables="0"/>
  <mergeCells count="199">
    <mergeCell ref="B94:D94"/>
    <mergeCell ref="B95:D95"/>
    <mergeCell ref="B96:D96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76:D76"/>
    <mergeCell ref="B77:D77"/>
    <mergeCell ref="B78:D78"/>
    <mergeCell ref="B79:D79"/>
    <mergeCell ref="B89:D89"/>
    <mergeCell ref="B90:D90"/>
    <mergeCell ref="B91:D91"/>
    <mergeCell ref="B92:D92"/>
    <mergeCell ref="B93:D93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I8:J8"/>
    <mergeCell ref="B97:D97"/>
    <mergeCell ref="B98:D98"/>
    <mergeCell ref="B99:D99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19:J19"/>
    <mergeCell ref="B8:D8"/>
    <mergeCell ref="B9:D9"/>
    <mergeCell ref="B10:D10"/>
    <mergeCell ref="B11:D11"/>
    <mergeCell ref="B12:D12"/>
    <mergeCell ref="B100:D101"/>
    <mergeCell ref="G100:J100"/>
    <mergeCell ref="G101:J101"/>
    <mergeCell ref="E99:J99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6:J46"/>
    <mergeCell ref="B1:J1"/>
    <mergeCell ref="F2:J2"/>
    <mergeCell ref="B5:D6"/>
    <mergeCell ref="C2:D2"/>
    <mergeCell ref="C3:D3"/>
    <mergeCell ref="F3:J3"/>
    <mergeCell ref="E98:J98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I64:J64"/>
    <mergeCell ref="I65:J65"/>
    <mergeCell ref="I66:J66"/>
    <mergeCell ref="I67:J67"/>
    <mergeCell ref="I68:J68"/>
    <mergeCell ref="I20:J20"/>
    <mergeCell ref="I21:J21"/>
    <mergeCell ref="I22:J22"/>
    <mergeCell ref="I23:J23"/>
    <mergeCell ref="I24:J24"/>
    <mergeCell ref="I25:J25"/>
    <mergeCell ref="I26:J26"/>
    <mergeCell ref="I27:J27"/>
    <mergeCell ref="I45:J45"/>
    <mergeCell ref="I32:J32"/>
    <mergeCell ref="I33:J33"/>
    <mergeCell ref="I34:J34"/>
    <mergeCell ref="I35:J35"/>
    <mergeCell ref="I36:J36"/>
    <mergeCell ref="I9:J9"/>
    <mergeCell ref="I69:J69"/>
    <mergeCell ref="I70:J70"/>
    <mergeCell ref="I71:J71"/>
    <mergeCell ref="E100:F100"/>
    <mergeCell ref="E101:F101"/>
    <mergeCell ref="G97:J97"/>
    <mergeCell ref="I72:J72"/>
    <mergeCell ref="I73:J73"/>
    <mergeCell ref="I74:J74"/>
    <mergeCell ref="I75:J75"/>
    <mergeCell ref="I76:J76"/>
    <mergeCell ref="I77:J77"/>
    <mergeCell ref="I78:J78"/>
    <mergeCell ref="I79:J79"/>
    <mergeCell ref="I92:J92"/>
    <mergeCell ref="I93:J93"/>
    <mergeCell ref="I94:J94"/>
    <mergeCell ref="I95:J95"/>
    <mergeCell ref="I96:J96"/>
    <mergeCell ref="I47:J47"/>
    <mergeCell ref="I48:J48"/>
    <mergeCell ref="I62:J62"/>
    <mergeCell ref="I63:J6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9">
    <cfRule type="expression" dxfId="14" priority="57">
      <formula>$E99="راسب"</formula>
    </cfRule>
  </conditionalFormatting>
  <conditionalFormatting sqref="E99:J99">
    <cfRule type="expression" dxfId="13" priority="58">
      <formula>$E99="مقبول"</formula>
    </cfRule>
    <cfRule type="expression" dxfId="12" priority="59">
      <formula>$E99="جيد"</formula>
    </cfRule>
    <cfRule type="expression" dxfId="11" priority="60">
      <formula>$E99="جيد جداً"</formula>
    </cfRule>
    <cfRule type="expression" dxfId="10" priority="61">
      <formula>$E99="ممتاز"</formula>
    </cfRule>
  </conditionalFormatting>
  <conditionalFormatting sqref="F8:F9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00:J100">
    <cfRule type="containsText" dxfId="6" priority="15" operator="containsText" text="أدخل اسم المحكم">
      <formula>NOT(ISERROR(SEARCH("أدخل اسم المحكم",G100)))</formula>
    </cfRule>
  </conditionalFormatting>
  <conditionalFormatting sqref="H8:H9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F85:F96 F78:F83 F63:F76 F50:F61 F35:F48 F31:F33 F23:F29 F8 F10:F21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G100:J100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2025-10-07T18:11:33Z</dcterms:modified>
</cp:coreProperties>
</file>