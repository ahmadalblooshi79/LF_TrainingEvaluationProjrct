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13FAC05-935E-4CF2-BB58-B9933720F2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4" i="2"/>
  <c r="H24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8" i="2"/>
  <c r="H8" i="2"/>
  <c r="F38" i="2"/>
  <c r="E38" i="2"/>
  <c r="E39" i="2"/>
  <c r="E40" i="2"/>
</calcChain>
</file>

<file path=xl/sharedStrings.xml><?xml version="1.0" encoding="utf-8"?>
<sst xmlns="http://schemas.openxmlformats.org/spreadsheetml/2006/main" count="268" uniqueCount="212">
  <si>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</si>
  <si>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</si>
  <si>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</si>
  <si>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</si>
  <si>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</si>
  <si>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</si>
  <si>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</si>
  <si>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</si>
  <si>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</si>
  <si>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</si>
  <si>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</si>
  <si>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</si>
  <si>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</si>
  <si>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</si>
  <si>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</si>
  <si>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</si>
  <si>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</si>
  <si>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</si>
  <si>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</si>
  <si>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</si>
  <si>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</si>
  <si>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</si>
  <si>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</si>
  <si>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</si>
  <si>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</si>
  <si>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</si>
  <si>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</si>
  <si>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</si>
  <si>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</si>
  <si>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</si>
  <si>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</si>
  <si>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</si>
  <si>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</si>
  <si>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</si>
  <si>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</si>
  <si>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</si>
  <si>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</si>
  <si>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</si>
  <si>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</si>
  <si>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</si>
  <si>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</si>
  <si>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</si>
  <si>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</si>
  <si>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</si>
  <si>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</si>
  <si>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</si>
  <si>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</si>
  <si>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</si>
  <si>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</si>
  <si>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</si>
  <si>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</si>
  <si>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</si>
  <si>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</si>
  <si>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</si>
  <si>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</si>
  <si>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</si>
  <si>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</si>
  <si>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</si>
  <si>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</si>
  <si>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</si>
  <si>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</si>
  <si>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</si>
  <si>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</si>
  <si>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</si>
  <si>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</si>
  <si>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</si>
  <si>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</si>
  <si>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</si>
  <si>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</si>
  <si>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</si>
  <si>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</si>
  <si>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</si>
  <si>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</si>
  <si>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</si>
  <si>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</si>
  <si>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</si>
  <si>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</si>
  <si>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</si>
  <si>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</si>
  <si>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</si>
  <si>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</si>
  <si>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</si>
  <si>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</si>
  <si>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</si>
  <si>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</si>
  <si>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</si>
  <si>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</si>
  <si>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</si>
  <si>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</si>
  <si>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</si>
  <si>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</si>
  <si>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</si>
  <si>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</si>
  <si>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</si>
  <si>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</si>
  <si>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</si>
  <si>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</si>
  <si>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</si>
  <si>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</si>
  <si>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</si>
  <si>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</si>
  <si>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</si>
  <si>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</si>
  <si>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</si>
  <si>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</si>
  <si>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</si>
  <si>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</si>
  <si>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</si>
  <si>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</si>
  <si>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</si>
  <si>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</si>
  <si>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</si>
  <si>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</si>
  <si>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</si>
  <si>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</si>
  <si>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</si>
  <si>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</si>
  <si>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</si>
  <si>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</si>
  <si>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</si>
  <si>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</si>
  <si>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</si>
  <si>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</si>
  <si>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</si>
  <si>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</si>
  <si>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</si>
  <si>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</si>
  <si>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</si>
  <si>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</si>
  <si>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</si>
  <si>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</si>
  <si>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</si>
  <si>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</si>
  <si>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</si>
  <si>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</si>
  <si>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</si>
  <si>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</si>
  <si>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</si>
  <si>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</si>
  <si>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</si>
  <si>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</si>
  <si>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</si>
  <si>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</si>
  <si>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</si>
  <si>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</si>
  <si>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</si>
  <si>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</si>
  <si>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</si>
  <si>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</si>
  <si>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</si>
  <si>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</si>
  <si>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</si>
  <si>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</si>
  <si>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</si>
  <si>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</si>
  <si>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</si>
  <si>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</si>
  <si>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</si>
  <si>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</si>
  <si>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</si>
  <si>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</si>
  <si>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</si>
  <si>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</si>
  <si>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</si>
  <si>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</si>
  <si>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</si>
  <si>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</si>
  <si>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</si>
  <si>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</si>
  <si>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</si>
  <si>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</si>
  <si>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</si>
  <si>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</si>
  <si>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</si>
  <si>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</si>
  <si>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</si>
  <si>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</si>
  <si>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</si>
  <si>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</si>
  <si>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</si>
  <si>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 xml:space="preserve">تقييـــــم سريـــــة التزويــــد والنقـــــل فـــي تخطيـــط القوافـــل 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</si>
  <si>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تفهم قائد سرية التزويد والنقل لمهمة القوافل.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</si>
  <si>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إعداد خطط بديلة لتعويض الطرق والمصادر التي تُفقد بسبب أعمال العدو.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</si>
  <si>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تحديد طرق التنقل على طرق الإمداد الرئيسية والبديلة. 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</si>
  <si>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تنظيم التنقل عبر خطوط المواصلات لمنع أية تعارض أو ازدحام.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</si>
  <si>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أخذ الاعتبارات التالية عند تخطيط القوافل</t>
    </r>
    <r>
      <rPr>
        <b/>
        <sz val="12"/>
        <color rgb="FF000000"/>
        <rFont val="Arial"/>
        <family val="2"/>
      </rPr>
      <t>:</t>
    </r>
  </si>
  <si>
    <t>أ. توجيه حركة السير الأكثر أولوية إلى الطرق التي توفر أقل وقت وأقصر مسافة.</t>
  </si>
  <si>
    <t>ب. أخذ القدرات المُدامة للطرق والجسور بعين الاعتبار عند التفويض بإجراء تنقلات.</t>
  </si>
  <si>
    <t>جـ. فصل تنقلات الآليات عن تنقلات المشاة.</t>
  </si>
  <si>
    <t>د. فصل حركة السير المدنية عن التنقلات العسكرية.</t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</si>
  <si>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متابعة جيدة للحركة من نقطة الأصل وحتى الوجهة المقصودة.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</si>
  <si>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 التأكد من عدم وجود  تعارض في خطوط المواصلات من أجل إسناد العمليات كما يلي: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</si>
  <si>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التنسيق مع الشرطة العسكرية وإعداد خطة لحركة المرور وتوزيعها على شكل خارطة تشمل:</t>
    </r>
  </si>
  <si>
    <t>أ. السيطرة على حركة المرور.</t>
  </si>
  <si>
    <t>ب. تحديد مواقع السيطرة على الحركة ونقاط التزويد الرئيسية.</t>
  </si>
  <si>
    <t>جـ. استخدام طرق بديلة في حال عدم إمكانية استخدام الطرق الرئيسية بسبب الازدحام فيها أو تعطلها أو بسب ظروف التهديد المتغيرة.</t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</si>
  <si>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تحديد قواعد أولويات الحركة والسياسات وإلإجراءات</t>
    </r>
    <r>
      <rPr>
        <b/>
        <sz val="12"/>
        <color rgb="FF000000"/>
        <rFont val="Arial"/>
        <family val="2"/>
      </rPr>
      <t>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</si>
  <si>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تطبيق المبادئ التي تحكم تحديد طرق المسير (التوازن – الفواصل – الأولوية)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</si>
  <si>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التـأكد من فرض إجراءات السيطرة على القوافل من خلال التالي:</t>
    </r>
  </si>
  <si>
    <t>أ. تحديد المتطلبات.</t>
  </si>
  <si>
    <t>ب. جمع/ إدارة المتطلبات.</t>
  </si>
  <si>
    <t>جـ. تحديد الأولويات.</t>
  </si>
  <si>
    <t>د. تقييم القدرات.</t>
  </si>
  <si>
    <t>هـ. مزود واجب النقل.</t>
  </si>
  <si>
    <t>و. جدولة التنقل.</t>
  </si>
  <si>
    <t>ز. توزيع الجدول.</t>
  </si>
  <si>
    <t>ح. توزيع الجدول.</t>
  </si>
  <si>
    <t>ط. تنفيذ التنقل.</t>
  </si>
  <si>
    <t>ي.  مراقبة التنقل.</t>
  </si>
  <si>
    <t>ك. إعداد التقارير عن التنقل.</t>
  </si>
  <si>
    <t>ل. تقييم الأداء.</t>
  </si>
  <si>
    <t>الرائد/ محمد خليفة النعيمي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</si>
</sst>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2"/>
    </xf>
    <xf numFmtId="9" fontId="3" fillId="0" borderId="13" xfId="0" applyNumberFormat="1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17" xfId="0" applyFont="1" applyBorder="1" applyAlignment="1">
      <alignment horizontal="center" vertical="center" wrapText="1" readingOrder="2"/>
    </xf>
    <xf numFmtId="0" fontId="3" fillId="0" borderId="17" xfId="0" applyFont="1" applyBorder="1" applyAlignment="1" applyProtection="1">
      <alignment horizontal="center" vertical="center" wrapText="1" readingOrder="2"/>
      <protection locked="0"/>
    </xf>
    <xf numFmtId="9" fontId="3" fillId="0" borderId="17" xfId="0" applyNumberFormat="1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0" borderId="18" xfId="0" applyFont="1" applyBorder="1" applyAlignment="1" applyProtection="1">
      <alignment horizontal="center" vertical="center" wrapText="1" readingOrder="2"/>
      <protection locked="0"/>
    </xf>
    <xf numFmtId="0" fontId="3" fillId="0" borderId="17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14" fillId="0" borderId="12" xfId="0" applyFont="1" applyBorder="1" applyAlignment="1">
      <alignment horizontal="right" vertical="center" wrapText="1" indent="2" readingOrder="2"/>
    </xf>
    <xf numFmtId="0" fontId="14" fillId="0" borderId="13" xfId="0" applyFont="1" applyBorder="1" applyAlignment="1">
      <alignment horizontal="right" vertical="center" wrapText="1" indent="2" readingOrder="2"/>
    </xf>
    <xf numFmtId="0" fontId="12" fillId="0" borderId="8" xfId="0" applyFont="1" applyBorder="1" applyAlignment="1">
      <alignment horizontal="right" vertical="center" wrapText="1" readingOrder="2"/>
    </xf>
    <xf numFmtId="0" fontId="12" fillId="0" borderId="9" xfId="0" applyFont="1" applyBorder="1" applyAlignment="1">
      <alignment horizontal="right" vertical="center" wrapText="1" readingOrder="2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14" fillId="0" borderId="27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2" fillId="0" borderId="15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28" xfId="0" applyFont="1" applyBorder="1" applyAlignment="1">
      <alignment horizontal="right" vertical="center" wrapText="1" readingOrder="2"/>
    </xf>
    <xf numFmtId="0" fontId="12" fillId="0" borderId="17" xfId="0" applyFont="1" applyBorder="1" applyAlignment="1">
      <alignment horizontal="right" vertical="center" wrapText="1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595661</xdr:colOff>
      <xdr:row>41</xdr:row>
      <xdr:rowOff>116653</xdr:rowOff>
    </xdr:from>
    <xdr:to>
      <xdr:col>8</xdr:col>
      <xdr:colOff>151037</xdr:colOff>
      <xdr:row>44</xdr:row>
      <xdr:rowOff>162963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AA35640-5E1B-CE98-0C86-5257B28F8F09}"/>
                </a:ext>
              </a:extLst>
            </xdr14:cNvPr>
            <xdr14:cNvContentPartPr/>
          </xdr14:nvContentPartPr>
          <xdr14:nvPr macro=""/>
          <xdr14:xfrm>
            <a:off x="10399093869" y="16765200"/>
            <a:ext cx="871560" cy="1085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AA35640-5E1B-CE98-0C86-5257B28F8F0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84869" y="16756560"/>
              <a:ext cx="889200" cy="11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409561</xdr:colOff>
      <xdr:row>42</xdr:row>
      <xdr:rowOff>35310</xdr:rowOff>
    </xdr:from>
    <xdr:to>
      <xdr:col>9</xdr:col>
      <xdr:colOff>858427</xdr:colOff>
      <xdr:row>52</xdr:row>
      <xdr:rowOff>134303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228EDBD-5FAE-2C6E-CE0B-EEC6DDE89706}"/>
                </a:ext>
              </a:extLst>
            </xdr14:cNvPr>
            <xdr14:cNvContentPartPr/>
          </xdr14:nvContentPartPr>
          <xdr14:nvPr macro=""/>
          <xdr14:xfrm>
            <a:off x="10397728389" y="17330400"/>
            <a:ext cx="3739320" cy="20617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228EDBD-5FAE-2C6E-CE0B-EEC6DDE8970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7719389" y="17321400"/>
              <a:ext cx="3756960" cy="2079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6:51:19.6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1741 1351 2896,'0'0'0,"-11"5"352,-12 18-248,23-23-104,-10 9 24,-10 12-40,17-21-8,-5 6 8,8-6 16,-23 9 40,13-4 160,2-5 216,-16 0 264,24 0-680,-9 0 937,-12 0 143,10 0 40,-14-8-88,25 8-1032,-7-12 905,-14-12-169,11 1-136,-10-2-144,20 25-456,-7-28 368,-2-2-112,-2-1-48,-1-2-32,12 33-176,-21-37 168,14 1-64,1 0 24,-6-2-24,12 38-104,-21-42 72,15-2-16,-1-4 56,-6 1-160,13 47 48,-6-55 8,-1-1-72,2-5 16,3-3 16,2 64 32,-6-70 16,3 1 32,1 0-80,-1 2 80,3 67-48,0-55 48,0 5-40,0 8 8,5 3 24,-5 39-40,5-31 16,1 1 16,20 5 8,-26 14-32,0 11-8,28-26-32,-20 19 40,15-5-56,0-10 0,-23 22 48,28-3 56,2-5-72,7 0-16,4 5 48,-41 3-16,41-3-96,3 3 0,5 0-16,2 8-24,-51-8 136,54 28-80,-3-20 8,2 23 24,-2-6-24,-51-25 72,43 28-224,1 2 40,-3 1-40,-2 2 40,-39-33 184,38 36-64,-7 0 0,0 3 32,-8-3-72,-23-36 104,20 39-184,-13 1-40,14-4-8,-21 2 16,0-38 216,4 39-176,3 3 48,-7 0-40,-10-1 16,10-41 152,-8 42-112,-15-1 16,13-2 72,-10-3-96,20-36 120,-7 33-64,-18-1 48,15-5-112,-13-2 152,23-25-24,-8 22 0,-23-13-40,11 21 24,10-21 40,10-9-24,-27 24-40,20-18 8,-4 3 72,-12 12-88,23-21 48,-12 0 48,-14 0-16,18 6 8,-13-6 40,21 0-80,-9 0 0,1 0 56,0-6 24,-4-1-32,12 7-48,-7-9 144,0-16-24,-5 17-24,4-20 112,8 28-208,-8-11 200,0-20 8,1 20 24,-3-14-72,10 25-160,-11-8 112,4-1 8,0 4-56,-5 2 56,12 3-120,-9 0 312,0 0-24,7 6 72,-1-1-8,3-5-352,-4 8 160,0 1-32,-1-1-64,-5 17-64,10-25 0,-7 9 8,-4 26 32,1-4-88,-13 3 40,23-34 8,-6 39-32,-17-1 40,11-2-8,-20 0-16,32-36 16,-25 29 8,-8-2-32,2-2 64,3 0 16,28-25-56,-39 22 32,-2-13-64,-1 15 40,3-24-16,39 0 8,-40 6 32,-1-6-32,10-3 48,5-4 32,26 7-80,-30-26 40,3 15 0,5-17 56,0 20-88,22 8-8,-7-28 56,-18 20-8,17-1-24,0 1 40,8 8-64,-12-5 24,5 2 56,3 0-24,1 3 0,3 0-56,-5 0 48,3 0 1,0 0-9,-1 6 16,3-6-56,-6 8 72,-1 14 24,0 0 8,-20 12-40,27-34-64,-23 42 56,-5 7-8,-2 4 8,-2 0 0,32-53-56,-37 56 64,-5-1-24,-2 1-72,1-3 56,43-53-24,-39 55 8,-5-3 32,3-1-16,-1-1 8,42-50-32,-38 44 8,0 4-16,-1-4 56,10 1-48,29-45 0,-33 44-48,5-5 8,4 0-24,-9 2 16,33-41 48,-28 48-8,-8 7 0,3 3 8,-6 7-80,39-65 80,-39 63-160,5 4-104,2-1-241,6 1-1079,26-67 1584,-11 58-2760,-14-7-241,22-15-792,3-36 3793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6:51:20.2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3225 704 13522,'0'0'0,"-30"0"1113,30 0-1113,-31 4 160,-1 5-88,20 17-88,-16-18-16,28-8 32,-24 39-56,-11 7-16,-14 22-48,-15 22-16,64-90 136,-80 111-208,-15 18-1,-20 14 81,-12 15 0,127-158 128,-143 172-48,-9 21 48,-3 13-56,-9 22 40,164-228 16,-166 248-32,-13 29 80,2 8 72,4-10-32,173-275-88,-160 249 88,15-40-24,20-27-31,3-7 63,122-175-96,-117 173 72,12-1 0,11-13 8,8-16-40,86-143-40,-75 124 0,15-21 0,10-21 0,16-19 24,34-63-24,-11 43 72,1-17 88,10-26 40,7 0-136,-7 0-64,38-26-48,-1-11-104,29-19-96,30-23 72,-96 79 176,121-106-136,37-36-89,31-41-47,34-31 96,-223 214 176,259-245-144,45-28 104,38-18 104,44-15 0,-386 306-64,418-306 80,25-4 0,30 15 80,8 11-40,-481 284-120,494-269 161,11 21-57,-7 18-80,-19 16-48,-479 214 24,469-187-24,-39 17 24,-26 23 24,-27 16-16,-377 131-8,351-113-16,-20 13-64,-15 12-65,-9 15-207,-307 73 352,305-61-560,-16 10-776,-20 10-3329,-14-5 104,-255 46 4561,0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2"/>
  <sheetViews>
    <sheetView rightToLeft="1" tabSelected="1" view="pageBreakPreview" topLeftCell="A37" zoomScale="130" zoomScaleNormal="100" zoomScaleSheetLayoutView="130" workbookViewId="0">
      <selection activeCell="B41" sqref="B41:D4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83" t="s">
        <v>180</v>
      </c>
      <c r="C1" s="83"/>
      <c r="D1" s="83"/>
      <c r="E1" s="83"/>
      <c r="F1" s="83"/>
      <c r="G1" s="83"/>
      <c r="H1" s="83"/>
      <c r="I1" s="83"/>
      <c r="J1" s="83"/>
    </row>
    <row r="2" spans="1:10" ht="30" customHeight="1" x14ac:dyDescent="0.3">
      <c r="B2" s="14" t="s">
        <v>8</v>
      </c>
      <c r="C2" s="89" t="s">
        <v>33</v>
      </c>
      <c r="D2" s="89"/>
      <c r="E2" s="14" t="s">
        <v>7</v>
      </c>
      <c r="F2" s="84">
        <v>45954</v>
      </c>
      <c r="G2" s="84"/>
      <c r="H2" s="84"/>
      <c r="I2" s="84"/>
      <c r="J2" s="84"/>
    </row>
    <row r="3" spans="1:10" ht="30" customHeight="1" x14ac:dyDescent="0.3">
      <c r="B3" s="14" t="s">
        <v>9</v>
      </c>
      <c r="C3" s="89" t="s">
        <v>60</v>
      </c>
      <c r="D3" s="89"/>
      <c r="E3" s="14" t="s">
        <v>6</v>
      </c>
      <c r="F3" s="89" t="s">
        <v>120</v>
      </c>
      <c r="G3" s="89"/>
      <c r="H3" s="89"/>
      <c r="I3" s="89"/>
      <c r="J3" s="89"/>
    </row>
    <row r="4" spans="1:10" ht="30" customHeight="1" thickBot="1" x14ac:dyDescent="0.35">
      <c r="B4" s="6"/>
      <c r="C4" s="55" t="s">
        <v>211</v>
      </c>
      <c r="D4" s="55"/>
      <c r="E4" s="6"/>
      <c r="F4" s="55"/>
      <c r="G4" s="55"/>
      <c r="H4" s="55"/>
      <c r="I4" s="55"/>
      <c r="J4" s="55"/>
    </row>
    <row r="5" spans="1:10" ht="24.9" customHeight="1" x14ac:dyDescent="0.3">
      <c r="A5" s="12"/>
      <c r="B5" s="85" t="s">
        <v>0</v>
      </c>
      <c r="C5" s="86"/>
      <c r="D5" s="86"/>
      <c r="E5" s="62" t="s">
        <v>1</v>
      </c>
      <c r="F5" s="62"/>
      <c r="G5" s="62"/>
      <c r="H5" s="62"/>
      <c r="I5" s="62" t="s">
        <v>2</v>
      </c>
      <c r="J5" s="63"/>
    </row>
    <row r="6" spans="1:10" ht="24.9" customHeight="1" thickBot="1" x14ac:dyDescent="0.35">
      <c r="A6" s="12"/>
      <c r="B6" s="87"/>
      <c r="C6" s="88"/>
      <c r="D6" s="88"/>
      <c r="E6" s="13" t="s">
        <v>3</v>
      </c>
      <c r="F6" s="13" t="s">
        <v>4</v>
      </c>
      <c r="G6" s="13" t="s">
        <v>23</v>
      </c>
      <c r="H6" s="13" t="s">
        <v>24</v>
      </c>
      <c r="I6" s="64"/>
      <c r="J6" s="65"/>
    </row>
    <row r="7" spans="1:10" ht="24.9" customHeight="1" thickBot="1" x14ac:dyDescent="0.35">
      <c r="A7" s="12"/>
      <c r="B7" s="92" t="s">
        <v>21</v>
      </c>
      <c r="C7" s="93"/>
      <c r="D7" s="93"/>
      <c r="E7" s="32" t="s">
        <v>18</v>
      </c>
      <c r="F7" s="32" t="s">
        <v>19</v>
      </c>
      <c r="G7" s="32" t="s">
        <v>22</v>
      </c>
      <c r="H7" s="32" t="s">
        <v>20</v>
      </c>
      <c r="I7" s="66" t="s">
        <v>25</v>
      </c>
      <c r="J7" s="67"/>
    </row>
    <row r="8" spans="1:10" ht="30" customHeight="1" thickBot="1" x14ac:dyDescent="0.35">
      <c r="A8" s="12"/>
      <c r="B8" s="96" t="s">
        <v>181</v>
      </c>
      <c r="C8" s="97"/>
      <c r="D8" s="97"/>
      <c r="E8" s="11">
        <v>5</v>
      </c>
      <c r="F8" s="47">
        <v>3.75</v>
      </c>
      <c r="G8" s="48">
        <f>IFERROR(F8/E8,"")</f>
        <v>0.75</v>
      </c>
      <c r="H8" s="31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51"/>
      <c r="J8" s="52"/>
    </row>
    <row r="9" spans="1:10" ht="39.9" customHeight="1" thickBot="1" x14ac:dyDescent="0.35">
      <c r="A9" s="12"/>
      <c r="B9" s="96" t="s">
        <v>182</v>
      </c>
      <c r="C9" s="97"/>
      <c r="D9" s="97"/>
      <c r="E9" s="11">
        <v>5</v>
      </c>
      <c r="F9" s="47">
        <v>3.5</v>
      </c>
      <c r="G9" s="48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1"/>
      <c r="J9" s="52"/>
    </row>
    <row r="10" spans="1:10" ht="30" customHeight="1" thickBot="1" x14ac:dyDescent="0.35">
      <c r="A10" s="12"/>
      <c r="B10" s="96" t="s">
        <v>183</v>
      </c>
      <c r="C10" s="97"/>
      <c r="D10" s="97"/>
      <c r="E10" s="11">
        <v>5</v>
      </c>
      <c r="F10" s="47">
        <v>4</v>
      </c>
      <c r="G10" s="48">
        <f t="shared" ref="G10:G37" si="0">IFERROR(F10/E10,"")</f>
        <v>0.8</v>
      </c>
      <c r="H10" s="31" t="str">
        <f t="shared" ref="H10:H37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1"/>
      <c r="J10" s="52"/>
    </row>
    <row r="11" spans="1:10" ht="30" customHeight="1" thickBot="1" x14ac:dyDescent="0.35">
      <c r="A11" s="12"/>
      <c r="B11" s="96" t="s">
        <v>184</v>
      </c>
      <c r="C11" s="97"/>
      <c r="D11" s="97"/>
      <c r="E11" s="11">
        <v>5</v>
      </c>
      <c r="F11" s="47">
        <v>3.5</v>
      </c>
      <c r="G11" s="48">
        <f t="shared" si="0"/>
        <v>0.7</v>
      </c>
      <c r="H11" s="31" t="str">
        <f t="shared" si="1"/>
        <v>جيد</v>
      </c>
      <c r="I11" s="51"/>
      <c r="J11" s="52"/>
    </row>
    <row r="12" spans="1:10" ht="30" customHeight="1" x14ac:dyDescent="0.3">
      <c r="A12" s="12"/>
      <c r="B12" s="98" t="s">
        <v>185</v>
      </c>
      <c r="C12" s="99"/>
      <c r="D12" s="99"/>
      <c r="E12" s="36"/>
      <c r="F12" s="37"/>
      <c r="G12" s="38"/>
      <c r="H12" s="39"/>
      <c r="I12" s="58"/>
      <c r="J12" s="59"/>
    </row>
    <row r="13" spans="1:10" ht="39.9" customHeight="1" x14ac:dyDescent="0.3">
      <c r="A13" s="12"/>
      <c r="B13" s="100" t="s">
        <v>186</v>
      </c>
      <c r="C13" s="101"/>
      <c r="D13" s="101"/>
      <c r="E13" s="10">
        <v>5</v>
      </c>
      <c r="F13" s="29">
        <v>3.75</v>
      </c>
      <c r="G13" s="34">
        <f t="shared" si="0"/>
        <v>0.75</v>
      </c>
      <c r="H13" s="35" t="str">
        <f t="shared" si="1"/>
        <v>جيد</v>
      </c>
      <c r="I13" s="49"/>
      <c r="J13" s="50"/>
    </row>
    <row r="14" spans="1:10" ht="39.9" customHeight="1" x14ac:dyDescent="0.3">
      <c r="A14" s="12"/>
      <c r="B14" s="100" t="s">
        <v>187</v>
      </c>
      <c r="C14" s="101"/>
      <c r="D14" s="101"/>
      <c r="E14" s="10">
        <v>5</v>
      </c>
      <c r="F14" s="29">
        <v>4</v>
      </c>
      <c r="G14" s="34">
        <f t="shared" si="0"/>
        <v>0.8</v>
      </c>
      <c r="H14" s="35" t="str">
        <f t="shared" si="1"/>
        <v>جيد جداً</v>
      </c>
      <c r="I14" s="49"/>
      <c r="J14" s="50"/>
    </row>
    <row r="15" spans="1:10" ht="30" customHeight="1" x14ac:dyDescent="0.3">
      <c r="A15" s="12"/>
      <c r="B15" s="100" t="s">
        <v>188</v>
      </c>
      <c r="C15" s="101"/>
      <c r="D15" s="101"/>
      <c r="E15" s="10">
        <v>5</v>
      </c>
      <c r="F15" s="29">
        <v>3.75</v>
      </c>
      <c r="G15" s="34">
        <f t="shared" si="0"/>
        <v>0.75</v>
      </c>
      <c r="H15" s="35" t="str">
        <f t="shared" si="1"/>
        <v>جيد</v>
      </c>
      <c r="I15" s="49"/>
      <c r="J15" s="50"/>
    </row>
    <row r="16" spans="1:10" ht="30" customHeight="1" thickBot="1" x14ac:dyDescent="0.35">
      <c r="A16" s="12"/>
      <c r="B16" s="94" t="s">
        <v>189</v>
      </c>
      <c r="C16" s="95"/>
      <c r="D16" s="95"/>
      <c r="E16" s="40">
        <v>5</v>
      </c>
      <c r="F16" s="30">
        <v>3.5</v>
      </c>
      <c r="G16" s="41">
        <f t="shared" si="0"/>
        <v>0.7</v>
      </c>
      <c r="H16" s="42" t="str">
        <f t="shared" si="1"/>
        <v>جيد</v>
      </c>
      <c r="I16" s="60"/>
      <c r="J16" s="61"/>
    </row>
    <row r="17" spans="1:10" ht="30" customHeight="1" x14ac:dyDescent="0.3">
      <c r="A17" s="12"/>
      <c r="B17" s="102" t="s">
        <v>190</v>
      </c>
      <c r="C17" s="103"/>
      <c r="D17" s="103"/>
      <c r="E17" s="8">
        <v>5</v>
      </c>
      <c r="F17" s="28">
        <v>3.75</v>
      </c>
      <c r="G17" s="9">
        <f t="shared" si="0"/>
        <v>0.75</v>
      </c>
      <c r="H17" s="7" t="str">
        <f t="shared" si="1"/>
        <v>جيد</v>
      </c>
      <c r="I17" s="76"/>
      <c r="J17" s="77"/>
    </row>
    <row r="18" spans="1:10" ht="39.9" customHeight="1" thickBot="1" x14ac:dyDescent="0.35">
      <c r="A18" s="12"/>
      <c r="B18" s="104" t="s">
        <v>191</v>
      </c>
      <c r="C18" s="105"/>
      <c r="D18" s="105"/>
      <c r="E18" s="43">
        <v>5</v>
      </c>
      <c r="F18" s="44">
        <v>3.5</v>
      </c>
      <c r="G18" s="45">
        <f t="shared" si="0"/>
        <v>0.7</v>
      </c>
      <c r="H18" s="46" t="str">
        <f t="shared" si="1"/>
        <v>جيد</v>
      </c>
      <c r="I18" s="56"/>
      <c r="J18" s="57"/>
    </row>
    <row r="19" spans="1:10" ht="39.9" customHeight="1" x14ac:dyDescent="0.3">
      <c r="A19" s="12"/>
      <c r="B19" s="106" t="s">
        <v>192</v>
      </c>
      <c r="C19" s="107"/>
      <c r="D19" s="107"/>
      <c r="E19" s="36"/>
      <c r="F19" s="37"/>
      <c r="G19" s="38"/>
      <c r="H19" s="39"/>
      <c r="I19" s="58"/>
      <c r="J19" s="59"/>
    </row>
    <row r="20" spans="1:10" ht="30" customHeight="1" x14ac:dyDescent="0.3">
      <c r="A20" s="12"/>
      <c r="B20" s="100" t="s">
        <v>193</v>
      </c>
      <c r="C20" s="101"/>
      <c r="D20" s="101"/>
      <c r="E20" s="10">
        <v>5</v>
      </c>
      <c r="F20" s="29">
        <v>3.75</v>
      </c>
      <c r="G20" s="34">
        <f t="shared" si="0"/>
        <v>0.75</v>
      </c>
      <c r="H20" s="35" t="str">
        <f t="shared" si="1"/>
        <v>جيد</v>
      </c>
      <c r="I20" s="49"/>
      <c r="J20" s="50"/>
    </row>
    <row r="21" spans="1:10" ht="30" customHeight="1" x14ac:dyDescent="0.3">
      <c r="A21" s="12"/>
      <c r="B21" s="100" t="s">
        <v>194</v>
      </c>
      <c r="C21" s="101"/>
      <c r="D21" s="101"/>
      <c r="E21" s="10">
        <v>5</v>
      </c>
      <c r="F21" s="29">
        <v>4</v>
      </c>
      <c r="G21" s="34">
        <f t="shared" si="0"/>
        <v>0.8</v>
      </c>
      <c r="H21" s="35" t="str">
        <f t="shared" si="1"/>
        <v>جيد جداً</v>
      </c>
      <c r="I21" s="49"/>
      <c r="J21" s="50"/>
    </row>
    <row r="22" spans="1:10" ht="39.9" customHeight="1" thickBot="1" x14ac:dyDescent="0.35">
      <c r="A22" s="12"/>
      <c r="B22" s="94" t="s">
        <v>195</v>
      </c>
      <c r="C22" s="95"/>
      <c r="D22" s="95"/>
      <c r="E22" s="40">
        <v>5</v>
      </c>
      <c r="F22" s="30">
        <v>3.75</v>
      </c>
      <c r="G22" s="41">
        <f t="shared" si="0"/>
        <v>0.75</v>
      </c>
      <c r="H22" s="42" t="str">
        <f t="shared" si="1"/>
        <v>جيد</v>
      </c>
      <c r="I22" s="60"/>
      <c r="J22" s="61"/>
    </row>
    <row r="23" spans="1:10" ht="30" customHeight="1" thickBot="1" x14ac:dyDescent="0.35">
      <c r="A23" s="12"/>
      <c r="B23" s="96" t="s">
        <v>196</v>
      </c>
      <c r="C23" s="97"/>
      <c r="D23" s="97"/>
      <c r="E23" s="11">
        <v>5</v>
      </c>
      <c r="F23" s="47">
        <v>3.75</v>
      </c>
      <c r="G23" s="48">
        <f t="shared" si="0"/>
        <v>0.75</v>
      </c>
      <c r="H23" s="31" t="str">
        <f t="shared" si="1"/>
        <v>جيد</v>
      </c>
      <c r="I23" s="51"/>
      <c r="J23" s="52"/>
    </row>
    <row r="24" spans="1:10" ht="39.9" customHeight="1" thickBot="1" x14ac:dyDescent="0.35">
      <c r="A24" s="12"/>
      <c r="B24" s="96" t="s">
        <v>197</v>
      </c>
      <c r="C24" s="97"/>
      <c r="D24" s="97"/>
      <c r="E24" s="11">
        <v>5</v>
      </c>
      <c r="F24" s="47">
        <v>4</v>
      </c>
      <c r="G24" s="48">
        <f t="shared" si="0"/>
        <v>0.8</v>
      </c>
      <c r="H24" s="31" t="str">
        <f t="shared" si="1"/>
        <v>جيد جداً</v>
      </c>
      <c r="I24" s="51"/>
      <c r="J24" s="52"/>
    </row>
    <row r="25" spans="1:10" ht="30" customHeight="1" x14ac:dyDescent="0.3">
      <c r="A25" s="12"/>
      <c r="B25" s="98" t="s">
        <v>198</v>
      </c>
      <c r="C25" s="99"/>
      <c r="D25" s="99"/>
      <c r="E25" s="36"/>
      <c r="F25" s="37"/>
      <c r="G25" s="38"/>
      <c r="H25" s="39"/>
      <c r="I25" s="58"/>
      <c r="J25" s="59"/>
    </row>
    <row r="26" spans="1:10" ht="30" customHeight="1" x14ac:dyDescent="0.3">
      <c r="A26" s="12"/>
      <c r="B26" s="100" t="s">
        <v>199</v>
      </c>
      <c r="C26" s="101"/>
      <c r="D26" s="101"/>
      <c r="E26" s="10">
        <v>5</v>
      </c>
      <c r="F26" s="29">
        <v>3.5</v>
      </c>
      <c r="G26" s="34">
        <f t="shared" si="0"/>
        <v>0.7</v>
      </c>
      <c r="H26" s="35" t="str">
        <f t="shared" si="1"/>
        <v>جيد</v>
      </c>
      <c r="I26" s="49"/>
      <c r="J26" s="50"/>
    </row>
    <row r="27" spans="1:10" ht="30" customHeight="1" x14ac:dyDescent="0.3">
      <c r="A27" s="12"/>
      <c r="B27" s="100" t="s">
        <v>200</v>
      </c>
      <c r="C27" s="101"/>
      <c r="D27" s="101"/>
      <c r="E27" s="10">
        <v>5</v>
      </c>
      <c r="F27" s="29">
        <v>3.5</v>
      </c>
      <c r="G27" s="34">
        <f t="shared" si="0"/>
        <v>0.7</v>
      </c>
      <c r="H27" s="35" t="str">
        <f t="shared" si="1"/>
        <v>جيد</v>
      </c>
      <c r="I27" s="49"/>
      <c r="J27" s="50"/>
    </row>
    <row r="28" spans="1:10" ht="30" customHeight="1" x14ac:dyDescent="0.3">
      <c r="A28" s="12"/>
      <c r="B28" s="100" t="s">
        <v>201</v>
      </c>
      <c r="C28" s="101"/>
      <c r="D28" s="101"/>
      <c r="E28" s="10">
        <v>5</v>
      </c>
      <c r="F28" s="29">
        <v>3.75</v>
      </c>
      <c r="G28" s="34">
        <f t="shared" si="0"/>
        <v>0.75</v>
      </c>
      <c r="H28" s="35" t="str">
        <f t="shared" si="1"/>
        <v>جيد</v>
      </c>
      <c r="I28" s="49"/>
      <c r="J28" s="50"/>
    </row>
    <row r="29" spans="1:10" ht="30" customHeight="1" x14ac:dyDescent="0.3">
      <c r="A29" s="12"/>
      <c r="B29" s="100" t="s">
        <v>202</v>
      </c>
      <c r="C29" s="101"/>
      <c r="D29" s="101"/>
      <c r="E29" s="10">
        <v>5</v>
      </c>
      <c r="F29" s="29">
        <v>4</v>
      </c>
      <c r="G29" s="34">
        <f t="shared" si="0"/>
        <v>0.8</v>
      </c>
      <c r="H29" s="35" t="str">
        <f t="shared" si="1"/>
        <v>جيد جداً</v>
      </c>
      <c r="I29" s="49"/>
      <c r="J29" s="50"/>
    </row>
    <row r="30" spans="1:10" ht="30" customHeight="1" x14ac:dyDescent="0.3">
      <c r="A30" s="12"/>
      <c r="B30" s="100" t="s">
        <v>203</v>
      </c>
      <c r="C30" s="101"/>
      <c r="D30" s="101"/>
      <c r="E30" s="10">
        <v>5</v>
      </c>
      <c r="F30" s="29">
        <v>3.75</v>
      </c>
      <c r="G30" s="34">
        <f t="shared" si="0"/>
        <v>0.75</v>
      </c>
      <c r="H30" s="35" t="str">
        <f t="shared" si="1"/>
        <v>جيد</v>
      </c>
      <c r="I30" s="49"/>
      <c r="J30" s="50"/>
    </row>
    <row r="31" spans="1:10" ht="30" customHeight="1" x14ac:dyDescent="0.3">
      <c r="A31" s="12"/>
      <c r="B31" s="100" t="s">
        <v>204</v>
      </c>
      <c r="C31" s="101"/>
      <c r="D31" s="101"/>
      <c r="E31" s="10">
        <v>5</v>
      </c>
      <c r="F31" s="29">
        <v>3.75</v>
      </c>
      <c r="G31" s="34">
        <f t="shared" si="0"/>
        <v>0.75</v>
      </c>
      <c r="H31" s="35" t="str">
        <f t="shared" si="1"/>
        <v>جيد</v>
      </c>
      <c r="I31" s="49"/>
      <c r="J31" s="50"/>
    </row>
    <row r="32" spans="1:10" ht="30" customHeight="1" x14ac:dyDescent="0.3">
      <c r="A32" s="12"/>
      <c r="B32" s="100" t="s">
        <v>205</v>
      </c>
      <c r="C32" s="101"/>
      <c r="D32" s="101"/>
      <c r="E32" s="10">
        <v>5</v>
      </c>
      <c r="F32" s="29">
        <v>3.5</v>
      </c>
      <c r="G32" s="34">
        <f t="shared" si="0"/>
        <v>0.7</v>
      </c>
      <c r="H32" s="35" t="str">
        <f t="shared" si="1"/>
        <v>جيد</v>
      </c>
      <c r="I32" s="49"/>
      <c r="J32" s="50"/>
    </row>
    <row r="33" spans="1:10" ht="30" customHeight="1" x14ac:dyDescent="0.3">
      <c r="A33" s="12"/>
      <c r="B33" s="100" t="s">
        <v>206</v>
      </c>
      <c r="C33" s="101"/>
      <c r="D33" s="101"/>
      <c r="E33" s="10">
        <v>5</v>
      </c>
      <c r="F33" s="29">
        <v>3.5</v>
      </c>
      <c r="G33" s="34">
        <f t="shared" si="0"/>
        <v>0.7</v>
      </c>
      <c r="H33" s="35" t="str">
        <f t="shared" si="1"/>
        <v>جيد</v>
      </c>
      <c r="I33" s="49"/>
      <c r="J33" s="50"/>
    </row>
    <row r="34" spans="1:10" ht="30" customHeight="1" x14ac:dyDescent="0.3">
      <c r="A34" s="12"/>
      <c r="B34" s="100" t="s">
        <v>207</v>
      </c>
      <c r="C34" s="101"/>
      <c r="D34" s="101"/>
      <c r="E34" s="10">
        <v>5</v>
      </c>
      <c r="F34" s="29">
        <v>3.5</v>
      </c>
      <c r="G34" s="34">
        <f t="shared" si="0"/>
        <v>0.7</v>
      </c>
      <c r="H34" s="35" t="str">
        <f t="shared" si="1"/>
        <v>جيد</v>
      </c>
      <c r="I34" s="49"/>
      <c r="J34" s="50"/>
    </row>
    <row r="35" spans="1:10" ht="30" customHeight="1" x14ac:dyDescent="0.3">
      <c r="A35" s="12"/>
      <c r="B35" s="100" t="s">
        <v>208</v>
      </c>
      <c r="C35" s="101"/>
      <c r="D35" s="101"/>
      <c r="E35" s="10">
        <v>5</v>
      </c>
      <c r="F35" s="29">
        <v>3.75</v>
      </c>
      <c r="G35" s="34">
        <f t="shared" si="0"/>
        <v>0.75</v>
      </c>
      <c r="H35" s="35" t="str">
        <f t="shared" si="1"/>
        <v>جيد</v>
      </c>
      <c r="I35" s="49"/>
      <c r="J35" s="50"/>
    </row>
    <row r="36" spans="1:10" ht="30" customHeight="1" x14ac:dyDescent="0.3">
      <c r="A36" s="12"/>
      <c r="B36" s="100" t="s">
        <v>209</v>
      </c>
      <c r="C36" s="101"/>
      <c r="D36" s="101"/>
      <c r="E36" s="10">
        <v>5</v>
      </c>
      <c r="F36" s="29">
        <v>4</v>
      </c>
      <c r="G36" s="34">
        <f t="shared" si="0"/>
        <v>0.8</v>
      </c>
      <c r="H36" s="35" t="str">
        <f t="shared" si="1"/>
        <v>جيد جداً</v>
      </c>
      <c r="I36" s="49"/>
      <c r="J36" s="50"/>
    </row>
    <row r="37" spans="1:10" ht="30" customHeight="1" thickBot="1" x14ac:dyDescent="0.35">
      <c r="A37" s="12"/>
      <c r="B37" s="94" t="s">
        <v>210</v>
      </c>
      <c r="C37" s="95"/>
      <c r="D37" s="95"/>
      <c r="E37" s="40">
        <v>5</v>
      </c>
      <c r="F37" s="30">
        <v>3.5</v>
      </c>
      <c r="G37" s="41">
        <f t="shared" si="0"/>
        <v>0.7</v>
      </c>
      <c r="H37" s="42" t="str">
        <f t="shared" si="1"/>
        <v>جيد</v>
      </c>
      <c r="I37" s="60"/>
      <c r="J37" s="61"/>
    </row>
    <row r="38" spans="1:10" ht="30" customHeight="1" thickBot="1" x14ac:dyDescent="0.35">
      <c r="A38" s="4"/>
      <c r="B38" s="53" t="s">
        <v>5</v>
      </c>
      <c r="C38" s="54"/>
      <c r="D38" s="54"/>
      <c r="E38" s="33">
        <f>SUM(E8:E37)</f>
        <v>135</v>
      </c>
      <c r="F38" s="33">
        <f>SUM(F8:F37)</f>
        <v>100.25</v>
      </c>
      <c r="G38" s="80"/>
      <c r="H38" s="81"/>
      <c r="I38" s="81"/>
      <c r="J38" s="82"/>
    </row>
    <row r="39" spans="1:10" ht="30" customHeight="1" thickBot="1" x14ac:dyDescent="0.35">
      <c r="A39" s="4"/>
      <c r="B39" s="74" t="s">
        <v>54</v>
      </c>
      <c r="C39" s="75"/>
      <c r="D39" s="75"/>
      <c r="E39" s="90">
        <f>F38/E38/100*100</f>
        <v>0.74259259259259258</v>
      </c>
      <c r="F39" s="90"/>
      <c r="G39" s="90"/>
      <c r="H39" s="90"/>
      <c r="I39" s="90"/>
      <c r="J39" s="91"/>
    </row>
    <row r="40" spans="1:10" ht="30" customHeight="1" thickBot="1" x14ac:dyDescent="0.35">
      <c r="A40" s="4"/>
      <c r="B40" s="74" t="s">
        <v>55</v>
      </c>
      <c r="C40" s="75"/>
      <c r="D40" s="75"/>
      <c r="E40" s="72" t="str">
        <f>_xlfn.IFS(E39&gt;=90%,"ممتاز",E39&gt;=80%,"جيد جداً",E39&gt;=70%,"جيد",E39&gt;=60%,"مقبول",E39&lt;60%,"راسب")</f>
        <v>جيد</v>
      </c>
      <c r="F40" s="72"/>
      <c r="G40" s="72"/>
      <c r="H40" s="72"/>
      <c r="I40" s="72"/>
      <c r="J40" s="73"/>
    </row>
    <row r="41" spans="1:10" ht="42" customHeight="1" x14ac:dyDescent="0.3">
      <c r="B41" s="68" t="s">
        <v>174</v>
      </c>
      <c r="C41" s="68"/>
      <c r="D41" s="68"/>
      <c r="E41" s="78" t="s">
        <v>52</v>
      </c>
      <c r="F41" s="78"/>
      <c r="G41" s="70" t="s">
        <v>120</v>
      </c>
      <c r="H41" s="70"/>
      <c r="I41" s="70"/>
      <c r="J41" s="70"/>
    </row>
    <row r="42" spans="1:10" ht="51" customHeight="1" x14ac:dyDescent="0.3">
      <c r="A42" s="5"/>
      <c r="B42" s="69"/>
      <c r="C42" s="69"/>
      <c r="D42" s="69"/>
      <c r="E42" s="79" t="s">
        <v>53</v>
      </c>
      <c r="F42" s="79"/>
      <c r="G42" s="71"/>
      <c r="H42" s="71"/>
      <c r="I42" s="71"/>
      <c r="J42" s="7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3">
    <mergeCell ref="B20:D20"/>
    <mergeCell ref="B21:D21"/>
    <mergeCell ref="B35:D35"/>
    <mergeCell ref="B36:D36"/>
    <mergeCell ref="B37:D37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15:D15"/>
    <mergeCell ref="B16:D16"/>
    <mergeCell ref="B17:D17"/>
    <mergeCell ref="B18:D18"/>
    <mergeCell ref="B19:D19"/>
    <mergeCell ref="E41:F41"/>
    <mergeCell ref="E42:F42"/>
    <mergeCell ref="G38:J38"/>
    <mergeCell ref="B1:J1"/>
    <mergeCell ref="F2:J2"/>
    <mergeCell ref="B5:D6"/>
    <mergeCell ref="C2:D2"/>
    <mergeCell ref="C3:D3"/>
    <mergeCell ref="F3:J3"/>
    <mergeCell ref="E39:J39"/>
    <mergeCell ref="B7:D7"/>
    <mergeCell ref="I30:J30"/>
    <mergeCell ref="I31:J31"/>
    <mergeCell ref="E5:H5"/>
    <mergeCell ref="I37:J37"/>
    <mergeCell ref="B22:D22"/>
    <mergeCell ref="I7:J7"/>
    <mergeCell ref="I10:J10"/>
    <mergeCell ref="B41:D42"/>
    <mergeCell ref="G41:J41"/>
    <mergeCell ref="G42:J42"/>
    <mergeCell ref="E40:J40"/>
    <mergeCell ref="B39:D39"/>
    <mergeCell ref="B40:D40"/>
    <mergeCell ref="I11:J11"/>
    <mergeCell ref="I12:J12"/>
    <mergeCell ref="I13:J13"/>
    <mergeCell ref="I14:J14"/>
    <mergeCell ref="I15:J15"/>
    <mergeCell ref="I16:J16"/>
    <mergeCell ref="I17:J17"/>
    <mergeCell ref="I9:J9"/>
    <mergeCell ref="F4:J4"/>
    <mergeCell ref="C4:D4"/>
    <mergeCell ref="I32:J32"/>
    <mergeCell ref="I33:J33"/>
    <mergeCell ref="I34:J34"/>
    <mergeCell ref="I18:J18"/>
    <mergeCell ref="I28:J28"/>
    <mergeCell ref="I29:J29"/>
    <mergeCell ref="I19:J19"/>
    <mergeCell ref="I20:J20"/>
    <mergeCell ref="I21:J21"/>
    <mergeCell ref="I22:J22"/>
    <mergeCell ref="I23:J23"/>
    <mergeCell ref="I24:J24"/>
    <mergeCell ref="I25:J25"/>
    <mergeCell ref="I5:J6"/>
    <mergeCell ref="I35:J35"/>
    <mergeCell ref="I36:J36"/>
    <mergeCell ref="I8:J8"/>
    <mergeCell ref="B38:D38"/>
    <mergeCell ref="I26:J26"/>
    <mergeCell ref="I27:J27"/>
    <mergeCell ref="B23:D23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0">
    <cfRule type="expression" dxfId="14" priority="57">
      <formula>$E40="راسب"</formula>
    </cfRule>
  </conditionalFormatting>
  <conditionalFormatting sqref="E40:J40">
    <cfRule type="expression" dxfId="13" priority="60">
      <formula>$E40="جيد جداً"</formula>
    </cfRule>
    <cfRule type="expression" dxfId="12" priority="59">
      <formula>$E40="جيد"</formula>
    </cfRule>
    <cfRule type="expression" dxfId="11" priority="58">
      <formula>$E40="مقبول"</formula>
    </cfRule>
    <cfRule type="expression" dxfId="10" priority="61">
      <formula>$E40="ممتاز"</formula>
    </cfRule>
  </conditionalFormatting>
  <conditionalFormatting sqref="F8:F3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1:J41">
    <cfRule type="containsText" dxfId="6" priority="15" operator="containsText" text="أدخل اسم المحكم">
      <formula>NOT(ISERROR(SEARCH("أدخل اسم المحكم",G41)))</formula>
    </cfRule>
  </conditionalFormatting>
  <conditionalFormatting sqref="H8:H37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F26:F37 F20:F24 F8:F11 F13:F18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G41:J41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1" t="s">
        <v>62</v>
      </c>
    </row>
    <row r="3" spans="1:3" ht="20.100000000000001" customHeight="1" thickBot="1" x14ac:dyDescent="0.35">
      <c r="A3" s="2" t="s">
        <v>26</v>
      </c>
      <c r="C3" s="21" t="s">
        <v>63</v>
      </c>
    </row>
    <row r="4" spans="1:3" ht="20.100000000000001" customHeight="1" thickBot="1" x14ac:dyDescent="0.35">
      <c r="A4" s="2" t="s">
        <v>36</v>
      </c>
      <c r="C4" s="21" t="s">
        <v>64</v>
      </c>
    </row>
    <row r="5" spans="1:3" ht="20.100000000000001" customHeight="1" thickBot="1" x14ac:dyDescent="0.35">
      <c r="A5" s="2" t="s">
        <v>37</v>
      </c>
      <c r="C5" s="21" t="s">
        <v>65</v>
      </c>
    </row>
    <row r="6" spans="1:3" ht="20.100000000000001" customHeight="1" thickBot="1" x14ac:dyDescent="0.35">
      <c r="A6" s="2" t="s">
        <v>38</v>
      </c>
      <c r="C6" s="21" t="s">
        <v>66</v>
      </c>
    </row>
    <row r="7" spans="1:3" ht="20.100000000000001" customHeight="1" thickBot="1" x14ac:dyDescent="0.35">
      <c r="A7" s="2" t="s">
        <v>39</v>
      </c>
      <c r="C7" s="21" t="s">
        <v>67</v>
      </c>
    </row>
    <row r="8" spans="1:3" ht="20.100000000000001" customHeight="1" thickBot="1" x14ac:dyDescent="0.35">
      <c r="A8" s="2" t="s">
        <v>40</v>
      </c>
      <c r="C8" s="21" t="s">
        <v>68</v>
      </c>
    </row>
    <row r="9" spans="1:3" ht="20.100000000000001" customHeight="1" thickBot="1" x14ac:dyDescent="0.35">
      <c r="A9" s="2" t="s">
        <v>41</v>
      </c>
      <c r="C9" s="21" t="s">
        <v>69</v>
      </c>
    </row>
    <row r="10" spans="1:3" ht="20.100000000000001" customHeight="1" thickBot="1" x14ac:dyDescent="0.35">
      <c r="A10" s="2" t="s">
        <v>42</v>
      </c>
      <c r="C10" s="21" t="s">
        <v>70</v>
      </c>
    </row>
    <row r="11" spans="1:3" ht="20.100000000000001" customHeight="1" thickBot="1" x14ac:dyDescent="0.35">
      <c r="A11" s="2" t="s">
        <v>43</v>
      </c>
      <c r="C11" s="21" t="s">
        <v>71</v>
      </c>
    </row>
    <row r="12" spans="1:3" ht="20.100000000000001" customHeight="1" thickBot="1" x14ac:dyDescent="0.35">
      <c r="A12" s="2" t="s">
        <v>44</v>
      </c>
      <c r="C12" s="21" t="s">
        <v>72</v>
      </c>
    </row>
    <row r="13" spans="1:3" ht="20.100000000000001" customHeight="1" thickBot="1" x14ac:dyDescent="0.35">
      <c r="A13" s="2" t="s">
        <v>45</v>
      </c>
      <c r="C13" s="21" t="s">
        <v>73</v>
      </c>
    </row>
    <row r="14" spans="1:3" ht="20.100000000000001" customHeight="1" thickBot="1" x14ac:dyDescent="0.35">
      <c r="A14" s="2" t="s">
        <v>46</v>
      </c>
      <c r="C14" s="21" t="s">
        <v>74</v>
      </c>
    </row>
    <row r="15" spans="1:3" ht="20.100000000000001" customHeight="1" thickBot="1" x14ac:dyDescent="0.35">
      <c r="A15" s="2" t="s">
        <v>47</v>
      </c>
      <c r="C15" s="21" t="s">
        <v>75</v>
      </c>
    </row>
    <row r="16" spans="1:3" ht="20.100000000000001" customHeight="1" thickBot="1" x14ac:dyDescent="0.35">
      <c r="A16" s="2" t="s">
        <v>10</v>
      </c>
      <c r="C16" s="21" t="s">
        <v>76</v>
      </c>
    </row>
    <row r="17" spans="1:3" ht="20.100000000000001" customHeight="1" thickBot="1" x14ac:dyDescent="0.35">
      <c r="A17" s="2" t="s">
        <v>27</v>
      </c>
      <c r="C17" s="21" t="s">
        <v>77</v>
      </c>
    </row>
    <row r="18" spans="1:3" ht="20.100000000000001" customHeight="1" thickBot="1" x14ac:dyDescent="0.35">
      <c r="A18" s="2" t="s">
        <v>48</v>
      </c>
      <c r="C18" s="21" t="s">
        <v>78</v>
      </c>
    </row>
    <row r="19" spans="1:3" ht="20.100000000000001" customHeight="1" thickBot="1" x14ac:dyDescent="0.35">
      <c r="A19" s="2" t="s">
        <v>49</v>
      </c>
      <c r="C19" s="21" t="s">
        <v>79</v>
      </c>
    </row>
    <row r="20" spans="1:3" ht="20.100000000000001" customHeight="1" thickBot="1" x14ac:dyDescent="0.35">
      <c r="A20" s="2" t="s">
        <v>50</v>
      </c>
      <c r="C20" s="21" t="s">
        <v>80</v>
      </c>
    </row>
    <row r="21" spans="1:3" ht="20.100000000000001" customHeight="1" thickBot="1" x14ac:dyDescent="0.35">
      <c r="A21" s="2" t="s">
        <v>51</v>
      </c>
      <c r="C21" s="21" t="s">
        <v>81</v>
      </c>
    </row>
    <row r="22" spans="1:3" ht="20.100000000000001" customHeight="1" thickBot="1" x14ac:dyDescent="0.35">
      <c r="A22" s="2" t="s">
        <v>11</v>
      </c>
      <c r="C22" s="21" t="s">
        <v>82</v>
      </c>
    </row>
    <row r="23" spans="1:3" ht="20.100000000000001" customHeight="1" thickBot="1" x14ac:dyDescent="0.35">
      <c r="A23" s="2" t="s">
        <v>12</v>
      </c>
      <c r="C23" s="21" t="s">
        <v>83</v>
      </c>
    </row>
    <row r="24" spans="1:3" ht="20.100000000000001" customHeight="1" thickBot="1" x14ac:dyDescent="0.35">
      <c r="A24" s="2" t="s">
        <v>15</v>
      </c>
      <c r="C24" s="21" t="s">
        <v>84</v>
      </c>
    </row>
    <row r="25" spans="1:3" ht="20.100000000000001" customHeight="1" thickBot="1" x14ac:dyDescent="0.35">
      <c r="A25" s="2" t="s">
        <v>28</v>
      </c>
      <c r="C25" s="21" t="s">
        <v>85</v>
      </c>
    </row>
    <row r="26" spans="1:3" ht="20.100000000000001" customHeight="1" thickBot="1" x14ac:dyDescent="0.35">
      <c r="A26" s="2" t="s">
        <v>29</v>
      </c>
      <c r="C26" s="21" t="s">
        <v>86</v>
      </c>
    </row>
    <row r="27" spans="1:3" ht="20.100000000000001" customHeight="1" thickBot="1" x14ac:dyDescent="0.35">
      <c r="A27" s="2" t="s">
        <v>13</v>
      </c>
      <c r="C27" s="21" t="s">
        <v>87</v>
      </c>
    </row>
    <row r="28" spans="1:3" ht="20.100000000000001" customHeight="1" thickBot="1" x14ac:dyDescent="0.35">
      <c r="A28" s="2" t="s">
        <v>30</v>
      </c>
      <c r="C28" s="21" t="s">
        <v>88</v>
      </c>
    </row>
    <row r="29" spans="1:3" ht="20.100000000000001" customHeight="1" thickBot="1" x14ac:dyDescent="0.35">
      <c r="A29" s="2" t="s">
        <v>31</v>
      </c>
      <c r="C29" s="21" t="s">
        <v>177</v>
      </c>
    </row>
    <row r="30" spans="1:3" ht="20.100000000000001" customHeight="1" thickBot="1" x14ac:dyDescent="0.35">
      <c r="A30" s="2" t="s">
        <v>32</v>
      </c>
      <c r="C30" s="21" t="s">
        <v>178</v>
      </c>
    </row>
    <row r="31" spans="1:3" ht="20.100000000000001" customHeight="1" thickBot="1" x14ac:dyDescent="0.35">
      <c r="A31" s="2" t="s">
        <v>33</v>
      </c>
      <c r="C31" s="21" t="s">
        <v>179</v>
      </c>
    </row>
    <row r="32" spans="1:3" ht="20.100000000000001" customHeight="1" thickBot="1" x14ac:dyDescent="0.35">
      <c r="A32" s="2" t="s">
        <v>16</v>
      </c>
      <c r="C32" s="21"/>
    </row>
    <row r="33" spans="1:9" ht="20.100000000000001" customHeight="1" thickBot="1" x14ac:dyDescent="0.35">
      <c r="A33" s="2" t="s">
        <v>14</v>
      </c>
      <c r="C33" s="21"/>
    </row>
    <row r="34" spans="1:9" ht="20.100000000000001" customHeight="1" thickBot="1" x14ac:dyDescent="0.35">
      <c r="A34" s="2" t="s">
        <v>34</v>
      </c>
      <c r="C34" s="21"/>
    </row>
    <row r="35" spans="1:9" ht="20.100000000000001" customHeight="1" x14ac:dyDescent="0.3">
      <c r="A35" s="20"/>
    </row>
    <row r="36" spans="1:9" s="19" customFormat="1" ht="20.100000000000001" customHeight="1" x14ac:dyDescent="0.3">
      <c r="A36" s="17"/>
      <c r="B36" s="18"/>
      <c r="C36" s="18"/>
      <c r="D36" s="18"/>
      <c r="E36" s="18"/>
      <c r="F36" s="18"/>
      <c r="G36" s="18"/>
      <c r="H36" s="18"/>
      <c r="I36" s="18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5">
        <v>45931</v>
      </c>
    </row>
    <row r="40" spans="1:9" ht="20.100000000000001" customHeight="1" thickBot="1" x14ac:dyDescent="0.35">
      <c r="A40" s="15">
        <v>45932</v>
      </c>
    </row>
    <row r="41" spans="1:9" ht="20.100000000000001" customHeight="1" thickBot="1" x14ac:dyDescent="0.35">
      <c r="A41" s="15">
        <v>45933</v>
      </c>
    </row>
    <row r="42" spans="1:9" ht="20.100000000000001" customHeight="1" thickBot="1" x14ac:dyDescent="0.35">
      <c r="A42" s="15">
        <v>45934</v>
      </c>
    </row>
    <row r="43" spans="1:9" ht="20.100000000000001" customHeight="1" thickBot="1" x14ac:dyDescent="0.35">
      <c r="A43" s="15">
        <v>45935</v>
      </c>
    </row>
    <row r="44" spans="1:9" ht="20.100000000000001" customHeight="1" thickBot="1" x14ac:dyDescent="0.35">
      <c r="A44" s="15">
        <v>45936</v>
      </c>
    </row>
    <row r="45" spans="1:9" ht="20.100000000000001" customHeight="1" thickBot="1" x14ac:dyDescent="0.35">
      <c r="A45" s="15">
        <v>45937</v>
      </c>
    </row>
    <row r="46" spans="1:9" ht="20.100000000000001" customHeight="1" thickBot="1" x14ac:dyDescent="0.35">
      <c r="A46" s="15">
        <v>45938</v>
      </c>
    </row>
    <row r="47" spans="1:9" ht="20.100000000000001" customHeight="1" thickBot="1" x14ac:dyDescent="0.35">
      <c r="A47" s="15">
        <v>45939</v>
      </c>
    </row>
    <row r="48" spans="1:9" ht="20.100000000000001" customHeight="1" thickBot="1" x14ac:dyDescent="0.35">
      <c r="A48" s="15">
        <v>45940</v>
      </c>
    </row>
    <row r="49" spans="1:1" ht="20.100000000000001" customHeight="1" thickBot="1" x14ac:dyDescent="0.35">
      <c r="A49" s="15">
        <v>45941</v>
      </c>
    </row>
    <row r="50" spans="1:1" ht="20.100000000000001" customHeight="1" thickBot="1" x14ac:dyDescent="0.35">
      <c r="A50" s="15">
        <v>45942</v>
      </c>
    </row>
    <row r="51" spans="1:1" ht="20.100000000000001" customHeight="1" thickBot="1" x14ac:dyDescent="0.35">
      <c r="A51" s="15">
        <v>45943</v>
      </c>
    </row>
    <row r="52" spans="1:1" ht="20.100000000000001" customHeight="1" thickBot="1" x14ac:dyDescent="0.35">
      <c r="A52" s="15">
        <v>45944</v>
      </c>
    </row>
    <row r="53" spans="1:1" ht="20.100000000000001" customHeight="1" thickBot="1" x14ac:dyDescent="0.35">
      <c r="A53" s="15">
        <v>45945</v>
      </c>
    </row>
    <row r="54" spans="1:1" ht="20.100000000000001" customHeight="1" thickBot="1" x14ac:dyDescent="0.35">
      <c r="A54" s="15">
        <v>45946</v>
      </c>
    </row>
    <row r="55" spans="1:1" ht="20.100000000000001" customHeight="1" thickBot="1" x14ac:dyDescent="0.35">
      <c r="A55" s="15">
        <v>45947</v>
      </c>
    </row>
    <row r="56" spans="1:1" ht="20.100000000000001" customHeight="1" thickBot="1" x14ac:dyDescent="0.35">
      <c r="A56" s="15">
        <v>45948</v>
      </c>
    </row>
    <row r="57" spans="1:1" ht="20.100000000000001" customHeight="1" thickBot="1" x14ac:dyDescent="0.35">
      <c r="A57" s="15">
        <v>45949</v>
      </c>
    </row>
    <row r="58" spans="1:1" ht="20.100000000000001" customHeight="1" thickBot="1" x14ac:dyDescent="0.35">
      <c r="A58" s="15">
        <v>45950</v>
      </c>
    </row>
    <row r="59" spans="1:1" ht="20.100000000000001" customHeight="1" thickBot="1" x14ac:dyDescent="0.35">
      <c r="A59" s="15">
        <v>45951</v>
      </c>
    </row>
    <row r="60" spans="1:1" ht="20.100000000000001" customHeight="1" thickBot="1" x14ac:dyDescent="0.35">
      <c r="A60" s="15">
        <v>45952</v>
      </c>
    </row>
    <row r="61" spans="1:1" ht="20.100000000000001" customHeight="1" thickBot="1" x14ac:dyDescent="0.35">
      <c r="A61" s="15">
        <v>45953</v>
      </c>
    </row>
    <row r="62" spans="1:1" ht="20.100000000000001" customHeight="1" thickBot="1" x14ac:dyDescent="0.35">
      <c r="A62" s="15">
        <v>45954</v>
      </c>
    </row>
    <row r="63" spans="1:1" ht="20.100000000000001" customHeight="1" thickBot="1" x14ac:dyDescent="0.35">
      <c r="A63" s="15">
        <v>45955</v>
      </c>
    </row>
    <row r="64" spans="1:1" ht="20.100000000000001" customHeight="1" thickBot="1" x14ac:dyDescent="0.35">
      <c r="A64" s="15">
        <v>45956</v>
      </c>
    </row>
    <row r="65" spans="1:1" ht="20.100000000000001" customHeight="1" thickBot="1" x14ac:dyDescent="0.35">
      <c r="A65" s="15">
        <v>45957</v>
      </c>
    </row>
    <row r="66" spans="1:1" ht="20.100000000000001" customHeight="1" thickBot="1" x14ac:dyDescent="0.35">
      <c r="A66" s="15">
        <v>45958</v>
      </c>
    </row>
    <row r="67" spans="1:1" ht="20.100000000000001" customHeight="1" thickBot="1" x14ac:dyDescent="0.35">
      <c r="A67" s="15">
        <v>45959</v>
      </c>
    </row>
    <row r="68" spans="1:1" ht="20.100000000000001" customHeight="1" thickBot="1" x14ac:dyDescent="0.35">
      <c r="A68" s="15">
        <v>45960</v>
      </c>
    </row>
    <row r="69" spans="1:1" ht="20.100000000000001" customHeight="1" thickBot="1" x14ac:dyDescent="0.35">
      <c r="A69" s="15">
        <v>45961</v>
      </c>
    </row>
    <row r="70" spans="1:1" ht="20.100000000000001" customHeight="1" thickBot="1" x14ac:dyDescent="0.35">
      <c r="A70" s="15"/>
    </row>
    <row r="71" spans="1:1" ht="20.100000000000001" customHeight="1" thickBot="1" x14ac:dyDescent="0.35">
      <c r="A71" s="15"/>
    </row>
    <row r="72" spans="1:1" ht="20.100000000000001" customHeight="1" thickBot="1" x14ac:dyDescent="0.35">
      <c r="A72" s="15"/>
    </row>
    <row r="73" spans="1:1" ht="20.100000000000001" customHeight="1" thickBot="1" x14ac:dyDescent="0.35">
      <c r="A73" s="15"/>
    </row>
    <row r="74" spans="1:1" ht="20.100000000000001" customHeight="1" thickBot="1" x14ac:dyDescent="0.35">
      <c r="A74" s="15"/>
    </row>
    <row r="75" spans="1:1" ht="20.100000000000001" customHeight="1" thickBot="1" x14ac:dyDescent="0.35">
      <c r="A75" s="15"/>
    </row>
    <row r="76" spans="1:1" ht="20.100000000000001" customHeight="1" thickBot="1" x14ac:dyDescent="0.35">
      <c r="A76" s="15"/>
    </row>
    <row r="77" spans="1:1" ht="20.100000000000001" customHeight="1" thickBot="1" x14ac:dyDescent="0.35">
      <c r="A77" s="15"/>
    </row>
    <row r="78" spans="1:1" ht="20.100000000000001" customHeight="1" thickBot="1" x14ac:dyDescent="0.35">
      <c r="A78" s="15"/>
    </row>
    <row r="79" spans="1:1" ht="20.100000000000001" customHeight="1" thickBot="1" x14ac:dyDescent="0.35">
      <c r="A79" s="15"/>
    </row>
    <row r="80" spans="1:1" ht="20.100000000000001" customHeight="1" thickBot="1" x14ac:dyDescent="0.35">
      <c r="A80" s="15"/>
    </row>
    <row r="81" spans="1:1" ht="20.100000000000001" customHeight="1" thickBot="1" x14ac:dyDescent="0.35">
      <c r="A81" s="15"/>
    </row>
    <row r="82" spans="1:1" ht="20.100000000000001" customHeight="1" thickBot="1" x14ac:dyDescent="0.35">
      <c r="A82" s="15"/>
    </row>
    <row r="83" spans="1:1" ht="20.100000000000001" customHeight="1" thickBot="1" x14ac:dyDescent="0.35">
      <c r="A83" s="15"/>
    </row>
    <row r="84" spans="1:1" ht="20.100000000000001" customHeight="1" thickBot="1" x14ac:dyDescent="0.35">
      <c r="A84" s="15"/>
    </row>
    <row r="85" spans="1:1" ht="20.100000000000001" customHeight="1" thickBot="1" x14ac:dyDescent="0.35">
      <c r="A85" s="15"/>
    </row>
    <row r="86" spans="1:1" ht="20.100000000000001" customHeight="1" thickBot="1" x14ac:dyDescent="0.35">
      <c r="A86" s="15"/>
    </row>
    <row r="87" spans="1:1" ht="20.100000000000001" customHeight="1" thickBot="1" x14ac:dyDescent="0.35">
      <c r="A87" s="15"/>
    </row>
    <row r="88" spans="1:1" ht="20.100000000000001" customHeight="1" thickBot="1" x14ac:dyDescent="0.35">
      <c r="A88" s="15"/>
    </row>
    <row r="89" spans="1:1" ht="20.100000000000001" customHeight="1" thickBot="1" x14ac:dyDescent="0.35">
      <c r="A89" s="15"/>
    </row>
    <row r="90" spans="1:1" ht="20.100000000000001" customHeight="1" thickBot="1" x14ac:dyDescent="0.35">
      <c r="A90" s="15"/>
    </row>
    <row r="91" spans="1:1" ht="20.100000000000001" customHeight="1" thickBot="1" x14ac:dyDescent="0.35">
      <c r="A91" s="15"/>
    </row>
    <row r="92" spans="1:1" ht="20.100000000000001" customHeight="1" thickBot="1" x14ac:dyDescent="0.35">
      <c r="A92" s="15"/>
    </row>
    <row r="93" spans="1:1" ht="20.100000000000001" customHeight="1" thickBot="1" x14ac:dyDescent="0.35">
      <c r="A93" s="15"/>
    </row>
    <row r="94" spans="1:1" ht="20.100000000000001" customHeight="1" thickBot="1" x14ac:dyDescent="0.35">
      <c r="A94" s="15"/>
    </row>
    <row r="95" spans="1:1" ht="20.100000000000001" customHeight="1" thickBot="1" x14ac:dyDescent="0.35">
      <c r="A95" s="15"/>
    </row>
    <row r="96" spans="1:1" ht="20.100000000000001" customHeight="1" thickBot="1" x14ac:dyDescent="0.35">
      <c r="A96" s="15"/>
    </row>
    <row r="97" spans="1:9" ht="20.100000000000001" customHeight="1" thickBot="1" x14ac:dyDescent="0.35">
      <c r="A97" s="15"/>
    </row>
    <row r="98" spans="1:9" ht="20.100000000000001" customHeight="1" thickBot="1" x14ac:dyDescent="0.35">
      <c r="A98" s="15"/>
    </row>
    <row r="99" spans="1:9" ht="20.100000000000001" customHeight="1" thickBot="1" x14ac:dyDescent="0.35">
      <c r="A99" s="15"/>
    </row>
    <row r="100" spans="1:9" ht="20.100000000000001" customHeight="1" thickBot="1" x14ac:dyDescent="0.35">
      <c r="A100" s="15"/>
    </row>
    <row r="101" spans="1:9" ht="20.100000000000001" customHeight="1" thickBot="1" x14ac:dyDescent="0.35">
      <c r="A101" s="15"/>
    </row>
    <row r="102" spans="1:9" ht="20.100000000000001" customHeight="1" thickBot="1" x14ac:dyDescent="0.35">
      <c r="A102" s="15"/>
    </row>
    <row r="103" spans="1:9" ht="20.100000000000001" customHeight="1" thickBot="1" x14ac:dyDescent="0.35">
      <c r="A103" s="15"/>
    </row>
    <row r="104" spans="1:9" ht="20.100000000000001" customHeight="1" thickBot="1" x14ac:dyDescent="0.35">
      <c r="A104" s="15"/>
    </row>
    <row r="105" spans="1:9" ht="20.100000000000001" customHeight="1" thickBot="1" x14ac:dyDescent="0.35">
      <c r="A105" s="15"/>
    </row>
    <row r="106" spans="1:9" ht="20.100000000000001" customHeight="1" thickBot="1" x14ac:dyDescent="0.35">
      <c r="A106" s="15"/>
    </row>
    <row r="107" spans="1:9" ht="20.100000000000001" customHeight="1" x14ac:dyDescent="0.3">
      <c r="A107" s="16"/>
    </row>
    <row r="108" spans="1:9" ht="20.100000000000001" customHeight="1" x14ac:dyDescent="0.3">
      <c r="A108" s="16"/>
    </row>
    <row r="109" spans="1:9" s="19" customFormat="1" ht="20.100000000000001" customHeight="1" x14ac:dyDescent="0.3">
      <c r="A109" s="17"/>
      <c r="B109" s="18"/>
      <c r="C109" s="18"/>
      <c r="D109" s="18"/>
      <c r="E109" s="18"/>
      <c r="F109" s="18"/>
      <c r="G109" s="18"/>
      <c r="H109" s="18"/>
      <c r="I109" s="18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2" t="s">
        <v>89</v>
      </c>
    </row>
    <row r="200" spans="1:1" ht="20.100000000000001" customHeight="1" x14ac:dyDescent="0.3">
      <c r="A200" s="22" t="s">
        <v>90</v>
      </c>
    </row>
    <row r="201" spans="1:1" ht="20.100000000000001" customHeight="1" x14ac:dyDescent="0.3">
      <c r="A201" s="22" t="s">
        <v>91</v>
      </c>
    </row>
    <row r="202" spans="1:1" ht="20.100000000000001" customHeight="1" x14ac:dyDescent="0.3">
      <c r="A202" s="22" t="s">
        <v>92</v>
      </c>
    </row>
    <row r="203" spans="1:1" ht="20.100000000000001" customHeight="1" x14ac:dyDescent="0.3">
      <c r="A203" s="22" t="s">
        <v>93</v>
      </c>
    </row>
    <row r="204" spans="1:1" ht="20.100000000000001" customHeight="1" x14ac:dyDescent="0.3">
      <c r="A204" s="22" t="s">
        <v>94</v>
      </c>
    </row>
    <row r="205" spans="1:1" ht="20.100000000000001" customHeight="1" x14ac:dyDescent="0.3">
      <c r="A205" s="22" t="s">
        <v>95</v>
      </c>
    </row>
    <row r="206" spans="1:1" ht="20.100000000000001" customHeight="1" x14ac:dyDescent="0.3">
      <c r="A206" s="22" t="s">
        <v>96</v>
      </c>
    </row>
    <row r="207" spans="1:1" ht="20.100000000000001" customHeight="1" x14ac:dyDescent="0.3">
      <c r="A207" s="22" t="s">
        <v>97</v>
      </c>
    </row>
    <row r="208" spans="1:1" ht="20.100000000000001" customHeight="1" x14ac:dyDescent="0.3">
      <c r="A208" s="23" t="s">
        <v>98</v>
      </c>
    </row>
    <row r="209" spans="1:1" ht="20.100000000000001" customHeight="1" x14ac:dyDescent="0.3">
      <c r="A209" s="23" t="s">
        <v>99</v>
      </c>
    </row>
    <row r="210" spans="1:1" ht="20.100000000000001" customHeight="1" x14ac:dyDescent="0.3">
      <c r="A210" s="22" t="s">
        <v>100</v>
      </c>
    </row>
    <row r="211" spans="1:1" ht="20.100000000000001" customHeight="1" x14ac:dyDescent="0.3">
      <c r="A211" s="22" t="s">
        <v>101</v>
      </c>
    </row>
    <row r="212" spans="1:1" ht="20.100000000000001" customHeight="1" x14ac:dyDescent="0.3">
      <c r="A212" s="22" t="s">
        <v>175</v>
      </c>
    </row>
    <row r="213" spans="1:1" ht="20.100000000000001" customHeight="1" x14ac:dyDescent="0.3">
      <c r="A213" s="22" t="s">
        <v>102</v>
      </c>
    </row>
    <row r="214" spans="1:1" ht="20.100000000000001" customHeight="1" x14ac:dyDescent="0.3">
      <c r="A214" s="22" t="s">
        <v>103</v>
      </c>
    </row>
    <row r="215" spans="1:1" ht="20.100000000000001" customHeight="1" x14ac:dyDescent="0.3">
      <c r="A215" s="22" t="s">
        <v>104</v>
      </c>
    </row>
    <row r="216" spans="1:1" ht="20.100000000000001" customHeight="1" x14ac:dyDescent="0.3">
      <c r="A216" s="22" t="s">
        <v>105</v>
      </c>
    </row>
    <row r="217" spans="1:1" ht="20.100000000000001" customHeight="1" x14ac:dyDescent="0.3">
      <c r="A217" s="22" t="s">
        <v>106</v>
      </c>
    </row>
    <row r="218" spans="1:1" ht="20.100000000000001" customHeight="1" x14ac:dyDescent="0.3">
      <c r="A218" s="22" t="s">
        <v>107</v>
      </c>
    </row>
    <row r="219" spans="1:1" ht="20.100000000000001" customHeight="1" x14ac:dyDescent="0.3">
      <c r="A219" s="22" t="s">
        <v>108</v>
      </c>
    </row>
    <row r="220" spans="1:1" ht="20.100000000000001" customHeight="1" x14ac:dyDescent="0.3">
      <c r="A220" s="22" t="s">
        <v>109</v>
      </c>
    </row>
    <row r="221" spans="1:1" ht="20.100000000000001" customHeight="1" x14ac:dyDescent="0.3">
      <c r="A221" s="22" t="s">
        <v>110</v>
      </c>
    </row>
    <row r="222" spans="1:1" ht="20.100000000000001" customHeight="1" x14ac:dyDescent="0.3">
      <c r="A222" s="22" t="s">
        <v>111</v>
      </c>
    </row>
    <row r="223" spans="1:1" ht="20.100000000000001" customHeight="1" x14ac:dyDescent="0.3">
      <c r="A223" s="22" t="s">
        <v>112</v>
      </c>
    </row>
    <row r="224" spans="1:1" ht="20.100000000000001" customHeight="1" x14ac:dyDescent="0.3">
      <c r="A224" s="22" t="s">
        <v>176</v>
      </c>
    </row>
    <row r="225" spans="1:1" ht="20.100000000000001" customHeight="1" x14ac:dyDescent="0.3">
      <c r="A225" s="22" t="s">
        <v>113</v>
      </c>
    </row>
    <row r="226" spans="1:1" ht="20.100000000000001" customHeight="1" x14ac:dyDescent="0.3">
      <c r="A226" s="22" t="s">
        <v>114</v>
      </c>
    </row>
    <row r="227" spans="1:1" ht="20.100000000000001" customHeight="1" x14ac:dyDescent="0.3">
      <c r="A227" s="22" t="s">
        <v>115</v>
      </c>
    </row>
    <row r="228" spans="1:1" ht="20.100000000000001" customHeight="1" x14ac:dyDescent="0.3">
      <c r="A228" s="22" t="s">
        <v>116</v>
      </c>
    </row>
    <row r="229" spans="1:1" ht="20.100000000000001" customHeight="1" x14ac:dyDescent="0.3">
      <c r="A229" s="22" t="s">
        <v>117</v>
      </c>
    </row>
    <row r="230" spans="1:1" ht="20.100000000000001" customHeight="1" x14ac:dyDescent="0.3">
      <c r="A230" s="22" t="s">
        <v>118</v>
      </c>
    </row>
    <row r="231" spans="1:1" ht="20.100000000000001" customHeight="1" x14ac:dyDescent="0.3">
      <c r="A231" s="22" t="s">
        <v>119</v>
      </c>
    </row>
    <row r="232" spans="1:1" ht="20.100000000000001" customHeight="1" x14ac:dyDescent="0.3">
      <c r="A232" s="22" t="s">
        <v>120</v>
      </c>
    </row>
    <row r="233" spans="1:1" ht="20.100000000000001" customHeight="1" x14ac:dyDescent="0.3">
      <c r="A233" s="22" t="s">
        <v>121</v>
      </c>
    </row>
    <row r="234" spans="1:1" ht="20.100000000000001" customHeight="1" x14ac:dyDescent="0.3">
      <c r="A234" s="22" t="s">
        <v>122</v>
      </c>
    </row>
    <row r="235" spans="1:1" ht="20.100000000000001" customHeight="1" x14ac:dyDescent="0.3">
      <c r="A235" s="22" t="s">
        <v>123</v>
      </c>
    </row>
    <row r="236" spans="1:1" ht="20.100000000000001" customHeight="1" x14ac:dyDescent="0.3">
      <c r="A236" s="24" t="s">
        <v>124</v>
      </c>
    </row>
    <row r="237" spans="1:1" ht="20.100000000000001" customHeight="1" x14ac:dyDescent="0.3">
      <c r="A237" s="22" t="s">
        <v>125</v>
      </c>
    </row>
    <row r="238" spans="1:1" ht="20.100000000000001" customHeight="1" x14ac:dyDescent="0.3">
      <c r="A238" s="22" t="s">
        <v>126</v>
      </c>
    </row>
    <row r="239" spans="1:1" ht="20.100000000000001" customHeight="1" x14ac:dyDescent="0.3">
      <c r="A239" s="22" t="s">
        <v>127</v>
      </c>
    </row>
    <row r="240" spans="1:1" ht="20.100000000000001" customHeight="1" x14ac:dyDescent="0.3">
      <c r="A240" s="22" t="s">
        <v>128</v>
      </c>
    </row>
    <row r="241" spans="1:1" ht="20.100000000000001" customHeight="1" x14ac:dyDescent="0.3">
      <c r="A241" s="22" t="s">
        <v>129</v>
      </c>
    </row>
    <row r="242" spans="1:1" ht="20.100000000000001" customHeight="1" x14ac:dyDescent="0.3">
      <c r="A242" s="22" t="s">
        <v>130</v>
      </c>
    </row>
    <row r="243" spans="1:1" ht="20.100000000000001" customHeight="1" x14ac:dyDescent="0.3">
      <c r="A243" s="22" t="s">
        <v>131</v>
      </c>
    </row>
    <row r="244" spans="1:1" ht="20.100000000000001" customHeight="1" x14ac:dyDescent="0.3">
      <c r="A244" s="22" t="s">
        <v>132</v>
      </c>
    </row>
    <row r="245" spans="1:1" ht="20.100000000000001" customHeight="1" x14ac:dyDescent="0.3">
      <c r="A245" s="22" t="s">
        <v>133</v>
      </c>
    </row>
    <row r="246" spans="1:1" ht="20.100000000000001" customHeight="1" x14ac:dyDescent="0.3">
      <c r="A246" s="22" t="s">
        <v>134</v>
      </c>
    </row>
    <row r="247" spans="1:1" ht="20.100000000000001" customHeight="1" x14ac:dyDescent="0.3">
      <c r="A247" s="22" t="s">
        <v>135</v>
      </c>
    </row>
    <row r="248" spans="1:1" ht="20.100000000000001" customHeight="1" x14ac:dyDescent="0.3">
      <c r="A248" s="22" t="s">
        <v>126</v>
      </c>
    </row>
    <row r="249" spans="1:1" ht="20.100000000000001" customHeight="1" x14ac:dyDescent="0.3">
      <c r="A249" s="22" t="s">
        <v>136</v>
      </c>
    </row>
    <row r="250" spans="1:1" ht="20.100000000000001" customHeight="1" x14ac:dyDescent="0.3">
      <c r="A250" s="22" t="s">
        <v>137</v>
      </c>
    </row>
    <row r="251" spans="1:1" ht="20.100000000000001" customHeight="1" x14ac:dyDescent="0.3">
      <c r="A251" s="24" t="s">
        <v>138</v>
      </c>
    </row>
    <row r="252" spans="1:1" ht="20.100000000000001" customHeight="1" x14ac:dyDescent="0.3">
      <c r="A252" s="25" t="s">
        <v>139</v>
      </c>
    </row>
    <row r="253" spans="1:1" ht="20.100000000000001" customHeight="1" x14ac:dyDescent="0.3">
      <c r="A253" s="22" t="s">
        <v>140</v>
      </c>
    </row>
    <row r="254" spans="1:1" ht="20.100000000000001" customHeight="1" x14ac:dyDescent="0.3">
      <c r="A254" s="22" t="s">
        <v>141</v>
      </c>
    </row>
    <row r="255" spans="1:1" ht="20.100000000000001" customHeight="1" x14ac:dyDescent="0.3">
      <c r="A255" s="26" t="s">
        <v>142</v>
      </c>
    </row>
    <row r="256" spans="1:1" ht="20.100000000000001" customHeight="1" x14ac:dyDescent="0.3">
      <c r="A256" s="26" t="s">
        <v>143</v>
      </c>
    </row>
    <row r="257" spans="1:1" ht="20.100000000000001" customHeight="1" x14ac:dyDescent="0.3">
      <c r="A257" s="27" t="s">
        <v>144</v>
      </c>
    </row>
    <row r="258" spans="1:1" ht="20.100000000000001" customHeight="1" x14ac:dyDescent="0.3">
      <c r="A258" s="22" t="s">
        <v>145</v>
      </c>
    </row>
    <row r="259" spans="1:1" ht="20.100000000000001" customHeight="1" x14ac:dyDescent="0.3">
      <c r="A259" s="27" t="s">
        <v>146</v>
      </c>
    </row>
    <row r="260" spans="1:1" ht="20.100000000000001" customHeight="1" x14ac:dyDescent="0.3">
      <c r="A260" s="22" t="s">
        <v>147</v>
      </c>
    </row>
    <row r="261" spans="1:1" ht="20.100000000000001" customHeight="1" x14ac:dyDescent="0.3">
      <c r="A261" s="27" t="s">
        <v>148</v>
      </c>
    </row>
    <row r="262" spans="1:1" ht="20.100000000000001" customHeight="1" x14ac:dyDescent="0.3">
      <c r="A262" s="22" t="s">
        <v>149</v>
      </c>
    </row>
    <row r="263" spans="1:1" ht="20.100000000000001" customHeight="1" x14ac:dyDescent="0.3">
      <c r="A263" s="22" t="s">
        <v>150</v>
      </c>
    </row>
    <row r="264" spans="1:1" ht="20.100000000000001" customHeight="1" x14ac:dyDescent="0.3">
      <c r="A264" s="27" t="s">
        <v>151</v>
      </c>
    </row>
    <row r="265" spans="1:1" ht="20.100000000000001" customHeight="1" x14ac:dyDescent="0.3">
      <c r="A265" s="27" t="s">
        <v>152</v>
      </c>
    </row>
    <row r="266" spans="1:1" ht="20.100000000000001" customHeight="1" x14ac:dyDescent="0.3">
      <c r="A266" s="27" t="s">
        <v>153</v>
      </c>
    </row>
    <row r="267" spans="1:1" ht="20.100000000000001" customHeight="1" x14ac:dyDescent="0.3">
      <c r="A267" s="22" t="s">
        <v>154</v>
      </c>
    </row>
    <row r="268" spans="1:1" ht="20.100000000000001" customHeight="1" x14ac:dyDescent="0.3">
      <c r="A268" s="22" t="s">
        <v>155</v>
      </c>
    </row>
    <row r="269" spans="1:1" ht="20.100000000000001" customHeight="1" x14ac:dyDescent="0.3">
      <c r="A269" s="22" t="s">
        <v>156</v>
      </c>
    </row>
    <row r="270" spans="1:1" ht="20.100000000000001" customHeight="1" x14ac:dyDescent="0.3">
      <c r="A270" s="22" t="s">
        <v>157</v>
      </c>
    </row>
    <row r="271" spans="1:1" ht="20.100000000000001" customHeight="1" x14ac:dyDescent="0.3">
      <c r="A271" s="27" t="s">
        <v>158</v>
      </c>
    </row>
    <row r="272" spans="1:1" ht="20.100000000000001" customHeight="1" x14ac:dyDescent="0.3">
      <c r="A272" s="27" t="s">
        <v>159</v>
      </c>
    </row>
    <row r="273" spans="1:1" ht="20.100000000000001" customHeight="1" x14ac:dyDescent="0.3">
      <c r="A273" s="22" t="s">
        <v>160</v>
      </c>
    </row>
    <row r="274" spans="1:1" ht="20.100000000000001" customHeight="1" x14ac:dyDescent="0.3">
      <c r="A274" s="27" t="s">
        <v>161</v>
      </c>
    </row>
    <row r="275" spans="1:1" ht="20.100000000000001" customHeight="1" x14ac:dyDescent="0.3">
      <c r="A275" s="27" t="s">
        <v>162</v>
      </c>
    </row>
    <row r="276" spans="1:1" ht="20.100000000000001" customHeight="1" x14ac:dyDescent="0.3">
      <c r="A276" s="22" t="s">
        <v>163</v>
      </c>
    </row>
    <row r="277" spans="1:1" ht="20.100000000000001" customHeight="1" x14ac:dyDescent="0.3">
      <c r="A277" s="22" t="s">
        <v>164</v>
      </c>
    </row>
    <row r="278" spans="1:1" ht="20.100000000000001" customHeight="1" x14ac:dyDescent="0.3">
      <c r="A278" s="27" t="s">
        <v>165</v>
      </c>
    </row>
    <row r="279" spans="1:1" ht="20.100000000000001" customHeight="1" x14ac:dyDescent="0.3">
      <c r="A279" s="22" t="s">
        <v>166</v>
      </c>
    </row>
    <row r="280" spans="1:1" ht="20.100000000000001" customHeight="1" x14ac:dyDescent="0.3">
      <c r="A280" s="22" t="s">
        <v>167</v>
      </c>
    </row>
    <row r="281" spans="1:1" ht="20.100000000000001" customHeight="1" x14ac:dyDescent="0.3">
      <c r="A281" s="22" t="s">
        <v>168</v>
      </c>
    </row>
    <row r="282" spans="1:1" ht="20.100000000000001" customHeight="1" x14ac:dyDescent="0.3">
      <c r="A282" s="22" t="s">
        <v>169</v>
      </c>
    </row>
    <row r="283" spans="1:1" ht="20.100000000000001" customHeight="1" x14ac:dyDescent="0.3">
      <c r="A283" s="27" t="s">
        <v>170</v>
      </c>
    </row>
    <row r="284" spans="1:1" ht="20.100000000000001" customHeight="1" x14ac:dyDescent="0.3">
      <c r="A284" s="27" t="s">
        <v>171</v>
      </c>
    </row>
    <row r="285" spans="1:1" ht="20.100000000000001" customHeight="1" x14ac:dyDescent="0.3">
      <c r="A285" s="27" t="s">
        <v>172</v>
      </c>
    </row>
    <row r="286" spans="1:1" ht="20.100000000000001" customHeight="1" thickBot="1" x14ac:dyDescent="0.35">
      <c r="A286" s="22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2025-10-25T05:01:49Z</dcterms:modified>
</cp:coreProperties>
</file>