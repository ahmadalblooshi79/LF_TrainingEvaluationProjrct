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414A5B2-28C8-4A43-902F-FAB095BD3D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4" i="2"/>
  <c r="H14" i="2"/>
  <c r="G15" i="2"/>
  <c r="H15" i="2"/>
  <c r="G16" i="2"/>
  <c r="H16" i="2"/>
  <c r="G17" i="2"/>
  <c r="H17" i="2"/>
  <c r="G18" i="2"/>
  <c r="G19" i="2"/>
  <c r="H19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 s="1"/>
</calcChain>
</file>

<file path=xl/sharedStrings.xml><?xml version="1.0" encoding="utf-8"?>
<sst xmlns="http://schemas.openxmlformats.org/spreadsheetml/2006/main" count="257" uniqueCount="201">
  <si>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</si>
  <si>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</si>
  <si>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</si>
  <si>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</si>
  <si>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</si>
  <si>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</si>
  <si>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</si>
  <si>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</si>
  <si>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</si>
  <si>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</si>
  <si>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</si>
  <si>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</si>
  <si>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</si>
  <si>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</si>
  <si>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</si>
  <si>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</si>
  <si>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</si>
  <si>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</si>
  <si>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</si>
  <si>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</si>
  <si>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</si>
  <si>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</si>
  <si>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</si>
  <si>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</si>
  <si>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</si>
  <si>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</si>
  <si>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</si>
  <si>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</si>
  <si>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</si>
  <si>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</si>
  <si>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</si>
  <si>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</si>
  <si>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</si>
  <si>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</si>
  <si>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</si>
  <si>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</si>
  <si>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</si>
  <si>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</si>
  <si>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</si>
  <si>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</si>
  <si>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</si>
  <si>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</si>
  <si>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</si>
  <si>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</si>
  <si>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</si>
  <si>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</si>
  <si>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</si>
  <si>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</si>
  <si>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</si>
  <si>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</si>
  <si>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</si>
  <si>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</si>
  <si>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</si>
  <si>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</si>
  <si>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</si>
  <si>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</si>
  <si>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</si>
  <si>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</si>
  <si>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</si>
  <si>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</si>
  <si>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</si>
  <si>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</si>
  <si>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</si>
  <si>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</si>
  <si>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</si>
  <si>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</si>
  <si>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</si>
  <si>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</si>
  <si>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</si>
  <si>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</si>
  <si>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</si>
  <si>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</si>
  <si>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</si>
  <si>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</si>
  <si>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</si>
  <si>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</si>
  <si>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</si>
  <si>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</si>
  <si>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</si>
  <si>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</si>
  <si>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</si>
  <si>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</si>
  <si>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</si>
  <si>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</si>
  <si>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</si>
  <si>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</si>
  <si>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</si>
  <si>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</si>
  <si>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</si>
  <si>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</si>
  <si>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</si>
  <si>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</si>
  <si>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</si>
  <si>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</si>
  <si>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</si>
  <si>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</si>
  <si>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</si>
  <si>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</si>
  <si>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</si>
  <si>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</si>
  <si>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</si>
  <si>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</si>
  <si>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</si>
  <si>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</si>
  <si>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</si>
  <si>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</si>
  <si>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</si>
  <si>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</si>
  <si>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</si>
  <si>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</si>
  <si>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</si>
  <si>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</si>
  <si>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</si>
  <si>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</si>
  <si>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</si>
  <si>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</si>
  <si>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</si>
  <si>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</si>
  <si>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</si>
  <si>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</si>
  <si>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</si>
  <si>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</si>
  <si>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</si>
  <si>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</si>
  <si>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</si>
  <si>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</si>
  <si>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</si>
  <si>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</si>
  <si>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</si>
  <si>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</si>
  <si>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</si>
  <si>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</si>
  <si>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</si>
  <si>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</si>
  <si>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</si>
  <si>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</si>
  <si>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</si>
  <si>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</si>
  <si>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</si>
  <si>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</si>
  <si>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</si>
  <si>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</si>
  <si>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</si>
  <si>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</si>
  <si>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</si>
  <si>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</si>
  <si>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</si>
  <si>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</si>
  <si>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</si>
  <si>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</si>
  <si>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</si>
  <si>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</si>
  <si>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</si>
  <si>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</si>
  <si>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</si>
  <si>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</si>
  <si>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</si>
  <si>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</si>
  <si>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</si>
  <si>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</si>
  <si>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</si>
  <si>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</si>
  <si>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</si>
  <si>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</si>
  <si>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</si>
  <si>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</si>
  <si>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</si>
  <si>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</si>
  <si>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</si>
  <si>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</si>
  <si>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</si>
  <si>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</si>
  <si>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</si>
  <si>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</si>
  <si>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</si>
  <si>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</si>
  <si>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</si>
  <si>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</si>
  <si>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</si>
  <si>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</si>
  <si>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أ.     أسلوب الحركة والتشكيلات.</t>
  </si>
  <si>
    <t>ب.   الإجراءات عند التماس.</t>
  </si>
  <si>
    <t>إجراءات التنفيذ.</t>
  </si>
  <si>
    <t>3.        التماس المباشر  مع قوات العدو.</t>
  </si>
  <si>
    <t>4.        التماس الغير مباشر مع قوات العدو.</t>
  </si>
  <si>
    <t xml:space="preserve">5.        التماس مع اشخاص او جماعات صديقة او غير صديقة. </t>
  </si>
  <si>
    <t>7.        إبلاغ المستوى الأعلى بحصول التماس.</t>
  </si>
  <si>
    <t>8.        التقيد بقواعد الاشتباك.</t>
  </si>
  <si>
    <t>1. يعمل قائد فصيل الـ م/د على فهم الموقف باستخدام معدات الاتصال المتوفرة، والخرائط .</t>
  </si>
  <si>
    <t>2.  يقوم قائد الفصيل بدراسة الارض على ضوء خطة فصيل الـ م/د   وخطة جمع المعلومات الصادرة من ركن استخبارات اللواء بوضع خطته ويقوم بتوزيع فصيل الـ م/د   وبحيث تغطي محور التقدم على أن تكون أقواس المراقبة متقاطعة بين المجموعات مع الاحتفاظ بعناصر استطلاع كاحتياط لتبديل أو تعويض مجموعات فصيل الـ م/د أو دفعها في اتجاه آخر.</t>
  </si>
  <si>
    <t>1.    يقوم قائد فصيل الـ م/د بالإشراف على الجماعات أثناء تحضيرها للتقدم للتماس.</t>
  </si>
  <si>
    <t>2.    تنفذ قيادة فصيل الـ م/د الإجراءات التالية:</t>
  </si>
  <si>
    <t>جـ.   التنسيق مع قيادة السرية.</t>
  </si>
  <si>
    <t>د.  الإشراف على عملية التخطيط والتحضير للوحدات المرؤوسة لضمان أن التخطيط والتحضير يتماشى مع قصد قائد السرية.</t>
  </si>
  <si>
    <r>
      <t xml:space="preserve">1.        </t>
    </r>
    <r>
      <rPr>
        <b/>
        <u/>
        <sz val="12"/>
        <color rgb="FF000000"/>
        <rFont val="Arial"/>
        <family val="2"/>
      </rPr>
      <t>اقسام الـ م /د</t>
    </r>
    <r>
      <rPr>
        <sz val="12"/>
        <color rgb="FF000000"/>
        <rFont val="Arial"/>
        <family val="2"/>
      </rPr>
      <t>. يتم دفع اقسام الـ م /د  خلف فصيل مقدمة الحرس.</t>
    </r>
  </si>
  <si>
    <r>
      <t xml:space="preserve">2.        </t>
    </r>
    <r>
      <rPr>
        <b/>
        <u/>
        <sz val="12"/>
        <color rgb="FF000000"/>
        <rFont val="Arial"/>
        <family val="2"/>
      </rPr>
      <t>فصيل الـ م/د</t>
    </r>
    <r>
      <rPr>
        <sz val="12"/>
        <color rgb="FF000000"/>
        <rFont val="Arial"/>
        <family val="2"/>
      </rPr>
      <t>.  يندفع  فصيل الـ م /د  أمام التشكيل المتقدم، أو على الأجنحة المكشوفة لمجموعة اللواء المتقدم.</t>
    </r>
  </si>
  <si>
    <r>
      <t xml:space="preserve">6.        </t>
    </r>
    <r>
      <rPr>
        <b/>
        <u/>
        <sz val="12"/>
        <color rgb="FF000000"/>
        <rFont val="Arial"/>
        <family val="2"/>
      </rPr>
      <t>التأمين</t>
    </r>
    <r>
      <rPr>
        <sz val="12"/>
        <color rgb="FF000000"/>
        <rFont val="Arial"/>
        <family val="2"/>
      </rPr>
      <t>. يقوم فصيل الـ م /د بتنفيذ تأمين الممر وذلك لتطهير الممرات من الموانع وقوات العدو.</t>
    </r>
  </si>
  <si>
    <r>
      <t xml:space="preserve">3.    </t>
    </r>
    <r>
      <rPr>
        <sz val="12"/>
        <color rgb="FF000000"/>
        <rFont val="Arial"/>
        <family val="2"/>
      </rPr>
      <t>إجراء التجارب على تنفيذ المهمة  لتشمل ما يلي:</t>
    </r>
  </si>
  <si>
    <r>
      <rPr>
        <b/>
        <sz val="14"/>
        <color rgb="FF000000"/>
        <rFont val="Arial"/>
        <family val="2"/>
      </rPr>
      <t>تقييم فصيل الـ م/ د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</si>
  <si>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 /١</t>
  </si>
  <si>
    <t xml:space="preserve">صالح هادف المنصوري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</si>
</sst>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vertical="center" wrapText="1"/>
    </xf>
    <xf numFmtId="0" fontId="13" fillId="0" borderId="21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" fillId="5" borderId="28" xfId="0" applyFont="1" applyFill="1" applyBorder="1" applyAlignment="1">
      <alignment horizontal="right" vertical="center" wrapText="1" readingOrder="2"/>
    </xf>
    <xf numFmtId="0" fontId="1" fillId="5" borderId="29" xfId="0" applyFont="1" applyFill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indent="2" readingOrder="2"/>
    </xf>
    <xf numFmtId="0" fontId="13" fillId="0" borderId="26" xfId="0" applyFont="1" applyBorder="1" applyAlignment="1">
      <alignment horizontal="right" vertical="center" wrapText="1" indent="2" readingOrder="2"/>
    </xf>
    <xf numFmtId="0" fontId="13" fillId="0" borderId="27" xfId="0" applyFont="1" applyBorder="1" applyAlignment="1">
      <alignment horizontal="right" vertical="center" wrapText="1" indent="2" readingOrder="2"/>
    </xf>
    <xf numFmtId="0" fontId="14" fillId="0" borderId="25" xfId="0" applyFont="1" applyBorder="1" applyAlignment="1">
      <alignment horizontal="right" vertical="center" wrapText="1" readingOrder="2"/>
    </xf>
    <xf numFmtId="0" fontId="14" fillId="0" borderId="26" xfId="0" applyFont="1" applyBorder="1" applyAlignment="1">
      <alignment horizontal="right" vertical="center" wrapText="1" readingOrder="2"/>
    </xf>
    <xf numFmtId="0" fontId="14" fillId="0" borderId="27" xfId="0" applyFont="1" applyBorder="1" applyAlignment="1">
      <alignment horizontal="right" vertical="center" wrapText="1" readingOrder="2"/>
    </xf>
    <xf numFmtId="0" fontId="13" fillId="0" borderId="30" xfId="0" applyFont="1" applyBorder="1" applyAlignment="1">
      <alignment horizontal="right" vertical="center" wrapText="1" indent="2" readingOrder="2"/>
    </xf>
    <xf numFmtId="0" fontId="13" fillId="0" borderId="31" xfId="0" applyFont="1" applyBorder="1" applyAlignment="1">
      <alignment horizontal="right" vertical="center" wrapText="1" indent="2" readingOrder="2"/>
    </xf>
    <xf numFmtId="0" fontId="13" fillId="0" borderId="32" xfId="0" applyFont="1" applyBorder="1" applyAlignment="1">
      <alignment horizontal="right" vertical="center" wrapText="1" indent="2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26" xfId="0" applyFont="1" applyBorder="1" applyAlignment="1">
      <alignment horizontal="right" vertical="center" wrapText="1" readingOrder="2"/>
    </xf>
    <xf numFmtId="0" fontId="13" fillId="0" borderId="27" xfId="0" applyFont="1" applyBorder="1" applyAlignment="1">
      <alignment horizontal="right" vertical="center" wrapText="1" readingOrder="2"/>
    </xf>
    <xf numFmtId="0" fontId="2" fillId="4" borderId="8" xfId="0" applyFont="1" applyFill="1" applyBorder="1" applyAlignment="1" applyProtection="1">
      <alignment horizontal="center" vertical="center" wrapText="1" readingOrder="2"/>
      <protection locked="0"/>
    </xf>
    <xf numFmtId="0" fontId="2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33" xfId="0" applyFont="1" applyBorder="1" applyAlignment="1" applyProtection="1">
      <alignment horizontal="center" vertical="center" wrapText="1" readingOrder="2"/>
      <protection locked="0"/>
    </xf>
    <xf numFmtId="0" fontId="3" fillId="0" borderId="34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616815</xdr:colOff>
      <xdr:row>32</xdr:row>
      <xdr:rowOff>212205</xdr:rowOff>
    </xdr:from>
    <xdr:to>
      <xdr:col>9</xdr:col>
      <xdr:colOff>403503</xdr:colOff>
      <xdr:row>37</xdr:row>
      <xdr:rowOff>75983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5B003B42-E37C-3BAB-8293-A364E7EC1624}"/>
                </a:ext>
              </a:extLst>
            </xdr14:cNvPr>
            <xdr14:cNvContentPartPr/>
          </xdr14:nvContentPartPr>
          <xdr14:nvPr macro=""/>
          <xdr14:xfrm>
            <a:off x="11438036225" y="13853160"/>
            <a:ext cx="2649960" cy="156096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5B003B42-E37C-3BAB-8293-A364E7EC16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027585" y="13844520"/>
              <a:ext cx="2667600" cy="1578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5:42:54.1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871 2024,'0'0,"0"0,0 0,0 0,0 0,0 0,0 0,0 0,0 0,0 0,0 0,0 0,0 16,0 0,0-13,-13 27,-2 3,14-28,-12 38,-15 6,24-41,-19 50,-34 24,49-70,-54 90,5 12,49-95,-41 77,-5 18,45-96,-24 61,18 3,13-69,4 23,25-4,-22-27,32 6,90-59,-108 40,160-50,59-88,-200 121,204-130,83-57,-275 179,249-179,-4-32,-248 206,201-169,47-5,-249 179,176-131,3 2,-191 137,101-81,-24 25,-95 70,25-27,-14 22,-23 13,-35 22,-26 63,48-70,-93 73,-25 46,108-111,-103 107,-19 36,120-139,-70 82,6-8,73-83,-18 19,16-17,14-15,14-4,14-32,-21 29,15 10,20-37,-35 28,56-25,22-36,-73 55,45-29,14-10,-60 41,33-16,13-9,-49 28,12-6,-5 3,-30 32,15-7,0-15,-13 28,-16 19,24-41,-18 17,-4 23,22-39,-5 31,-5-23,15-14,0 10,0-5,30-16,12-25,-36 28,43-22,8-6,-49 28,41-22,-7-6,-36 28,30-6,-24 11,-9 0,9 0,-6 0,-27 16,-6 17,22-28,-5 22,-17-11,22-13,-5 27,-17-14,22-13,-5 11,10 2,0-13,15-22,27 2,0-15,-36 27,72-55,48-22,-107 70,116-57,6-29,-117 82,106-50,26-32,-133 83,80-35,36-32,-116 69,95-71,36-15,-129 85,119-86,24-14,-138 95,96-76,-29 13,-82 71,54-43,-12 21,-48 29,24-25,-18 29,-13 0,-19 0,3 17,14-14,-43 43,-83 36,107-70,-143 123,-91 27,211-134,-211 173,-99 44,298-207,-298 218,-42 20,329-230,-291 186,-66 46,353-232,-283 201,-54 31,338-233,-243 154,-41 46,297-207,-213 152,1 23,223-179,-138 95,14-14,143-97,-62 61,18-30,58-42,-35 19,19-10,21-13,-3-6,-6 19,15-13,-27-6,42 19,-13-13,8-22,47 3,-48 13,108-75,52-36,-143 96,173-112,81-49,-235 151,233-173,74-59,-298 220,229-182,68-55,-300 237,248-181,38-73,-287 251,210-175,50-76,-267 251,179-158,18-44,-204 207,124-169,-19-21,-118 192,50-124,-31 13,-33 124,12-85,-36 11,13 82,-23-19,-32 1,48 28,-108-6,-52 27,144-14,-160 29,-53 67,200-83,-177 83,-38 66,213-139,-145 113,16 41,144-150,-76 90,16-22,71-80,1 64,13 1,0-69,70 55,56 14,-107-69,130 39,48 30,-166-69,178 39,44-3,-210-41,166 0,14-8,-184 0,133 16,-16 1,-133-14,65 10,-18 20,-59-28,35 6,-31 38,-13-41,-34 17,-10 57,36-70,-58 106,-62 28,107-122,-116 116,-33 23,141-139,-144 131,-10 25,151-153,-96 60,15 11,93-83,-34 51,-5-16,49-43,-26 19,19-10,15-14,15-20,12 1,-23 14,77-76,75-35,-135 99,168-149,76-49,-225 183,257-200,40-48,-286 237,236-162,22-26,-260 193,212-140,-8-20,-216 167,136-89,-47 37,-107 68,47-39,-12 3,-43 41,-7 16,-31 8,21-14,-102 78,-18 17,107-81,-185 82,-64 99,227-168,-255 186,-98 46,333-220,-285 179,-60 74,343-248,-268 202,-75 12,340-218,-248 178,-38 24,300-207,-218 139,-39 3,263-152,-176 92,-15 13,201-112,-124 74,33-29,108-55,-47 12,24 11,35-28,0-10,21 5,-11 0,36-33,-25 17,-13 14,97-61,-98 63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A16" zoomScale="160" zoomScaleNormal="100" zoomScaleSheetLayoutView="160" workbookViewId="0">
      <selection activeCell="F18" sqref="F1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71" t="s">
        <v>198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3">
      <c r="B2" s="13" t="s">
        <v>8</v>
      </c>
      <c r="C2" s="77" t="s">
        <v>27</v>
      </c>
      <c r="D2" s="77"/>
      <c r="E2" s="13" t="s">
        <v>7</v>
      </c>
      <c r="F2" s="72">
        <v>45910</v>
      </c>
      <c r="G2" s="72"/>
      <c r="H2" s="72"/>
      <c r="I2" s="72"/>
      <c r="J2" s="72"/>
    </row>
    <row r="3" spans="1:10" ht="30" customHeight="1" x14ac:dyDescent="0.3">
      <c r="B3" s="13" t="s">
        <v>9</v>
      </c>
      <c r="C3" s="77" t="s">
        <v>60</v>
      </c>
      <c r="D3" s="77"/>
      <c r="E3" s="13" t="s">
        <v>6</v>
      </c>
      <c r="F3" s="77" t="s">
        <v>116</v>
      </c>
      <c r="G3" s="77"/>
      <c r="H3" s="77"/>
      <c r="I3" s="77"/>
      <c r="J3" s="77"/>
    </row>
    <row r="4" spans="1:10" ht="30" customHeight="1" thickBot="1" x14ac:dyDescent="0.35">
      <c r="B4" s="6"/>
      <c r="C4" s="7" t="s">
        <v>199</v>
      </c>
      <c r="D4" s="7" t="s">
        <v>200</v>
      </c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" customHeight="1" thickBot="1" x14ac:dyDescent="0.35">
      <c r="A6" s="11"/>
      <c r="B6" s="75"/>
      <c r="C6" s="76"/>
      <c r="D6" s="76"/>
      <c r="E6" s="12" t="s">
        <v>3</v>
      </c>
      <c r="F6" s="12" t="s">
        <v>4</v>
      </c>
      <c r="G6" s="12" t="s">
        <v>23</v>
      </c>
      <c r="H6" s="12" t="s">
        <v>24</v>
      </c>
      <c r="I6" s="84"/>
      <c r="J6" s="85"/>
    </row>
    <row r="7" spans="1:10" ht="24.9" customHeight="1" thickBot="1" x14ac:dyDescent="0.35">
      <c r="A7" s="11"/>
      <c r="B7" s="80" t="s">
        <v>21</v>
      </c>
      <c r="C7" s="81"/>
      <c r="D7" s="81"/>
      <c r="E7" s="29" t="s">
        <v>18</v>
      </c>
      <c r="F7" s="29" t="s">
        <v>19</v>
      </c>
      <c r="G7" s="29" t="s">
        <v>22</v>
      </c>
      <c r="H7" s="29" t="s">
        <v>20</v>
      </c>
      <c r="I7" s="86" t="s">
        <v>25</v>
      </c>
      <c r="J7" s="87"/>
    </row>
    <row r="8" spans="1:10" ht="30" customHeight="1" x14ac:dyDescent="0.3">
      <c r="A8" s="11"/>
      <c r="B8" s="40" t="s">
        <v>176</v>
      </c>
      <c r="C8" s="41"/>
      <c r="D8" s="41"/>
      <c r="E8" s="41"/>
      <c r="F8" s="41"/>
      <c r="G8" s="41"/>
      <c r="H8" s="41"/>
      <c r="I8" s="41"/>
      <c r="J8" s="42"/>
    </row>
    <row r="9" spans="1:10" ht="39.9" customHeight="1" x14ac:dyDescent="0.3">
      <c r="A9" s="11"/>
      <c r="B9" s="36" t="s">
        <v>188</v>
      </c>
      <c r="C9" s="37"/>
      <c r="D9" s="37"/>
      <c r="E9" s="9">
        <v>5</v>
      </c>
      <c r="F9" s="27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84" customHeight="1" thickBot="1" x14ac:dyDescent="0.35">
      <c r="A10" s="11"/>
      <c r="B10" s="38" t="s">
        <v>189</v>
      </c>
      <c r="C10" s="39"/>
      <c r="D10" s="39"/>
      <c r="E10" s="32">
        <v>5</v>
      </c>
      <c r="F10" s="28">
        <v>4</v>
      </c>
      <c r="G10" s="33">
        <f t="shared" ref="G10:G29" si="0">IFERROR(F10/E10,"")</f>
        <v>0.8</v>
      </c>
      <c r="H10" s="34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2"/>
      <c r="J10" s="53"/>
    </row>
    <row r="11" spans="1:10" ht="30" customHeight="1" x14ac:dyDescent="0.3">
      <c r="A11" s="11"/>
      <c r="B11" s="40" t="s">
        <v>177</v>
      </c>
      <c r="C11" s="41"/>
      <c r="D11" s="41"/>
      <c r="E11" s="41"/>
      <c r="F11" s="41"/>
      <c r="G11" s="41"/>
      <c r="H11" s="41"/>
      <c r="I11" s="41"/>
      <c r="J11" s="42"/>
    </row>
    <row r="12" spans="1:10" ht="39.9" customHeight="1" x14ac:dyDescent="0.3">
      <c r="A12" s="11"/>
      <c r="B12" s="56" t="s">
        <v>190</v>
      </c>
      <c r="C12" s="57"/>
      <c r="D12" s="58"/>
      <c r="E12" s="9">
        <v>5</v>
      </c>
      <c r="F12" s="27">
        <v>3.75</v>
      </c>
      <c r="G12" s="30">
        <f t="shared" si="0"/>
        <v>0.75</v>
      </c>
      <c r="H12" s="31" t="str">
        <f t="shared" si="1"/>
        <v>جيد</v>
      </c>
      <c r="I12" s="61"/>
      <c r="J12" s="62"/>
    </row>
    <row r="13" spans="1:10" ht="30" customHeight="1" x14ac:dyDescent="0.3">
      <c r="A13" s="11"/>
      <c r="B13" s="56" t="s">
        <v>191</v>
      </c>
      <c r="C13" s="57"/>
      <c r="D13" s="58"/>
      <c r="E13" s="35"/>
      <c r="F13" s="27"/>
      <c r="G13" s="30"/>
      <c r="H13" s="31"/>
      <c r="I13" s="61"/>
      <c r="J13" s="62"/>
    </row>
    <row r="14" spans="1:10" ht="30" customHeight="1" x14ac:dyDescent="0.3">
      <c r="A14" s="11"/>
      <c r="B14" s="43" t="s">
        <v>178</v>
      </c>
      <c r="C14" s="44"/>
      <c r="D14" s="45"/>
      <c r="E14" s="9">
        <v>5</v>
      </c>
      <c r="F14" s="27">
        <v>3.75</v>
      </c>
      <c r="G14" s="30">
        <f t="shared" si="0"/>
        <v>0.75</v>
      </c>
      <c r="H14" s="31" t="str">
        <f t="shared" si="1"/>
        <v>جيد</v>
      </c>
      <c r="I14" s="61"/>
      <c r="J14" s="62"/>
    </row>
    <row r="15" spans="1:10" ht="30" customHeight="1" x14ac:dyDescent="0.3">
      <c r="A15" s="11"/>
      <c r="B15" s="43" t="s">
        <v>179</v>
      </c>
      <c r="C15" s="44"/>
      <c r="D15" s="45"/>
      <c r="E15" s="9">
        <v>5</v>
      </c>
      <c r="F15" s="27">
        <v>3.75</v>
      </c>
      <c r="G15" s="30">
        <f t="shared" si="0"/>
        <v>0.75</v>
      </c>
      <c r="H15" s="31" t="str">
        <f t="shared" si="1"/>
        <v>جيد</v>
      </c>
      <c r="I15" s="61"/>
      <c r="J15" s="62"/>
    </row>
    <row r="16" spans="1:10" ht="30" customHeight="1" x14ac:dyDescent="0.3">
      <c r="A16" s="11"/>
      <c r="B16" s="43" t="s">
        <v>192</v>
      </c>
      <c r="C16" s="44"/>
      <c r="D16" s="45"/>
      <c r="E16" s="9">
        <v>5</v>
      </c>
      <c r="F16" s="27">
        <v>3.75</v>
      </c>
      <c r="G16" s="30">
        <f t="shared" si="0"/>
        <v>0.75</v>
      </c>
      <c r="H16" s="31" t="str">
        <f t="shared" si="1"/>
        <v>جيد</v>
      </c>
      <c r="I16" s="61"/>
      <c r="J16" s="62"/>
    </row>
    <row r="17" spans="1:10" ht="39.9" customHeight="1" x14ac:dyDescent="0.3">
      <c r="A17" s="11"/>
      <c r="B17" s="43" t="s">
        <v>193</v>
      </c>
      <c r="C17" s="44"/>
      <c r="D17" s="45"/>
      <c r="E17" s="9">
        <v>5</v>
      </c>
      <c r="F17" s="27">
        <v>3.75</v>
      </c>
      <c r="G17" s="30">
        <f t="shared" si="0"/>
        <v>0.75</v>
      </c>
      <c r="H17" s="31" t="str">
        <f t="shared" si="1"/>
        <v>جيد</v>
      </c>
      <c r="I17" s="61"/>
      <c r="J17" s="62"/>
    </row>
    <row r="18" spans="1:10" ht="30" customHeight="1" x14ac:dyDescent="0.3">
      <c r="A18" s="11"/>
      <c r="B18" s="46" t="s">
        <v>197</v>
      </c>
      <c r="C18" s="47"/>
      <c r="D18" s="48"/>
      <c r="E18" s="9"/>
      <c r="F18" s="27"/>
      <c r="G18" s="30" t="str">
        <f t="shared" si="0"/>
        <v/>
      </c>
      <c r="H18" s="31"/>
      <c r="I18" s="61"/>
      <c r="J18" s="62"/>
    </row>
    <row r="19" spans="1:10" ht="30" customHeight="1" x14ac:dyDescent="0.3">
      <c r="A19" s="11"/>
      <c r="B19" s="43" t="s">
        <v>180</v>
      </c>
      <c r="C19" s="44"/>
      <c r="D19" s="45"/>
      <c r="E19" s="9">
        <v>5</v>
      </c>
      <c r="F19" s="27">
        <v>3.75</v>
      </c>
      <c r="G19" s="30">
        <f t="shared" si="0"/>
        <v>0.75</v>
      </c>
      <c r="H19" s="31" t="str">
        <f t="shared" si="1"/>
        <v>جيد</v>
      </c>
      <c r="I19" s="61"/>
      <c r="J19" s="62"/>
    </row>
    <row r="20" spans="1:10" ht="30" customHeight="1" thickBot="1" x14ac:dyDescent="0.35">
      <c r="A20" s="11"/>
      <c r="B20" s="49" t="s">
        <v>181</v>
      </c>
      <c r="C20" s="50"/>
      <c r="D20" s="51"/>
      <c r="E20" s="32">
        <v>5</v>
      </c>
      <c r="F20" s="28">
        <v>3.75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x14ac:dyDescent="0.3">
      <c r="A21" s="11"/>
      <c r="B21" s="40" t="s">
        <v>182</v>
      </c>
      <c r="C21" s="41"/>
      <c r="D21" s="41"/>
      <c r="E21" s="41"/>
      <c r="F21" s="41"/>
      <c r="G21" s="41"/>
      <c r="H21" s="41"/>
      <c r="I21" s="41"/>
      <c r="J21" s="42"/>
    </row>
    <row r="22" spans="1:10" ht="39.9" customHeight="1" x14ac:dyDescent="0.3">
      <c r="A22" s="11"/>
      <c r="B22" s="36" t="s">
        <v>194</v>
      </c>
      <c r="C22" s="37"/>
      <c r="D22" s="37"/>
      <c r="E22" s="9">
        <v>5</v>
      </c>
      <c r="F22" s="27">
        <v>3.75</v>
      </c>
      <c r="G22" s="30">
        <f t="shared" si="0"/>
        <v>0.75</v>
      </c>
      <c r="H22" s="31" t="str">
        <f t="shared" si="1"/>
        <v>جيد</v>
      </c>
      <c r="I22" s="54"/>
      <c r="J22" s="55"/>
    </row>
    <row r="23" spans="1:10" ht="39.9" customHeight="1" x14ac:dyDescent="0.3">
      <c r="A23" s="11"/>
      <c r="B23" s="36" t="s">
        <v>195</v>
      </c>
      <c r="C23" s="37"/>
      <c r="D23" s="37"/>
      <c r="E23" s="9">
        <v>5</v>
      </c>
      <c r="F23" s="27">
        <v>3.75</v>
      </c>
      <c r="G23" s="30">
        <f t="shared" si="0"/>
        <v>0.75</v>
      </c>
      <c r="H23" s="31" t="str">
        <f t="shared" si="1"/>
        <v>جيد</v>
      </c>
      <c r="I23" s="54"/>
      <c r="J23" s="55"/>
    </row>
    <row r="24" spans="1:10" ht="30" customHeight="1" x14ac:dyDescent="0.3">
      <c r="A24" s="11"/>
      <c r="B24" s="36" t="s">
        <v>183</v>
      </c>
      <c r="C24" s="37"/>
      <c r="D24" s="37"/>
      <c r="E24" s="9">
        <v>5</v>
      </c>
      <c r="F24" s="27">
        <v>3.75</v>
      </c>
      <c r="G24" s="30">
        <f t="shared" si="0"/>
        <v>0.75</v>
      </c>
      <c r="H24" s="31" t="str">
        <f t="shared" si="1"/>
        <v>جيد</v>
      </c>
      <c r="I24" s="54"/>
      <c r="J24" s="55"/>
    </row>
    <row r="25" spans="1:10" ht="30" customHeight="1" x14ac:dyDescent="0.3">
      <c r="A25" s="11"/>
      <c r="B25" s="36" t="s">
        <v>184</v>
      </c>
      <c r="C25" s="37"/>
      <c r="D25" s="37"/>
      <c r="E25" s="9">
        <v>5</v>
      </c>
      <c r="F25" s="27">
        <v>3.75</v>
      </c>
      <c r="G25" s="30">
        <f t="shared" si="0"/>
        <v>0.75</v>
      </c>
      <c r="H25" s="31" t="str">
        <f t="shared" si="1"/>
        <v>جيد</v>
      </c>
      <c r="I25" s="54"/>
      <c r="J25" s="55"/>
    </row>
    <row r="26" spans="1:10" ht="30" customHeight="1" x14ac:dyDescent="0.3">
      <c r="A26" s="11"/>
      <c r="B26" s="36" t="s">
        <v>185</v>
      </c>
      <c r="C26" s="37"/>
      <c r="D26" s="37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54"/>
      <c r="J26" s="55"/>
    </row>
    <row r="27" spans="1:10" ht="39.9" customHeight="1" x14ac:dyDescent="0.3">
      <c r="A27" s="11"/>
      <c r="B27" s="36" t="s">
        <v>196</v>
      </c>
      <c r="C27" s="37"/>
      <c r="D27" s="37"/>
      <c r="E27" s="9">
        <v>5</v>
      </c>
      <c r="F27" s="27">
        <v>3.5</v>
      </c>
      <c r="G27" s="30">
        <f t="shared" si="0"/>
        <v>0.7</v>
      </c>
      <c r="H27" s="31" t="str">
        <f t="shared" si="1"/>
        <v>جيد</v>
      </c>
      <c r="I27" s="54"/>
      <c r="J27" s="55"/>
    </row>
    <row r="28" spans="1:10" ht="30" customHeight="1" x14ac:dyDescent="0.3">
      <c r="A28" s="11"/>
      <c r="B28" s="36" t="s">
        <v>186</v>
      </c>
      <c r="C28" s="37"/>
      <c r="D28" s="37"/>
      <c r="E28" s="9">
        <v>5</v>
      </c>
      <c r="F28" s="27">
        <v>3.75</v>
      </c>
      <c r="G28" s="30">
        <f t="shared" si="0"/>
        <v>0.75</v>
      </c>
      <c r="H28" s="31" t="str">
        <f t="shared" si="1"/>
        <v>جيد</v>
      </c>
      <c r="I28" s="54"/>
      <c r="J28" s="55"/>
    </row>
    <row r="29" spans="1:10" ht="30" customHeight="1" thickBot="1" x14ac:dyDescent="0.35">
      <c r="A29" s="11"/>
      <c r="B29" s="38" t="s">
        <v>187</v>
      </c>
      <c r="C29" s="39"/>
      <c r="D29" s="39"/>
      <c r="E29" s="32">
        <v>5</v>
      </c>
      <c r="F29" s="28">
        <v>4</v>
      </c>
      <c r="G29" s="33">
        <f t="shared" si="0"/>
        <v>0.8</v>
      </c>
      <c r="H29" s="34" t="str">
        <f t="shared" si="1"/>
        <v>جيد جداً</v>
      </c>
      <c r="I29" s="52"/>
      <c r="J29" s="53"/>
    </row>
    <row r="30" spans="1:10" ht="30" customHeight="1" thickBot="1" x14ac:dyDescent="0.35">
      <c r="A30" s="4"/>
      <c r="B30" s="59" t="s">
        <v>5</v>
      </c>
      <c r="C30" s="60"/>
      <c r="D30" s="60"/>
      <c r="E30" s="10">
        <f>SUM(E8:E29)</f>
        <v>85</v>
      </c>
      <c r="F30" s="10">
        <f>SUM(F8:F29)</f>
        <v>63.75</v>
      </c>
      <c r="G30" s="90"/>
      <c r="H30" s="91"/>
      <c r="I30" s="91"/>
      <c r="J30" s="92"/>
    </row>
    <row r="31" spans="1:10" ht="30" customHeight="1" thickBot="1" x14ac:dyDescent="0.35">
      <c r="A31" s="4"/>
      <c r="B31" s="59" t="s">
        <v>54</v>
      </c>
      <c r="C31" s="60"/>
      <c r="D31" s="60"/>
      <c r="E31" s="78">
        <f>F30/E30/100*100</f>
        <v>0.75</v>
      </c>
      <c r="F31" s="78"/>
      <c r="G31" s="78"/>
      <c r="H31" s="78"/>
      <c r="I31" s="78"/>
      <c r="J31" s="79"/>
    </row>
    <row r="32" spans="1:10" ht="30" customHeight="1" thickBot="1" x14ac:dyDescent="0.35">
      <c r="A32" s="4"/>
      <c r="B32" s="59" t="s">
        <v>55</v>
      </c>
      <c r="C32" s="60"/>
      <c r="D32" s="60"/>
      <c r="E32" s="69" t="str">
        <f>_xlfn.IFS(E31&gt;=90%,"ممتاز",E31&gt;=80%,"جيد جداً",E31&gt;=70%,"جيد",E31&gt;=60%,"مقبول",E31&lt;60%,"راسب")</f>
        <v>جيد</v>
      </c>
      <c r="F32" s="69"/>
      <c r="G32" s="69"/>
      <c r="H32" s="69"/>
      <c r="I32" s="69"/>
      <c r="J32" s="70"/>
    </row>
    <row r="33" spans="1:10" ht="42" customHeight="1" x14ac:dyDescent="0.3">
      <c r="B33" s="65" t="s">
        <v>175</v>
      </c>
      <c r="C33" s="65"/>
      <c r="D33" s="65"/>
      <c r="E33" s="88" t="s">
        <v>52</v>
      </c>
      <c r="F33" s="88"/>
      <c r="G33" s="67" t="s">
        <v>116</v>
      </c>
      <c r="H33" s="67"/>
      <c r="I33" s="67"/>
      <c r="J33" s="67"/>
    </row>
    <row r="34" spans="1:10" ht="51" customHeight="1" x14ac:dyDescent="0.3">
      <c r="A34" s="5"/>
      <c r="B34" s="66"/>
      <c r="C34" s="66"/>
      <c r="D34" s="66"/>
      <c r="E34" s="89" t="s">
        <v>53</v>
      </c>
      <c r="F34" s="89"/>
      <c r="G34" s="68"/>
      <c r="H34" s="68"/>
      <c r="I34" s="68"/>
      <c r="J34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2">
    <mergeCell ref="I24:J24"/>
    <mergeCell ref="I25:J25"/>
    <mergeCell ref="I26:J26"/>
    <mergeCell ref="E33:F33"/>
    <mergeCell ref="E34:F34"/>
    <mergeCell ref="G30:J30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I29:J29"/>
    <mergeCell ref="E5:H5"/>
    <mergeCell ref="I5:J6"/>
    <mergeCell ref="I7:J7"/>
    <mergeCell ref="B30:D30"/>
    <mergeCell ref="B31:D31"/>
    <mergeCell ref="B32:D32"/>
    <mergeCell ref="I12:J12"/>
    <mergeCell ref="I13:J13"/>
    <mergeCell ref="I14:J14"/>
    <mergeCell ref="I15:J15"/>
    <mergeCell ref="I16:J16"/>
    <mergeCell ref="I17:J17"/>
    <mergeCell ref="I18:J18"/>
    <mergeCell ref="I27:J27"/>
    <mergeCell ref="I28:J28"/>
    <mergeCell ref="I19:J19"/>
    <mergeCell ref="I20:J20"/>
    <mergeCell ref="I22:J22"/>
    <mergeCell ref="I23:J23"/>
    <mergeCell ref="B22:D22"/>
    <mergeCell ref="B23:D23"/>
    <mergeCell ref="B24:D24"/>
    <mergeCell ref="B9:D9"/>
    <mergeCell ref="B10:D10"/>
    <mergeCell ref="B12:D12"/>
    <mergeCell ref="B13:D13"/>
    <mergeCell ref="B14:D14"/>
    <mergeCell ref="B15:D15"/>
    <mergeCell ref="B16:D16"/>
    <mergeCell ref="B8:J8"/>
    <mergeCell ref="B11:J11"/>
    <mergeCell ref="B21:J21"/>
    <mergeCell ref="B17:D17"/>
    <mergeCell ref="B18:D18"/>
    <mergeCell ref="B19:D19"/>
    <mergeCell ref="B20:D20"/>
    <mergeCell ref="I10:J10"/>
    <mergeCell ref="I9:J9"/>
    <mergeCell ref="B25:D25"/>
    <mergeCell ref="B26:D26"/>
    <mergeCell ref="B27:D27"/>
    <mergeCell ref="B28:D28"/>
    <mergeCell ref="B29:D29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21" priority="57">
      <formula>$E32="راسب"</formula>
    </cfRule>
  </conditionalFormatting>
  <conditionalFormatting sqref="E32:J32">
    <cfRule type="expression" dxfId="20" priority="60">
      <formula>$E32="جيد جداً"</formula>
    </cfRule>
    <cfRule type="expression" dxfId="19" priority="59">
      <formula>$E32="جيد"</formula>
    </cfRule>
    <cfRule type="expression" dxfId="18" priority="58">
      <formula>$E32="مقبول"</formula>
    </cfRule>
    <cfRule type="expression" dxfId="17" priority="61">
      <formula>$E32="ممتاز"</formula>
    </cfRule>
  </conditionalFormatting>
  <conditionalFormatting sqref="F9:F10">
    <cfRule type="containsText" dxfId="16" priority="4" operator="containsText" text="أدخل العلامة">
      <formula>NOT(ISERROR(SEARCH("أدخل العلامة",F9)))</formula>
    </cfRule>
  </conditionalFormatting>
  <conditionalFormatting sqref="F12:F20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12" priority="15" operator="containsText" text="أدخل اسم المحكم">
      <formula>NOT(ISERROR(SEARCH("أدخل اسم المحكم",G33)))</formula>
    </cfRule>
  </conditionalFormatting>
  <conditionalFormatting sqref="H9:H10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0 F22:F29 H22:H29">
    <cfRule type="containsText" dxfId="5" priority="38" operator="containsText" text="أدخل العلامة">
      <formula>NOT(ISERROR(SEARCH("أدخل العلامة",F12)))</formula>
    </cfRule>
  </conditionalFormatting>
  <conditionalFormatting sqref="H12:H20 H22:H29"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F22:F29 F14:F20 F12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2025-10-13T15:12:55Z</dcterms:modified>
</cp:coreProperties>
</file>