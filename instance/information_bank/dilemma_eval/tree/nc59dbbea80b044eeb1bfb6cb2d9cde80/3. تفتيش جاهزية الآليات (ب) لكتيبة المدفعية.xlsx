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27703CA-E117-6F42-9F2A-1F5DD408716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9" i="2"/>
  <c r="H59" i="2"/>
  <c r="G60" i="2"/>
  <c r="H60" i="2"/>
  <c r="G61" i="2"/>
  <c r="H61" i="2"/>
  <c r="G62" i="2"/>
  <c r="H62" i="2"/>
  <c r="F63" i="2"/>
  <c r="E63" i="2"/>
  <c r="E64" i="2"/>
  <c r="E65" i="2"/>
</calcChain>
</file>

<file path=xl/sharedStrings.xml><?xml version="1.0" encoding="utf-8"?>
<sst xmlns="http://schemas.openxmlformats.org/spreadsheetml/2006/main" count="292" uniqueCount="236">
  <si>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</si>
  <si>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</si>
  <si>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</si>
  <si>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</si>
  <si>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</si>
  <si>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</si>
  <si>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</si>
  <si>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</si>
  <si>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</si>
  <si>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</si>
  <si>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</si>
  <si>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</si>
  <si>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</si>
  <si>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</si>
  <si>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</si>
  <si>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</si>
  <si>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</si>
  <si>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</si>
  <si>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</si>
  <si>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</si>
  <si>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</si>
  <si>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</si>
  <si>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</si>
  <si>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</si>
  <si>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</si>
  <si>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</si>
  <si>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</si>
  <si>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</si>
  <si>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</si>
  <si>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</si>
  <si>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</si>
  <si>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</si>
  <si>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</si>
  <si>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</si>
  <si>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</si>
  <si>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</si>
  <si>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</si>
  <si>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</si>
  <si>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</si>
  <si>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</si>
  <si>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</si>
  <si>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</si>
  <si>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</si>
  <si>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</si>
  <si>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</si>
  <si>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</si>
  <si>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</si>
  <si>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</si>
  <si>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</si>
  <si>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</si>
  <si>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</si>
  <si>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</si>
  <si>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</si>
  <si>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</si>
  <si>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</si>
  <si>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</si>
  <si>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</si>
  <si>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</si>
  <si>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</si>
  <si>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</si>
  <si>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</si>
  <si>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</si>
  <si>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</si>
  <si>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</si>
  <si>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</si>
  <si>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</si>
  <si>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</si>
  <si>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</si>
  <si>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</si>
  <si>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</si>
  <si>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</si>
  <si>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</si>
  <si>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</si>
  <si>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</si>
  <si>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</si>
  <si>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</si>
  <si>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</si>
  <si>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</si>
  <si>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</si>
  <si>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</si>
  <si>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</si>
  <si>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</si>
  <si>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</si>
  <si>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</si>
  <si>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</si>
  <si>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</si>
  <si>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</si>
  <si>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</si>
  <si>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</si>
  <si>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</si>
  <si>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</si>
  <si>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</si>
  <si>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</si>
  <si>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</si>
  <si>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</si>
  <si>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</si>
  <si>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</si>
  <si>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</si>
  <si>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</si>
  <si>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</si>
  <si>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</si>
  <si>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</si>
  <si>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</si>
  <si>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</si>
  <si>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</si>
  <si>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</si>
  <si>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</si>
  <si>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</si>
  <si>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</si>
  <si>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</si>
  <si>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</si>
  <si>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</si>
  <si>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</si>
  <si>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</si>
  <si>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</si>
  <si>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</si>
  <si>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</si>
  <si>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</si>
  <si>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</si>
  <si>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</si>
  <si>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</si>
  <si>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</si>
  <si>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</si>
  <si>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</si>
  <si>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</si>
  <si>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</si>
  <si>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</si>
  <si>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</si>
  <si>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</si>
  <si>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</si>
  <si>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</si>
  <si>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</si>
  <si>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</si>
  <si>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</si>
  <si>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</si>
  <si>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</si>
  <si>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</si>
  <si>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</si>
  <si>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</si>
  <si>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</si>
  <si>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</si>
  <si>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</si>
  <si>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</si>
  <si>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</si>
  <si>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</si>
  <si>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</si>
  <si>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</si>
  <si>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</si>
  <si>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</si>
  <si>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</si>
  <si>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</si>
  <si>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</si>
  <si>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</si>
  <si>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</si>
  <si>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</si>
  <si>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</si>
  <si>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</si>
  <si>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</si>
  <si>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</si>
  <si>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</si>
  <si>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</si>
  <si>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</si>
  <si>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</si>
  <si>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</si>
  <si>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</si>
  <si>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</si>
  <si>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</si>
  <si>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</si>
  <si>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</si>
  <si>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</si>
  <si>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</si>
  <si>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</si>
  <si>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</si>
  <si>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</si>
  <si>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</si>
  <si>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</si>
  <si>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</si>
  <si>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</si>
  <si>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</si>
  <si>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</si>
  <si>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الإدارية.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يتم التأكد من التالي:</t>
    </r>
  </si>
  <si>
    <t>1. مدى استكمال المرتب من الآليات ونسبة الصلاحية.</t>
  </si>
  <si>
    <t>2. مدى استكمال الطاقم المؤهل بالنسبة لعدد الآليات (السواقين).</t>
  </si>
  <si>
    <t>3. وجود كشف معتمد من القائد بالمرتب والموجود ونسبة الصلاحية للآليات.</t>
  </si>
  <si>
    <t>4. المظهر العام والترتيب لمكتب النقليات.</t>
  </si>
  <si>
    <t>5. وجود وإدامة سجل العهدة.</t>
  </si>
  <si>
    <t>6. وجود ملف لحفظ سندات الصرف والاستلام للآليات والعـدة.</t>
  </si>
  <si>
    <t>7. وجود وإدامة سجل الحركة.</t>
  </si>
  <si>
    <t>8. وجود وإدامة سجل الحوادث.</t>
  </si>
  <si>
    <t xml:space="preserve">9. وجود وإدامة سجل تسليم واستلام الآليات. </t>
  </si>
  <si>
    <t>10. وجود وإدامة سجل الدخول والخروج من الورشة / المشاغل / مراكز الإصلاح.</t>
  </si>
  <si>
    <t>11. وجود تعليمات وإجراءات الصيانة الدورية واللوحات الإرشادية.</t>
  </si>
  <si>
    <t>12. التقيد بالتعليمات والإجراءات لإدخال الآليات لمراكز الإصلاح.</t>
  </si>
  <si>
    <t>13. إدامة السجلات الخاصة بكل آلية بواسطة الطاقم وتصديق الضابط المسؤول.</t>
  </si>
  <si>
    <t xml:space="preserve">14. معرفة السائق بالآلية وإلمامه بالتعليمات والصيانة و طوابير التفتيش. </t>
  </si>
  <si>
    <t>15. إلمام ضابط النقليات بمهامه وواجباته.</t>
  </si>
  <si>
    <t>16. التقيد برفع الكشوفات الدورية.</t>
  </si>
  <si>
    <t>17. وجود ملف لحفظ نماذج شطب الآليات.</t>
  </si>
  <si>
    <r>
      <t>مجموعـة الجسم.</t>
    </r>
    <r>
      <rPr>
        <sz val="12"/>
        <color rgb="FF000000"/>
        <rFont val="Arial"/>
        <family val="2"/>
      </rPr>
      <t xml:space="preserve"> يتم التأكد من التالي:</t>
    </r>
  </si>
  <si>
    <t>18. النظافة.</t>
  </si>
  <si>
    <t>19. عدم وجود أي نواقص.</t>
  </si>
  <si>
    <t>20. الضرر.</t>
  </si>
  <si>
    <t>21. حالة الصبغ.</t>
  </si>
  <si>
    <t>22. فحص الإطارات.</t>
  </si>
  <si>
    <t>23. صندوق العدة ومحتوياته.</t>
  </si>
  <si>
    <t>24. مقاعد غرفة القيادة والركاب.</t>
  </si>
  <si>
    <r>
      <rPr>
        <b/>
        <u/>
        <sz val="12"/>
        <color rgb="FF000000"/>
        <rFont val="Arial"/>
        <family val="2"/>
      </rPr>
      <t>الزيـوت / السوائـل.</t>
    </r>
    <r>
      <rPr>
        <sz val="12"/>
        <color rgb="FF000000"/>
        <rFont val="Arial"/>
        <family val="2"/>
      </rPr>
      <t xml:space="preserve"> يتم التأكد من التالي:</t>
    </r>
  </si>
  <si>
    <t xml:space="preserve">25. مستـوى الزيـت / المـاء (المحرك، نظـام ناقل الحركة، الفرامل، مبرد الماء(RADIATOR). </t>
  </si>
  <si>
    <t>26. عدم تسرّب الزيت / الماء من أجزاء الآلية.</t>
  </si>
  <si>
    <t>27. التقيد بتوقيتات تغيير الزيت.</t>
  </si>
  <si>
    <t xml:space="preserve">28. التشحيــم. </t>
  </si>
  <si>
    <r>
      <t>مجموعة القـوى.</t>
    </r>
    <r>
      <rPr>
        <sz val="12"/>
        <color rgb="FFFF0000"/>
        <rFont val="Arial"/>
        <family val="2"/>
      </rPr>
      <t xml:space="preserve"> </t>
    </r>
    <r>
      <rPr>
        <sz val="12"/>
        <color rgb="FF000000"/>
        <rFont val="Arial"/>
        <family val="2"/>
      </rPr>
      <t>يتم التأكد من التالي:</t>
    </r>
  </si>
  <si>
    <t>29. نظام المحرك.</t>
  </si>
  <si>
    <t>30. نظام الوقود.</t>
  </si>
  <si>
    <t>31. نظام ناقل الحركة.</t>
  </si>
  <si>
    <t>32. نظام التبريد.</t>
  </si>
  <si>
    <t>33. نظام الفرامل.</t>
  </si>
  <si>
    <t xml:space="preserve">34. نظام التوجيه. </t>
  </si>
  <si>
    <t xml:space="preserve">35. إطفاء الحريق (طفاية الحريق وصلاحيتها). </t>
  </si>
  <si>
    <r>
      <t>الأنظمة الكهربائية والإلكترونية</t>
    </r>
    <r>
      <rPr>
        <sz val="12"/>
        <color rgb="FF000000"/>
        <rFont val="Arial"/>
        <family val="2"/>
      </rPr>
      <t>. يتم التأكد من التالي:</t>
    </r>
  </si>
  <si>
    <t>36. البطاريات.</t>
  </si>
  <si>
    <t>37. نظام التشغيل.</t>
  </si>
  <si>
    <t>38. المولــــد.</t>
  </si>
  <si>
    <t>39. الإنارة الداخلية.</t>
  </si>
  <si>
    <t>40. الإنارة الخارجية.</t>
  </si>
  <si>
    <t>41. لوحات العرض.</t>
  </si>
  <si>
    <r>
      <t>فحص الآلية أثناء السير</t>
    </r>
    <r>
      <rPr>
        <u/>
        <sz val="12"/>
        <color theme="1"/>
        <rFont val="Arial"/>
        <family val="2"/>
      </rPr>
      <t>.</t>
    </r>
  </si>
  <si>
    <t>42. صلاحية السير على الطريق.</t>
  </si>
  <si>
    <t>43. صلاحية أنظمة الآلية (الميكانيكية والكهربائية).</t>
  </si>
  <si>
    <t>44. نظام التكييف / نظام التهوية.</t>
  </si>
  <si>
    <t>المهمـات الإضافية.</t>
  </si>
  <si>
    <t>45. مستــودع الـعــــدة وأغطيـــة التمويه وأعمدة التثبيت.</t>
  </si>
  <si>
    <t>46. مستودع قطع الغيار.</t>
  </si>
  <si>
    <t>47. مدى توفر المواقف المغطاة المخصصة للآليات ونظافتها ووجود وصلاحية طفايات الحريق بها.</t>
  </si>
  <si>
    <t>48. مدى التقيد بقيود الاستخدام.</t>
  </si>
  <si>
    <r>
      <rPr>
        <b/>
        <sz val="14"/>
        <color rgb="FF000000"/>
        <rFont val="Arial"/>
        <family val="2"/>
      </rPr>
      <t>تفتيش جاهزية الآليات (ب) لكتيبة المدفعية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</si>
</sst>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rgb="FF000000"/>
      <name val="Arial"/>
      <family val="2"/>
    </font>
    <font>
      <sz val="12"/>
      <color rgb="FFFF0000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5" fillId="0" borderId="21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34</xdr:row>
      <xdr:rowOff>676275</xdr:rowOff>
    </xdr:from>
    <xdr:to>
      <xdr:col>3</xdr:col>
      <xdr:colOff>457200</xdr:colOff>
      <xdr:row>34</xdr:row>
      <xdr:rowOff>923925</xdr:rowOff>
    </xdr:to>
    <xdr:sp macro="" textlink="">
      <xdr:nvSpPr>
        <xdr:cNvPr id="2" name="Text Box 5634">
          <a:extLst>
            <a:ext uri="{FF2B5EF4-FFF2-40B4-BE49-F238E27FC236}">
              <a16:creationId xmlns:a16="http://schemas.microsoft.com/office/drawing/2014/main" id="{4063CD33-5320-4EF1-8150-242737551361}"/>
            </a:ext>
          </a:extLst>
        </xdr:cNvPr>
        <xdr:cNvSpPr txBox="1">
          <a:spLocks noChangeArrowheads="1"/>
        </xdr:cNvSpPr>
      </xdr:nvSpPr>
      <xdr:spPr bwMode="auto">
        <a:xfrm>
          <a:off x="11235651900" y="13506450"/>
          <a:ext cx="42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HeshamNormal"/>
            </a:rPr>
            <a:t>35</a:t>
          </a:r>
        </a:p>
      </xdr:txBody>
    </xdr:sp>
    <xdr:clientData/>
  </xdr:twoCellAnchor>
  <xdr:twoCellAnchor editAs="oneCell">
    <xdr:from>
      <xdr:col>7</xdr:col>
      <xdr:colOff>288320</xdr:colOff>
      <xdr:row>65</xdr:row>
      <xdr:rowOff>422360</xdr:rowOff>
    </xdr:from>
    <xdr:to>
      <xdr:col>8</xdr:col>
      <xdr:colOff>202989</xdr:colOff>
      <xdr:row>66</xdr:row>
      <xdr:rowOff>624948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4A0F501-F93F-B323-6A64-AAD0AB9E7D5D}"/>
                </a:ext>
              </a:extLst>
            </xdr14:cNvPr>
            <xdr14:cNvContentPartPr/>
          </xdr14:nvContentPartPr>
          <xdr14:nvPr macro=""/>
          <xdr14:xfrm>
            <a:off x="10399041920" y="25695360"/>
            <a:ext cx="572760" cy="733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4A0F501-F93F-B323-6A64-AAD0AB9E7D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35800" y="25689240"/>
              <a:ext cx="585000" cy="745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5:13:13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1590 1139,'0'0,"0"0,0 0,0 0,0 0,0 0,0 0,0 0,0 0,0 0,0 0,0 0,-16 16,14-14,-12 12,-2-14,15 0,-14 16,-17 16,29-29,-26 10,-19 19,44-29,-40 10,-5 3,46-14,-25-4,-20 18,43-14,-119 12,-36 3,143-16,-95-2,-32 1,128 0,-80 0,-16-17,100 16,-56-14,3-17,57 28,-48-24,24-20,28 43,-24-38,12-37,14 70,20-92,30-59,-42 141,100-104,39-36,-128 140,142-137,34 29,-171 113,132-50,-26 17,-111 42,62-4,2 10,-72 0,30 16,-39 32,0-42,0 84,-48 54,41-124,-99 137,-38 51,124-179,-152 183,-37 28,179-205,-148 139,-15-14,165-136,-56 64,-12-24,81-53,-18 27,17-38,13 0,22-16,45-33,-54 42,76-50,59-71,-124 109,150-90,37-52,-175 136,143-94,16-25,-164 123,40-38,13 10,-69 42,24-18,-20 9,-14 14,-20 4,16-2,-29 0,-17 16,41-13,-114 59,-23 2,122-55,-133 78,-21 9,149-81,-138 82,37-17,107-67,-39 23,12 12,40-40,-16 0,8 0,64-32,-16-8,-26 26,100-85,39-37,-122 107,130-118,40-54,-161 161,128-144,0-17,-135 164,31-86,8 3,-54 95,12-46,-22 15,0 40,-16-16,-16 24,27 0,-38 0,-38 16,69-14,-120 44,-28 50,137-82,-131 84,10 14,122-94,-84 77,9-15,83-68,-20 56,2-20,27-40,10 32,-5-24,0-13,16 26,17-13,-29-13,104-6,20-29,-108 27,120-22,37-5,-149 27,72-22,28 11,-111 14,62 4,-15 30,-53-27,11 38,10 21,-28-55,40 111,4 40,-41-136,-14 128,7 41,0-165,-16 120,0-20,13-108,-26 73,-3-29,27-55,-6 14,-5 9,13-27,-10 6,13-11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7"/>
  <sheetViews>
    <sheetView rightToLeft="1" tabSelected="1" view="pageBreakPreview" topLeftCell="D55" zoomScale="130" zoomScaleNormal="100" zoomScaleSheetLayoutView="130" workbookViewId="0">
      <selection activeCell="F40" sqref="F4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5" width="9.28125" style="43" customWidth="1"/>
    <col min="6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2" t="s">
        <v>235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3" t="s">
        <v>8</v>
      </c>
      <c r="C2" s="58" t="s">
        <v>48</v>
      </c>
      <c r="D2" s="58"/>
      <c r="E2" s="13" t="s">
        <v>7</v>
      </c>
      <c r="F2" s="53">
        <v>45931</v>
      </c>
      <c r="G2" s="53"/>
      <c r="H2" s="53"/>
      <c r="I2" s="53"/>
      <c r="J2" s="53"/>
    </row>
    <row r="3" spans="1:10" ht="30" customHeight="1" x14ac:dyDescent="0.2">
      <c r="B3" s="13" t="s">
        <v>9</v>
      </c>
      <c r="C3" s="58" t="s">
        <v>68</v>
      </c>
      <c r="D3" s="58"/>
      <c r="E3" s="13" t="s">
        <v>6</v>
      </c>
      <c r="F3" s="58" t="s">
        <v>114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54" t="s">
        <v>0</v>
      </c>
      <c r="C5" s="55"/>
      <c r="D5" s="55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11"/>
      <c r="B6" s="56"/>
      <c r="C6" s="57"/>
      <c r="D6" s="57"/>
      <c r="E6" s="28" t="s">
        <v>3</v>
      </c>
      <c r="F6" s="12" t="s">
        <v>4</v>
      </c>
      <c r="G6" s="12" t="s">
        <v>23</v>
      </c>
      <c r="H6" s="12" t="s">
        <v>24</v>
      </c>
      <c r="I6" s="69"/>
      <c r="J6" s="70"/>
    </row>
    <row r="7" spans="1:10" ht="24.95" customHeight="1" thickBot="1" x14ac:dyDescent="0.25">
      <c r="A7" s="11"/>
      <c r="B7" s="61" t="s">
        <v>21</v>
      </c>
      <c r="C7" s="62"/>
      <c r="D7" s="62"/>
      <c r="E7" s="29" t="s">
        <v>18</v>
      </c>
      <c r="F7" s="29" t="s">
        <v>19</v>
      </c>
      <c r="G7" s="29" t="s">
        <v>22</v>
      </c>
      <c r="H7" s="29" t="s">
        <v>20</v>
      </c>
      <c r="I7" s="71" t="s">
        <v>25</v>
      </c>
      <c r="J7" s="72"/>
    </row>
    <row r="8" spans="1:10" ht="30" customHeight="1" x14ac:dyDescent="0.2">
      <c r="A8" s="11"/>
      <c r="B8" s="81" t="s">
        <v>180</v>
      </c>
      <c r="C8" s="82"/>
      <c r="D8" s="82"/>
      <c r="E8" s="32"/>
      <c r="F8" s="33"/>
      <c r="G8" s="34"/>
      <c r="H8" s="35"/>
      <c r="I8" s="65"/>
      <c r="J8" s="66"/>
    </row>
    <row r="9" spans="1:10" ht="30" customHeight="1" x14ac:dyDescent="0.2">
      <c r="A9" s="11"/>
      <c r="B9" s="83" t="s">
        <v>181</v>
      </c>
      <c r="C9" s="84"/>
      <c r="D9" s="84"/>
      <c r="E9" s="38">
        <v>20</v>
      </c>
      <c r="F9" s="27">
        <v>15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0" customHeight="1" x14ac:dyDescent="0.2">
      <c r="A10" s="11"/>
      <c r="B10" s="83" t="s">
        <v>182</v>
      </c>
      <c r="C10" s="84"/>
      <c r="D10" s="84"/>
      <c r="E10" s="9">
        <v>10</v>
      </c>
      <c r="F10" s="27">
        <v>7.25</v>
      </c>
      <c r="G10" s="30">
        <f t="shared" ref="G10:G62" si="0">IFERROR(F10/E10,"")</f>
        <v>0.72499999999999998</v>
      </c>
      <c r="H10" s="31" t="str">
        <f t="shared" ref="H10:H62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2">
      <c r="A11" s="11"/>
      <c r="B11" s="83" t="s">
        <v>183</v>
      </c>
      <c r="C11" s="84"/>
      <c r="D11" s="84"/>
      <c r="E11" s="9">
        <v>5</v>
      </c>
      <c r="F11" s="27">
        <v>3.75</v>
      </c>
      <c r="G11" s="30">
        <f t="shared" si="0"/>
        <v>0.75</v>
      </c>
      <c r="H11" s="31" t="str">
        <f t="shared" si="1"/>
        <v>جيد</v>
      </c>
      <c r="I11" s="50"/>
      <c r="J11" s="51"/>
    </row>
    <row r="12" spans="1:10" ht="30" customHeight="1" x14ac:dyDescent="0.2">
      <c r="A12" s="11"/>
      <c r="B12" s="83" t="s">
        <v>184</v>
      </c>
      <c r="C12" s="84"/>
      <c r="D12" s="84"/>
      <c r="E12" s="9">
        <v>5</v>
      </c>
      <c r="F12" s="27">
        <v>4</v>
      </c>
      <c r="G12" s="30">
        <f t="shared" si="0"/>
        <v>0.8</v>
      </c>
      <c r="H12" s="31" t="str">
        <f t="shared" si="1"/>
        <v>جيد جداً</v>
      </c>
      <c r="I12" s="50"/>
      <c r="J12" s="51"/>
    </row>
    <row r="13" spans="1:10" ht="30" customHeight="1" x14ac:dyDescent="0.2">
      <c r="A13" s="11"/>
      <c r="B13" s="83" t="s">
        <v>185</v>
      </c>
      <c r="C13" s="84"/>
      <c r="D13" s="84"/>
      <c r="E13" s="9">
        <v>5</v>
      </c>
      <c r="F13" s="27">
        <v>3.5</v>
      </c>
      <c r="G13" s="30">
        <f t="shared" si="0"/>
        <v>0.7</v>
      </c>
      <c r="H13" s="31" t="str">
        <f t="shared" si="1"/>
        <v>جيد</v>
      </c>
      <c r="I13" s="50"/>
      <c r="J13" s="51"/>
    </row>
    <row r="14" spans="1:10" ht="30" customHeight="1" x14ac:dyDescent="0.2">
      <c r="A14" s="11"/>
      <c r="B14" s="83" t="s">
        <v>186</v>
      </c>
      <c r="C14" s="84"/>
      <c r="D14" s="84"/>
      <c r="E14" s="9">
        <v>5</v>
      </c>
      <c r="F14" s="27">
        <v>4</v>
      </c>
      <c r="G14" s="30">
        <f t="shared" si="0"/>
        <v>0.8</v>
      </c>
      <c r="H14" s="31" t="str">
        <f t="shared" si="1"/>
        <v>جيد جداً</v>
      </c>
      <c r="I14" s="50"/>
      <c r="J14" s="51"/>
    </row>
    <row r="15" spans="1:10" ht="30" customHeight="1" x14ac:dyDescent="0.2">
      <c r="A15" s="11"/>
      <c r="B15" s="83" t="s">
        <v>187</v>
      </c>
      <c r="C15" s="84"/>
      <c r="D15" s="84"/>
      <c r="E15" s="9">
        <v>5</v>
      </c>
      <c r="F15" s="27">
        <v>3.5</v>
      </c>
      <c r="G15" s="30">
        <f t="shared" si="0"/>
        <v>0.7</v>
      </c>
      <c r="H15" s="31" t="str">
        <f t="shared" si="1"/>
        <v>جيد</v>
      </c>
      <c r="I15" s="50"/>
      <c r="J15" s="51"/>
    </row>
    <row r="16" spans="1:10" ht="30" customHeight="1" x14ac:dyDescent="0.2">
      <c r="A16" s="11"/>
      <c r="B16" s="83" t="s">
        <v>188</v>
      </c>
      <c r="C16" s="84"/>
      <c r="D16" s="84"/>
      <c r="E16" s="9">
        <v>5</v>
      </c>
      <c r="F16" s="27">
        <v>3.5</v>
      </c>
      <c r="G16" s="30">
        <f t="shared" si="0"/>
        <v>0.7</v>
      </c>
      <c r="H16" s="31" t="str">
        <f t="shared" si="1"/>
        <v>جيد</v>
      </c>
      <c r="I16" s="50"/>
      <c r="J16" s="51"/>
    </row>
    <row r="17" spans="1:10" ht="30" customHeight="1" x14ac:dyDescent="0.2">
      <c r="A17" s="11"/>
      <c r="B17" s="83" t="s">
        <v>189</v>
      </c>
      <c r="C17" s="84"/>
      <c r="D17" s="84"/>
      <c r="E17" s="9">
        <v>5</v>
      </c>
      <c r="F17" s="27">
        <v>3.5</v>
      </c>
      <c r="G17" s="30">
        <f t="shared" si="0"/>
        <v>0.7</v>
      </c>
      <c r="H17" s="31" t="str">
        <f t="shared" si="1"/>
        <v>جيد</v>
      </c>
      <c r="I17" s="50"/>
      <c r="J17" s="51"/>
    </row>
    <row r="18" spans="1:10" ht="39.950000000000003" customHeight="1" x14ac:dyDescent="0.2">
      <c r="A18" s="11"/>
      <c r="B18" s="83" t="s">
        <v>190</v>
      </c>
      <c r="C18" s="84"/>
      <c r="D18" s="84"/>
      <c r="E18" s="9">
        <v>5</v>
      </c>
      <c r="F18" s="27">
        <v>3.5</v>
      </c>
      <c r="G18" s="30">
        <f t="shared" si="0"/>
        <v>0.7</v>
      </c>
      <c r="H18" s="31" t="str">
        <f t="shared" si="1"/>
        <v>جيد</v>
      </c>
      <c r="I18" s="50"/>
      <c r="J18" s="51"/>
    </row>
    <row r="19" spans="1:10" ht="30" customHeight="1" x14ac:dyDescent="0.2">
      <c r="A19" s="11"/>
      <c r="B19" s="85" t="s">
        <v>191</v>
      </c>
      <c r="C19" s="86"/>
      <c r="D19" s="86"/>
      <c r="E19" s="9">
        <v>5</v>
      </c>
      <c r="F19" s="44">
        <v>3.5</v>
      </c>
      <c r="G19" s="30">
        <f t="shared" si="0"/>
        <v>0.7</v>
      </c>
      <c r="H19" s="31" t="str">
        <f t="shared" si="1"/>
        <v>جيد</v>
      </c>
      <c r="I19" s="50"/>
      <c r="J19" s="51"/>
    </row>
    <row r="20" spans="1:10" ht="30" customHeight="1" x14ac:dyDescent="0.2">
      <c r="A20" s="11"/>
      <c r="B20" s="85" t="s">
        <v>192</v>
      </c>
      <c r="C20" s="86"/>
      <c r="D20" s="86"/>
      <c r="E20" s="9">
        <v>5</v>
      </c>
      <c r="F20" s="44">
        <v>3.5</v>
      </c>
      <c r="G20" s="30">
        <f t="shared" si="0"/>
        <v>0.7</v>
      </c>
      <c r="H20" s="31" t="str">
        <f t="shared" si="1"/>
        <v>جيد</v>
      </c>
      <c r="I20" s="50"/>
      <c r="J20" s="51"/>
    </row>
    <row r="21" spans="1:10" ht="39.950000000000003" customHeight="1" x14ac:dyDescent="0.2">
      <c r="A21" s="11"/>
      <c r="B21" s="85" t="s">
        <v>193</v>
      </c>
      <c r="C21" s="86"/>
      <c r="D21" s="86"/>
      <c r="E21" s="9">
        <v>10</v>
      </c>
      <c r="F21" s="44">
        <v>6.5</v>
      </c>
      <c r="G21" s="30">
        <f t="shared" si="0"/>
        <v>0.65</v>
      </c>
      <c r="H21" s="31" t="str">
        <f t="shared" si="1"/>
        <v>مقبول</v>
      </c>
      <c r="I21" s="50"/>
      <c r="J21" s="51"/>
    </row>
    <row r="22" spans="1:10" ht="30" customHeight="1" x14ac:dyDescent="0.2">
      <c r="A22" s="11"/>
      <c r="B22" s="85" t="s">
        <v>194</v>
      </c>
      <c r="C22" s="86"/>
      <c r="D22" s="86"/>
      <c r="E22" s="9">
        <v>5</v>
      </c>
      <c r="F22" s="44">
        <v>4</v>
      </c>
      <c r="G22" s="30">
        <f t="shared" si="0"/>
        <v>0.8</v>
      </c>
      <c r="H22" s="31" t="str">
        <f t="shared" si="1"/>
        <v>جيد جداً</v>
      </c>
      <c r="I22" s="50"/>
      <c r="J22" s="51"/>
    </row>
    <row r="23" spans="1:10" ht="30" customHeight="1" x14ac:dyDescent="0.2">
      <c r="A23" s="11"/>
      <c r="B23" s="85" t="s">
        <v>195</v>
      </c>
      <c r="C23" s="86"/>
      <c r="D23" s="86"/>
      <c r="E23" s="9">
        <v>5</v>
      </c>
      <c r="F23" s="44">
        <v>3.5</v>
      </c>
      <c r="G23" s="30">
        <f t="shared" si="0"/>
        <v>0.7</v>
      </c>
      <c r="H23" s="31" t="str">
        <f t="shared" si="1"/>
        <v>جيد</v>
      </c>
      <c r="I23" s="50"/>
      <c r="J23" s="51"/>
    </row>
    <row r="24" spans="1:10" ht="30" customHeight="1" x14ac:dyDescent="0.2">
      <c r="A24" s="11"/>
      <c r="B24" s="85" t="s">
        <v>196</v>
      </c>
      <c r="C24" s="86"/>
      <c r="D24" s="86"/>
      <c r="E24" s="9">
        <v>5</v>
      </c>
      <c r="F24" s="44">
        <v>3.5</v>
      </c>
      <c r="G24" s="30">
        <f t="shared" si="0"/>
        <v>0.7</v>
      </c>
      <c r="H24" s="31" t="str">
        <f t="shared" si="1"/>
        <v>جيد</v>
      </c>
      <c r="I24" s="50"/>
      <c r="J24" s="51"/>
    </row>
    <row r="25" spans="1:10" ht="30" customHeight="1" thickBot="1" x14ac:dyDescent="0.25">
      <c r="A25" s="11"/>
      <c r="B25" s="87" t="s">
        <v>197</v>
      </c>
      <c r="C25" s="88"/>
      <c r="D25" s="88"/>
      <c r="E25" s="39">
        <v>5</v>
      </c>
      <c r="F25" s="44">
        <v>4</v>
      </c>
      <c r="G25" s="36">
        <f t="shared" si="0"/>
        <v>0.8</v>
      </c>
      <c r="H25" s="37" t="str">
        <f t="shared" si="1"/>
        <v>جيد جداً</v>
      </c>
      <c r="I25" s="63"/>
      <c r="J25" s="64"/>
    </row>
    <row r="26" spans="1:10" ht="30" customHeight="1" x14ac:dyDescent="0.2">
      <c r="A26" s="11"/>
      <c r="B26" s="89" t="s">
        <v>198</v>
      </c>
      <c r="C26" s="90"/>
      <c r="D26" s="90"/>
      <c r="E26" s="40"/>
      <c r="F26" s="44"/>
      <c r="G26" s="34"/>
      <c r="H26" s="35"/>
      <c r="I26" s="65"/>
      <c r="J26" s="66"/>
    </row>
    <row r="27" spans="1:10" ht="30" customHeight="1" x14ac:dyDescent="0.2">
      <c r="A27" s="11"/>
      <c r="B27" s="83" t="s">
        <v>199</v>
      </c>
      <c r="C27" s="84"/>
      <c r="D27" s="84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50"/>
      <c r="J27" s="51"/>
    </row>
    <row r="28" spans="1:10" ht="30" customHeight="1" x14ac:dyDescent="0.2">
      <c r="A28" s="11"/>
      <c r="B28" s="83" t="s">
        <v>200</v>
      </c>
      <c r="C28" s="84"/>
      <c r="D28" s="84"/>
      <c r="E28" s="9">
        <v>5</v>
      </c>
      <c r="F28" s="44">
        <v>3</v>
      </c>
      <c r="G28" s="30">
        <f t="shared" si="0"/>
        <v>0.6</v>
      </c>
      <c r="H28" s="31" t="str">
        <f t="shared" si="1"/>
        <v>مقبول</v>
      </c>
      <c r="I28" s="50"/>
      <c r="J28" s="51"/>
    </row>
    <row r="29" spans="1:10" ht="30" customHeight="1" x14ac:dyDescent="0.2">
      <c r="A29" s="11"/>
      <c r="B29" s="85" t="s">
        <v>201</v>
      </c>
      <c r="C29" s="86"/>
      <c r="D29" s="86"/>
      <c r="E29" s="9">
        <v>5</v>
      </c>
      <c r="F29" s="44">
        <v>3.5</v>
      </c>
      <c r="G29" s="30">
        <f t="shared" si="0"/>
        <v>0.7</v>
      </c>
      <c r="H29" s="31" t="str">
        <f t="shared" si="1"/>
        <v>جيد</v>
      </c>
      <c r="I29" s="50"/>
      <c r="J29" s="51"/>
    </row>
    <row r="30" spans="1:10" ht="30" customHeight="1" x14ac:dyDescent="0.2">
      <c r="A30" s="11"/>
      <c r="B30" s="85" t="s">
        <v>202</v>
      </c>
      <c r="C30" s="86"/>
      <c r="D30" s="86"/>
      <c r="E30" s="9">
        <v>5</v>
      </c>
      <c r="F30" s="44">
        <v>3.25</v>
      </c>
      <c r="G30" s="30">
        <f t="shared" si="0"/>
        <v>0.65</v>
      </c>
      <c r="H30" s="31" t="str">
        <f t="shared" si="1"/>
        <v>مقبول</v>
      </c>
      <c r="I30" s="50"/>
      <c r="J30" s="51"/>
    </row>
    <row r="31" spans="1:10" ht="30" customHeight="1" x14ac:dyDescent="0.2">
      <c r="A31" s="11"/>
      <c r="B31" s="85" t="s">
        <v>203</v>
      </c>
      <c r="C31" s="86"/>
      <c r="D31" s="86"/>
      <c r="E31" s="9">
        <v>5</v>
      </c>
      <c r="F31" s="44">
        <v>4</v>
      </c>
      <c r="G31" s="30">
        <f t="shared" si="0"/>
        <v>0.8</v>
      </c>
      <c r="H31" s="31" t="str">
        <f t="shared" si="1"/>
        <v>جيد جداً</v>
      </c>
      <c r="I31" s="50"/>
      <c r="J31" s="51"/>
    </row>
    <row r="32" spans="1:10" ht="30" customHeight="1" x14ac:dyDescent="0.2">
      <c r="A32" s="11"/>
      <c r="B32" s="85" t="s">
        <v>204</v>
      </c>
      <c r="C32" s="86"/>
      <c r="D32" s="86"/>
      <c r="E32" s="9">
        <v>5</v>
      </c>
      <c r="F32" s="44">
        <v>3.5</v>
      </c>
      <c r="G32" s="30">
        <f t="shared" si="0"/>
        <v>0.7</v>
      </c>
      <c r="H32" s="31" t="str">
        <f t="shared" si="1"/>
        <v>جيد</v>
      </c>
      <c r="I32" s="50"/>
      <c r="J32" s="51"/>
    </row>
    <row r="33" spans="1:10" ht="30" customHeight="1" thickBot="1" x14ac:dyDescent="0.25">
      <c r="A33" s="11"/>
      <c r="B33" s="87" t="s">
        <v>205</v>
      </c>
      <c r="C33" s="88"/>
      <c r="D33" s="88"/>
      <c r="E33" s="39">
        <v>5</v>
      </c>
      <c r="F33" s="44">
        <v>3.5</v>
      </c>
      <c r="G33" s="36">
        <f t="shared" si="0"/>
        <v>0.7</v>
      </c>
      <c r="H33" s="37" t="str">
        <f t="shared" si="1"/>
        <v>جيد</v>
      </c>
      <c r="I33" s="63"/>
      <c r="J33" s="64"/>
    </row>
    <row r="34" spans="1:10" ht="30" customHeight="1" x14ac:dyDescent="0.2">
      <c r="A34" s="11"/>
      <c r="B34" s="91" t="s">
        <v>206</v>
      </c>
      <c r="C34" s="92"/>
      <c r="D34" s="92"/>
      <c r="E34" s="40"/>
      <c r="F34" s="33"/>
      <c r="G34" s="34"/>
      <c r="H34" s="35"/>
      <c r="I34" s="65"/>
      <c r="J34" s="66"/>
    </row>
    <row r="35" spans="1:10" ht="39.950000000000003" customHeight="1" x14ac:dyDescent="0.2">
      <c r="A35" s="11"/>
      <c r="B35" s="85" t="s">
        <v>207</v>
      </c>
      <c r="C35" s="86"/>
      <c r="D35" s="86"/>
      <c r="E35" s="9">
        <v>5</v>
      </c>
      <c r="F35" s="27">
        <v>3.5</v>
      </c>
      <c r="G35" s="30">
        <f t="shared" si="0"/>
        <v>0.7</v>
      </c>
      <c r="H35" s="31" t="str">
        <f t="shared" si="1"/>
        <v>جيد</v>
      </c>
      <c r="I35" s="50"/>
      <c r="J35" s="51"/>
    </row>
    <row r="36" spans="1:10" ht="30" customHeight="1" x14ac:dyDescent="0.2">
      <c r="A36" s="11"/>
      <c r="B36" s="85" t="s">
        <v>208</v>
      </c>
      <c r="C36" s="86"/>
      <c r="D36" s="86"/>
      <c r="E36" s="9">
        <v>5</v>
      </c>
      <c r="F36" s="44">
        <v>3.5</v>
      </c>
      <c r="G36" s="30">
        <f t="shared" si="0"/>
        <v>0.7</v>
      </c>
      <c r="H36" s="31" t="str">
        <f t="shared" si="1"/>
        <v>جيد</v>
      </c>
      <c r="I36" s="50"/>
      <c r="J36" s="51"/>
    </row>
    <row r="37" spans="1:10" ht="30" customHeight="1" x14ac:dyDescent="0.2">
      <c r="A37" s="11"/>
      <c r="B37" s="85" t="s">
        <v>209</v>
      </c>
      <c r="C37" s="86"/>
      <c r="D37" s="86"/>
      <c r="E37" s="9">
        <v>5</v>
      </c>
      <c r="F37" s="44">
        <v>3.5</v>
      </c>
      <c r="G37" s="30">
        <f t="shared" si="0"/>
        <v>0.7</v>
      </c>
      <c r="H37" s="31" t="str">
        <f t="shared" si="1"/>
        <v>جيد</v>
      </c>
      <c r="I37" s="50"/>
      <c r="J37" s="51"/>
    </row>
    <row r="38" spans="1:10" ht="30" customHeight="1" thickBot="1" x14ac:dyDescent="0.25">
      <c r="A38" s="11"/>
      <c r="B38" s="87" t="s">
        <v>210</v>
      </c>
      <c r="C38" s="88"/>
      <c r="D38" s="88"/>
      <c r="E38" s="39">
        <v>5</v>
      </c>
      <c r="F38" s="44">
        <v>3.5</v>
      </c>
      <c r="G38" s="36">
        <f t="shared" si="0"/>
        <v>0.7</v>
      </c>
      <c r="H38" s="37" t="str">
        <f t="shared" si="1"/>
        <v>جيد</v>
      </c>
      <c r="I38" s="63"/>
      <c r="J38" s="64"/>
    </row>
    <row r="39" spans="1:10" ht="30" customHeight="1" x14ac:dyDescent="0.2">
      <c r="A39" s="11"/>
      <c r="B39" s="81" t="s">
        <v>211</v>
      </c>
      <c r="C39" s="82"/>
      <c r="D39" s="82"/>
      <c r="E39" s="41"/>
      <c r="F39" s="33"/>
      <c r="G39" s="34"/>
      <c r="H39" s="35"/>
      <c r="I39" s="65"/>
      <c r="J39" s="66"/>
    </row>
    <row r="40" spans="1:10" ht="30" customHeight="1" x14ac:dyDescent="0.2">
      <c r="A40" s="11"/>
      <c r="B40" s="83" t="s">
        <v>212</v>
      </c>
      <c r="C40" s="84"/>
      <c r="D40" s="84"/>
      <c r="E40" s="9">
        <v>5</v>
      </c>
      <c r="F40" s="27">
        <v>3.75</v>
      </c>
      <c r="G40" s="30">
        <f t="shared" si="0"/>
        <v>0.75</v>
      </c>
      <c r="H40" s="31" t="str">
        <f t="shared" si="1"/>
        <v>جيد</v>
      </c>
      <c r="I40" s="50"/>
      <c r="J40" s="51"/>
    </row>
    <row r="41" spans="1:10" ht="30" customHeight="1" x14ac:dyDescent="0.2">
      <c r="A41" s="11"/>
      <c r="B41" s="83" t="s">
        <v>213</v>
      </c>
      <c r="C41" s="84"/>
      <c r="D41" s="84"/>
      <c r="E41" s="9">
        <v>5</v>
      </c>
      <c r="F41" s="44">
        <v>3.75</v>
      </c>
      <c r="G41" s="30">
        <f t="shared" si="0"/>
        <v>0.75</v>
      </c>
      <c r="H41" s="31" t="str">
        <f t="shared" si="1"/>
        <v>جيد</v>
      </c>
      <c r="I41" s="50"/>
      <c r="J41" s="51"/>
    </row>
    <row r="42" spans="1:10" ht="30" customHeight="1" x14ac:dyDescent="0.2">
      <c r="A42" s="11"/>
      <c r="B42" s="83" t="s">
        <v>214</v>
      </c>
      <c r="C42" s="84"/>
      <c r="D42" s="84"/>
      <c r="E42" s="9">
        <v>5</v>
      </c>
      <c r="F42" s="44">
        <v>3.75</v>
      </c>
      <c r="G42" s="30">
        <f t="shared" si="0"/>
        <v>0.75</v>
      </c>
      <c r="H42" s="31" t="str">
        <f t="shared" si="1"/>
        <v>جيد</v>
      </c>
      <c r="I42" s="50"/>
      <c r="J42" s="51"/>
    </row>
    <row r="43" spans="1:10" ht="30" customHeight="1" x14ac:dyDescent="0.2">
      <c r="A43" s="11"/>
      <c r="B43" s="83" t="s">
        <v>215</v>
      </c>
      <c r="C43" s="84"/>
      <c r="D43" s="84"/>
      <c r="E43" s="9">
        <v>5</v>
      </c>
      <c r="F43" s="44">
        <v>3.5</v>
      </c>
      <c r="G43" s="30">
        <f t="shared" si="0"/>
        <v>0.7</v>
      </c>
      <c r="H43" s="31" t="str">
        <f t="shared" si="1"/>
        <v>جيد</v>
      </c>
      <c r="I43" s="50"/>
      <c r="J43" s="51"/>
    </row>
    <row r="44" spans="1:10" ht="30" customHeight="1" x14ac:dyDescent="0.2">
      <c r="A44" s="11"/>
      <c r="B44" s="83" t="s">
        <v>216</v>
      </c>
      <c r="C44" s="84"/>
      <c r="D44" s="84"/>
      <c r="E44" s="9">
        <v>5</v>
      </c>
      <c r="F44" s="44">
        <v>3.5</v>
      </c>
      <c r="G44" s="30">
        <f t="shared" si="0"/>
        <v>0.7</v>
      </c>
      <c r="H44" s="31" t="str">
        <f t="shared" si="1"/>
        <v>جيد</v>
      </c>
      <c r="I44" s="50"/>
      <c r="J44" s="51"/>
    </row>
    <row r="45" spans="1:10" ht="30" customHeight="1" x14ac:dyDescent="0.2">
      <c r="A45" s="11"/>
      <c r="B45" s="83" t="s">
        <v>217</v>
      </c>
      <c r="C45" s="84"/>
      <c r="D45" s="84"/>
      <c r="E45" s="9">
        <v>5</v>
      </c>
      <c r="F45" s="44">
        <v>3.5</v>
      </c>
      <c r="G45" s="30">
        <f t="shared" si="0"/>
        <v>0.7</v>
      </c>
      <c r="H45" s="31" t="str">
        <f t="shared" si="1"/>
        <v>جيد</v>
      </c>
      <c r="I45" s="50"/>
      <c r="J45" s="51"/>
    </row>
    <row r="46" spans="1:10" ht="30" customHeight="1" thickBot="1" x14ac:dyDescent="0.25">
      <c r="A46" s="11"/>
      <c r="B46" s="87" t="s">
        <v>218</v>
      </c>
      <c r="C46" s="88"/>
      <c r="D46" s="88"/>
      <c r="E46" s="39">
        <v>5</v>
      </c>
      <c r="F46" s="44">
        <v>3.75</v>
      </c>
      <c r="G46" s="36">
        <f t="shared" si="0"/>
        <v>0.75</v>
      </c>
      <c r="H46" s="37" t="str">
        <f t="shared" si="1"/>
        <v>جيد</v>
      </c>
      <c r="I46" s="63"/>
      <c r="J46" s="64"/>
    </row>
    <row r="47" spans="1:10" ht="30" customHeight="1" x14ac:dyDescent="0.2">
      <c r="A47" s="11"/>
      <c r="B47" s="89" t="s">
        <v>219</v>
      </c>
      <c r="C47" s="90"/>
      <c r="D47" s="90"/>
      <c r="E47" s="40"/>
      <c r="F47" s="33"/>
      <c r="G47" s="34"/>
      <c r="H47" s="35"/>
      <c r="I47" s="65"/>
      <c r="J47" s="66"/>
    </row>
    <row r="48" spans="1:10" ht="30" customHeight="1" x14ac:dyDescent="0.2">
      <c r="A48" s="11"/>
      <c r="B48" s="83" t="s">
        <v>220</v>
      </c>
      <c r="C48" s="84"/>
      <c r="D48" s="84"/>
      <c r="E48" s="9">
        <v>5</v>
      </c>
      <c r="F48" s="27">
        <v>3.5</v>
      </c>
      <c r="G48" s="30">
        <f t="shared" si="0"/>
        <v>0.7</v>
      </c>
      <c r="H48" s="31" t="str">
        <f t="shared" si="1"/>
        <v>جيد</v>
      </c>
      <c r="I48" s="50"/>
      <c r="J48" s="51"/>
    </row>
    <row r="49" spans="1:10" ht="30" customHeight="1" x14ac:dyDescent="0.2">
      <c r="A49" s="11"/>
      <c r="B49" s="85" t="s">
        <v>221</v>
      </c>
      <c r="C49" s="86"/>
      <c r="D49" s="86"/>
      <c r="E49" s="9">
        <v>5</v>
      </c>
      <c r="F49" s="44">
        <v>3.5</v>
      </c>
      <c r="G49" s="30">
        <f t="shared" si="0"/>
        <v>0.7</v>
      </c>
      <c r="H49" s="31" t="str">
        <f t="shared" si="1"/>
        <v>جيد</v>
      </c>
      <c r="I49" s="50"/>
      <c r="J49" s="51"/>
    </row>
    <row r="50" spans="1:10" ht="30" customHeight="1" x14ac:dyDescent="0.2">
      <c r="A50" s="11"/>
      <c r="B50" s="85" t="s">
        <v>222</v>
      </c>
      <c r="C50" s="86"/>
      <c r="D50" s="86"/>
      <c r="E50" s="9">
        <v>5</v>
      </c>
      <c r="F50" s="44">
        <v>4</v>
      </c>
      <c r="G50" s="30">
        <f t="shared" si="0"/>
        <v>0.8</v>
      </c>
      <c r="H50" s="31" t="str">
        <f t="shared" si="1"/>
        <v>جيد جداً</v>
      </c>
      <c r="I50" s="50"/>
      <c r="J50" s="51"/>
    </row>
    <row r="51" spans="1:10" ht="30" customHeight="1" x14ac:dyDescent="0.2">
      <c r="A51" s="11"/>
      <c r="B51" s="85" t="s">
        <v>223</v>
      </c>
      <c r="C51" s="86"/>
      <c r="D51" s="86"/>
      <c r="E51" s="9">
        <v>5</v>
      </c>
      <c r="F51" s="44">
        <v>3.5</v>
      </c>
      <c r="G51" s="30">
        <f t="shared" si="0"/>
        <v>0.7</v>
      </c>
      <c r="H51" s="31" t="str">
        <f t="shared" si="1"/>
        <v>جيد</v>
      </c>
      <c r="I51" s="50"/>
      <c r="J51" s="51"/>
    </row>
    <row r="52" spans="1:10" ht="30" customHeight="1" x14ac:dyDescent="0.2">
      <c r="A52" s="11"/>
      <c r="B52" s="85" t="s">
        <v>224</v>
      </c>
      <c r="C52" s="86"/>
      <c r="D52" s="86"/>
      <c r="E52" s="9">
        <v>5</v>
      </c>
      <c r="F52" s="44">
        <v>3.5</v>
      </c>
      <c r="G52" s="30">
        <f t="shared" si="0"/>
        <v>0.7</v>
      </c>
      <c r="H52" s="31" t="str">
        <f t="shared" si="1"/>
        <v>جيد</v>
      </c>
      <c r="I52" s="50"/>
      <c r="J52" s="51"/>
    </row>
    <row r="53" spans="1:10" ht="30" customHeight="1" thickBot="1" x14ac:dyDescent="0.25">
      <c r="A53" s="11"/>
      <c r="B53" s="87" t="s">
        <v>225</v>
      </c>
      <c r="C53" s="88"/>
      <c r="D53" s="88"/>
      <c r="E53" s="39">
        <v>5</v>
      </c>
      <c r="F53" s="44">
        <v>3.5</v>
      </c>
      <c r="G53" s="36">
        <f t="shared" si="0"/>
        <v>0.7</v>
      </c>
      <c r="H53" s="37" t="str">
        <f t="shared" si="1"/>
        <v>جيد</v>
      </c>
      <c r="I53" s="63"/>
      <c r="J53" s="64"/>
    </row>
    <row r="54" spans="1:10" ht="30" customHeight="1" x14ac:dyDescent="0.2">
      <c r="A54" s="11"/>
      <c r="B54" s="81" t="s">
        <v>226</v>
      </c>
      <c r="C54" s="82"/>
      <c r="D54" s="82"/>
      <c r="E54" s="40"/>
      <c r="F54" s="33"/>
      <c r="G54" s="34"/>
      <c r="H54" s="35"/>
      <c r="I54" s="65"/>
      <c r="J54" s="66"/>
    </row>
    <row r="55" spans="1:10" ht="30" customHeight="1" x14ac:dyDescent="0.2">
      <c r="A55" s="11"/>
      <c r="B55" s="83" t="s">
        <v>227</v>
      </c>
      <c r="C55" s="84"/>
      <c r="D55" s="84"/>
      <c r="E55" s="9">
        <v>10</v>
      </c>
      <c r="F55" s="27">
        <v>8</v>
      </c>
      <c r="G55" s="30">
        <f t="shared" si="0"/>
        <v>0.8</v>
      </c>
      <c r="H55" s="31" t="str">
        <f t="shared" si="1"/>
        <v>جيد جداً</v>
      </c>
      <c r="I55" s="50"/>
      <c r="J55" s="51"/>
    </row>
    <row r="56" spans="1:10" ht="30" customHeight="1" x14ac:dyDescent="0.2">
      <c r="A56" s="11"/>
      <c r="B56" s="83" t="s">
        <v>228</v>
      </c>
      <c r="C56" s="84"/>
      <c r="D56" s="84"/>
      <c r="E56" s="9">
        <v>10</v>
      </c>
      <c r="F56" s="44">
        <v>8</v>
      </c>
      <c r="G56" s="30">
        <f t="shared" si="0"/>
        <v>0.8</v>
      </c>
      <c r="H56" s="31" t="str">
        <f t="shared" si="1"/>
        <v>جيد جداً</v>
      </c>
      <c r="I56" s="50"/>
      <c r="J56" s="51"/>
    </row>
    <row r="57" spans="1:10" ht="30" customHeight="1" thickBot="1" x14ac:dyDescent="0.25">
      <c r="A57" s="11"/>
      <c r="B57" s="87" t="s">
        <v>229</v>
      </c>
      <c r="C57" s="88"/>
      <c r="D57" s="88"/>
      <c r="E57" s="39">
        <v>5</v>
      </c>
      <c r="F57" s="44">
        <v>3.75</v>
      </c>
      <c r="G57" s="36">
        <f t="shared" si="0"/>
        <v>0.75</v>
      </c>
      <c r="H57" s="37" t="str">
        <f t="shared" si="1"/>
        <v>جيد</v>
      </c>
      <c r="I57" s="63"/>
      <c r="J57" s="64"/>
    </row>
    <row r="58" spans="1:10" ht="30" customHeight="1" x14ac:dyDescent="0.2">
      <c r="A58" s="11"/>
      <c r="B58" s="81" t="s">
        <v>230</v>
      </c>
      <c r="C58" s="82"/>
      <c r="D58" s="82"/>
      <c r="E58" s="41"/>
      <c r="F58" s="33"/>
      <c r="G58" s="34"/>
      <c r="H58" s="35"/>
      <c r="I58" s="65"/>
      <c r="J58" s="66"/>
    </row>
    <row r="59" spans="1:10" ht="30" customHeight="1" x14ac:dyDescent="0.2">
      <c r="A59" s="11"/>
      <c r="B59" s="85" t="s">
        <v>231</v>
      </c>
      <c r="C59" s="86"/>
      <c r="D59" s="86"/>
      <c r="E59" s="9">
        <v>5</v>
      </c>
      <c r="F59" s="27">
        <v>3.5</v>
      </c>
      <c r="G59" s="30">
        <f t="shared" si="0"/>
        <v>0.7</v>
      </c>
      <c r="H59" s="31" t="str">
        <f t="shared" si="1"/>
        <v>جيد</v>
      </c>
      <c r="I59" s="50"/>
      <c r="J59" s="51"/>
    </row>
    <row r="60" spans="1:10" ht="30" customHeight="1" x14ac:dyDescent="0.2">
      <c r="A60" s="11"/>
      <c r="B60" s="85" t="s">
        <v>232</v>
      </c>
      <c r="C60" s="86"/>
      <c r="D60" s="86"/>
      <c r="E60" s="9">
        <v>5</v>
      </c>
      <c r="F60" s="44">
        <v>3.5</v>
      </c>
      <c r="G60" s="30">
        <f t="shared" si="0"/>
        <v>0.7</v>
      </c>
      <c r="H60" s="31" t="str">
        <f t="shared" si="1"/>
        <v>جيد</v>
      </c>
      <c r="I60" s="50"/>
      <c r="J60" s="51"/>
    </row>
    <row r="61" spans="1:10" ht="39.950000000000003" customHeight="1" x14ac:dyDescent="0.2">
      <c r="A61" s="11"/>
      <c r="B61" s="83" t="s">
        <v>233</v>
      </c>
      <c r="C61" s="84"/>
      <c r="D61" s="84"/>
      <c r="E61" s="38">
        <v>5</v>
      </c>
      <c r="F61" s="44">
        <v>3.5</v>
      </c>
      <c r="G61" s="30">
        <f t="shared" si="0"/>
        <v>0.7</v>
      </c>
      <c r="H61" s="31" t="str">
        <f t="shared" si="1"/>
        <v>جيد</v>
      </c>
      <c r="I61" s="50"/>
      <c r="J61" s="51"/>
    </row>
    <row r="62" spans="1:10" ht="30" customHeight="1" thickBot="1" x14ac:dyDescent="0.25">
      <c r="A62" s="11"/>
      <c r="B62" s="93" t="s">
        <v>234</v>
      </c>
      <c r="C62" s="94"/>
      <c r="D62" s="94"/>
      <c r="E62" s="42">
        <v>15</v>
      </c>
      <c r="F62" s="44">
        <v>12.5</v>
      </c>
      <c r="G62" s="36">
        <f t="shared" si="0"/>
        <v>0.83333333333333337</v>
      </c>
      <c r="H62" s="37" t="str">
        <f t="shared" si="1"/>
        <v>جيد جداً</v>
      </c>
      <c r="I62" s="63"/>
      <c r="J62" s="64"/>
    </row>
    <row r="63" spans="1:10" ht="30" customHeight="1" thickBot="1" x14ac:dyDescent="0.25">
      <c r="A63" s="4"/>
      <c r="B63" s="79" t="s">
        <v>5</v>
      </c>
      <c r="C63" s="80"/>
      <c r="D63" s="80"/>
      <c r="E63" s="10">
        <f>SUM(E8:E62)</f>
        <v>285</v>
      </c>
      <c r="F63" s="10">
        <f>SUM(F8:F62)</f>
        <v>208</v>
      </c>
      <c r="G63" s="47"/>
      <c r="H63" s="48"/>
      <c r="I63" s="48"/>
      <c r="J63" s="49"/>
    </row>
    <row r="64" spans="1:10" ht="30" customHeight="1" thickBot="1" x14ac:dyDescent="0.25">
      <c r="A64" s="4"/>
      <c r="B64" s="79" t="s">
        <v>54</v>
      </c>
      <c r="C64" s="80"/>
      <c r="D64" s="80"/>
      <c r="E64" s="59">
        <f>F63/E63/100*100</f>
        <v>0.72982456140350882</v>
      </c>
      <c r="F64" s="59"/>
      <c r="G64" s="59"/>
      <c r="H64" s="59"/>
      <c r="I64" s="59"/>
      <c r="J64" s="60"/>
    </row>
    <row r="65" spans="1:10" ht="30" customHeight="1" thickBot="1" x14ac:dyDescent="0.25">
      <c r="A65" s="4"/>
      <c r="B65" s="79" t="s">
        <v>55</v>
      </c>
      <c r="C65" s="80"/>
      <c r="D65" s="80"/>
      <c r="E65" s="77" t="str">
        <f>_xlfn.IFS(E64&gt;=90%,"ممتاز",E64&gt;=80%,"جيد جداً",E64&gt;=70%,"جيد",E64&gt;=60%,"مقبول",E64&lt;60%,"راسب")</f>
        <v>جيد</v>
      </c>
      <c r="F65" s="77"/>
      <c r="G65" s="77"/>
      <c r="H65" s="77"/>
      <c r="I65" s="77"/>
      <c r="J65" s="78"/>
    </row>
    <row r="66" spans="1:10" ht="42" customHeight="1" x14ac:dyDescent="0.2">
      <c r="B66" s="73" t="s">
        <v>174</v>
      </c>
      <c r="C66" s="73"/>
      <c r="D66" s="73"/>
      <c r="E66" s="45" t="s">
        <v>52</v>
      </c>
      <c r="F66" s="45"/>
      <c r="G66" s="75" t="s">
        <v>114</v>
      </c>
      <c r="H66" s="75"/>
      <c r="I66" s="75"/>
      <c r="J66" s="75"/>
    </row>
    <row r="67" spans="1:10" ht="51" customHeight="1" x14ac:dyDescent="0.2">
      <c r="A67" s="5"/>
      <c r="B67" s="74"/>
      <c r="C67" s="74"/>
      <c r="D67" s="74"/>
      <c r="E67" s="46" t="s">
        <v>53</v>
      </c>
      <c r="F67" s="46"/>
      <c r="G67" s="76"/>
      <c r="H67" s="76"/>
      <c r="I67" s="76"/>
      <c r="J67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31">
    <mergeCell ref="B49:D49"/>
    <mergeCell ref="B50:D50"/>
    <mergeCell ref="B51:D51"/>
    <mergeCell ref="B52:D52"/>
    <mergeCell ref="B62:D6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3:D63"/>
    <mergeCell ref="B64:D64"/>
    <mergeCell ref="B65:D6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22:J22"/>
    <mergeCell ref="I23:J23"/>
    <mergeCell ref="I24:J24"/>
    <mergeCell ref="I25:J25"/>
    <mergeCell ref="B66:D67"/>
    <mergeCell ref="G66:J66"/>
    <mergeCell ref="G67:J67"/>
    <mergeCell ref="E65:J6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E66:F66"/>
    <mergeCell ref="E67:F67"/>
    <mergeCell ref="G63:J63"/>
    <mergeCell ref="I9:J9"/>
    <mergeCell ref="B1:J1"/>
    <mergeCell ref="F2:J2"/>
    <mergeCell ref="B5:D6"/>
    <mergeCell ref="C2:D2"/>
    <mergeCell ref="C3:D3"/>
    <mergeCell ref="F3:J3"/>
    <mergeCell ref="E64:J6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5">
    <cfRule type="expression" dxfId="14" priority="57">
      <formula>$E65="راسب"</formula>
    </cfRule>
  </conditionalFormatting>
  <conditionalFormatting sqref="E65:J65">
    <cfRule type="expression" dxfId="13" priority="58">
      <formula>$E65="مقبول"</formula>
    </cfRule>
    <cfRule type="expression" dxfId="12" priority="59">
      <formula>$E65="جيد"</formula>
    </cfRule>
    <cfRule type="expression" dxfId="11" priority="60">
      <formula>$E65="جيد جداً"</formula>
    </cfRule>
    <cfRule type="expression" dxfId="10" priority="61">
      <formula>$E65="ممتاز"</formula>
    </cfRule>
  </conditionalFormatting>
  <conditionalFormatting sqref="F8:F6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6:J66">
    <cfRule type="containsText" dxfId="6" priority="15" operator="containsText" text="أدخل اسم المحكم">
      <formula>NOT(ISERROR(SEARCH("أدخل اسم المحكم",G66)))</formula>
    </cfRule>
  </conditionalFormatting>
  <conditionalFormatting sqref="H8:H6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F11:F20 F57 F48:F53 F40:F46 F35:F38 F27:F33 F22:F25 F59:F61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G66:J66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FB3BC3-EE6F-4C0D-939D-031093148D11}">
          <x14:formula1>
            <xm:f>'بيانات التقييم'!$A$111:$A$153</xm:f>
          </x14:formula1>
          <xm:sqref>F10 F21 F55 F56</xm:sqref>
        </x14:dataValidation>
        <x14:dataValidation type="list" allowBlank="1" showInputMessage="1" showErrorMessage="1" xr:uid="{255D8252-683C-450E-AB20-532987CB9229}">
          <x14:formula1>
            <xm:f>'بيانات التقييم'!$A$111:$A$173</xm:f>
          </x14:formula1>
          <xm:sqref>F62</xm:sqref>
        </x14:dataValidation>
        <x14:dataValidation type="list" allowBlank="1" showInputMessage="1" showErrorMessage="1" xr:uid="{676C269D-3907-4D8A-A161-CABFCF4C7BCA}">
          <x14:formula1>
            <xm:f>'بيانات التقييم'!$A$111:$A$193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7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2025-09-25T08:09:46Z</dcterms:modified>
</cp:coreProperties>
</file>