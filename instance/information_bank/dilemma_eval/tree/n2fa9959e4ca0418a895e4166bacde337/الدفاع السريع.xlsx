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4EEA3349-5DB8-0148-94E9-9235BB991EAE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<sst xmlns="http://schemas.openxmlformats.org/spreadsheetml/2006/main" count="263" uniqueCount="207">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</sst>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15049</xdr:colOff>
      <xdr:row>36</xdr:row>
      <xdr:rowOff>505652</xdr:rowOff>
    </xdr:from>
    <xdr:to>
      <xdr:col>8</xdr:col>
      <xdr:colOff>275026</xdr:colOff>
      <xdr:row>37</xdr:row>
      <xdr:rowOff>433412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D1B2C761-999B-80C0-4AE0-FDE4DE6D5227}"/>
                </a:ext>
              </a:extLst>
            </xdr14:cNvPr>
            <xdr14:cNvContentPartPr/>
          </xdr14:nvContentPartPr>
          <xdr14:nvPr macro=""/>
          <xdr14:xfrm>
            <a:off x="10423427774" y="17475840"/>
            <a:ext cx="914400" cy="46116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D1B2C761-999B-80C0-4AE0-FDE4DE6D5227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419134" y="17466840"/>
              <a:ext cx="932040" cy="4788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588169</xdr:colOff>
      <xdr:row>37</xdr:row>
      <xdr:rowOff>138932</xdr:rowOff>
    </xdr:from>
    <xdr:to>
      <xdr:col>9</xdr:col>
      <xdr:colOff>2562</xdr:colOff>
      <xdr:row>37</xdr:row>
      <xdr:rowOff>613052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B40EDC27-406F-BADD-85A0-DBA828952998}"/>
                </a:ext>
              </a:extLst>
            </xdr14:cNvPr>
            <xdr14:cNvContentPartPr/>
          </xdr14:nvContentPartPr>
          <xdr14:nvPr macro=""/>
          <xdr14:xfrm>
            <a:off x="10423045814" y="17642520"/>
            <a:ext cx="723240" cy="47412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B40EDC27-406F-BADD-85A0-DBA82895299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036814" y="17633520"/>
              <a:ext cx="740880" cy="49176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4:35:18.80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1908 1280 3304,'0'0'0,"-11"-3"688,0-10-528,11 13-160,-12-11 80,3 7-16,5-8-24,0 9-24,0-7-8,0 6-32,4 4 24,-2-12-64,1 3-32,1-2-64,0-2-40,0-1-24,3-4-104,-3 18 328,11-20-376,-2-1-56,1-2 88,1-1 112,2-1 88,0-3 112,-13 28 32,16-27-32,-1-2 16,2 1 8,1 1-8,0 1 32,1-1-16,-19 27 0,21-23 16,-1-1 0,0 4-8,0 1 8,-1 1 0,-1 4-8,-18 14-8,16-14 40,1 4-24,-1-2-8,0 1 24,1 1-56,-1 1 64,-16 9-40,17-4 24,0-8 0,-1 10 24,1-2-40,-1 2 40,0-1 16,-16 3-64,16-2 136,0 2 0,-1-3 8,0 3-40,0 0-40,-1 0 32,-14 0-96,15 2 56,-2 0 32,-1 2-32,-1 5-24,0-6 96,-2 6-72,-9-9-56,11 4 88,-2 5 8,-5-4-56,7 6 64,-9-1 8,2-6 56,-4-4-168,2 14 168,-2-4 40,0 1-8,0 1-40,-3 2 65,-9 2-81,12-16-144,-12 17 104,-3 1-40,-1 0-40,-4 0-8,-2 0-8,-3 1-96,25-19 88,-28 19-232,-1 0-97,1-1-119,-4-1-40,2-3 16,-1 0 24,31-14 448,-32 13-344,-1-4 128,-1 2 56,-2-7 136,0 1 0,-3-1-8,39-4 32,-36 4-16,-2 0-40,1-1 24,-1 1 32,-2-2 0,-1 1 0,41-3 0,-38 1 32,-3 1 0,0-1 56,1 0 64,-2 1 48,0-1 64,42-1-264,-42 5 288,1-1-16,-1 6-16,0-8 8,0 3-24,0 6 0,42-11-240,-42 4 272,3 6-112,1-7 24,0 2-39,2-1-41,1 0 0,35-4-104,-35 4 64,0-3 16,3-1 56,0 0-8,0-3 8,3-6-32,29 9-104,-30-3 48,3-9-32,1-1 16,1-1-64,3-3-56,0-2-24,22 19 112,-20-20-200,1-4 32,2-3-96,0-2 15,1-2-7,2-1-8,14 32 264,-13-34-160,0-2 16,2 2 56,0-1 24,0 0 32,1 2 32,10 33 0,-10-34 16,5 2 32,-6-2 0,8 3 0,-1 0 8,1 2-24,3 29-32,-2-26 32,2 1-24,0-2 0,4 2 8,10 1 0,-2-1 8,-12 25-24,15-24 0,0 1 0,2 0 8,2 1-8,3 0 16,1 0 16,-23 22-32,25-20 16,2 0 8,3-1-8,1 3-8,4 0 0,1 3-8,-36 15 0,37-15-8,2 3-24,0 2 16,2 6 8,0-9 16,1 10 24,-42 3-32,43-9 32,-2 9-8,2-4 0,0 2 0,1-1-8,0 3 0,-44 0-16,42 0 8,-1 2 8,-2-1-8,-3 2 0,0 1-16,-3 1 8,-33-5 0,32 5-8,-2 4-8,0-5 0,-4-1-8,-3 8 8,0-7 8,-23-4 8,21 9-8,-2-5 16,-1 7 16,-3-8-8,-3 8 8,0-6 16,-12-5-40,10 11 72,-7-8 32,7 9 48,-8-7 73,1 6 95,-3-2 128,0-9-448,0 10 552,-1 2 24,-10 2-8,0 1-80,-3 2-104,-4 2-80,18-19-304,-23 21 272,-3 2-32,-4 1-16,-5 2 1,-3 3-25,-4 0-48,42-29-152,-46 31 160,-1 0-40,-2 0-16,-2 2-16,-5 2-48,-2-2 8,58-33-48,-59 35 32,-2 0-8,2-3 0,-2 0-16,1-1 40,60-31-48,-61 33 40,0-2 8,1 0 32,0-1-32,3 0 8,0-1-24,57-29-32,-56 26 32,1 2 0,3-4-8,3-1 0,4-2-16,3-2-16,42-19 8,-41 19 0,3 1-48,2-2-32,2-2-80,3 0-200,2-3-240,29-13 600,-27 12-929,0-1-415,4-2-344,3-5 23,1 6 465,2-8-1336,17-2 2536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04:35:19.7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1985 23 4576,'0'0'0,"4"-4"1033,6-7-385,-6 9-24,-2-2-24,-2 4-600,3-2 552,-3 2 168,0 0 121,0 0 7,0 0 0,0 0-88,0 0-760,-3 0 512,0 1-152,-7 3-56,-1 7-264,-3-2 8,-3 2-96,17-11 48,-21 16 0,-5 3 16,-1 1 0,-3 3 96,-1 1-120,-4 1 120,35-25-112,-38 28 0,-1 2-24,-4 0 88,-1-1-160,-1 1 24,1 2 0,44-32 72,-42 30-144,0 0-32,0-2-16,4-3-40,0-1-16,4-1-144,34-23 392,-32 21-472,2-2-120,3-4-88,2-1-16,2-4-33,3 0-55,20-10 784,-18 3-824,3 8 0,1-8 48,2 0 88,2 0 143,0-1 169,10-2 376,-10 1-256,7 0 104,-8 1 80,7-2 80,0 0 0,-1 0 40,5 0-48,-10-3 64,8 0 32,-2 0 56,0 1 88,0 2 56,-1 0 9,5 0-305,-5 0 360,0 0-24,-4 0-56,5 0 8,-5 0-64,5 1-64,4-1-160,-12 4 168,7-2-72,-8 2-16,4-1 56,-1 7-48,-2-7 16,12-3-104,-12 4 128,0 1-80,-1-2 40,1 2 8,-1 0 8,1 0 8,12-5-112,-11 3 112,0 1-24,0 0 0,0-3-8,2 0 8,-2-1-16,11 0-72,-10 0 64,1 0 32,-1 0-40,1-2-40,4-1-16,-8 0-40,13 3 40,-11-11-56,1 8-32,1-6 56,-2 6-8,1-9 8,1 9 48,9 3-16,-10-12-32,1 8 32,4-9 0,-7 3-8,8 1 8,-6-3-32,10 12 32,-4-10-16,-6 0 0,7-1 8,-1 0 0,-1-1 0,0 1-8,5 11 16,-4-9-8,0-2 8,2 1-8,1-1-8,-1 1-8,1 0 0,1 10 24,-1-11-40,0 2 0,0 5-8,1-9 0,0 9 0,2-6 0,-2 10 48,2-3-56,-2 0-8,3-7-24,-1 10 8,1-4 8,-3 2 0,0 2 72,0-2-40,0 2-8,0 0 8,2 0-8,-2 0-24,0 0 0,0 0 72,0 0-64,0 1 24,-1 1-8,-2 2 24,-1 8-24,-7-3 24,11-9 24,-5 11-32,-9 4 8,0 2 0,1 3 16,-1 2 16,-3 4 24,17-26-32,-19 26 24,-4 3-16,0 1 8,-1 2 0,-1 0 0,0 3 24,25-35-40,-26 35 40,-1 0 0,1 1 24,0 2 40,-1 0 56,2 2 56,25-40-216,-26 37 256,0-1 48,3 0-16,0-1 8,2-4-24,6-1-56,15-30-216,-12 27 200,7-3-56,-5-3-15,9-2 47,1-4 80,0 1 64,0-16-320,12 13 312,-2-1-16,3-1-40,5 0-72,2-2-8,3-4-48,-23-5-128,25 11 200,4-9-32,0 1-24,3-2-8,3-1-112,-35 0-24,36 0 56,3 0-56,5-4-32,0-8 0,3 2-56,1-4-104,3 1-168,-51 13 360,53-15-544,2-3-312,2-2-457,6-3-487,3-4-432,3-2 351,-69 29 1881,72-36-2680,-72 36 2680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A32" zoomScale="130" zoomScaleNormal="100" zoomScaleSheetLayoutView="130" workbookViewId="0">
      <selection activeCell="G38" sqref="G38:J38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4" t="s">
        <v>206</v>
      </c>
      <c r="C1" s="54"/>
      <c r="D1" s="54"/>
      <c r="E1" s="54"/>
      <c r="F1" s="54"/>
      <c r="G1" s="54"/>
      <c r="H1" s="54"/>
      <c r="I1" s="54"/>
      <c r="J1" s="54"/>
    </row>
    <row r="2" spans="1:10" ht="30" customHeight="1" x14ac:dyDescent="0.2">
      <c r="B2" s="12" t="s">
        <v>8</v>
      </c>
      <c r="C2" s="60" t="s">
        <v>40</v>
      </c>
      <c r="D2" s="60"/>
      <c r="E2" s="12" t="s">
        <v>7</v>
      </c>
      <c r="F2" s="55">
        <v>45955</v>
      </c>
      <c r="G2" s="55"/>
      <c r="H2" s="55"/>
      <c r="I2" s="55"/>
      <c r="J2" s="55"/>
    </row>
    <row r="3" spans="1:10" ht="30" customHeight="1" x14ac:dyDescent="0.2">
      <c r="B3" s="12" t="s">
        <v>9</v>
      </c>
      <c r="C3" s="60" t="s">
        <v>81</v>
      </c>
      <c r="D3" s="60"/>
      <c r="E3" s="12" t="s">
        <v>6</v>
      </c>
      <c r="F3" s="60" t="s">
        <v>92</v>
      </c>
      <c r="G3" s="60"/>
      <c r="H3" s="60"/>
      <c r="I3" s="60"/>
      <c r="J3" s="60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6" t="s">
        <v>0</v>
      </c>
      <c r="C5" s="57"/>
      <c r="D5" s="57"/>
      <c r="E5" s="65" t="s">
        <v>1</v>
      </c>
      <c r="F5" s="65"/>
      <c r="G5" s="65"/>
      <c r="H5" s="65"/>
      <c r="I5" s="65" t="s">
        <v>2</v>
      </c>
      <c r="J5" s="66"/>
    </row>
    <row r="6" spans="1:10" ht="24.95" customHeight="1" thickBot="1" x14ac:dyDescent="0.25">
      <c r="A6" s="10"/>
      <c r="B6" s="58"/>
      <c r="C6" s="59"/>
      <c r="D6" s="59"/>
      <c r="E6" s="11" t="s">
        <v>3</v>
      </c>
      <c r="F6" s="11" t="s">
        <v>4</v>
      </c>
      <c r="G6" s="11" t="s">
        <v>23</v>
      </c>
      <c r="H6" s="11" t="s">
        <v>24</v>
      </c>
      <c r="I6" s="67"/>
      <c r="J6" s="68"/>
    </row>
    <row r="7" spans="1:10" ht="24.95" customHeight="1" thickBot="1" x14ac:dyDescent="0.25">
      <c r="A7" s="10"/>
      <c r="B7" s="63" t="s">
        <v>21</v>
      </c>
      <c r="C7" s="64"/>
      <c r="D7" s="64"/>
      <c r="E7" s="28" t="s">
        <v>18</v>
      </c>
      <c r="F7" s="28" t="s">
        <v>19</v>
      </c>
      <c r="G7" s="28" t="s">
        <v>22</v>
      </c>
      <c r="H7" s="28" t="s">
        <v>20</v>
      </c>
      <c r="I7" s="69" t="s">
        <v>25</v>
      </c>
      <c r="J7" s="70"/>
    </row>
    <row r="8" spans="1:10" ht="39.950000000000003" customHeight="1" x14ac:dyDescent="0.2">
      <c r="A8" s="10"/>
      <c r="B8" s="45" t="s">
        <v>180</v>
      </c>
      <c r="C8" s="46"/>
      <c r="D8" s="46"/>
      <c r="E8" s="32">
        <v>5</v>
      </c>
      <c r="F8" s="33">
        <v>4</v>
      </c>
      <c r="G8" s="34">
        <f>IFERROR(F8/E8,"")</f>
        <v>0.8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79"/>
      <c r="J8" s="80"/>
    </row>
    <row r="9" spans="1:10" ht="39.950000000000003" customHeight="1" x14ac:dyDescent="0.2">
      <c r="A9" s="10"/>
      <c r="B9" s="43" t="s">
        <v>181</v>
      </c>
      <c r="C9" s="44"/>
      <c r="D9" s="44"/>
      <c r="E9" s="9">
        <v>5</v>
      </c>
      <c r="F9" s="26">
        <v>4</v>
      </c>
      <c r="G9" s="30">
        <f>IFERROR(F9/E9,"")</f>
        <v>0.8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47"/>
      <c r="J9" s="48"/>
    </row>
    <row r="10" spans="1:10" ht="39.950000000000003" customHeight="1" x14ac:dyDescent="0.2">
      <c r="A10" s="10"/>
      <c r="B10" s="43" t="s">
        <v>182</v>
      </c>
      <c r="C10" s="44"/>
      <c r="D10" s="44"/>
      <c r="E10" s="9">
        <v>5</v>
      </c>
      <c r="F10" s="26">
        <v>4</v>
      </c>
      <c r="G10" s="30">
        <f t="shared" ref="G10:G33" si="0">IFERROR(F10/E10,"")</f>
        <v>0.8</v>
      </c>
      <c r="H10" s="31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7"/>
      <c r="J10" s="48"/>
    </row>
    <row r="11" spans="1:10" ht="39.950000000000003" customHeight="1" x14ac:dyDescent="0.2">
      <c r="A11" s="10"/>
      <c r="B11" s="43" t="s">
        <v>183</v>
      </c>
      <c r="C11" s="44"/>
      <c r="D11" s="44"/>
      <c r="E11" s="9">
        <v>5</v>
      </c>
      <c r="F11" s="26">
        <v>4</v>
      </c>
      <c r="G11" s="30">
        <f t="shared" si="0"/>
        <v>0.8</v>
      </c>
      <c r="H11" s="31" t="str">
        <f t="shared" si="1"/>
        <v>جيد جداً</v>
      </c>
      <c r="I11" s="47"/>
      <c r="J11" s="48"/>
    </row>
    <row r="12" spans="1:10" ht="39.950000000000003" customHeight="1" x14ac:dyDescent="0.2">
      <c r="A12" s="10"/>
      <c r="B12" s="43" t="s">
        <v>184</v>
      </c>
      <c r="C12" s="44"/>
      <c r="D12" s="44"/>
      <c r="E12" s="9">
        <v>5</v>
      </c>
      <c r="F12" s="26">
        <v>4</v>
      </c>
      <c r="G12" s="30">
        <f t="shared" si="0"/>
        <v>0.8</v>
      </c>
      <c r="H12" s="31" t="str">
        <f t="shared" si="1"/>
        <v>جيد جداً</v>
      </c>
      <c r="I12" s="47"/>
      <c r="J12" s="48"/>
    </row>
    <row r="13" spans="1:10" ht="39.950000000000003" customHeight="1" x14ac:dyDescent="0.2">
      <c r="A13" s="10"/>
      <c r="B13" s="43" t="s">
        <v>185</v>
      </c>
      <c r="C13" s="44"/>
      <c r="D13" s="44"/>
      <c r="E13" s="9">
        <v>5</v>
      </c>
      <c r="F13" s="26">
        <v>4</v>
      </c>
      <c r="G13" s="30">
        <f t="shared" si="0"/>
        <v>0.8</v>
      </c>
      <c r="H13" s="31" t="str">
        <f t="shared" si="1"/>
        <v>جيد جداً</v>
      </c>
      <c r="I13" s="47"/>
      <c r="J13" s="48"/>
    </row>
    <row r="14" spans="1:10" ht="39.950000000000003" customHeight="1" x14ac:dyDescent="0.2">
      <c r="A14" s="10"/>
      <c r="B14" s="43" t="s">
        <v>186</v>
      </c>
      <c r="C14" s="44"/>
      <c r="D14" s="44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47"/>
      <c r="J14" s="48"/>
    </row>
    <row r="15" spans="1:10" ht="39.950000000000003" customHeight="1" x14ac:dyDescent="0.2">
      <c r="A15" s="10"/>
      <c r="B15" s="43" t="s">
        <v>187</v>
      </c>
      <c r="C15" s="44"/>
      <c r="D15" s="44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47"/>
      <c r="J15" s="48"/>
    </row>
    <row r="16" spans="1:10" ht="39.950000000000003" customHeight="1" x14ac:dyDescent="0.2">
      <c r="A16" s="10"/>
      <c r="B16" s="43" t="s">
        <v>188</v>
      </c>
      <c r="C16" s="44"/>
      <c r="D16" s="44"/>
      <c r="E16" s="9">
        <v>5</v>
      </c>
      <c r="F16" s="26">
        <v>4</v>
      </c>
      <c r="G16" s="30">
        <f t="shared" si="0"/>
        <v>0.8</v>
      </c>
      <c r="H16" s="31" t="str">
        <f t="shared" si="1"/>
        <v>جيد جداً</v>
      </c>
      <c r="I16" s="47"/>
      <c r="J16" s="48"/>
    </row>
    <row r="17" spans="1:10" ht="39.950000000000003" customHeight="1" x14ac:dyDescent="0.2">
      <c r="A17" s="10"/>
      <c r="B17" s="43" t="s">
        <v>189</v>
      </c>
      <c r="C17" s="44"/>
      <c r="D17" s="44"/>
      <c r="E17" s="9">
        <v>5</v>
      </c>
      <c r="F17" s="26">
        <v>3.5</v>
      </c>
      <c r="G17" s="30">
        <f t="shared" si="0"/>
        <v>0.7</v>
      </c>
      <c r="H17" s="31" t="str">
        <f t="shared" si="1"/>
        <v>جيد</v>
      </c>
      <c r="I17" s="47"/>
      <c r="J17" s="48"/>
    </row>
    <row r="18" spans="1:10" ht="39.950000000000003" customHeight="1" x14ac:dyDescent="0.2">
      <c r="A18" s="10"/>
      <c r="B18" s="43" t="s">
        <v>190</v>
      </c>
      <c r="C18" s="44"/>
      <c r="D18" s="44"/>
      <c r="E18" s="9">
        <v>5</v>
      </c>
      <c r="F18" s="26">
        <v>4</v>
      </c>
      <c r="G18" s="30">
        <f t="shared" si="0"/>
        <v>0.8</v>
      </c>
      <c r="H18" s="31" t="str">
        <f t="shared" si="1"/>
        <v>جيد جداً</v>
      </c>
      <c r="I18" s="47"/>
      <c r="J18" s="48"/>
    </row>
    <row r="19" spans="1:10" ht="39.950000000000003" customHeight="1" x14ac:dyDescent="0.2">
      <c r="A19" s="10"/>
      <c r="B19" s="43" t="s">
        <v>191</v>
      </c>
      <c r="C19" s="44"/>
      <c r="D19" s="44"/>
      <c r="E19" s="9">
        <v>5</v>
      </c>
      <c r="F19" s="26">
        <v>3.75</v>
      </c>
      <c r="G19" s="30">
        <f t="shared" si="0"/>
        <v>0.75</v>
      </c>
      <c r="H19" s="31" t="str">
        <f t="shared" si="1"/>
        <v>جيد</v>
      </c>
      <c r="I19" s="47"/>
      <c r="J19" s="48"/>
    </row>
    <row r="20" spans="1:10" ht="39.950000000000003" customHeight="1" x14ac:dyDescent="0.2">
      <c r="A20" s="10"/>
      <c r="B20" s="43" t="s">
        <v>192</v>
      </c>
      <c r="C20" s="44"/>
      <c r="D20" s="44"/>
      <c r="E20" s="9">
        <v>5</v>
      </c>
      <c r="F20" s="26">
        <v>3.5</v>
      </c>
      <c r="G20" s="30">
        <f t="shared" si="0"/>
        <v>0.7</v>
      </c>
      <c r="H20" s="31" t="str">
        <f t="shared" si="1"/>
        <v>جيد</v>
      </c>
      <c r="I20" s="47"/>
      <c r="J20" s="48"/>
    </row>
    <row r="21" spans="1:10" ht="39.950000000000003" customHeight="1" x14ac:dyDescent="0.2">
      <c r="A21" s="10"/>
      <c r="B21" s="39" t="s">
        <v>193</v>
      </c>
      <c r="C21" s="40"/>
      <c r="D21" s="40"/>
      <c r="E21" s="9">
        <v>5</v>
      </c>
      <c r="F21" s="26">
        <v>4</v>
      </c>
      <c r="G21" s="30">
        <f t="shared" si="0"/>
        <v>0.8</v>
      </c>
      <c r="H21" s="31" t="str">
        <f t="shared" si="1"/>
        <v>جيد جداً</v>
      </c>
      <c r="I21" s="47"/>
      <c r="J21" s="48"/>
    </row>
    <row r="22" spans="1:10" ht="39.950000000000003" customHeight="1" x14ac:dyDescent="0.2">
      <c r="A22" s="10"/>
      <c r="B22" s="39" t="s">
        <v>194</v>
      </c>
      <c r="C22" s="40"/>
      <c r="D22" s="40"/>
      <c r="E22" s="9">
        <v>5</v>
      </c>
      <c r="F22" s="26">
        <v>3.5</v>
      </c>
      <c r="G22" s="30">
        <f t="shared" si="0"/>
        <v>0.7</v>
      </c>
      <c r="H22" s="31" t="str">
        <f t="shared" si="1"/>
        <v>جيد</v>
      </c>
      <c r="I22" s="47"/>
      <c r="J22" s="48"/>
    </row>
    <row r="23" spans="1:10" ht="39.950000000000003" customHeight="1" x14ac:dyDescent="0.2">
      <c r="A23" s="10"/>
      <c r="B23" s="39" t="s">
        <v>195</v>
      </c>
      <c r="C23" s="40"/>
      <c r="D23" s="40"/>
      <c r="E23" s="9">
        <v>5</v>
      </c>
      <c r="F23" s="26">
        <v>3.5</v>
      </c>
      <c r="G23" s="30">
        <f t="shared" si="0"/>
        <v>0.7</v>
      </c>
      <c r="H23" s="31" t="str">
        <f t="shared" si="1"/>
        <v>جيد</v>
      </c>
      <c r="I23" s="47"/>
      <c r="J23" s="48"/>
    </row>
    <row r="24" spans="1:10" ht="39.950000000000003" customHeight="1" x14ac:dyDescent="0.2">
      <c r="A24" s="10"/>
      <c r="B24" s="39" t="s">
        <v>196</v>
      </c>
      <c r="C24" s="40"/>
      <c r="D24" s="40"/>
      <c r="E24" s="9">
        <v>5</v>
      </c>
      <c r="F24" s="26">
        <v>4</v>
      </c>
      <c r="G24" s="30">
        <f t="shared" si="0"/>
        <v>0.8</v>
      </c>
      <c r="H24" s="31" t="str">
        <f t="shared" si="1"/>
        <v>جيد جداً</v>
      </c>
      <c r="I24" s="47"/>
      <c r="J24" s="48"/>
    </row>
    <row r="25" spans="1:10" ht="39.950000000000003" customHeight="1" x14ac:dyDescent="0.2">
      <c r="A25" s="10"/>
      <c r="B25" s="39" t="s">
        <v>197</v>
      </c>
      <c r="C25" s="40"/>
      <c r="D25" s="40"/>
      <c r="E25" s="9">
        <v>5</v>
      </c>
      <c r="F25" s="26">
        <v>3.5</v>
      </c>
      <c r="G25" s="30">
        <f t="shared" si="0"/>
        <v>0.7</v>
      </c>
      <c r="H25" s="31" t="str">
        <f t="shared" si="1"/>
        <v>جيد</v>
      </c>
      <c r="I25" s="47"/>
      <c r="J25" s="48"/>
    </row>
    <row r="26" spans="1:10" ht="39.950000000000003" customHeight="1" x14ac:dyDescent="0.2">
      <c r="A26" s="10"/>
      <c r="B26" s="39" t="s">
        <v>198</v>
      </c>
      <c r="C26" s="40"/>
      <c r="D26" s="40"/>
      <c r="E26" s="9">
        <v>5</v>
      </c>
      <c r="F26" s="26">
        <v>3.5</v>
      </c>
      <c r="G26" s="30">
        <f t="shared" si="0"/>
        <v>0.7</v>
      </c>
      <c r="H26" s="31" t="str">
        <f t="shared" si="1"/>
        <v>جيد</v>
      </c>
      <c r="I26" s="47"/>
      <c r="J26" s="48"/>
    </row>
    <row r="27" spans="1:10" ht="39.950000000000003" customHeight="1" x14ac:dyDescent="0.2">
      <c r="A27" s="10"/>
      <c r="B27" s="39" t="s">
        <v>199</v>
      </c>
      <c r="C27" s="40"/>
      <c r="D27" s="40"/>
      <c r="E27" s="9">
        <v>5</v>
      </c>
      <c r="F27" s="26">
        <v>4</v>
      </c>
      <c r="G27" s="30">
        <f t="shared" si="0"/>
        <v>0.8</v>
      </c>
      <c r="H27" s="31" t="str">
        <f t="shared" si="1"/>
        <v>جيد جداً</v>
      </c>
      <c r="I27" s="47"/>
      <c r="J27" s="48"/>
    </row>
    <row r="28" spans="1:10" ht="39.950000000000003" customHeight="1" x14ac:dyDescent="0.2">
      <c r="A28" s="10"/>
      <c r="B28" s="39" t="s">
        <v>200</v>
      </c>
      <c r="C28" s="40"/>
      <c r="D28" s="40"/>
      <c r="E28" s="9">
        <v>5</v>
      </c>
      <c r="F28" s="26">
        <v>4</v>
      </c>
      <c r="G28" s="30">
        <f t="shared" si="0"/>
        <v>0.8</v>
      </c>
      <c r="H28" s="31" t="str">
        <f t="shared" si="1"/>
        <v>جيد جداً</v>
      </c>
      <c r="I28" s="47"/>
      <c r="J28" s="48"/>
    </row>
    <row r="29" spans="1:10" ht="39.950000000000003" customHeight="1" x14ac:dyDescent="0.2">
      <c r="A29" s="10"/>
      <c r="B29" s="39" t="s">
        <v>201</v>
      </c>
      <c r="C29" s="40"/>
      <c r="D29" s="40"/>
      <c r="E29" s="9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47"/>
      <c r="J29" s="48"/>
    </row>
    <row r="30" spans="1:10" ht="39.950000000000003" customHeight="1" x14ac:dyDescent="0.2">
      <c r="A30" s="10"/>
      <c r="B30" s="39" t="s">
        <v>202</v>
      </c>
      <c r="C30" s="40"/>
      <c r="D30" s="40"/>
      <c r="E30" s="9">
        <v>5</v>
      </c>
      <c r="F30" s="26">
        <v>4</v>
      </c>
      <c r="G30" s="30">
        <f t="shared" si="0"/>
        <v>0.8</v>
      </c>
      <c r="H30" s="31" t="str">
        <f t="shared" si="1"/>
        <v>جيد جداً</v>
      </c>
      <c r="I30" s="47"/>
      <c r="J30" s="48"/>
    </row>
    <row r="31" spans="1:10" ht="39.950000000000003" customHeight="1" x14ac:dyDescent="0.2">
      <c r="A31" s="10"/>
      <c r="B31" s="39" t="s">
        <v>203</v>
      </c>
      <c r="C31" s="40"/>
      <c r="D31" s="40"/>
      <c r="E31" s="9">
        <v>5</v>
      </c>
      <c r="F31" s="26">
        <v>3.5</v>
      </c>
      <c r="G31" s="30">
        <f t="shared" si="0"/>
        <v>0.7</v>
      </c>
      <c r="H31" s="31" t="str">
        <f t="shared" si="1"/>
        <v>جيد</v>
      </c>
      <c r="I31" s="47"/>
      <c r="J31" s="48"/>
    </row>
    <row r="32" spans="1:10" ht="39.950000000000003" customHeight="1" x14ac:dyDescent="0.2">
      <c r="A32" s="10"/>
      <c r="B32" s="39" t="s">
        <v>204</v>
      </c>
      <c r="C32" s="40"/>
      <c r="D32" s="40"/>
      <c r="E32" s="9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47"/>
      <c r="J32" s="48"/>
    </row>
    <row r="33" spans="1:10" ht="39.950000000000003" customHeight="1" thickBot="1" x14ac:dyDescent="0.25">
      <c r="A33" s="10"/>
      <c r="B33" s="41" t="s">
        <v>205</v>
      </c>
      <c r="C33" s="42"/>
      <c r="D33" s="42"/>
      <c r="E33" s="36">
        <v>5</v>
      </c>
      <c r="F33" s="27">
        <v>3.5</v>
      </c>
      <c r="G33" s="37">
        <f t="shared" si="0"/>
        <v>0.7</v>
      </c>
      <c r="H33" s="38" t="str">
        <f t="shared" si="1"/>
        <v>جيد</v>
      </c>
      <c r="I33" s="77"/>
      <c r="J33" s="78"/>
    </row>
    <row r="34" spans="1:10" ht="30" customHeight="1" thickBot="1" x14ac:dyDescent="0.25">
      <c r="A34" s="4"/>
      <c r="B34" s="81" t="s">
        <v>5</v>
      </c>
      <c r="C34" s="82"/>
      <c r="D34" s="82"/>
      <c r="E34" s="29">
        <f>SUM(E8:E33)</f>
        <v>130</v>
      </c>
      <c r="F34" s="29">
        <f>SUM(F8:F33)</f>
        <v>98</v>
      </c>
      <c r="G34" s="51"/>
      <c r="H34" s="52"/>
      <c r="I34" s="52"/>
      <c r="J34" s="53"/>
    </row>
    <row r="35" spans="1:10" ht="30" customHeight="1" thickBot="1" x14ac:dyDescent="0.25">
      <c r="A35" s="4"/>
      <c r="B35" s="83" t="s">
        <v>54</v>
      </c>
      <c r="C35" s="84"/>
      <c r="D35" s="84"/>
      <c r="E35" s="61">
        <f>F34/E34/100*100</f>
        <v>0.75384615384615383</v>
      </c>
      <c r="F35" s="61"/>
      <c r="G35" s="61"/>
      <c r="H35" s="61"/>
      <c r="I35" s="61"/>
      <c r="J35" s="62"/>
    </row>
    <row r="36" spans="1:10" ht="30" customHeight="1" thickBot="1" x14ac:dyDescent="0.25">
      <c r="A36" s="4"/>
      <c r="B36" s="83" t="s">
        <v>55</v>
      </c>
      <c r="C36" s="84"/>
      <c r="D36" s="84"/>
      <c r="E36" s="75" t="str">
        <f>_xlfn.IFS(E35&gt;=90%,"ممتاز",E35&gt;=80%,"جيد جداً",E35&gt;=70%,"جيد",E35&gt;=60%,"مقبول",E35&lt;60%,"راسب")</f>
        <v>جيد</v>
      </c>
      <c r="F36" s="75"/>
      <c r="G36" s="75"/>
      <c r="H36" s="75"/>
      <c r="I36" s="75"/>
      <c r="J36" s="76"/>
    </row>
    <row r="37" spans="1:10" ht="42" customHeight="1" x14ac:dyDescent="0.2">
      <c r="B37" s="71" t="s">
        <v>174</v>
      </c>
      <c r="C37" s="71"/>
      <c r="D37" s="71"/>
      <c r="E37" s="49" t="s">
        <v>52</v>
      </c>
      <c r="F37" s="49"/>
      <c r="G37" s="73" t="s">
        <v>92</v>
      </c>
      <c r="H37" s="73"/>
      <c r="I37" s="73"/>
      <c r="J37" s="73"/>
    </row>
    <row r="38" spans="1:10" ht="51" customHeight="1" x14ac:dyDescent="0.2">
      <c r="A38" s="5"/>
      <c r="B38" s="72"/>
      <c r="C38" s="72"/>
      <c r="D38" s="72"/>
      <c r="E38" s="50" t="s">
        <v>53</v>
      </c>
      <c r="F38" s="50"/>
      <c r="G38" s="74"/>
      <c r="H38" s="74"/>
      <c r="I38" s="74"/>
      <c r="J38" s="74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37:D38"/>
    <mergeCell ref="G37:J37"/>
    <mergeCell ref="G38:J38"/>
    <mergeCell ref="E36:J36"/>
    <mergeCell ref="I32:J32"/>
    <mergeCell ref="I33:J33"/>
    <mergeCell ref="B34:D34"/>
    <mergeCell ref="B35:D35"/>
    <mergeCell ref="B36:D36"/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1:J1"/>
    <mergeCell ref="F2:J2"/>
    <mergeCell ref="B5:D6"/>
    <mergeCell ref="C2:D2"/>
    <mergeCell ref="C3:D3"/>
    <mergeCell ref="F3:J3"/>
    <mergeCell ref="I9:J9"/>
    <mergeCell ref="E37:F37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B25:D25"/>
    <mergeCell ref="B27:D27"/>
    <mergeCell ref="B26:D26"/>
    <mergeCell ref="B17:D17"/>
    <mergeCell ref="B8:D8"/>
    <mergeCell ref="B33:D33"/>
    <mergeCell ref="B9:D9"/>
    <mergeCell ref="B10:D10"/>
    <mergeCell ref="B11:D11"/>
    <mergeCell ref="B12:D12"/>
    <mergeCell ref="B13:D13"/>
    <mergeCell ref="B14:D14"/>
    <mergeCell ref="B15:D15"/>
    <mergeCell ref="B16:D16"/>
    <mergeCell ref="B18:D18"/>
    <mergeCell ref="B19:D19"/>
    <mergeCell ref="B20:D20"/>
    <mergeCell ref="B21:D21"/>
    <mergeCell ref="B22:D22"/>
    <mergeCell ref="B23:D23"/>
    <mergeCell ref="B24:D24"/>
    <mergeCell ref="B28:D28"/>
    <mergeCell ref="B29:D29"/>
    <mergeCell ref="B30:D30"/>
    <mergeCell ref="B31:D31"/>
    <mergeCell ref="B32:D32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60">
      <formula>$E36="جيد جداً"</formula>
    </cfRule>
    <cfRule type="expression" dxfId="12" priority="59">
      <formula>$E36="جيد"</formula>
    </cfRule>
    <cfRule type="expression" dxfId="11" priority="58">
      <formula>$E36="مقبول"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10" operator="containsText" text="راسب">
      <formula>NOT(ISERROR(SEARCH("راسب",H8)))</formula>
    </cfRule>
    <cfRule type="containsText" dxfId="4" priority="9" operator="containsText" text="مقبول">
      <formula>NOT(ISERROR(SEARCH("مقبول",H8)))</formula>
    </cfRule>
    <cfRule type="containsText" dxfId="3" priority="8" operator="containsText" text="جيد">
      <formula>NOT(ISERROR(SEARCH("جيد",H8)))</formula>
    </cfRule>
    <cfRule type="containsText" dxfId="2" priority="7" operator="containsText" text="جيد جداً">
      <formula>NOT(ISERROR(SEARCH("جيد جداً",H8)))</formula>
    </cfRule>
    <cfRule type="containsText" dxfId="1" priority="6" operator="containsText" text="ممتاز">
      <formula>NOT(ISERROR(SEARCH("ممتاز",H8)))</formula>
    </cfRule>
    <cfRule type="containsText" dxfId="0" priority="5" operator="containsText" text="أدخل العلامة">
      <formula>NOT(ISERROR(SEARCH("أدخل العلامة",H8)))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19" t="s">
        <v>177</v>
      </c>
    </row>
    <row r="30" spans="1:3" ht="20.100000000000001" customHeight="1" thickBot="1" x14ac:dyDescent="0.3">
      <c r="A30" s="2" t="s">
        <v>32</v>
      </c>
      <c r="C30" s="19" t="s">
        <v>178</v>
      </c>
    </row>
    <row r="31" spans="1:3" ht="20.100000000000001" customHeight="1" thickBot="1" x14ac:dyDescent="0.3">
      <c r="A31" s="2" t="s">
        <v>33</v>
      </c>
      <c r="C31" s="19" t="s">
        <v>179</v>
      </c>
    </row>
    <row r="32" spans="1:3" ht="20.100000000000001" customHeight="1" thickBot="1" x14ac:dyDescent="0.3">
      <c r="A32" s="2" t="s">
        <v>16</v>
      </c>
      <c r="C32" s="19"/>
    </row>
    <row r="33" spans="1:9" ht="20.100000000000001" customHeight="1" thickBot="1" x14ac:dyDescent="0.3">
      <c r="A33" s="2" t="s">
        <v>14</v>
      </c>
      <c r="C33" s="19"/>
    </row>
    <row r="34" spans="1:9" ht="20.100000000000001" customHeight="1" thickBot="1" x14ac:dyDescent="0.3">
      <c r="A34" s="2" t="s">
        <v>34</v>
      </c>
      <c r="C34" s="19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45931</v>
      </c>
    </row>
    <row r="40" spans="1:9" ht="20.100000000000001" customHeight="1" thickBot="1" x14ac:dyDescent="0.3">
      <c r="A40" s="13">
        <v>45932</v>
      </c>
    </row>
    <row r="41" spans="1:9" ht="20.100000000000001" customHeight="1" thickBot="1" x14ac:dyDescent="0.3">
      <c r="A41" s="13">
        <v>45933</v>
      </c>
    </row>
    <row r="42" spans="1:9" ht="20.100000000000001" customHeight="1" thickBot="1" x14ac:dyDescent="0.3">
      <c r="A42" s="13">
        <v>45934</v>
      </c>
    </row>
    <row r="43" spans="1:9" ht="20.100000000000001" customHeight="1" thickBot="1" x14ac:dyDescent="0.3">
      <c r="A43" s="13">
        <v>45935</v>
      </c>
    </row>
    <row r="44" spans="1:9" ht="20.100000000000001" customHeight="1" thickBot="1" x14ac:dyDescent="0.3">
      <c r="A44" s="13">
        <v>45936</v>
      </c>
    </row>
    <row r="45" spans="1:9" ht="20.100000000000001" customHeight="1" thickBot="1" x14ac:dyDescent="0.3">
      <c r="A45" s="13">
        <v>45937</v>
      </c>
    </row>
    <row r="46" spans="1:9" ht="20.100000000000001" customHeight="1" thickBot="1" x14ac:dyDescent="0.3">
      <c r="A46" s="13">
        <v>45938</v>
      </c>
    </row>
    <row r="47" spans="1:9" ht="20.100000000000001" customHeight="1" thickBot="1" x14ac:dyDescent="0.3">
      <c r="A47" s="13">
        <v>45939</v>
      </c>
    </row>
    <row r="48" spans="1:9" ht="20.100000000000001" customHeight="1" thickBot="1" x14ac:dyDescent="0.3">
      <c r="A48" s="13">
        <v>45940</v>
      </c>
    </row>
    <row r="49" spans="1:1" ht="20.100000000000001" customHeight="1" thickBot="1" x14ac:dyDescent="0.3">
      <c r="A49" s="13">
        <v>45941</v>
      </c>
    </row>
    <row r="50" spans="1:1" ht="20.100000000000001" customHeight="1" thickBot="1" x14ac:dyDescent="0.3">
      <c r="A50" s="13">
        <v>45942</v>
      </c>
    </row>
    <row r="51" spans="1:1" ht="20.100000000000001" customHeight="1" thickBot="1" x14ac:dyDescent="0.3">
      <c r="A51" s="13">
        <v>45943</v>
      </c>
    </row>
    <row r="52" spans="1:1" ht="20.100000000000001" customHeight="1" thickBot="1" x14ac:dyDescent="0.3">
      <c r="A52" s="13">
        <v>45944</v>
      </c>
    </row>
    <row r="53" spans="1:1" ht="20.100000000000001" customHeight="1" thickBot="1" x14ac:dyDescent="0.3">
      <c r="A53" s="13">
        <v>45945</v>
      </c>
    </row>
    <row r="54" spans="1:1" ht="20.100000000000001" customHeight="1" thickBot="1" x14ac:dyDescent="0.3">
      <c r="A54" s="13">
        <v>45946</v>
      </c>
    </row>
    <row r="55" spans="1:1" ht="20.100000000000001" customHeight="1" thickBot="1" x14ac:dyDescent="0.3">
      <c r="A55" s="13">
        <v>45947</v>
      </c>
    </row>
    <row r="56" spans="1:1" ht="20.100000000000001" customHeight="1" thickBot="1" x14ac:dyDescent="0.3">
      <c r="A56" s="13">
        <v>45948</v>
      </c>
    </row>
    <row r="57" spans="1:1" ht="20.100000000000001" customHeight="1" thickBot="1" x14ac:dyDescent="0.3">
      <c r="A57" s="13">
        <v>45949</v>
      </c>
    </row>
    <row r="58" spans="1:1" ht="20.100000000000001" customHeight="1" thickBot="1" x14ac:dyDescent="0.3">
      <c r="A58" s="13">
        <v>45950</v>
      </c>
    </row>
    <row r="59" spans="1:1" ht="20.100000000000001" customHeight="1" thickBot="1" x14ac:dyDescent="0.3">
      <c r="A59" s="13">
        <v>45951</v>
      </c>
    </row>
    <row r="60" spans="1:1" ht="20.100000000000001" customHeight="1" thickBot="1" x14ac:dyDescent="0.3">
      <c r="A60" s="13">
        <v>45952</v>
      </c>
    </row>
    <row r="61" spans="1:1" ht="20.100000000000001" customHeight="1" thickBot="1" x14ac:dyDescent="0.3">
      <c r="A61" s="13">
        <v>45953</v>
      </c>
    </row>
    <row r="62" spans="1:1" ht="20.100000000000001" customHeight="1" thickBot="1" x14ac:dyDescent="0.3">
      <c r="A62" s="13">
        <v>45954</v>
      </c>
    </row>
    <row r="63" spans="1:1" ht="20.100000000000001" customHeight="1" thickBot="1" x14ac:dyDescent="0.3">
      <c r="A63" s="13">
        <v>45955</v>
      </c>
    </row>
    <row r="64" spans="1:1" ht="20.100000000000001" customHeight="1" thickBot="1" x14ac:dyDescent="0.3">
      <c r="A64" s="13">
        <v>45956</v>
      </c>
    </row>
    <row r="65" spans="1:1" ht="20.100000000000001" customHeight="1" thickBot="1" x14ac:dyDescent="0.3">
      <c r="A65" s="13">
        <v>45957</v>
      </c>
    </row>
    <row r="66" spans="1:1" ht="20.100000000000001" customHeight="1" thickBot="1" x14ac:dyDescent="0.3">
      <c r="A66" s="13">
        <v>45958</v>
      </c>
    </row>
    <row r="67" spans="1:1" ht="20.100000000000001" customHeight="1" thickBot="1" x14ac:dyDescent="0.3">
      <c r="A67" s="13">
        <v>45959</v>
      </c>
    </row>
    <row r="68" spans="1:1" ht="20.100000000000001" customHeight="1" thickBot="1" x14ac:dyDescent="0.3">
      <c r="A68" s="13">
        <v>45960</v>
      </c>
    </row>
    <row r="69" spans="1:1" ht="20.100000000000001" customHeight="1" thickBot="1" x14ac:dyDescent="0.3">
      <c r="A69" s="13">
        <v>45961</v>
      </c>
    </row>
    <row r="70" spans="1:1" ht="20.100000000000001" customHeight="1" thickBot="1" x14ac:dyDescent="0.25">
      <c r="A70" s="13"/>
    </row>
    <row r="71" spans="1:1" ht="20.100000000000001" customHeight="1" thickBot="1" x14ac:dyDescent="0.25">
      <c r="A71" s="13"/>
    </row>
    <row r="72" spans="1:1" ht="20.100000000000001" customHeight="1" thickBot="1" x14ac:dyDescent="0.25">
      <c r="A72" s="13"/>
    </row>
    <row r="73" spans="1:1" ht="20.100000000000001" customHeight="1" thickBot="1" x14ac:dyDescent="0.25">
      <c r="A73" s="13"/>
    </row>
    <row r="74" spans="1:1" ht="20.100000000000001" customHeight="1" thickBot="1" x14ac:dyDescent="0.25">
      <c r="A74" s="13"/>
    </row>
    <row r="75" spans="1:1" ht="20.100000000000001" customHeight="1" thickBot="1" x14ac:dyDescent="0.25">
      <c r="A75" s="13"/>
    </row>
    <row r="76" spans="1:1" ht="20.100000000000001" customHeight="1" thickBot="1" x14ac:dyDescent="0.25">
      <c r="A76" s="13"/>
    </row>
    <row r="77" spans="1:1" ht="20.100000000000001" customHeight="1" thickBot="1" x14ac:dyDescent="0.25">
      <c r="A77" s="13"/>
    </row>
    <row r="78" spans="1:1" ht="20.100000000000001" customHeight="1" thickBot="1" x14ac:dyDescent="0.25">
      <c r="A78" s="13"/>
    </row>
    <row r="79" spans="1:1" ht="20.100000000000001" customHeight="1" thickBot="1" x14ac:dyDescent="0.25">
      <c r="A79" s="13"/>
    </row>
    <row r="80" spans="1:1" ht="20.100000000000001" customHeight="1" thickBot="1" x14ac:dyDescent="0.25">
      <c r="A80" s="13"/>
    </row>
    <row r="81" spans="1:1" ht="20.100000000000001" customHeight="1" thickBot="1" x14ac:dyDescent="0.25">
      <c r="A81" s="13"/>
    </row>
    <row r="82" spans="1:1" ht="20.100000000000001" customHeight="1" thickBot="1" x14ac:dyDescent="0.25">
      <c r="A82" s="13"/>
    </row>
    <row r="83" spans="1:1" ht="20.100000000000001" customHeight="1" thickBot="1" x14ac:dyDescent="0.25">
      <c r="A83" s="13"/>
    </row>
    <row r="84" spans="1:1" ht="20.100000000000001" customHeight="1" thickBot="1" x14ac:dyDescent="0.25">
      <c r="A84" s="13"/>
    </row>
    <row r="85" spans="1:1" ht="20.100000000000001" customHeight="1" thickBot="1" x14ac:dyDescent="0.25">
      <c r="A85" s="13"/>
    </row>
    <row r="86" spans="1:1" ht="20.100000000000001" customHeight="1" thickBot="1" x14ac:dyDescent="0.25">
      <c r="A86" s="13"/>
    </row>
    <row r="87" spans="1:1" ht="20.100000000000001" customHeight="1" thickBot="1" x14ac:dyDescent="0.25">
      <c r="A87" s="13"/>
    </row>
    <row r="88" spans="1:1" ht="20.100000000000001" customHeight="1" thickBot="1" x14ac:dyDescent="0.25">
      <c r="A88" s="13"/>
    </row>
    <row r="89" spans="1:1" ht="20.100000000000001" customHeight="1" thickBot="1" x14ac:dyDescent="0.25">
      <c r="A89" s="13"/>
    </row>
    <row r="90" spans="1:1" ht="20.100000000000001" customHeight="1" thickBot="1" x14ac:dyDescent="0.25">
      <c r="A90" s="13"/>
    </row>
    <row r="91" spans="1:1" ht="20.100000000000001" customHeight="1" thickBot="1" x14ac:dyDescent="0.25">
      <c r="A91" s="13"/>
    </row>
    <row r="92" spans="1:1" ht="20.100000000000001" customHeight="1" thickBot="1" x14ac:dyDescent="0.25">
      <c r="A92" s="13"/>
    </row>
    <row r="93" spans="1:1" ht="20.100000000000001" customHeight="1" thickBot="1" x14ac:dyDescent="0.25">
      <c r="A93" s="13"/>
    </row>
    <row r="94" spans="1:1" ht="20.100000000000001" customHeight="1" thickBot="1" x14ac:dyDescent="0.25">
      <c r="A94" s="13"/>
    </row>
    <row r="95" spans="1:1" ht="20.100000000000001" customHeight="1" thickBot="1" x14ac:dyDescent="0.25">
      <c r="A95" s="13"/>
    </row>
    <row r="96" spans="1:1" ht="20.100000000000001" customHeight="1" thickBot="1" x14ac:dyDescent="0.25">
      <c r="A96" s="13"/>
    </row>
    <row r="97" spans="1:9" ht="20.100000000000001" customHeight="1" thickBot="1" x14ac:dyDescent="0.25">
      <c r="A97" s="13"/>
    </row>
    <row r="98" spans="1:9" ht="20.100000000000001" customHeight="1" thickBot="1" x14ac:dyDescent="0.25">
      <c r="A98" s="13"/>
    </row>
    <row r="99" spans="1:9" ht="20.100000000000001" customHeight="1" thickBot="1" x14ac:dyDescent="0.25">
      <c r="A99" s="13"/>
    </row>
    <row r="100" spans="1:9" ht="20.100000000000001" customHeight="1" thickBot="1" x14ac:dyDescent="0.25">
      <c r="A100" s="13"/>
    </row>
    <row r="101" spans="1:9" ht="20.100000000000001" customHeight="1" thickBot="1" x14ac:dyDescent="0.25">
      <c r="A101" s="13"/>
    </row>
    <row r="102" spans="1:9" ht="20.100000000000001" customHeight="1" thickBot="1" x14ac:dyDescent="0.25">
      <c r="A102" s="13"/>
    </row>
    <row r="103" spans="1:9" ht="20.100000000000001" customHeight="1" thickBot="1" x14ac:dyDescent="0.25">
      <c r="A103" s="13"/>
    </row>
    <row r="104" spans="1:9" ht="20.100000000000001" customHeight="1" thickBot="1" x14ac:dyDescent="0.25">
      <c r="A104" s="13"/>
    </row>
    <row r="105" spans="1:9" ht="20.100000000000001" customHeight="1" thickBot="1" x14ac:dyDescent="0.25">
      <c r="A105" s="13"/>
    </row>
    <row r="106" spans="1:9" ht="20.100000000000001" customHeight="1" thickBot="1" x14ac:dyDescent="0.25">
      <c r="A106" s="13"/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175</v>
      </c>
    </row>
    <row r="213" spans="1:1" ht="20.100000000000001" customHeight="1" x14ac:dyDescent="0.2">
      <c r="A213" s="20" t="s">
        <v>102</v>
      </c>
    </row>
    <row r="214" spans="1:1" ht="20.100000000000001" customHeight="1" x14ac:dyDescent="0.2">
      <c r="A214" s="20" t="s">
        <v>103</v>
      </c>
    </row>
    <row r="215" spans="1:1" ht="20.100000000000001" customHeight="1" x14ac:dyDescent="0.2">
      <c r="A215" s="20" t="s">
        <v>104</v>
      </c>
    </row>
    <row r="216" spans="1:1" ht="20.100000000000001" customHeight="1" x14ac:dyDescent="0.2">
      <c r="A216" s="20" t="s">
        <v>105</v>
      </c>
    </row>
    <row r="217" spans="1:1" ht="20.100000000000001" customHeight="1" x14ac:dyDescent="0.2">
      <c r="A217" s="20" t="s">
        <v>106</v>
      </c>
    </row>
    <row r="218" spans="1:1" ht="20.100000000000001" customHeight="1" x14ac:dyDescent="0.2">
      <c r="A218" s="20" t="s">
        <v>107</v>
      </c>
    </row>
    <row r="219" spans="1:1" ht="20.100000000000001" customHeight="1" x14ac:dyDescent="0.2">
      <c r="A219" s="20" t="s">
        <v>108</v>
      </c>
    </row>
    <row r="220" spans="1:1" ht="20.100000000000001" customHeight="1" x14ac:dyDescent="0.2">
      <c r="A220" s="20" t="s">
        <v>109</v>
      </c>
    </row>
    <row r="221" spans="1:1" ht="20.100000000000001" customHeight="1" x14ac:dyDescent="0.2">
      <c r="A221" s="20" t="s">
        <v>110</v>
      </c>
    </row>
    <row r="222" spans="1:1" ht="20.100000000000001" customHeight="1" x14ac:dyDescent="0.2">
      <c r="A222" s="20" t="s">
        <v>111</v>
      </c>
    </row>
    <row r="223" spans="1:1" ht="20.100000000000001" customHeight="1" x14ac:dyDescent="0.2">
      <c r="A223" s="20" t="s">
        <v>112</v>
      </c>
    </row>
    <row r="224" spans="1:1" ht="20.100000000000001" customHeight="1" x14ac:dyDescent="0.2">
      <c r="A224" s="20" t="s">
        <v>176</v>
      </c>
    </row>
    <row r="225" spans="1:1" ht="20.100000000000001" customHeight="1" x14ac:dyDescent="0.2">
      <c r="A225" s="20" t="s">
        <v>113</v>
      </c>
    </row>
    <row r="226" spans="1:1" ht="20.100000000000001" customHeight="1" x14ac:dyDescent="0.2">
      <c r="A226" s="20" t="s">
        <v>114</v>
      </c>
    </row>
    <row r="227" spans="1:1" ht="20.100000000000001" customHeight="1" x14ac:dyDescent="0.2">
      <c r="A227" s="20" t="s">
        <v>115</v>
      </c>
    </row>
    <row r="228" spans="1:1" ht="20.100000000000001" customHeight="1" x14ac:dyDescent="0.2">
      <c r="A228" s="20" t="s">
        <v>116</v>
      </c>
    </row>
    <row r="229" spans="1:1" ht="20.100000000000001" customHeight="1" x14ac:dyDescent="0.2">
      <c r="A229" s="20" t="s">
        <v>117</v>
      </c>
    </row>
    <row r="230" spans="1:1" ht="20.100000000000001" customHeight="1" x14ac:dyDescent="0.2">
      <c r="A230" s="20" t="s">
        <v>118</v>
      </c>
    </row>
    <row r="231" spans="1:1" ht="20.100000000000001" customHeight="1" x14ac:dyDescent="0.2">
      <c r="A231" s="20" t="s">
        <v>119</v>
      </c>
    </row>
    <row r="232" spans="1:1" ht="20.100000000000001" customHeight="1" x14ac:dyDescent="0.2">
      <c r="A232" s="20" t="s">
        <v>120</v>
      </c>
    </row>
    <row r="233" spans="1:1" ht="20.100000000000001" customHeight="1" x14ac:dyDescent="0.2">
      <c r="A233" s="20" t="s">
        <v>121</v>
      </c>
    </row>
    <row r="234" spans="1:1" ht="20.100000000000001" customHeight="1" x14ac:dyDescent="0.2">
      <c r="A234" s="20" t="s">
        <v>122</v>
      </c>
    </row>
    <row r="235" spans="1:1" ht="20.100000000000001" customHeight="1" x14ac:dyDescent="0.2">
      <c r="A235" s="20" t="s">
        <v>123</v>
      </c>
    </row>
    <row r="236" spans="1:1" ht="20.100000000000001" customHeight="1" x14ac:dyDescent="0.2">
      <c r="A236" s="22" t="s">
        <v>124</v>
      </c>
    </row>
    <row r="237" spans="1:1" ht="20.100000000000001" customHeight="1" x14ac:dyDescent="0.2">
      <c r="A237" s="20" t="s">
        <v>125</v>
      </c>
    </row>
    <row r="238" spans="1:1" ht="20.100000000000001" customHeight="1" x14ac:dyDescent="0.2">
      <c r="A238" s="20" t="s">
        <v>126</v>
      </c>
    </row>
    <row r="239" spans="1:1" ht="20.100000000000001" customHeight="1" x14ac:dyDescent="0.2">
      <c r="A239" s="20" t="s">
        <v>127</v>
      </c>
    </row>
    <row r="240" spans="1:1" ht="20.100000000000001" customHeight="1" x14ac:dyDescent="0.2">
      <c r="A240" s="20" t="s">
        <v>128</v>
      </c>
    </row>
    <row r="241" spans="1:1" ht="20.100000000000001" customHeight="1" x14ac:dyDescent="0.2">
      <c r="A241" s="20" t="s">
        <v>129</v>
      </c>
    </row>
    <row r="242" spans="1:1" ht="20.100000000000001" customHeight="1" x14ac:dyDescent="0.2">
      <c r="A242" s="20" t="s">
        <v>130</v>
      </c>
    </row>
    <row r="243" spans="1:1" ht="20.100000000000001" customHeight="1" x14ac:dyDescent="0.2">
      <c r="A243" s="20" t="s">
        <v>131</v>
      </c>
    </row>
    <row r="244" spans="1:1" ht="20.100000000000001" customHeight="1" x14ac:dyDescent="0.2">
      <c r="A244" s="20" t="s">
        <v>132</v>
      </c>
    </row>
    <row r="245" spans="1:1" ht="20.100000000000001" customHeight="1" x14ac:dyDescent="0.2">
      <c r="A245" s="20" t="s">
        <v>133</v>
      </c>
    </row>
    <row r="246" spans="1:1" ht="20.100000000000001" customHeight="1" x14ac:dyDescent="0.2">
      <c r="A246" s="20" t="s">
        <v>134</v>
      </c>
    </row>
    <row r="247" spans="1:1" ht="20.100000000000001" customHeight="1" x14ac:dyDescent="0.2">
      <c r="A247" s="20" t="s">
        <v>135</v>
      </c>
    </row>
    <row r="248" spans="1:1" ht="20.100000000000001" customHeight="1" x14ac:dyDescent="0.2">
      <c r="A248" s="20" t="s">
        <v>126</v>
      </c>
    </row>
    <row r="249" spans="1:1" ht="20.100000000000001" customHeight="1" x14ac:dyDescent="0.2">
      <c r="A249" s="20" t="s">
        <v>136</v>
      </c>
    </row>
    <row r="250" spans="1:1" ht="20.100000000000001" customHeight="1" x14ac:dyDescent="0.2">
      <c r="A250" s="20" t="s">
        <v>137</v>
      </c>
    </row>
    <row r="251" spans="1:1" ht="20.100000000000001" customHeight="1" x14ac:dyDescent="0.2">
      <c r="A251" s="22" t="s">
        <v>138</v>
      </c>
    </row>
    <row r="252" spans="1:1" ht="20.100000000000001" customHeight="1" x14ac:dyDescent="0.2">
      <c r="A252" s="23" t="s">
        <v>139</v>
      </c>
    </row>
    <row r="253" spans="1:1" ht="20.100000000000001" customHeight="1" x14ac:dyDescent="0.2">
      <c r="A253" s="20" t="s">
        <v>140</v>
      </c>
    </row>
    <row r="254" spans="1:1" ht="20.100000000000001" customHeight="1" x14ac:dyDescent="0.2">
      <c r="A254" s="20" t="s">
        <v>141</v>
      </c>
    </row>
    <row r="255" spans="1:1" ht="20.100000000000001" customHeight="1" x14ac:dyDescent="0.2">
      <c r="A255" s="24" t="s">
        <v>142</v>
      </c>
    </row>
    <row r="256" spans="1:1" ht="20.100000000000001" customHeight="1" x14ac:dyDescent="0.2">
      <c r="A256" s="24" t="s">
        <v>143</v>
      </c>
    </row>
    <row r="257" spans="1:1" ht="20.100000000000001" customHeight="1" x14ac:dyDescent="0.2">
      <c r="A257" s="25" t="s">
        <v>144</v>
      </c>
    </row>
    <row r="258" spans="1:1" ht="20.100000000000001" customHeight="1" x14ac:dyDescent="0.2">
      <c r="A258" s="20" t="s">
        <v>145</v>
      </c>
    </row>
    <row r="259" spans="1:1" ht="20.100000000000001" customHeight="1" x14ac:dyDescent="0.2">
      <c r="A259" s="25" t="s">
        <v>146</v>
      </c>
    </row>
    <row r="260" spans="1:1" ht="20.100000000000001" customHeight="1" x14ac:dyDescent="0.2">
      <c r="A260" s="20" t="s">
        <v>147</v>
      </c>
    </row>
    <row r="261" spans="1:1" ht="20.100000000000001" customHeight="1" x14ac:dyDescent="0.2">
      <c r="A261" s="25" t="s">
        <v>148</v>
      </c>
    </row>
    <row r="262" spans="1:1" ht="20.100000000000001" customHeight="1" x14ac:dyDescent="0.2">
      <c r="A262" s="20" t="s">
        <v>149</v>
      </c>
    </row>
    <row r="263" spans="1:1" ht="20.100000000000001" customHeight="1" x14ac:dyDescent="0.2">
      <c r="A263" s="20" t="s">
        <v>150</v>
      </c>
    </row>
    <row r="264" spans="1:1" ht="20.100000000000001" customHeight="1" x14ac:dyDescent="0.2">
      <c r="A264" s="25" t="s">
        <v>151</v>
      </c>
    </row>
    <row r="265" spans="1:1" ht="20.100000000000001" customHeight="1" x14ac:dyDescent="0.2">
      <c r="A265" s="25" t="s">
        <v>152</v>
      </c>
    </row>
    <row r="266" spans="1:1" ht="20.100000000000001" customHeight="1" x14ac:dyDescent="0.2">
      <c r="A266" s="25" t="s">
        <v>153</v>
      </c>
    </row>
    <row r="267" spans="1:1" ht="20.100000000000001" customHeight="1" x14ac:dyDescent="0.2">
      <c r="A267" s="20" t="s">
        <v>154</v>
      </c>
    </row>
    <row r="268" spans="1:1" ht="20.100000000000001" customHeight="1" x14ac:dyDescent="0.2">
      <c r="A268" s="20" t="s">
        <v>155</v>
      </c>
    </row>
    <row r="269" spans="1:1" ht="20.100000000000001" customHeight="1" x14ac:dyDescent="0.2">
      <c r="A269" s="20" t="s">
        <v>156</v>
      </c>
    </row>
    <row r="270" spans="1:1" ht="20.100000000000001" customHeight="1" x14ac:dyDescent="0.2">
      <c r="A270" s="20" t="s">
        <v>157</v>
      </c>
    </row>
    <row r="271" spans="1:1" ht="20.100000000000001" customHeight="1" x14ac:dyDescent="0.2">
      <c r="A271" s="25" t="s">
        <v>158</v>
      </c>
    </row>
    <row r="272" spans="1:1" ht="20.100000000000001" customHeight="1" x14ac:dyDescent="0.2">
      <c r="A272" s="25" t="s">
        <v>159</v>
      </c>
    </row>
    <row r="273" spans="1:1" ht="20.100000000000001" customHeight="1" x14ac:dyDescent="0.2">
      <c r="A273" s="20" t="s">
        <v>160</v>
      </c>
    </row>
    <row r="274" spans="1:1" ht="20.100000000000001" customHeight="1" x14ac:dyDescent="0.2">
      <c r="A274" s="25" t="s">
        <v>161</v>
      </c>
    </row>
    <row r="275" spans="1:1" ht="20.100000000000001" customHeight="1" x14ac:dyDescent="0.2">
      <c r="A275" s="25" t="s">
        <v>162</v>
      </c>
    </row>
    <row r="276" spans="1:1" ht="20.100000000000001" customHeight="1" x14ac:dyDescent="0.2">
      <c r="A276" s="20" t="s">
        <v>163</v>
      </c>
    </row>
    <row r="277" spans="1:1" ht="20.100000000000001" customHeight="1" x14ac:dyDescent="0.2">
      <c r="A277" s="20" t="s">
        <v>164</v>
      </c>
    </row>
    <row r="278" spans="1:1" ht="20.100000000000001" customHeight="1" x14ac:dyDescent="0.2">
      <c r="A278" s="25" t="s">
        <v>165</v>
      </c>
    </row>
    <row r="279" spans="1:1" ht="20.100000000000001" customHeight="1" x14ac:dyDescent="0.2">
      <c r="A279" s="20" t="s">
        <v>166</v>
      </c>
    </row>
    <row r="280" spans="1:1" ht="20.100000000000001" customHeight="1" x14ac:dyDescent="0.2">
      <c r="A280" s="20" t="s">
        <v>167</v>
      </c>
    </row>
    <row r="281" spans="1:1" ht="20.100000000000001" customHeight="1" x14ac:dyDescent="0.2">
      <c r="A281" s="20" t="s">
        <v>168</v>
      </c>
    </row>
    <row r="282" spans="1:1" ht="20.100000000000001" customHeight="1" x14ac:dyDescent="0.2">
      <c r="A282" s="20" t="s">
        <v>169</v>
      </c>
    </row>
    <row r="283" spans="1:1" ht="20.100000000000001" customHeight="1" x14ac:dyDescent="0.2">
      <c r="A283" s="25" t="s">
        <v>170</v>
      </c>
    </row>
    <row r="284" spans="1:1" ht="20.100000000000001" customHeight="1" x14ac:dyDescent="0.2">
      <c r="A284" s="25" t="s">
        <v>171</v>
      </c>
    </row>
    <row r="285" spans="1:1" ht="20.100000000000001" customHeight="1" x14ac:dyDescent="0.2">
      <c r="A285" s="25" t="s">
        <v>172</v>
      </c>
    </row>
    <row r="286" spans="1:1" ht="20.100000000000001" customHeight="1" thickBot="1" x14ac:dyDescent="0.25">
      <c r="A286" s="20" t="s">
        <v>173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  <row r="338" spans="1:1" ht="20.100000000000001" customHeight="1" thickBot="1" x14ac:dyDescent="0.2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2025-10-22T06:06:29Z</dcterms:modified>
</cp:coreProperties>
</file>