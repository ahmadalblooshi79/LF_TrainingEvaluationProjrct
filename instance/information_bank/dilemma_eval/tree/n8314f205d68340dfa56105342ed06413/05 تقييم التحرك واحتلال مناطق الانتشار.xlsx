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B448BE45-32C5-447B-A942-97CFD500933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التقييم'!$A$1:$J$44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4" i="2"/>
  <c r="H14" i="2"/>
  <c r="G15" i="2"/>
  <c r="H15" i="2"/>
  <c r="G16" i="2"/>
  <c r="H16" i="2"/>
  <c r="G17" i="2"/>
  <c r="H17" i="2"/>
  <c r="G19" i="2"/>
  <c r="H19" i="2"/>
  <c r="G20" i="2"/>
  <c r="H20" i="2"/>
  <c r="G21" i="2"/>
  <c r="H21" i="2"/>
  <c r="G22" i="2"/>
  <c r="H22" i="2"/>
  <c r="G23" i="2"/>
  <c r="H23" i="2"/>
  <c r="G25" i="2"/>
  <c r="H25" i="2"/>
  <c r="G26" i="2"/>
  <c r="H26" i="2"/>
  <c r="G27" i="2"/>
  <c r="H27" i="2"/>
  <c r="G28" i="2"/>
  <c r="H28" i="2"/>
  <c r="G29" i="2"/>
  <c r="H29" i="2"/>
  <c r="G30" i="2"/>
  <c r="H30" i="2"/>
  <c r="G31" i="2"/>
  <c r="H31" i="2"/>
  <c r="G32" i="2"/>
  <c r="H32" i="2"/>
  <c r="G33" i="2"/>
  <c r="H33" i="2"/>
  <c r="G34" i="2"/>
  <c r="H34" i="2"/>
  <c r="G36" i="2"/>
  <c r="H36" i="2"/>
  <c r="G37" i="2"/>
  <c r="H37" i="2"/>
  <c r="G38" i="2"/>
  <c r="H38" i="2"/>
  <c r="G39" i="2"/>
  <c r="H39" i="2"/>
  <c r="F40" i="2"/>
  <c r="E40" i="2"/>
  <c r="E41" i="2"/>
  <c r="E42" i="2"/>
</calcChain>
</file>

<file path=xl/sharedStrings.xml><?xml version="1.0" encoding="utf-8"?>
<sst xmlns="http://schemas.openxmlformats.org/spreadsheetml/2006/main" count="269" uniqueCount="213">
  <si>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</si>
  <si>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</si>
  <si>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</si>
  <si>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</si>
  <si>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</si>
  <si>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</si>
  <si>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</si>
  <si>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</si>
  <si>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</si>
  <si>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</si>
  <si>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</si>
  <si>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</si>
  <si>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</si>
  <si>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</si>
  <si>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</si>
  <si>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</si>
  <si>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</si>
  <si>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</si>
  <si>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</si>
  <si>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</si>
  <si>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</si>
  <si>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</si>
  <si>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</si>
  <si>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</si>
  <si>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</si>
  <si>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</si>
  <si>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</si>
  <si>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</si>
  <si>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</si>
  <si>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</si>
  <si>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</si>
  <si>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</si>
  <si>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</si>
  <si>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</si>
  <si>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</si>
  <si>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</si>
  <si>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</si>
  <si>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</si>
  <si>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</si>
  <si>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</si>
  <si>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</si>
  <si>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</si>
  <si>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</si>
  <si>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</si>
  <si>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</si>
  <si>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</si>
  <si>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</si>
  <si>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</si>
  <si>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</si>
  <si>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</si>
  <si>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</si>
  <si>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</si>
  <si>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</si>
  <si>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</si>
  <si>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</si>
  <si>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</si>
  <si>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</si>
  <si>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</si>
  <si>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</si>
  <si>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</si>
  <si>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</si>
  <si>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</si>
  <si>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</si>
  <si>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</si>
  <si>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</si>
  <si>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</si>
  <si>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</si>
  <si>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</si>
  <si>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</si>
  <si>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</si>
  <si>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</si>
  <si>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</si>
  <si>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</si>
  <si>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</si>
  <si>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</si>
  <si>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</si>
  <si>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</si>
  <si>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</si>
  <si>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</si>
  <si>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</si>
  <si>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</si>
  <si>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</si>
  <si>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</si>
  <si>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</si>
  <si>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</si>
  <si>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</si>
  <si>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</si>
  <si>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</si>
  <si>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</si>
  <si>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</si>
  <si>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</si>
  <si>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</si>
  <si>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</si>
  <si>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</si>
  <si>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</si>
  <si>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</si>
  <si>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</si>
  <si>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</si>
  <si>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</si>
  <si>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</si>
  <si>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</si>
  <si>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</si>
  <si>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</si>
  <si>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</si>
  <si>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</si>
  <si>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</si>
  <si>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</si>
  <si>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</si>
  <si>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</si>
  <si>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</si>
  <si>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</si>
  <si>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</si>
  <si>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</si>
  <si>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</si>
  <si>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</si>
  <si>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</si>
  <si>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</si>
  <si>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</si>
  <si>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</si>
  <si>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</si>
  <si>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</si>
  <si>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</si>
  <si>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</si>
  <si>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</si>
  <si>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</si>
  <si>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</si>
  <si>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</si>
  <si>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</si>
  <si>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</si>
  <si>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</si>
  <si>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</si>
  <si>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</si>
  <si>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</si>
  <si>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</si>
  <si>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</si>
  <si>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</si>
  <si>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</si>
  <si>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</si>
  <si>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</si>
  <si>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</si>
  <si>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</si>
  <si>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</si>
  <si>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</si>
  <si>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</si>
  <si>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</si>
  <si>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</si>
  <si>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</si>
  <si>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</si>
  <si>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</si>
  <si>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</si>
  <si>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</si>
  <si>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</si>
  <si>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</si>
  <si>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</si>
  <si>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</si>
  <si>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</si>
  <si>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</si>
  <si>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</si>
  <si>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</si>
  <si>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</si>
  <si>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</si>
  <si>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</si>
  <si>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</si>
  <si>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</si>
  <si>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</si>
  <si>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</si>
  <si>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</si>
  <si>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</si>
  <si>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</si>
  <si>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</si>
  <si>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</si>
  <si>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</si>
  <si>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</si>
  <si>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</si>
  <si>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</si>
  <si>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</si>
  <si>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</si>
  <si>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</si>
  <si>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</si>
  <si>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</si>
  <si>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إجراءات القائد قبل بدء التحرك إلى مناطق الانتشار.</t>
  </si>
  <si>
    <t>1.   إبلاغ المرؤوسين بالبدء بتنفيذ خطة التحرك لمناطق الانتشار.</t>
  </si>
  <si>
    <t>2.   إرسال مجموعات الحماية والاستطلاع والأدلاء إلى مناطق الانتشار.</t>
  </si>
  <si>
    <t>3.   تحميل وثائق العمليات.</t>
  </si>
  <si>
    <t>4.   يبدأ الضابط المسؤول عن مجموعة المؤخرة في تنفيذ تعليمات التحرك.</t>
  </si>
  <si>
    <t>إجراءات القادة والقوات أثناء التحرك لمناطق الانتشار.</t>
  </si>
  <si>
    <t>1.   التقيد بتنفيذ إجراءات التحرك حسب أمر / جدول التحرك.</t>
  </si>
  <si>
    <t>2.   سيطرة القادة على قواتهم أثناء التحرك.</t>
  </si>
  <si>
    <t>3.   توفر الحماية للقوات أثناء التحرك.</t>
  </si>
  <si>
    <t>4.   تحقيـق الاتصال بالمستـوى الأعلى والادنى.</t>
  </si>
  <si>
    <t>إجراءات دخول القوات في مناطق الانتشار وتأمينها.</t>
  </si>
  <si>
    <t>1.   فتح نقاط ضبط وسيطرة من قبل الشرطة العسكرية / شرطة الوحدة.</t>
  </si>
  <si>
    <t>2.   وجود جماعة الإرشاد (الإدلاء) والقيام بأداء المهام والواجبات المطلوبة.</t>
  </si>
  <si>
    <t>3.   وجود عناصر من الوحدات لتأمين المواقع.</t>
  </si>
  <si>
    <t>4.   قيام الوحدات باحتلال مواقعها وقيام الأسلحة العضوية والمساندة باحتلال مواقع النيران المخصصة.</t>
  </si>
  <si>
    <t>5.   تسلسل الدخول لمناطق الانتشار حسب جدول التنقل.</t>
  </si>
  <si>
    <t>تجهيز وإعداد مناطق الانتشار والإجراءات المتخذة فيها.</t>
  </si>
  <si>
    <t>1.   التأكد من توزيع المعدات بالطريقة الصحيحة مع تقسيم منطقة الانتشار إلى قطاعات.</t>
  </si>
  <si>
    <t>2.   جاهزية القوة للقيام بالدفاع عن منطقة الانتشار حسب خطة الدفاع والحراسة.</t>
  </si>
  <si>
    <t>3.   وجود خطة / تعليمات التجهيز الهندسي.</t>
  </si>
  <si>
    <t>4.   وجود خطة النيـــران.</t>
  </si>
  <si>
    <t>5.   التأكد من التخفية والتمويه.</t>
  </si>
  <si>
    <t>6.   التأكد من فتح وإدامة مراكز القيادة والسيطرة والاتصالات.</t>
  </si>
  <si>
    <t>7.   وجود خطة التأمين الكيميائي.</t>
  </si>
  <si>
    <t>8.   التأكد من تأمين مناطق الانتشار بالاتصالات.</t>
  </si>
  <si>
    <t>9.   التأكد من تجهيز نقاط المراقبة الجوية والاستطلاع.</t>
  </si>
  <si>
    <t>10.   وجود تعليمات الإنـــذار.</t>
  </si>
  <si>
    <t>إجراءات الإسناد الإداري.</t>
  </si>
  <si>
    <t>1.   التزويد ( الوقود / الأرزاق / المياه، الخ..).</t>
  </si>
  <si>
    <t>2.   تنفيذ إجراءات الإخـلاء الطبي.</t>
  </si>
  <si>
    <t>3.   تنفيذ إجراءات إنقـاذ الآليات.</t>
  </si>
  <si>
    <t>4.   تحديد الطرق الرئيسة والتبادلية المؤديـة من وإلى مناطق الانتشــار.</t>
  </si>
  <si>
    <r>
      <rPr>
        <b/>
        <sz val="14"/>
        <color rgb="FF000000"/>
        <rFont val="Arial"/>
        <family val="2"/>
      </rPr>
      <t>تقييم تحرك وحدات المناورة من معسكرات السلم واحتلال مناطق الانتشار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</si>
</sst>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6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u/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>
      <alignment horizontal="center" vertical="center" wrapText="1" readingOrder="2"/>
    </xf>
    <xf numFmtId="0" fontId="3" fillId="0" borderId="12" xfId="0" applyFont="1" applyBorder="1" applyAlignment="1">
      <alignment horizontal="center" vertical="center" wrapText="1" readingOrder="2"/>
    </xf>
    <xf numFmtId="0" fontId="15" fillId="0" borderId="4" xfId="0" applyFont="1" applyBorder="1" applyAlignment="1">
      <alignment vertical="center" wrapText="1"/>
    </xf>
    <xf numFmtId="0" fontId="2" fillId="0" borderId="12" xfId="0" applyFont="1" applyBorder="1" applyAlignment="1">
      <alignment horizontal="center" vertical="center" wrapText="1" readingOrder="2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" fillId="0" borderId="5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  <xf numFmtId="0" fontId="12" fillId="0" borderId="23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  <xf numFmtId="0" fontId="14" fillId="0" borderId="11" xfId="0" applyFont="1" applyBorder="1" applyAlignment="1">
      <alignment horizontal="right" vertical="center" wrapText="1" readingOrder="2"/>
    </xf>
    <xf numFmtId="0" fontId="14" fillId="0" borderId="12" xfId="0" applyFont="1" applyBorder="1" applyAlignment="1">
      <alignment horizontal="right" vertical="center" wrapText="1" readingOrder="2"/>
    </xf>
    <xf numFmtId="0" fontId="13" fillId="0" borderId="5" xfId="0" applyFont="1" applyBorder="1" applyAlignment="1">
      <alignment horizontal="right" vertical="center" wrapText="1" readingOrder="2"/>
    </xf>
    <xf numFmtId="0" fontId="13" fillId="0" borderId="4" xfId="0" applyFont="1" applyBorder="1" applyAlignment="1">
      <alignment horizontal="right" vertical="center" wrapText="1" readingOrder="2"/>
    </xf>
    <xf numFmtId="0" fontId="14" fillId="0" borderId="23" xfId="0" applyFont="1" applyBorder="1" applyAlignment="1">
      <alignment horizontal="right" vertical="center" wrapText="1" readingOrder="2"/>
    </xf>
    <xf numFmtId="0" fontId="14" fillId="0" borderId="3" xfId="0" applyFont="1" applyBorder="1" applyAlignment="1">
      <alignment horizontal="right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345830</xdr:colOff>
      <xdr:row>43</xdr:row>
      <xdr:rowOff>99646</xdr:rowOff>
    </xdr:from>
    <xdr:to>
      <xdr:col>9</xdr:col>
      <xdr:colOff>70871</xdr:colOff>
      <xdr:row>43</xdr:row>
      <xdr:rowOff>479386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770D32FC-D4F1-4CE1-A42C-F3B19A854747}"/>
                </a:ext>
              </a:extLst>
            </xdr14:cNvPr>
            <xdr14:cNvContentPartPr/>
          </xdr14:nvContentPartPr>
          <xdr14:nvPr macro=""/>
          <xdr14:xfrm>
            <a:off x="10078557298" y="16986738"/>
            <a:ext cx="1002856" cy="37974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7BBEB9F2-9373-A22F-9196-F5B5CC38568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37081796" y="8801640"/>
              <a:ext cx="1039680" cy="5878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8T20:33:49.56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2446 616 4488,'0'0'0,"-2"-4"3369,2 4-3369,-5-4 968,-2-4 129,2 6 103,3 1 72,2 1-1272,0 0 1048,0 0-335,-2 3-105,-1-1-232,3-2-376,-2 2 208,-3 0-128,5 0-136,-5 1 0,5-3 56,-5 9-96,-2-6-8,-4 11 32,4-1-72,7-13 144,-24 19-128,3 1 80,-1 1-8,-1 1-32,23-22 88,-21 20-96,2-1-64,-2 0-24,4 0 15,17-19 169,-22 15-184,7 3 56,-5-4-88,4-1 48,16-13 168,-16 12-120,1-2 16,-2 0 56,5-7 0,12-3 48,-6 10 8,-8-10 0,9 3 136,0-3 88,5 0-232,-5 0 320,-2 0 137,2 0 63,0-3-24,5 3-496,-6-5 488,-1-3-72,2 3-40,0-8-112,5 13-264,-4-11 88,4-1-80,0-2-88,0 0-40,0 14 120,0-13-120,2 0 32,3 2 64,0 1 0,-5 10 24,0-3 136,0-7 48,0 8 136,0 0 120,0 2-440,0-2 400,0 2 16,0 0-104,0 0-55,0 0-257,-3 0 168,1 3 16,2-1-24,-7 1-64,7-3-96,0 3 48,-3-1-144,1 1-24,2-1-64,0-2 184,0 2-176,-5 0-89,3 2-95,-3-1-64,5-3 424,-5 3-472,3 1 64,-2 5-48,-1-9 40,5 0 416,-7 2-352,2 1-112,5 0 104,-5-1 72,5-2 288,0 3-224,-2-1 152,2 0-16,-3-2 40,3 0 48,-2 2-56,2-2 32,-3 0-16,1 0-97,2 0 137,-2 0-256,-3 0-200,0 0-88,5 0-88,0 0 632,-2-1-672,0 0 56,0-1 160,-1 0-40,3 2 496,-2 0-601,2-2-223,0 2-224,0 0-464,0 0 1512,0 2-1657,0 1 249,0 0 416,-2 7 608,2-10 384,-5 10 16,-12 2 296,3 4 184,-7 2 128,21-18-624,-24 19 600,-4 1-128,4-1-96,3 2-160,21-21-216,-26 19 160,4-1 1,6-3 47,-1-4 8,17-11-216,-7 3 320,-9 9 232,12-12 24,1 2 328,3-2-904,-2 0 1088,2 0 73,0-1 63,0-4-240,0 5-984,0-13 712,0-1-480,0-7-192,0-7-208,0 28 168,0-35-192,0-7 96,5-4-16,-1-8-8,-4 54 120,19-61-192,2-8-80,7-9-136,8-3-8,-36 81 416,38-82-272,2 4 96,-5 8 200,-4 10 96,-31 60-120,28-53 88,1 8 80,-6 8 240,-6 6 176,-17 31-584,14-22 744,-9 6 32,0 7-103,-2 7-281,-3 2-392,3-1 240,-3 1-152,5 2-112,-5 7-40,0-9 64,0 10 24,0 5 80,0 8-64,-3 7 8,3-30-48,-13 39-16,-2 9-120,-6 6 24,-2 4 0,23-58 112,-24 60-168,-7 1 0,0-4 80,-4-1 48,35-56 40,-30 50-24,-2 0-24,2-3 16,4-5-17,26-42 49,-28 38-72,1-8 32,4-2-24,-1-4-48,24-24 112,-25 20 0,1-3 48,3-4-72,0-2 24,21-11 0,-17 4-48,-2 5-8,3-6-32,1-1 72,15-2 16,-5 0-32,-8 0-72,13 0 152,-5-2 16,5 2-64,-2-2-120,2-2-16,0-6 32,0 5-56,0 5 160,2-12-32,3 0 8,-3 1-48,1-2 40,-3 13 32,4-12 0,-2 0 104,3 4-96,-3 3 24,-2 5-32,0-10 40,5 7 8,-3-2 16,-2 2 16,0 3-80,3-4 80,-3 2 56,0 0 80,0 2-8,0 0-208,0 0 305,0 3-25,0-1-128,0 1-48,0-3-104,0 3-8,-3-1-56,1 1 24,0 1-48,2-4 88,-5 10-40,0-6 8,0 8 32,-8-3 8,13-9-8,-3 9-64,-4 1 72,0 1-48,2 1-16,5-12 56,-7 12-8,2 0-32,-1 0 24,-11 1 32,17-13-16,-5 12 16,-9 0 8,9-1-16,-8-2 80,13-9-88,-3 3 56,-4 8 24,2-9 8,0 1-24,5-3-64,-5 2 72,3-2 48,2 0 32,-2 0 8,2 0-160,-3-2 112,3 0-224,-2-2-160,-1-9-144,1 3-161,2 10 577,-2-13-560,2-3-16,0 0 104,0-5 120,0 21 352,2-22-248,3-2 112,0-2 40,-5 26 96,4-26-40,11-1 56,-10 1 40,8 0 56,-8 0 176,-5 26-288,17-27 304,-10-2 88,7 2 40,-11-2 40,-3 29-472,18-26 504,-13 0 9,9 1-9,-9 2-128,-5 23-376,16-20 464,-14 3-72,3 4-8,10 1-40,-15 12-344,0-4 256,0-1 24,0 2-48,0 0 64,0 3-296,0-1 192,0 1-88,0 0-40,-5 4-40,5-4-24,-5 11-64,-12-2-16,1 5-56,-10 4-80,26-18 216,-28 26-128,-9 7 24,-2 4 56,-3 4 16,42-41 32,-43 44-24,-1 0-16,1-2-16,7-2 56,36-40 0,-35 34 16,-2-2-32,1-3 40,1-2-16,35-27-8,-33 26 24,2-3 40,0-3-40,0-2-16,31-18-8,-25 13 40,-2-4-8,4-5 24,2-1-8,21-3-48,-17 2 0,3-2-8,2-1 32,7-2 32,5 3-56,-7-9 16,0 4-8,2-10-16,1 3-64,4 12 72,-2-14-48,2-2-48,2-2-8,5-2 8,-7 20 96,14-21-8,-12 1-32,13 2 56,-13 3-56,-2 15 40,7-15 0,-2 4 0,-3 0-32,3 7 64,-5 4-32,0-9 16,0 6 56,0 1-8,0 0 64,0 2-128,-3-1 144,-1 0 0,-1 1 48,1 0-96,4 0-96,-15 0 96,10 2-184,-11 0 8,-3 0-40,19-2 120,-21 4-120,-10 5 64,-2-6 8,-7 10 8,40-13 40,-45 9 24,3-5 48,-8 8 8,6-8 104,44-4-184,-46 10 96,1-8 104,3 2-8,2-1-47,40-3-145,-40 3 224,4-1-96,6 1 24,3-3 32,27 0-184,-15 0 88,0 0-64,13 0-96,2 0 16,0 0 56,0-1-192,0 1-56,5-2-88,9 2-41,-14 0 377,18-3-240,9 0 112,10-2 80,17-8-120,-54 13 168,72-13-80,17-5-104,15-7 88,17-7-24,-121 32 120,134-39-104,12-4 40,7-3 0,12-1 48,-165 47 16,166-49 0,4 0-24,3-1 32,-13 2-16,-160 48 8,154-44 136,-11 3 24,-11 5-8,-11 4 16,-121 32-168,111-28 32,-12 4 48,-19 4-8,-19 4 80,-61 16-152,43-10 216,-17 6 160,-21 2 489,-3 2 231,-2 0-1096,-2 0 1440,-24 3-56,-17 8-399,-12-3-433,55-8-552,-72 13 168,-18 4-120,-12 5-160,-13 3 208,115-25-96,-128 29 40,-15 4 32,-11 2-48,-14 3-32,168-38 8,-167 39-48,-11 3-8,12 0 16,3 0-32,163-42 72,-156 41-136,9 1-368,13 2-384,18-4-801,116-40 1689,-102 39-2232,15-2-585,16-7-544,19-4-1032,52-26 4393,-40 22-5145,40-22 5145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44"/>
  <sheetViews>
    <sheetView rightToLeft="1" tabSelected="1" view="pageBreakPreview" topLeftCell="C38" zoomScale="130" zoomScaleNormal="100" zoomScaleSheetLayoutView="130" workbookViewId="0">
      <selection activeCell="B43" sqref="B43:D44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61" t="s">
        <v>212</v>
      </c>
      <c r="C1" s="61"/>
      <c r="D1" s="61"/>
      <c r="E1" s="61"/>
      <c r="F1" s="61"/>
      <c r="G1" s="61"/>
      <c r="H1" s="61"/>
      <c r="I1" s="61"/>
      <c r="J1" s="61"/>
    </row>
    <row r="2" spans="1:10" ht="30" customHeight="1" x14ac:dyDescent="0.3">
      <c r="B2" s="12" t="s">
        <v>8</v>
      </c>
      <c r="C2" s="67" t="s">
        <v>39</v>
      </c>
      <c r="D2" s="67"/>
      <c r="E2" s="12" t="s">
        <v>7</v>
      </c>
      <c r="F2" s="62">
        <v>45935</v>
      </c>
      <c r="G2" s="62"/>
      <c r="H2" s="62"/>
      <c r="I2" s="62"/>
      <c r="J2" s="62"/>
    </row>
    <row r="3" spans="1:10" ht="30" customHeight="1" x14ac:dyDescent="0.3">
      <c r="B3" s="12" t="s">
        <v>9</v>
      </c>
      <c r="C3" s="67" t="s">
        <v>80</v>
      </c>
      <c r="D3" s="67"/>
      <c r="E3" s="12" t="s">
        <v>6</v>
      </c>
      <c r="F3" s="67" t="s">
        <v>141</v>
      </c>
      <c r="G3" s="67"/>
      <c r="H3" s="67"/>
      <c r="I3" s="67"/>
      <c r="J3" s="67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0"/>
      <c r="B5" s="63" t="s">
        <v>0</v>
      </c>
      <c r="C5" s="64"/>
      <c r="D5" s="64"/>
      <c r="E5" s="85" t="s">
        <v>1</v>
      </c>
      <c r="F5" s="85"/>
      <c r="G5" s="85"/>
      <c r="H5" s="85"/>
      <c r="I5" s="85" t="s">
        <v>2</v>
      </c>
      <c r="J5" s="86"/>
    </row>
    <row r="6" spans="1:10" ht="24.9" customHeight="1" thickBot="1" x14ac:dyDescent="0.35">
      <c r="A6" s="10"/>
      <c r="B6" s="65"/>
      <c r="C6" s="66"/>
      <c r="D6" s="66"/>
      <c r="E6" s="11" t="s">
        <v>3</v>
      </c>
      <c r="F6" s="11" t="s">
        <v>4</v>
      </c>
      <c r="G6" s="11" t="s">
        <v>23</v>
      </c>
      <c r="H6" s="11" t="s">
        <v>24</v>
      </c>
      <c r="I6" s="87"/>
      <c r="J6" s="88"/>
    </row>
    <row r="7" spans="1:10" ht="24.9" customHeight="1" thickBot="1" x14ac:dyDescent="0.35">
      <c r="A7" s="10"/>
      <c r="B7" s="55" t="s">
        <v>21</v>
      </c>
      <c r="C7" s="56"/>
      <c r="D7" s="56"/>
      <c r="E7" s="32" t="s">
        <v>18</v>
      </c>
      <c r="F7" s="32" t="s">
        <v>19</v>
      </c>
      <c r="G7" s="32" t="s">
        <v>22</v>
      </c>
      <c r="H7" s="32" t="s">
        <v>20</v>
      </c>
      <c r="I7" s="89" t="s">
        <v>25</v>
      </c>
      <c r="J7" s="90"/>
    </row>
    <row r="8" spans="1:10" ht="30" customHeight="1" x14ac:dyDescent="0.3">
      <c r="A8" s="10"/>
      <c r="B8" s="49" t="s">
        <v>180</v>
      </c>
      <c r="C8" s="50"/>
      <c r="D8" s="50"/>
      <c r="E8" s="30"/>
      <c r="F8" s="36"/>
      <c r="G8" s="37"/>
      <c r="H8" s="38"/>
      <c r="I8" s="53"/>
      <c r="J8" s="54"/>
    </row>
    <row r="9" spans="1:10" ht="30" customHeight="1" x14ac:dyDescent="0.3">
      <c r="A9" s="10"/>
      <c r="B9" s="51" t="s">
        <v>181</v>
      </c>
      <c r="C9" s="52"/>
      <c r="D9" s="52"/>
      <c r="E9" s="28">
        <v>5</v>
      </c>
      <c r="F9" s="26">
        <v>4</v>
      </c>
      <c r="G9" s="34">
        <f>IFERROR(F9/E9,"")</f>
        <v>0.8</v>
      </c>
      <c r="H9" s="35" t="str">
        <f>_xlfn.IFS(F9="أدخل العلامة","",F9="لا ينطبق","تم الإلغاء",G9&gt;=90%,"ممتاز",G9&gt;=80%,"جيد جداً",G9&gt;=70%,"جيد",G9&gt;=60%,"مقبول",G9&lt;60%,"راسب")</f>
        <v>جيد جداً</v>
      </c>
      <c r="I9" s="57"/>
      <c r="J9" s="58"/>
    </row>
    <row r="10" spans="1:10" ht="30" customHeight="1" x14ac:dyDescent="0.3">
      <c r="A10" s="10"/>
      <c r="B10" s="51" t="s">
        <v>182</v>
      </c>
      <c r="C10" s="52"/>
      <c r="D10" s="52"/>
      <c r="E10" s="28">
        <v>6</v>
      </c>
      <c r="F10" s="26">
        <v>4.5</v>
      </c>
      <c r="G10" s="34">
        <f t="shared" ref="G10:G39" si="0">IFERROR(F10/E10,"")</f>
        <v>0.75</v>
      </c>
      <c r="H10" s="35" t="str">
        <f t="shared" ref="H10:H39" si="1">_xlfn.IFS(F10="أدخل العلامة","",F10="لا ينطبق","تم الإلغاء",G10&gt;=90%,"ممتاز",G10&gt;=80%,"جيد جداً",G10&gt;=70%,"جيد",G10&gt;=60%,"مقبول",G10&lt;60%,"راسب")</f>
        <v>جيد</v>
      </c>
      <c r="I10" s="57"/>
      <c r="J10" s="58"/>
    </row>
    <row r="11" spans="1:10" ht="30" customHeight="1" x14ac:dyDescent="0.3">
      <c r="A11" s="10"/>
      <c r="B11" s="51" t="s">
        <v>183</v>
      </c>
      <c r="C11" s="52"/>
      <c r="D11" s="52"/>
      <c r="E11" s="28">
        <v>6</v>
      </c>
      <c r="F11" s="26">
        <v>4.75</v>
      </c>
      <c r="G11" s="34">
        <f t="shared" si="0"/>
        <v>0.79166666666666663</v>
      </c>
      <c r="H11" s="35" t="str">
        <f t="shared" si="1"/>
        <v>جيد</v>
      </c>
      <c r="I11" s="57"/>
      <c r="J11" s="58"/>
    </row>
    <row r="12" spans="1:10" ht="30" customHeight="1" thickBot="1" x14ac:dyDescent="0.35">
      <c r="A12" s="10"/>
      <c r="B12" s="47" t="s">
        <v>184</v>
      </c>
      <c r="C12" s="48"/>
      <c r="D12" s="48"/>
      <c r="E12" s="29">
        <v>5</v>
      </c>
      <c r="F12" s="27">
        <v>4</v>
      </c>
      <c r="G12" s="39">
        <f t="shared" si="0"/>
        <v>0.8</v>
      </c>
      <c r="H12" s="40" t="str">
        <f t="shared" si="1"/>
        <v>جيد جداً</v>
      </c>
      <c r="I12" s="59"/>
      <c r="J12" s="60"/>
    </row>
    <row r="13" spans="1:10" ht="30" customHeight="1" x14ac:dyDescent="0.3">
      <c r="A13" s="10"/>
      <c r="B13" s="49" t="s">
        <v>185</v>
      </c>
      <c r="C13" s="50"/>
      <c r="D13" s="50"/>
      <c r="E13" s="30"/>
      <c r="F13" s="36"/>
      <c r="G13" s="37"/>
      <c r="H13" s="38"/>
      <c r="I13" s="53"/>
      <c r="J13" s="54"/>
    </row>
    <row r="14" spans="1:10" ht="30" customHeight="1" x14ac:dyDescent="0.3">
      <c r="A14" s="10"/>
      <c r="B14" s="51" t="s">
        <v>186</v>
      </c>
      <c r="C14" s="52"/>
      <c r="D14" s="52"/>
      <c r="E14" s="9">
        <v>8</v>
      </c>
      <c r="F14" s="26">
        <v>6.25</v>
      </c>
      <c r="G14" s="34">
        <f t="shared" si="0"/>
        <v>0.78125</v>
      </c>
      <c r="H14" s="35" t="str">
        <f t="shared" si="1"/>
        <v>جيد</v>
      </c>
      <c r="I14" s="57"/>
      <c r="J14" s="58"/>
    </row>
    <row r="15" spans="1:10" ht="30" customHeight="1" x14ac:dyDescent="0.3">
      <c r="A15" s="10"/>
      <c r="B15" s="51" t="s">
        <v>187</v>
      </c>
      <c r="C15" s="52"/>
      <c r="D15" s="52"/>
      <c r="E15" s="9">
        <v>8</v>
      </c>
      <c r="F15" s="26">
        <v>6.75</v>
      </c>
      <c r="G15" s="34">
        <f t="shared" si="0"/>
        <v>0.84375</v>
      </c>
      <c r="H15" s="35" t="str">
        <f t="shared" si="1"/>
        <v>جيد جداً</v>
      </c>
      <c r="I15" s="57"/>
      <c r="J15" s="58"/>
    </row>
    <row r="16" spans="1:10" ht="30" customHeight="1" x14ac:dyDescent="0.3">
      <c r="A16" s="10"/>
      <c r="B16" s="51" t="s">
        <v>188</v>
      </c>
      <c r="C16" s="52"/>
      <c r="D16" s="52"/>
      <c r="E16" s="9">
        <v>5</v>
      </c>
      <c r="F16" s="26">
        <v>4</v>
      </c>
      <c r="G16" s="34">
        <f t="shared" si="0"/>
        <v>0.8</v>
      </c>
      <c r="H16" s="35" t="str">
        <f t="shared" si="1"/>
        <v>جيد جداً</v>
      </c>
      <c r="I16" s="57"/>
      <c r="J16" s="58"/>
    </row>
    <row r="17" spans="1:10" ht="30" customHeight="1" thickBot="1" x14ac:dyDescent="0.35">
      <c r="A17" s="10"/>
      <c r="B17" s="47" t="s">
        <v>189</v>
      </c>
      <c r="C17" s="48"/>
      <c r="D17" s="48"/>
      <c r="E17" s="31">
        <v>6</v>
      </c>
      <c r="F17" s="27">
        <v>4.5</v>
      </c>
      <c r="G17" s="39">
        <f t="shared" si="0"/>
        <v>0.75</v>
      </c>
      <c r="H17" s="40" t="str">
        <f t="shared" si="1"/>
        <v>جيد</v>
      </c>
      <c r="I17" s="59"/>
      <c r="J17" s="60"/>
    </row>
    <row r="18" spans="1:10" ht="30" customHeight="1" x14ac:dyDescent="0.3">
      <c r="A18" s="10"/>
      <c r="B18" s="49" t="s">
        <v>190</v>
      </c>
      <c r="C18" s="50"/>
      <c r="D18" s="50"/>
      <c r="E18" s="30"/>
      <c r="F18" s="36"/>
      <c r="G18" s="37"/>
      <c r="H18" s="38"/>
      <c r="I18" s="53"/>
      <c r="J18" s="54"/>
    </row>
    <row r="19" spans="1:10" ht="30" customHeight="1" x14ac:dyDescent="0.3">
      <c r="A19" s="10"/>
      <c r="B19" s="51" t="s">
        <v>191</v>
      </c>
      <c r="C19" s="52"/>
      <c r="D19" s="52"/>
      <c r="E19" s="28">
        <v>6</v>
      </c>
      <c r="F19" s="26">
        <v>4.75</v>
      </c>
      <c r="G19" s="34">
        <f t="shared" si="0"/>
        <v>0.79166666666666663</v>
      </c>
      <c r="H19" s="35" t="str">
        <f t="shared" si="1"/>
        <v>جيد</v>
      </c>
      <c r="I19" s="57"/>
      <c r="J19" s="58"/>
    </row>
    <row r="20" spans="1:10" ht="30" customHeight="1" x14ac:dyDescent="0.3">
      <c r="A20" s="10"/>
      <c r="B20" s="51" t="s">
        <v>192</v>
      </c>
      <c r="C20" s="52"/>
      <c r="D20" s="52"/>
      <c r="E20" s="28">
        <v>6</v>
      </c>
      <c r="F20" s="26">
        <v>4.5</v>
      </c>
      <c r="G20" s="34">
        <f t="shared" si="0"/>
        <v>0.75</v>
      </c>
      <c r="H20" s="35" t="str">
        <f t="shared" si="1"/>
        <v>جيد</v>
      </c>
      <c r="I20" s="57"/>
      <c r="J20" s="58"/>
    </row>
    <row r="21" spans="1:10" ht="30" customHeight="1" x14ac:dyDescent="0.3">
      <c r="A21" s="10"/>
      <c r="B21" s="51" t="s">
        <v>193</v>
      </c>
      <c r="C21" s="52"/>
      <c r="D21" s="52"/>
      <c r="E21" s="28">
        <v>6</v>
      </c>
      <c r="F21" s="26">
        <v>4.75</v>
      </c>
      <c r="G21" s="34">
        <f t="shared" si="0"/>
        <v>0.79166666666666663</v>
      </c>
      <c r="H21" s="35" t="str">
        <f t="shared" si="1"/>
        <v>جيد</v>
      </c>
      <c r="I21" s="57"/>
      <c r="J21" s="58"/>
    </row>
    <row r="22" spans="1:10" ht="39.9" customHeight="1" x14ac:dyDescent="0.3">
      <c r="A22" s="10"/>
      <c r="B22" s="51" t="s">
        <v>194</v>
      </c>
      <c r="C22" s="52"/>
      <c r="D22" s="52"/>
      <c r="E22" s="28">
        <v>6</v>
      </c>
      <c r="F22" s="26">
        <v>4.5</v>
      </c>
      <c r="G22" s="34">
        <f t="shared" si="0"/>
        <v>0.75</v>
      </c>
      <c r="H22" s="35" t="str">
        <f t="shared" si="1"/>
        <v>جيد</v>
      </c>
      <c r="I22" s="57"/>
      <c r="J22" s="58"/>
    </row>
    <row r="23" spans="1:10" ht="30" customHeight="1" thickBot="1" x14ac:dyDescent="0.35">
      <c r="A23" s="10"/>
      <c r="B23" s="47" t="s">
        <v>195</v>
      </c>
      <c r="C23" s="48"/>
      <c r="D23" s="48"/>
      <c r="E23" s="29">
        <v>6</v>
      </c>
      <c r="F23" s="27">
        <v>5</v>
      </c>
      <c r="G23" s="39">
        <f t="shared" si="0"/>
        <v>0.83333333333333337</v>
      </c>
      <c r="H23" s="40" t="str">
        <f t="shared" si="1"/>
        <v>جيد جداً</v>
      </c>
      <c r="I23" s="59"/>
      <c r="J23" s="60"/>
    </row>
    <row r="24" spans="1:10" ht="30" customHeight="1" x14ac:dyDescent="0.3">
      <c r="A24" s="10"/>
      <c r="B24" s="49" t="s">
        <v>196</v>
      </c>
      <c r="C24" s="50"/>
      <c r="D24" s="50"/>
      <c r="E24" s="30"/>
      <c r="F24" s="36"/>
      <c r="G24" s="37"/>
      <c r="H24" s="38"/>
      <c r="I24" s="53"/>
      <c r="J24" s="54"/>
    </row>
    <row r="25" spans="1:10" ht="39.9" customHeight="1" x14ac:dyDescent="0.3">
      <c r="A25" s="10"/>
      <c r="B25" s="43" t="s">
        <v>197</v>
      </c>
      <c r="C25" s="44"/>
      <c r="D25" s="44"/>
      <c r="E25" s="28">
        <v>5</v>
      </c>
      <c r="F25" s="26">
        <v>3.75</v>
      </c>
      <c r="G25" s="34">
        <f t="shared" si="0"/>
        <v>0.75</v>
      </c>
      <c r="H25" s="35" t="str">
        <f t="shared" si="1"/>
        <v>جيد</v>
      </c>
      <c r="I25" s="57"/>
      <c r="J25" s="58"/>
    </row>
    <row r="26" spans="1:10" ht="39.9" customHeight="1" x14ac:dyDescent="0.3">
      <c r="A26" s="10"/>
      <c r="B26" s="43" t="s">
        <v>198</v>
      </c>
      <c r="C26" s="44"/>
      <c r="D26" s="44"/>
      <c r="E26" s="28">
        <v>5</v>
      </c>
      <c r="F26" s="26">
        <v>3.5</v>
      </c>
      <c r="G26" s="34">
        <f t="shared" si="0"/>
        <v>0.7</v>
      </c>
      <c r="H26" s="35" t="str">
        <f t="shared" si="1"/>
        <v>جيد</v>
      </c>
      <c r="I26" s="57"/>
      <c r="J26" s="58"/>
    </row>
    <row r="27" spans="1:10" ht="30" customHeight="1" x14ac:dyDescent="0.3">
      <c r="A27" s="10"/>
      <c r="B27" s="43" t="s">
        <v>199</v>
      </c>
      <c r="C27" s="44"/>
      <c r="D27" s="44"/>
      <c r="E27" s="28">
        <v>5</v>
      </c>
      <c r="F27" s="26">
        <v>3.75</v>
      </c>
      <c r="G27" s="34">
        <f t="shared" si="0"/>
        <v>0.75</v>
      </c>
      <c r="H27" s="35" t="str">
        <f t="shared" si="1"/>
        <v>جيد</v>
      </c>
      <c r="I27" s="57"/>
      <c r="J27" s="58"/>
    </row>
    <row r="28" spans="1:10" ht="30" customHeight="1" x14ac:dyDescent="0.3">
      <c r="A28" s="10"/>
      <c r="B28" s="43" t="s">
        <v>200</v>
      </c>
      <c r="C28" s="44"/>
      <c r="D28" s="44"/>
      <c r="E28" s="28">
        <v>5</v>
      </c>
      <c r="F28" s="26">
        <v>3.75</v>
      </c>
      <c r="G28" s="34">
        <f t="shared" si="0"/>
        <v>0.75</v>
      </c>
      <c r="H28" s="35" t="str">
        <f t="shared" si="1"/>
        <v>جيد</v>
      </c>
      <c r="I28" s="57"/>
      <c r="J28" s="58"/>
    </row>
    <row r="29" spans="1:10" ht="30" customHeight="1" x14ac:dyDescent="0.3">
      <c r="A29" s="10"/>
      <c r="B29" s="43" t="s">
        <v>201</v>
      </c>
      <c r="C29" s="44"/>
      <c r="D29" s="44"/>
      <c r="E29" s="28">
        <v>5</v>
      </c>
      <c r="F29" s="26">
        <v>3.5</v>
      </c>
      <c r="G29" s="34">
        <f t="shared" si="0"/>
        <v>0.7</v>
      </c>
      <c r="H29" s="35" t="str">
        <f t="shared" si="1"/>
        <v>جيد</v>
      </c>
      <c r="I29" s="57"/>
      <c r="J29" s="58"/>
    </row>
    <row r="30" spans="1:10" ht="30" customHeight="1" x14ac:dyDescent="0.3">
      <c r="A30" s="10"/>
      <c r="B30" s="43" t="s">
        <v>202</v>
      </c>
      <c r="C30" s="44"/>
      <c r="D30" s="44"/>
      <c r="E30" s="28">
        <v>5</v>
      </c>
      <c r="F30" s="26">
        <v>3.75</v>
      </c>
      <c r="G30" s="34">
        <f t="shared" si="0"/>
        <v>0.75</v>
      </c>
      <c r="H30" s="35" t="str">
        <f t="shared" si="1"/>
        <v>جيد</v>
      </c>
      <c r="I30" s="57"/>
      <c r="J30" s="58"/>
    </row>
    <row r="31" spans="1:10" ht="30" customHeight="1" x14ac:dyDescent="0.3">
      <c r="A31" s="10"/>
      <c r="B31" s="43" t="s">
        <v>203</v>
      </c>
      <c r="C31" s="44"/>
      <c r="D31" s="44"/>
      <c r="E31" s="28">
        <v>5</v>
      </c>
      <c r="F31" s="26">
        <v>3.75</v>
      </c>
      <c r="G31" s="34">
        <f t="shared" si="0"/>
        <v>0.75</v>
      </c>
      <c r="H31" s="35" t="str">
        <f t="shared" si="1"/>
        <v>جيد</v>
      </c>
      <c r="I31" s="57"/>
      <c r="J31" s="58"/>
    </row>
    <row r="32" spans="1:10" ht="30" customHeight="1" x14ac:dyDescent="0.3">
      <c r="A32" s="10"/>
      <c r="B32" s="43" t="s">
        <v>204</v>
      </c>
      <c r="C32" s="44"/>
      <c r="D32" s="44"/>
      <c r="E32" s="28">
        <v>5</v>
      </c>
      <c r="F32" s="26">
        <v>3.5</v>
      </c>
      <c r="G32" s="34">
        <f t="shared" si="0"/>
        <v>0.7</v>
      </c>
      <c r="H32" s="35" t="str">
        <f t="shared" si="1"/>
        <v>جيد</v>
      </c>
      <c r="I32" s="57"/>
      <c r="J32" s="58"/>
    </row>
    <row r="33" spans="1:10" ht="30" customHeight="1" x14ac:dyDescent="0.3">
      <c r="A33" s="10"/>
      <c r="B33" s="43" t="s">
        <v>205</v>
      </c>
      <c r="C33" s="44"/>
      <c r="D33" s="44"/>
      <c r="E33" s="28">
        <v>5</v>
      </c>
      <c r="F33" s="26">
        <v>3.75</v>
      </c>
      <c r="G33" s="34">
        <f t="shared" si="0"/>
        <v>0.75</v>
      </c>
      <c r="H33" s="35" t="str">
        <f t="shared" si="1"/>
        <v>جيد</v>
      </c>
      <c r="I33" s="57"/>
      <c r="J33" s="58"/>
    </row>
    <row r="34" spans="1:10" ht="30" customHeight="1" thickBot="1" x14ac:dyDescent="0.35">
      <c r="A34" s="10"/>
      <c r="B34" s="47" t="s">
        <v>206</v>
      </c>
      <c r="C34" s="48"/>
      <c r="D34" s="48"/>
      <c r="E34" s="29">
        <v>5</v>
      </c>
      <c r="F34" s="27">
        <v>3.5</v>
      </c>
      <c r="G34" s="39">
        <f t="shared" si="0"/>
        <v>0.7</v>
      </c>
      <c r="H34" s="40" t="str">
        <f t="shared" si="1"/>
        <v>جيد</v>
      </c>
      <c r="I34" s="59"/>
      <c r="J34" s="60"/>
    </row>
    <row r="35" spans="1:10" ht="30" customHeight="1" x14ac:dyDescent="0.3">
      <c r="A35" s="10"/>
      <c r="B35" s="41" t="s">
        <v>207</v>
      </c>
      <c r="C35" s="42"/>
      <c r="D35" s="42"/>
      <c r="E35" s="30"/>
      <c r="F35" s="36"/>
      <c r="G35" s="37"/>
      <c r="H35" s="38"/>
      <c r="I35" s="53"/>
      <c r="J35" s="54"/>
    </row>
    <row r="36" spans="1:10" ht="30" customHeight="1" x14ac:dyDescent="0.3">
      <c r="A36" s="10"/>
      <c r="B36" s="43" t="s">
        <v>208</v>
      </c>
      <c r="C36" s="44"/>
      <c r="D36" s="44"/>
      <c r="E36" s="9">
        <v>6</v>
      </c>
      <c r="F36" s="26">
        <v>4.75</v>
      </c>
      <c r="G36" s="34">
        <f t="shared" si="0"/>
        <v>0.79166666666666663</v>
      </c>
      <c r="H36" s="35" t="str">
        <f t="shared" si="1"/>
        <v>جيد</v>
      </c>
      <c r="I36" s="57"/>
      <c r="J36" s="58"/>
    </row>
    <row r="37" spans="1:10" ht="30" customHeight="1" x14ac:dyDescent="0.3">
      <c r="A37" s="10"/>
      <c r="B37" s="43" t="s">
        <v>209</v>
      </c>
      <c r="C37" s="44"/>
      <c r="D37" s="44"/>
      <c r="E37" s="9">
        <v>5</v>
      </c>
      <c r="F37" s="26">
        <v>3.75</v>
      </c>
      <c r="G37" s="34">
        <f t="shared" si="0"/>
        <v>0.75</v>
      </c>
      <c r="H37" s="35" t="str">
        <f t="shared" si="1"/>
        <v>جيد</v>
      </c>
      <c r="I37" s="57"/>
      <c r="J37" s="58"/>
    </row>
    <row r="38" spans="1:10" ht="30" customHeight="1" x14ac:dyDescent="0.3">
      <c r="A38" s="10"/>
      <c r="B38" s="43" t="s">
        <v>210</v>
      </c>
      <c r="C38" s="44"/>
      <c r="D38" s="44"/>
      <c r="E38" s="9">
        <v>5</v>
      </c>
      <c r="F38" s="26">
        <v>3.75</v>
      </c>
      <c r="G38" s="34">
        <f t="shared" si="0"/>
        <v>0.75</v>
      </c>
      <c r="H38" s="35" t="str">
        <f t="shared" si="1"/>
        <v>جيد</v>
      </c>
      <c r="I38" s="57"/>
      <c r="J38" s="58"/>
    </row>
    <row r="39" spans="1:10" ht="30" customHeight="1" thickBot="1" x14ac:dyDescent="0.35">
      <c r="A39" s="10"/>
      <c r="B39" s="45" t="s">
        <v>211</v>
      </c>
      <c r="C39" s="46"/>
      <c r="D39" s="46"/>
      <c r="E39" s="31">
        <v>5</v>
      </c>
      <c r="F39" s="27">
        <v>3.75</v>
      </c>
      <c r="G39" s="39">
        <f t="shared" si="0"/>
        <v>0.75</v>
      </c>
      <c r="H39" s="40" t="str">
        <f t="shared" si="1"/>
        <v>جيد</v>
      </c>
      <c r="I39" s="59"/>
      <c r="J39" s="60"/>
    </row>
    <row r="40" spans="1:10" ht="30" customHeight="1" thickBot="1" x14ac:dyDescent="0.35">
      <c r="A40" s="4"/>
      <c r="B40" s="76" t="s">
        <v>5</v>
      </c>
      <c r="C40" s="77"/>
      <c r="D40" s="77"/>
      <c r="E40" s="33">
        <f>SUM(E8:E39)</f>
        <v>150</v>
      </c>
      <c r="F40" s="33">
        <f>SUM(F8:F39)</f>
        <v>114.75</v>
      </c>
      <c r="G40" s="82"/>
      <c r="H40" s="83"/>
      <c r="I40" s="83"/>
      <c r="J40" s="84"/>
    </row>
    <row r="41" spans="1:10" ht="30" customHeight="1" thickBot="1" x14ac:dyDescent="0.35">
      <c r="A41" s="4"/>
      <c r="B41" s="78" t="s">
        <v>54</v>
      </c>
      <c r="C41" s="79"/>
      <c r="D41" s="79"/>
      <c r="E41" s="74">
        <f>F40/E40/100*100</f>
        <v>0.76500000000000001</v>
      </c>
      <c r="F41" s="74"/>
      <c r="G41" s="74"/>
      <c r="H41" s="74"/>
      <c r="I41" s="74"/>
      <c r="J41" s="75"/>
    </row>
    <row r="42" spans="1:10" ht="30" customHeight="1" thickBot="1" x14ac:dyDescent="0.35">
      <c r="A42" s="4"/>
      <c r="B42" s="78" t="s">
        <v>55</v>
      </c>
      <c r="C42" s="79"/>
      <c r="D42" s="79"/>
      <c r="E42" s="72" t="str">
        <f>_xlfn.IFS(E41&gt;=90%,"ممتاز",E41&gt;=80%,"جيد جداً",E41&gt;=70%,"جيد",E41&gt;=60%,"مقبول",E41&lt;60%,"راسب")</f>
        <v>جيد</v>
      </c>
      <c r="F42" s="72"/>
      <c r="G42" s="72"/>
      <c r="H42" s="72"/>
      <c r="I42" s="72"/>
      <c r="J42" s="73"/>
    </row>
    <row r="43" spans="1:10" ht="42" customHeight="1" x14ac:dyDescent="0.3">
      <c r="B43" s="68" t="s">
        <v>174</v>
      </c>
      <c r="C43" s="68"/>
      <c r="D43" s="68"/>
      <c r="E43" s="80" t="s">
        <v>52</v>
      </c>
      <c r="F43" s="80"/>
      <c r="G43" s="70" t="s">
        <v>141</v>
      </c>
      <c r="H43" s="70"/>
      <c r="I43" s="70"/>
      <c r="J43" s="70"/>
    </row>
    <row r="44" spans="1:10" ht="51" customHeight="1" x14ac:dyDescent="0.3">
      <c r="A44" s="5"/>
      <c r="B44" s="69"/>
      <c r="C44" s="69"/>
      <c r="D44" s="69"/>
      <c r="E44" s="81" t="s">
        <v>53</v>
      </c>
      <c r="F44" s="81"/>
      <c r="G44" s="71"/>
      <c r="H44" s="71"/>
      <c r="I44" s="71"/>
      <c r="J44" s="71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85">
    <mergeCell ref="E43:F43"/>
    <mergeCell ref="E44:F44"/>
    <mergeCell ref="G40:J40"/>
    <mergeCell ref="I9:J9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23:J23"/>
    <mergeCell ref="I24:J24"/>
    <mergeCell ref="I25:J25"/>
    <mergeCell ref="I26:J26"/>
    <mergeCell ref="I27:J27"/>
    <mergeCell ref="B43:D44"/>
    <mergeCell ref="G43:J43"/>
    <mergeCell ref="G44:J44"/>
    <mergeCell ref="E42:J42"/>
    <mergeCell ref="E41:J41"/>
    <mergeCell ref="B40:D40"/>
    <mergeCell ref="B41:D41"/>
    <mergeCell ref="B42:D42"/>
    <mergeCell ref="I34:J34"/>
    <mergeCell ref="I35:J35"/>
    <mergeCell ref="I36:J36"/>
    <mergeCell ref="I32:J32"/>
    <mergeCell ref="B31:D31"/>
    <mergeCell ref="B32:D32"/>
    <mergeCell ref="B1:J1"/>
    <mergeCell ref="F2:J2"/>
    <mergeCell ref="B5:D6"/>
    <mergeCell ref="C2:D2"/>
    <mergeCell ref="C3:D3"/>
    <mergeCell ref="F3:J3"/>
    <mergeCell ref="B7:D7"/>
    <mergeCell ref="I38:J38"/>
    <mergeCell ref="I39:J39"/>
    <mergeCell ref="I30:J30"/>
    <mergeCell ref="I31:J31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33:J33"/>
    <mergeCell ref="I8:J8"/>
    <mergeCell ref="B13:D13"/>
    <mergeCell ref="B14:D14"/>
    <mergeCell ref="B15:D15"/>
    <mergeCell ref="B16:D16"/>
    <mergeCell ref="B8:D8"/>
    <mergeCell ref="B9:D9"/>
    <mergeCell ref="B10:D10"/>
    <mergeCell ref="B11:D11"/>
    <mergeCell ref="B12:D12"/>
    <mergeCell ref="B33:D33"/>
    <mergeCell ref="B34:D34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5:D35"/>
    <mergeCell ref="B36:D36"/>
    <mergeCell ref="B37:D37"/>
    <mergeCell ref="B38:D38"/>
    <mergeCell ref="B39:D39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42">
    <cfRule type="expression" dxfId="14" priority="57">
      <formula>$E42="راسب"</formula>
    </cfRule>
  </conditionalFormatting>
  <conditionalFormatting sqref="E42:J42">
    <cfRule type="expression" dxfId="13" priority="58">
      <formula>$E42="مقبول"</formula>
    </cfRule>
    <cfRule type="expression" dxfId="12" priority="59">
      <formula>$E42="جيد"</formula>
    </cfRule>
    <cfRule type="expression" dxfId="11" priority="60">
      <formula>$E42="جيد جداً"</formula>
    </cfRule>
    <cfRule type="expression" dxfId="10" priority="61">
      <formula>$E42="ممتاز"</formula>
    </cfRule>
  </conditionalFormatting>
  <conditionalFormatting sqref="F8:F39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43:J43">
    <cfRule type="containsText" dxfId="6" priority="15" operator="containsText" text="أدخل اسم المحكم">
      <formula>NOT(ISERROR(SEARCH("أدخل اسم المحكم",G43)))</formula>
    </cfRule>
  </conditionalFormatting>
  <conditionalFormatting sqref="H8:H39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F9 F25:F34 F37:F39 F12 F16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G43:J43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  <x14:dataValidation type="list" allowBlank="1" showInputMessage="1" showErrorMessage="1" xr:uid="{3CD11486-4F82-4DA5-A759-F95A1043CEF6}">
          <x14:formula1>
            <xm:f>'بيانات التقييم'!$A$111:$A$137</xm:f>
          </x14:formula1>
          <xm:sqref>F10 F11 F17 F19 F20 F21 F22 F23 F36</xm:sqref>
        </x14:dataValidation>
        <x14:dataValidation type="list" allowBlank="1" showInputMessage="1" showErrorMessage="1" xr:uid="{A2279BC6-5414-436A-83B1-5F1184DCF6A6}">
          <x14:formula1>
            <xm:f>'بيانات التقييم'!$A$111:$A$145</xm:f>
          </x14:formula1>
          <xm:sqref>F14 F15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28" workbookViewId="0">
      <selection activeCell="C33" sqref="C33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9" t="s">
        <v>62</v>
      </c>
    </row>
    <row r="3" spans="1:3" ht="20.100000000000001" customHeight="1" thickBot="1" x14ac:dyDescent="0.35">
      <c r="A3" s="2" t="s">
        <v>26</v>
      </c>
      <c r="C3" s="19" t="s">
        <v>63</v>
      </c>
    </row>
    <row r="4" spans="1:3" ht="20.100000000000001" customHeight="1" thickBot="1" x14ac:dyDescent="0.35">
      <c r="A4" s="2" t="s">
        <v>36</v>
      </c>
      <c r="C4" s="19" t="s">
        <v>64</v>
      </c>
    </row>
    <row r="5" spans="1:3" ht="20.100000000000001" customHeight="1" thickBot="1" x14ac:dyDescent="0.35">
      <c r="A5" s="2" t="s">
        <v>37</v>
      </c>
      <c r="C5" s="19" t="s">
        <v>65</v>
      </c>
    </row>
    <row r="6" spans="1:3" ht="20.100000000000001" customHeight="1" thickBot="1" x14ac:dyDescent="0.35">
      <c r="A6" s="2" t="s">
        <v>38</v>
      </c>
      <c r="C6" s="19" t="s">
        <v>66</v>
      </c>
    </row>
    <row r="7" spans="1:3" ht="20.100000000000001" customHeight="1" thickBot="1" x14ac:dyDescent="0.35">
      <c r="A7" s="2" t="s">
        <v>39</v>
      </c>
      <c r="C7" s="19" t="s">
        <v>67</v>
      </c>
    </row>
    <row r="8" spans="1:3" ht="20.100000000000001" customHeight="1" thickBot="1" x14ac:dyDescent="0.35">
      <c r="A8" s="2" t="s">
        <v>40</v>
      </c>
      <c r="C8" s="19" t="s">
        <v>68</v>
      </c>
    </row>
    <row r="9" spans="1:3" ht="20.100000000000001" customHeight="1" thickBot="1" x14ac:dyDescent="0.35">
      <c r="A9" s="2" t="s">
        <v>41</v>
      </c>
      <c r="C9" s="19" t="s">
        <v>69</v>
      </c>
    </row>
    <row r="10" spans="1:3" ht="20.100000000000001" customHeight="1" thickBot="1" x14ac:dyDescent="0.35">
      <c r="A10" s="2" t="s">
        <v>42</v>
      </c>
      <c r="C10" s="19" t="s">
        <v>70</v>
      </c>
    </row>
    <row r="11" spans="1:3" ht="20.100000000000001" customHeight="1" thickBot="1" x14ac:dyDescent="0.35">
      <c r="A11" s="2" t="s">
        <v>43</v>
      </c>
      <c r="C11" s="19" t="s">
        <v>71</v>
      </c>
    </row>
    <row r="12" spans="1:3" ht="20.100000000000001" customHeight="1" thickBot="1" x14ac:dyDescent="0.35">
      <c r="A12" s="2" t="s">
        <v>44</v>
      </c>
      <c r="C12" s="19" t="s">
        <v>72</v>
      </c>
    </row>
    <row r="13" spans="1:3" ht="20.100000000000001" customHeight="1" thickBot="1" x14ac:dyDescent="0.35">
      <c r="A13" s="2" t="s">
        <v>45</v>
      </c>
      <c r="C13" s="19" t="s">
        <v>73</v>
      </c>
    </row>
    <row r="14" spans="1:3" ht="20.100000000000001" customHeight="1" thickBot="1" x14ac:dyDescent="0.35">
      <c r="A14" s="2" t="s">
        <v>46</v>
      </c>
      <c r="C14" s="19" t="s">
        <v>74</v>
      </c>
    </row>
    <row r="15" spans="1:3" ht="20.100000000000001" customHeight="1" thickBot="1" x14ac:dyDescent="0.35">
      <c r="A15" s="2" t="s">
        <v>47</v>
      </c>
      <c r="C15" s="19" t="s">
        <v>75</v>
      </c>
    </row>
    <row r="16" spans="1:3" ht="20.100000000000001" customHeight="1" thickBot="1" x14ac:dyDescent="0.35">
      <c r="A16" s="2" t="s">
        <v>10</v>
      </c>
      <c r="C16" s="19" t="s">
        <v>76</v>
      </c>
    </row>
    <row r="17" spans="1:3" ht="20.100000000000001" customHeight="1" thickBot="1" x14ac:dyDescent="0.35">
      <c r="A17" s="2" t="s">
        <v>27</v>
      </c>
      <c r="C17" s="19" t="s">
        <v>77</v>
      </c>
    </row>
    <row r="18" spans="1:3" ht="20.100000000000001" customHeight="1" thickBot="1" x14ac:dyDescent="0.35">
      <c r="A18" s="2" t="s">
        <v>48</v>
      </c>
      <c r="C18" s="19" t="s">
        <v>78</v>
      </c>
    </row>
    <row r="19" spans="1:3" ht="20.100000000000001" customHeight="1" thickBot="1" x14ac:dyDescent="0.35">
      <c r="A19" s="2" t="s">
        <v>49</v>
      </c>
      <c r="C19" s="19" t="s">
        <v>79</v>
      </c>
    </row>
    <row r="20" spans="1:3" ht="20.100000000000001" customHeight="1" thickBot="1" x14ac:dyDescent="0.35">
      <c r="A20" s="2" t="s">
        <v>50</v>
      </c>
      <c r="C20" s="19" t="s">
        <v>80</v>
      </c>
    </row>
    <row r="21" spans="1:3" ht="20.100000000000001" customHeight="1" thickBot="1" x14ac:dyDescent="0.35">
      <c r="A21" s="2" t="s">
        <v>51</v>
      </c>
      <c r="C21" s="19" t="s">
        <v>81</v>
      </c>
    </row>
    <row r="22" spans="1:3" ht="20.100000000000001" customHeight="1" thickBot="1" x14ac:dyDescent="0.35">
      <c r="A22" s="2" t="s">
        <v>11</v>
      </c>
      <c r="C22" s="19" t="s">
        <v>82</v>
      </c>
    </row>
    <row r="23" spans="1:3" ht="20.100000000000001" customHeight="1" thickBot="1" x14ac:dyDescent="0.35">
      <c r="A23" s="2" t="s">
        <v>12</v>
      </c>
      <c r="C23" s="19" t="s">
        <v>83</v>
      </c>
    </row>
    <row r="24" spans="1:3" ht="20.100000000000001" customHeight="1" thickBot="1" x14ac:dyDescent="0.35">
      <c r="A24" s="2" t="s">
        <v>15</v>
      </c>
      <c r="C24" s="19" t="s">
        <v>84</v>
      </c>
    </row>
    <row r="25" spans="1:3" ht="20.100000000000001" customHeight="1" thickBot="1" x14ac:dyDescent="0.35">
      <c r="A25" s="2" t="s">
        <v>28</v>
      </c>
      <c r="C25" s="19" t="s">
        <v>85</v>
      </c>
    </row>
    <row r="26" spans="1:3" ht="20.100000000000001" customHeight="1" thickBot="1" x14ac:dyDescent="0.35">
      <c r="A26" s="2" t="s">
        <v>29</v>
      </c>
      <c r="C26" s="19" t="s">
        <v>86</v>
      </c>
    </row>
    <row r="27" spans="1:3" ht="20.100000000000001" customHeight="1" thickBot="1" x14ac:dyDescent="0.35">
      <c r="A27" s="2" t="s">
        <v>13</v>
      </c>
      <c r="C27" s="19" t="s">
        <v>87</v>
      </c>
    </row>
    <row r="28" spans="1:3" ht="20.100000000000001" customHeight="1" thickBot="1" x14ac:dyDescent="0.35">
      <c r="A28" s="2" t="s">
        <v>30</v>
      </c>
      <c r="C28" s="19" t="s">
        <v>88</v>
      </c>
    </row>
    <row r="29" spans="1:3" ht="20.100000000000001" customHeight="1" thickBot="1" x14ac:dyDescent="0.35">
      <c r="A29" s="2" t="s">
        <v>31</v>
      </c>
      <c r="C29" s="19" t="s">
        <v>177</v>
      </c>
    </row>
    <row r="30" spans="1:3" ht="20.100000000000001" customHeight="1" thickBot="1" x14ac:dyDescent="0.35">
      <c r="A30" s="2" t="s">
        <v>32</v>
      </c>
      <c r="C30" s="19" t="s">
        <v>178</v>
      </c>
    </row>
    <row r="31" spans="1:3" ht="20.100000000000001" customHeight="1" thickBot="1" x14ac:dyDescent="0.35">
      <c r="A31" s="2" t="s">
        <v>33</v>
      </c>
      <c r="C31" s="19" t="s">
        <v>179</v>
      </c>
    </row>
    <row r="32" spans="1:3" ht="20.100000000000001" customHeight="1" thickBot="1" x14ac:dyDescent="0.35">
      <c r="A32" s="2" t="s">
        <v>16</v>
      </c>
      <c r="C32" s="19"/>
    </row>
    <row r="33" spans="1:9" ht="20.100000000000001" customHeight="1" thickBot="1" x14ac:dyDescent="0.35">
      <c r="A33" s="2" t="s">
        <v>14</v>
      </c>
      <c r="C33" s="19"/>
    </row>
    <row r="34" spans="1:9" ht="20.100000000000001" customHeight="1" thickBot="1" x14ac:dyDescent="0.35">
      <c r="A34" s="2" t="s">
        <v>34</v>
      </c>
      <c r="C34" s="19"/>
    </row>
    <row r="35" spans="1:9" ht="20.100000000000001" customHeight="1" x14ac:dyDescent="0.3">
      <c r="A35" s="18"/>
    </row>
    <row r="36" spans="1:9" s="17" customFormat="1" ht="20.100000000000001" customHeight="1" x14ac:dyDescent="0.3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3">
        <v>45901</v>
      </c>
    </row>
    <row r="40" spans="1:9" ht="20.100000000000001" customHeight="1" thickBot="1" x14ac:dyDescent="0.35">
      <c r="A40" s="13">
        <v>45902</v>
      </c>
    </row>
    <row r="41" spans="1:9" ht="20.100000000000001" customHeight="1" thickBot="1" x14ac:dyDescent="0.35">
      <c r="A41" s="13">
        <v>45903</v>
      </c>
    </row>
    <row r="42" spans="1:9" ht="20.100000000000001" customHeight="1" thickBot="1" x14ac:dyDescent="0.35">
      <c r="A42" s="13">
        <v>45904</v>
      </c>
    </row>
    <row r="43" spans="1:9" ht="20.100000000000001" customHeight="1" thickBot="1" x14ac:dyDescent="0.35">
      <c r="A43" s="13">
        <v>45905</v>
      </c>
    </row>
    <row r="44" spans="1:9" ht="20.100000000000001" customHeight="1" thickBot="1" x14ac:dyDescent="0.35">
      <c r="A44" s="13">
        <v>45906</v>
      </c>
    </row>
    <row r="45" spans="1:9" ht="20.100000000000001" customHeight="1" thickBot="1" x14ac:dyDescent="0.35">
      <c r="A45" s="13">
        <v>45907</v>
      </c>
    </row>
    <row r="46" spans="1:9" ht="20.100000000000001" customHeight="1" thickBot="1" x14ac:dyDescent="0.35">
      <c r="A46" s="13">
        <v>45908</v>
      </c>
    </row>
    <row r="47" spans="1:9" ht="20.100000000000001" customHeight="1" thickBot="1" x14ac:dyDescent="0.35">
      <c r="A47" s="13">
        <v>45909</v>
      </c>
    </row>
    <row r="48" spans="1:9" ht="20.100000000000001" customHeight="1" thickBot="1" x14ac:dyDescent="0.35">
      <c r="A48" s="13">
        <v>45910</v>
      </c>
    </row>
    <row r="49" spans="1:1" ht="20.100000000000001" customHeight="1" thickBot="1" x14ac:dyDescent="0.35">
      <c r="A49" s="13">
        <v>45911</v>
      </c>
    </row>
    <row r="50" spans="1:1" ht="20.100000000000001" customHeight="1" thickBot="1" x14ac:dyDescent="0.35">
      <c r="A50" s="13">
        <v>45912</v>
      </c>
    </row>
    <row r="51" spans="1:1" ht="20.100000000000001" customHeight="1" thickBot="1" x14ac:dyDescent="0.35">
      <c r="A51" s="13">
        <v>45913</v>
      </c>
    </row>
    <row r="52" spans="1:1" ht="20.100000000000001" customHeight="1" thickBot="1" x14ac:dyDescent="0.35">
      <c r="A52" s="13">
        <v>45914</v>
      </c>
    </row>
    <row r="53" spans="1:1" ht="20.100000000000001" customHeight="1" thickBot="1" x14ac:dyDescent="0.35">
      <c r="A53" s="13">
        <v>45915</v>
      </c>
    </row>
    <row r="54" spans="1:1" ht="20.100000000000001" customHeight="1" thickBot="1" x14ac:dyDescent="0.35">
      <c r="A54" s="13">
        <v>45916</v>
      </c>
    </row>
    <row r="55" spans="1:1" ht="20.100000000000001" customHeight="1" thickBot="1" x14ac:dyDescent="0.35">
      <c r="A55" s="13">
        <v>45917</v>
      </c>
    </row>
    <row r="56" spans="1:1" ht="20.100000000000001" customHeight="1" thickBot="1" x14ac:dyDescent="0.35">
      <c r="A56" s="13">
        <v>45918</v>
      </c>
    </row>
    <row r="57" spans="1:1" ht="20.100000000000001" customHeight="1" thickBot="1" x14ac:dyDescent="0.35">
      <c r="A57" s="13">
        <v>45919</v>
      </c>
    </row>
    <row r="58" spans="1:1" ht="20.100000000000001" customHeight="1" thickBot="1" x14ac:dyDescent="0.35">
      <c r="A58" s="13">
        <v>45920</v>
      </c>
    </row>
    <row r="59" spans="1:1" ht="20.100000000000001" customHeight="1" thickBot="1" x14ac:dyDescent="0.35">
      <c r="A59" s="13">
        <v>45921</v>
      </c>
    </row>
    <row r="60" spans="1:1" ht="20.100000000000001" customHeight="1" thickBot="1" x14ac:dyDescent="0.35">
      <c r="A60" s="13">
        <v>45922</v>
      </c>
    </row>
    <row r="61" spans="1:1" ht="20.100000000000001" customHeight="1" thickBot="1" x14ac:dyDescent="0.35">
      <c r="A61" s="13">
        <v>45923</v>
      </c>
    </row>
    <row r="62" spans="1:1" ht="20.100000000000001" customHeight="1" thickBot="1" x14ac:dyDescent="0.35">
      <c r="A62" s="13">
        <v>45924</v>
      </c>
    </row>
    <row r="63" spans="1:1" ht="20.100000000000001" customHeight="1" thickBot="1" x14ac:dyDescent="0.35">
      <c r="A63" s="13">
        <v>45925</v>
      </c>
    </row>
    <row r="64" spans="1:1" ht="20.100000000000001" customHeight="1" thickBot="1" x14ac:dyDescent="0.35">
      <c r="A64" s="13">
        <v>45926</v>
      </c>
    </row>
    <row r="65" spans="1:1" ht="20.100000000000001" customHeight="1" thickBot="1" x14ac:dyDescent="0.35">
      <c r="A65" s="13">
        <v>45927</v>
      </c>
    </row>
    <row r="66" spans="1:1" ht="20.100000000000001" customHeight="1" thickBot="1" x14ac:dyDescent="0.35">
      <c r="A66" s="13">
        <v>45928</v>
      </c>
    </row>
    <row r="67" spans="1:1" ht="20.100000000000001" customHeight="1" thickBot="1" x14ac:dyDescent="0.35">
      <c r="A67" s="13">
        <v>45929</v>
      </c>
    </row>
    <row r="68" spans="1:1" ht="20.100000000000001" customHeight="1" thickBot="1" x14ac:dyDescent="0.35">
      <c r="A68" s="13">
        <v>45930</v>
      </c>
    </row>
    <row r="69" spans="1:1" ht="20.100000000000001" customHeight="1" thickBot="1" x14ac:dyDescent="0.35">
      <c r="A69" s="13">
        <v>45931</v>
      </c>
    </row>
    <row r="70" spans="1:1" ht="20.100000000000001" customHeight="1" thickBot="1" x14ac:dyDescent="0.35">
      <c r="A70" s="13">
        <v>45932</v>
      </c>
    </row>
    <row r="71" spans="1:1" ht="20.100000000000001" customHeight="1" thickBot="1" x14ac:dyDescent="0.35">
      <c r="A71" s="13">
        <v>45933</v>
      </c>
    </row>
    <row r="72" spans="1:1" ht="20.100000000000001" customHeight="1" thickBot="1" x14ac:dyDescent="0.35">
      <c r="A72" s="13">
        <v>45934</v>
      </c>
    </row>
    <row r="73" spans="1:1" ht="20.100000000000001" customHeight="1" thickBot="1" x14ac:dyDescent="0.35">
      <c r="A73" s="13">
        <v>45935</v>
      </c>
    </row>
    <row r="74" spans="1:1" ht="20.100000000000001" customHeight="1" thickBot="1" x14ac:dyDescent="0.35">
      <c r="A74" s="13">
        <v>45936</v>
      </c>
    </row>
    <row r="75" spans="1:1" ht="20.100000000000001" customHeight="1" thickBot="1" x14ac:dyDescent="0.35">
      <c r="A75" s="13">
        <v>45937</v>
      </c>
    </row>
    <row r="76" spans="1:1" ht="20.100000000000001" customHeight="1" thickBot="1" x14ac:dyDescent="0.35">
      <c r="A76" s="13">
        <v>45938</v>
      </c>
    </row>
    <row r="77" spans="1:1" ht="20.100000000000001" customHeight="1" thickBot="1" x14ac:dyDescent="0.35">
      <c r="A77" s="13">
        <v>45939</v>
      </c>
    </row>
    <row r="78" spans="1:1" ht="20.100000000000001" customHeight="1" thickBot="1" x14ac:dyDescent="0.35">
      <c r="A78" s="13">
        <v>45940</v>
      </c>
    </row>
    <row r="79" spans="1:1" ht="20.100000000000001" customHeight="1" thickBot="1" x14ac:dyDescent="0.35">
      <c r="A79" s="13">
        <v>45941</v>
      </c>
    </row>
    <row r="80" spans="1:1" ht="20.100000000000001" customHeight="1" thickBot="1" x14ac:dyDescent="0.35">
      <c r="A80" s="13">
        <v>45942</v>
      </c>
    </row>
    <row r="81" spans="1:1" ht="20.100000000000001" customHeight="1" thickBot="1" x14ac:dyDescent="0.35">
      <c r="A81" s="13">
        <v>45943</v>
      </c>
    </row>
    <row r="82" spans="1:1" ht="20.100000000000001" customHeight="1" thickBot="1" x14ac:dyDescent="0.35">
      <c r="A82" s="13">
        <v>45944</v>
      </c>
    </row>
    <row r="83" spans="1:1" ht="20.100000000000001" customHeight="1" thickBot="1" x14ac:dyDescent="0.35">
      <c r="A83" s="13">
        <v>45945</v>
      </c>
    </row>
    <row r="84" spans="1:1" ht="20.100000000000001" customHeight="1" thickBot="1" x14ac:dyDescent="0.35">
      <c r="A84" s="13">
        <v>45946</v>
      </c>
    </row>
    <row r="85" spans="1:1" ht="20.100000000000001" customHeight="1" thickBot="1" x14ac:dyDescent="0.35">
      <c r="A85" s="13">
        <v>45947</v>
      </c>
    </row>
    <row r="86" spans="1:1" ht="20.100000000000001" customHeight="1" thickBot="1" x14ac:dyDescent="0.35">
      <c r="A86" s="13">
        <v>45948</v>
      </c>
    </row>
    <row r="87" spans="1:1" ht="20.100000000000001" customHeight="1" thickBot="1" x14ac:dyDescent="0.35">
      <c r="A87" s="13">
        <v>45949</v>
      </c>
    </row>
    <row r="88" spans="1:1" ht="20.100000000000001" customHeight="1" thickBot="1" x14ac:dyDescent="0.35">
      <c r="A88" s="13">
        <v>45950</v>
      </c>
    </row>
    <row r="89" spans="1:1" ht="20.100000000000001" customHeight="1" thickBot="1" x14ac:dyDescent="0.35">
      <c r="A89" s="13">
        <v>45951</v>
      </c>
    </row>
    <row r="90" spans="1:1" ht="20.100000000000001" customHeight="1" thickBot="1" x14ac:dyDescent="0.35">
      <c r="A90" s="13">
        <v>45952</v>
      </c>
    </row>
    <row r="91" spans="1:1" ht="20.100000000000001" customHeight="1" thickBot="1" x14ac:dyDescent="0.35">
      <c r="A91" s="13">
        <v>45953</v>
      </c>
    </row>
    <row r="92" spans="1:1" ht="20.100000000000001" customHeight="1" thickBot="1" x14ac:dyDescent="0.35">
      <c r="A92" s="13">
        <v>45954</v>
      </c>
    </row>
    <row r="93" spans="1:1" ht="20.100000000000001" customHeight="1" thickBot="1" x14ac:dyDescent="0.35">
      <c r="A93" s="13">
        <v>45955</v>
      </c>
    </row>
    <row r="94" spans="1:1" ht="20.100000000000001" customHeight="1" thickBot="1" x14ac:dyDescent="0.35">
      <c r="A94" s="13">
        <v>45956</v>
      </c>
    </row>
    <row r="95" spans="1:1" ht="20.100000000000001" customHeight="1" thickBot="1" x14ac:dyDescent="0.35">
      <c r="A95" s="13">
        <v>45957</v>
      </c>
    </row>
    <row r="96" spans="1:1" ht="20.100000000000001" customHeight="1" thickBot="1" x14ac:dyDescent="0.35">
      <c r="A96" s="13">
        <v>45958</v>
      </c>
    </row>
    <row r="97" spans="1:9" ht="20.100000000000001" customHeight="1" thickBot="1" x14ac:dyDescent="0.35">
      <c r="A97" s="13">
        <v>45959</v>
      </c>
    </row>
    <row r="98" spans="1:9" ht="20.100000000000001" customHeight="1" thickBot="1" x14ac:dyDescent="0.35">
      <c r="A98" s="13">
        <v>45960</v>
      </c>
    </row>
    <row r="99" spans="1:9" ht="20.100000000000001" customHeight="1" thickBot="1" x14ac:dyDescent="0.35">
      <c r="A99" s="13">
        <v>45961</v>
      </c>
    </row>
    <row r="100" spans="1:9" ht="20.100000000000001" customHeight="1" thickBot="1" x14ac:dyDescent="0.35">
      <c r="A100" s="13">
        <v>45962</v>
      </c>
    </row>
    <row r="101" spans="1:9" ht="20.100000000000001" customHeight="1" thickBot="1" x14ac:dyDescent="0.35">
      <c r="A101" s="13">
        <v>45963</v>
      </c>
    </row>
    <row r="102" spans="1:9" ht="20.100000000000001" customHeight="1" thickBot="1" x14ac:dyDescent="0.35">
      <c r="A102" s="13">
        <v>45964</v>
      </c>
    </row>
    <row r="103" spans="1:9" ht="20.100000000000001" customHeight="1" thickBot="1" x14ac:dyDescent="0.35">
      <c r="A103" s="13">
        <v>45965</v>
      </c>
    </row>
    <row r="104" spans="1:9" ht="20.100000000000001" customHeight="1" thickBot="1" x14ac:dyDescent="0.35">
      <c r="A104" s="13">
        <v>45966</v>
      </c>
    </row>
    <row r="105" spans="1:9" ht="20.100000000000001" customHeight="1" thickBot="1" x14ac:dyDescent="0.35">
      <c r="A105" s="13">
        <v>45967</v>
      </c>
    </row>
    <row r="106" spans="1:9" ht="20.100000000000001" customHeight="1" thickBot="1" x14ac:dyDescent="0.35">
      <c r="A106" s="13">
        <v>45968</v>
      </c>
    </row>
    <row r="107" spans="1:9" ht="20.100000000000001" customHeight="1" x14ac:dyDescent="0.3">
      <c r="A107" s="14"/>
    </row>
    <row r="108" spans="1:9" ht="20.100000000000001" customHeight="1" x14ac:dyDescent="0.3">
      <c r="A108" s="14"/>
    </row>
    <row r="109" spans="1:9" s="17" customFormat="1" ht="20.100000000000001" customHeight="1" x14ac:dyDescent="0.3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0" t="s">
        <v>89</v>
      </c>
    </row>
    <row r="200" spans="1:1" ht="20.100000000000001" customHeight="1" x14ac:dyDescent="0.3">
      <c r="A200" s="20" t="s">
        <v>90</v>
      </c>
    </row>
    <row r="201" spans="1:1" ht="20.100000000000001" customHeight="1" x14ac:dyDescent="0.3">
      <c r="A201" s="20" t="s">
        <v>91</v>
      </c>
    </row>
    <row r="202" spans="1:1" ht="20.100000000000001" customHeight="1" x14ac:dyDescent="0.3">
      <c r="A202" s="20" t="s">
        <v>92</v>
      </c>
    </row>
    <row r="203" spans="1:1" ht="20.100000000000001" customHeight="1" x14ac:dyDescent="0.3">
      <c r="A203" s="20" t="s">
        <v>93</v>
      </c>
    </row>
    <row r="204" spans="1:1" ht="20.100000000000001" customHeight="1" x14ac:dyDescent="0.3">
      <c r="A204" s="20" t="s">
        <v>94</v>
      </c>
    </row>
    <row r="205" spans="1:1" ht="20.100000000000001" customHeight="1" x14ac:dyDescent="0.3">
      <c r="A205" s="20" t="s">
        <v>95</v>
      </c>
    </row>
    <row r="206" spans="1:1" ht="20.100000000000001" customHeight="1" x14ac:dyDescent="0.3">
      <c r="A206" s="20" t="s">
        <v>96</v>
      </c>
    </row>
    <row r="207" spans="1:1" ht="20.100000000000001" customHeight="1" x14ac:dyDescent="0.3">
      <c r="A207" s="20" t="s">
        <v>97</v>
      </c>
    </row>
    <row r="208" spans="1:1" ht="20.100000000000001" customHeight="1" x14ac:dyDescent="0.3">
      <c r="A208" s="21" t="s">
        <v>98</v>
      </c>
    </row>
    <row r="209" spans="1:1" ht="20.100000000000001" customHeight="1" x14ac:dyDescent="0.3">
      <c r="A209" s="21" t="s">
        <v>99</v>
      </c>
    </row>
    <row r="210" spans="1:1" ht="20.100000000000001" customHeight="1" x14ac:dyDescent="0.3">
      <c r="A210" s="20" t="s">
        <v>100</v>
      </c>
    </row>
    <row r="211" spans="1:1" ht="20.100000000000001" customHeight="1" x14ac:dyDescent="0.3">
      <c r="A211" s="20" t="s">
        <v>101</v>
      </c>
    </row>
    <row r="212" spans="1:1" ht="20.100000000000001" customHeight="1" x14ac:dyDescent="0.3">
      <c r="A212" s="20" t="s">
        <v>175</v>
      </c>
    </row>
    <row r="213" spans="1:1" ht="20.100000000000001" customHeight="1" x14ac:dyDescent="0.3">
      <c r="A213" s="20" t="s">
        <v>102</v>
      </c>
    </row>
    <row r="214" spans="1:1" ht="20.100000000000001" customHeight="1" x14ac:dyDescent="0.3">
      <c r="A214" s="20" t="s">
        <v>103</v>
      </c>
    </row>
    <row r="215" spans="1:1" ht="20.100000000000001" customHeight="1" x14ac:dyDescent="0.3">
      <c r="A215" s="20" t="s">
        <v>104</v>
      </c>
    </row>
    <row r="216" spans="1:1" ht="20.100000000000001" customHeight="1" x14ac:dyDescent="0.3">
      <c r="A216" s="20" t="s">
        <v>105</v>
      </c>
    </row>
    <row r="217" spans="1:1" ht="20.100000000000001" customHeight="1" x14ac:dyDescent="0.3">
      <c r="A217" s="20" t="s">
        <v>106</v>
      </c>
    </row>
    <row r="218" spans="1:1" ht="20.100000000000001" customHeight="1" x14ac:dyDescent="0.3">
      <c r="A218" s="20" t="s">
        <v>107</v>
      </c>
    </row>
    <row r="219" spans="1:1" ht="20.100000000000001" customHeight="1" x14ac:dyDescent="0.3">
      <c r="A219" s="20" t="s">
        <v>108</v>
      </c>
    </row>
    <row r="220" spans="1:1" ht="20.100000000000001" customHeight="1" x14ac:dyDescent="0.3">
      <c r="A220" s="20" t="s">
        <v>109</v>
      </c>
    </row>
    <row r="221" spans="1:1" ht="20.100000000000001" customHeight="1" x14ac:dyDescent="0.3">
      <c r="A221" s="20" t="s">
        <v>110</v>
      </c>
    </row>
    <row r="222" spans="1:1" ht="20.100000000000001" customHeight="1" x14ac:dyDescent="0.3">
      <c r="A222" s="20" t="s">
        <v>111</v>
      </c>
    </row>
    <row r="223" spans="1:1" ht="20.100000000000001" customHeight="1" x14ac:dyDescent="0.3">
      <c r="A223" s="20" t="s">
        <v>112</v>
      </c>
    </row>
    <row r="224" spans="1:1" ht="20.100000000000001" customHeight="1" x14ac:dyDescent="0.3">
      <c r="A224" s="20" t="s">
        <v>176</v>
      </c>
    </row>
    <row r="225" spans="1:1" ht="20.100000000000001" customHeight="1" x14ac:dyDescent="0.3">
      <c r="A225" s="20" t="s">
        <v>113</v>
      </c>
    </row>
    <row r="226" spans="1:1" ht="20.100000000000001" customHeight="1" x14ac:dyDescent="0.3">
      <c r="A226" s="20" t="s">
        <v>114</v>
      </c>
    </row>
    <row r="227" spans="1:1" ht="20.100000000000001" customHeight="1" x14ac:dyDescent="0.3">
      <c r="A227" s="20" t="s">
        <v>115</v>
      </c>
    </row>
    <row r="228" spans="1:1" ht="20.100000000000001" customHeight="1" x14ac:dyDescent="0.3">
      <c r="A228" s="20" t="s">
        <v>116</v>
      </c>
    </row>
    <row r="229" spans="1:1" ht="20.100000000000001" customHeight="1" x14ac:dyDescent="0.3">
      <c r="A229" s="20" t="s">
        <v>117</v>
      </c>
    </row>
    <row r="230" spans="1:1" ht="20.100000000000001" customHeight="1" x14ac:dyDescent="0.3">
      <c r="A230" s="20" t="s">
        <v>118</v>
      </c>
    </row>
    <row r="231" spans="1:1" ht="20.100000000000001" customHeight="1" x14ac:dyDescent="0.3">
      <c r="A231" s="20" t="s">
        <v>119</v>
      </c>
    </row>
    <row r="232" spans="1:1" ht="20.100000000000001" customHeight="1" x14ac:dyDescent="0.3">
      <c r="A232" s="20" t="s">
        <v>120</v>
      </c>
    </row>
    <row r="233" spans="1:1" ht="20.100000000000001" customHeight="1" x14ac:dyDescent="0.3">
      <c r="A233" s="20" t="s">
        <v>121</v>
      </c>
    </row>
    <row r="234" spans="1:1" ht="20.100000000000001" customHeight="1" x14ac:dyDescent="0.3">
      <c r="A234" s="20" t="s">
        <v>122</v>
      </c>
    </row>
    <row r="235" spans="1:1" ht="20.100000000000001" customHeight="1" x14ac:dyDescent="0.3">
      <c r="A235" s="20" t="s">
        <v>123</v>
      </c>
    </row>
    <row r="236" spans="1:1" ht="20.100000000000001" customHeight="1" x14ac:dyDescent="0.3">
      <c r="A236" s="22" t="s">
        <v>124</v>
      </c>
    </row>
    <row r="237" spans="1:1" ht="20.100000000000001" customHeight="1" x14ac:dyDescent="0.3">
      <c r="A237" s="20" t="s">
        <v>125</v>
      </c>
    </row>
    <row r="238" spans="1:1" ht="20.100000000000001" customHeight="1" x14ac:dyDescent="0.3">
      <c r="A238" s="20" t="s">
        <v>126</v>
      </c>
    </row>
    <row r="239" spans="1:1" ht="20.100000000000001" customHeight="1" x14ac:dyDescent="0.3">
      <c r="A239" s="20" t="s">
        <v>127</v>
      </c>
    </row>
    <row r="240" spans="1:1" ht="20.100000000000001" customHeight="1" x14ac:dyDescent="0.3">
      <c r="A240" s="20" t="s">
        <v>128</v>
      </c>
    </row>
    <row r="241" spans="1:1" ht="20.100000000000001" customHeight="1" x14ac:dyDescent="0.3">
      <c r="A241" s="20" t="s">
        <v>129</v>
      </c>
    </row>
    <row r="242" spans="1:1" ht="20.100000000000001" customHeight="1" x14ac:dyDescent="0.3">
      <c r="A242" s="20" t="s">
        <v>130</v>
      </c>
    </row>
    <row r="243" spans="1:1" ht="20.100000000000001" customHeight="1" x14ac:dyDescent="0.3">
      <c r="A243" s="20" t="s">
        <v>131</v>
      </c>
    </row>
    <row r="244" spans="1:1" ht="20.100000000000001" customHeight="1" x14ac:dyDescent="0.3">
      <c r="A244" s="20" t="s">
        <v>132</v>
      </c>
    </row>
    <row r="245" spans="1:1" ht="20.100000000000001" customHeight="1" x14ac:dyDescent="0.3">
      <c r="A245" s="20" t="s">
        <v>133</v>
      </c>
    </row>
    <row r="246" spans="1:1" ht="20.100000000000001" customHeight="1" x14ac:dyDescent="0.3">
      <c r="A246" s="20" t="s">
        <v>134</v>
      </c>
    </row>
    <row r="247" spans="1:1" ht="20.100000000000001" customHeight="1" x14ac:dyDescent="0.3">
      <c r="A247" s="20" t="s">
        <v>135</v>
      </c>
    </row>
    <row r="248" spans="1:1" ht="20.100000000000001" customHeight="1" x14ac:dyDescent="0.3">
      <c r="A248" s="20" t="s">
        <v>126</v>
      </c>
    </row>
    <row r="249" spans="1:1" ht="20.100000000000001" customHeight="1" x14ac:dyDescent="0.3">
      <c r="A249" s="20" t="s">
        <v>136</v>
      </c>
    </row>
    <row r="250" spans="1:1" ht="20.100000000000001" customHeight="1" x14ac:dyDescent="0.3">
      <c r="A250" s="20" t="s">
        <v>137</v>
      </c>
    </row>
    <row r="251" spans="1:1" ht="20.100000000000001" customHeight="1" x14ac:dyDescent="0.3">
      <c r="A251" s="22" t="s">
        <v>138</v>
      </c>
    </row>
    <row r="252" spans="1:1" ht="20.100000000000001" customHeight="1" x14ac:dyDescent="0.3">
      <c r="A252" s="23" t="s">
        <v>139</v>
      </c>
    </row>
    <row r="253" spans="1:1" ht="20.100000000000001" customHeight="1" x14ac:dyDescent="0.3">
      <c r="A253" s="20" t="s">
        <v>140</v>
      </c>
    </row>
    <row r="254" spans="1:1" ht="20.100000000000001" customHeight="1" x14ac:dyDescent="0.3">
      <c r="A254" s="20" t="s">
        <v>141</v>
      </c>
    </row>
    <row r="255" spans="1:1" ht="20.100000000000001" customHeight="1" x14ac:dyDescent="0.3">
      <c r="A255" s="24" t="s">
        <v>142</v>
      </c>
    </row>
    <row r="256" spans="1:1" ht="20.100000000000001" customHeight="1" x14ac:dyDescent="0.3">
      <c r="A256" s="24" t="s">
        <v>143</v>
      </c>
    </row>
    <row r="257" spans="1:1" ht="20.100000000000001" customHeight="1" x14ac:dyDescent="0.3">
      <c r="A257" s="25" t="s">
        <v>144</v>
      </c>
    </row>
    <row r="258" spans="1:1" ht="20.100000000000001" customHeight="1" x14ac:dyDescent="0.3">
      <c r="A258" s="20" t="s">
        <v>145</v>
      </c>
    </row>
    <row r="259" spans="1:1" ht="20.100000000000001" customHeight="1" x14ac:dyDescent="0.3">
      <c r="A259" s="25" t="s">
        <v>146</v>
      </c>
    </row>
    <row r="260" spans="1:1" ht="20.100000000000001" customHeight="1" x14ac:dyDescent="0.3">
      <c r="A260" s="20" t="s">
        <v>147</v>
      </c>
    </row>
    <row r="261" spans="1:1" ht="20.100000000000001" customHeight="1" x14ac:dyDescent="0.3">
      <c r="A261" s="25" t="s">
        <v>148</v>
      </c>
    </row>
    <row r="262" spans="1:1" ht="20.100000000000001" customHeight="1" x14ac:dyDescent="0.3">
      <c r="A262" s="20" t="s">
        <v>149</v>
      </c>
    </row>
    <row r="263" spans="1:1" ht="20.100000000000001" customHeight="1" x14ac:dyDescent="0.3">
      <c r="A263" s="20" t="s">
        <v>150</v>
      </c>
    </row>
    <row r="264" spans="1:1" ht="20.100000000000001" customHeight="1" x14ac:dyDescent="0.3">
      <c r="A264" s="25" t="s">
        <v>151</v>
      </c>
    </row>
    <row r="265" spans="1:1" ht="20.100000000000001" customHeight="1" x14ac:dyDescent="0.3">
      <c r="A265" s="25" t="s">
        <v>152</v>
      </c>
    </row>
    <row r="266" spans="1:1" ht="20.100000000000001" customHeight="1" x14ac:dyDescent="0.3">
      <c r="A266" s="25" t="s">
        <v>153</v>
      </c>
    </row>
    <row r="267" spans="1:1" ht="20.100000000000001" customHeight="1" x14ac:dyDescent="0.3">
      <c r="A267" s="20" t="s">
        <v>154</v>
      </c>
    </row>
    <row r="268" spans="1:1" ht="20.100000000000001" customHeight="1" x14ac:dyDescent="0.3">
      <c r="A268" s="20" t="s">
        <v>155</v>
      </c>
    </row>
    <row r="269" spans="1:1" ht="20.100000000000001" customHeight="1" x14ac:dyDescent="0.3">
      <c r="A269" s="20" t="s">
        <v>156</v>
      </c>
    </row>
    <row r="270" spans="1:1" ht="20.100000000000001" customHeight="1" x14ac:dyDescent="0.3">
      <c r="A270" s="20" t="s">
        <v>157</v>
      </c>
    </row>
    <row r="271" spans="1:1" ht="20.100000000000001" customHeight="1" x14ac:dyDescent="0.3">
      <c r="A271" s="25" t="s">
        <v>158</v>
      </c>
    </row>
    <row r="272" spans="1:1" ht="20.100000000000001" customHeight="1" x14ac:dyDescent="0.3">
      <c r="A272" s="25" t="s">
        <v>159</v>
      </c>
    </row>
    <row r="273" spans="1:1" ht="20.100000000000001" customHeight="1" x14ac:dyDescent="0.3">
      <c r="A273" s="20" t="s">
        <v>160</v>
      </c>
    </row>
    <row r="274" spans="1:1" ht="20.100000000000001" customHeight="1" x14ac:dyDescent="0.3">
      <c r="A274" s="25" t="s">
        <v>161</v>
      </c>
    </row>
    <row r="275" spans="1:1" ht="20.100000000000001" customHeight="1" x14ac:dyDescent="0.3">
      <c r="A275" s="25" t="s">
        <v>162</v>
      </c>
    </row>
    <row r="276" spans="1:1" ht="20.100000000000001" customHeight="1" x14ac:dyDescent="0.3">
      <c r="A276" s="20" t="s">
        <v>163</v>
      </c>
    </row>
    <row r="277" spans="1:1" ht="20.100000000000001" customHeight="1" x14ac:dyDescent="0.3">
      <c r="A277" s="20" t="s">
        <v>164</v>
      </c>
    </row>
    <row r="278" spans="1:1" ht="20.100000000000001" customHeight="1" x14ac:dyDescent="0.3">
      <c r="A278" s="25" t="s">
        <v>165</v>
      </c>
    </row>
    <row r="279" spans="1:1" ht="20.100000000000001" customHeight="1" x14ac:dyDescent="0.3">
      <c r="A279" s="20" t="s">
        <v>166</v>
      </c>
    </row>
    <row r="280" spans="1:1" ht="20.100000000000001" customHeight="1" x14ac:dyDescent="0.3">
      <c r="A280" s="20" t="s">
        <v>167</v>
      </c>
    </row>
    <row r="281" spans="1:1" ht="20.100000000000001" customHeight="1" x14ac:dyDescent="0.3">
      <c r="A281" s="20" t="s">
        <v>168</v>
      </c>
    </row>
    <row r="282" spans="1:1" ht="20.100000000000001" customHeight="1" x14ac:dyDescent="0.3">
      <c r="A282" s="20" t="s">
        <v>169</v>
      </c>
    </row>
    <row r="283" spans="1:1" ht="20.100000000000001" customHeight="1" x14ac:dyDescent="0.3">
      <c r="A283" s="25" t="s">
        <v>170</v>
      </c>
    </row>
    <row r="284" spans="1:1" ht="20.100000000000001" customHeight="1" x14ac:dyDescent="0.3">
      <c r="A284" s="25" t="s">
        <v>171</v>
      </c>
    </row>
    <row r="285" spans="1:1" ht="20.100000000000001" customHeight="1" x14ac:dyDescent="0.3">
      <c r="A285" s="25" t="s">
        <v>172</v>
      </c>
    </row>
    <row r="286" spans="1:1" ht="20.100000000000001" customHeight="1" thickBot="1" x14ac:dyDescent="0.35">
      <c r="A286" s="20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2025-10-08T20:33:55Z</dcterms:modified>
</cp:coreProperties>
</file>