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FD0D30EC-D3DC-497A-B232-A517F93F0752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4" i="2"/>
  <c r="G15" i="2"/>
  <c r="G16" i="2"/>
  <c r="G17" i="2"/>
  <c r="G18" i="2"/>
  <c r="G19" i="2"/>
  <c r="G20" i="2"/>
  <c r="G21" i="2"/>
  <c r="G22" i="2"/>
  <c r="G24" i="2"/>
  <c r="G25" i="2"/>
  <c r="G26" i="2"/>
  <c r="G27" i="2"/>
  <c r="G28" i="2"/>
  <c r="G30" i="2"/>
  <c r="G31" i="2"/>
  <c r="G32" i="2"/>
  <c r="G33" i="2"/>
  <c r="G34" i="2"/>
  <c r="G36" i="2"/>
  <c r="G37" i="2"/>
  <c r="G38" i="2"/>
  <c r="G39" i="2"/>
  <c r="G41" i="2"/>
  <c r="G42" i="2"/>
  <c r="G43" i="2"/>
  <c r="G44" i="2"/>
  <c r="G45" i="2"/>
  <c r="G46" i="2"/>
  <c r="G48" i="2"/>
  <c r="G49" i="2"/>
  <c r="G50" i="2"/>
  <c r="H9" i="2" l="1"/>
  <c r="H10" i="2" l="1"/>
  <c r="H11" i="2"/>
  <c r="H12" i="2"/>
  <c r="H14" i="2"/>
  <c r="H15" i="2"/>
  <c r="H16" i="2"/>
  <c r="H17" i="2"/>
  <c r="H18" i="2"/>
  <c r="H19" i="2"/>
  <c r="H20" i="2"/>
  <c r="H21" i="2"/>
  <c r="H22" i="2"/>
  <c r="H24" i="2"/>
  <c r="H25" i="2"/>
  <c r="H26" i="2"/>
  <c r="H27" i="2"/>
  <c r="H28" i="2"/>
  <c r="H30" i="2"/>
  <c r="H31" i="2"/>
  <c r="H32" i="2"/>
  <c r="H33" i="2"/>
  <c r="H34" i="2"/>
  <c r="H36" i="2"/>
  <c r="H37" i="2"/>
  <c r="H38" i="2"/>
  <c r="H39" i="2"/>
  <c r="H41" i="2"/>
  <c r="H42" i="2"/>
  <c r="H43" i="2"/>
  <c r="H44" i="2"/>
  <c r="H45" i="2"/>
  <c r="H46" i="2"/>
  <c r="H48" i="2"/>
  <c r="H49" i="2"/>
  <c r="H50" i="2"/>
  <c r="F51" i="2" l="1"/>
  <c r="E51" i="2" l="1"/>
  <c r="E52" i="2" l="1"/>
  <c r="E53" i="2" s="1"/>
</calcChain>
</file>

<file path=xl/sharedStrings.xml><?xml version="1.0" encoding="utf-8"?>
<sst xmlns="http://schemas.openxmlformats.org/spreadsheetml/2006/main" count="108" uniqueCount="72">
  <si>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</si>
  <si>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</si>
  <si>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</si>
  <si>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</si>
  <si>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</si>
  <si>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</si>
  <si>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</si>
  <si>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</si>
  <si>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</si>
  <si>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</si>
  <si>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</si>
  <si>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</si>
  <si>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</si>
  <si>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</si>
  <si>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</si>
  <si>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</si>
  <si>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</si>
  <si>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</si>
  <si>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</si>
  <si>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</si>
  <si>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</si>
  <si>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</si>
  <si>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</si>
  <si>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</si>
  <si>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</si>
  <si>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</si>
  <si>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</si>
  <si>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</si>
  <si>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rPr>
        <sz val="12"/>
        <color rgb="FF000000"/>
        <rFont val="Arial"/>
        <family val="2"/>
      </rPr>
      <t xml:space="preserve">1.  </t>
    </r>
    <r>
      <rPr>
        <b/>
        <u/>
        <sz val="12"/>
        <color rgb="FF000000"/>
        <rFont val="Arial"/>
        <family val="2"/>
      </rPr>
      <t>استلام المهمة</t>
    </r>
    <r>
      <rPr>
        <b/>
        <sz val="12"/>
        <color rgb="FF000000"/>
        <rFont val="Arial"/>
        <family val="2"/>
      </rPr>
      <t>.</t>
    </r>
  </si>
  <si>
    <r>
      <t xml:space="preserve">أ.  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استلام خطة أو أمر القيادة الأعلى أو مهمة جديدة متوقعة من قبل القائد.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</si>
  <si>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تحضير دليل تخطيط القائد الأولي.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</si>
  <si>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التخصيص الأولي للوقت.</t>
    </r>
  </si>
  <si>
    <r>
      <t>د.</t>
    </r>
    <r>
      <rPr>
        <sz val="7"/>
        <color rgb="FF000000"/>
        <rFont val="Times New Roman"/>
        <family val="1"/>
      </rPr>
      <t xml:space="preserve">       </t>
    </r>
    <r>
      <rPr>
        <sz val="12"/>
        <color rgb="FF000000"/>
        <rFont val="Arial"/>
        <family val="2"/>
      </rPr>
      <t>تجهيز الأمر الإنذاري/1.</t>
    </r>
  </si>
  <si>
    <r>
      <rPr>
        <sz val="12"/>
        <color rgb="FF000000"/>
        <rFont val="Arial"/>
        <family val="2"/>
      </rPr>
      <t xml:space="preserve">2.  </t>
    </r>
    <r>
      <rPr>
        <b/>
        <u/>
        <sz val="12"/>
        <color rgb="FF000000"/>
        <rFont val="Arial"/>
        <family val="2"/>
      </rPr>
      <t>تحليل المهمة</t>
    </r>
    <r>
      <rPr>
        <b/>
        <sz val="12"/>
        <color rgb="FF000000"/>
        <rFont val="Arial"/>
        <family val="2"/>
      </rPr>
      <t>.</t>
    </r>
  </si>
  <si>
    <r>
      <t>أ.</t>
    </r>
    <r>
      <rPr>
        <sz val="7"/>
        <color rgb="FF000000"/>
        <rFont val="Times New Roman"/>
        <family val="1"/>
      </rPr>
      <t xml:space="preserve">        </t>
    </r>
    <r>
      <rPr>
        <sz val="12"/>
        <color rgb="FF000000"/>
        <rFont val="Arial"/>
        <family val="2"/>
      </rPr>
      <t>صياغة المعضلة.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</si>
  <si>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تحضير القصد الأولي للقائد ودليل تخطيطه.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</si>
  <si>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عمل تقديرات موقف هيئة الركن المحدثة.</t>
    </r>
  </si>
  <si>
    <r>
      <t>د.</t>
    </r>
    <r>
      <rPr>
        <sz val="7"/>
        <color rgb="FF000000"/>
        <rFont val="Times New Roman"/>
        <family val="1"/>
      </rPr>
      <t xml:space="preserve">        </t>
    </r>
    <r>
      <rPr>
        <sz val="12"/>
        <color rgb="FF000000"/>
        <rFont val="Arial"/>
        <family val="2"/>
      </rPr>
      <t>تحديد متطلبات المعلومات الهامة للقائد والعناصر الأساسية للمعلومات الصديقة.</t>
    </r>
  </si>
  <si>
    <r>
      <t>هـ.</t>
    </r>
    <r>
      <rPr>
        <sz val="7"/>
        <color rgb="FF000000"/>
        <rFont val="Times New Roman"/>
        <family val="1"/>
      </rPr>
      <t xml:space="preserve">       </t>
    </r>
    <r>
      <rPr>
        <sz val="12"/>
        <color rgb="FF000000"/>
        <rFont val="Arial"/>
        <family val="2"/>
      </rPr>
      <t>تحضير استخباري محدّث لميدان المعركة.</t>
    </r>
  </si>
  <si>
    <r>
      <t>و.</t>
    </r>
    <r>
      <rPr>
        <sz val="7"/>
        <color rgb="FF000000"/>
        <rFont val="Times New Roman"/>
        <family val="1"/>
      </rPr>
      <t xml:space="preserve">       </t>
    </r>
    <r>
      <rPr>
        <sz val="12"/>
        <color rgb="FF000000"/>
        <rFont val="Arial"/>
        <family val="2"/>
      </rPr>
      <t>تحضير خطة استخبارات ومراقبة أولية وتقديرات جارية.</t>
    </r>
  </si>
  <si>
    <r>
      <t>ز.</t>
    </r>
    <r>
      <rPr>
        <sz val="7"/>
        <color rgb="FF000000"/>
        <rFont val="Times New Roman"/>
        <family val="1"/>
      </rPr>
      <t xml:space="preserve">       </t>
    </r>
    <r>
      <rPr>
        <sz val="12"/>
        <color rgb="FF000000"/>
        <rFont val="Arial"/>
        <family val="2"/>
      </rPr>
      <t>وضع الافتراضات.</t>
    </r>
  </si>
  <si>
    <r>
      <t>ح.</t>
    </r>
    <r>
      <rPr>
        <sz val="7"/>
        <color rgb="FF000000"/>
        <rFont val="Times New Roman"/>
        <family val="1"/>
      </rPr>
      <t xml:space="preserve">       </t>
    </r>
    <r>
      <rPr>
        <sz val="12"/>
        <color rgb="FF000000"/>
        <rFont val="Arial"/>
        <family val="2"/>
      </rPr>
      <t>تحديد معايير تقييم للأعمال الممكنة.</t>
    </r>
  </si>
  <si>
    <r>
      <t>ط.</t>
    </r>
    <r>
      <rPr>
        <sz val="7"/>
        <color rgb="FF000000"/>
        <rFont val="Times New Roman"/>
        <family val="1"/>
      </rPr>
      <t xml:space="preserve">       </t>
    </r>
    <r>
      <rPr>
        <sz val="12"/>
        <color rgb="FF000000"/>
        <rFont val="Arial"/>
        <family val="2"/>
      </rPr>
      <t>إصدار الأمر الإنذاري/2</t>
    </r>
  </si>
  <si>
    <r>
      <rPr>
        <sz val="12"/>
        <color rgb="FF000000"/>
        <rFont val="Arial"/>
        <family val="2"/>
      </rPr>
      <t xml:space="preserve">3.  </t>
    </r>
    <r>
      <rPr>
        <b/>
        <u/>
        <sz val="12"/>
        <color rgb="FF000000"/>
        <rFont val="Arial"/>
        <family val="2"/>
      </rPr>
      <t>إعداد وتطوير الأعمال الممكنة</t>
    </r>
    <r>
      <rPr>
        <b/>
        <sz val="12"/>
        <color rgb="FF000000"/>
        <rFont val="Arial"/>
        <family val="2"/>
      </rPr>
      <t>.</t>
    </r>
  </si>
  <si>
    <r>
      <t>أ.</t>
    </r>
    <r>
      <rPr>
        <sz val="7"/>
        <color rgb="FF000000"/>
        <rFont val="Times New Roman"/>
        <family val="1"/>
      </rPr>
      <t xml:space="preserve">        </t>
    </r>
    <r>
      <rPr>
        <sz val="12"/>
        <color rgb="FF000000"/>
        <rFont val="Arial"/>
        <family val="2"/>
      </rPr>
      <t>صياغة الأعمال الممكنة ومخططاتها.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</si>
  <si>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التجميع الأولي للواجب.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</si>
  <si>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وضع مفهوم عمليات واسع.</t>
    </r>
  </si>
  <si>
    <r>
      <t>د.</t>
    </r>
    <r>
      <rPr>
        <sz val="7"/>
        <color rgb="FF000000"/>
        <rFont val="Times New Roman"/>
        <family val="1"/>
      </rPr>
      <t xml:space="preserve">       </t>
    </r>
    <r>
      <rPr>
        <sz val="12"/>
        <color rgb="FF000000"/>
        <rFont val="Arial"/>
        <family val="2"/>
      </rPr>
      <t>تجهيز دليل تخطيط منقّح.</t>
    </r>
  </si>
  <si>
    <r>
      <t>هـ.</t>
    </r>
    <r>
      <rPr>
        <sz val="7"/>
        <color rgb="FF000000"/>
        <rFont val="Times New Roman"/>
        <family val="1"/>
      </rPr>
      <t xml:space="preserve">      </t>
    </r>
    <r>
      <rPr>
        <sz val="12"/>
        <color rgb="FF000000"/>
        <rFont val="Arial"/>
        <family val="2"/>
      </rPr>
      <t>تحديث الافتراضات.</t>
    </r>
  </si>
  <si>
    <r>
      <rPr>
        <sz val="12"/>
        <color rgb="FF000000"/>
        <rFont val="Arial"/>
        <family val="2"/>
      </rPr>
      <t xml:space="preserve">4.  </t>
    </r>
    <r>
      <rPr>
        <b/>
        <u/>
        <sz val="12"/>
        <color rgb="FF000000"/>
        <rFont val="Arial"/>
        <family val="2"/>
      </rPr>
      <t>تحليل الأعمال الممكنة (لعبة الحرب)</t>
    </r>
    <r>
      <rPr>
        <b/>
        <sz val="12"/>
        <color rgb="FF000000"/>
        <rFont val="Arial"/>
        <family val="2"/>
      </rPr>
      <t>.</t>
    </r>
  </si>
  <si>
    <t>أ.    استنتاج أعمال ممكنة منقحة.</t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</si>
  <si>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الوصول إلى نتائج لعبة الحرب.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</si>
  <si>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نقاط اتخاذ قرار محتملة.</t>
    </r>
  </si>
  <si>
    <r>
      <t>د.</t>
    </r>
    <r>
      <rPr>
        <sz val="7"/>
        <color rgb="FF000000"/>
        <rFont val="Times New Roman"/>
        <family val="1"/>
      </rPr>
      <t xml:space="preserve">       </t>
    </r>
    <r>
      <rPr>
        <sz val="12"/>
        <color rgb="FF000000"/>
        <rFont val="Arial"/>
        <family val="2"/>
      </rPr>
      <t>وضع معايير التقييم الأولية.</t>
    </r>
  </si>
  <si>
    <r>
      <t>هـ.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تحديث الافتراضات.</t>
    </r>
  </si>
  <si>
    <r>
      <rPr>
        <sz val="12"/>
        <color rgb="FF000000"/>
        <rFont val="Arial"/>
        <family val="2"/>
      </rPr>
      <t xml:space="preserve">5.  </t>
    </r>
    <r>
      <rPr>
        <b/>
        <u/>
        <sz val="12"/>
        <color rgb="FF000000"/>
        <rFont val="Arial"/>
        <family val="2"/>
      </rPr>
      <t>مقارنة الأعمال الممكنة.</t>
    </r>
  </si>
  <si>
    <r>
      <t>أ.</t>
    </r>
    <r>
      <rPr>
        <sz val="7"/>
        <color rgb="FF000000"/>
        <rFont val="Times New Roman"/>
        <family val="1"/>
      </rPr>
      <t xml:space="preserve">         </t>
    </r>
    <r>
      <rPr>
        <sz val="12"/>
        <color rgb="FF000000"/>
        <rFont val="Arial"/>
        <family val="2"/>
      </rPr>
      <t>استنتاج أعمال ممكنة مقيمة.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</si>
  <si>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التوصية بالأعمال الممكنة.</t>
    </r>
  </si>
  <si>
    <r>
      <t>جـ.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تحديث تقديرات موقف هيئة الركن.</t>
    </r>
  </si>
  <si>
    <r>
      <t>د.</t>
    </r>
    <r>
      <rPr>
        <sz val="7"/>
        <color rgb="FF000000"/>
        <rFont val="Times New Roman"/>
        <family val="1"/>
      </rPr>
      <t xml:space="preserve">        </t>
    </r>
    <r>
      <rPr>
        <sz val="12"/>
        <color rgb="FF000000"/>
        <rFont val="Arial"/>
        <family val="2"/>
      </rPr>
      <t>تحديث الافتراضات.</t>
    </r>
  </si>
  <si>
    <r>
      <rPr>
        <sz val="12"/>
        <color rgb="FF000000"/>
        <rFont val="Arial"/>
        <family val="2"/>
      </rPr>
      <t xml:space="preserve">6.  </t>
    </r>
    <r>
      <rPr>
        <b/>
        <u/>
        <sz val="12"/>
        <color rgb="FF000000"/>
        <rFont val="Arial"/>
        <family val="2"/>
      </rPr>
      <t>الموافقة على العمل الممكن وإقراره.</t>
    </r>
  </si>
  <si>
    <r>
      <t>أ.</t>
    </r>
    <r>
      <rPr>
        <sz val="7"/>
        <color rgb="FF000000"/>
        <rFont val="Times New Roman"/>
        <family val="1"/>
      </rPr>
      <t xml:space="preserve">       </t>
    </r>
    <r>
      <rPr>
        <sz val="12"/>
        <color rgb="FF000000"/>
        <rFont val="Arial"/>
        <family val="2"/>
      </rPr>
      <t>تحديث الأعمال الممكنة التي تمت الموافقة عليها من قبل القائد مع أي تعديلات عليها.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</si>
  <si>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إصدار قصد القائد المُنقّح.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</si>
  <si>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متطلبات المعلومات الهامة للقائد المُنقّحة.</t>
    </r>
  </si>
  <si>
    <r>
      <t>د.</t>
    </r>
    <r>
      <rPr>
        <sz val="7"/>
        <color rgb="FF000000"/>
        <rFont val="Times New Roman"/>
        <family val="1"/>
      </rPr>
      <t xml:space="preserve">       </t>
    </r>
    <r>
      <rPr>
        <sz val="12"/>
        <color rgb="FF000000"/>
        <rFont val="Arial"/>
        <family val="2"/>
      </rPr>
      <t>تحديد العناصر الأساسية للمعلومات الصديقة.</t>
    </r>
  </si>
  <si>
    <r>
      <t>هـ.</t>
    </r>
    <r>
      <rPr>
        <sz val="7"/>
        <color rgb="FF000000"/>
        <rFont val="Times New Roman"/>
        <family val="1"/>
      </rPr>
      <t xml:space="preserve">      </t>
    </r>
    <r>
      <rPr>
        <sz val="12"/>
        <color rgb="FF000000"/>
        <rFont val="Arial"/>
        <family val="2"/>
      </rPr>
      <t>تحديث الافتراضات.</t>
    </r>
  </si>
  <si>
    <r>
      <t>و.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إصدار الأمر الإنذاري/3.</t>
    </r>
  </si>
  <si>
    <r>
      <rPr>
        <sz val="12"/>
        <color rgb="FF000000"/>
        <rFont val="Arial"/>
        <family val="2"/>
      </rPr>
      <t xml:space="preserve">7.  </t>
    </r>
    <r>
      <rPr>
        <b/>
        <u/>
        <sz val="12"/>
        <color rgb="FF000000"/>
        <rFont val="Arial"/>
        <family val="2"/>
      </rPr>
      <t>إنتاج الأوامر وتوزيعها وإرسالها</t>
    </r>
    <r>
      <rPr>
        <b/>
        <sz val="12"/>
        <color rgb="FF000000"/>
        <rFont val="Arial"/>
        <family val="2"/>
      </rPr>
      <t>.</t>
    </r>
  </si>
  <si>
    <r>
      <t>أ.</t>
    </r>
    <r>
      <rPr>
        <sz val="7"/>
        <color rgb="FF000000"/>
        <rFont val="Times New Roman"/>
        <family val="1"/>
      </rPr>
      <t xml:space="preserve">        </t>
    </r>
    <r>
      <rPr>
        <sz val="12"/>
        <color rgb="FF000000"/>
        <rFont val="Arial"/>
        <family val="2"/>
      </rPr>
      <t>الوصول إلى خطة أو أمر عمليات والموافقة عليهما.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</si>
  <si>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تحضير أمر العمليات المقرر.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</si>
  <si>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التأكد من فهم المرؤوسين للخطة أو الأمر.</t>
    </r>
  </si>
  <si>
    <t>تقييم قيادة مجموعة اللواء في صنع القرار العسكري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</si>
</sst>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3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3" t="s">
        <v>71</v>
      </c>
      <c r="C1" s="64"/>
      <c r="D1" s="64"/>
      <c r="E1" s="64"/>
      <c r="F1" s="64"/>
      <c r="G1" s="64"/>
      <c r="H1" s="64"/>
      <c r="I1" s="64"/>
      <c r="J1" s="64"/>
    </row>
    <row r="2" spans="1:10" ht="30" customHeight="1" x14ac:dyDescent="0.2">
      <c r="B2" s="10" t="s">
        <v>8</v>
      </c>
      <c r="C2" s="53" t="s">
        <v>23</v>
      </c>
      <c r="D2" s="53"/>
      <c r="E2" s="10" t="s">
        <v>7</v>
      </c>
      <c r="F2" s="48" t="s">
        <v>22</v>
      </c>
      <c r="G2" s="48"/>
      <c r="H2" s="48"/>
      <c r="I2" s="48"/>
      <c r="J2" s="48"/>
    </row>
    <row r="3" spans="1:10" ht="30" customHeight="1" x14ac:dyDescent="0.2">
      <c r="B3" s="10" t="s">
        <v>9</v>
      </c>
      <c r="C3" s="53" t="s">
        <v>25</v>
      </c>
      <c r="D3" s="53"/>
      <c r="E3" s="10" t="s">
        <v>6</v>
      </c>
      <c r="F3" s="53" t="s">
        <v>24</v>
      </c>
      <c r="G3" s="53"/>
      <c r="H3" s="53"/>
      <c r="I3" s="53"/>
      <c r="J3" s="53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8"/>
      <c r="B5" s="49" t="s">
        <v>0</v>
      </c>
      <c r="C5" s="50"/>
      <c r="D5" s="50"/>
      <c r="E5" s="54" t="s">
        <v>1</v>
      </c>
      <c r="F5" s="54"/>
      <c r="G5" s="54"/>
      <c r="H5" s="54"/>
      <c r="I5" s="54" t="s">
        <v>2</v>
      </c>
      <c r="J5" s="55"/>
    </row>
    <row r="6" spans="1:10" ht="24.95" customHeight="1" thickBot="1" x14ac:dyDescent="0.25">
      <c r="A6" s="8"/>
      <c r="B6" s="51"/>
      <c r="C6" s="52"/>
      <c r="D6" s="52"/>
      <c r="E6" s="9" t="s">
        <v>3</v>
      </c>
      <c r="F6" s="9" t="s">
        <v>4</v>
      </c>
      <c r="G6" s="9" t="s">
        <v>15</v>
      </c>
      <c r="H6" s="9" t="s">
        <v>16</v>
      </c>
      <c r="I6" s="56"/>
      <c r="J6" s="57"/>
    </row>
    <row r="7" spans="1:10" ht="24.95" customHeight="1" thickBot="1" x14ac:dyDescent="0.25">
      <c r="A7" s="8"/>
      <c r="B7" s="44" t="s">
        <v>13</v>
      </c>
      <c r="C7" s="45"/>
      <c r="D7" s="45"/>
      <c r="E7" s="15" t="s">
        <v>10</v>
      </c>
      <c r="F7" s="15" t="s">
        <v>11</v>
      </c>
      <c r="G7" s="15" t="s">
        <v>14</v>
      </c>
      <c r="H7" s="15" t="s">
        <v>12</v>
      </c>
      <c r="I7" s="46" t="s">
        <v>17</v>
      </c>
      <c r="J7" s="47"/>
    </row>
    <row r="8" spans="1:10" ht="30" customHeight="1" x14ac:dyDescent="0.2">
      <c r="A8" s="8"/>
      <c r="B8" s="31" t="s">
        <v>28</v>
      </c>
      <c r="C8" s="32"/>
      <c r="D8" s="32"/>
      <c r="E8" s="32"/>
      <c r="F8" s="32"/>
      <c r="G8" s="32"/>
      <c r="H8" s="32"/>
      <c r="I8" s="32"/>
      <c r="J8" s="33"/>
    </row>
    <row r="9" spans="1:10" ht="39.950000000000003" customHeight="1" x14ac:dyDescent="0.2">
      <c r="A9" s="8"/>
      <c r="B9" s="25" t="s">
        <v>29</v>
      </c>
      <c r="C9" s="26"/>
      <c r="D9" s="26"/>
      <c r="E9" s="13">
        <v>5</v>
      </c>
      <c r="F9" s="11" t="s">
        <v>26</v>
      </c>
      <c r="G9" s="17" t="str">
        <f>IFERROR(F9/E9,"")</f>
        <v/>
      </c>
      <c r="H9" s="18" t="str">
        <f>_xlfn.IFS(F9="أدخل العلامة","",F9="لا ينطبق","تم الإلغاء",G9&gt;=90%,"ممتاز",G9&gt;=80%,"جيد جداً",G9&gt;=70%,"جيد",G9&gt;=60%,"مقبول",G9&lt;60%,"راسب")</f>
        <v/>
      </c>
      <c r="I9" s="29"/>
      <c r="J9" s="30"/>
    </row>
    <row r="10" spans="1:10" ht="30" customHeight="1" x14ac:dyDescent="0.2">
      <c r="A10" s="8"/>
      <c r="B10" s="25" t="s">
        <v>30</v>
      </c>
      <c r="C10" s="26"/>
      <c r="D10" s="26"/>
      <c r="E10" s="13">
        <v>5</v>
      </c>
      <c r="F10" s="11" t="s">
        <v>26</v>
      </c>
      <c r="G10" s="17" t="str">
        <f t="shared" ref="G10:G50" si="0">IFERROR(F10/E10,"")</f>
        <v/>
      </c>
      <c r="H10" s="18" t="str">
        <f t="shared" ref="H10:H50" si="1">_xlfn.IFS(F10="أدخل العلامة","",F10="لا ينطبق","تم الإلغاء",G10&gt;=90%,"ممتاز",G10&gt;=80%,"جيد جداً",G10&gt;=70%,"جيد",G10&gt;=60%,"مقبول",G10&lt;60%,"راسب")</f>
        <v/>
      </c>
      <c r="I10" s="29"/>
      <c r="J10" s="30"/>
    </row>
    <row r="11" spans="1:10" ht="30" customHeight="1" x14ac:dyDescent="0.2">
      <c r="A11" s="8"/>
      <c r="B11" s="25" t="s">
        <v>31</v>
      </c>
      <c r="C11" s="26"/>
      <c r="D11" s="26"/>
      <c r="E11" s="13">
        <v>5</v>
      </c>
      <c r="F11" s="11" t="s">
        <v>26</v>
      </c>
      <c r="G11" s="17" t="str">
        <f t="shared" si="0"/>
        <v/>
      </c>
      <c r="H11" s="18" t="str">
        <f t="shared" si="1"/>
        <v/>
      </c>
      <c r="I11" s="29"/>
      <c r="J11" s="30"/>
    </row>
    <row r="12" spans="1:10" ht="30" customHeight="1" thickBot="1" x14ac:dyDescent="0.25">
      <c r="A12" s="8"/>
      <c r="B12" s="42" t="s">
        <v>32</v>
      </c>
      <c r="C12" s="43"/>
      <c r="D12" s="43"/>
      <c r="E12" s="14">
        <v>5</v>
      </c>
      <c r="F12" s="12" t="s">
        <v>26</v>
      </c>
      <c r="G12" s="19" t="str">
        <f t="shared" si="0"/>
        <v/>
      </c>
      <c r="H12" s="20" t="str">
        <f t="shared" si="1"/>
        <v/>
      </c>
      <c r="I12" s="27"/>
      <c r="J12" s="28"/>
    </row>
    <row r="13" spans="1:10" ht="30" customHeight="1" x14ac:dyDescent="0.2">
      <c r="A13" s="8"/>
      <c r="B13" s="31" t="s">
        <v>33</v>
      </c>
      <c r="C13" s="32"/>
      <c r="D13" s="32"/>
      <c r="E13" s="32"/>
      <c r="F13" s="32"/>
      <c r="G13" s="32"/>
      <c r="H13" s="32"/>
      <c r="I13" s="32"/>
      <c r="J13" s="33"/>
    </row>
    <row r="14" spans="1:10" ht="30" customHeight="1" x14ac:dyDescent="0.2">
      <c r="A14" s="8"/>
      <c r="B14" s="25" t="s">
        <v>34</v>
      </c>
      <c r="C14" s="26"/>
      <c r="D14" s="26"/>
      <c r="E14" s="13">
        <v>5</v>
      </c>
      <c r="F14" s="11" t="s">
        <v>26</v>
      </c>
      <c r="G14" s="17" t="str">
        <f t="shared" si="0"/>
        <v/>
      </c>
      <c r="H14" s="18" t="str">
        <f t="shared" si="1"/>
        <v/>
      </c>
      <c r="I14" s="29"/>
      <c r="J14" s="30"/>
    </row>
    <row r="15" spans="1:10" ht="30" customHeight="1" x14ac:dyDescent="0.2">
      <c r="A15" s="8"/>
      <c r="B15" s="25" t="s">
        <v>35</v>
      </c>
      <c r="C15" s="26"/>
      <c r="D15" s="26"/>
      <c r="E15" s="13">
        <v>5</v>
      </c>
      <c r="F15" s="11" t="s">
        <v>26</v>
      </c>
      <c r="G15" s="17" t="str">
        <f t="shared" si="0"/>
        <v/>
      </c>
      <c r="H15" s="18" t="str">
        <f t="shared" si="1"/>
        <v/>
      </c>
      <c r="I15" s="29"/>
      <c r="J15" s="30"/>
    </row>
    <row r="16" spans="1:10" ht="30" customHeight="1" x14ac:dyDescent="0.2">
      <c r="A16" s="8"/>
      <c r="B16" s="25" t="s">
        <v>36</v>
      </c>
      <c r="C16" s="26"/>
      <c r="D16" s="26"/>
      <c r="E16" s="13">
        <v>5</v>
      </c>
      <c r="F16" s="11" t="s">
        <v>26</v>
      </c>
      <c r="G16" s="17" t="str">
        <f t="shared" si="0"/>
        <v/>
      </c>
      <c r="H16" s="18" t="str">
        <f t="shared" si="1"/>
        <v/>
      </c>
      <c r="I16" s="29"/>
      <c r="J16" s="30"/>
    </row>
    <row r="17" spans="1:10" ht="39.950000000000003" customHeight="1" x14ac:dyDescent="0.2">
      <c r="A17" s="8"/>
      <c r="B17" s="25" t="s">
        <v>37</v>
      </c>
      <c r="C17" s="26"/>
      <c r="D17" s="26"/>
      <c r="E17" s="13">
        <v>5</v>
      </c>
      <c r="F17" s="11" t="s">
        <v>26</v>
      </c>
      <c r="G17" s="17" t="str">
        <f t="shared" si="0"/>
        <v/>
      </c>
      <c r="H17" s="18" t="str">
        <f t="shared" si="1"/>
        <v/>
      </c>
      <c r="I17" s="29"/>
      <c r="J17" s="30"/>
    </row>
    <row r="18" spans="1:10" ht="30" customHeight="1" x14ac:dyDescent="0.2">
      <c r="A18" s="8"/>
      <c r="B18" s="25" t="s">
        <v>38</v>
      </c>
      <c r="C18" s="26"/>
      <c r="D18" s="26"/>
      <c r="E18" s="13">
        <v>5</v>
      </c>
      <c r="F18" s="11" t="s">
        <v>26</v>
      </c>
      <c r="G18" s="17" t="str">
        <f t="shared" si="0"/>
        <v/>
      </c>
      <c r="H18" s="18" t="str">
        <f t="shared" si="1"/>
        <v/>
      </c>
      <c r="I18" s="29"/>
      <c r="J18" s="30"/>
    </row>
    <row r="19" spans="1:10" ht="30" customHeight="1" x14ac:dyDescent="0.2">
      <c r="A19" s="8"/>
      <c r="B19" s="25" t="s">
        <v>39</v>
      </c>
      <c r="C19" s="26"/>
      <c r="D19" s="26"/>
      <c r="E19" s="13">
        <v>5</v>
      </c>
      <c r="F19" s="11" t="s">
        <v>26</v>
      </c>
      <c r="G19" s="17" t="str">
        <f t="shared" si="0"/>
        <v/>
      </c>
      <c r="H19" s="18" t="str">
        <f t="shared" si="1"/>
        <v/>
      </c>
      <c r="I19" s="29"/>
      <c r="J19" s="30"/>
    </row>
    <row r="20" spans="1:10" ht="30" customHeight="1" x14ac:dyDescent="0.2">
      <c r="A20" s="8"/>
      <c r="B20" s="25" t="s">
        <v>40</v>
      </c>
      <c r="C20" s="26"/>
      <c r="D20" s="26"/>
      <c r="E20" s="13">
        <v>5</v>
      </c>
      <c r="F20" s="11" t="s">
        <v>26</v>
      </c>
      <c r="G20" s="17" t="str">
        <f t="shared" si="0"/>
        <v/>
      </c>
      <c r="H20" s="18" t="str">
        <f t="shared" si="1"/>
        <v/>
      </c>
      <c r="I20" s="29"/>
      <c r="J20" s="30"/>
    </row>
    <row r="21" spans="1:10" ht="30" customHeight="1" x14ac:dyDescent="0.2">
      <c r="A21" s="8"/>
      <c r="B21" s="25" t="s">
        <v>41</v>
      </c>
      <c r="C21" s="26"/>
      <c r="D21" s="26"/>
      <c r="E21" s="13">
        <v>5</v>
      </c>
      <c r="F21" s="11" t="s">
        <v>26</v>
      </c>
      <c r="G21" s="17" t="str">
        <f t="shared" si="0"/>
        <v/>
      </c>
      <c r="H21" s="18" t="str">
        <f t="shared" si="1"/>
        <v/>
      </c>
      <c r="I21" s="29"/>
      <c r="J21" s="30"/>
    </row>
    <row r="22" spans="1:10" ht="30" customHeight="1" thickBot="1" x14ac:dyDescent="0.25">
      <c r="A22" s="8"/>
      <c r="B22" s="42" t="s">
        <v>42</v>
      </c>
      <c r="C22" s="43"/>
      <c r="D22" s="43"/>
      <c r="E22" s="14">
        <v>5</v>
      </c>
      <c r="F22" s="12" t="s">
        <v>26</v>
      </c>
      <c r="G22" s="19" t="str">
        <f t="shared" si="0"/>
        <v/>
      </c>
      <c r="H22" s="20" t="str">
        <f t="shared" si="1"/>
        <v/>
      </c>
      <c r="I22" s="27"/>
      <c r="J22" s="28"/>
    </row>
    <row r="23" spans="1:10" ht="30" customHeight="1" x14ac:dyDescent="0.2">
      <c r="A23" s="8"/>
      <c r="B23" s="31" t="s">
        <v>43</v>
      </c>
      <c r="C23" s="32"/>
      <c r="D23" s="32"/>
      <c r="E23" s="32"/>
      <c r="F23" s="32"/>
      <c r="G23" s="32"/>
      <c r="H23" s="32"/>
      <c r="I23" s="32"/>
      <c r="J23" s="33"/>
    </row>
    <row r="24" spans="1:10" ht="30" customHeight="1" x14ac:dyDescent="0.2">
      <c r="A24" s="8"/>
      <c r="B24" s="25" t="s">
        <v>44</v>
      </c>
      <c r="C24" s="26"/>
      <c r="D24" s="26"/>
      <c r="E24" s="13">
        <v>5</v>
      </c>
      <c r="F24" s="11" t="s">
        <v>26</v>
      </c>
      <c r="G24" s="17" t="str">
        <f t="shared" si="0"/>
        <v/>
      </c>
      <c r="H24" s="18" t="str">
        <f t="shared" si="1"/>
        <v/>
      </c>
      <c r="I24" s="29"/>
      <c r="J24" s="30"/>
    </row>
    <row r="25" spans="1:10" ht="30" customHeight="1" x14ac:dyDescent="0.2">
      <c r="A25" s="8"/>
      <c r="B25" s="25" t="s">
        <v>45</v>
      </c>
      <c r="C25" s="26"/>
      <c r="D25" s="26"/>
      <c r="E25" s="13">
        <v>5</v>
      </c>
      <c r="F25" s="11" t="s">
        <v>26</v>
      </c>
      <c r="G25" s="17" t="str">
        <f t="shared" si="0"/>
        <v/>
      </c>
      <c r="H25" s="18" t="str">
        <f t="shared" si="1"/>
        <v/>
      </c>
      <c r="I25" s="29"/>
      <c r="J25" s="30"/>
    </row>
    <row r="26" spans="1:10" ht="30" customHeight="1" x14ac:dyDescent="0.2">
      <c r="A26" s="8"/>
      <c r="B26" s="25" t="s">
        <v>46</v>
      </c>
      <c r="C26" s="26"/>
      <c r="D26" s="26"/>
      <c r="E26" s="13">
        <v>5</v>
      </c>
      <c r="F26" s="11" t="s">
        <v>26</v>
      </c>
      <c r="G26" s="17" t="str">
        <f t="shared" si="0"/>
        <v/>
      </c>
      <c r="H26" s="18" t="str">
        <f t="shared" si="1"/>
        <v/>
      </c>
      <c r="I26" s="29"/>
      <c r="J26" s="30"/>
    </row>
    <row r="27" spans="1:10" ht="30" customHeight="1" x14ac:dyDescent="0.2">
      <c r="A27" s="8"/>
      <c r="B27" s="25" t="s">
        <v>47</v>
      </c>
      <c r="C27" s="26"/>
      <c r="D27" s="26"/>
      <c r="E27" s="13">
        <v>5</v>
      </c>
      <c r="F27" s="11" t="s">
        <v>26</v>
      </c>
      <c r="G27" s="17" t="str">
        <f t="shared" si="0"/>
        <v/>
      </c>
      <c r="H27" s="18" t="str">
        <f t="shared" si="1"/>
        <v/>
      </c>
      <c r="I27" s="29"/>
      <c r="J27" s="30"/>
    </row>
    <row r="28" spans="1:10" ht="30" customHeight="1" thickBot="1" x14ac:dyDescent="0.25">
      <c r="A28" s="8"/>
      <c r="B28" s="42" t="s">
        <v>48</v>
      </c>
      <c r="C28" s="43"/>
      <c r="D28" s="43"/>
      <c r="E28" s="14">
        <v>5</v>
      </c>
      <c r="F28" s="12" t="s">
        <v>26</v>
      </c>
      <c r="G28" s="19" t="str">
        <f t="shared" si="0"/>
        <v/>
      </c>
      <c r="H28" s="20" t="str">
        <f t="shared" si="1"/>
        <v/>
      </c>
      <c r="I28" s="27"/>
      <c r="J28" s="28"/>
    </row>
    <row r="29" spans="1:10" ht="30" customHeight="1" x14ac:dyDescent="0.2">
      <c r="A29" s="8"/>
      <c r="B29" s="31" t="s">
        <v>49</v>
      </c>
      <c r="C29" s="32"/>
      <c r="D29" s="32"/>
      <c r="E29" s="32"/>
      <c r="F29" s="32"/>
      <c r="G29" s="32"/>
      <c r="H29" s="32"/>
      <c r="I29" s="32"/>
      <c r="J29" s="33"/>
    </row>
    <row r="30" spans="1:10" ht="30" customHeight="1" x14ac:dyDescent="0.2">
      <c r="A30" s="8"/>
      <c r="B30" s="25" t="s">
        <v>50</v>
      </c>
      <c r="C30" s="26"/>
      <c r="D30" s="26"/>
      <c r="E30" s="13">
        <v>5</v>
      </c>
      <c r="F30" s="11" t="s">
        <v>26</v>
      </c>
      <c r="G30" s="17" t="str">
        <f t="shared" si="0"/>
        <v/>
      </c>
      <c r="H30" s="18" t="str">
        <f t="shared" si="1"/>
        <v/>
      </c>
      <c r="I30" s="29"/>
      <c r="J30" s="30"/>
    </row>
    <row r="31" spans="1:10" ht="30" customHeight="1" x14ac:dyDescent="0.2">
      <c r="A31" s="8"/>
      <c r="B31" s="25" t="s">
        <v>51</v>
      </c>
      <c r="C31" s="26"/>
      <c r="D31" s="26"/>
      <c r="E31" s="13">
        <v>5</v>
      </c>
      <c r="F31" s="11" t="s">
        <v>26</v>
      </c>
      <c r="G31" s="17" t="str">
        <f t="shared" si="0"/>
        <v/>
      </c>
      <c r="H31" s="18" t="str">
        <f t="shared" si="1"/>
        <v/>
      </c>
      <c r="I31" s="29"/>
      <c r="J31" s="30"/>
    </row>
    <row r="32" spans="1:10" ht="30" customHeight="1" x14ac:dyDescent="0.2">
      <c r="A32" s="8"/>
      <c r="B32" s="25" t="s">
        <v>52</v>
      </c>
      <c r="C32" s="26"/>
      <c r="D32" s="26"/>
      <c r="E32" s="13">
        <v>5</v>
      </c>
      <c r="F32" s="11" t="s">
        <v>26</v>
      </c>
      <c r="G32" s="17" t="str">
        <f t="shared" si="0"/>
        <v/>
      </c>
      <c r="H32" s="18" t="str">
        <f t="shared" si="1"/>
        <v/>
      </c>
      <c r="I32" s="29"/>
      <c r="J32" s="30"/>
    </row>
    <row r="33" spans="1:10" ht="30" customHeight="1" x14ac:dyDescent="0.2">
      <c r="A33" s="8"/>
      <c r="B33" s="25" t="s">
        <v>53</v>
      </c>
      <c r="C33" s="26"/>
      <c r="D33" s="26"/>
      <c r="E33" s="13">
        <v>5</v>
      </c>
      <c r="F33" s="11" t="s">
        <v>26</v>
      </c>
      <c r="G33" s="17" t="str">
        <f t="shared" si="0"/>
        <v/>
      </c>
      <c r="H33" s="18" t="str">
        <f t="shared" si="1"/>
        <v/>
      </c>
      <c r="I33" s="29"/>
      <c r="J33" s="30"/>
    </row>
    <row r="34" spans="1:10" ht="30" customHeight="1" thickBot="1" x14ac:dyDescent="0.25">
      <c r="A34" s="8"/>
      <c r="B34" s="42" t="s">
        <v>54</v>
      </c>
      <c r="C34" s="43"/>
      <c r="D34" s="43"/>
      <c r="E34" s="14">
        <v>5</v>
      </c>
      <c r="F34" s="12" t="s">
        <v>26</v>
      </c>
      <c r="G34" s="19" t="str">
        <f t="shared" si="0"/>
        <v/>
      </c>
      <c r="H34" s="20" t="str">
        <f t="shared" si="1"/>
        <v/>
      </c>
      <c r="I34" s="27"/>
      <c r="J34" s="28"/>
    </row>
    <row r="35" spans="1:10" ht="30" customHeight="1" x14ac:dyDescent="0.2">
      <c r="A35" s="8"/>
      <c r="B35" s="31" t="s">
        <v>55</v>
      </c>
      <c r="C35" s="32"/>
      <c r="D35" s="32"/>
      <c r="E35" s="32"/>
      <c r="F35" s="32"/>
      <c r="G35" s="32"/>
      <c r="H35" s="32"/>
      <c r="I35" s="32"/>
      <c r="J35" s="33"/>
    </row>
    <row r="36" spans="1:10" ht="30" customHeight="1" x14ac:dyDescent="0.2">
      <c r="A36" s="8"/>
      <c r="B36" s="25" t="s">
        <v>56</v>
      </c>
      <c r="C36" s="26"/>
      <c r="D36" s="26"/>
      <c r="E36" s="13">
        <v>5</v>
      </c>
      <c r="F36" s="11" t="s">
        <v>26</v>
      </c>
      <c r="G36" s="17" t="str">
        <f t="shared" si="0"/>
        <v/>
      </c>
      <c r="H36" s="18" t="str">
        <f t="shared" si="1"/>
        <v/>
      </c>
      <c r="I36" s="29"/>
      <c r="J36" s="30"/>
    </row>
    <row r="37" spans="1:10" ht="30" customHeight="1" x14ac:dyDescent="0.2">
      <c r="A37" s="8"/>
      <c r="B37" s="25" t="s">
        <v>57</v>
      </c>
      <c r="C37" s="26"/>
      <c r="D37" s="26"/>
      <c r="E37" s="13">
        <v>5</v>
      </c>
      <c r="F37" s="11" t="s">
        <v>26</v>
      </c>
      <c r="G37" s="17" t="str">
        <f t="shared" si="0"/>
        <v/>
      </c>
      <c r="H37" s="18" t="str">
        <f t="shared" si="1"/>
        <v/>
      </c>
      <c r="I37" s="29"/>
      <c r="J37" s="30"/>
    </row>
    <row r="38" spans="1:10" ht="30" customHeight="1" x14ac:dyDescent="0.2">
      <c r="A38" s="8"/>
      <c r="B38" s="25" t="s">
        <v>58</v>
      </c>
      <c r="C38" s="26"/>
      <c r="D38" s="26"/>
      <c r="E38" s="13">
        <v>5</v>
      </c>
      <c r="F38" s="11" t="s">
        <v>26</v>
      </c>
      <c r="G38" s="17" t="str">
        <f t="shared" si="0"/>
        <v/>
      </c>
      <c r="H38" s="18" t="str">
        <f t="shared" si="1"/>
        <v/>
      </c>
      <c r="I38" s="29"/>
      <c r="J38" s="30"/>
    </row>
    <row r="39" spans="1:10" ht="30" customHeight="1" thickBot="1" x14ac:dyDescent="0.25">
      <c r="A39" s="8"/>
      <c r="B39" s="42" t="s">
        <v>59</v>
      </c>
      <c r="C39" s="43"/>
      <c r="D39" s="43"/>
      <c r="E39" s="14">
        <v>5</v>
      </c>
      <c r="F39" s="12" t="s">
        <v>26</v>
      </c>
      <c r="G39" s="19" t="str">
        <f t="shared" si="0"/>
        <v/>
      </c>
      <c r="H39" s="20" t="str">
        <f t="shared" si="1"/>
        <v/>
      </c>
      <c r="I39" s="27"/>
      <c r="J39" s="28"/>
    </row>
    <row r="40" spans="1:10" ht="30" customHeight="1" x14ac:dyDescent="0.2">
      <c r="A40" s="8"/>
      <c r="B40" s="31" t="s">
        <v>60</v>
      </c>
      <c r="C40" s="32"/>
      <c r="D40" s="32"/>
      <c r="E40" s="32"/>
      <c r="F40" s="32"/>
      <c r="G40" s="32"/>
      <c r="H40" s="32"/>
      <c r="I40" s="32"/>
      <c r="J40" s="33"/>
    </row>
    <row r="41" spans="1:10" ht="39.950000000000003" customHeight="1" x14ac:dyDescent="0.2">
      <c r="A41" s="8"/>
      <c r="B41" s="25" t="s">
        <v>61</v>
      </c>
      <c r="C41" s="26"/>
      <c r="D41" s="26"/>
      <c r="E41" s="13">
        <v>5</v>
      </c>
      <c r="F41" s="11" t="s">
        <v>26</v>
      </c>
      <c r="G41" s="17" t="str">
        <f t="shared" si="0"/>
        <v/>
      </c>
      <c r="H41" s="18" t="str">
        <f t="shared" si="1"/>
        <v/>
      </c>
      <c r="I41" s="29"/>
      <c r="J41" s="30"/>
    </row>
    <row r="42" spans="1:10" ht="30" customHeight="1" x14ac:dyDescent="0.2">
      <c r="A42" s="8"/>
      <c r="B42" s="25" t="s">
        <v>62</v>
      </c>
      <c r="C42" s="26"/>
      <c r="D42" s="26"/>
      <c r="E42" s="13">
        <v>5</v>
      </c>
      <c r="F42" s="11" t="s">
        <v>26</v>
      </c>
      <c r="G42" s="17" t="str">
        <f t="shared" si="0"/>
        <v/>
      </c>
      <c r="H42" s="18" t="str">
        <f t="shared" si="1"/>
        <v/>
      </c>
      <c r="I42" s="29"/>
      <c r="J42" s="30"/>
    </row>
    <row r="43" spans="1:10" ht="30" customHeight="1" x14ac:dyDescent="0.2">
      <c r="A43" s="8"/>
      <c r="B43" s="25" t="s">
        <v>63</v>
      </c>
      <c r="C43" s="26"/>
      <c r="D43" s="26"/>
      <c r="E43" s="13">
        <v>5</v>
      </c>
      <c r="F43" s="11" t="s">
        <v>26</v>
      </c>
      <c r="G43" s="17" t="str">
        <f t="shared" si="0"/>
        <v/>
      </c>
      <c r="H43" s="18" t="str">
        <f t="shared" si="1"/>
        <v/>
      </c>
      <c r="I43" s="29"/>
      <c r="J43" s="30"/>
    </row>
    <row r="44" spans="1:10" ht="30" customHeight="1" x14ac:dyDescent="0.2">
      <c r="A44" s="8"/>
      <c r="B44" s="25" t="s">
        <v>64</v>
      </c>
      <c r="C44" s="26"/>
      <c r="D44" s="26"/>
      <c r="E44" s="13">
        <v>5</v>
      </c>
      <c r="F44" s="11" t="s">
        <v>26</v>
      </c>
      <c r="G44" s="17" t="str">
        <f t="shared" si="0"/>
        <v/>
      </c>
      <c r="H44" s="18" t="str">
        <f t="shared" si="1"/>
        <v/>
      </c>
      <c r="I44" s="29"/>
      <c r="J44" s="30"/>
    </row>
    <row r="45" spans="1:10" ht="30" customHeight="1" x14ac:dyDescent="0.2">
      <c r="A45" s="8"/>
      <c r="B45" s="25" t="s">
        <v>65</v>
      </c>
      <c r="C45" s="26"/>
      <c r="D45" s="26"/>
      <c r="E45" s="13">
        <v>5</v>
      </c>
      <c r="F45" s="11" t="s">
        <v>26</v>
      </c>
      <c r="G45" s="17" t="str">
        <f t="shared" si="0"/>
        <v/>
      </c>
      <c r="H45" s="18" t="str">
        <f t="shared" si="1"/>
        <v/>
      </c>
      <c r="I45" s="29"/>
      <c r="J45" s="30"/>
    </row>
    <row r="46" spans="1:10" ht="30" customHeight="1" thickBot="1" x14ac:dyDescent="0.25">
      <c r="A46" s="8"/>
      <c r="B46" s="42" t="s">
        <v>66</v>
      </c>
      <c r="C46" s="43"/>
      <c r="D46" s="43"/>
      <c r="E46" s="14">
        <v>5</v>
      </c>
      <c r="F46" s="12" t="s">
        <v>26</v>
      </c>
      <c r="G46" s="19" t="str">
        <f t="shared" si="0"/>
        <v/>
      </c>
      <c r="H46" s="20" t="str">
        <f t="shared" si="1"/>
        <v/>
      </c>
      <c r="I46" s="27"/>
      <c r="J46" s="28"/>
    </row>
    <row r="47" spans="1:10" ht="30" customHeight="1" x14ac:dyDescent="0.2">
      <c r="A47" s="8"/>
      <c r="B47" s="31" t="s">
        <v>67</v>
      </c>
      <c r="C47" s="32"/>
      <c r="D47" s="32"/>
      <c r="E47" s="32"/>
      <c r="F47" s="32"/>
      <c r="G47" s="32"/>
      <c r="H47" s="32"/>
      <c r="I47" s="32"/>
      <c r="J47" s="33"/>
    </row>
    <row r="48" spans="1:10" ht="30" customHeight="1" x14ac:dyDescent="0.2">
      <c r="A48" s="8"/>
      <c r="B48" s="25" t="s">
        <v>68</v>
      </c>
      <c r="C48" s="26"/>
      <c r="D48" s="26"/>
      <c r="E48" s="13">
        <v>5</v>
      </c>
      <c r="F48" s="11" t="s">
        <v>26</v>
      </c>
      <c r="G48" s="17" t="str">
        <f t="shared" si="0"/>
        <v/>
      </c>
      <c r="H48" s="18" t="str">
        <f t="shared" si="1"/>
        <v/>
      </c>
      <c r="I48" s="29"/>
      <c r="J48" s="30"/>
    </row>
    <row r="49" spans="1:10" ht="30" customHeight="1" x14ac:dyDescent="0.2">
      <c r="A49" s="8"/>
      <c r="B49" s="25" t="s">
        <v>69</v>
      </c>
      <c r="C49" s="26"/>
      <c r="D49" s="26"/>
      <c r="E49" s="13">
        <v>5</v>
      </c>
      <c r="F49" s="11" t="s">
        <v>26</v>
      </c>
      <c r="G49" s="17" t="str">
        <f t="shared" si="0"/>
        <v/>
      </c>
      <c r="H49" s="18" t="str">
        <f t="shared" si="1"/>
        <v/>
      </c>
      <c r="I49" s="29"/>
      <c r="J49" s="30"/>
    </row>
    <row r="50" spans="1:10" ht="30" customHeight="1" thickBot="1" x14ac:dyDescent="0.25">
      <c r="A50" s="8"/>
      <c r="B50" s="42" t="s">
        <v>70</v>
      </c>
      <c r="C50" s="43"/>
      <c r="D50" s="43"/>
      <c r="E50" s="14">
        <v>5</v>
      </c>
      <c r="F50" s="12" t="s">
        <v>26</v>
      </c>
      <c r="G50" s="19" t="str">
        <f t="shared" si="0"/>
        <v/>
      </c>
      <c r="H50" s="20" t="str">
        <f t="shared" si="1"/>
        <v/>
      </c>
      <c r="I50" s="27"/>
      <c r="J50" s="28"/>
    </row>
    <row r="51" spans="1:10" ht="30" customHeight="1" thickBot="1" x14ac:dyDescent="0.25">
      <c r="A51" s="3"/>
      <c r="B51" s="40" t="s">
        <v>5</v>
      </c>
      <c r="C51" s="41"/>
      <c r="D51" s="41"/>
      <c r="E51" s="16">
        <f>SUM(E8:E50)</f>
        <v>180</v>
      </c>
      <c r="F51" s="16">
        <f>SUM(F8:F50)</f>
        <v>0</v>
      </c>
      <c r="G51" s="60"/>
      <c r="H51" s="61"/>
      <c r="I51" s="61"/>
      <c r="J51" s="62"/>
    </row>
    <row r="52" spans="1:10" ht="30" customHeight="1" thickBot="1" x14ac:dyDescent="0.25">
      <c r="A52" s="3"/>
      <c r="B52" s="21" t="s">
        <v>20</v>
      </c>
      <c r="C52" s="22"/>
      <c r="D52" s="22"/>
      <c r="E52" s="23">
        <f>F51/E51/100*100</f>
        <v>0</v>
      </c>
      <c r="F52" s="23"/>
      <c r="G52" s="23"/>
      <c r="H52" s="23"/>
      <c r="I52" s="23"/>
      <c r="J52" s="24"/>
    </row>
    <row r="53" spans="1:10" ht="30" customHeight="1" thickBot="1" x14ac:dyDescent="0.25">
      <c r="A53" s="3"/>
      <c r="B53" s="21" t="s">
        <v>21</v>
      </c>
      <c r="C53" s="22"/>
      <c r="D53" s="22"/>
      <c r="E53" s="38" t="str">
        <f>_xlfn.IFS(E52&gt;=90%,"ممتاز",E52&gt;=80%,"جيد جداً",E52&gt;=70%,"جيد",E52&gt;=60%,"مقبول",E52&lt;60%,"راسب")</f>
        <v>راسب</v>
      </c>
      <c r="F53" s="38"/>
      <c r="G53" s="38"/>
      <c r="H53" s="38"/>
      <c r="I53" s="38"/>
      <c r="J53" s="39"/>
    </row>
    <row r="54" spans="1:10" ht="42" customHeight="1" x14ac:dyDescent="0.2">
      <c r="B54" s="34" t="s">
        <v>27</v>
      </c>
      <c r="C54" s="34"/>
      <c r="D54" s="34"/>
      <c r="E54" s="58" t="s">
        <v>18</v>
      </c>
      <c r="F54" s="58"/>
      <c r="G54" s="36" t="s">
        <v>24</v>
      </c>
      <c r="H54" s="36"/>
      <c r="I54" s="36"/>
      <c r="J54" s="36"/>
    </row>
    <row r="55" spans="1:10" ht="51" customHeight="1" x14ac:dyDescent="0.2">
      <c r="A55" s="4"/>
      <c r="B55" s="35"/>
      <c r="C55" s="35"/>
      <c r="D55" s="35"/>
      <c r="E55" s="59" t="s">
        <v>19</v>
      </c>
      <c r="F55" s="59"/>
      <c r="G55" s="37"/>
      <c r="H55" s="37"/>
      <c r="I55" s="37"/>
      <c r="J55" s="3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0">
    <mergeCell ref="B45:D45"/>
    <mergeCell ref="B14:D14"/>
    <mergeCell ref="B15:D15"/>
    <mergeCell ref="B16:D16"/>
    <mergeCell ref="B42:D42"/>
    <mergeCell ref="B43:D43"/>
    <mergeCell ref="B38:D38"/>
    <mergeCell ref="B39:D39"/>
    <mergeCell ref="B40:J40"/>
    <mergeCell ref="B30:D30"/>
    <mergeCell ref="B31:D31"/>
    <mergeCell ref="B32:D32"/>
    <mergeCell ref="B33:D33"/>
    <mergeCell ref="B29:J29"/>
    <mergeCell ref="B35:J35"/>
    <mergeCell ref="B12:D12"/>
    <mergeCell ref="B28:D28"/>
    <mergeCell ref="B9:D9"/>
    <mergeCell ref="B10:D10"/>
    <mergeCell ref="B23:J23"/>
    <mergeCell ref="B19:D19"/>
    <mergeCell ref="B20:D20"/>
    <mergeCell ref="B21:D21"/>
    <mergeCell ref="B22:D22"/>
    <mergeCell ref="B24:D24"/>
    <mergeCell ref="B25:D25"/>
    <mergeCell ref="B26:D26"/>
    <mergeCell ref="B27:D27"/>
    <mergeCell ref="I25:J25"/>
    <mergeCell ref="I26:J26"/>
    <mergeCell ref="I15:J15"/>
    <mergeCell ref="I16:J16"/>
    <mergeCell ref="B46:D46"/>
    <mergeCell ref="B36:D36"/>
    <mergeCell ref="B37:D37"/>
    <mergeCell ref="B34:D34"/>
    <mergeCell ref="I17:J17"/>
    <mergeCell ref="I19:J19"/>
    <mergeCell ref="I20:J20"/>
    <mergeCell ref="I21:J21"/>
    <mergeCell ref="I22:J22"/>
    <mergeCell ref="I24:J24"/>
    <mergeCell ref="I18:J18"/>
    <mergeCell ref="B17:D17"/>
    <mergeCell ref="B18:D18"/>
    <mergeCell ref="B41:D41"/>
    <mergeCell ref="B44:D44"/>
    <mergeCell ref="E54:F54"/>
    <mergeCell ref="E55:F55"/>
    <mergeCell ref="G51:J51"/>
    <mergeCell ref="I45:J45"/>
    <mergeCell ref="I46:J46"/>
    <mergeCell ref="I48:J48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1:J11"/>
    <mergeCell ref="I9:J9"/>
    <mergeCell ref="B8:J8"/>
    <mergeCell ref="B11:D11"/>
    <mergeCell ref="B13:J13"/>
    <mergeCell ref="B54:D55"/>
    <mergeCell ref="G54:J54"/>
    <mergeCell ref="G55:J55"/>
    <mergeCell ref="E53:J53"/>
    <mergeCell ref="I41:J41"/>
    <mergeCell ref="I42:J42"/>
    <mergeCell ref="I43:J43"/>
    <mergeCell ref="I44:J44"/>
    <mergeCell ref="I49:J49"/>
    <mergeCell ref="I50:J50"/>
    <mergeCell ref="B51:D51"/>
    <mergeCell ref="B52:D52"/>
    <mergeCell ref="B49:D49"/>
    <mergeCell ref="B50:D50"/>
    <mergeCell ref="B47:J47"/>
    <mergeCell ref="B53:D53"/>
    <mergeCell ref="E52:J52"/>
    <mergeCell ref="B48:D48"/>
    <mergeCell ref="I12:J12"/>
    <mergeCell ref="I14:J14"/>
    <mergeCell ref="I27:J27"/>
    <mergeCell ref="I28:J28"/>
    <mergeCell ref="I38:J38"/>
    <mergeCell ref="I39:J39"/>
    <mergeCell ref="I30:J30"/>
    <mergeCell ref="I31:J31"/>
    <mergeCell ref="I37:J37"/>
    <mergeCell ref="I32:J32"/>
    <mergeCell ref="I33:J33"/>
    <mergeCell ref="I34:J34"/>
    <mergeCell ref="I36:J36"/>
  </mergeCells>
  <conditionalFormatting sqref="E53">
    <cfRule type="expression" dxfId="23" priority="57">
      <formula>$E53="راسب"</formula>
    </cfRule>
  </conditionalFormatting>
  <conditionalFormatting sqref="E53:J53">
    <cfRule type="expression" dxfId="22" priority="58">
      <formula>$E53="مقبول"</formula>
    </cfRule>
    <cfRule type="expression" dxfId="21" priority="59">
      <formula>$E53="جيد"</formula>
    </cfRule>
    <cfRule type="expression" dxfId="20" priority="60">
      <formula>$E53="جيد جداً"</formula>
    </cfRule>
    <cfRule type="expression" dxfId="19" priority="61">
      <formula>$E53="ممتاز"</formula>
    </cfRule>
  </conditionalFormatting>
  <conditionalFormatting sqref="H10:H12 H14:H22 H24:H28 H30:H34 H36:H39 H41:H46 H48:H50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12 H14:H22 H24:H28 H30:H34 H36:H39 H41:H46 H48:H50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8" priority="15" operator="containsText" text="أدخل اسم المحكم">
      <formula>NOT(ISERROR(SEARCH("أدخل اسم المحكم",G54)))</formula>
    </cfRule>
  </conditionalFormatting>
  <conditionalFormatting sqref="F10:F12 F14:F22 F24:F28 F30:F34 F36:F39 F41:F46 F48:F50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F9:F12 F14:F22 F24:F28 F30:F34 F36:F39 F41:F46 F48:F50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C3:D3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G54:J54 F3:J3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2026-08-30T04:35:26Z</dcterms:modified>
</cp:coreProperties>
</file>