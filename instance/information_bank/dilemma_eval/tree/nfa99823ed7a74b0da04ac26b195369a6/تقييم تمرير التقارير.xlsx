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AC42F61D-06A1-B647-B359-5F9663F8910F}"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<sst xmlns="http://schemas.openxmlformats.org/spreadsheetml/2006/main" count="258" uniqueCount="202">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</sst>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320159</xdr:colOff>
      <xdr:row>36</xdr:row>
      <xdr:rowOff>53615</xdr:rowOff>
    </xdr:from>
    <xdr:to>
      <xdr:col>8</xdr:col>
      <xdr:colOff>21698</xdr:colOff>
      <xdr:row>36</xdr:row>
      <xdr:rowOff>577415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A676FA89-BC98-24AE-4C39-D45268CC2671}"/>
                </a:ext>
              </a:extLst>
            </xdr14:cNvPr>
            <xdr14:cNvContentPartPr/>
          </xdr14:nvContentPartPr>
          <xdr14:nvPr macro=""/>
          <xdr14:xfrm>
            <a:off x="10399223211" y="18353160"/>
            <a:ext cx="1017720" cy="523800"/>
          </xdr14:xfrm>
        </xdr:contentPart>
      </mc:Choice>
      <mc:Fallback>
        <xdr:pic>
          <xdr:nvPicPr>
            <xdr:cNvPr id="2" name="Ink 1">
              <a:extLst>
                <a:ext uri="{FF2B5EF4-FFF2-40B4-BE49-F238E27FC236}">
                  <a16:creationId xmlns:a16="http://schemas.microsoft.com/office/drawing/2014/main" id="{A676FA89-BC98-24AE-4C39-D45268CC2671}"/>
                </a:ext>
              </a:extLst>
            </xdr:cNvPr>
            <xdr:cNvPicPr/>
          </xdr:nvPicPr>
          <xdr:blipFill>
            <a:blip xmlns:r="http://schemas.openxmlformats.org/officeDocument/2006/relationships" r:embed="rId2"/>
            <a:stretch>
              <a:fillRect/>
            </a:stretch>
          </xdr:blipFill>
          <xdr:spPr>
            <a:xfrm>
              <a:off x="10399214211" y="18344520"/>
              <a:ext cx="1035360" cy="541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32:58.199"/>
    </inkml:context>
    <inkml:brush xml:id="br0">
      <inkml:brushProperty name="width" value="0.05" units="cm"/>
      <inkml:brushProperty name="height" value="0.05" units="cm"/>
    </inkml:brush>
  </inkml:definitions>
  <inkml:trace contextRef="#ctx0" brushRef="#br0">2826 652 14947,'0'0'0,"0"0"0,-31-2 2392,0 0-2200,-3 0-208,8 2-232,26 0 248,-5 3-176,0 8-32,0-6 48,1 13-32,4-18 192,-3 11-104,-4 2 40,-3 1-72,5-2 64,5-12 72,-2 13-72,-3-9-32,-7 10 112,7-10-24,5-4 16,-2 16 16,-12-3 120,2 0-88,2 1 48,10-14-96,-17 15 40,0 4-24,0-1 32,-4 1 24,21-19-72,-24 18 64,0 1-32,0 1 32,2 1 0,22-21-64,-24 21 96,-3 2-32,3 0 72,-7 2-16,31-25-120,-29 26 112,-2-2 56,0-1-16,4 0 0,27-23-152,-29 18 224,8-1-48,-1-3 0,3-9 40,19-5-216,-17 12 40,5-12 112,7 0-39,0 0-33,5 0-80,-7 0 40,5-4-160,-3-11-113,3 2-7,2 13 240,-3-16-216,1-1 64,2-3-24,0-3 8,0 23 168,7-25-88,3-1-88,-6 1 72,11 1 32,-15 24 72,2-19-48,15 3 64,-12 5-80,-3 8-40,-2 3 104,5-3-176,-5 3 48,0 0 80,0 0 0,0 0 48,-2 12-16,-3-9 0,-5 12 64,-2-1 40,12-14-88,-14 17 128,2 6-24,-7-1-56,2 2 16,17-24-64,-24 22 56,0 0 40,0-1 56,-1-2-16,25-19-136,-19 14 200,0-1-80,2-9-88,3-1 80,14-3-112,-3 3 8,-1-3 48,1-5-184,3 0-272,0 5 400,0-16-496,7 2-120,5-2 144,0-2 120,-12 18 352,12-19-320,5-1 136,-2 0 0,-1 6-8,-14 14 192,10-11-192,-5 6-104,-1 4-25,-1 1 129,-3 0 192,0 0 24,0 4 192,-3 9 193,-9-9-57,12-4-352,-4 20 288,-13-6-88,2 2-48,1 1-40,14-17-112,-15 16 104,1-1 56,-3 0-64,0-3 80,17-12-176,-14 13 192,-1-8 0,3 9 32,0-11-8,12-3-216,-12 11 200,5-8-16,-5 1-16,7 7 24,5-11-192,-12 0 128,7 3 8,3 0-24,0 0 16,2-3-128,-3 0 240,3 0-24,0-1 8,0-4 41,0 5-265,5-13 104,-5 2-96,12-7-88,-7-8-128,-5 26 208,19-33-145,-2-6-39,2-6 56,5-3-16,-24 48 144,29-51-136,5-6 48,-3-5-56,3-2-24,-34 64 168,29-64-200,-1 3 64,1 5 32,-5 6 72,-24 50 32,22-47 32,0 8-8,-3 2 24,-5 8-48,-14 29 0,12-21-16,-9 7 8,2 9 32,-3 3 56,-2 2-80,0 0 232,0 0 72,0 4-104,-2 7-56,2-11-144,-12 4-48,7 11-32,0-3 64,-9 7-40,14-19 56,-15 24-40,-4 3-64,0 4 8,-1 2 48,20-33 48,-21 37-32,-3 3-16,0 5 0,-5 5 0,29-50 48,-32 54-16,4-1-24,-4-1 32,-1-1 8,33-51 0,-32 50-16,-1 3 64,-1-3 32,-2-1 64,36-49-144,-36 49 232,5-4 8,-1-2-24,-1-5-24,33-38-192,-24 36 185,-5-5 47,10-7 48,-1-7-24,20-17-256,-14 13 216,11-10-80,-1 1-16,-1-1-32,5-3-88,-3 0-24,3 0-104,-2-4-240,2-8-184,0 12 552,2-12-585,1-6-23,6-4 80,-1-7 104,-8 29 424,14-34-376,-2-1 8,3-1 56,-1 1 16,-14 35 296,17-33-296,-5 2 88,2 2 16,-4 6 8,-10 23 184,5-18-136,7 5-72,-7 9-89,-3 0-55,-2 4 352,0-2-336,0 2 152,0 4 224,0 9 208,0-13-248,-7 12 288,4 2-48,-6 3-63,1 1-81,8-18-96,-9 20 72,2 2-16,-5-2 8,7 1-48,5-21-16,-12 20 24,7-5 8,0 1-40,-7-5 40,12-11-32,-5 5 0,1-1 0,1 7 64,-2-11 0,5 0-64,-5 3 64,3 0 32,-3 0-56,0-3-16,5 0-24,-4 3 16,-1 0-24,-7-3 8,9 2-8,3-2 8,0 0-16,-2 3 0,0-3 16,-3 0 32,5 0-32,-3 3 0,1 0 8,0-3 16,-3 3-24,5-3 0,-3 0-24,3 3 0,-4-1 8,-1 3 16,5-5 0,-12 11 40,9-8-16,-4 8-24,-5-6-24,12-5 24,-5 12-8,-12-7 8,8 12 32,-6-6 24,15-11-56,-12 4 96,0 13 8,0-12 48,5 7 80,7-12-232,-12 3 248,10 0 40,-3 0 120,0-3-32,5 0-376,0 0 424,0-1 0,0-11-152,0 1-80,0 11-192,0-19 24,0-5-112,0-10-40,2-10 48,-2 44 80,20-53-112,-4-6 32,9-7 24,3-6 8,-28 72 48,29-80-16,3-9 40,1-7 24,-2-3-48,-31 99 0,37-101 32,-1 4 8,0 5 32,-3 8-24,-33 84-48,34-75 48,-3 11-16,-4 12-80,-3 10 72,-24 42-24,19-33 0,-7 8-32,-5 8 88,-2 5 0,-5 12-56,0-1 184,0 1 56,0 3-112,-2 8-104,2-11-24,-7 11-56,-8 8-88,1 8 0,-8 13 56,22-40 88,-24 52-144,-7 12 40,-5 9-24,-5 5-48,41-78 176,-41 82-104,-2 2 16,-6 0 88,1-6 120,48-78-120,-48 76 176,0-8 80,-2-6 144,1-5 137,49-57-537,-45 53 504,-3-3 8,12-8-64,0-6-80,36-36-368,-32 28 344,8-7-24,5-8-72,7-8-120,12-5-128,-7 4 104,4-1-24,3-3-40,-2 0-120,2 0 80,0-5-296,0-7-128,2 6-128,1-14 48,-3 20 504,2-17-424,3-7-32,7-6 0,-10-3 111,-2 33 345,20-35-432,-4-1 120,-1 3 0,4 2 56,-19 31 256,17-28-184,0 1-32,0 3 96,-5 5-72,-12 19 192,4-16-248,11 11 24,-15-1-72,2 5-48,-2 1 344,0 0-128,0 0 40,0 11 208,-2-8 152,2-3-272,-7 14 232,4-3 32,-11 1-152,2 3 48,12-15-160,-15 18 144,-1-1 32,-6 1 96,3-1 8,19-17-280,-20 17 288,-4-3-32,3-1 0,-3-1-120,24-12-136,-22 11 200,-4-7-16,-1 15-104,1-7 80,26-12-160,-34 13 97,3-1 7,-5-8 32,-3 13 48,39-17-184,-38 11 208,-3 1 64,0-1 56,0 2 8,41-13-336,-46 13 304,1-1-48,-6 4-40,3 0-32,48-16-184,-48 18 168,0 1-24,2-1 8,3 1-152,43-19 0,-39 17 56,3-2 8,7 0-80,8-3 112,21-12-96,-15 5 48,8 6-112,2-11-96,5 3-72,0-3 232,0 3-288,0 1 8,19 0 80,1 9 104,-20-13 96,31 3 0,7-3 120,11 0 80,11-13 48,-60 13-248,72-20 208,7-10 72,10-7 8,7-8-104,-96 45-184,104-51 216,9-6-152,2 1 16,10-2 24,-125 58-104,130-57 96,0-2 40,-5-3-88,0 0-32,-125 62-16,118-61-16,0 1-8,0 2 24,-7 2 0,-111 56 0,108-55-16,-12 2-72,-5 5-192,-11 4-120,-80 44 400,70-41-392,-10 5-104,-12 5 104,-7 5 136,-41 26 256,31-22-232,-14 3 200,-12 5 104,-3 1-8,-2 13-64,-2-11 136,-20 6-40,-7-6-152,-12 7-96,41 4 152,-50-5-264,-13 1 40,-11 4 96,-15 4 104,89-4 24,-99 22 72,-12 3 40,-7 10 144,-4 9 112,122-44-368,-123 51 432,3 7 96,2 7-40,0 2-24,118-67-464,-110 70 424,6-5-192,17-4-15,15-8-161,72-53-56,-60 44-16,12-4 32,10-7-152,9-6-217,29-27 353,-17 19-680,10-4-536,2-4-416,2-7-449,3-4 2081,0 15-3104,3-13-1449,11-2-1345,-14 0 5898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D21" zoomScale="130" zoomScaleNormal="100" zoomScaleSheetLayoutView="130" workbookViewId="0">
      <selection activeCell="C2" sqref="C2:D2"/>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39</v>
      </c>
      <c r="D2" s="77"/>
      <c r="E2" s="13" t="s">
        <v>7</v>
      </c>
      <c r="F2" s="72">
        <v>45955</v>
      </c>
      <c r="G2" s="72"/>
      <c r="H2" s="72"/>
      <c r="I2" s="72"/>
      <c r="J2" s="72"/>
    </row>
    <row r="3" spans="1:10" ht="30" customHeight="1" x14ac:dyDescent="0.2">
      <c r="B3" s="13" t="s">
        <v>9</v>
      </c>
      <c r="C3" s="77" t="s">
        <v>80</v>
      </c>
      <c r="D3" s="77"/>
      <c r="E3" s="13" t="s">
        <v>6</v>
      </c>
      <c r="F3" s="77" t="s">
        <v>142</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198</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3.5</v>
      </c>
      <c r="G13" s="32">
        <f t="shared" si="0"/>
        <v>0.7</v>
      </c>
      <c r="H13" s="33" t="str">
        <f t="shared" si="1"/>
        <v>جيد</v>
      </c>
      <c r="I13" s="55"/>
      <c r="J13" s="56"/>
    </row>
    <row r="14" spans="1:10" ht="71.25" customHeight="1" x14ac:dyDescent="0.2">
      <c r="A14" s="11"/>
      <c r="B14" s="43" t="s">
        <v>178</v>
      </c>
      <c r="C14" s="44"/>
      <c r="D14" s="44"/>
      <c r="E14" s="9">
        <v>5</v>
      </c>
      <c r="F14" s="27">
        <v>3.75</v>
      </c>
      <c r="G14" s="32">
        <f t="shared" si="0"/>
        <v>0.75</v>
      </c>
      <c r="H14" s="33" t="str">
        <f t="shared" si="1"/>
        <v>جيد</v>
      </c>
      <c r="I14" s="55"/>
      <c r="J14" s="56"/>
    </row>
    <row r="15" spans="1:10" ht="39.950000000000003" customHeight="1" x14ac:dyDescent="0.2">
      <c r="A15" s="11"/>
      <c r="B15" s="43" t="s">
        <v>179</v>
      </c>
      <c r="C15" s="44"/>
      <c r="D15" s="44"/>
      <c r="E15" s="9">
        <v>5</v>
      </c>
      <c r="F15" s="27">
        <v>3.5</v>
      </c>
      <c r="G15" s="32">
        <f t="shared" si="0"/>
        <v>0.7</v>
      </c>
      <c r="H15" s="33" t="str">
        <f t="shared" si="1"/>
        <v>جيد</v>
      </c>
      <c r="I15" s="55"/>
      <c r="J15" s="56"/>
    </row>
    <row r="16" spans="1:10" ht="68.25" customHeight="1" x14ac:dyDescent="0.2">
      <c r="A16" s="11"/>
      <c r="B16" s="43" t="s">
        <v>180</v>
      </c>
      <c r="C16" s="44"/>
      <c r="D16" s="44"/>
      <c r="E16" s="9">
        <v>5</v>
      </c>
      <c r="F16" s="27">
        <v>3.5</v>
      </c>
      <c r="G16" s="32">
        <f t="shared" si="0"/>
        <v>0.7</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199</v>
      </c>
      <c r="C18" s="60"/>
      <c r="D18" s="60"/>
      <c r="E18" s="40"/>
      <c r="F18" s="34"/>
      <c r="G18" s="35"/>
      <c r="H18" s="36"/>
      <c r="I18" s="57"/>
      <c r="J18" s="58"/>
    </row>
    <row r="19" spans="1:10" ht="39.950000000000003" customHeight="1" x14ac:dyDescent="0.2">
      <c r="A19" s="11"/>
      <c r="B19" s="43" t="s">
        <v>182</v>
      </c>
      <c r="C19" s="44"/>
      <c r="D19" s="44"/>
      <c r="E19" s="9">
        <v>5</v>
      </c>
      <c r="F19" s="27">
        <v>3.5</v>
      </c>
      <c r="G19" s="32">
        <f t="shared" si="0"/>
        <v>0.7</v>
      </c>
      <c r="H19" s="33" t="str">
        <f t="shared" si="1"/>
        <v>جيد</v>
      </c>
      <c r="I19" s="55"/>
      <c r="J19" s="56"/>
    </row>
    <row r="20" spans="1:10" ht="39.950000000000003" customHeight="1" x14ac:dyDescent="0.2">
      <c r="A20" s="11"/>
      <c r="B20" s="43" t="s">
        <v>183</v>
      </c>
      <c r="C20" s="44"/>
      <c r="D20" s="44"/>
      <c r="E20" s="9">
        <v>5</v>
      </c>
      <c r="F20" s="27">
        <v>3.5</v>
      </c>
      <c r="G20" s="32">
        <f t="shared" si="0"/>
        <v>0.7</v>
      </c>
      <c r="H20" s="33" t="str">
        <f t="shared" si="1"/>
        <v>جيد</v>
      </c>
      <c r="I20" s="55"/>
      <c r="J20" s="56"/>
    </row>
    <row r="21" spans="1:10" ht="39.950000000000003" customHeight="1" x14ac:dyDescent="0.2">
      <c r="A21" s="11"/>
      <c r="B21" s="43" t="s">
        <v>184</v>
      </c>
      <c r="C21" s="44"/>
      <c r="D21" s="44"/>
      <c r="E21" s="9">
        <v>5</v>
      </c>
      <c r="F21" s="27">
        <v>3.75</v>
      </c>
      <c r="G21" s="32">
        <f t="shared" si="0"/>
        <v>0.75</v>
      </c>
      <c r="H21" s="33" t="str">
        <f t="shared" si="1"/>
        <v>جيد</v>
      </c>
      <c r="I21" s="55"/>
      <c r="J21" s="56"/>
    </row>
    <row r="22" spans="1:10" ht="39.950000000000003" customHeight="1" x14ac:dyDescent="0.2">
      <c r="A22" s="11"/>
      <c r="B22" s="43" t="s">
        <v>185</v>
      </c>
      <c r="C22" s="44"/>
      <c r="D22" s="44"/>
      <c r="E22" s="9">
        <v>5</v>
      </c>
      <c r="F22" s="27">
        <v>3.5</v>
      </c>
      <c r="G22" s="32">
        <f t="shared" si="0"/>
        <v>0.7</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3.5</v>
      </c>
      <c r="G25" s="32">
        <f t="shared" si="0"/>
        <v>0.7</v>
      </c>
      <c r="H25" s="33" t="str">
        <f t="shared" si="1"/>
        <v>جيد</v>
      </c>
      <c r="I25" s="55"/>
      <c r="J25" s="56"/>
    </row>
    <row r="26" spans="1:10" ht="39.950000000000003" customHeight="1" thickBot="1" x14ac:dyDescent="0.25">
      <c r="A26" s="11"/>
      <c r="B26" s="45" t="s">
        <v>189</v>
      </c>
      <c r="C26" s="46"/>
      <c r="D26" s="46"/>
      <c r="E26" s="37">
        <v>5</v>
      </c>
      <c r="F26" s="29">
        <v>3.5</v>
      </c>
      <c r="G26" s="38">
        <f t="shared" si="0"/>
        <v>0.7</v>
      </c>
      <c r="H26" s="39" t="str">
        <f t="shared" si="1"/>
        <v>جيد</v>
      </c>
      <c r="I26" s="53"/>
      <c r="J26" s="54"/>
    </row>
    <row r="27" spans="1:10" ht="39.950000000000003" customHeight="1" x14ac:dyDescent="0.2">
      <c r="A27" s="11"/>
      <c r="B27" s="47" t="s">
        <v>200</v>
      </c>
      <c r="C27" s="48"/>
      <c r="D27" s="48"/>
      <c r="E27" s="40"/>
      <c r="F27" s="34"/>
      <c r="G27" s="35"/>
      <c r="H27" s="36"/>
      <c r="I27" s="57"/>
      <c r="J27" s="58"/>
    </row>
    <row r="28" spans="1:10" ht="39.950000000000003" customHeight="1" x14ac:dyDescent="0.2">
      <c r="A28" s="11"/>
      <c r="B28" s="43" t="s">
        <v>190</v>
      </c>
      <c r="C28" s="44"/>
      <c r="D28" s="44"/>
      <c r="E28" s="9">
        <v>5</v>
      </c>
      <c r="F28" s="27">
        <v>3.75</v>
      </c>
      <c r="G28" s="32">
        <f t="shared" si="0"/>
        <v>0.75</v>
      </c>
      <c r="H28" s="33" t="str">
        <f t="shared" si="1"/>
        <v>جيد</v>
      </c>
      <c r="I28" s="55"/>
      <c r="J28" s="56"/>
    </row>
    <row r="29" spans="1:10" ht="39.950000000000003" customHeight="1" x14ac:dyDescent="0.2">
      <c r="A29" s="11"/>
      <c r="B29" s="43" t="s">
        <v>191</v>
      </c>
      <c r="C29" s="44"/>
      <c r="D29" s="44"/>
      <c r="E29" s="9">
        <v>5</v>
      </c>
      <c r="F29" s="27">
        <v>3.5</v>
      </c>
      <c r="G29" s="32">
        <f t="shared" si="0"/>
        <v>0.7</v>
      </c>
      <c r="H29" s="33" t="str">
        <f t="shared" si="1"/>
        <v>جيد</v>
      </c>
      <c r="I29" s="55"/>
      <c r="J29" s="56"/>
    </row>
    <row r="30" spans="1:10" ht="39.950000000000003" customHeight="1" x14ac:dyDescent="0.2">
      <c r="A30" s="11"/>
      <c r="B30" s="43" t="s">
        <v>192</v>
      </c>
      <c r="C30" s="44"/>
      <c r="D30" s="44"/>
      <c r="E30" s="9">
        <v>5</v>
      </c>
      <c r="F30" s="27">
        <v>3.5</v>
      </c>
      <c r="G30" s="32">
        <f t="shared" si="0"/>
        <v>0.7</v>
      </c>
      <c r="H30" s="33" t="str">
        <f t="shared" si="1"/>
        <v>جيد</v>
      </c>
      <c r="I30" s="55"/>
      <c r="J30" s="56"/>
    </row>
    <row r="31" spans="1:10" ht="39.950000000000003" customHeight="1" x14ac:dyDescent="0.2">
      <c r="A31" s="11"/>
      <c r="B31" s="43" t="s">
        <v>193</v>
      </c>
      <c r="C31" s="44"/>
      <c r="D31" s="44"/>
      <c r="E31" s="9">
        <v>5</v>
      </c>
      <c r="F31" s="27">
        <v>3.75</v>
      </c>
      <c r="G31" s="32">
        <f t="shared" si="0"/>
        <v>0.75</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79.75</v>
      </c>
      <c r="G33" s="88"/>
      <c r="H33" s="89"/>
      <c r="I33" s="89"/>
      <c r="J33" s="90"/>
    </row>
    <row r="34" spans="1:10" ht="30" customHeight="1" thickBot="1" x14ac:dyDescent="0.25">
      <c r="A34" s="4"/>
      <c r="B34" s="63" t="s">
        <v>54</v>
      </c>
      <c r="C34" s="64"/>
      <c r="D34" s="64"/>
      <c r="E34" s="78">
        <f>F33/E33/100*100</f>
        <v>0.72499999999999998</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142</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