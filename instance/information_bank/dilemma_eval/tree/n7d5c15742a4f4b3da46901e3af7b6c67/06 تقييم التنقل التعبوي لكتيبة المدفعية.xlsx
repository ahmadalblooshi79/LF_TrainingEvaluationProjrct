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التقييم'!$A$1:$J$50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5" i="2"/>
  <c r="H25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F46" i="2" l="1"/>
  <c r="E46" i="2" l="1"/>
  <c r="E47" i="2" l="1"/>
  <c r="E48" i="2" s="1"/>
</calcChain>
</file>

<file path=xl/sharedStrings.xml><?xml version="1.0" encoding="utf-8"?>
<sst xmlns="http://schemas.openxmlformats.org/spreadsheetml/2006/main" count="99" uniqueCount="67">
  <si>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</si>
  <si>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</si>
  <si>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</si>
  <si>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</si>
  <si>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</si>
  <si>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</si>
  <si>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</si>
  <si>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</si>
  <si>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</si>
  <si>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</si>
  <si>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</si>
  <si>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</si>
  <si>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</si>
  <si>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</si>
  <si>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</si>
  <si>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</si>
  <si>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</si>
  <si>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</si>
  <si>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</si>
  <si>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</si>
  <si>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</si>
  <si>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</si>
  <si>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</si>
  <si>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</si>
  <si>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</si>
  <si>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</si>
  <si>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</si>
  <si>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</si>
  <si>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من الخارطة وانتخاب الموقع بشكل عام والطُرق الرئيسية والبديلة من الموقع الحالي الى الموقع الجديد.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</si>
  <si>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التفصيلي للموقع على الارض.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</si>
  <si>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القائد بالكشف والاستطلاع من الجو إذا سمح الوقت وتوفرت مصادر الاستطلاع الجوي.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</si>
  <si>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القائد بإعطاء ايجاز حول الموقع الجديد لجميع العناصر الرئيسيين في الكتيبة بحيث يتضمن المعلومات الرئيسية التالية:</t>
    </r>
  </si>
  <si>
    <t>أ. احداثيات الموقع الجديد.</t>
  </si>
  <si>
    <t xml:space="preserve">ب. وقت الحركة الى الموقع الجديد. </t>
  </si>
  <si>
    <t>جـ. اسلوب الحركة.</t>
  </si>
  <si>
    <t>د. طريق الحركة.</t>
  </si>
  <si>
    <t>هـ. المهمة.</t>
  </si>
  <si>
    <t>و. موقف القوات الصديقة وموقف العدو.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</si>
  <si>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تنظيم وتجهيز جماعة المقدمة وحسب الاوامر التعبوية المستديمة للوحدة.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</si>
  <si>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الموقع بشكل جيد لتسهيل عملية الاحتلال وكما يلي:</t>
    </r>
  </si>
  <si>
    <t>أ. اعداد وتحضير خطة الحركة للأليات المجنزرة والآليات المدولبة.</t>
  </si>
  <si>
    <t>ب. اعطاء ايجاز لأُدلاء المدافع والآليات (إيجاز الدليل).</t>
  </si>
  <si>
    <t>جـ. تحضير نقاط دخول وخروج من والى الموقع.</t>
  </si>
  <si>
    <t>د. التأكد من توفر الهوائيات الطويلة على الآليات لتوفير الاتصال لمسافة بعيدة.</t>
  </si>
  <si>
    <t>هـ. تحديد المقتربات التي يمكن الحركة من خلالها بسرعة عالية.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</si>
  <si>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تفهم الجميع لتعليمات الحركة والتي تتضمن:</t>
    </r>
  </si>
  <si>
    <t>أ. نقطة البدء.</t>
  </si>
  <si>
    <t>ب. نقطة الانتشار.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</si>
  <si>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قيام الوحدة بالتفتيش العملياتي وضمان أن جميع الآليات في العمل قبل بدء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</si>
  <si>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اعطاء ايجاز للسائقين حول تعليمات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</si>
  <si>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خطة تحميل المهمات والمعدات وأنها مؤمنة ومحمية حسب خطة التحميل.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</si>
  <si>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تركيب اجهزة الاتصال وأن جميع معدات الاتصال جاهزة للعمل.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</si>
  <si>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توزيع الأفراد على الآليات وقيامهم بإجراء أي تعديلات لازمة على تحميل المهمات والمعدات.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</si>
  <si>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قيام اعداد اُوَل المدافع بتفقد الاضواء ومعدات الرؤية الليلية (ان لزم الأمر).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</si>
  <si>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مراقبة الضبط والربط العسكري المتعلق بمدى الالتزام بتعليمات الاضاءة والصوت أثناء الحركة ليلاً.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</si>
  <si>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استخدام أحد اساليب التحرك التعبوي على الطرق (الرتل المفتوح - الرتل المُغلق - الحركة حسب طبيعة الأرض – التسلل - تشكيلة حركة خاصة) وحسب توجيهات القائد.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</si>
  <si>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التأكد من محافظة السائقين على الفاصل بين الآليات بمسافة (100) متر إذا كانت التشكيلة " رتل مفتوح" ومسافة تقل عن (100) متر لتشكيلة "الرتل المغلق".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</si>
  <si>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المحافظة على الضبط والربط المتمثل بالالتزام بتعليمات المسير وكذلك تأمين الحماية اثناء الحركة.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</si>
  <si>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الابلاغ عند اجتياز نقطة البدء ونقاط السيطرة ونقطة الانتشار وبتوقيتات محددة إلا إذا تم فرض "الصمت اللاسلكي".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</si>
  <si>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حركة السائقين على الطرق المحددة مع استغلال طبيعة الارض والاستفادة من الاشجار والمقاطع الصخرية والتلال المتوفرة في منطقة التحرك التعبوي.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</si>
  <si>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السيطرة على حركة الآليات بشكل فردي عند استخدام اسلوب "التسلل".</t>
    </r>
  </si>
  <si>
    <t>جـ. نقاط السيطرة.</t>
  </si>
  <si>
    <t>د. أسلوب وطريق الحركة.</t>
  </si>
  <si>
    <t>إجراءات التحضير.</t>
  </si>
  <si>
    <r>
      <t xml:space="preserve">إجراءات التخطيط. </t>
    </r>
    <r>
      <rPr>
        <sz val="12"/>
        <color rgb="FF000000"/>
        <rFont val="Arial"/>
        <family val="2"/>
      </rPr>
      <t>الاستعداد للحركة الى الموقع الجديد وتنفيذ الأعمال التالية</t>
    </r>
  </si>
  <si>
    <t>إجراءات التنفيذ.</t>
  </si>
  <si>
    <t>تقييم التنقل التعبوي لكتيبة المدفعية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</si>
</sst>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1" fillId="4" borderId="23" xfId="0" applyFont="1" applyFill="1" applyBorder="1" applyAlignment="1">
      <alignment horizontal="right" vertical="center" wrapText="1" readingOrder="2"/>
    </xf>
    <xf numFmtId="0" fontId="1" fillId="4" borderId="24" xfId="0" applyFont="1" applyFill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7" t="s">
        <v>66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25">
      <c r="B2" s="11" t="s">
        <v>8</v>
      </c>
      <c r="C2" s="49" t="s">
        <v>23</v>
      </c>
      <c r="D2" s="49"/>
      <c r="E2" s="11" t="s">
        <v>7</v>
      </c>
      <c r="F2" s="44" t="s">
        <v>22</v>
      </c>
      <c r="G2" s="44"/>
      <c r="H2" s="44"/>
      <c r="I2" s="44"/>
      <c r="J2" s="44"/>
    </row>
    <row r="3" spans="1:10" ht="30" customHeight="1" x14ac:dyDescent="0.25">
      <c r="B3" s="11" t="s">
        <v>9</v>
      </c>
      <c r="C3" s="49" t="s">
        <v>25</v>
      </c>
      <c r="D3" s="49"/>
      <c r="E3" s="11" t="s">
        <v>6</v>
      </c>
      <c r="F3" s="49" t="s">
        <v>24</v>
      </c>
      <c r="G3" s="49"/>
      <c r="H3" s="49"/>
      <c r="I3" s="49"/>
      <c r="J3" s="4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45" t="s">
        <v>0</v>
      </c>
      <c r="C5" s="46"/>
      <c r="D5" s="46"/>
      <c r="E5" s="56" t="s">
        <v>1</v>
      </c>
      <c r="F5" s="56"/>
      <c r="G5" s="56"/>
      <c r="H5" s="56"/>
      <c r="I5" s="56" t="s">
        <v>2</v>
      </c>
      <c r="J5" s="57"/>
    </row>
    <row r="6" spans="1:10" ht="24.95" customHeight="1" thickBot="1" x14ac:dyDescent="0.3">
      <c r="A6" s="9"/>
      <c r="B6" s="47"/>
      <c r="C6" s="48"/>
      <c r="D6" s="48"/>
      <c r="E6" s="10" t="s">
        <v>3</v>
      </c>
      <c r="F6" s="10" t="s">
        <v>4</v>
      </c>
      <c r="G6" s="10" t="s">
        <v>15</v>
      </c>
      <c r="H6" s="10" t="s">
        <v>16</v>
      </c>
      <c r="I6" s="58"/>
      <c r="J6" s="59"/>
    </row>
    <row r="7" spans="1:10" ht="24.95" customHeight="1" thickBot="1" x14ac:dyDescent="0.3">
      <c r="A7" s="9"/>
      <c r="B7" s="52" t="s">
        <v>13</v>
      </c>
      <c r="C7" s="53"/>
      <c r="D7" s="53"/>
      <c r="E7" s="14" t="s">
        <v>10</v>
      </c>
      <c r="F7" s="14" t="s">
        <v>11</v>
      </c>
      <c r="G7" s="14" t="s">
        <v>14</v>
      </c>
      <c r="H7" s="14" t="s">
        <v>12</v>
      </c>
      <c r="I7" s="60" t="s">
        <v>17</v>
      </c>
      <c r="J7" s="61"/>
    </row>
    <row r="8" spans="1:10" ht="30" customHeight="1" x14ac:dyDescent="0.25">
      <c r="A8" s="9"/>
      <c r="B8" s="25" t="s">
        <v>63</v>
      </c>
      <c r="C8" s="26"/>
      <c r="D8" s="26"/>
      <c r="E8" s="26"/>
      <c r="F8" s="26"/>
      <c r="G8" s="26"/>
      <c r="H8" s="26"/>
      <c r="I8" s="26"/>
      <c r="J8" s="27"/>
    </row>
    <row r="9" spans="1:10" ht="39.950000000000003" customHeight="1" x14ac:dyDescent="0.25">
      <c r="A9" s="9"/>
      <c r="B9" s="21" t="s">
        <v>28</v>
      </c>
      <c r="C9" s="22"/>
      <c r="D9" s="22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2"/>
      <c r="J9" s="33"/>
    </row>
    <row r="10" spans="1:10" ht="30" customHeight="1" x14ac:dyDescent="0.25">
      <c r="A10" s="9"/>
      <c r="B10" s="21" t="s">
        <v>29</v>
      </c>
      <c r="C10" s="22"/>
      <c r="D10" s="22"/>
      <c r="E10" s="8">
        <v>5</v>
      </c>
      <c r="F10" s="12" t="s">
        <v>26</v>
      </c>
      <c r="G10" s="16" t="str">
        <f t="shared" ref="G10:G45" si="0">IFERROR(F10/E10,"")</f>
        <v/>
      </c>
      <c r="H10" s="17" t="str">
        <f t="shared" ref="H10:H45" si="1">_xlfn.IFS(F10="أدخل العلامة","",F10="لا ينطبق","تم الإلغاء",G10&gt;=90%,"ممتاز",G10&gt;=80%,"جيد جداً",G10&gt;=70%,"جيد",G10&gt;=60%,"مقبول",G10&lt;60%,"راسب")</f>
        <v/>
      </c>
      <c r="I10" s="32"/>
      <c r="J10" s="33"/>
    </row>
    <row r="11" spans="1:10" ht="39.950000000000003" customHeight="1" x14ac:dyDescent="0.25">
      <c r="A11" s="9"/>
      <c r="B11" s="21" t="s">
        <v>30</v>
      </c>
      <c r="C11" s="22"/>
      <c r="D11" s="22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2"/>
      <c r="J11" s="33"/>
    </row>
    <row r="12" spans="1:10" ht="39.950000000000003" customHeight="1" x14ac:dyDescent="0.25">
      <c r="A12" s="9"/>
      <c r="B12" s="21" t="s">
        <v>31</v>
      </c>
      <c r="C12" s="22"/>
      <c r="D12" s="22"/>
      <c r="E12" s="8"/>
      <c r="F12" s="12"/>
      <c r="G12" s="16"/>
      <c r="H12" s="17"/>
      <c r="I12" s="32"/>
      <c r="J12" s="33"/>
    </row>
    <row r="13" spans="1:10" ht="30" customHeight="1" x14ac:dyDescent="0.25">
      <c r="A13" s="9"/>
      <c r="B13" s="28" t="s">
        <v>32</v>
      </c>
      <c r="C13" s="29"/>
      <c r="D13" s="29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2"/>
      <c r="J13" s="33"/>
    </row>
    <row r="14" spans="1:10" ht="30" customHeight="1" x14ac:dyDescent="0.25">
      <c r="A14" s="9"/>
      <c r="B14" s="28" t="s">
        <v>33</v>
      </c>
      <c r="C14" s="29"/>
      <c r="D14" s="29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32"/>
      <c r="J14" s="33"/>
    </row>
    <row r="15" spans="1:10" ht="30" customHeight="1" x14ac:dyDescent="0.25">
      <c r="A15" s="9"/>
      <c r="B15" s="28" t="s">
        <v>34</v>
      </c>
      <c r="C15" s="29"/>
      <c r="D15" s="29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2"/>
      <c r="J15" s="33"/>
    </row>
    <row r="16" spans="1:10" ht="30" customHeight="1" x14ac:dyDescent="0.25">
      <c r="A16" s="9"/>
      <c r="B16" s="28" t="s">
        <v>35</v>
      </c>
      <c r="C16" s="29"/>
      <c r="D16" s="29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2"/>
      <c r="J16" s="33"/>
    </row>
    <row r="17" spans="1:10" ht="30" customHeight="1" x14ac:dyDescent="0.25">
      <c r="A17" s="9"/>
      <c r="B17" s="28" t="s">
        <v>36</v>
      </c>
      <c r="C17" s="29"/>
      <c r="D17" s="29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2"/>
      <c r="J17" s="33"/>
    </row>
    <row r="18" spans="1:10" ht="30" customHeight="1" x14ac:dyDescent="0.25">
      <c r="A18" s="9"/>
      <c r="B18" s="28" t="s">
        <v>37</v>
      </c>
      <c r="C18" s="29"/>
      <c r="D18" s="29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2"/>
      <c r="J18" s="33"/>
    </row>
    <row r="19" spans="1:10" ht="39.950000000000003" customHeight="1" x14ac:dyDescent="0.25">
      <c r="A19" s="9"/>
      <c r="B19" s="21" t="s">
        <v>38</v>
      </c>
      <c r="C19" s="22"/>
      <c r="D19" s="22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2"/>
      <c r="J19" s="33"/>
    </row>
    <row r="20" spans="1:10" ht="30" customHeight="1" x14ac:dyDescent="0.25">
      <c r="A20" s="9"/>
      <c r="B20" s="21" t="s">
        <v>39</v>
      </c>
      <c r="C20" s="22"/>
      <c r="D20" s="22"/>
      <c r="E20" s="8"/>
      <c r="F20" s="12"/>
      <c r="G20" s="16"/>
      <c r="H20" s="17"/>
      <c r="I20" s="32"/>
      <c r="J20" s="33"/>
    </row>
    <row r="21" spans="1:10" ht="30" customHeight="1" x14ac:dyDescent="0.25">
      <c r="A21" s="9"/>
      <c r="B21" s="28" t="s">
        <v>40</v>
      </c>
      <c r="C21" s="29"/>
      <c r="D21" s="29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2"/>
      <c r="J21" s="33"/>
    </row>
    <row r="22" spans="1:10" ht="30" customHeight="1" x14ac:dyDescent="0.25">
      <c r="A22" s="9"/>
      <c r="B22" s="28" t="s">
        <v>41</v>
      </c>
      <c r="C22" s="29"/>
      <c r="D22" s="29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2"/>
      <c r="J22" s="33"/>
    </row>
    <row r="23" spans="1:10" ht="30" customHeight="1" x14ac:dyDescent="0.25">
      <c r="A23" s="9"/>
      <c r="B23" s="28" t="s">
        <v>42</v>
      </c>
      <c r="C23" s="29"/>
      <c r="D23" s="29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2"/>
      <c r="J23" s="33"/>
    </row>
    <row r="24" spans="1:10" ht="39.950000000000003" customHeight="1" x14ac:dyDescent="0.25">
      <c r="A24" s="9"/>
      <c r="B24" s="28" t="s">
        <v>43</v>
      </c>
      <c r="C24" s="29"/>
      <c r="D24" s="29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2"/>
      <c r="J24" s="33"/>
    </row>
    <row r="25" spans="1:10" ht="30" customHeight="1" thickBot="1" x14ac:dyDescent="0.3">
      <c r="A25" s="9"/>
      <c r="B25" s="30" t="s">
        <v>44</v>
      </c>
      <c r="C25" s="31"/>
      <c r="D25" s="31"/>
      <c r="E25" s="18">
        <v>5</v>
      </c>
      <c r="F25" s="13" t="s">
        <v>26</v>
      </c>
      <c r="G25" s="19" t="str">
        <f t="shared" si="0"/>
        <v/>
      </c>
      <c r="H25" s="20" t="str">
        <f t="shared" si="1"/>
        <v/>
      </c>
      <c r="I25" s="54"/>
      <c r="J25" s="55"/>
    </row>
    <row r="26" spans="1:10" ht="30" customHeight="1" x14ac:dyDescent="0.25">
      <c r="A26" s="9"/>
      <c r="B26" s="25" t="s">
        <v>64</v>
      </c>
      <c r="C26" s="26"/>
      <c r="D26" s="26"/>
      <c r="E26" s="26"/>
      <c r="F26" s="26"/>
      <c r="G26" s="26"/>
      <c r="H26" s="26"/>
      <c r="I26" s="26"/>
      <c r="J26" s="27"/>
    </row>
    <row r="27" spans="1:10" ht="30" customHeight="1" x14ac:dyDescent="0.25">
      <c r="A27" s="9"/>
      <c r="B27" s="21" t="s">
        <v>45</v>
      </c>
      <c r="C27" s="22"/>
      <c r="D27" s="22"/>
      <c r="E27" s="8"/>
      <c r="F27" s="12"/>
      <c r="G27" s="16"/>
      <c r="H27" s="17"/>
      <c r="I27" s="32"/>
      <c r="J27" s="33"/>
    </row>
    <row r="28" spans="1:10" ht="30" customHeight="1" x14ac:dyDescent="0.25">
      <c r="A28" s="9"/>
      <c r="B28" s="28" t="s">
        <v>46</v>
      </c>
      <c r="C28" s="29"/>
      <c r="D28" s="29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2"/>
      <c r="J28" s="33"/>
    </row>
    <row r="29" spans="1:10" ht="30" customHeight="1" x14ac:dyDescent="0.25">
      <c r="A29" s="9"/>
      <c r="B29" s="28" t="s">
        <v>47</v>
      </c>
      <c r="C29" s="29"/>
      <c r="D29" s="29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2"/>
      <c r="J29" s="33"/>
    </row>
    <row r="30" spans="1:10" ht="30" customHeight="1" x14ac:dyDescent="0.25">
      <c r="A30" s="9"/>
      <c r="B30" s="28" t="s">
        <v>61</v>
      </c>
      <c r="C30" s="29"/>
      <c r="D30" s="29"/>
      <c r="E30" s="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32"/>
      <c r="J30" s="33"/>
    </row>
    <row r="31" spans="1:10" ht="30" customHeight="1" x14ac:dyDescent="0.25">
      <c r="A31" s="9"/>
      <c r="B31" s="28" t="s">
        <v>62</v>
      </c>
      <c r="C31" s="29"/>
      <c r="D31" s="29"/>
      <c r="E31" s="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2"/>
      <c r="J31" s="33"/>
    </row>
    <row r="32" spans="1:10" ht="39.950000000000003" customHeight="1" x14ac:dyDescent="0.25">
      <c r="A32" s="9"/>
      <c r="B32" s="21" t="s">
        <v>48</v>
      </c>
      <c r="C32" s="22"/>
      <c r="D32" s="22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2"/>
      <c r="J32" s="33"/>
    </row>
    <row r="33" spans="1:10" ht="30" customHeight="1" x14ac:dyDescent="0.25">
      <c r="A33" s="9"/>
      <c r="B33" s="21" t="s">
        <v>49</v>
      </c>
      <c r="C33" s="22"/>
      <c r="D33" s="22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2"/>
      <c r="J33" s="33"/>
    </row>
    <row r="34" spans="1:10" ht="39.950000000000003" customHeight="1" x14ac:dyDescent="0.25">
      <c r="A34" s="9"/>
      <c r="B34" s="21" t="s">
        <v>50</v>
      </c>
      <c r="C34" s="22"/>
      <c r="D34" s="22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2"/>
      <c r="J34" s="33"/>
    </row>
    <row r="35" spans="1:10" ht="39.950000000000003" customHeight="1" x14ac:dyDescent="0.25">
      <c r="A35" s="9"/>
      <c r="B35" s="21" t="s">
        <v>51</v>
      </c>
      <c r="C35" s="22"/>
      <c r="D35" s="22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2"/>
      <c r="J35" s="33"/>
    </row>
    <row r="36" spans="1:10" ht="39.950000000000003" customHeight="1" x14ac:dyDescent="0.25">
      <c r="A36" s="9"/>
      <c r="B36" s="21" t="s">
        <v>52</v>
      </c>
      <c r="C36" s="22"/>
      <c r="D36" s="22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2"/>
      <c r="J36" s="33"/>
    </row>
    <row r="37" spans="1:10" ht="39.950000000000003" customHeight="1" x14ac:dyDescent="0.25">
      <c r="A37" s="9"/>
      <c r="B37" s="21" t="s">
        <v>53</v>
      </c>
      <c r="C37" s="22"/>
      <c r="D37" s="22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2"/>
      <c r="J37" s="33"/>
    </row>
    <row r="38" spans="1:10" ht="39.950000000000003" customHeight="1" thickBot="1" x14ac:dyDescent="0.3">
      <c r="A38" s="9"/>
      <c r="B38" s="23" t="s">
        <v>54</v>
      </c>
      <c r="C38" s="24"/>
      <c r="D38" s="24"/>
      <c r="E38" s="18">
        <v>5</v>
      </c>
      <c r="F38" s="13" t="s">
        <v>26</v>
      </c>
      <c r="G38" s="19" t="str">
        <f t="shared" si="0"/>
        <v/>
      </c>
      <c r="H38" s="20" t="str">
        <f t="shared" si="1"/>
        <v/>
      </c>
      <c r="I38" s="54"/>
      <c r="J38" s="55"/>
    </row>
    <row r="39" spans="1:10" ht="30" customHeight="1" x14ac:dyDescent="0.25">
      <c r="A39" s="9"/>
      <c r="B39" s="25" t="s">
        <v>65</v>
      </c>
      <c r="C39" s="26"/>
      <c r="D39" s="26"/>
      <c r="E39" s="26"/>
      <c r="F39" s="26"/>
      <c r="G39" s="26"/>
      <c r="H39" s="26"/>
      <c r="I39" s="26"/>
      <c r="J39" s="27"/>
    </row>
    <row r="40" spans="1:10" ht="50.1" customHeight="1" x14ac:dyDescent="0.25">
      <c r="A40" s="9"/>
      <c r="B40" s="21" t="s">
        <v>55</v>
      </c>
      <c r="C40" s="22"/>
      <c r="D40" s="22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32"/>
      <c r="J40" s="33"/>
    </row>
    <row r="41" spans="1:10" ht="50.1" customHeight="1" x14ac:dyDescent="0.25">
      <c r="A41" s="9"/>
      <c r="B41" s="21" t="s">
        <v>56</v>
      </c>
      <c r="C41" s="22"/>
      <c r="D41" s="22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2"/>
      <c r="J41" s="33"/>
    </row>
    <row r="42" spans="1:10" ht="39.950000000000003" customHeight="1" x14ac:dyDescent="0.25">
      <c r="A42" s="9"/>
      <c r="B42" s="21" t="s">
        <v>57</v>
      </c>
      <c r="C42" s="22"/>
      <c r="D42" s="22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2"/>
      <c r="J42" s="33"/>
    </row>
    <row r="43" spans="1:10" ht="39.950000000000003" customHeight="1" x14ac:dyDescent="0.25">
      <c r="A43" s="9"/>
      <c r="B43" s="21" t="s">
        <v>58</v>
      </c>
      <c r="C43" s="22"/>
      <c r="D43" s="22"/>
      <c r="E43" s="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32"/>
      <c r="J43" s="33"/>
    </row>
    <row r="44" spans="1:10" ht="50.1" customHeight="1" x14ac:dyDescent="0.25">
      <c r="A44" s="9"/>
      <c r="B44" s="21" t="s">
        <v>59</v>
      </c>
      <c r="C44" s="22"/>
      <c r="D44" s="22"/>
      <c r="E44" s="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32"/>
      <c r="J44" s="33"/>
    </row>
    <row r="45" spans="1:10" ht="30" customHeight="1" thickBot="1" x14ac:dyDescent="0.3">
      <c r="A45" s="9"/>
      <c r="B45" s="23" t="s">
        <v>60</v>
      </c>
      <c r="C45" s="24"/>
      <c r="D45" s="24"/>
      <c r="E45" s="18">
        <v>5</v>
      </c>
      <c r="F45" s="13" t="s">
        <v>26</v>
      </c>
      <c r="G45" s="19" t="str">
        <f t="shared" si="0"/>
        <v/>
      </c>
      <c r="H45" s="20" t="str">
        <f t="shared" si="1"/>
        <v/>
      </c>
      <c r="I45" s="54"/>
      <c r="J45" s="55"/>
    </row>
    <row r="46" spans="1:10" ht="30" customHeight="1" thickBot="1" x14ac:dyDescent="0.3">
      <c r="A46" s="3"/>
      <c r="B46" s="34" t="s">
        <v>5</v>
      </c>
      <c r="C46" s="35"/>
      <c r="D46" s="35"/>
      <c r="E46" s="15">
        <f>SUM(E8:E45)</f>
        <v>160</v>
      </c>
      <c r="F46" s="15">
        <f>SUM(F8:F45)</f>
        <v>0</v>
      </c>
      <c r="G46" s="64"/>
      <c r="H46" s="65"/>
      <c r="I46" s="65"/>
      <c r="J46" s="66"/>
    </row>
    <row r="47" spans="1:10" ht="30" customHeight="1" thickBot="1" x14ac:dyDescent="0.3">
      <c r="A47" s="3"/>
      <c r="B47" s="36" t="s">
        <v>20</v>
      </c>
      <c r="C47" s="37"/>
      <c r="D47" s="37"/>
      <c r="E47" s="50">
        <f>F46/E46/100*100</f>
        <v>0</v>
      </c>
      <c r="F47" s="50"/>
      <c r="G47" s="50"/>
      <c r="H47" s="50"/>
      <c r="I47" s="50"/>
      <c r="J47" s="51"/>
    </row>
    <row r="48" spans="1:10" ht="30" customHeight="1" thickBot="1" x14ac:dyDescent="0.3">
      <c r="A48" s="3"/>
      <c r="B48" s="36" t="s">
        <v>21</v>
      </c>
      <c r="C48" s="37"/>
      <c r="D48" s="37"/>
      <c r="E48" s="42" t="str">
        <f>_xlfn.IFS(E47&gt;=90%,"ممتاز",E47&gt;=80%,"جيد جداً",E47&gt;=70%,"جيد",E47&gt;=60%,"مقبول",E47&lt;60%,"راسب")</f>
        <v>راسب</v>
      </c>
      <c r="F48" s="42"/>
      <c r="G48" s="42"/>
      <c r="H48" s="42"/>
      <c r="I48" s="42"/>
      <c r="J48" s="43"/>
    </row>
    <row r="49" spans="1:10" ht="42" customHeight="1" x14ac:dyDescent="0.25">
      <c r="B49" s="38" t="s">
        <v>27</v>
      </c>
      <c r="C49" s="38"/>
      <c r="D49" s="38"/>
      <c r="E49" s="62" t="s">
        <v>18</v>
      </c>
      <c r="F49" s="62"/>
      <c r="G49" s="40" t="s">
        <v>24</v>
      </c>
      <c r="H49" s="40"/>
      <c r="I49" s="40"/>
      <c r="J49" s="40"/>
    </row>
    <row r="50" spans="1:10" ht="51" customHeight="1" x14ac:dyDescent="0.25">
      <c r="A50" s="4"/>
      <c r="B50" s="39"/>
      <c r="C50" s="39"/>
      <c r="D50" s="39"/>
      <c r="E50" s="63" t="s">
        <v>19</v>
      </c>
      <c r="F50" s="63"/>
      <c r="G50" s="41"/>
      <c r="H50" s="41"/>
      <c r="I50" s="41"/>
      <c r="J50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4">
    <mergeCell ref="I9:J9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1:J1"/>
    <mergeCell ref="F2:J2"/>
    <mergeCell ref="B5:D6"/>
    <mergeCell ref="C2:D2"/>
    <mergeCell ref="C3:D3"/>
    <mergeCell ref="F3:J3"/>
    <mergeCell ref="B49:D50"/>
    <mergeCell ref="G49:J49"/>
    <mergeCell ref="G50:J50"/>
    <mergeCell ref="E48:J48"/>
    <mergeCell ref="I40:J40"/>
    <mergeCell ref="I41:J41"/>
    <mergeCell ref="I42:J42"/>
    <mergeCell ref="I43:J43"/>
    <mergeCell ref="I44:J44"/>
    <mergeCell ref="E47:J47"/>
    <mergeCell ref="I45:J45"/>
    <mergeCell ref="E49:F49"/>
    <mergeCell ref="E50:F50"/>
    <mergeCell ref="G46:J46"/>
    <mergeCell ref="B46:D46"/>
    <mergeCell ref="B47:D47"/>
    <mergeCell ref="B48:D4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I32:J32"/>
    <mergeCell ref="I33:J33"/>
    <mergeCell ref="I34:J34"/>
    <mergeCell ref="I35:J35"/>
    <mergeCell ref="I36:J36"/>
    <mergeCell ref="B22:D22"/>
    <mergeCell ref="B23:D23"/>
    <mergeCell ref="B24:D24"/>
    <mergeCell ref="B25:D25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30:D30"/>
    <mergeCell ref="B31:D31"/>
    <mergeCell ref="B32:D32"/>
    <mergeCell ref="B33:D33"/>
    <mergeCell ref="B34:D34"/>
    <mergeCell ref="B44:D44"/>
    <mergeCell ref="B45:D45"/>
    <mergeCell ref="B26:J26"/>
    <mergeCell ref="B8:J8"/>
    <mergeCell ref="B39:J3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28:D28"/>
    <mergeCell ref="B29:D29"/>
  </mergeCells>
  <conditionalFormatting sqref="E48">
    <cfRule type="expression" dxfId="23" priority="57">
      <formula>$E48="راسب"</formula>
    </cfRule>
  </conditionalFormatting>
  <conditionalFormatting sqref="E48:J48">
    <cfRule type="expression" dxfId="22" priority="58">
      <formula>$E48="مقبول"</formula>
    </cfRule>
    <cfRule type="expression" dxfId="21" priority="59">
      <formula>$E48="جيد"</formula>
    </cfRule>
    <cfRule type="expression" dxfId="20" priority="60">
      <formula>$E48="جيد جداً"</formula>
    </cfRule>
    <cfRule type="expression" dxfId="19" priority="61">
      <formula>$E48="ممتاز"</formula>
    </cfRule>
  </conditionalFormatting>
  <conditionalFormatting sqref="H10:H25 H27:H38 H40:H45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27:H38 H40:H45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9:J49">
    <cfRule type="containsText" dxfId="8" priority="15" operator="containsText" text="أدخل اسم المحكم">
      <formula>NOT(ISERROR(SEARCH("أدخل اسم المحكم",G49)))</formula>
    </cfRule>
  </conditionalFormatting>
  <conditionalFormatting sqref="F10:F25 F27:F38 F40:F45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F28:F38 F40:F45 F21:F25 F9:F11 F13:F19</xm:sqref>
        </x14:dataValidation>
        <x14:dataValidation type="list" allowBlank="1" showInputMessage="1" showErrorMessage="1">
          <x14:formula1>
            <xm:f>#REF!</xm:f>
          </x14:formula1>
          <xm:sqref>G49:J49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2026-08-30T05:03:41Z</dcterms:modified>
</cp:coreProperties>
</file>