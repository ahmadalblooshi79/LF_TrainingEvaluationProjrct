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0615083-6CCE-4BAA-9516-DD071D0815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<sst xmlns="http://schemas.openxmlformats.org/spreadsheetml/2006/main" count="279" uniqueCount="223">
  <si>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</si>
  <si>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</si>
  <si>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</si>
  <si>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</si>
  <si>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</si>
  <si>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</si>
  <si>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</si>
  <si>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</si>
  <si>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</si>
  <si>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</si>
  <si>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</si>
  <si>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</si>
  <si>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</si>
  <si>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</si>
  <si>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</si>
  <si>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</si>
  <si>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</si>
  <si>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</si>
  <si>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</si>
  <si>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</si>
  <si>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</si>
  <si>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</si>
  <si>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</si>
  <si>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</si>
  <si>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</si>
  <si>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</si>
  <si>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</si>
  <si>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</si>
  <si>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</si>
  <si>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</si>
  <si>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</si>
  <si>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</si>
  <si>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</si>
  <si>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</si>
  <si>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</si>
  <si>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</si>
  <si>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</si>
  <si>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</si>
  <si>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</si>
  <si>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</si>
  <si>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</si>
  <si>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</si>
  <si>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</si>
  <si>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</si>
  <si>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</si>
  <si>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</si>
  <si>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</si>
  <si>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</si>
  <si>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</si>
  <si>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</si>
  <si>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</si>
  <si>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</si>
  <si>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</si>
  <si>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</si>
  <si>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</si>
  <si>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</si>
  <si>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</si>
  <si>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</si>
  <si>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</si>
  <si>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</si>
  <si>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</si>
  <si>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</si>
  <si>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</si>
  <si>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</si>
  <si>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</si>
  <si>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</si>
  <si>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</si>
  <si>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</si>
  <si>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</si>
  <si>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</si>
  <si>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</si>
  <si>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</si>
  <si>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</si>
  <si>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</si>
  <si>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</si>
  <si>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</si>
  <si>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</si>
  <si>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</si>
  <si>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</si>
  <si>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</si>
  <si>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</si>
  <si>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</si>
  <si>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</si>
  <si>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</si>
  <si>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</si>
  <si>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</si>
  <si>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</si>
  <si>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</si>
  <si>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</si>
  <si>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</si>
  <si>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</si>
  <si>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</si>
  <si>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</si>
  <si>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</si>
  <si>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</si>
  <si>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</si>
  <si>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</si>
  <si>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</si>
  <si>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</si>
  <si>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</si>
  <si>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</si>
  <si>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</si>
  <si>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</si>
  <si>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</si>
  <si>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</si>
  <si>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</si>
  <si>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</si>
  <si>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</si>
  <si>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</si>
  <si>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</si>
  <si>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</si>
  <si>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</si>
  <si>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</si>
  <si>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</si>
  <si>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</si>
  <si>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</si>
  <si>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</si>
  <si>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</si>
  <si>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</si>
  <si>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</si>
  <si>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</si>
  <si>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</si>
  <si>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</si>
  <si>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</si>
  <si>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</si>
  <si>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</si>
  <si>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</si>
  <si>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</si>
  <si>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</si>
  <si>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</si>
  <si>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</si>
  <si>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</si>
  <si>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</si>
  <si>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</si>
  <si>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</si>
  <si>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</si>
  <si>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</si>
  <si>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</si>
  <si>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</si>
  <si>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</si>
  <si>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</si>
  <si>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</si>
  <si>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</si>
  <si>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</si>
  <si>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</si>
  <si>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</si>
  <si>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</si>
  <si>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</si>
  <si>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</si>
  <si>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</si>
  <si>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</si>
  <si>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</si>
  <si>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</si>
  <si>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</si>
  <si>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</si>
  <si>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</si>
  <si>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</si>
  <si>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</si>
  <si>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</si>
  <si>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</si>
  <si>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</si>
  <si>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</si>
  <si>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</si>
  <si>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</si>
  <si>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</si>
  <si>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</si>
  <si>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</si>
  <si>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</si>
  <si>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</si>
  <si>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</si>
  <si>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</si>
  <si>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</si>
  <si>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</si>
  <si>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</si>
  <si>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</si>
  <si>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</si>
  <si>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</si>
  <si>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</si>
  <si>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</si>
  <si>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</si>
  <si>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</si>
  <si>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المؤدية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</si>
  <si>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مكاتب قيادة السرية.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</si>
  <si>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مكتب المخابرة.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</si>
  <si>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مواقف للآليات.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</si>
  <si>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</si>
  <si>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</si>
  <si>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t>القوى البشرية والآليـات.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</si>
  <si>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</si>
  <si>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</si>
  <si>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</si>
  <si>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</si>
  <si>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الحالة الفنية للآليات.</t>
    </r>
  </si>
  <si>
    <t>الأسلحــة والذخائــر.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</si>
  <si>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ذخيرة العمليات حسب مقياس الذخائر وحسب 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</si>
  <si>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</si>
  <si>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</si>
  <si>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</si>
  <si>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</si>
  <si>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</si>
  <si>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</si>
  <si>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</si>
  <si>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</si>
  <si>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</si>
  <si>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التدريب/ مساعدات التدريب.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</si>
  <si>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</si>
  <si>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</si>
  <si>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</si>
  <si>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</si>
  <si>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</si>
  <si>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وسائل الإيضاح.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</si>
  <si>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وثائق وتعليمات التدريب.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</si>
  <si>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التعليمات التنظيمية للمعسكر.</t>
    </r>
  </si>
  <si>
    <t>وجود خطة الدفاع والحراسة و خطة الحريق.</t>
  </si>
  <si>
    <t>الإشارة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</si>
  <si>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التقيد بالتعليمات الإشارية ومخططات شبكة الاتصالات.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</si>
  <si>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وسائل الاتصال.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</si>
  <si>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التقيد بأصول المخابرة الصحيحة والالتزام بالأمن اللاسلكي من قبل مستخدمي الأجهزة.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</si>
  <si>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كفاءة الاتصالات.</t>
    </r>
  </si>
  <si>
    <t>الإشراف والمتابعة من المستوى الأعلى.</t>
  </si>
  <si>
    <t>كفاءة الضباط القائمين على التدريب.</t>
  </si>
  <si>
    <r>
      <rPr>
        <b/>
        <sz val="14"/>
        <color rgb="FF000000"/>
        <rFont val="Arial"/>
        <family val="2"/>
      </rPr>
      <t>تقييم السرية الطبية في معسكرات التدريب الخارجية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</si>
  <si>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رائد طبيب/ علي النقبي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</si>
</sst>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5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359566</xdr:colOff>
      <xdr:row>52</xdr:row>
      <xdr:rowOff>146580</xdr:rowOff>
    </xdr:from>
    <xdr:to>
      <xdr:col>9</xdr:col>
      <xdr:colOff>421486</xdr:colOff>
      <xdr:row>52</xdr:row>
      <xdr:rowOff>486780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00097AE-03BD-D684-A006-D7779B7C05D4}"/>
                </a:ext>
              </a:extLst>
            </xdr14:cNvPr>
            <xdr14:cNvContentPartPr/>
          </xdr14:nvContentPartPr>
          <xdr14:nvPr macro=""/>
          <xdr14:xfrm>
            <a:off x="10398165333" y="21673080"/>
            <a:ext cx="61920" cy="340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00097AE-03BD-D684-A006-D7779B7C05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59213" y="21666960"/>
              <a:ext cx="74160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224587</xdr:colOff>
      <xdr:row>52</xdr:row>
      <xdr:rowOff>56580</xdr:rowOff>
    </xdr:from>
    <xdr:to>
      <xdr:col>9</xdr:col>
      <xdr:colOff>814606</xdr:colOff>
      <xdr:row>52</xdr:row>
      <xdr:rowOff>597300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FEE23C7-BCDC-DD36-0113-732615C844F4}"/>
                </a:ext>
              </a:extLst>
            </xdr14:cNvPr>
            <xdr14:cNvContentPartPr/>
          </xdr14:nvContentPartPr>
          <xdr14:nvPr macro=""/>
          <xdr14:xfrm>
            <a:off x="10397772213" y="21583080"/>
            <a:ext cx="1906200" cy="540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FEE23C7-BCDC-DD36-0113-732615C844F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766093" y="21576960"/>
              <a:ext cx="1918440" cy="552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27:29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18 9850,'0'0'0,"0"0"0,0-6 616,-5 2-408,-9-2-64,11 5 16,3 1-160,-5 0 200,1 0 72,-1 3 72,0 0 88,5-3-432,-5 4 456,3 7-32,-3-7-48,3 14-72,2-18-304,-5 15 329,5 2 63,0 5 200,-3 2 120,3-24-712,0 31 648,3 26 32,9-2-176,-10-1-144,-2-54-360,7 43 448,3 4-151,-5 1 7,4 2-72,-9-50-232,3 50 184,9-2 8,-7-1-112,7-4-48,-12-43-32,4 38 24,8-5 8,-7-2-8,10-5 32,-15-26-56,5 24-152,4-2-552,-4 0-753,0-2-1831,-5-20 3288,17 15-4569,-5-10-296,-10 9 544,-2-14 4321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27:31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375 356 8657,'0'0'0,"0"0"0,0-14 3225,0-5-3121,0-1-152,0-2-8,0 22 56,2-26-80,10-2 24,-7 2-16,14 3 24,-19 23 48,18-21-32,7 1 64,2 3 40,8 1 16,-35 16-88,44-12 80,-2 6 48,10 0-32,0 2 16,-52 4-112,58-1 120,1 1-24,64 22-208,-10 7 80,-113-29 32,99 34-16,-16 4 8,-11 2 120,-3 6-8,-69-46-104,68 51 136,-2 1 80,-4 5 88,-8 1-24,-54-58-280,45 62 168,-3 0 104,-9 2 57,-9 0 7,-24-64-336,16 65 416,-14-1-168,-2-1 16,-5-5-96,5-58-168,-23 56 176,-6-2 0,-3-5-48,-13 1 40,45-50-168,-47 47 152,-5-3 32,-2-5-112,-8-4 144,62-35-216,-56 30 192,2-4-64,2-4 144,3-2-192,49-20-80,-47 16 120,22-13 184,-2 1 176,-2-1 49,29-3-529,-30 0 592,-1 0-136,-2 0-152,-3-6-16,36 6-288,-35-17 192,-1 0-8,6-4-88,2-5-16,28 26-80,-24-31 112,-1-5-80,3-2-32,8-6-104,14 44 104,-11-44-184,6-3 72,0 0-32,3 3 48,2 44 96,0-43-88,14 3-16,2 5 56,3 5-32,-19 30 80,23-26-72,1 8 32,4 2-24,6 5 24,-34 11 40,32-3 0,40 3-136,-7 12 16,-1 9 32,-64-21 88,57 21-64,-8 2 72,3 1-16,-3 2 48,-49-26-40,52 27-16,0-2 32,-5 2 8,1 2-80,-48-29 56,42 28 16,-2 1 0,-10-1-8,-4-1 40,-26-27-48,21 27 24,-4-1 16,-5-1 64,-12 1-32,0-26-72,0 22 64,0 1 0,-5-3 56,-7-1-80,12-19-40,-12 17 152,-1-2-104,-2 0-96,-2-4 96,17-11-48,-18 4-112,-1 9 160,-3-13-16,4 0 104,18 0-136,-19-1 208,1-11-16,1-2 24,0-6-112,17 20-104,-14-24 112,10-7-72,-11-6-104,15-5-48,0 42 112,0-46-248,15-3-24,3-1 72,4 4 48,-22 46 152,27-47-64,0 5 16,3 3 8,3 0 0,-33 39 40,31-34 0,2 3-64,-4 7 56,-2 5 40,-27 19-32,28-11-48,-4 7 128,-1 2-56,1 2 0,-24 0-24,22 3 128,-4 13-56,2-1 40,-2 7 8,-18-22-120,19 27 40,-2 2 24,-4 4-40,2 0-88,-15-33 64,12 34 48,4-1 40,3-1-32,-7 1 56,-12-33-112,12 30-24,-7 0 24,8-5 40,-10 1 24,-3-26-64,2 23 112,0-3-80,-2-1 56,0 0-48,0-19-40,0 14 8,-2-1 32,-10-9-248,7 10-288,5-14 496,-13 3-1008,1 0-625,2-3-1231,3 0-1913,7 0 4777,-14-6-3753,7-16 416,-7-5 169,14 27 3168</inkml:trace>
  <inkml:trace contextRef="#ctx0" brushRef="#br0" timeOffset="1">2192 174 11754,'0'0'0,"0"0"0,0-16 1168,-2 2-928,-3-1 16,3 10 336,2 5-592,0-4 617,0 1-17,0 2-160,0 1-184,0 0-256,0 0 88,0 4-8,4 13 192,8 0 0,-12-17-272,5 23 552,7 5 56,-9 7 8,8 4-31,-11-39-585,5 46 536,7 2-48,-8 5-112,11 1-72,-15-54-304,5 55 200,10 1-72,-3 0-72,0 0 8,-12-56-64,3 57 48,13-2 56,-4-1 16,-7-3-88,-5-51-32,14 46 72,-9-5-64,11-4 16,-12-4 96,-4-33-120,15 28-16,-10-1 48,-3-3-48,10-2-88,-12-22 104,3 17-336,0-4-504,0-9-664,2 7-993,-5-11 2497,7 0-4097,2 0 8,-6-11 929,17-6 455,-20 17 2705,12-24-2168,-12 24 2168</inkml:trace>
  <inkml:trace contextRef="#ctx0" brushRef="#br0" timeOffset="2">2645 49 13842,'0'0'0,"-5"-16"1257,0 4-1161,5 12-96,-12-13 88,12 10 176,-2 0 120,2 2 72,0 1-456,0 0 336,0 0-104,0 3-160,0 8 64,0-11-136,0 14 208,0 6 72,0 4 160,5 6-32,-5-30-408,2 36 497,3 5-97,0 7-88,7 6-104,-12-54-208,2 60 104,1 4-16,1 1-144,7 2 48,-11-67 8,3 67-64,9-2 16,-10 2 56,13-2 16,-15-65-24,5 64 0,8-2 32,-11-6 16,10-6-48,-12-50 0,5 44 32,7-3-32,-7-4-32,-3-2-80,-2-35 112,0 29-440,0-3-401,0-3-591,0-5-1048,0-18 2480,0 13-3857,0-10 312,-2 0 680,-5-3 177,7 0 2688,-15-3-1712,15 3 1712</inkml:trace>
  <inkml:trace contextRef="#ctx0" brushRef="#br0" timeOffset="3">2216 670 16323,'0'0'0,"0"0"0,-5-4 392,-2 0-360,-5-1-88,10 4 8,2 1 48,0 0-104,-3 4 64,3 12 24,0-3 40,0-13-24,3 15 72,11 1 16,-2 1 40,4 0-64,-16-17-64,24 17 152,6-3-16,7 1 8,5-11 40,-42-4-184,44 13 152,6-13-24,-3 2-88,0-2 40,-47 0-80,47-1 48,-2-10 48,-3-1 48,1-2-16,-43 14-128,40-16 96,-7-1-8,0-4-8,-5 0-8,-28 21-72,24-23 89,0 0-9,-6 2-16,-1 2 8,-17 19-72,14-15 48,-10 1 40,11 2 56,-15 8 56,0 4-200,4-11 320,-1 8 56,-3-1-16,0 1-56,0 3-304,0-2 208,0 2-160,2 0-16,-2 0-88,0 0 56,0 12-40,5-1 96,-3 6-32,3 6 80,-5-23-104,11 27 88,-8 4-8,9 3-8,-10 2-8,-2-36-64,19 35 40,-3-1-8,1-1-8,0-2 0,-17-31-24,20 27 16,-3-1 32,6-3-24,1-5-8,-24-18-16,22 14 88,1-9-32,1 6 24,-1-11 8,-23 0-88,27 3 120,1-3-24,2-2 8,-4-9 0,-26 11-104,26-11 64,5-6 56,-8-3-56,4-6-8,-27 26-56,27-30 16,-3-2-16,-3-5 8,-2-2-16,-19 39 8,19-44-72,0 0-32,2 1-24,3 1 56,-24 42 72,21-40 16,-3 3 8,2 3 48,-4 4-48,-16 30-24,14-27 80,0 7-56,-2 3-40,-9 6 48,-3 11-32,7-4 24,-3-1 16,-4 4-24,0 1-32,0 0 16,2 0-80,-2 4 24,5 10-32,0-1 104,-5-13-16,2 17 0,10 2 24,-7 1 56,10 1-96,-15-21 16,2 21-64,14 0 40,-4-1-48,2 0 48,-14-20 24,16 19-80,1 1 96,5-2 8,-2 2-40,-20-20 16,27 17-24,1 0 0,-1-1 48,9-1 16,-36-15-40,36 13 120,-1-1-64,5-8-72,3 12 32,-43-16-16,42 2-32,-2 10-32,0-12 8,2 3-96,-42-3 152,45 2-136,-3-2-48,5 0-24,3 0 24,-50 0 184,49 0-192,1 0 0,2 0-24,-3-1 8,-49 1 208,45-1-176,1-4 40,-4 1 8,-5 0-24,-37 4 152,43-4-176,-6-1 56,1 2 32,-5 2 24,-33 1 64,28-1 16,-6 1-72,-1 0 48,-9 0-32,-12 0 40,2 0-64,0 0 32,-2 2-40,0-2-16,0 0 88,0 0-40,-4 3 40,-11-3 0,-3 0 64,18 0-64,-31 3-16,-9-3 16,-10 0 24,-13 0-8,63 0-16,-73-1 0,-12-1 48,-12-2-72,-16-2-16,113 6 40,-124-5 56,-14-7-112,-8 9 72,-9-1 0,155 4-16,-160-4 8,-8 0 88,1 4 40,-3 0 32,170 0-168,-177 14 112,0-1-56,1 1 0,-1 4-88,177-18 32,-177 19 0,-2 1 32,2 0 0,-2 2-8,179-22-24,-174 23 24,-4 0-24,4 0-32,90-12 128,84-11-96,-102 11 64,6 1-40,-18 2 16,8-3-152,106-11 112,-117 14-104,6-2 48,-7 1-32,11-9-16,107-4 104,-94 13-88,52-13 224,2 0 16,5 3 184,35-3-336,-39 0 360,7 0-336,1 0 88,5 0-176,26 0 64,-25 0 40,5 0 80,2-2-88,1 1 72,17 1-104,-17-2-72,6 1 72,7-2-80,-6 2-24,10 1 104,-5-2-48,0 1-128,5-1 136,0 1-72,0 1 112,0 0-152,5 0-416,7 0-985,6 0-2463,-18 0 4016,24 3-4962,4 0-407,-28-3 5369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topLeftCell="B48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8" t="s">
        <v>221</v>
      </c>
      <c r="C1" s="78"/>
      <c r="D1" s="78"/>
      <c r="E1" s="78"/>
      <c r="F1" s="78"/>
      <c r="G1" s="78"/>
      <c r="H1" s="78"/>
      <c r="I1" s="78"/>
      <c r="J1" s="78"/>
    </row>
    <row r="2" spans="1:10" ht="30" customHeight="1" x14ac:dyDescent="0.3">
      <c r="B2" s="13" t="s">
        <v>8</v>
      </c>
      <c r="C2" s="84" t="s">
        <v>31</v>
      </c>
      <c r="D2" s="84"/>
      <c r="E2" s="13" t="s">
        <v>7</v>
      </c>
      <c r="F2" s="79">
        <v>45931</v>
      </c>
      <c r="G2" s="79"/>
      <c r="H2" s="79"/>
      <c r="I2" s="79"/>
      <c r="J2" s="79"/>
    </row>
    <row r="3" spans="1:10" ht="30" customHeight="1" x14ac:dyDescent="0.3">
      <c r="B3" s="13" t="s">
        <v>9</v>
      </c>
      <c r="C3" s="84" t="s">
        <v>60</v>
      </c>
      <c r="D3" s="84"/>
      <c r="E3" s="13" t="s">
        <v>6</v>
      </c>
      <c r="F3" s="84" t="s">
        <v>138</v>
      </c>
      <c r="G3" s="84"/>
      <c r="H3" s="84"/>
      <c r="I3" s="84"/>
      <c r="J3" s="84"/>
    </row>
    <row r="4" spans="1:10" ht="30" customHeight="1" thickBot="1" x14ac:dyDescent="0.35">
      <c r="B4" s="6"/>
      <c r="C4" s="7"/>
      <c r="D4" s="7" t="s">
        <v>222</v>
      </c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0" t="s">
        <v>0</v>
      </c>
      <c r="C5" s="81"/>
      <c r="D5" s="81"/>
      <c r="E5" s="89" t="s">
        <v>1</v>
      </c>
      <c r="F5" s="89"/>
      <c r="G5" s="89"/>
      <c r="H5" s="89"/>
      <c r="I5" s="89" t="s">
        <v>2</v>
      </c>
      <c r="J5" s="90"/>
    </row>
    <row r="6" spans="1:10" ht="24.9" customHeight="1" thickBot="1" x14ac:dyDescent="0.35">
      <c r="A6" s="11"/>
      <c r="B6" s="82"/>
      <c r="C6" s="83"/>
      <c r="D6" s="83"/>
      <c r="E6" s="12" t="s">
        <v>3</v>
      </c>
      <c r="F6" s="12" t="s">
        <v>4</v>
      </c>
      <c r="G6" s="12" t="s">
        <v>23</v>
      </c>
      <c r="H6" s="12" t="s">
        <v>24</v>
      </c>
      <c r="I6" s="91"/>
      <c r="J6" s="92"/>
    </row>
    <row r="7" spans="1:10" ht="24.9" customHeight="1" thickBot="1" x14ac:dyDescent="0.35">
      <c r="A7" s="11"/>
      <c r="B7" s="87" t="s">
        <v>21</v>
      </c>
      <c r="C7" s="88"/>
      <c r="D7" s="88"/>
      <c r="E7" s="34" t="s">
        <v>18</v>
      </c>
      <c r="F7" s="34" t="s">
        <v>19</v>
      </c>
      <c r="G7" s="34" t="s">
        <v>22</v>
      </c>
      <c r="H7" s="34" t="s">
        <v>20</v>
      </c>
      <c r="I7" s="93" t="s">
        <v>25</v>
      </c>
      <c r="J7" s="94"/>
    </row>
    <row r="8" spans="1:10" ht="30" customHeight="1" x14ac:dyDescent="0.3">
      <c r="A8" s="11"/>
      <c r="B8" s="53" t="s">
        <v>180</v>
      </c>
      <c r="C8" s="54"/>
      <c r="D8" s="54"/>
      <c r="E8" s="30"/>
      <c r="F8" s="38"/>
      <c r="G8" s="39"/>
      <c r="H8" s="40"/>
      <c r="I8" s="55"/>
      <c r="J8" s="56"/>
    </row>
    <row r="9" spans="1:10" ht="39.9" customHeight="1" x14ac:dyDescent="0.3">
      <c r="A9" s="11"/>
      <c r="B9" s="45" t="s">
        <v>181</v>
      </c>
      <c r="C9" s="46"/>
      <c r="D9" s="46"/>
      <c r="E9" s="31">
        <v>5</v>
      </c>
      <c r="F9" s="27">
        <v>3.75</v>
      </c>
      <c r="G9" s="36">
        <f>IFERROR(F9/E9,"")</f>
        <v>0.75</v>
      </c>
      <c r="H9" s="37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3">
      <c r="A10" s="11"/>
      <c r="B10" s="45" t="s">
        <v>182</v>
      </c>
      <c r="C10" s="46"/>
      <c r="D10" s="46"/>
      <c r="E10" s="31">
        <v>5</v>
      </c>
      <c r="F10" s="27">
        <v>3.5</v>
      </c>
      <c r="G10" s="36">
        <f t="shared" ref="G10:G48" si="0">IFERROR(F10/E10,"")</f>
        <v>0.7</v>
      </c>
      <c r="H10" s="37" t="str">
        <f t="shared" ref="H10:H48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3">
      <c r="A11" s="11"/>
      <c r="B11" s="45" t="s">
        <v>183</v>
      </c>
      <c r="C11" s="46"/>
      <c r="D11" s="46"/>
      <c r="E11" s="31">
        <v>5</v>
      </c>
      <c r="F11" s="27">
        <v>3.75</v>
      </c>
      <c r="G11" s="36">
        <f t="shared" si="0"/>
        <v>0.75</v>
      </c>
      <c r="H11" s="37" t="str">
        <f t="shared" si="1"/>
        <v>جيد</v>
      </c>
      <c r="I11" s="57"/>
      <c r="J11" s="58"/>
    </row>
    <row r="12" spans="1:10" ht="30" customHeight="1" x14ac:dyDescent="0.3">
      <c r="A12" s="11"/>
      <c r="B12" s="45" t="s">
        <v>184</v>
      </c>
      <c r="C12" s="46"/>
      <c r="D12" s="46"/>
      <c r="E12" s="31">
        <v>5</v>
      </c>
      <c r="F12" s="27">
        <v>3.5</v>
      </c>
      <c r="G12" s="36">
        <f t="shared" si="0"/>
        <v>0.7</v>
      </c>
      <c r="H12" s="37" t="str">
        <f t="shared" si="1"/>
        <v>جيد</v>
      </c>
      <c r="I12" s="57"/>
      <c r="J12" s="58"/>
    </row>
    <row r="13" spans="1:10" ht="39.9" customHeight="1" x14ac:dyDescent="0.3">
      <c r="A13" s="11"/>
      <c r="B13" s="45" t="s">
        <v>185</v>
      </c>
      <c r="C13" s="46"/>
      <c r="D13" s="46"/>
      <c r="E13" s="31">
        <v>5</v>
      </c>
      <c r="F13" s="27">
        <v>3.75</v>
      </c>
      <c r="G13" s="36">
        <f t="shared" si="0"/>
        <v>0.75</v>
      </c>
      <c r="H13" s="37" t="str">
        <f t="shared" si="1"/>
        <v>جيد</v>
      </c>
      <c r="I13" s="57"/>
      <c r="J13" s="58"/>
    </row>
    <row r="14" spans="1:10" ht="30" customHeight="1" thickBot="1" x14ac:dyDescent="0.35">
      <c r="A14" s="11"/>
      <c r="B14" s="47" t="s">
        <v>186</v>
      </c>
      <c r="C14" s="48"/>
      <c r="D14" s="48"/>
      <c r="E14" s="32">
        <v>5</v>
      </c>
      <c r="F14" s="29">
        <v>3.5</v>
      </c>
      <c r="G14" s="41">
        <f t="shared" si="0"/>
        <v>0.7</v>
      </c>
      <c r="H14" s="42" t="str">
        <f t="shared" si="1"/>
        <v>جيد</v>
      </c>
      <c r="I14" s="63"/>
      <c r="J14" s="64"/>
    </row>
    <row r="15" spans="1:10" ht="30" customHeight="1" x14ac:dyDescent="0.3">
      <c r="A15" s="11"/>
      <c r="B15" s="53" t="s">
        <v>187</v>
      </c>
      <c r="C15" s="54"/>
      <c r="D15" s="54"/>
      <c r="E15" s="30"/>
      <c r="F15" s="38"/>
      <c r="G15" s="39"/>
      <c r="H15" s="40"/>
      <c r="I15" s="55"/>
      <c r="J15" s="56"/>
    </row>
    <row r="16" spans="1:10" ht="39.9" customHeight="1" x14ac:dyDescent="0.3">
      <c r="A16" s="11"/>
      <c r="B16" s="45" t="s">
        <v>188</v>
      </c>
      <c r="C16" s="46"/>
      <c r="D16" s="46"/>
      <c r="E16" s="31">
        <v>5</v>
      </c>
      <c r="F16" s="27">
        <v>3.5</v>
      </c>
      <c r="G16" s="36">
        <f t="shared" si="0"/>
        <v>0.7</v>
      </c>
      <c r="H16" s="37" t="str">
        <f t="shared" si="1"/>
        <v>جيد</v>
      </c>
      <c r="I16" s="57"/>
      <c r="J16" s="58"/>
    </row>
    <row r="17" spans="1:10" ht="30" customHeight="1" x14ac:dyDescent="0.3">
      <c r="A17" s="11"/>
      <c r="B17" s="45" t="s">
        <v>189</v>
      </c>
      <c r="C17" s="46"/>
      <c r="D17" s="46"/>
      <c r="E17" s="31">
        <v>5</v>
      </c>
      <c r="F17" s="27">
        <v>3.5</v>
      </c>
      <c r="G17" s="36">
        <f t="shared" si="0"/>
        <v>0.7</v>
      </c>
      <c r="H17" s="37" t="str">
        <f t="shared" si="1"/>
        <v>جيد</v>
      </c>
      <c r="I17" s="57"/>
      <c r="J17" s="58"/>
    </row>
    <row r="18" spans="1:10" ht="39.9" customHeight="1" x14ac:dyDescent="0.3">
      <c r="A18" s="11"/>
      <c r="B18" s="45" t="s">
        <v>190</v>
      </c>
      <c r="C18" s="46"/>
      <c r="D18" s="46"/>
      <c r="E18" s="31">
        <v>5</v>
      </c>
      <c r="F18" s="27">
        <v>3.5</v>
      </c>
      <c r="G18" s="36">
        <f t="shared" si="0"/>
        <v>0.7</v>
      </c>
      <c r="H18" s="37" t="str">
        <f t="shared" si="1"/>
        <v>جيد</v>
      </c>
      <c r="I18" s="57"/>
      <c r="J18" s="58"/>
    </row>
    <row r="19" spans="1:10" ht="30" customHeight="1" x14ac:dyDescent="0.3">
      <c r="A19" s="11"/>
      <c r="B19" s="45" t="s">
        <v>191</v>
      </c>
      <c r="C19" s="46"/>
      <c r="D19" s="46"/>
      <c r="E19" s="9">
        <v>5</v>
      </c>
      <c r="F19" s="27">
        <v>3.75</v>
      </c>
      <c r="G19" s="36">
        <f t="shared" si="0"/>
        <v>0.75</v>
      </c>
      <c r="H19" s="37" t="str">
        <f t="shared" si="1"/>
        <v>جيد</v>
      </c>
      <c r="I19" s="57"/>
      <c r="J19" s="58"/>
    </row>
    <row r="20" spans="1:10" ht="30" customHeight="1" thickBot="1" x14ac:dyDescent="0.35">
      <c r="A20" s="11"/>
      <c r="B20" s="47" t="s">
        <v>192</v>
      </c>
      <c r="C20" s="48"/>
      <c r="D20" s="48"/>
      <c r="E20" s="33">
        <v>5</v>
      </c>
      <c r="F20" s="29">
        <v>3.75</v>
      </c>
      <c r="G20" s="41">
        <f t="shared" si="0"/>
        <v>0.75</v>
      </c>
      <c r="H20" s="42" t="str">
        <f t="shared" si="1"/>
        <v>جيد</v>
      </c>
      <c r="I20" s="63"/>
      <c r="J20" s="64"/>
    </row>
    <row r="21" spans="1:10" ht="30" customHeight="1" x14ac:dyDescent="0.3">
      <c r="A21" s="11"/>
      <c r="B21" s="49" t="s">
        <v>193</v>
      </c>
      <c r="C21" s="50"/>
      <c r="D21" s="50"/>
      <c r="E21" s="30"/>
      <c r="F21" s="38"/>
      <c r="G21" s="39"/>
      <c r="H21" s="40"/>
      <c r="I21" s="55"/>
      <c r="J21" s="56"/>
    </row>
    <row r="22" spans="1:10" ht="39.9" customHeight="1" x14ac:dyDescent="0.3">
      <c r="A22" s="11"/>
      <c r="B22" s="45" t="s">
        <v>194</v>
      </c>
      <c r="C22" s="46"/>
      <c r="D22" s="46"/>
      <c r="E22" s="9">
        <v>10</v>
      </c>
      <c r="F22" s="27">
        <v>7.25</v>
      </c>
      <c r="G22" s="36">
        <f t="shared" si="0"/>
        <v>0.72499999999999998</v>
      </c>
      <c r="H22" s="37" t="str">
        <f t="shared" si="1"/>
        <v>جيد</v>
      </c>
      <c r="I22" s="57"/>
      <c r="J22" s="58"/>
    </row>
    <row r="23" spans="1:10" ht="30" customHeight="1" x14ac:dyDescent="0.3">
      <c r="A23" s="11"/>
      <c r="B23" s="45" t="s">
        <v>195</v>
      </c>
      <c r="C23" s="46"/>
      <c r="D23" s="46"/>
      <c r="E23" s="9">
        <v>10</v>
      </c>
      <c r="F23" s="27">
        <v>7.25</v>
      </c>
      <c r="G23" s="36">
        <f t="shared" si="0"/>
        <v>0.72499999999999998</v>
      </c>
      <c r="H23" s="37" t="str">
        <f t="shared" si="1"/>
        <v>جيد</v>
      </c>
      <c r="I23" s="57"/>
      <c r="J23" s="58"/>
    </row>
    <row r="24" spans="1:10" ht="30" customHeight="1" thickBot="1" x14ac:dyDescent="0.35">
      <c r="A24" s="11"/>
      <c r="B24" s="47" t="s">
        <v>196</v>
      </c>
      <c r="C24" s="48"/>
      <c r="D24" s="48"/>
      <c r="E24" s="33">
        <v>5</v>
      </c>
      <c r="F24" s="29">
        <v>3.75</v>
      </c>
      <c r="G24" s="41">
        <f t="shared" si="0"/>
        <v>0.75</v>
      </c>
      <c r="H24" s="42" t="str">
        <f t="shared" si="1"/>
        <v>جيد</v>
      </c>
      <c r="I24" s="63"/>
      <c r="J24" s="64"/>
    </row>
    <row r="25" spans="1:10" ht="39.9" customHeight="1" x14ac:dyDescent="0.3">
      <c r="A25" s="11"/>
      <c r="B25" s="49" t="s">
        <v>197</v>
      </c>
      <c r="C25" s="50"/>
      <c r="D25" s="50"/>
      <c r="E25" s="30"/>
      <c r="F25" s="38"/>
      <c r="G25" s="39"/>
      <c r="H25" s="40"/>
      <c r="I25" s="55"/>
      <c r="J25" s="56"/>
    </row>
    <row r="26" spans="1:10" ht="30" customHeight="1" x14ac:dyDescent="0.3">
      <c r="A26" s="11"/>
      <c r="B26" s="45" t="s">
        <v>198</v>
      </c>
      <c r="C26" s="46"/>
      <c r="D26" s="46"/>
      <c r="E26" s="9">
        <v>5</v>
      </c>
      <c r="F26" s="27">
        <v>3.5</v>
      </c>
      <c r="G26" s="36">
        <f t="shared" si="0"/>
        <v>0.7</v>
      </c>
      <c r="H26" s="37" t="str">
        <f t="shared" si="1"/>
        <v>جيد</v>
      </c>
      <c r="I26" s="57"/>
      <c r="J26" s="58"/>
    </row>
    <row r="27" spans="1:10" ht="30" customHeight="1" x14ac:dyDescent="0.3">
      <c r="A27" s="11"/>
      <c r="B27" s="45" t="s">
        <v>199</v>
      </c>
      <c r="C27" s="46"/>
      <c r="D27" s="46"/>
      <c r="E27" s="9">
        <v>5</v>
      </c>
      <c r="F27" s="27">
        <v>3.5</v>
      </c>
      <c r="G27" s="36">
        <f t="shared" si="0"/>
        <v>0.7</v>
      </c>
      <c r="H27" s="37" t="str">
        <f t="shared" si="1"/>
        <v>جيد</v>
      </c>
      <c r="I27" s="57"/>
      <c r="J27" s="58"/>
    </row>
    <row r="28" spans="1:10" ht="39.9" customHeight="1" x14ac:dyDescent="0.3">
      <c r="A28" s="11"/>
      <c r="B28" s="45" t="s">
        <v>200</v>
      </c>
      <c r="C28" s="46"/>
      <c r="D28" s="46"/>
      <c r="E28" s="9">
        <v>5</v>
      </c>
      <c r="F28" s="27">
        <v>3.75</v>
      </c>
      <c r="G28" s="36">
        <f t="shared" si="0"/>
        <v>0.75</v>
      </c>
      <c r="H28" s="37" t="str">
        <f t="shared" si="1"/>
        <v>جيد</v>
      </c>
      <c r="I28" s="57"/>
      <c r="J28" s="58"/>
    </row>
    <row r="29" spans="1:10" ht="53.25" customHeight="1" x14ac:dyDescent="0.3">
      <c r="A29" s="11"/>
      <c r="B29" s="45" t="s">
        <v>201</v>
      </c>
      <c r="C29" s="46"/>
      <c r="D29" s="46"/>
      <c r="E29" s="9">
        <v>5</v>
      </c>
      <c r="F29" s="27">
        <v>3.5</v>
      </c>
      <c r="G29" s="36">
        <f t="shared" si="0"/>
        <v>0.7</v>
      </c>
      <c r="H29" s="37" t="str">
        <f t="shared" si="1"/>
        <v>جيد</v>
      </c>
      <c r="I29" s="57"/>
      <c r="J29" s="58"/>
    </row>
    <row r="30" spans="1:10" ht="39.9" customHeight="1" x14ac:dyDescent="0.3">
      <c r="A30" s="11"/>
      <c r="B30" s="45" t="s">
        <v>202</v>
      </c>
      <c r="C30" s="46"/>
      <c r="D30" s="46"/>
      <c r="E30" s="9">
        <v>5</v>
      </c>
      <c r="F30" s="27">
        <v>3.5</v>
      </c>
      <c r="G30" s="36">
        <f t="shared" si="0"/>
        <v>0.7</v>
      </c>
      <c r="H30" s="37" t="str">
        <f t="shared" si="1"/>
        <v>جيد</v>
      </c>
      <c r="I30" s="57"/>
      <c r="J30" s="58"/>
    </row>
    <row r="31" spans="1:10" ht="30" customHeight="1" thickBot="1" x14ac:dyDescent="0.35">
      <c r="A31" s="11"/>
      <c r="B31" s="47" t="s">
        <v>203</v>
      </c>
      <c r="C31" s="48"/>
      <c r="D31" s="48"/>
      <c r="E31" s="33">
        <v>5</v>
      </c>
      <c r="F31" s="29">
        <v>3.5</v>
      </c>
      <c r="G31" s="41">
        <f t="shared" si="0"/>
        <v>0.7</v>
      </c>
      <c r="H31" s="42" t="str">
        <f t="shared" si="1"/>
        <v>جيد</v>
      </c>
      <c r="I31" s="63"/>
      <c r="J31" s="64"/>
    </row>
    <row r="32" spans="1:10" ht="30" customHeight="1" x14ac:dyDescent="0.3">
      <c r="A32" s="11"/>
      <c r="B32" s="49" t="s">
        <v>204</v>
      </c>
      <c r="C32" s="50"/>
      <c r="D32" s="50"/>
      <c r="E32" s="30"/>
      <c r="F32" s="38"/>
      <c r="G32" s="39"/>
      <c r="H32" s="40"/>
      <c r="I32" s="55"/>
      <c r="J32" s="56"/>
    </row>
    <row r="33" spans="1:10" ht="30" customHeight="1" x14ac:dyDescent="0.3">
      <c r="A33" s="11"/>
      <c r="B33" s="45" t="s">
        <v>205</v>
      </c>
      <c r="C33" s="46"/>
      <c r="D33" s="46"/>
      <c r="E33" s="9">
        <v>5</v>
      </c>
      <c r="F33" s="27">
        <v>3.75</v>
      </c>
      <c r="G33" s="36">
        <f t="shared" si="0"/>
        <v>0.75</v>
      </c>
      <c r="H33" s="37" t="str">
        <f t="shared" si="1"/>
        <v>جيد</v>
      </c>
      <c r="I33" s="57"/>
      <c r="J33" s="58"/>
    </row>
    <row r="34" spans="1:10" ht="39.9" customHeight="1" x14ac:dyDescent="0.3">
      <c r="A34" s="11"/>
      <c r="B34" s="45" t="s">
        <v>206</v>
      </c>
      <c r="C34" s="46"/>
      <c r="D34" s="46"/>
      <c r="E34" s="9">
        <v>5</v>
      </c>
      <c r="F34" s="27">
        <v>3.75</v>
      </c>
      <c r="G34" s="36">
        <f t="shared" si="0"/>
        <v>0.75</v>
      </c>
      <c r="H34" s="37" t="str">
        <f t="shared" si="1"/>
        <v>جيد</v>
      </c>
      <c r="I34" s="57"/>
      <c r="J34" s="58"/>
    </row>
    <row r="35" spans="1:10" ht="30" customHeight="1" x14ac:dyDescent="0.3">
      <c r="A35" s="11"/>
      <c r="B35" s="45" t="s">
        <v>207</v>
      </c>
      <c r="C35" s="46"/>
      <c r="D35" s="46"/>
      <c r="E35" s="9">
        <v>5</v>
      </c>
      <c r="F35" s="27">
        <v>3.75</v>
      </c>
      <c r="G35" s="36">
        <f t="shared" si="0"/>
        <v>0.75</v>
      </c>
      <c r="H35" s="37" t="str">
        <f t="shared" si="1"/>
        <v>جيد</v>
      </c>
      <c r="I35" s="57"/>
      <c r="J35" s="58"/>
    </row>
    <row r="36" spans="1:10" ht="30" customHeight="1" x14ac:dyDescent="0.3">
      <c r="A36" s="11"/>
      <c r="B36" s="45" t="s">
        <v>208</v>
      </c>
      <c r="C36" s="46"/>
      <c r="D36" s="46"/>
      <c r="E36" s="9">
        <v>5</v>
      </c>
      <c r="F36" s="27">
        <v>3.75</v>
      </c>
      <c r="G36" s="36">
        <f t="shared" si="0"/>
        <v>0.75</v>
      </c>
      <c r="H36" s="37" t="str">
        <f t="shared" si="1"/>
        <v>جيد</v>
      </c>
      <c r="I36" s="57"/>
      <c r="J36" s="58"/>
    </row>
    <row r="37" spans="1:10" ht="30" customHeight="1" x14ac:dyDescent="0.3">
      <c r="A37" s="11"/>
      <c r="B37" s="45" t="s">
        <v>209</v>
      </c>
      <c r="C37" s="46"/>
      <c r="D37" s="46"/>
      <c r="E37" s="9">
        <v>5</v>
      </c>
      <c r="F37" s="27">
        <v>3.75</v>
      </c>
      <c r="G37" s="36">
        <f t="shared" si="0"/>
        <v>0.75</v>
      </c>
      <c r="H37" s="37" t="str">
        <f t="shared" si="1"/>
        <v>جيد</v>
      </c>
      <c r="I37" s="57"/>
      <c r="J37" s="58"/>
    </row>
    <row r="38" spans="1:10" ht="30" customHeight="1" x14ac:dyDescent="0.3">
      <c r="A38" s="11"/>
      <c r="B38" s="45" t="s">
        <v>210</v>
      </c>
      <c r="C38" s="46"/>
      <c r="D38" s="46"/>
      <c r="E38" s="9">
        <v>5</v>
      </c>
      <c r="F38" s="27">
        <v>3.75</v>
      </c>
      <c r="G38" s="36">
        <f t="shared" si="0"/>
        <v>0.75</v>
      </c>
      <c r="H38" s="37" t="str">
        <f t="shared" si="1"/>
        <v>جيد</v>
      </c>
      <c r="I38" s="57"/>
      <c r="J38" s="58"/>
    </row>
    <row r="39" spans="1:10" ht="30" customHeight="1" x14ac:dyDescent="0.3">
      <c r="A39" s="11"/>
      <c r="B39" s="45" t="s">
        <v>211</v>
      </c>
      <c r="C39" s="46"/>
      <c r="D39" s="46"/>
      <c r="E39" s="9">
        <v>5</v>
      </c>
      <c r="F39" s="27">
        <v>3.75</v>
      </c>
      <c r="G39" s="36">
        <f t="shared" si="0"/>
        <v>0.75</v>
      </c>
      <c r="H39" s="37" t="str">
        <f t="shared" si="1"/>
        <v>جيد</v>
      </c>
      <c r="I39" s="57"/>
      <c r="J39" s="58"/>
    </row>
    <row r="40" spans="1:10" ht="30" customHeight="1" thickBot="1" x14ac:dyDescent="0.35">
      <c r="A40" s="11"/>
      <c r="B40" s="47" t="s">
        <v>212</v>
      </c>
      <c r="C40" s="48"/>
      <c r="D40" s="48"/>
      <c r="E40" s="33">
        <v>5</v>
      </c>
      <c r="F40" s="29">
        <v>3.75</v>
      </c>
      <c r="G40" s="41">
        <f t="shared" si="0"/>
        <v>0.75</v>
      </c>
      <c r="H40" s="42" t="str">
        <f t="shared" si="1"/>
        <v>جيد</v>
      </c>
      <c r="I40" s="63"/>
      <c r="J40" s="64"/>
    </row>
    <row r="41" spans="1:10" ht="30" customHeight="1" thickBot="1" x14ac:dyDescent="0.35">
      <c r="A41" s="11"/>
      <c r="B41" s="51" t="s">
        <v>213</v>
      </c>
      <c r="C41" s="52"/>
      <c r="D41" s="52"/>
      <c r="E41" s="10">
        <v>10</v>
      </c>
      <c r="F41" s="43">
        <v>7.75</v>
      </c>
      <c r="G41" s="44">
        <f t="shared" si="0"/>
        <v>0.77500000000000002</v>
      </c>
      <c r="H41" s="28" t="str">
        <f t="shared" si="1"/>
        <v>جيد</v>
      </c>
      <c r="I41" s="71"/>
      <c r="J41" s="72"/>
    </row>
    <row r="42" spans="1:10" ht="30" customHeight="1" x14ac:dyDescent="0.3">
      <c r="A42" s="11"/>
      <c r="B42" s="49" t="s">
        <v>214</v>
      </c>
      <c r="C42" s="50"/>
      <c r="D42" s="50"/>
      <c r="E42" s="30"/>
      <c r="F42" s="38"/>
      <c r="G42" s="39"/>
      <c r="H42" s="40"/>
      <c r="I42" s="55"/>
      <c r="J42" s="56"/>
    </row>
    <row r="43" spans="1:10" ht="30" customHeight="1" x14ac:dyDescent="0.3">
      <c r="A43" s="11"/>
      <c r="B43" s="45" t="s">
        <v>215</v>
      </c>
      <c r="C43" s="46"/>
      <c r="D43" s="46"/>
      <c r="E43" s="9">
        <v>5</v>
      </c>
      <c r="F43" s="27">
        <v>3.5</v>
      </c>
      <c r="G43" s="36">
        <f t="shared" si="0"/>
        <v>0.7</v>
      </c>
      <c r="H43" s="37" t="str">
        <f t="shared" si="1"/>
        <v>جيد</v>
      </c>
      <c r="I43" s="57"/>
      <c r="J43" s="58"/>
    </row>
    <row r="44" spans="1:10" ht="30" customHeight="1" x14ac:dyDescent="0.3">
      <c r="A44" s="11"/>
      <c r="B44" s="45" t="s">
        <v>216</v>
      </c>
      <c r="C44" s="46"/>
      <c r="D44" s="46"/>
      <c r="E44" s="9">
        <v>5</v>
      </c>
      <c r="F44" s="27">
        <v>3.5</v>
      </c>
      <c r="G44" s="36">
        <f t="shared" si="0"/>
        <v>0.7</v>
      </c>
      <c r="H44" s="37" t="str">
        <f t="shared" si="1"/>
        <v>جيد</v>
      </c>
      <c r="I44" s="57"/>
      <c r="J44" s="58"/>
    </row>
    <row r="45" spans="1:10" ht="39.9" customHeight="1" x14ac:dyDescent="0.3">
      <c r="A45" s="11"/>
      <c r="B45" s="45" t="s">
        <v>217</v>
      </c>
      <c r="C45" s="46"/>
      <c r="D45" s="46"/>
      <c r="E45" s="9">
        <v>5</v>
      </c>
      <c r="F45" s="27">
        <v>3.5</v>
      </c>
      <c r="G45" s="36">
        <f t="shared" si="0"/>
        <v>0.7</v>
      </c>
      <c r="H45" s="37" t="str">
        <f t="shared" si="1"/>
        <v>جيد</v>
      </c>
      <c r="I45" s="57"/>
      <c r="J45" s="58"/>
    </row>
    <row r="46" spans="1:10" ht="30" customHeight="1" thickBot="1" x14ac:dyDescent="0.35">
      <c r="A46" s="11"/>
      <c r="B46" s="47" t="s">
        <v>218</v>
      </c>
      <c r="C46" s="48"/>
      <c r="D46" s="48"/>
      <c r="E46" s="33">
        <v>5</v>
      </c>
      <c r="F46" s="29">
        <v>3.5</v>
      </c>
      <c r="G46" s="41">
        <f t="shared" si="0"/>
        <v>0.7</v>
      </c>
      <c r="H46" s="42" t="str">
        <f t="shared" si="1"/>
        <v>جيد</v>
      </c>
      <c r="I46" s="63"/>
      <c r="J46" s="64"/>
    </row>
    <row r="47" spans="1:10" ht="30" customHeight="1" thickBot="1" x14ac:dyDescent="0.35">
      <c r="A47" s="11"/>
      <c r="B47" s="51" t="s">
        <v>219</v>
      </c>
      <c r="C47" s="52"/>
      <c r="D47" s="52"/>
      <c r="E47" s="10">
        <v>5</v>
      </c>
      <c r="F47" s="43">
        <v>3.75</v>
      </c>
      <c r="G47" s="44">
        <f t="shared" si="0"/>
        <v>0.75</v>
      </c>
      <c r="H47" s="28" t="str">
        <f t="shared" si="1"/>
        <v>جيد</v>
      </c>
      <c r="I47" s="71"/>
      <c r="J47" s="72"/>
    </row>
    <row r="48" spans="1:10" ht="30" customHeight="1" thickBot="1" x14ac:dyDescent="0.35">
      <c r="A48" s="11"/>
      <c r="B48" s="51" t="s">
        <v>220</v>
      </c>
      <c r="C48" s="52"/>
      <c r="D48" s="52"/>
      <c r="E48" s="10">
        <v>5</v>
      </c>
      <c r="F48" s="43">
        <v>3.75</v>
      </c>
      <c r="G48" s="44">
        <f t="shared" si="0"/>
        <v>0.75</v>
      </c>
      <c r="H48" s="28" t="str">
        <f t="shared" si="1"/>
        <v>جيد</v>
      </c>
      <c r="I48" s="71"/>
      <c r="J48" s="72"/>
    </row>
    <row r="49" spans="1:10" ht="30" customHeight="1" thickBot="1" x14ac:dyDescent="0.35">
      <c r="A49" s="4"/>
      <c r="B49" s="59" t="s">
        <v>5</v>
      </c>
      <c r="C49" s="60"/>
      <c r="D49" s="60"/>
      <c r="E49" s="35">
        <f>SUM(E8:E48)</f>
        <v>190</v>
      </c>
      <c r="F49" s="35">
        <f>SUM(F8:F48)</f>
        <v>138.5</v>
      </c>
      <c r="G49" s="75"/>
      <c r="H49" s="76"/>
      <c r="I49" s="76"/>
      <c r="J49" s="77"/>
    </row>
    <row r="50" spans="1:10" ht="30" customHeight="1" thickBot="1" x14ac:dyDescent="0.35">
      <c r="A50" s="4"/>
      <c r="B50" s="61" t="s">
        <v>54</v>
      </c>
      <c r="C50" s="62"/>
      <c r="D50" s="62"/>
      <c r="E50" s="85">
        <f>F49/E49/100*100</f>
        <v>0.72894736842105268</v>
      </c>
      <c r="F50" s="85"/>
      <c r="G50" s="85"/>
      <c r="H50" s="85"/>
      <c r="I50" s="85"/>
      <c r="J50" s="86"/>
    </row>
    <row r="51" spans="1:10" ht="30" customHeight="1" thickBot="1" x14ac:dyDescent="0.35">
      <c r="A51" s="4"/>
      <c r="B51" s="61" t="s">
        <v>55</v>
      </c>
      <c r="C51" s="62"/>
      <c r="D51" s="62"/>
      <c r="E51" s="69" t="str">
        <f>_xlfn.IFS(E50&gt;=90%,"ممتاز",E50&gt;=80%,"جيد جداً",E50&gt;=70%,"جيد",E50&gt;=60%,"مقبول",E50&lt;60%,"راسب")</f>
        <v>جيد</v>
      </c>
      <c r="F51" s="69"/>
      <c r="G51" s="69"/>
      <c r="H51" s="69"/>
      <c r="I51" s="69"/>
      <c r="J51" s="70"/>
    </row>
    <row r="52" spans="1:10" ht="42" customHeight="1" x14ac:dyDescent="0.3">
      <c r="B52" s="65" t="s">
        <v>174</v>
      </c>
      <c r="C52" s="65"/>
      <c r="D52" s="65"/>
      <c r="E52" s="73" t="s">
        <v>52</v>
      </c>
      <c r="F52" s="73"/>
      <c r="G52" s="67" t="s">
        <v>138</v>
      </c>
      <c r="H52" s="67"/>
      <c r="I52" s="67"/>
      <c r="J52" s="67"/>
    </row>
    <row r="53" spans="1:10" ht="51" customHeight="1" x14ac:dyDescent="0.3">
      <c r="A53" s="5"/>
      <c r="B53" s="66"/>
      <c r="C53" s="66"/>
      <c r="D53" s="66"/>
      <c r="E53" s="74" t="s">
        <v>53</v>
      </c>
      <c r="F53" s="74"/>
      <c r="G53" s="68"/>
      <c r="H53" s="68"/>
      <c r="I53" s="68"/>
      <c r="J53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57">
      <formula>$E51="راسب"</formula>
    </cfRule>
  </conditionalFormatting>
  <conditionalFormatting sqref="E51:J51">
    <cfRule type="expression" dxfId="13" priority="60">
      <formula>$E51="جيد جداً"</formula>
    </cfRule>
    <cfRule type="expression" dxfId="12" priority="59">
      <formula>$E51="جيد"</formula>
    </cfRule>
    <cfRule type="expression" dxfId="11" priority="58">
      <formula>$E51="مقبول"</formula>
    </cfRule>
    <cfRule type="expression" dxfId="10" priority="61">
      <formula>$E51="ممتاز"</formula>
    </cfRule>
  </conditionalFormatting>
  <conditionalFormatting sqref="F8:F4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6" priority="15" operator="containsText" text="أدخل اسم المحكم">
      <formula>NOT(ISERROR(SEARCH("أدخل اسم المحكم",G52)))</formula>
    </cfRule>
  </conditionalFormatting>
  <conditionalFormatting sqref="H8:H48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F43:F48 F24 F26:F31 F9:F14 F16:F20 F33:F40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G52:J52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1CBFED82-7128-4B21-B7A9-4A877492A790}">
          <x14:formula1>
            <xm:f>'بيانات التقييم'!$A$111:$A$153</xm:f>
          </x14:formula1>
          <xm:sqref>F22:F23 F41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43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2025-10-07T15:44:38Z</dcterms:modified>
</cp:coreProperties>
</file>