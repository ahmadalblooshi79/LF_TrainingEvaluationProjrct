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43E8A5F9-AE38-4444-8548-25377DBAE7F7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8" i="2"/>
  <c r="H8" i="2"/>
  <c r="F40" i="2"/>
  <c r="E40" i="2"/>
  <c r="E41" i="2"/>
  <c r="E42" i="2"/>
</calcChain>
</file>

<file path=xl/sharedStrings.xml><?xml version="1.0" encoding="utf-8"?>
<sst xmlns="http://schemas.openxmlformats.org/spreadsheetml/2006/main" count="269" uniqueCount="213">
  <si>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</si>
  <si>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</si>
  <si>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</si>
  <si>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</si>
  <si>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</si>
  <si>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</si>
  <si>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</si>
  <si>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</si>
  <si>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</si>
  <si>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</si>
  <si>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</si>
  <si>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</si>
  <si>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</si>
  <si>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</si>
  <si>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</si>
  <si>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</si>
  <si>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</si>
  <si>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</si>
  <si>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</si>
  <si>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</si>
  <si>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</si>
  <si>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</si>
  <si>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</si>
  <si>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</si>
  <si>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</si>
  <si>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</si>
  <si>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</si>
  <si>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</si>
  <si>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</si>
  <si>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</si>
  <si>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</si>
  <si>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</si>
  <si>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</si>
  <si>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</si>
  <si>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</si>
  <si>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</si>
  <si>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</si>
  <si>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</si>
  <si>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</si>
  <si>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</si>
  <si>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</si>
  <si>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</si>
  <si>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</si>
  <si>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</si>
  <si>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</si>
  <si>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</si>
  <si>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</si>
  <si>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</si>
  <si>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</si>
  <si>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</si>
  <si>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</si>
  <si>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</si>
  <si>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</si>
  <si>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</si>
  <si>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</si>
  <si>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</si>
  <si>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</si>
  <si>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</si>
  <si>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</si>
  <si>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</si>
  <si>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</si>
  <si>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</si>
  <si>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</si>
  <si>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</si>
  <si>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</si>
  <si>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</si>
  <si>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</si>
  <si>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</si>
  <si>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</si>
  <si>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</si>
  <si>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</si>
  <si>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</si>
  <si>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</si>
  <si>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</si>
  <si>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</si>
  <si>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</si>
  <si>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</si>
  <si>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</si>
  <si>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</si>
  <si>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</si>
  <si>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</si>
  <si>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</si>
  <si>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</si>
  <si>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</si>
  <si>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</si>
  <si>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</si>
  <si>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</si>
  <si>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</si>
  <si>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</si>
  <si>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</si>
  <si>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</si>
  <si>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</si>
  <si>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</si>
  <si>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</si>
  <si>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</si>
  <si>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</si>
  <si>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</si>
  <si>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</si>
  <si>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</si>
  <si>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</si>
  <si>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</si>
  <si>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</si>
  <si>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</si>
  <si>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</si>
  <si>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</si>
  <si>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</si>
  <si>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</si>
  <si>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</si>
  <si>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</si>
  <si>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</si>
  <si>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</si>
  <si>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</si>
  <si>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</si>
  <si>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</si>
  <si>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</si>
  <si>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</si>
  <si>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</si>
  <si>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</si>
  <si>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</si>
  <si>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</si>
  <si>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</si>
  <si>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</si>
  <si>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</si>
  <si>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</si>
  <si>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</si>
  <si>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</si>
  <si>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</si>
  <si>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</si>
  <si>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</si>
  <si>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</si>
  <si>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</si>
  <si>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</si>
  <si>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</si>
  <si>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</si>
  <si>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</si>
  <si>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</si>
  <si>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</si>
  <si>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</si>
  <si>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</si>
  <si>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</si>
  <si>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</si>
  <si>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</si>
  <si>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</si>
  <si>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</si>
  <si>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</si>
  <si>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</si>
  <si>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</si>
  <si>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</si>
  <si>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</si>
  <si>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</si>
  <si>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</si>
  <si>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</si>
  <si>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</si>
  <si>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</si>
  <si>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</si>
  <si>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</si>
  <si>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</si>
  <si>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</si>
  <si>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</si>
  <si>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</si>
  <si>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</si>
  <si>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</si>
  <si>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</si>
  <si>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</si>
  <si>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</si>
  <si>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</si>
  <si>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</si>
  <si>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</si>
  <si>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</si>
  <si>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</si>
  <si>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</si>
  <si>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</si>
  <si>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</si>
  <si>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</si>
  <si>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</si>
  <si>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</si>
  <si>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</si>
  <si>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</si>
  <si>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</si>
  <si>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</si>
  <si>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أ. الحصول على التقارير والمعلومات المحدثَة التي تبين مواقع القوات الأمامية والجانبية (المجاورة) الصديقة وحسب الحاجة. </t>
  </si>
  <si>
    <t xml:space="preserve">ب. الحصول على معلومات محدثَة عن مواقع قوات العدو لمنع الإصابة بالنيران الصديقة وزيادة حماية القوة وحسب الحاجة. </t>
  </si>
  <si>
    <t>أ. التأكد من يقظة وجاهزية جميع الأفراد للتعامل مع أي هجوم معاكس محتمل.</t>
  </si>
  <si>
    <t>ب. تفادي اشتباك الجسم الرئيسي للسرية بالعدو دون توفر الإنذار المبكر.</t>
  </si>
  <si>
    <t>جـ. التأكد من فعالية الاتصالات بين السرية ونقاط المراقبة.</t>
  </si>
  <si>
    <t>أ. تأسيس الحماية المحلية لجميع الجهات.</t>
  </si>
  <si>
    <t>ب. تدمير أي مقاومة منظمة للعدو.</t>
  </si>
  <si>
    <t>جـ. إجراءات الدفاع ضد الهجمات المعاكسة.</t>
  </si>
  <si>
    <t>د. القيام باستطلاع منطقة الأهداف باستخدام الدوريات وعناصر الكشف للتأكد من خلوها من العدو.</t>
  </si>
  <si>
    <t>هـ. إعادة تأسيس التسلسل القيادي حسب الرتب وسد النقص في المناصب القيادية.</t>
  </si>
  <si>
    <t>و. إعادة تأسيس شبكات الاتصالات.</t>
  </si>
  <si>
    <t>أ. المواقع الجديدة للسرية.</t>
  </si>
  <si>
    <t>ب. الموقف الإداري للسرية شاملاً (الخسائر في الأفراد والمعدات والذخيرة والوقود).</t>
  </si>
  <si>
    <r>
      <t>1.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يديم قائد السرية الإلمام بالموقف باستخدام كافة الوسائل المتوفرة.</t>
    </r>
  </si>
  <si>
    <r>
      <t>2.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يؤكد قائد السرية موقف القوات الصديقة والمعادية وكما يلي:</t>
    </r>
  </si>
  <si>
    <r>
      <t>3.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يقوم قائد السرية بتوزيع المعلومات الضرورية لجميع الفصائل لإطلاعهم على آخر مستجدات الموقف.</t>
    </r>
  </si>
  <si>
    <r>
      <t>4.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يعمل قائد السرية على تركيز أو إعادة تركيز نقاط المراقبة في الأمام لتوفير الحماية.</t>
    </r>
  </si>
  <si>
    <r>
      <t>5.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تقوم السرية باحتلال أو إعادة احتلال مواقع قتالية سريعة بالقرب من الهدف.</t>
    </r>
  </si>
  <si>
    <r>
      <t>6.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يحدد قائد السرية أو يعيد تحديد قواطع النيران الأولية للفصائل.</t>
    </r>
  </si>
  <si>
    <r>
      <t>7.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يعدل قائد السرية أو قادة الفصائل مواقع أسلحة الطواقم لتغطية مقتربات العدو الأكثر احتمالا، والتأكد من تأمين الإسناد المتبادل بين الفصائل والوحدات المجاورة.</t>
    </r>
  </si>
  <si>
    <r>
      <t>8.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يتم تحضير بطاقات المدى للأسلحة وحسب الأوامر التعبوية المستديمة.</t>
    </r>
  </si>
  <si>
    <r>
      <t>9.</t>
    </r>
    <r>
      <rPr>
        <sz val="7"/>
        <color rgb="FF000000"/>
        <rFont val="Times New Roman"/>
        <family val="1"/>
      </rPr>
      <t xml:space="preserve">    </t>
    </r>
    <r>
      <rPr>
        <sz val="14"/>
        <color rgb="FF000000"/>
        <rFont val="Arial"/>
        <family val="2"/>
      </rPr>
      <t>يرسل قادة الفصائل تقاريرهم لقائد السرية حول الذخيرة، الإصابات والمعدات.</t>
    </r>
  </si>
  <si>
    <t xml:space="preserve">تقييم السرية في التثبت وإعادة التنظيم - تمرين جاهزية مجموعة لواء الإمارات/1 (جندي الصحراء 2025/20)
</t>
  </si>
  <si>
    <r>
      <t>10.</t>
    </r>
    <r>
      <rPr>
        <sz val="7"/>
        <color rgb="FF000000"/>
        <rFont val="Times New Roman"/>
        <family val="1"/>
      </rPr>
      <t xml:space="preserve">  </t>
    </r>
    <r>
      <rPr>
        <sz val="14"/>
        <color rgb="FF000000"/>
        <rFont val="Arial"/>
        <family val="2"/>
      </rPr>
      <t>ينسق نائب قائد السرية ووكيل السرية عملية إعادة التزويد وسد النقص من الذخيرة والأرزاق والوقود.</t>
    </r>
  </si>
  <si>
    <t>11.   يشرف القادة على إعادة توزيع الذخيرة.</t>
  </si>
  <si>
    <t>12.   يرسل قائد السرية تقرير مفصل لقائد الكتيبة/ مجموعة القتال يتضمن ما يلي:</t>
  </si>
  <si>
    <t>13.   التعامل مع الإصابات وإخلاء الجرحى والشهداء حسب الإجراءات المتبعة.</t>
  </si>
  <si>
    <t>14.   تعويض خسائر القوى البشرية بأسرع ما يمكن وعمل الترتيبات لإسناد الواجبات لأشخاص من نفس المرتبات ليعملوا بدل القادة الصغار والآمار الذين استشهدوا أو جرحوا.</t>
  </si>
  <si>
    <t>15.   اخلاء الآليات والمعدات المعطلة حسب الإجراءات المتبعة.</t>
  </si>
  <si>
    <t>16.   تأمين أسرى الحرب حسب الإجراءات المتبعة.</t>
  </si>
  <si>
    <t>17.   التأكد من فعالية الاتصال ات وممارسة قائد السرية للقيادة والسيطرة استعداداً لأي عملية مستقبلية.</t>
  </si>
  <si>
    <t>18.   التعامل مع الوثائق والمعدات التي تم الاستيلاء عليها حسب الإجراءات المتبعة.</t>
  </si>
  <si>
    <t>19.   تستعد السرية لتنفيذ أي واجب يُطلب منها.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</si>
</sst>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8" fillId="5" borderId="21" xfId="0" applyFont="1" applyFill="1" applyBorder="1" applyAlignment="1">
      <alignment horizontal="right" vertical="center" wrapText="1" readingOrder="2"/>
    </xf>
    <xf numFmtId="0" fontId="8" fillId="5" borderId="3" xfId="0" applyFont="1" applyFill="1" applyBorder="1" applyAlignment="1">
      <alignment horizontal="right" vertical="center" wrapText="1" readingOrder="2"/>
    </xf>
    <xf numFmtId="0" fontId="8" fillId="5" borderId="21" xfId="0" applyFont="1" applyFill="1" applyBorder="1" applyAlignment="1">
      <alignment horizontal="right" vertical="center" wrapText="1" indent="2" readingOrder="2"/>
    </xf>
    <xf numFmtId="0" fontId="8" fillId="5" borderId="3" xfId="0" applyFont="1" applyFill="1" applyBorder="1" applyAlignment="1">
      <alignment horizontal="right" vertical="center" wrapText="1" indent="2" readingOrder="2"/>
    </xf>
    <xf numFmtId="0" fontId="8" fillId="5" borderId="5" xfId="0" applyFont="1" applyFill="1" applyBorder="1" applyAlignment="1">
      <alignment horizontal="right" vertical="center" wrapText="1" readingOrder="2"/>
    </xf>
    <xf numFmtId="0" fontId="8" fillId="5" borderId="4" xfId="0" applyFont="1" applyFill="1" applyBorder="1" applyAlignment="1">
      <alignment horizontal="right" vertical="center" wrapText="1" readingOrder="2"/>
    </xf>
    <xf numFmtId="0" fontId="8" fillId="5" borderId="11" xfId="0" applyFont="1" applyFill="1" applyBorder="1" applyAlignment="1">
      <alignment horizontal="right" vertical="center" wrapText="1" readingOrder="2"/>
    </xf>
    <xf numFmtId="0" fontId="8" fillId="5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247045</xdr:colOff>
      <xdr:row>42</xdr:row>
      <xdr:rowOff>517353</xdr:rowOff>
    </xdr:from>
    <xdr:to>
      <xdr:col>8</xdr:col>
      <xdr:colOff>589384</xdr:colOff>
      <xdr:row>43</xdr:row>
      <xdr:rowOff>480542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A11F835-09BA-320F-B5D3-BD1C9210985C}"/>
                </a:ext>
              </a:extLst>
            </xdr14:cNvPr>
            <xdr14:cNvContentPartPr/>
          </xdr14:nvContentPartPr>
          <xdr14:nvPr macro=""/>
          <xdr14:xfrm>
            <a:off x="10398655525" y="21403080"/>
            <a:ext cx="1658520" cy="4942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A11F835-09BA-320F-B5D3-BD1C9210985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646885" y="21394440"/>
              <a:ext cx="1676160" cy="51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560245</xdr:colOff>
      <xdr:row>43</xdr:row>
      <xdr:rowOff>526262</xdr:rowOff>
    </xdr:from>
    <xdr:to>
      <xdr:col>6</xdr:col>
      <xdr:colOff>570325</xdr:colOff>
      <xdr:row>43</xdr:row>
      <xdr:rowOff>550022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7DFDF11-0196-C416-6EDC-9381E158614A}"/>
                </a:ext>
              </a:extLst>
            </xdr14:cNvPr>
            <xdr14:cNvContentPartPr/>
          </xdr14:nvContentPartPr>
          <xdr14:nvPr macro=""/>
          <xdr14:xfrm>
            <a:off x="10399990765" y="21943080"/>
            <a:ext cx="10080" cy="237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7DFDF11-0196-C416-6EDC-9381E158614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982125" y="21934440"/>
              <a:ext cx="27720" cy="41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34:34.2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4429 225 4841,'0'0'0,"0"-4"3672,0 4-3672,-2-13 232,2 2-32,-3 0 96,3-1 169,0 12-465,0-13 600,0-1 176,0-1 120,0-1 0,0 16-896,0-17 896,3 3-87,-1-1-161,3 4-152,-5 11-496,5-6 376,-5-5-128,4 10-96,-1-2-40,-3 3-112,5-2 88,-3 1-16,10 0 16,-10 1-16,-2 0-72,13 0 104,-9 4-8,16 7 8,-8-7 8,-12-4-112,12 20 96,2-5 8,-4 3-8,2 3-40,-12-21-56,5 22 48,9 2 0,-9 1-64,7 2 64,-12-27-48,2 29 72,3 2-24,-5 0-16,0 2 16,0-33-48,0 33 40,0-2-8,-12-2 56,10-5-40,2-24-48,-20 24 56,6-3-8,-1-1 24,-4 0-24,19-20-48,-21 20 64,-3-2 32,-5 2-72,0-3-24,29-17 0,-36 20 8,-3-3-16,-2-1 81,-2-2-65,43-14-8,-41 13 40,-2-9-16,2 8 8,2-12 56,39 0-88,-38 0 64,4 0-8,3 0-104,7-3 72,24 3-24,-19-5 48,0 0-8,6 0 56,1 1-72,12 4-24,-7-4 16,-2 1 32,6 2-24,-2-1-112,5 2 88,-2-1-24,-3-1-16,-9 2 40,4 0 64,10 0-64,-17 0 24,-2 0 0,-5 3-8,-7 0-16,31-3 0,-36 3 8,-5 1 32,-7-1 128,-3 1 24,51-4-192,-60 5 168,-7 7 32,-10-7-72,-10 15 64,87-20-192,-94 17 120,-2 1-24,-5 3-64,-7 2 24,108-23-56,-111 24 96,-16 5 72,-8 2-24,-12 0-96,147-31-48,-151 36 40,-6 1-24,-1-2 112,-8 1 24,166-36-152,-166 34 168,2-3-48,1 1-80,9 0 104,154-32-144,-142 33 128,5-2 56,16-2-24,1-7-32,120-22-128,-106 17 80,12-4 0,13-9-24,11 1-16,70-5-40,-58 3 64,5-3 32,12 0 56,13-3-24,28 3-128,-22-12 169,7 8-129,11-10-32,-1 8-32,5 6 24,0-17-105,2 2-87,17-7 56,6-3-40,-25 25 176,28-27-80,11-5 56,4 2 0,3 2 72,-46 28-48,50-28-8,3-1 16,5 2-72,5-1 8,-63 28 56,69-27-80,6 3 72,7-1-32,2 3 24,-84 22 16,91-22-40,3 2 0,5 3 0,11 2 120,-110 15-80,116-16 136,9-1-72,2 0 32,-2-3-136,-125 20 40,123-21-112,0-2 8,-8-1 80,5 0-40,-120 24 64,114-26-80,-4-1 80,-4-1-16,-7-1-8,-99 29 24,91-30 88,-9 1-72,-5-1-72,-12 1 16,-65 29 40,62-27-24,-14 0-16,-7 0 104,-9 2 136,-32 25-200,19-27 160,-5 1 120,-11-1 0,1 1-152,-4 26-128,-2-27 81,-12 0-41,-6 0 40,-1-1-80,21 28 0,-22-26 40,-2 2-16,0 4-112,2 3 32,22 17 56,-21-13 96,1 2-88,4 5-32,1-5 8,15 11 16,-12-3-104,0-1 63,5 0 82,-5 2-138,12 2 97,-5-1 80,3 1-192,-3 0 8,2 3 160,3-3-56,0 11-216,-2 6 144,2 6 8,0 10 0,0-33 64,0 39 40,2 10-56,3 9-64,7 10 136,-12-68-56,3 74 24,1 6 32,1 2 32,-2 1 0,-3-83-88,2 81-16,3-6-24,0-8 8,4-10 8,-9-57 24,5 47 0,7-3 24,-7-5 72,7-2-160,-12-37 64,5 35 56,-3-6-16,13 1 0,-11-4 40,-4-26-80,5 25-40,5-2 48,-10-2-56,2-2 8,-2-19 40,3 17 80,2-6-56,-1-6-40,-4-1 112,0-4-96,3 4-104,-3-1 104,0-3-72,0 0-72,0 0 144,0 0-296,-3 3-472,3-3-528,0 0-817,0 0 2113,0 0-3128,5 0-121,7 0 472,0-4-3744,-12 4 6521,0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34:34.6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 37 27093,'0'0'0,"-17"-19"-40,15 14 40,2 5 0,-5-12-144,3 12-264,2 11-296,5-7-320,-5-4 1024,12 17-1857,-10-4-927,0-2-1393,1-6 432,-3-5 3745,-3 4-8194,3-4 8194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topLeftCell="D30" zoomScale="130" zoomScaleNormal="100" zoomScaleSheetLayoutView="130" workbookViewId="0">
      <selection activeCell="G44" sqref="G44:J44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7" t="s">
        <v>202</v>
      </c>
      <c r="C1" s="57"/>
      <c r="D1" s="57"/>
      <c r="E1" s="57"/>
      <c r="F1" s="57"/>
      <c r="G1" s="57"/>
      <c r="H1" s="57"/>
      <c r="I1" s="57"/>
      <c r="J1" s="57"/>
    </row>
    <row r="2" spans="1:10" ht="30" customHeight="1">
      <c r="B2" s="13" t="s">
        <v>8</v>
      </c>
      <c r="C2" s="63" t="s">
        <v>37</v>
      </c>
      <c r="D2" s="63"/>
      <c r="E2" s="13" t="s">
        <v>7</v>
      </c>
      <c r="F2" s="58">
        <v>45943</v>
      </c>
      <c r="G2" s="58"/>
      <c r="H2" s="58"/>
      <c r="I2" s="58"/>
      <c r="J2" s="58"/>
    </row>
    <row r="3" spans="1:10" ht="30" customHeight="1">
      <c r="B3" s="13" t="s">
        <v>9</v>
      </c>
      <c r="C3" s="63" t="s">
        <v>78</v>
      </c>
      <c r="D3" s="63"/>
      <c r="E3" s="13" t="s">
        <v>6</v>
      </c>
      <c r="F3" s="63" t="s">
        <v>133</v>
      </c>
      <c r="G3" s="63"/>
      <c r="H3" s="63"/>
      <c r="I3" s="63"/>
      <c r="J3" s="63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1"/>
      <c r="B5" s="59" t="s">
        <v>0</v>
      </c>
      <c r="C5" s="60"/>
      <c r="D5" s="60"/>
      <c r="E5" s="64" t="s">
        <v>1</v>
      </c>
      <c r="F5" s="64"/>
      <c r="G5" s="64"/>
      <c r="H5" s="64"/>
      <c r="I5" s="64" t="s">
        <v>2</v>
      </c>
      <c r="J5" s="65"/>
    </row>
    <row r="6" spans="1:10" ht="24.95" customHeight="1" thickBot="1">
      <c r="A6" s="11"/>
      <c r="B6" s="61"/>
      <c r="C6" s="62"/>
      <c r="D6" s="62"/>
      <c r="E6" s="12" t="s">
        <v>3</v>
      </c>
      <c r="F6" s="12" t="s">
        <v>4</v>
      </c>
      <c r="G6" s="12" t="s">
        <v>23</v>
      </c>
      <c r="H6" s="12" t="s">
        <v>24</v>
      </c>
      <c r="I6" s="66"/>
      <c r="J6" s="67"/>
    </row>
    <row r="7" spans="1:10" ht="24.95" customHeight="1" thickBot="1">
      <c r="A7" s="11"/>
      <c r="B7" s="49" t="s">
        <v>21</v>
      </c>
      <c r="C7" s="50"/>
      <c r="D7" s="50"/>
      <c r="E7" s="29" t="s">
        <v>18</v>
      </c>
      <c r="F7" s="29" t="s">
        <v>19</v>
      </c>
      <c r="G7" s="29" t="s">
        <v>22</v>
      </c>
      <c r="H7" s="29" t="s">
        <v>20</v>
      </c>
      <c r="I7" s="53" t="s">
        <v>25</v>
      </c>
      <c r="J7" s="54"/>
    </row>
    <row r="8" spans="1:10" ht="39.950000000000003" customHeight="1">
      <c r="A8" s="11"/>
      <c r="B8" s="79" t="s">
        <v>193</v>
      </c>
      <c r="C8" s="80"/>
      <c r="D8" s="80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5"/>
      <c r="J8" s="56"/>
    </row>
    <row r="9" spans="1:10" ht="39.950000000000003" customHeight="1">
      <c r="A9" s="11"/>
      <c r="B9" s="75" t="s">
        <v>194</v>
      </c>
      <c r="C9" s="76"/>
      <c r="D9" s="76"/>
      <c r="E9" s="9"/>
      <c r="F9" s="27"/>
      <c r="G9" s="30"/>
      <c r="H9" s="31"/>
      <c r="I9" s="39"/>
      <c r="J9" s="40"/>
    </row>
    <row r="10" spans="1:10" ht="39.950000000000003" customHeight="1">
      <c r="A10" s="11"/>
      <c r="B10" s="77" t="s">
        <v>180</v>
      </c>
      <c r="C10" s="78"/>
      <c r="D10" s="78"/>
      <c r="E10" s="9">
        <v>5</v>
      </c>
      <c r="F10" s="27">
        <v>3.75</v>
      </c>
      <c r="G10" s="30">
        <f t="shared" ref="G10:G39" si="0">IFERROR(F10/E10,"")</f>
        <v>0.75</v>
      </c>
      <c r="H10" s="31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</v>
      </c>
      <c r="I10" s="39"/>
      <c r="J10" s="40"/>
    </row>
    <row r="11" spans="1:10" ht="57" customHeight="1">
      <c r="A11" s="11"/>
      <c r="B11" s="77" t="s">
        <v>181</v>
      </c>
      <c r="C11" s="78"/>
      <c r="D11" s="78"/>
      <c r="E11" s="9">
        <v>5</v>
      </c>
      <c r="F11" s="27">
        <v>3.75</v>
      </c>
      <c r="G11" s="30">
        <f t="shared" si="0"/>
        <v>0.75</v>
      </c>
      <c r="H11" s="31" t="str">
        <f t="shared" si="1"/>
        <v>جيد</v>
      </c>
      <c r="I11" s="39"/>
      <c r="J11" s="40"/>
    </row>
    <row r="12" spans="1:10" ht="39.950000000000003" customHeight="1">
      <c r="A12" s="11"/>
      <c r="B12" s="75" t="s">
        <v>195</v>
      </c>
      <c r="C12" s="76"/>
      <c r="D12" s="76"/>
      <c r="E12" s="9">
        <v>5</v>
      </c>
      <c r="F12" s="27">
        <v>3.75</v>
      </c>
      <c r="G12" s="30">
        <f t="shared" si="0"/>
        <v>0.75</v>
      </c>
      <c r="H12" s="31" t="str">
        <f t="shared" si="1"/>
        <v>جيد</v>
      </c>
      <c r="I12" s="39"/>
      <c r="J12" s="40"/>
    </row>
    <row r="13" spans="1:10" ht="39.950000000000003" customHeight="1">
      <c r="A13" s="11"/>
      <c r="B13" s="75" t="s">
        <v>196</v>
      </c>
      <c r="C13" s="76"/>
      <c r="D13" s="76"/>
      <c r="E13" s="9"/>
      <c r="F13" s="27"/>
      <c r="G13" s="30"/>
      <c r="H13" s="31"/>
      <c r="I13" s="39"/>
      <c r="J13" s="40"/>
    </row>
    <row r="14" spans="1:10" ht="39.950000000000003" customHeight="1">
      <c r="A14" s="11"/>
      <c r="B14" s="77" t="s">
        <v>182</v>
      </c>
      <c r="C14" s="78"/>
      <c r="D14" s="78"/>
      <c r="E14" s="9">
        <v>5</v>
      </c>
      <c r="F14" s="27">
        <v>3.5</v>
      </c>
      <c r="G14" s="30">
        <f t="shared" si="0"/>
        <v>0.7</v>
      </c>
      <c r="H14" s="31" t="str">
        <f t="shared" si="1"/>
        <v>جيد</v>
      </c>
      <c r="I14" s="39"/>
      <c r="J14" s="40"/>
    </row>
    <row r="15" spans="1:10" ht="39.950000000000003" customHeight="1">
      <c r="A15" s="11"/>
      <c r="B15" s="77" t="s">
        <v>183</v>
      </c>
      <c r="C15" s="78"/>
      <c r="D15" s="78"/>
      <c r="E15" s="9">
        <v>5</v>
      </c>
      <c r="F15" s="27">
        <v>3.25</v>
      </c>
      <c r="G15" s="30">
        <f t="shared" si="0"/>
        <v>0.65</v>
      </c>
      <c r="H15" s="31" t="str">
        <f t="shared" si="1"/>
        <v>مقبول</v>
      </c>
      <c r="I15" s="39"/>
      <c r="J15" s="40"/>
    </row>
    <row r="16" spans="1:10" ht="39.950000000000003" customHeight="1">
      <c r="A16" s="11"/>
      <c r="B16" s="77" t="s">
        <v>184</v>
      </c>
      <c r="C16" s="78"/>
      <c r="D16" s="78"/>
      <c r="E16" s="9">
        <v>5</v>
      </c>
      <c r="F16" s="27">
        <v>3.25</v>
      </c>
      <c r="G16" s="30">
        <f t="shared" si="0"/>
        <v>0.65</v>
      </c>
      <c r="H16" s="31" t="str">
        <f t="shared" si="1"/>
        <v>مقبول</v>
      </c>
      <c r="I16" s="39"/>
      <c r="J16" s="40"/>
    </row>
    <row r="17" spans="1:10" ht="39.950000000000003" customHeight="1">
      <c r="A17" s="11"/>
      <c r="B17" s="75" t="s">
        <v>197</v>
      </c>
      <c r="C17" s="76"/>
      <c r="D17" s="76"/>
      <c r="E17" s="9"/>
      <c r="F17" s="27"/>
      <c r="G17" s="30"/>
      <c r="H17" s="31"/>
      <c r="I17" s="39"/>
      <c r="J17" s="40"/>
    </row>
    <row r="18" spans="1:10" ht="39.950000000000003" customHeight="1">
      <c r="A18" s="11"/>
      <c r="B18" s="77" t="s">
        <v>185</v>
      </c>
      <c r="C18" s="78"/>
      <c r="D18" s="78"/>
      <c r="E18" s="9">
        <v>5</v>
      </c>
      <c r="F18" s="27">
        <v>3.25</v>
      </c>
      <c r="G18" s="30">
        <f t="shared" si="0"/>
        <v>0.65</v>
      </c>
      <c r="H18" s="31" t="str">
        <f t="shared" si="1"/>
        <v>مقبول</v>
      </c>
      <c r="I18" s="39"/>
      <c r="J18" s="40"/>
    </row>
    <row r="19" spans="1:10" ht="39.950000000000003" customHeight="1">
      <c r="A19" s="11"/>
      <c r="B19" s="77" t="s">
        <v>186</v>
      </c>
      <c r="C19" s="78"/>
      <c r="D19" s="78"/>
      <c r="E19" s="9">
        <v>5</v>
      </c>
      <c r="F19" s="27">
        <v>3.25</v>
      </c>
      <c r="G19" s="30">
        <f t="shared" si="0"/>
        <v>0.65</v>
      </c>
      <c r="H19" s="31" t="str">
        <f t="shared" si="1"/>
        <v>مقبول</v>
      </c>
      <c r="I19" s="39"/>
      <c r="J19" s="40"/>
    </row>
    <row r="20" spans="1:10" ht="39.950000000000003" customHeight="1">
      <c r="A20" s="11"/>
      <c r="B20" s="77" t="s">
        <v>187</v>
      </c>
      <c r="C20" s="78"/>
      <c r="D20" s="78"/>
      <c r="E20" s="9">
        <v>5</v>
      </c>
      <c r="F20" s="27">
        <v>3.75</v>
      </c>
      <c r="G20" s="30">
        <f t="shared" si="0"/>
        <v>0.75</v>
      </c>
      <c r="H20" s="31" t="str">
        <f t="shared" si="1"/>
        <v>جيد</v>
      </c>
      <c r="I20" s="39"/>
      <c r="J20" s="40"/>
    </row>
    <row r="21" spans="1:10" ht="39.950000000000003" customHeight="1">
      <c r="A21" s="11"/>
      <c r="B21" s="77" t="s">
        <v>188</v>
      </c>
      <c r="C21" s="78"/>
      <c r="D21" s="78"/>
      <c r="E21" s="9">
        <v>5</v>
      </c>
      <c r="F21" s="27">
        <v>3.75</v>
      </c>
      <c r="G21" s="30">
        <f t="shared" si="0"/>
        <v>0.75</v>
      </c>
      <c r="H21" s="31" t="str">
        <f t="shared" si="1"/>
        <v>جيد</v>
      </c>
      <c r="I21" s="39"/>
      <c r="J21" s="40"/>
    </row>
    <row r="22" spans="1:10" ht="39.950000000000003" customHeight="1">
      <c r="A22" s="11"/>
      <c r="B22" s="77" t="s">
        <v>189</v>
      </c>
      <c r="C22" s="78"/>
      <c r="D22" s="78"/>
      <c r="E22" s="9">
        <v>5</v>
      </c>
      <c r="F22" s="27">
        <v>3.75</v>
      </c>
      <c r="G22" s="30">
        <f t="shared" si="0"/>
        <v>0.75</v>
      </c>
      <c r="H22" s="31" t="str">
        <f t="shared" si="1"/>
        <v>جيد</v>
      </c>
      <c r="I22" s="39"/>
      <c r="J22" s="40"/>
    </row>
    <row r="23" spans="1:10" ht="39.950000000000003" customHeight="1">
      <c r="A23" s="11"/>
      <c r="B23" s="77" t="s">
        <v>190</v>
      </c>
      <c r="C23" s="78"/>
      <c r="D23" s="78"/>
      <c r="E23" s="9">
        <v>5</v>
      </c>
      <c r="F23" s="27">
        <v>3.25</v>
      </c>
      <c r="G23" s="30">
        <f t="shared" si="0"/>
        <v>0.65</v>
      </c>
      <c r="H23" s="31" t="str">
        <f t="shared" si="1"/>
        <v>مقبول</v>
      </c>
      <c r="I23" s="39"/>
      <c r="J23" s="40"/>
    </row>
    <row r="24" spans="1:10" ht="39.950000000000003" customHeight="1">
      <c r="A24" s="11"/>
      <c r="B24" s="75" t="s">
        <v>198</v>
      </c>
      <c r="C24" s="76"/>
      <c r="D24" s="76"/>
      <c r="E24" s="9">
        <v>5</v>
      </c>
      <c r="F24" s="27">
        <v>3.25</v>
      </c>
      <c r="G24" s="30">
        <f t="shared" si="0"/>
        <v>0.65</v>
      </c>
      <c r="H24" s="31" t="str">
        <f t="shared" si="1"/>
        <v>مقبول</v>
      </c>
      <c r="I24" s="39"/>
      <c r="J24" s="40"/>
    </row>
    <row r="25" spans="1:10" ht="66" customHeight="1">
      <c r="A25" s="11"/>
      <c r="B25" s="75" t="s">
        <v>199</v>
      </c>
      <c r="C25" s="76"/>
      <c r="D25" s="76"/>
      <c r="E25" s="9">
        <v>5</v>
      </c>
      <c r="F25" s="27">
        <v>3.75</v>
      </c>
      <c r="G25" s="30">
        <f t="shared" si="0"/>
        <v>0.75</v>
      </c>
      <c r="H25" s="31" t="str">
        <f t="shared" si="1"/>
        <v>جيد</v>
      </c>
      <c r="I25" s="39"/>
      <c r="J25" s="40"/>
    </row>
    <row r="26" spans="1:10" ht="39.950000000000003" customHeight="1">
      <c r="A26" s="11"/>
      <c r="B26" s="75" t="s">
        <v>200</v>
      </c>
      <c r="C26" s="76"/>
      <c r="D26" s="76"/>
      <c r="E26" s="9">
        <v>5</v>
      </c>
      <c r="F26" s="27">
        <v>3.75</v>
      </c>
      <c r="G26" s="30">
        <f t="shared" si="0"/>
        <v>0.75</v>
      </c>
      <c r="H26" s="31" t="str">
        <f t="shared" si="1"/>
        <v>جيد</v>
      </c>
      <c r="I26" s="39"/>
      <c r="J26" s="40"/>
    </row>
    <row r="27" spans="1:10" ht="39.950000000000003" customHeight="1">
      <c r="A27" s="11"/>
      <c r="B27" s="75" t="s">
        <v>201</v>
      </c>
      <c r="C27" s="76"/>
      <c r="D27" s="76"/>
      <c r="E27" s="9">
        <v>5</v>
      </c>
      <c r="F27" s="27">
        <v>3.75</v>
      </c>
      <c r="G27" s="30">
        <f t="shared" si="0"/>
        <v>0.75</v>
      </c>
      <c r="H27" s="31" t="str">
        <f t="shared" si="1"/>
        <v>جيد</v>
      </c>
      <c r="I27" s="39"/>
      <c r="J27" s="40"/>
    </row>
    <row r="28" spans="1:10" ht="39.950000000000003" customHeight="1">
      <c r="A28" s="11"/>
      <c r="B28" s="75" t="s">
        <v>203</v>
      </c>
      <c r="C28" s="76"/>
      <c r="D28" s="76"/>
      <c r="E28" s="9">
        <v>5</v>
      </c>
      <c r="F28" s="27">
        <v>3.75</v>
      </c>
      <c r="G28" s="30">
        <f t="shared" si="0"/>
        <v>0.75</v>
      </c>
      <c r="H28" s="31" t="str">
        <f t="shared" si="1"/>
        <v>جيد</v>
      </c>
      <c r="I28" s="39"/>
      <c r="J28" s="40"/>
    </row>
    <row r="29" spans="1:10" ht="39.950000000000003" customHeight="1">
      <c r="A29" s="11"/>
      <c r="B29" s="75" t="s">
        <v>204</v>
      </c>
      <c r="C29" s="76"/>
      <c r="D29" s="76"/>
      <c r="E29" s="9">
        <v>5</v>
      </c>
      <c r="F29" s="27">
        <v>3.25</v>
      </c>
      <c r="G29" s="30">
        <f t="shared" si="0"/>
        <v>0.65</v>
      </c>
      <c r="H29" s="31" t="str">
        <f t="shared" si="1"/>
        <v>مقبول</v>
      </c>
      <c r="I29" s="39"/>
      <c r="J29" s="40"/>
    </row>
    <row r="30" spans="1:10" ht="39.950000000000003" customHeight="1">
      <c r="A30" s="11"/>
      <c r="B30" s="75" t="s">
        <v>205</v>
      </c>
      <c r="C30" s="76"/>
      <c r="D30" s="76"/>
      <c r="E30" s="9"/>
      <c r="F30" s="27"/>
      <c r="G30" s="30"/>
      <c r="H30" s="31"/>
      <c r="I30" s="39"/>
      <c r="J30" s="40"/>
    </row>
    <row r="31" spans="1:10" ht="39.950000000000003" customHeight="1">
      <c r="A31" s="11"/>
      <c r="B31" s="77" t="s">
        <v>191</v>
      </c>
      <c r="C31" s="78"/>
      <c r="D31" s="78"/>
      <c r="E31" s="9">
        <v>5</v>
      </c>
      <c r="F31" s="27">
        <v>3</v>
      </c>
      <c r="G31" s="30">
        <f t="shared" si="0"/>
        <v>0.6</v>
      </c>
      <c r="H31" s="31" t="str">
        <f t="shared" si="1"/>
        <v>مقبول</v>
      </c>
      <c r="I31" s="39"/>
      <c r="J31" s="40"/>
    </row>
    <row r="32" spans="1:10" ht="39.950000000000003" customHeight="1">
      <c r="A32" s="11"/>
      <c r="B32" s="77" t="s">
        <v>192</v>
      </c>
      <c r="C32" s="78"/>
      <c r="D32" s="78"/>
      <c r="E32" s="9">
        <v>5</v>
      </c>
      <c r="F32" s="27">
        <v>3.75</v>
      </c>
      <c r="G32" s="30">
        <f t="shared" si="0"/>
        <v>0.75</v>
      </c>
      <c r="H32" s="31" t="str">
        <f t="shared" si="1"/>
        <v>جيد</v>
      </c>
      <c r="I32" s="39"/>
      <c r="J32" s="40"/>
    </row>
    <row r="33" spans="1:10" ht="39.950000000000003" customHeight="1">
      <c r="A33" s="11"/>
      <c r="B33" s="75" t="s">
        <v>206</v>
      </c>
      <c r="C33" s="76"/>
      <c r="D33" s="76"/>
      <c r="E33" s="9">
        <v>5</v>
      </c>
      <c r="F33" s="27">
        <v>3.75</v>
      </c>
      <c r="G33" s="30">
        <f t="shared" si="0"/>
        <v>0.75</v>
      </c>
      <c r="H33" s="31" t="str">
        <f t="shared" si="1"/>
        <v>جيد</v>
      </c>
      <c r="I33" s="39"/>
      <c r="J33" s="40"/>
    </row>
    <row r="34" spans="1:10" ht="61.5" customHeight="1">
      <c r="A34" s="11"/>
      <c r="B34" s="75" t="s">
        <v>207</v>
      </c>
      <c r="C34" s="76"/>
      <c r="D34" s="76"/>
      <c r="E34" s="9">
        <v>5</v>
      </c>
      <c r="F34" s="27">
        <v>3.75</v>
      </c>
      <c r="G34" s="30">
        <f t="shared" si="0"/>
        <v>0.75</v>
      </c>
      <c r="H34" s="31" t="str">
        <f t="shared" si="1"/>
        <v>جيد</v>
      </c>
      <c r="I34" s="39"/>
      <c r="J34" s="40"/>
    </row>
    <row r="35" spans="1:10" ht="39.950000000000003" customHeight="1">
      <c r="A35" s="11"/>
      <c r="B35" s="75" t="s">
        <v>208</v>
      </c>
      <c r="C35" s="76"/>
      <c r="D35" s="76"/>
      <c r="E35" s="9">
        <v>5</v>
      </c>
      <c r="F35" s="27">
        <v>3.75</v>
      </c>
      <c r="G35" s="30">
        <f t="shared" si="0"/>
        <v>0.75</v>
      </c>
      <c r="H35" s="31" t="str">
        <f t="shared" si="1"/>
        <v>جيد</v>
      </c>
      <c r="I35" s="39"/>
      <c r="J35" s="40"/>
    </row>
    <row r="36" spans="1:10" ht="39.950000000000003" customHeight="1">
      <c r="A36" s="11"/>
      <c r="B36" s="75" t="s">
        <v>209</v>
      </c>
      <c r="C36" s="76"/>
      <c r="D36" s="76"/>
      <c r="E36" s="9">
        <v>5</v>
      </c>
      <c r="F36" s="27">
        <v>3.75</v>
      </c>
      <c r="G36" s="30">
        <f t="shared" si="0"/>
        <v>0.75</v>
      </c>
      <c r="H36" s="31" t="str">
        <f t="shared" si="1"/>
        <v>جيد</v>
      </c>
      <c r="I36" s="39"/>
      <c r="J36" s="40"/>
    </row>
    <row r="37" spans="1:10" ht="39.950000000000003" customHeight="1">
      <c r="A37" s="11"/>
      <c r="B37" s="75" t="s">
        <v>210</v>
      </c>
      <c r="C37" s="76"/>
      <c r="D37" s="76"/>
      <c r="E37" s="9">
        <v>5</v>
      </c>
      <c r="F37" s="27">
        <v>3.75</v>
      </c>
      <c r="G37" s="30">
        <f t="shared" si="0"/>
        <v>0.75</v>
      </c>
      <c r="H37" s="31" t="str">
        <f t="shared" si="1"/>
        <v>جيد</v>
      </c>
      <c r="I37" s="39"/>
      <c r="J37" s="40"/>
    </row>
    <row r="38" spans="1:10" ht="39.950000000000003" customHeight="1">
      <c r="A38" s="11"/>
      <c r="B38" s="75" t="s">
        <v>211</v>
      </c>
      <c r="C38" s="76"/>
      <c r="D38" s="76"/>
      <c r="E38" s="9">
        <v>5</v>
      </c>
      <c r="F38" s="27">
        <v>3.75</v>
      </c>
      <c r="G38" s="30">
        <f t="shared" si="0"/>
        <v>0.75</v>
      </c>
      <c r="H38" s="31" t="str">
        <f t="shared" si="1"/>
        <v>جيد</v>
      </c>
      <c r="I38" s="39"/>
      <c r="J38" s="40"/>
    </row>
    <row r="39" spans="1:10" ht="39.950000000000003" customHeight="1" thickBot="1">
      <c r="A39" s="11"/>
      <c r="B39" s="81" t="s">
        <v>212</v>
      </c>
      <c r="C39" s="82"/>
      <c r="D39" s="82"/>
      <c r="E39" s="36">
        <v>5</v>
      </c>
      <c r="F39" s="28">
        <v>3.25</v>
      </c>
      <c r="G39" s="37">
        <f t="shared" si="0"/>
        <v>0.65</v>
      </c>
      <c r="H39" s="38" t="str">
        <f t="shared" si="1"/>
        <v>مقبول</v>
      </c>
      <c r="I39" s="51"/>
      <c r="J39" s="52"/>
    </row>
    <row r="40" spans="1:10" ht="30" customHeight="1" thickBot="1">
      <c r="A40" s="4"/>
      <c r="B40" s="47" t="s">
        <v>5</v>
      </c>
      <c r="C40" s="48"/>
      <c r="D40" s="48"/>
      <c r="E40" s="10">
        <f>SUM(E8:E39)</f>
        <v>140</v>
      </c>
      <c r="F40" s="10">
        <f>SUM(F8:F39)</f>
        <v>100</v>
      </c>
      <c r="G40" s="70"/>
      <c r="H40" s="71"/>
      <c r="I40" s="71"/>
      <c r="J40" s="72"/>
    </row>
    <row r="41" spans="1:10" ht="30" customHeight="1" thickBot="1">
      <c r="A41" s="4"/>
      <c r="B41" s="47" t="s">
        <v>54</v>
      </c>
      <c r="C41" s="48"/>
      <c r="D41" s="48"/>
      <c r="E41" s="73">
        <f>F40/E40/100*100</f>
        <v>0.7142857142857143</v>
      </c>
      <c r="F41" s="73"/>
      <c r="G41" s="73"/>
      <c r="H41" s="73"/>
      <c r="I41" s="73"/>
      <c r="J41" s="74"/>
    </row>
    <row r="42" spans="1:10" ht="30" customHeight="1" thickBot="1">
      <c r="A42" s="4"/>
      <c r="B42" s="47" t="s">
        <v>55</v>
      </c>
      <c r="C42" s="48"/>
      <c r="D42" s="48"/>
      <c r="E42" s="45" t="str">
        <f>_xlfn.IFS(E41&gt;=90%,"ممتاز",E41&gt;=80%,"جيد جداً",E41&gt;=70%,"جيد",E41&gt;=60%,"مقبول",E41&lt;60%,"راسب")</f>
        <v>جيد</v>
      </c>
      <c r="F42" s="45"/>
      <c r="G42" s="45"/>
      <c r="H42" s="45"/>
      <c r="I42" s="45"/>
      <c r="J42" s="46"/>
    </row>
    <row r="43" spans="1:10" ht="42" customHeight="1">
      <c r="B43" s="41" t="s">
        <v>174</v>
      </c>
      <c r="C43" s="41"/>
      <c r="D43" s="41"/>
      <c r="E43" s="68" t="s">
        <v>52</v>
      </c>
      <c r="F43" s="68"/>
      <c r="G43" s="43" t="s">
        <v>133</v>
      </c>
      <c r="H43" s="43"/>
      <c r="I43" s="43"/>
      <c r="J43" s="43"/>
    </row>
    <row r="44" spans="1:10" ht="51" customHeight="1">
      <c r="A44" s="5"/>
      <c r="B44" s="42"/>
      <c r="C44" s="42"/>
      <c r="D44" s="42"/>
      <c r="E44" s="69" t="s">
        <v>53</v>
      </c>
      <c r="F44" s="69"/>
      <c r="G44" s="44"/>
      <c r="H44" s="44"/>
      <c r="I44" s="44"/>
      <c r="J44" s="4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B38:D38"/>
    <mergeCell ref="B39:D39"/>
    <mergeCell ref="B29:D29"/>
    <mergeCell ref="B30:D30"/>
    <mergeCell ref="B35:D35"/>
    <mergeCell ref="B36:D36"/>
    <mergeCell ref="B37:D37"/>
    <mergeCell ref="B31:D31"/>
    <mergeCell ref="B32:D32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I9:J9"/>
    <mergeCell ref="E44:F44"/>
    <mergeCell ref="G40:J4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41:J41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38:J38"/>
    <mergeCell ref="I39:J39"/>
    <mergeCell ref="I30:J30"/>
    <mergeCell ref="I31:J31"/>
    <mergeCell ref="I37:J37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43:D44"/>
    <mergeCell ref="G43:J43"/>
    <mergeCell ref="G44:J44"/>
    <mergeCell ref="E42:J42"/>
    <mergeCell ref="I32:J32"/>
    <mergeCell ref="I33:J33"/>
    <mergeCell ref="I34:J34"/>
    <mergeCell ref="I35:J35"/>
    <mergeCell ref="I36:J36"/>
    <mergeCell ref="B40:D40"/>
    <mergeCell ref="B41:D41"/>
    <mergeCell ref="B42:D42"/>
    <mergeCell ref="E43:F4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14" priority="57">
      <formula>$E42="راسب"</formula>
    </cfRule>
  </conditionalFormatting>
  <conditionalFormatting sqref="E42:J42">
    <cfRule type="expression" dxfId="13" priority="58">
      <formula>$E42="مقبول"</formula>
    </cfRule>
    <cfRule type="expression" dxfId="12" priority="59">
      <formula>$E42="جيد"</formula>
    </cfRule>
    <cfRule type="expression" dxfId="11" priority="60">
      <formula>$E42="جيد جداً"</formula>
    </cfRule>
    <cfRule type="expression" dxfId="10" priority="61">
      <formula>$E42="ممتاز"</formula>
    </cfRule>
  </conditionalFormatting>
  <conditionalFormatting sqref="F8:F3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6" priority="15" operator="containsText" text="أدخل اسم المحكم">
      <formula>NOT(ISERROR(SEARCH("أدخل اسم المحكم",G43)))</formula>
    </cfRule>
  </conditionalFormatting>
  <conditionalFormatting sqref="H8:H3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F31:F39 F18:F29 F14:F16 F8 F10:F12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20" t="s">
        <v>62</v>
      </c>
    </row>
    <row r="3" spans="1:3" ht="20.100000000000001" customHeight="1" thickBot="1">
      <c r="A3" s="2" t="s">
        <v>26</v>
      </c>
      <c r="C3" s="20" t="s">
        <v>63</v>
      </c>
    </row>
    <row r="4" spans="1:3" ht="20.100000000000001" customHeight="1" thickBot="1">
      <c r="A4" s="2" t="s">
        <v>36</v>
      </c>
      <c r="C4" s="20" t="s">
        <v>64</v>
      </c>
    </row>
    <row r="5" spans="1:3" ht="20.100000000000001" customHeight="1" thickBot="1">
      <c r="A5" s="2" t="s">
        <v>37</v>
      </c>
      <c r="C5" s="20" t="s">
        <v>65</v>
      </c>
    </row>
    <row r="6" spans="1:3" ht="20.100000000000001" customHeight="1" thickBot="1">
      <c r="A6" s="2" t="s">
        <v>38</v>
      </c>
      <c r="C6" s="20" t="s">
        <v>66</v>
      </c>
    </row>
    <row r="7" spans="1:3" ht="20.100000000000001" customHeight="1" thickBot="1">
      <c r="A7" s="2" t="s">
        <v>39</v>
      </c>
      <c r="C7" s="20" t="s">
        <v>67</v>
      </c>
    </row>
    <row r="8" spans="1:3" ht="20.100000000000001" customHeight="1" thickBot="1">
      <c r="A8" s="2" t="s">
        <v>40</v>
      </c>
      <c r="C8" s="20" t="s">
        <v>68</v>
      </c>
    </row>
    <row r="9" spans="1:3" ht="20.100000000000001" customHeight="1" thickBot="1">
      <c r="A9" s="2" t="s">
        <v>41</v>
      </c>
      <c r="C9" s="20" t="s">
        <v>69</v>
      </c>
    </row>
    <row r="10" spans="1:3" ht="20.100000000000001" customHeight="1" thickBot="1">
      <c r="A10" s="2" t="s">
        <v>42</v>
      </c>
      <c r="C10" s="20" t="s">
        <v>70</v>
      </c>
    </row>
    <row r="11" spans="1:3" ht="20.100000000000001" customHeight="1" thickBot="1">
      <c r="A11" s="2" t="s">
        <v>43</v>
      </c>
      <c r="C11" s="20" t="s">
        <v>71</v>
      </c>
    </row>
    <row r="12" spans="1:3" ht="20.100000000000001" customHeight="1" thickBot="1">
      <c r="A12" s="2" t="s">
        <v>44</v>
      </c>
      <c r="C12" s="20" t="s">
        <v>72</v>
      </c>
    </row>
    <row r="13" spans="1:3" ht="20.100000000000001" customHeight="1" thickBot="1">
      <c r="A13" s="2" t="s">
        <v>45</v>
      </c>
      <c r="C13" s="20" t="s">
        <v>73</v>
      </c>
    </row>
    <row r="14" spans="1:3" ht="20.100000000000001" customHeight="1" thickBot="1">
      <c r="A14" s="2" t="s">
        <v>46</v>
      </c>
      <c r="C14" s="20" t="s">
        <v>74</v>
      </c>
    </row>
    <row r="15" spans="1:3" ht="20.100000000000001" customHeight="1" thickBot="1">
      <c r="A15" s="2" t="s">
        <v>47</v>
      </c>
      <c r="C15" s="20" t="s">
        <v>75</v>
      </c>
    </row>
    <row r="16" spans="1:3" ht="20.100000000000001" customHeight="1" thickBot="1">
      <c r="A16" s="2" t="s">
        <v>10</v>
      </c>
      <c r="C16" s="20" t="s">
        <v>76</v>
      </c>
    </row>
    <row r="17" spans="1:3" ht="20.100000000000001" customHeight="1" thickBot="1">
      <c r="A17" s="2" t="s">
        <v>27</v>
      </c>
      <c r="C17" s="20" t="s">
        <v>77</v>
      </c>
    </row>
    <row r="18" spans="1:3" ht="20.100000000000001" customHeight="1" thickBot="1">
      <c r="A18" s="2" t="s">
        <v>48</v>
      </c>
      <c r="C18" s="20" t="s">
        <v>78</v>
      </c>
    </row>
    <row r="19" spans="1:3" ht="20.100000000000001" customHeight="1" thickBot="1">
      <c r="A19" s="2" t="s">
        <v>49</v>
      </c>
      <c r="C19" s="20" t="s">
        <v>79</v>
      </c>
    </row>
    <row r="20" spans="1:3" ht="20.100000000000001" customHeight="1" thickBot="1">
      <c r="A20" s="2" t="s">
        <v>50</v>
      </c>
      <c r="C20" s="20" t="s">
        <v>80</v>
      </c>
    </row>
    <row r="21" spans="1:3" ht="20.100000000000001" customHeight="1" thickBot="1">
      <c r="A21" s="2" t="s">
        <v>51</v>
      </c>
      <c r="C21" s="20" t="s">
        <v>81</v>
      </c>
    </row>
    <row r="22" spans="1:3" ht="20.100000000000001" customHeight="1" thickBot="1">
      <c r="A22" s="2" t="s">
        <v>11</v>
      </c>
      <c r="C22" s="20" t="s">
        <v>82</v>
      </c>
    </row>
    <row r="23" spans="1:3" ht="20.100000000000001" customHeight="1" thickBot="1">
      <c r="A23" s="2" t="s">
        <v>12</v>
      </c>
      <c r="C23" s="20" t="s">
        <v>83</v>
      </c>
    </row>
    <row r="24" spans="1:3" ht="20.100000000000001" customHeight="1" thickBot="1">
      <c r="A24" s="2" t="s">
        <v>15</v>
      </c>
      <c r="C24" s="20" t="s">
        <v>84</v>
      </c>
    </row>
    <row r="25" spans="1:3" ht="20.100000000000001" customHeight="1" thickBot="1">
      <c r="A25" s="2" t="s">
        <v>28</v>
      </c>
      <c r="C25" s="20" t="s">
        <v>85</v>
      </c>
    </row>
    <row r="26" spans="1:3" ht="20.100000000000001" customHeight="1" thickBot="1">
      <c r="A26" s="2" t="s">
        <v>29</v>
      </c>
      <c r="C26" s="20" t="s">
        <v>86</v>
      </c>
    </row>
    <row r="27" spans="1:3" ht="20.100000000000001" customHeight="1" thickBot="1">
      <c r="A27" s="2" t="s">
        <v>13</v>
      </c>
      <c r="C27" s="20" t="s">
        <v>87</v>
      </c>
    </row>
    <row r="28" spans="1:3" ht="20.100000000000001" customHeight="1" thickBot="1">
      <c r="A28" s="2" t="s">
        <v>30</v>
      </c>
      <c r="C28" s="20" t="s">
        <v>88</v>
      </c>
    </row>
    <row r="29" spans="1:3" ht="20.100000000000001" customHeight="1" thickBot="1">
      <c r="A29" s="2" t="s">
        <v>31</v>
      </c>
      <c r="C29" s="20" t="s">
        <v>177</v>
      </c>
    </row>
    <row r="30" spans="1:3" ht="20.100000000000001" customHeight="1" thickBot="1">
      <c r="A30" s="2" t="s">
        <v>32</v>
      </c>
      <c r="C30" s="20" t="s">
        <v>178</v>
      </c>
    </row>
    <row r="31" spans="1:3" ht="20.100000000000001" customHeight="1" thickBot="1">
      <c r="A31" s="2" t="s">
        <v>33</v>
      </c>
      <c r="C31" s="20" t="s">
        <v>179</v>
      </c>
    </row>
    <row r="32" spans="1:3" ht="20.100000000000001" customHeight="1" thickBot="1">
      <c r="A32" s="2" t="s">
        <v>16</v>
      </c>
      <c r="C32" s="20"/>
    </row>
    <row r="33" spans="1:9" ht="20.100000000000001" customHeight="1" thickBot="1">
      <c r="A33" s="2" t="s">
        <v>14</v>
      </c>
      <c r="C33" s="20"/>
    </row>
    <row r="34" spans="1:9" ht="20.100000000000001" customHeight="1" thickBot="1">
      <c r="A34" s="2" t="s">
        <v>34</v>
      </c>
      <c r="C34" s="20"/>
    </row>
    <row r="35" spans="1:9" ht="20.100000000000001" customHeight="1">
      <c r="A35" s="19"/>
    </row>
    <row r="36" spans="1:9" s="18" customFormat="1" ht="20.100000000000001" customHeight="1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4">
        <v>45931</v>
      </c>
    </row>
    <row r="40" spans="1:9" ht="20.100000000000001" customHeight="1" thickBot="1">
      <c r="A40" s="14">
        <v>45932</v>
      </c>
    </row>
    <row r="41" spans="1:9" ht="20.100000000000001" customHeight="1" thickBot="1">
      <c r="A41" s="14">
        <v>45933</v>
      </c>
    </row>
    <row r="42" spans="1:9" ht="20.100000000000001" customHeight="1" thickBot="1">
      <c r="A42" s="14">
        <v>45934</v>
      </c>
    </row>
    <row r="43" spans="1:9" ht="20.100000000000001" customHeight="1" thickBot="1">
      <c r="A43" s="14">
        <v>45935</v>
      </c>
    </row>
    <row r="44" spans="1:9" ht="20.100000000000001" customHeight="1" thickBot="1">
      <c r="A44" s="14">
        <v>45936</v>
      </c>
    </row>
    <row r="45" spans="1:9" ht="20.100000000000001" customHeight="1" thickBot="1">
      <c r="A45" s="14">
        <v>45937</v>
      </c>
    </row>
    <row r="46" spans="1:9" ht="20.100000000000001" customHeight="1" thickBot="1">
      <c r="A46" s="14">
        <v>45938</v>
      </c>
    </row>
    <row r="47" spans="1:9" ht="20.100000000000001" customHeight="1" thickBot="1">
      <c r="A47" s="14">
        <v>45939</v>
      </c>
    </row>
    <row r="48" spans="1:9" ht="20.100000000000001" customHeight="1" thickBot="1">
      <c r="A48" s="14">
        <v>45940</v>
      </c>
    </row>
    <row r="49" spans="1:1" ht="20.100000000000001" customHeight="1" thickBot="1">
      <c r="A49" s="14">
        <v>45941</v>
      </c>
    </row>
    <row r="50" spans="1:1" ht="20.100000000000001" customHeight="1" thickBot="1">
      <c r="A50" s="14">
        <v>45942</v>
      </c>
    </row>
    <row r="51" spans="1:1" ht="20.100000000000001" customHeight="1" thickBot="1">
      <c r="A51" s="14">
        <v>45943</v>
      </c>
    </row>
    <row r="52" spans="1:1" ht="20.100000000000001" customHeight="1" thickBot="1">
      <c r="A52" s="14">
        <v>45944</v>
      </c>
    </row>
    <row r="53" spans="1:1" ht="20.100000000000001" customHeight="1" thickBot="1">
      <c r="A53" s="14">
        <v>45945</v>
      </c>
    </row>
    <row r="54" spans="1:1" ht="20.100000000000001" customHeight="1" thickBot="1">
      <c r="A54" s="14">
        <v>45946</v>
      </c>
    </row>
    <row r="55" spans="1:1" ht="20.100000000000001" customHeight="1" thickBot="1">
      <c r="A55" s="14">
        <v>45947</v>
      </c>
    </row>
    <row r="56" spans="1:1" ht="20.100000000000001" customHeight="1" thickBot="1">
      <c r="A56" s="14">
        <v>45948</v>
      </c>
    </row>
    <row r="57" spans="1:1" ht="20.100000000000001" customHeight="1" thickBot="1">
      <c r="A57" s="14">
        <v>45949</v>
      </c>
    </row>
    <row r="58" spans="1:1" ht="20.100000000000001" customHeight="1" thickBot="1">
      <c r="A58" s="14">
        <v>45950</v>
      </c>
    </row>
    <row r="59" spans="1:1" ht="20.100000000000001" customHeight="1" thickBot="1">
      <c r="A59" s="14">
        <v>45951</v>
      </c>
    </row>
    <row r="60" spans="1:1" ht="20.100000000000001" customHeight="1" thickBot="1">
      <c r="A60" s="14">
        <v>45952</v>
      </c>
    </row>
    <row r="61" spans="1:1" ht="20.100000000000001" customHeight="1" thickBot="1">
      <c r="A61" s="14">
        <v>45953</v>
      </c>
    </row>
    <row r="62" spans="1:1" ht="20.100000000000001" customHeight="1" thickBot="1">
      <c r="A62" s="14">
        <v>45954</v>
      </c>
    </row>
    <row r="63" spans="1:1" ht="20.100000000000001" customHeight="1" thickBot="1">
      <c r="A63" s="14">
        <v>45955</v>
      </c>
    </row>
    <row r="64" spans="1:1" ht="20.100000000000001" customHeight="1" thickBot="1">
      <c r="A64" s="14">
        <v>45956</v>
      </c>
    </row>
    <row r="65" spans="1:1" ht="20.100000000000001" customHeight="1" thickBot="1">
      <c r="A65" s="14">
        <v>45957</v>
      </c>
    </row>
    <row r="66" spans="1:1" ht="20.100000000000001" customHeight="1" thickBot="1">
      <c r="A66" s="14">
        <v>45958</v>
      </c>
    </row>
    <row r="67" spans="1:1" ht="20.100000000000001" customHeight="1" thickBot="1">
      <c r="A67" s="14">
        <v>45959</v>
      </c>
    </row>
    <row r="68" spans="1:1" ht="20.100000000000001" customHeight="1" thickBot="1">
      <c r="A68" s="14">
        <v>45960</v>
      </c>
    </row>
    <row r="69" spans="1:1" ht="20.100000000000001" customHeight="1" thickBot="1">
      <c r="A69" s="14">
        <v>45961</v>
      </c>
    </row>
    <row r="70" spans="1:1" ht="20.100000000000001" customHeight="1" thickBot="1">
      <c r="A70" s="14"/>
    </row>
    <row r="71" spans="1:1" ht="20.100000000000001" customHeight="1" thickBot="1">
      <c r="A71" s="14"/>
    </row>
    <row r="72" spans="1:1" ht="20.100000000000001" customHeight="1" thickBot="1">
      <c r="A72" s="14"/>
    </row>
    <row r="73" spans="1:1" ht="20.100000000000001" customHeight="1" thickBot="1">
      <c r="A73" s="14"/>
    </row>
    <row r="74" spans="1:1" ht="20.100000000000001" customHeight="1" thickBot="1">
      <c r="A74" s="14"/>
    </row>
    <row r="75" spans="1:1" ht="20.100000000000001" customHeight="1" thickBot="1">
      <c r="A75" s="14"/>
    </row>
    <row r="76" spans="1:1" ht="20.100000000000001" customHeight="1" thickBot="1">
      <c r="A76" s="14"/>
    </row>
    <row r="77" spans="1:1" ht="20.100000000000001" customHeight="1" thickBot="1">
      <c r="A77" s="14"/>
    </row>
    <row r="78" spans="1:1" ht="20.100000000000001" customHeight="1" thickBot="1">
      <c r="A78" s="14"/>
    </row>
    <row r="79" spans="1:1" ht="20.100000000000001" customHeight="1" thickBot="1">
      <c r="A79" s="14"/>
    </row>
    <row r="80" spans="1:1" ht="20.100000000000001" customHeight="1" thickBot="1">
      <c r="A80" s="14"/>
    </row>
    <row r="81" spans="1:1" ht="20.100000000000001" customHeight="1" thickBot="1">
      <c r="A81" s="14"/>
    </row>
    <row r="82" spans="1:1" ht="20.100000000000001" customHeight="1" thickBot="1">
      <c r="A82" s="14"/>
    </row>
    <row r="83" spans="1:1" ht="20.100000000000001" customHeight="1" thickBot="1">
      <c r="A83" s="14"/>
    </row>
    <row r="84" spans="1:1" ht="20.100000000000001" customHeight="1" thickBot="1">
      <c r="A84" s="14"/>
    </row>
    <row r="85" spans="1:1" ht="20.100000000000001" customHeight="1" thickBot="1">
      <c r="A85" s="14"/>
    </row>
    <row r="86" spans="1:1" ht="20.100000000000001" customHeight="1" thickBot="1">
      <c r="A86" s="14"/>
    </row>
    <row r="87" spans="1:1" ht="20.100000000000001" customHeight="1" thickBot="1">
      <c r="A87" s="14"/>
    </row>
    <row r="88" spans="1:1" ht="20.100000000000001" customHeight="1" thickBot="1">
      <c r="A88" s="14"/>
    </row>
    <row r="89" spans="1:1" ht="20.100000000000001" customHeight="1" thickBot="1">
      <c r="A89" s="14"/>
    </row>
    <row r="90" spans="1:1" ht="20.100000000000001" customHeight="1" thickBot="1">
      <c r="A90" s="14"/>
    </row>
    <row r="91" spans="1:1" ht="20.100000000000001" customHeight="1" thickBot="1">
      <c r="A91" s="14"/>
    </row>
    <row r="92" spans="1:1" ht="20.100000000000001" customHeight="1" thickBot="1">
      <c r="A92" s="14"/>
    </row>
    <row r="93" spans="1:1" ht="20.100000000000001" customHeight="1" thickBot="1">
      <c r="A93" s="14"/>
    </row>
    <row r="94" spans="1:1" ht="20.100000000000001" customHeight="1" thickBot="1">
      <c r="A94" s="14"/>
    </row>
    <row r="95" spans="1:1" ht="20.100000000000001" customHeight="1" thickBot="1">
      <c r="A95" s="14"/>
    </row>
    <row r="96" spans="1:1" ht="20.100000000000001" customHeight="1" thickBot="1">
      <c r="A96" s="14"/>
    </row>
    <row r="97" spans="1:9" ht="20.100000000000001" customHeight="1" thickBot="1">
      <c r="A97" s="14"/>
    </row>
    <row r="98" spans="1:9" ht="20.100000000000001" customHeight="1" thickBot="1">
      <c r="A98" s="14"/>
    </row>
    <row r="99" spans="1:9" ht="20.100000000000001" customHeight="1" thickBot="1">
      <c r="A99" s="14"/>
    </row>
    <row r="100" spans="1:9" ht="20.100000000000001" customHeight="1" thickBot="1">
      <c r="A100" s="14"/>
    </row>
    <row r="101" spans="1:9" ht="20.100000000000001" customHeight="1" thickBot="1">
      <c r="A101" s="14"/>
    </row>
    <row r="102" spans="1:9" ht="20.100000000000001" customHeight="1" thickBot="1">
      <c r="A102" s="14"/>
    </row>
    <row r="103" spans="1:9" ht="20.100000000000001" customHeight="1" thickBot="1">
      <c r="A103" s="14"/>
    </row>
    <row r="104" spans="1:9" ht="20.100000000000001" customHeight="1" thickBot="1">
      <c r="A104" s="14"/>
    </row>
    <row r="105" spans="1:9" ht="20.100000000000001" customHeight="1" thickBot="1">
      <c r="A105" s="14"/>
    </row>
    <row r="106" spans="1:9" ht="20.100000000000001" customHeight="1" thickBot="1">
      <c r="A106" s="14"/>
    </row>
    <row r="107" spans="1:9" ht="20.100000000000001" customHeight="1">
      <c r="A107" s="15"/>
    </row>
    <row r="108" spans="1:9" ht="20.100000000000001" customHeight="1">
      <c r="A108" s="15"/>
    </row>
    <row r="109" spans="1:9" s="18" customFormat="1" ht="20.100000000000001" customHeight="1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1" t="s">
        <v>89</v>
      </c>
    </row>
    <row r="200" spans="1:1" ht="20.100000000000001" customHeight="1">
      <c r="A200" s="21" t="s">
        <v>90</v>
      </c>
    </row>
    <row r="201" spans="1:1" ht="20.100000000000001" customHeight="1">
      <c r="A201" s="21" t="s">
        <v>91</v>
      </c>
    </row>
    <row r="202" spans="1:1" ht="20.100000000000001" customHeight="1">
      <c r="A202" s="21" t="s">
        <v>92</v>
      </c>
    </row>
    <row r="203" spans="1:1" ht="20.100000000000001" customHeight="1">
      <c r="A203" s="21" t="s">
        <v>93</v>
      </c>
    </row>
    <row r="204" spans="1:1" ht="20.100000000000001" customHeight="1">
      <c r="A204" s="21" t="s">
        <v>94</v>
      </c>
    </row>
    <row r="205" spans="1:1" ht="20.100000000000001" customHeight="1">
      <c r="A205" s="21" t="s">
        <v>95</v>
      </c>
    </row>
    <row r="206" spans="1:1" ht="20.100000000000001" customHeight="1">
      <c r="A206" s="21" t="s">
        <v>96</v>
      </c>
    </row>
    <row r="207" spans="1:1" ht="20.100000000000001" customHeight="1">
      <c r="A207" s="21" t="s">
        <v>97</v>
      </c>
    </row>
    <row r="208" spans="1:1" ht="20.100000000000001" customHeight="1">
      <c r="A208" s="22" t="s">
        <v>98</v>
      </c>
    </row>
    <row r="209" spans="1:1" ht="20.100000000000001" customHeight="1">
      <c r="A209" s="22" t="s">
        <v>99</v>
      </c>
    </row>
    <row r="210" spans="1:1" ht="20.100000000000001" customHeight="1">
      <c r="A210" s="21" t="s">
        <v>100</v>
      </c>
    </row>
    <row r="211" spans="1:1" ht="20.100000000000001" customHeight="1">
      <c r="A211" s="21" t="s">
        <v>101</v>
      </c>
    </row>
    <row r="212" spans="1:1" ht="20.100000000000001" customHeight="1">
      <c r="A212" s="21" t="s">
        <v>175</v>
      </c>
    </row>
    <row r="213" spans="1:1" ht="20.100000000000001" customHeight="1">
      <c r="A213" s="21" t="s">
        <v>102</v>
      </c>
    </row>
    <row r="214" spans="1:1" ht="20.100000000000001" customHeight="1">
      <c r="A214" s="21" t="s">
        <v>103</v>
      </c>
    </row>
    <row r="215" spans="1:1" ht="20.100000000000001" customHeight="1">
      <c r="A215" s="21" t="s">
        <v>104</v>
      </c>
    </row>
    <row r="216" spans="1:1" ht="20.100000000000001" customHeight="1">
      <c r="A216" s="21" t="s">
        <v>105</v>
      </c>
    </row>
    <row r="217" spans="1:1" ht="20.100000000000001" customHeight="1">
      <c r="A217" s="21" t="s">
        <v>106</v>
      </c>
    </row>
    <row r="218" spans="1:1" ht="20.100000000000001" customHeight="1">
      <c r="A218" s="21" t="s">
        <v>107</v>
      </c>
    </row>
    <row r="219" spans="1:1" ht="20.100000000000001" customHeight="1">
      <c r="A219" s="21" t="s">
        <v>108</v>
      </c>
    </row>
    <row r="220" spans="1:1" ht="20.100000000000001" customHeight="1">
      <c r="A220" s="21" t="s">
        <v>109</v>
      </c>
    </row>
    <row r="221" spans="1:1" ht="20.100000000000001" customHeight="1">
      <c r="A221" s="21" t="s">
        <v>110</v>
      </c>
    </row>
    <row r="222" spans="1:1" ht="20.100000000000001" customHeight="1">
      <c r="A222" s="21" t="s">
        <v>111</v>
      </c>
    </row>
    <row r="223" spans="1:1" ht="20.100000000000001" customHeight="1">
      <c r="A223" s="21" t="s">
        <v>112</v>
      </c>
    </row>
    <row r="224" spans="1:1" ht="20.100000000000001" customHeight="1">
      <c r="A224" s="21" t="s">
        <v>176</v>
      </c>
    </row>
    <row r="225" spans="1:1" ht="20.100000000000001" customHeight="1">
      <c r="A225" s="21" t="s">
        <v>113</v>
      </c>
    </row>
    <row r="226" spans="1:1" ht="20.100000000000001" customHeight="1">
      <c r="A226" s="21" t="s">
        <v>114</v>
      </c>
    </row>
    <row r="227" spans="1:1" ht="20.100000000000001" customHeight="1">
      <c r="A227" s="21" t="s">
        <v>115</v>
      </c>
    </row>
    <row r="228" spans="1:1" ht="20.100000000000001" customHeight="1">
      <c r="A228" s="21" t="s">
        <v>116</v>
      </c>
    </row>
    <row r="229" spans="1:1" ht="20.100000000000001" customHeight="1">
      <c r="A229" s="21" t="s">
        <v>117</v>
      </c>
    </row>
    <row r="230" spans="1:1" ht="20.100000000000001" customHeight="1">
      <c r="A230" s="21" t="s">
        <v>118</v>
      </c>
    </row>
    <row r="231" spans="1:1" ht="20.100000000000001" customHeight="1">
      <c r="A231" s="21" t="s">
        <v>119</v>
      </c>
    </row>
    <row r="232" spans="1:1" ht="20.100000000000001" customHeight="1">
      <c r="A232" s="21" t="s">
        <v>120</v>
      </c>
    </row>
    <row r="233" spans="1:1" ht="20.100000000000001" customHeight="1">
      <c r="A233" s="21" t="s">
        <v>121</v>
      </c>
    </row>
    <row r="234" spans="1:1" ht="20.100000000000001" customHeight="1">
      <c r="A234" s="21" t="s">
        <v>122</v>
      </c>
    </row>
    <row r="235" spans="1:1" ht="20.100000000000001" customHeight="1">
      <c r="A235" s="21" t="s">
        <v>123</v>
      </c>
    </row>
    <row r="236" spans="1:1" ht="20.100000000000001" customHeight="1">
      <c r="A236" s="23" t="s">
        <v>124</v>
      </c>
    </row>
    <row r="237" spans="1:1" ht="20.100000000000001" customHeight="1">
      <c r="A237" s="21" t="s">
        <v>125</v>
      </c>
    </row>
    <row r="238" spans="1:1" ht="20.100000000000001" customHeight="1">
      <c r="A238" s="21" t="s">
        <v>126</v>
      </c>
    </row>
    <row r="239" spans="1:1" ht="20.100000000000001" customHeight="1">
      <c r="A239" s="21" t="s">
        <v>127</v>
      </c>
    </row>
    <row r="240" spans="1:1" ht="20.100000000000001" customHeight="1">
      <c r="A240" s="21" t="s">
        <v>128</v>
      </c>
    </row>
    <row r="241" spans="1:1" ht="20.100000000000001" customHeight="1">
      <c r="A241" s="21" t="s">
        <v>129</v>
      </c>
    </row>
    <row r="242" spans="1:1" ht="20.100000000000001" customHeight="1">
      <c r="A242" s="21" t="s">
        <v>130</v>
      </c>
    </row>
    <row r="243" spans="1:1" ht="20.100000000000001" customHeight="1">
      <c r="A243" s="21" t="s">
        <v>131</v>
      </c>
    </row>
    <row r="244" spans="1:1" ht="20.100000000000001" customHeight="1">
      <c r="A244" s="21" t="s">
        <v>132</v>
      </c>
    </row>
    <row r="245" spans="1:1" ht="20.100000000000001" customHeight="1">
      <c r="A245" s="21" t="s">
        <v>133</v>
      </c>
    </row>
    <row r="246" spans="1:1" ht="20.100000000000001" customHeight="1">
      <c r="A246" s="21" t="s">
        <v>134</v>
      </c>
    </row>
    <row r="247" spans="1:1" ht="20.100000000000001" customHeight="1">
      <c r="A247" s="21" t="s">
        <v>135</v>
      </c>
    </row>
    <row r="248" spans="1:1" ht="20.100000000000001" customHeight="1">
      <c r="A248" s="21" t="s">
        <v>126</v>
      </c>
    </row>
    <row r="249" spans="1:1" ht="20.100000000000001" customHeight="1">
      <c r="A249" s="21" t="s">
        <v>136</v>
      </c>
    </row>
    <row r="250" spans="1:1" ht="20.100000000000001" customHeight="1">
      <c r="A250" s="21" t="s">
        <v>137</v>
      </c>
    </row>
    <row r="251" spans="1:1" ht="20.100000000000001" customHeight="1">
      <c r="A251" s="23" t="s">
        <v>138</v>
      </c>
    </row>
    <row r="252" spans="1:1" ht="20.100000000000001" customHeight="1">
      <c r="A252" s="24" t="s">
        <v>139</v>
      </c>
    </row>
    <row r="253" spans="1:1" ht="20.100000000000001" customHeight="1">
      <c r="A253" s="21" t="s">
        <v>140</v>
      </c>
    </row>
    <row r="254" spans="1:1" ht="20.100000000000001" customHeight="1">
      <c r="A254" s="21" t="s">
        <v>141</v>
      </c>
    </row>
    <row r="255" spans="1:1" ht="20.100000000000001" customHeight="1">
      <c r="A255" s="25" t="s">
        <v>142</v>
      </c>
    </row>
    <row r="256" spans="1:1" ht="20.100000000000001" customHeight="1">
      <c r="A256" s="25" t="s">
        <v>143</v>
      </c>
    </row>
    <row r="257" spans="1:1" ht="20.100000000000001" customHeight="1">
      <c r="A257" s="26" t="s">
        <v>144</v>
      </c>
    </row>
    <row r="258" spans="1:1" ht="20.100000000000001" customHeight="1">
      <c r="A258" s="21" t="s">
        <v>145</v>
      </c>
    </row>
    <row r="259" spans="1:1" ht="20.100000000000001" customHeight="1">
      <c r="A259" s="26" t="s">
        <v>146</v>
      </c>
    </row>
    <row r="260" spans="1:1" ht="20.100000000000001" customHeight="1">
      <c r="A260" s="21" t="s">
        <v>147</v>
      </c>
    </row>
    <row r="261" spans="1:1" ht="20.100000000000001" customHeight="1">
      <c r="A261" s="26" t="s">
        <v>148</v>
      </c>
    </row>
    <row r="262" spans="1:1" ht="20.100000000000001" customHeight="1">
      <c r="A262" s="21" t="s">
        <v>149</v>
      </c>
    </row>
    <row r="263" spans="1:1" ht="20.100000000000001" customHeight="1">
      <c r="A263" s="21" t="s">
        <v>150</v>
      </c>
    </row>
    <row r="264" spans="1:1" ht="20.100000000000001" customHeight="1">
      <c r="A264" s="26" t="s">
        <v>151</v>
      </c>
    </row>
    <row r="265" spans="1:1" ht="20.100000000000001" customHeight="1">
      <c r="A265" s="26" t="s">
        <v>152</v>
      </c>
    </row>
    <row r="266" spans="1:1" ht="20.100000000000001" customHeight="1">
      <c r="A266" s="26" t="s">
        <v>153</v>
      </c>
    </row>
    <row r="267" spans="1:1" ht="20.100000000000001" customHeight="1">
      <c r="A267" s="21" t="s">
        <v>154</v>
      </c>
    </row>
    <row r="268" spans="1:1" ht="20.100000000000001" customHeight="1">
      <c r="A268" s="21" t="s">
        <v>155</v>
      </c>
    </row>
    <row r="269" spans="1:1" ht="20.100000000000001" customHeight="1">
      <c r="A269" s="21" t="s">
        <v>156</v>
      </c>
    </row>
    <row r="270" spans="1:1" ht="20.100000000000001" customHeight="1">
      <c r="A270" s="21" t="s">
        <v>157</v>
      </c>
    </row>
    <row r="271" spans="1:1" ht="20.100000000000001" customHeight="1">
      <c r="A271" s="26" t="s">
        <v>158</v>
      </c>
    </row>
    <row r="272" spans="1:1" ht="20.100000000000001" customHeight="1">
      <c r="A272" s="26" t="s">
        <v>159</v>
      </c>
    </row>
    <row r="273" spans="1:1" ht="20.100000000000001" customHeight="1">
      <c r="A273" s="21" t="s">
        <v>160</v>
      </c>
    </row>
    <row r="274" spans="1:1" ht="20.100000000000001" customHeight="1">
      <c r="A274" s="26" t="s">
        <v>161</v>
      </c>
    </row>
    <row r="275" spans="1:1" ht="20.100000000000001" customHeight="1">
      <c r="A275" s="26" t="s">
        <v>162</v>
      </c>
    </row>
    <row r="276" spans="1:1" ht="20.100000000000001" customHeight="1">
      <c r="A276" s="21" t="s">
        <v>163</v>
      </c>
    </row>
    <row r="277" spans="1:1" ht="20.100000000000001" customHeight="1">
      <c r="A277" s="21" t="s">
        <v>164</v>
      </c>
    </row>
    <row r="278" spans="1:1" ht="20.100000000000001" customHeight="1">
      <c r="A278" s="26" t="s">
        <v>165</v>
      </c>
    </row>
    <row r="279" spans="1:1" ht="20.100000000000001" customHeight="1">
      <c r="A279" s="21" t="s">
        <v>166</v>
      </c>
    </row>
    <row r="280" spans="1:1" ht="20.100000000000001" customHeight="1">
      <c r="A280" s="21" t="s">
        <v>167</v>
      </c>
    </row>
    <row r="281" spans="1:1" ht="20.100000000000001" customHeight="1">
      <c r="A281" s="21" t="s">
        <v>168</v>
      </c>
    </row>
    <row r="282" spans="1:1" ht="20.100000000000001" customHeight="1">
      <c r="A282" s="21" t="s">
        <v>169</v>
      </c>
    </row>
    <row r="283" spans="1:1" ht="20.100000000000001" customHeight="1">
      <c r="A283" s="26" t="s">
        <v>170</v>
      </c>
    </row>
    <row r="284" spans="1:1" ht="20.100000000000001" customHeight="1">
      <c r="A284" s="26" t="s">
        <v>171</v>
      </c>
    </row>
    <row r="285" spans="1:1" ht="20.100000000000001" customHeight="1">
      <c r="A285" s="26" t="s">
        <v>172</v>
      </c>
    </row>
    <row r="286" spans="1:1" ht="20.100000000000001" customHeight="1" thickBot="1">
      <c r="A286" s="21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2025-10-08T09:56:42Z</dcterms:modified>
</cp:coreProperties>
</file>