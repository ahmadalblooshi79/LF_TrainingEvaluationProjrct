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C9A5328-427C-4FDC-80CD-642941D260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8" i="2"/>
  <c r="H8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<sst xmlns="http://schemas.openxmlformats.org/spreadsheetml/2006/main" count="246" uniqueCount="191">
  <si>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</si>
  <si>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</si>
  <si>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</si>
  <si>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</si>
  <si>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</si>
  <si>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</si>
  <si>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</si>
  <si>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</si>
  <si>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</si>
  <si>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</si>
  <si>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</si>
  <si>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</si>
  <si>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</si>
  <si>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</si>
  <si>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</si>
  <si>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</si>
  <si>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</si>
  <si>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</si>
  <si>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</si>
  <si>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</si>
  <si>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</si>
  <si>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</si>
  <si>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</si>
  <si>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</si>
  <si>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</si>
  <si>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</si>
  <si>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</si>
  <si>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</si>
  <si>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</si>
  <si>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</si>
  <si>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</si>
  <si>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</si>
  <si>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</si>
  <si>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</si>
  <si>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</si>
  <si>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</si>
  <si>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</si>
  <si>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</si>
  <si>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</si>
  <si>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</si>
  <si>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</si>
  <si>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</si>
  <si>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</si>
  <si>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</si>
  <si>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</si>
  <si>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</si>
  <si>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</si>
  <si>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</si>
  <si>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</si>
  <si>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</si>
  <si>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</si>
  <si>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</si>
  <si>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</si>
  <si>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</si>
  <si>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</si>
  <si>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</si>
  <si>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</si>
  <si>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</si>
  <si>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</si>
  <si>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</si>
  <si>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</si>
  <si>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</si>
  <si>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</si>
  <si>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</si>
  <si>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</si>
  <si>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</si>
  <si>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</si>
  <si>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</si>
  <si>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</si>
  <si>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</si>
  <si>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</si>
  <si>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</si>
  <si>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</si>
  <si>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</si>
  <si>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</si>
  <si>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</si>
  <si>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</si>
  <si>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</si>
  <si>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</si>
  <si>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</si>
  <si>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</si>
  <si>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</si>
  <si>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</si>
  <si>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</si>
  <si>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</si>
  <si>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</si>
  <si>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</si>
  <si>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</si>
  <si>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</si>
  <si>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</si>
  <si>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</si>
  <si>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</si>
  <si>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</si>
  <si>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</si>
  <si>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</si>
  <si>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</si>
  <si>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</si>
  <si>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</si>
  <si>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</si>
  <si>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</si>
  <si>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</si>
  <si>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</si>
  <si>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</si>
  <si>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</si>
  <si>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</si>
  <si>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</si>
  <si>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</si>
  <si>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</si>
  <si>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</si>
  <si>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</si>
  <si>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</si>
  <si>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</si>
  <si>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</si>
  <si>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</si>
  <si>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</si>
  <si>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</si>
  <si>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</si>
  <si>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</si>
  <si>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</si>
  <si>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</si>
  <si>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</si>
  <si>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</si>
  <si>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</si>
  <si>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</si>
  <si>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</si>
  <si>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</si>
  <si>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</si>
  <si>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</si>
  <si>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</si>
  <si>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</si>
  <si>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</si>
  <si>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</si>
  <si>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</si>
  <si>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</si>
  <si>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</si>
  <si>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</si>
  <si>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</si>
  <si>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</si>
  <si>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</si>
  <si>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</si>
  <si>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</si>
  <si>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</si>
  <si>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</si>
  <si>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</si>
  <si>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</si>
  <si>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</si>
  <si>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</si>
  <si>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</si>
  <si>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</si>
  <si>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</si>
  <si>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</si>
  <si>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</si>
  <si>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</si>
  <si>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</si>
  <si>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</si>
  <si>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</si>
  <si>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</si>
  <si>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</si>
  <si>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</si>
  <si>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</si>
  <si>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</si>
  <si>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</si>
  <si>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</si>
  <si>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</si>
  <si>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</si>
  <si>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</si>
  <si>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</si>
  <si>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</si>
  <si>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</si>
  <si>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</si>
  <si>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</si>
  <si>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</si>
  <si>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</si>
  <si>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</si>
  <si>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</si>
  <si>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</si>
  <si>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</si>
  <si>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</si>
  <si>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</si>
  <si>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</si>
  <si>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</si>
  <si>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</si>
  <si>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</si>
  <si>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</si>
  <si>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</si>
  <si>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</si>
  <si>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</si>
  <si>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</si>
  <si>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</si>
  <si>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الكتيبة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</si>
  <si>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وكيل/1 راشد سلطان راشد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</si>
</sst>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263872</xdr:colOff>
      <xdr:row>20</xdr:row>
      <xdr:rowOff>92308</xdr:rowOff>
    </xdr:from>
    <xdr:to>
      <xdr:col>7</xdr:col>
      <xdr:colOff>304180</xdr:colOff>
      <xdr:row>20</xdr:row>
      <xdr:rowOff>487228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DFB8787-91B7-288B-2388-DC3293814EBF}"/>
                </a:ext>
              </a:extLst>
            </xdr14:cNvPr>
            <xdr14:cNvContentPartPr/>
          </xdr14:nvContentPartPr>
          <xdr14:nvPr macro=""/>
          <xdr14:xfrm>
            <a:off x="10399598820" y="9005400"/>
            <a:ext cx="698400" cy="394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DFB8787-91B7-288B-2388-DC3293814E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592700" y="8999280"/>
              <a:ext cx="710640" cy="40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197620</xdr:colOff>
      <xdr:row>20</xdr:row>
      <xdr:rowOff>96988</xdr:rowOff>
    </xdr:from>
    <xdr:to>
      <xdr:col>8</xdr:col>
      <xdr:colOff>155488</xdr:colOff>
      <xdr:row>20</xdr:row>
      <xdr:rowOff>477148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E565EDF-7516-6832-6F88-1ECC9548F972}"/>
                </a:ext>
              </a:extLst>
            </xdr14:cNvPr>
            <xdr14:cNvContentPartPr/>
          </xdr14:nvContentPartPr>
          <xdr14:nvPr macro=""/>
          <xdr14:xfrm>
            <a:off x="10399089420" y="9010080"/>
            <a:ext cx="615960" cy="380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E565EDF-7516-6832-6F88-1ECC9548F97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083300" y="9003960"/>
              <a:ext cx="628200" cy="39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579940</xdr:colOff>
      <xdr:row>20</xdr:row>
      <xdr:rowOff>462028</xdr:rowOff>
    </xdr:from>
    <xdr:to>
      <xdr:col>8</xdr:col>
      <xdr:colOff>110488</xdr:colOff>
      <xdr:row>20</xdr:row>
      <xdr:rowOff>562108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A61414C-24C0-1590-7B2E-DF65B624BC42}"/>
                </a:ext>
              </a:extLst>
            </xdr14:cNvPr>
            <xdr14:cNvContentPartPr/>
          </xdr14:nvContentPartPr>
          <xdr14:nvPr macro=""/>
          <xdr14:xfrm>
            <a:off x="10399134420" y="9375120"/>
            <a:ext cx="188640" cy="1000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A61414C-24C0-1590-7B2E-DF65B624BC4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128300" y="9369000"/>
              <a:ext cx="20088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62248</xdr:colOff>
      <xdr:row>20</xdr:row>
      <xdr:rowOff>312988</xdr:rowOff>
    </xdr:from>
    <xdr:to>
      <xdr:col>8</xdr:col>
      <xdr:colOff>375448</xdr:colOff>
      <xdr:row>20</xdr:row>
      <xdr:rowOff>491548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4F7A536-07B9-A806-06A5-86041F3165B3}"/>
                </a:ext>
              </a:extLst>
            </xdr14:cNvPr>
            <xdr14:cNvContentPartPr/>
          </xdr14:nvContentPartPr>
          <xdr14:nvPr macro=""/>
          <xdr14:xfrm>
            <a:off x="10398869460" y="9226080"/>
            <a:ext cx="313200" cy="1785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4F7A536-07B9-A806-06A5-86041F3165B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863340" y="9219960"/>
              <a:ext cx="325440" cy="190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5:15:36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1378 490 1408,'0'0'0,"-1"-4"1912,-1-1 25,1-6-33,1 11-1904,0-4 1416,-1-9-103,-1 9-201,0-8-184,2 12-928,-3-5 792,1-10-176,-1 3-144,2-3-71,1 15-401,-3-15 304,1-2-64,1-2-96,-1 1 0,2 18-144,-1-19 40,1-1 8,-1 0-40,-1-1-16,2 21 8,-1-20-16,1 0-24,0 0 8,3 1-24,-3 19 56,2-18-40,1 1 40,0 3-48,10 0 16,-13 14 32,3-13-64,13 2-64,-2-1-16,-2 7-32,-12 5 176,18-14-184,0 8 23,3-7 33,2 9 8,-23 4 120,22-4-56,1-2 8,-2 2 24,3 1 24,-24 3 0,21-2-40,1 1 16,-1 1-16,-2 0 0,-19 0 40,21 0-64,-2 0-80,1 3 56,0 0 0,-20-3 88,21 4-128,-4 0 104,0 9-32,0-10 16,-17-3 40,13 13-80,0-9-8,-8 10 16,10-10-40,-15-4 112,2 17-72,9-4-40,-11 0 0,3 0 16,-3-13 96,3 14-152,-3 0 32,0 0-8,-1 1 24,1-15 104,-12 15-88,2 1 40,-3 0 32,-3-1 24,16-15-8,-17 14 48,-2-1 16,3-1 32,-1-8 32,17-4-128,-14 14 112,-1-11 16,1 0-8,0 0 8,14-3-128,-16 0 176,3 0 8,-1 0 48,2 0-24,12 0-208,-13-5 184,7 1 8,-10-2-72,5 1 0,11 5-120,-13-12 96,3 8-48,-5-2-48,4 1-72,11 5 72,-10-13-40,-2 9-8,7-8 48,-7 8-32,12 4 32,-4-6 8,-8-5-48,11 7 0,-4-8 24,5 12 16,-5-4-72,1-2 40,-1-5-32,1 8 8,4 3 56,-2-4-64,-1-2 8,-1 2 24,3-2-16,1 6 48,-3-4-32,1 0 8,1-1 48,1 1-8,0 4-16,-1-3 16,1-1 0,0 3-8,-2-2 56,2 3-64,-1-2 48,-1-1-32,1 2-16,1 0-16,0 1 16,-1-2-16,-1 1 16,1-1-48,-4 2-64,5 0 112,-1-1-144,-2 1 32,0 0-16,1 0 16,2 0 112,-4 0-136,2 0-40,0 0 48,-2 3-56,4-3 184,-6 3-144,-7 1-24,8 9 16,-9-9 72,14-4 80,-11 16-80,-1-2 56,-1 1-16,-1 0 32,14-15 8,-12 15-40,-3 1 24,0 1 16,1 3 8,14-20-8,-17 18 0,4 2 40,-3 0-32,3 3-16,13-23 8,-16 21 16,0 2-16,-1-2 24,0-1 48,17-20-72,-16 19 64,0-2 32,-3 0 48,1-2 8,18-15-152,-21 16 176,3-3 16,-1-2-8,0 1 72,19-12-256,-17 4 256,1 9-8,-1-10-56,4 1-104,13-4-88,-13 11 88,0-8-24,0 1-16,3 1 8,10-5-56,-4 4 8,-10 0 0,9 0-24,1-1 16,4-3 0,-13 4 8,10-1 16,-1 0-56,-1 0 32,5-3 0,-4 3 8,-2 0-8,2-1 96,0 1-32,4-3-64,-5 0 24,4 0-32,-3 3 16,2-3-16,2 0 8,-1 3-16,-2-3 64,1 3-40,0-3 8,2 0-16,-5 0 8,4 3-32,-1-3-16,-1 0 32,3 0 8,-1 3 32,-2-3 16,-1 0 0,0 2-7,4-2-41,-3 0 40,-2 0-16,4 0 48,0 0-24,1 0-48,0 0 64,-2 0 64,1 0 48,-1 0 16,2 0-192,-1-1 224,1 0-8,0-2 56,0 0 0,0 3-272,0-3 256,0-1-48,0-1-104,-2 1 40,2 4-144,0-4 48,0 0-40,3-1-48,0 1-72,-3 4 112,4-4-64,-1 0-24,9-2-8,-9 2-32,-3 4 128,4-5-120,9 1 40,-10 0 24,8 0 0,-11 4 56,3-3-64,9-1-24,-8 1 8,10-2 24,-14 5 56,5-2-48,11-1-24,-5-2-24,3 3 32,-14 2 64,15-5-48,3 1 16,3 0 136,-1 0-96,-20 4-8,23-6 8,0 2 8,0-2-88,-3 2 72,-20 4 0,22-6 16,-4 0 8,-3 2-8,0 0 0,-15 4-16,15-3-16,-4 0 0,2 2 0,0-1 8,-13 2 8,10 0 8,-5 0-32,12 0 24,-13 0-16,-4 0 16,13 3-48,-9 0 40,11 1 0,-11 0-16,-4-4 24,13 5 0,-9-1-24,10 0 8,-11 0-32,-3-4 48,4 3-24,0 2 8,-1-1-8,0-1 0,-3-3 24,3 3-16,-3 1-32,0-1 16,0 1-16,0-4 48,-2 4-48,-1 8-16,-1-10 0,-7 10 24,11-12 40,-4 4-40,-10 10 40,3 0 16,0 1 8,11-15-24,-12 17 24,0 0-8,8 0 8,-11 0-24,15-17 0,-5 20 8,-8 0 8,7 0-16,-9 2-24,15-22 24,-4 23-8,-7 0-16,8 0-8,-3 1 24,6-24 8,-4 23-16,2-1 0,1 1-8,1 0 48,0-23-24,0 21 0,0-2 8,0-1 0,4-1-16,-4-17 8,4 14 8,7-2 16,-11-1 0,2-7 24,-2-4-48,5 12 48,-1-9-8,10-1 0,-14-2-8,0 0-32,5 3 88,-2-3 16,1 0 16,0 0 32,-4 0-152,5-1 152,-1-1 8,0 0 48,-1-3 16,-3 5-224,3-5 256,0-7 56,-3 8 56,0-2 56,0 6-424,0-13 544,0 8 0,0-11 1,-3 2-65,3 14-480,-4-14 328,-9-2-104,8-1-184,-8 0-64,13 17 24,-11-17-40,-2 1-48,1 3 64,1 1 24,11 12 0,-13-13 0,9 2 16,-14 5-16,7-7-24,11 13 24,-12-4-64,-2-9 16,-2 9 32,1-11-48,15 15 64,-16-5-8,1-8-32,4 9-32,-2-8 32,13 12 40,-12-4-80,-1-7-32,2 6-16,-1 0-40,12 5 168,-13-12-160,2 11-33,6-3-47,-9 1 0,14 3 240,-11-2-248,-4 2 16,-2 0 16,-3 13 24,20-13 192,-23 13-192,0 3 32,-2 2 0,1-1 40,24-17 120,-22 19-80,3-2 8,-1 0 24,3 0 32,17-17 16,-17 16-64,1-1 32,0-1 80,-1-1-64,17-13 16,-17 12 16,-1-8 16,0 10-8,0-11 24,18-3-48,-17 4 80,0-1-24,1 0-16,1 0-16,15-3-24,-14 0 24,-1 0 24,0 0-64,-1 0 56,16 0-40,-17-2 8,-3 1-88,-2-1 48,-1 1-72,23 1 104,-24-1-168,1 1-24,-6 2-224,-1 10-208,30-12 624,-33 13-728,-1 2-225,-2 4-199,2 3-544,34-22 1696,-30 22-2169,-6 2-3520,36-24 5689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5:15:37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1050 377 7169,'0'0'0,"-1"0"1128,0 0-432,0 0-239,1 0-457,-3 3 456,3-3 0,-2-1-88,0-2 16,2 3-384,-3-4 328,1-1-8,2 1 56,-1-1 104,1 5-480,0-12 584,0 6 64,0-8 73,0 3 55,0 11-776,0-6 744,0-11-120,0 4-104,0 1-200,0 12-320,4-15 168,-1 1-40,1-2-104,8 1 48,-12 15-72,4-14-32,12-1-16,-4 1-72,2 0-96,-14 14 216,12-14-104,3 0 56,-2 1 72,3 0 40,-16 13-64,19-11-24,1-1-24,3 7 32,0-10-16,-23 15 32,25-11 72,7 0-24,-2 5-112,0-7 80,-30 13-16,24-3 0,-2-1-96,-3 3 136,4-1-128,-23 2 88,19-1-56,-1 1-24,4 0-56,-5 0-8,-17 0 144,19 4-144,-3 0 72,-2 0 32,1 8 48,-15-12-8,13 3-56,-3 1-24,1 9-48,-6-10-8,-5-3 136,14 12-96,-11-7 16,1 9 48,-1-10-40,-3-4 72,3 19-96,-3-5 16,3 4-16,-3 1-40,0-19 136,-5 21-56,-6 2-64,-2 1 32,-1 4 112,14-28-24,-16 30 0,-7 0 32,-2-1 16,5-2-64,20-27 16,-24 22-8,2 0 72,-5-2-8,-1-3-24,28-17-32,-29 18 88,1-2-32,-3-1 0,-3 0-48,34-15-8,-33 12-40,-3 4 40,1-4-72,0 0 96,35-12-24,-34 14 80,3-1-40,1-2-56,3 3 56,27-14-40,-26 13-32,1 1-32,4 1 64,-1-1-16,22-14 16,-21 14 16,2 2-48,0-1 48,5 0-32,14-15 16,-12 12-56,7 3 96,-6-3 8,7 1-64,4-13 16,-3 11 0,2 1-32,1-1 0,0 1-56,0-12 88,0 11 8,4 0-40,9 2-24,-10-1 48,-3-12 8,17 11-32,-4 0 24,0-6 24,1 7 128,-14-12-144,15 3 32,-1 9 40,1-10 0,1 1-128,-16-3 56,14 3-32,0-3 0,1 3-16,-1-3 104,-14 0-56,11 0 56,0 0-88,-7 0 0,10 0 32,-14 0 0,2-2 112,3 0 32,-1-3 88,-1 1-32,-3 4-200,2-4 184,1 0 32,-3-2 16,0 0 40,0 6-272,-1-11 328,-3 7 16,-8-2-112,2-5-144,10 11-88,-14-5-72,-4-8-88,-2 9 56,-2 0-48,22 4 152,-24-4-104,-3-1 8,1 4-16,-2 0 0,28 1 112,-30-2-16,3 1-48,-4 1 88,3 0-56,28 0 32,-29 0-56,-1 0 88,-1 0-112,0 0 64,31 0 16,-33 0 96,2 0-72,5-2-40,2 2 64,24 0-48,-24 0-128,2 0 24,1 0 72,3 3 40,18-3-8,-21 3-16,3 8-64,-4-8 32,2 13-64,20-16 112,-23 11-72,-5 3 128,13-9-80,-6 9 64,21-14-40,-20 4 16,-4 13 32,1-4-104,-5 1 56,28-14 0,-27 13-136,-3 3-384,1-1-280,1-2-665,28-13 1465,-28 14-2176,3-2-713,1 0-3056,24-12 5945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5:15:38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471 0 9129,'0'0'0,"0"0"0,-2 3 1505,-1 1-825,2 1-288,0-1-200,1-4-192,-2 3 96,1-3 0,-1 3 16,-1-3 8,3 0-120,-3 2 152,0 1-40,-2 2 0,-5-1-8,10-4-104,-3 13 112,-12-9 8,2 10 0,-7-10 0,20-4-120,-19 19 136,-4-6 24,-2 1 40,1 0 40,24-14-240,-28 14 185,-2 2-1,0 0 32,-1 1-80,31-17-136,-15 2 128,-3 11 0,0-9-48,-1 11-64,19-15-16,-16 4 24,-4 9-80,2-9-352,2 10-625,16-14 1033,-15 3-2144,-3 8-5050,18-11 7194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5:15:38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869 360 4536,'0'0'0,"-3"-1"2465,-1-2-1585,-9 2-136,13 1-744,-5-3 728,-11 1 57,0 1 39,1-1-72,15 2-752,-16-1 600,0 1-96,-1 0-56,0 0-56,17 0-392,-18 0 328,-1 0 65,1-1-1,-1-1 64,19 2-456,-18-1 472,-1-1-16,1-2-8,-1 1-24,19 3-424,-18-4 464,-1 0-32,2-1-48,2 1-16,15 4-368,-16-6 321,0 1-57,4-1 48,-1-5-88,13 11-224,-13-5 232,2 0-8,5-8-40,-8 7 56,14 6-240,-6-14 152,-8 3 40,10-2-56,-9-1-16,13 14-120,-4-16 168,-2 0-80,-6-1-8,10-1-56,2 18-24,-5-19 80,1 1-32,0-1 24,1 2-48,3 17-24,-3-15-16,0 1-8,1 2-16,0 6 40,2 6 0,-3-12-64,2 10-56,1-1-32,-2 1-120,2 2 272,-1 0-360,-1 0 8,0 0 24,-3 11 64,5-11 264,-4 4-176,0 13 64,-9-1 16,9 2 104,4-18-8,-12 20-8,8 3-8,-10 1 8,8 2-40,6-26 48,-17 25-16,3 2-16,0 2-8,-2 1 16,16-30 24,-18 30 8,-2-1-32,-6 4-96,1-2-304,25-31 424,-30 33-889,-2 1-711,15-18-1209,-3 2-5576,20-18 8385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189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2" t="s">
        <v>178</v>
      </c>
      <c r="C2" s="64" t="s">
        <v>42</v>
      </c>
      <c r="D2" s="64"/>
      <c r="E2" s="12" t="s">
        <v>7</v>
      </c>
      <c r="F2" s="59">
        <v>45938</v>
      </c>
      <c r="G2" s="59"/>
      <c r="H2" s="59"/>
      <c r="I2" s="59"/>
      <c r="J2" s="59"/>
    </row>
    <row r="3" spans="1:10" ht="30" customHeight="1" x14ac:dyDescent="0.3">
      <c r="B3" s="12" t="s">
        <v>179</v>
      </c>
      <c r="C3" s="64"/>
      <c r="D3" s="64"/>
      <c r="E3" s="12" t="s">
        <v>6</v>
      </c>
      <c r="F3" s="64" t="s">
        <v>163</v>
      </c>
      <c r="G3" s="64"/>
      <c r="H3" s="64"/>
      <c r="I3" s="64"/>
      <c r="J3" s="64"/>
    </row>
    <row r="4" spans="1:10" ht="30" customHeight="1" thickBot="1" x14ac:dyDescent="0.35">
      <c r="B4" s="6"/>
      <c r="C4" s="65" t="s">
        <v>190</v>
      </c>
      <c r="D4" s="65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8" t="s">
        <v>1</v>
      </c>
      <c r="F5" s="68"/>
      <c r="G5" s="68"/>
      <c r="H5" s="68"/>
      <c r="I5" s="68" t="s">
        <v>2</v>
      </c>
      <c r="J5" s="69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21</v>
      </c>
      <c r="H6" s="11" t="s">
        <v>22</v>
      </c>
      <c r="I6" s="70"/>
      <c r="J6" s="71"/>
    </row>
    <row r="7" spans="1:10" ht="24.9" customHeight="1" thickBot="1" x14ac:dyDescent="0.35">
      <c r="A7" s="10"/>
      <c r="B7" s="66" t="s">
        <v>19</v>
      </c>
      <c r="C7" s="67"/>
      <c r="D7" s="67"/>
      <c r="E7" s="28" t="s">
        <v>16</v>
      </c>
      <c r="F7" s="28" t="s">
        <v>17</v>
      </c>
      <c r="G7" s="28" t="s">
        <v>20</v>
      </c>
      <c r="H7" s="28" t="s">
        <v>18</v>
      </c>
      <c r="I7" s="72" t="s">
        <v>23</v>
      </c>
      <c r="J7" s="73"/>
    </row>
    <row r="8" spans="1:10" ht="39.9" customHeight="1" x14ac:dyDescent="0.3">
      <c r="A8" s="10"/>
      <c r="B8" s="76" t="s">
        <v>180</v>
      </c>
      <c r="C8" s="77"/>
      <c r="D8" s="77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4"/>
      <c r="J8" s="75"/>
    </row>
    <row r="9" spans="1:10" ht="39.9" customHeight="1" x14ac:dyDescent="0.3">
      <c r="A9" s="10"/>
      <c r="B9" s="78" t="s">
        <v>181</v>
      </c>
      <c r="C9" s="79"/>
      <c r="D9" s="79"/>
      <c r="E9" s="9">
        <v>5</v>
      </c>
      <c r="F9" s="26">
        <v>4.25</v>
      </c>
      <c r="G9" s="30">
        <f>IFERROR(F9/E9,"")</f>
        <v>0.85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4"/>
      <c r="J9" s="45"/>
    </row>
    <row r="10" spans="1:10" ht="39.9" customHeight="1" x14ac:dyDescent="0.3">
      <c r="A10" s="10"/>
      <c r="B10" s="78" t="s">
        <v>182</v>
      </c>
      <c r="C10" s="79"/>
      <c r="D10" s="79"/>
      <c r="E10" s="9">
        <v>5</v>
      </c>
      <c r="F10" s="26">
        <v>4</v>
      </c>
      <c r="G10" s="30">
        <f t="shared" ref="G10:G16" si="0">IFERROR(F10/E10,"")</f>
        <v>0.8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9.9" customHeight="1" x14ac:dyDescent="0.3">
      <c r="A11" s="10"/>
      <c r="B11" s="78" t="s">
        <v>183</v>
      </c>
      <c r="C11" s="79"/>
      <c r="D11" s="79"/>
      <c r="E11" s="9">
        <v>5</v>
      </c>
      <c r="F11" s="26">
        <v>4.25</v>
      </c>
      <c r="G11" s="30">
        <f t="shared" si="0"/>
        <v>0.85</v>
      </c>
      <c r="H11" s="31" t="str">
        <f t="shared" si="1"/>
        <v>جيد جداً</v>
      </c>
      <c r="I11" s="44"/>
      <c r="J11" s="45"/>
    </row>
    <row r="12" spans="1:10" ht="39.9" customHeight="1" x14ac:dyDescent="0.3">
      <c r="A12" s="10"/>
      <c r="B12" s="78" t="s">
        <v>184</v>
      </c>
      <c r="C12" s="79"/>
      <c r="D12" s="79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4"/>
      <c r="J12" s="45"/>
    </row>
    <row r="13" spans="1:10" ht="39.9" customHeight="1" x14ac:dyDescent="0.3">
      <c r="A13" s="10"/>
      <c r="B13" s="78" t="s">
        <v>185</v>
      </c>
      <c r="C13" s="79"/>
      <c r="D13" s="79"/>
      <c r="E13" s="9">
        <v>5</v>
      </c>
      <c r="F13" s="26">
        <v>4</v>
      </c>
      <c r="G13" s="30">
        <f t="shared" si="0"/>
        <v>0.8</v>
      </c>
      <c r="H13" s="31" t="str">
        <f t="shared" si="1"/>
        <v>جيد جداً</v>
      </c>
      <c r="I13" s="44"/>
      <c r="J13" s="45"/>
    </row>
    <row r="14" spans="1:10" ht="39.9" customHeight="1" x14ac:dyDescent="0.3">
      <c r="A14" s="10"/>
      <c r="B14" s="78" t="s">
        <v>186</v>
      </c>
      <c r="C14" s="79"/>
      <c r="D14" s="79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4"/>
      <c r="J14" s="45"/>
    </row>
    <row r="15" spans="1:10" ht="39.9" customHeight="1" x14ac:dyDescent="0.3">
      <c r="A15" s="10"/>
      <c r="B15" s="78" t="s">
        <v>187</v>
      </c>
      <c r="C15" s="79"/>
      <c r="D15" s="79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4"/>
      <c r="J15" s="45"/>
    </row>
    <row r="16" spans="1:10" ht="39.9" customHeight="1" thickBot="1" x14ac:dyDescent="0.35">
      <c r="A16" s="10"/>
      <c r="B16" s="82" t="s">
        <v>188</v>
      </c>
      <c r="C16" s="83"/>
      <c r="D16" s="83"/>
      <c r="E16" s="36">
        <v>5</v>
      </c>
      <c r="F16" s="27">
        <v>3.75</v>
      </c>
      <c r="G16" s="37">
        <f t="shared" si="0"/>
        <v>0.75</v>
      </c>
      <c r="H16" s="38" t="str">
        <f t="shared" si="1"/>
        <v>جيد</v>
      </c>
      <c r="I16" s="80"/>
      <c r="J16" s="81"/>
    </row>
    <row r="17" spans="1:10" ht="30" customHeight="1" thickBot="1" x14ac:dyDescent="0.35">
      <c r="A17" s="4"/>
      <c r="B17" s="54" t="s">
        <v>5</v>
      </c>
      <c r="C17" s="55"/>
      <c r="D17" s="55"/>
      <c r="E17" s="29">
        <f>SUM(E8:E16)</f>
        <v>45</v>
      </c>
      <c r="F17" s="29">
        <f>SUM(F8:F16)</f>
        <v>35</v>
      </c>
      <c r="G17" s="41"/>
      <c r="H17" s="42"/>
      <c r="I17" s="42"/>
      <c r="J17" s="43"/>
    </row>
    <row r="18" spans="1:10" ht="30" customHeight="1" thickBot="1" x14ac:dyDescent="0.35">
      <c r="A18" s="4"/>
      <c r="B18" s="56" t="s">
        <v>52</v>
      </c>
      <c r="C18" s="57"/>
      <c r="D18" s="57"/>
      <c r="E18" s="52">
        <f>F17/E17/100*100</f>
        <v>0.77777777777777779</v>
      </c>
      <c r="F18" s="52"/>
      <c r="G18" s="52"/>
      <c r="H18" s="52"/>
      <c r="I18" s="52"/>
      <c r="J18" s="53"/>
    </row>
    <row r="19" spans="1:10" ht="30" customHeight="1" thickBot="1" x14ac:dyDescent="0.35">
      <c r="A19" s="4"/>
      <c r="B19" s="56" t="s">
        <v>53</v>
      </c>
      <c r="C19" s="57"/>
      <c r="D19" s="57"/>
      <c r="E19" s="50" t="str">
        <f>_xlfn.IFS(E18&gt;=90%,"ممتاز",E18&gt;=80%,"جيد جداً",E18&gt;=70%,"جيد",E18&gt;=60%,"مقبول",E18&lt;60%,"راسب")</f>
        <v>جيد</v>
      </c>
      <c r="F19" s="50"/>
      <c r="G19" s="50"/>
      <c r="H19" s="50"/>
      <c r="I19" s="50"/>
      <c r="J19" s="51"/>
    </row>
    <row r="20" spans="1:10" ht="42" customHeight="1" x14ac:dyDescent="0.3">
      <c r="B20" s="46" t="s">
        <v>172</v>
      </c>
      <c r="C20" s="46"/>
      <c r="D20" s="46"/>
      <c r="E20" s="39" t="s">
        <v>50</v>
      </c>
      <c r="F20" s="39"/>
      <c r="G20" s="48" t="s">
        <v>163</v>
      </c>
      <c r="H20" s="48"/>
      <c r="I20" s="48"/>
      <c r="J20" s="48"/>
    </row>
    <row r="21" spans="1:10" ht="51" customHeight="1" x14ac:dyDescent="0.3">
      <c r="A21" s="5"/>
      <c r="B21" s="47"/>
      <c r="C21" s="47"/>
      <c r="D21" s="47"/>
      <c r="E21" s="40" t="s">
        <v>51</v>
      </c>
      <c r="F21" s="40"/>
      <c r="G21" s="49"/>
      <c r="H21" s="49"/>
      <c r="I21" s="49"/>
      <c r="J21" s="49"/>
    </row>
  </sheetData>
  <sheetProtection formatCells="0" formatColumns="0" formatRows="0" insertColumns="0" insertRows="0" insertHyperlinks="0" deleteColumns="0" deleteRows="0" selectLockedCells="1" sort="0" autoFilter="0" pivotTables="0"/>
  <mergeCells count="40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C4:D4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2025-10-20T04:39:18Z</dcterms:modified>
</cp:coreProperties>
</file>