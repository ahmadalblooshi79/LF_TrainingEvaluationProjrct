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E71D89C-A4C5-42CA-920E-08241DF599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<sst xmlns="http://schemas.openxmlformats.org/spreadsheetml/2006/main" count="245" uniqueCount="189">
  <si>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</si>
  <si>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</si>
  <si>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</si>
  <si>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</si>
  <si>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</si>
  <si>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</si>
  <si>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</si>
  <si>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</si>
  <si>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</si>
  <si>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</si>
  <si>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</si>
  <si>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</si>
  <si>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</si>
  <si>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</si>
  <si>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</si>
  <si>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</si>
  <si>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</si>
  <si>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</si>
  <si>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</si>
  <si>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</si>
  <si>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</si>
  <si>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</si>
  <si>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</si>
  <si>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</si>
  <si>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</si>
  <si>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</si>
  <si>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</si>
  <si>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</si>
  <si>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</si>
  <si>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</si>
  <si>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</si>
  <si>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</si>
  <si>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</si>
  <si>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</si>
  <si>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</si>
  <si>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</si>
  <si>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</si>
  <si>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</si>
  <si>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</si>
  <si>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</si>
  <si>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</si>
  <si>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</si>
  <si>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</si>
  <si>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</si>
  <si>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</si>
  <si>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</si>
  <si>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</si>
  <si>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</si>
  <si>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</si>
  <si>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</si>
  <si>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</si>
  <si>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</si>
  <si>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</si>
  <si>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</si>
  <si>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</si>
  <si>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</si>
  <si>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</si>
  <si>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</si>
  <si>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</si>
  <si>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</si>
  <si>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</si>
  <si>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</si>
  <si>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</si>
  <si>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</si>
  <si>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</si>
  <si>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</si>
  <si>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</si>
  <si>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</si>
  <si>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</si>
  <si>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</si>
  <si>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</si>
  <si>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</si>
  <si>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</si>
  <si>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</si>
  <si>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</si>
  <si>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</si>
  <si>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</si>
  <si>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</si>
  <si>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</si>
  <si>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</si>
  <si>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</si>
  <si>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</si>
  <si>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</si>
  <si>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</si>
  <si>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</si>
  <si>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</si>
  <si>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</si>
  <si>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</si>
  <si>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</si>
  <si>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</si>
  <si>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</si>
  <si>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</si>
  <si>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</si>
  <si>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</si>
  <si>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</si>
  <si>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</si>
  <si>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</si>
  <si>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</si>
  <si>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</si>
  <si>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</si>
  <si>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</si>
  <si>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</si>
  <si>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</si>
  <si>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</si>
  <si>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</si>
  <si>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</si>
  <si>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</si>
  <si>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</si>
  <si>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</si>
  <si>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</si>
  <si>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</si>
  <si>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</si>
  <si>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</si>
  <si>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</si>
  <si>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</si>
  <si>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</si>
  <si>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</si>
  <si>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</si>
  <si>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</si>
  <si>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</si>
  <si>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</si>
  <si>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</si>
  <si>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</si>
  <si>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</si>
  <si>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</si>
  <si>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</si>
  <si>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</si>
  <si>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</si>
  <si>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</si>
  <si>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</si>
  <si>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</si>
  <si>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</si>
  <si>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</si>
  <si>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</si>
  <si>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</si>
  <si>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</si>
  <si>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</si>
  <si>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</si>
  <si>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</si>
  <si>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</si>
  <si>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</si>
  <si>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</si>
  <si>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</si>
  <si>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</si>
  <si>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</si>
  <si>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</si>
  <si>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</si>
  <si>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</si>
  <si>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</si>
  <si>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</si>
  <si>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</si>
  <si>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</si>
  <si>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</si>
  <si>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</si>
  <si>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</si>
  <si>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</si>
  <si>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</si>
  <si>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</si>
  <si>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</si>
  <si>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</si>
  <si>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</si>
  <si>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</si>
  <si>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</si>
  <si>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</si>
  <si>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</si>
  <si>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</si>
  <si>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</si>
  <si>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</si>
  <si>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</si>
  <si>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</si>
  <si>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</si>
  <si>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</si>
  <si>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</si>
  <si>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</si>
  <si>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</si>
  <si>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</si>
  <si>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</si>
  <si>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</si>
  <si>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</si>
  <si>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</si>
  <si>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</si>
  <si>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</si>
  <si>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</si>
  <si>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</si>
  <si>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</si>
  <si>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</si>
  <si>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</si>
  <si>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الهاون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</si>
  <si>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خليفة سعيد المسافري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</si>
</sst>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634526</xdr:colOff>
      <xdr:row>16</xdr:row>
      <xdr:rowOff>376080</xdr:rowOff>
    </xdr:from>
    <xdr:to>
      <xdr:col>8</xdr:col>
      <xdr:colOff>299705</xdr:colOff>
      <xdr:row>18</xdr:row>
      <xdr:rowOff>613108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ED67DC-B95B-C38A-8DBC-BD2F1E500F95}"/>
                </a:ext>
              </a:extLst>
            </xdr14:cNvPr>
            <xdr14:cNvContentPartPr/>
          </xdr14:nvContentPartPr>
          <xdr14:nvPr macro=""/>
          <xdr14:xfrm>
            <a:off x="10398945204" y="6472080"/>
            <a:ext cx="981360" cy="1149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8ED67DC-B95B-C38A-8DBC-BD2F1E500F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39084" y="6465960"/>
              <a:ext cx="993600" cy="11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634526</xdr:colOff>
      <xdr:row>18</xdr:row>
      <xdr:rowOff>491788</xdr:rowOff>
    </xdr:from>
    <xdr:to>
      <xdr:col>6</xdr:col>
      <xdr:colOff>638426</xdr:colOff>
      <xdr:row>18</xdr:row>
      <xdr:rowOff>492148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D33FED1-B2B1-E56A-2E74-7BCA459ABB8B}"/>
                </a:ext>
              </a:extLst>
            </xdr14:cNvPr>
            <xdr14:cNvContentPartPr/>
          </xdr14:nvContentPartPr>
          <xdr14:nvPr macro=""/>
          <xdr14:xfrm>
            <a:off x="10399915044" y="7499880"/>
            <a:ext cx="1152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D33FED1-B2B1-E56A-2E74-7BCA459ABB8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08924" y="7493760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29:57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1955 2941,'0'0,"0"0,0 0,0 0,0 0,-13 0,-4 0,11 0,-4 0,-20 0,24 0,-4 0,-20 0,14 0,1 0,-31 0,31 0,-1 0,-15 0,15 9,2-2,-19-7,10 9,0-1,-7-8,5 0,4 0,-8 0,12 0,1 0,-14 0,14 0,2 0,-18 0,25 0,-1 0,-23 0,24 0,-1 0,-8-17,9 17,-2 0,-21 0,23-8,-2 0,-5 8,-4-8,3 0,2 8,-5-8,3 0,-15 8,14 0,3 0,-20 0,17 9,2-2,-32-7,20 9,6-2,-43 9,40-7,0-1,-24 24,16-23,3-2,-18 10,20 0,5-2,-25 1,20-8,6 0,-27 24,22-24,4 0,-11-8,16 8,2 0,-2 8,0-8,1 0,-1-8,9 0,14-16,9 0,4-1,-9 2,51-33,-20 13,-7 5,73-51,-44 22,-6 6,98-75,-67 59,-10 9,92-69,-64 51,-15 12,79-62,-74 50,-10 10,99-76,-87 75,-14 10,84-54,-104 61,-8 7,22-19,-46 38,-5 4,18-10,-38 23,0 2,-44 32,25-18,-111 57,55-21,9-6,-95 60,64-37,7-7,-102 91,87-67,8-9,-155 125,128-99,14-12,-66 63,94-85,10-7,-13 27,44-45,3-6,-16 19,40-39,-4-2,22-19,-8 8,42-44,-3 14,-9 4,59-50,-36 29,-6 6,58-53,-45 47,-6 6,97-99,-84 75,-3 10,54-55,-80 80,-7 4,11-18,-21 22,-4 4,25-10,-36 23,-4 2,11-9,-11 8,-45 32,-22 8,4 2,6-4,-41 50,34-37,7-5,-117 91,61-44,12-10,-43 37,90-77,4-5,-3 18,24-30,0-3,-7 17,23-24,-3 0,27-24,-10 8,2 0,17-18,-6 3,87-58,-50 22,-6 6,104-107,-74 66,-9 10,99-124,-91 90,-8 11,83-102,-90 98,-8 13,52-111,-77 107,-2 12,16-72,-46 85,0 10,-15-45,-18 52,3 7,-30-28,-14 38,10 6,-91-27,65 47,11 2,-138 31,97 1,8-2,-133 81,130-27,13-9,-97 101,110-76,7-10,-56 103,90-93,4-10,-3 85,41-91,-2-8,8 67,16-68,-1-8,61 76,-9-58,-9-10,64 68,-23-69,-13-6,98 60,-70-70,-12-5,98 26,-100-47,-14-2,82 1,-76-16,-13 0,74 0,-86 0,-9 0,64-32,-122 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29:57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0,15 0,-6 0,-1 0,-8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15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187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2" t="s">
        <v>8</v>
      </c>
      <c r="C2" s="55" t="s">
        <v>11</v>
      </c>
      <c r="D2" s="55"/>
      <c r="E2" s="12" t="s">
        <v>7</v>
      </c>
      <c r="F2" s="50">
        <v>45937</v>
      </c>
      <c r="G2" s="50"/>
      <c r="H2" s="50"/>
      <c r="I2" s="50"/>
      <c r="J2" s="50"/>
    </row>
    <row r="3" spans="1:10" ht="30" customHeight="1" x14ac:dyDescent="0.3">
      <c r="B3" s="12" t="s">
        <v>9</v>
      </c>
      <c r="C3" s="55" t="s">
        <v>60</v>
      </c>
      <c r="D3" s="55"/>
      <c r="E3" s="12" t="s">
        <v>6</v>
      </c>
      <c r="F3" s="55" t="s">
        <v>134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31" t="s">
        <v>188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1" t="s">
        <v>0</v>
      </c>
      <c r="C5" s="52"/>
      <c r="D5" s="52"/>
      <c r="E5" s="58" t="s">
        <v>1</v>
      </c>
      <c r="F5" s="58"/>
      <c r="G5" s="58"/>
      <c r="H5" s="58"/>
      <c r="I5" s="58" t="s">
        <v>2</v>
      </c>
      <c r="J5" s="59"/>
    </row>
    <row r="6" spans="1:10" ht="24.9" customHeight="1" thickBot="1" x14ac:dyDescent="0.35">
      <c r="A6" s="10"/>
      <c r="B6" s="53"/>
      <c r="C6" s="54"/>
      <c r="D6" s="54"/>
      <c r="E6" s="11" t="s">
        <v>3</v>
      </c>
      <c r="F6" s="11" t="s">
        <v>4</v>
      </c>
      <c r="G6" s="11" t="s">
        <v>23</v>
      </c>
      <c r="H6" s="11" t="s">
        <v>24</v>
      </c>
      <c r="I6" s="60"/>
      <c r="J6" s="61"/>
    </row>
    <row r="7" spans="1:10" ht="24.9" customHeight="1" x14ac:dyDescent="0.3">
      <c r="A7" s="10"/>
      <c r="B7" s="56" t="s">
        <v>21</v>
      </c>
      <c r="C7" s="57"/>
      <c r="D7" s="57"/>
      <c r="E7" s="27" t="s">
        <v>18</v>
      </c>
      <c r="F7" s="27" t="s">
        <v>19</v>
      </c>
      <c r="G7" s="27" t="s">
        <v>22</v>
      </c>
      <c r="H7" s="27" t="s">
        <v>20</v>
      </c>
      <c r="I7" s="62" t="s">
        <v>25</v>
      </c>
      <c r="J7" s="63"/>
    </row>
    <row r="8" spans="1:10" ht="30" customHeight="1" x14ac:dyDescent="0.3">
      <c r="A8" s="10"/>
      <c r="B8" s="48" t="s">
        <v>186</v>
      </c>
      <c r="C8" s="48"/>
      <c r="D8" s="48"/>
      <c r="E8" s="9">
        <v>5</v>
      </c>
      <c r="F8" s="26">
        <v>3.5</v>
      </c>
      <c r="G8" s="29">
        <f>IFERROR(F8/E8,"")</f>
        <v>0.7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7"/>
      <c r="J8" s="37"/>
    </row>
    <row r="9" spans="1:10" ht="30" customHeight="1" x14ac:dyDescent="0.3">
      <c r="A9" s="10"/>
      <c r="B9" s="48" t="s">
        <v>185</v>
      </c>
      <c r="C9" s="48"/>
      <c r="D9" s="48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7"/>
      <c r="J9" s="37"/>
    </row>
    <row r="10" spans="1:10" ht="30" customHeight="1" x14ac:dyDescent="0.3">
      <c r="A10" s="10"/>
      <c r="B10" s="48" t="s">
        <v>184</v>
      </c>
      <c r="C10" s="48"/>
      <c r="D10" s="48"/>
      <c r="E10" s="9">
        <v>5</v>
      </c>
      <c r="F10" s="26">
        <v>3.25</v>
      </c>
      <c r="G10" s="29">
        <f t="shared" ref="G10:G14" si="0">IFERROR(F10/E10,"")</f>
        <v>0.65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37"/>
      <c r="J10" s="37"/>
    </row>
    <row r="11" spans="1:10" ht="30" customHeight="1" x14ac:dyDescent="0.3">
      <c r="A11" s="10"/>
      <c r="B11" s="48" t="s">
        <v>183</v>
      </c>
      <c r="C11" s="48"/>
      <c r="D11" s="48"/>
      <c r="E11" s="9">
        <v>5</v>
      </c>
      <c r="F11" s="26">
        <v>3.75</v>
      </c>
      <c r="G11" s="29">
        <f t="shared" si="0"/>
        <v>0.75</v>
      </c>
      <c r="H11" s="30" t="str">
        <f t="shared" si="1"/>
        <v>جيد</v>
      </c>
      <c r="I11" s="37"/>
      <c r="J11" s="37"/>
    </row>
    <row r="12" spans="1:10" ht="30" customHeight="1" x14ac:dyDescent="0.3">
      <c r="A12" s="10"/>
      <c r="B12" s="48" t="s">
        <v>182</v>
      </c>
      <c r="C12" s="48"/>
      <c r="D12" s="48"/>
      <c r="E12" s="9">
        <v>5</v>
      </c>
      <c r="F12" s="26">
        <v>3.25</v>
      </c>
      <c r="G12" s="29">
        <f t="shared" si="0"/>
        <v>0.65</v>
      </c>
      <c r="H12" s="30" t="str">
        <f t="shared" si="1"/>
        <v>مقبول</v>
      </c>
      <c r="I12" s="37"/>
      <c r="J12" s="37"/>
    </row>
    <row r="13" spans="1:10" ht="30" customHeight="1" x14ac:dyDescent="0.3">
      <c r="A13" s="10"/>
      <c r="B13" s="48" t="s">
        <v>181</v>
      </c>
      <c r="C13" s="48"/>
      <c r="D13" s="48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37"/>
      <c r="J13" s="37"/>
    </row>
    <row r="14" spans="1:10" ht="30" customHeight="1" x14ac:dyDescent="0.3">
      <c r="A14" s="10"/>
      <c r="B14" s="48" t="s">
        <v>180</v>
      </c>
      <c r="C14" s="48"/>
      <c r="D14" s="48"/>
      <c r="E14" s="9">
        <v>5</v>
      </c>
      <c r="F14" s="26">
        <v>4</v>
      </c>
      <c r="G14" s="29">
        <f t="shared" si="0"/>
        <v>0.8</v>
      </c>
      <c r="H14" s="30" t="str">
        <f t="shared" si="1"/>
        <v>جيد جداً</v>
      </c>
      <c r="I14" s="37"/>
      <c r="J14" s="37"/>
    </row>
    <row r="15" spans="1:10" ht="30" customHeight="1" thickBot="1" x14ac:dyDescent="0.35">
      <c r="A15" s="4"/>
      <c r="B15" s="64" t="s">
        <v>5</v>
      </c>
      <c r="C15" s="65"/>
      <c r="D15" s="65"/>
      <c r="E15" s="28">
        <f>SUM(E8:E14)</f>
        <v>35</v>
      </c>
      <c r="F15" s="28">
        <f>SUM(F8:F14)</f>
        <v>25.5</v>
      </c>
      <c r="G15" s="34"/>
      <c r="H15" s="35"/>
      <c r="I15" s="35"/>
      <c r="J15" s="36"/>
    </row>
    <row r="16" spans="1:10" ht="30" customHeight="1" thickBot="1" x14ac:dyDescent="0.35">
      <c r="A16" s="4"/>
      <c r="B16" s="46" t="s">
        <v>54</v>
      </c>
      <c r="C16" s="47"/>
      <c r="D16" s="47"/>
      <c r="E16" s="44">
        <f>F15/E15/100*100</f>
        <v>0.72857142857142854</v>
      </c>
      <c r="F16" s="44"/>
      <c r="G16" s="44"/>
      <c r="H16" s="44"/>
      <c r="I16" s="44"/>
      <c r="J16" s="45"/>
    </row>
    <row r="17" spans="1:10" ht="30" customHeight="1" thickBot="1" x14ac:dyDescent="0.35">
      <c r="A17" s="4"/>
      <c r="B17" s="46" t="s">
        <v>55</v>
      </c>
      <c r="C17" s="47"/>
      <c r="D17" s="47"/>
      <c r="E17" s="42" t="str">
        <f>_xlfn.IFS(E16&gt;=90%,"ممتاز",E16&gt;=80%,"جيد جداً",E16&gt;=70%,"جيد",E16&gt;=60%,"مقبول",E16&lt;60%,"راسب")</f>
        <v>جيد</v>
      </c>
      <c r="F17" s="42"/>
      <c r="G17" s="42"/>
      <c r="H17" s="42"/>
      <c r="I17" s="42"/>
      <c r="J17" s="43"/>
    </row>
    <row r="18" spans="1:10" ht="42" customHeight="1" x14ac:dyDescent="0.3">
      <c r="B18" s="38" t="s">
        <v>174</v>
      </c>
      <c r="C18" s="38"/>
      <c r="D18" s="38"/>
      <c r="E18" s="32" t="s">
        <v>52</v>
      </c>
      <c r="F18" s="32"/>
      <c r="G18" s="40" t="s">
        <v>134</v>
      </c>
      <c r="H18" s="40"/>
      <c r="I18" s="40"/>
      <c r="J18" s="40"/>
    </row>
    <row r="19" spans="1:10" ht="51" customHeight="1" x14ac:dyDescent="0.3">
      <c r="A19" s="5"/>
      <c r="B19" s="39"/>
      <c r="C19" s="39"/>
      <c r="D19" s="39"/>
      <c r="E19" s="33" t="s">
        <v>53</v>
      </c>
      <c r="F19" s="33"/>
      <c r="G19" s="41"/>
      <c r="H19" s="41"/>
      <c r="I19" s="41"/>
      <c r="J19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7" priority="19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6" priority="18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5" priority="58">
      <formula>$E17="راسب"</formula>
    </cfRule>
  </conditionalFormatting>
  <conditionalFormatting sqref="E17:J17">
    <cfRule type="expression" dxfId="14" priority="59">
      <formula>$E17="مقبول"</formula>
    </cfRule>
    <cfRule type="expression" dxfId="13" priority="60">
      <formula>$E17="جيد"</formula>
    </cfRule>
    <cfRule type="expression" dxfId="12" priority="61">
      <formula>$E17="جيد جداً"</formula>
    </cfRule>
    <cfRule type="expression" dxfId="11" priority="62">
      <formula>$E17="ممتاز"</formula>
    </cfRule>
  </conditionalFormatting>
  <conditionalFormatting sqref="F8:F14">
    <cfRule type="containsText" dxfId="10" priority="5" operator="containsText" text="أدخل العلامة">
      <formula>NOT(ISERROR(SEARCH("أدخل العلامة",F8)))</formula>
    </cfRule>
  </conditionalFormatting>
  <conditionalFormatting sqref="F2:J2">
    <cfRule type="containsText" dxfId="9" priority="20" operator="containsText" text="أدخل التاريخ">
      <formula>NOT(ISERROR(SEARCH("أدخل التاريخ",F2)))</formula>
    </cfRule>
  </conditionalFormatting>
  <conditionalFormatting sqref="F3:J3">
    <cfRule type="containsText" dxfId="8" priority="17" operator="containsText" text="أدخل أسم المحكم">
      <formula>NOT(ISERROR(SEARCH("أدخل أسم المحكم",F3)))</formula>
    </cfRule>
  </conditionalFormatting>
  <conditionalFormatting sqref="G18:J18">
    <cfRule type="containsText" dxfId="7" priority="16" operator="containsText" text="أدخل اسم المحكم">
      <formula>NOT(ISERROR(SEARCH("أدخل اسم المحكم",G18)))</formula>
    </cfRule>
  </conditionalFormatting>
  <conditionalFormatting sqref="H8:H14">
    <cfRule type="containsText" dxfId="6" priority="6" operator="containsText" text="أدخل العلامة">
      <formula>NOT(ISERROR(SEARCH("أدخل العلامة",H8)))</formula>
    </cfRule>
    <cfRule type="containsText" dxfId="5" priority="7" operator="containsText" text="ممتاز">
      <formula>NOT(ISERROR(SEARCH("ممتاز",H8)))</formula>
    </cfRule>
    <cfRule type="containsText" dxfId="4" priority="8" operator="containsText" text="جيد جداً">
      <formula>NOT(ISERROR(SEARCH("جيد جداً",H8)))</formula>
    </cfRule>
    <cfRule type="containsText" dxfId="3" priority="9" operator="containsText" text="جيد">
      <formula>NOT(ISERROR(SEARCH("جيد",H8)))</formula>
    </cfRule>
    <cfRule type="containsText" dxfId="2" priority="10" operator="containsText" text="مقبول">
      <formula>NOT(ISERROR(SEARCH("مقبول",H8)))</formula>
    </cfRule>
    <cfRule type="containsText" dxfId="1" priority="11" operator="containsText" text="راسب">
      <formula>NOT(ISERROR(SEARCH("راسب",H8)))</formula>
    </cfRule>
  </conditionalFormatting>
  <conditionalFormatting sqref="D4">
    <cfRule type="containsText" dxfId="0" priority="1" operator="containsText" text="أدخل أسم قائد الوحدة الخاضعة للتقييم">
      <formula>NOT(ISERROR(SEARCH("أدخل أسم قائد الوحدة الخاضعة للتقييم",D4)))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2025-10-08T21:00:14Z</dcterms:modified>
</cp:coreProperties>
</file>