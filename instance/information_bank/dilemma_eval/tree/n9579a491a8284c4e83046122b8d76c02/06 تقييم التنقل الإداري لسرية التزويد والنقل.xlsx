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B035E1E-A040-432A-9210-19786853D4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4" i="2"/>
  <c r="H34" i="2"/>
  <c r="G35" i="2"/>
  <c r="H35" i="2"/>
  <c r="G36" i="2"/>
  <c r="H36" i="2"/>
  <c r="G37" i="2"/>
  <c r="H37" i="2"/>
  <c r="F38" i="2"/>
  <c r="E38" i="2"/>
  <c r="E39" i="2"/>
  <c r="E40" i="2"/>
</calcChain>
</file>

<file path=xl/sharedStrings.xml><?xml version="1.0" encoding="utf-8"?>
<sst xmlns="http://schemas.openxmlformats.org/spreadsheetml/2006/main" count="268" uniqueCount="212">
  <si>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</si>
  <si>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</si>
  <si>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</si>
  <si>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</si>
  <si>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</si>
  <si>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</si>
  <si>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</si>
  <si>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</si>
  <si>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</si>
  <si>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</si>
  <si>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</si>
  <si>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</si>
  <si>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</si>
  <si>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</si>
  <si>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</si>
  <si>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</si>
  <si>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</si>
  <si>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</si>
  <si>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</si>
  <si>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</si>
  <si>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</si>
  <si>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</si>
  <si>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</si>
  <si>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</si>
  <si>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</si>
  <si>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</si>
  <si>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</si>
  <si>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</si>
  <si>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</si>
  <si>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</si>
  <si>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</si>
  <si>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</si>
  <si>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</si>
  <si>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</si>
  <si>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</si>
  <si>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</si>
  <si>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</si>
  <si>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</si>
  <si>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</si>
  <si>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</si>
  <si>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</si>
  <si>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</si>
  <si>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</si>
  <si>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</si>
  <si>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</si>
  <si>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</si>
  <si>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</si>
  <si>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</si>
  <si>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</si>
  <si>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</si>
  <si>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</si>
  <si>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</si>
  <si>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</si>
  <si>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</si>
  <si>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</si>
  <si>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</si>
  <si>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</si>
  <si>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</si>
  <si>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</si>
  <si>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</si>
  <si>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</si>
  <si>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</si>
  <si>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</si>
  <si>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</si>
  <si>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</si>
  <si>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</si>
  <si>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</si>
  <si>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</si>
  <si>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</si>
  <si>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</si>
  <si>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</si>
  <si>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</si>
  <si>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</si>
  <si>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</si>
  <si>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</si>
  <si>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</si>
  <si>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</si>
  <si>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</si>
  <si>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</si>
  <si>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</si>
  <si>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</si>
  <si>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</si>
  <si>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</si>
  <si>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</si>
  <si>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</si>
  <si>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</si>
  <si>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</si>
  <si>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</si>
  <si>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</si>
  <si>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</si>
  <si>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</si>
  <si>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</si>
  <si>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</si>
  <si>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</si>
  <si>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</si>
  <si>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</si>
  <si>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</si>
  <si>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</si>
  <si>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</si>
  <si>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</si>
  <si>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</si>
  <si>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</si>
  <si>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</si>
  <si>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</si>
  <si>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</si>
  <si>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</si>
  <si>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</si>
  <si>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</si>
  <si>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</si>
  <si>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</si>
  <si>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</si>
  <si>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</si>
  <si>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</si>
  <si>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</si>
  <si>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</si>
  <si>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</si>
  <si>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</si>
  <si>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</si>
  <si>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</si>
  <si>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</si>
  <si>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</si>
  <si>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</si>
  <si>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</si>
  <si>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</si>
  <si>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</si>
  <si>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</si>
  <si>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</si>
  <si>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</si>
  <si>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</si>
  <si>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</si>
  <si>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</si>
  <si>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</si>
  <si>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</si>
  <si>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</si>
  <si>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</si>
  <si>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</si>
  <si>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</si>
  <si>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</si>
  <si>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</si>
  <si>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</si>
  <si>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</si>
  <si>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</si>
  <si>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</si>
  <si>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</si>
  <si>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</si>
  <si>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</si>
  <si>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</si>
  <si>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</si>
  <si>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</si>
  <si>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</si>
  <si>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</si>
  <si>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</si>
  <si>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</si>
  <si>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</si>
  <si>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</si>
  <si>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</si>
  <si>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</si>
  <si>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</si>
  <si>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</si>
  <si>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</si>
  <si>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</si>
  <si>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</si>
  <si>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</si>
  <si>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</si>
  <si>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</si>
  <si>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</si>
  <si>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</si>
  <si>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</si>
  <si>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</si>
  <si>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</si>
  <si>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</si>
  <si>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</si>
  <si>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</si>
  <si>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</si>
  <si>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</si>
  <si>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</si>
  <si>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</si>
  <si>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</si>
  <si>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</si>
  <si>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</si>
  <si>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 xml:space="preserve">تقييم التنقل الإداري لسرية التزويد والنقل 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</si>
  <si>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القافلة، وتشمل:</t>
    </r>
  </si>
  <si>
    <r>
      <t xml:space="preserve">أ. </t>
    </r>
    <r>
      <rPr>
        <sz val="12"/>
        <color rgb="FF000000"/>
        <rFont val="Arial"/>
        <family val="2"/>
      </rPr>
      <t xml:space="preserve">وجود </t>
    </r>
    <r>
      <rPr>
        <sz val="12"/>
        <color theme="1"/>
        <rFont val="Arial"/>
        <family val="2"/>
      </rPr>
      <t>الأمر / برقية إعطاء الموافقة بالتحرك من المستوى الأعلـى.</t>
    </r>
  </si>
  <si>
    <t>ب. وجود أمـر التنقل ودقة البيانات الواردة به.</t>
  </si>
  <si>
    <t>جـ. وجود جدول التنقل ودقة البيانات الواردة به.</t>
  </si>
  <si>
    <t>د. وجود يومية التحرك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</si>
  <si>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السيطرة).</t>
    </r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</si>
  <si>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التحرك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</si>
  <si>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جاهزيـة الضباط والأفــراد من حيث.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</si>
  <si>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وجود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</si>
  <si>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</si>
  <si>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الشـرطة العسكرية</t>
    </r>
    <r>
      <rPr>
        <b/>
        <sz val="12"/>
        <color theme="1"/>
        <rFont val="Arial"/>
        <family val="2"/>
      </rPr>
      <t>.</t>
    </r>
  </si>
  <si>
    <t>أ. وجود برقية إخطار الشرطة العسكرية بالتحرك صادرة من المستوى الأعلى.</t>
  </si>
  <si>
    <t>ب. التأكد من التنسيق مع الشرطة المدينة حول التحرك من قبل الشرطة العسكرية.</t>
  </si>
  <si>
    <t>جـ. التأكد من عدم السماح للسيارة المدينة بالدخول بين آليات القافلة العسكرية.</t>
  </si>
  <si>
    <t>د. التأكد من جاهزية الأفراد والآليات من حيث (عدد الأفراد / الآليات، التسليح، الاتصالات، اللباس).</t>
  </si>
  <si>
    <r>
      <t>8.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.</t>
    </r>
  </si>
  <si>
    <t>أ.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</si>
  <si>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الآلية، جدول التحميل / الركوب لكل آلية.</t>
  </si>
  <si>
    <t>جـ. مدى صلاحية وجاهزية الآليات من حيث (الوقود، المياه، الإطار الاحتياطي، غطاء التمويه مع الركائز).</t>
  </si>
  <si>
    <t>د. التأكد من عدم تحميل الآليات أكثر من حمولتها أو وضع حمولة غير مرتبة بحيث توحي بأنها محملة أكثر من حمولتها.</t>
  </si>
  <si>
    <t>هـ. التأكد من تحميل ثلث ذخيرة الخط الأول لجميع الأصناف في صناديق (أثناء التنقل لتنفيذ التمارين الخارجية) مع وجود سند صرف لاستلام الذخائر.</t>
  </si>
  <si>
    <t>و.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</si>
  <si>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عند تحميل أي ذخيرة في القافلة.</t>
    </r>
  </si>
  <si>
    <t>أ. وجود سيارة إطفاء والتأكد من جاهزيتها وصلاحيتها وكفاءة طاقمها.</t>
  </si>
  <si>
    <t>ب. وجود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</si>
  <si>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u/>
        <sz val="12"/>
        <color rgb="FF000000"/>
        <rFont val="Arial"/>
        <family val="2"/>
      </rPr>
      <t>الشؤون الإدارية</t>
    </r>
    <r>
      <rPr>
        <b/>
        <sz val="12"/>
        <color rgb="FF000000"/>
        <rFont val="Arial"/>
        <family val="2"/>
      </rPr>
      <t>.</t>
    </r>
  </si>
  <si>
    <t>أ. توفر الإعاشة أثناء التنقـل.</t>
  </si>
  <si>
    <t>ب. وجود سيارة إسعاف مع طبيب /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</si>
  <si>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</si>
  <si>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وجود آلية قطر احتياط لأليات النقل الثقيلة.</t>
  </si>
  <si>
    <t>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</si>
</sst>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sz val="12"/>
      <color theme="1"/>
      <name val="Arial"/>
      <family val="2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indent="2" readingOrder="2"/>
    </xf>
    <xf numFmtId="0" fontId="15" fillId="0" borderId="12" xfId="0" applyFont="1" applyBorder="1" applyAlignment="1">
      <alignment horizontal="right" vertical="center" wrapText="1" indent="2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173615</xdr:colOff>
      <xdr:row>41</xdr:row>
      <xdr:rowOff>102647</xdr:rowOff>
    </xdr:from>
    <xdr:to>
      <xdr:col>8</xdr:col>
      <xdr:colOff>43284</xdr:colOff>
      <xdr:row>41</xdr:row>
      <xdr:rowOff>375887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8DE59A5-609F-4110-131D-1D505762748D}"/>
                </a:ext>
              </a:extLst>
            </xdr14:cNvPr>
            <xdr14:cNvContentPartPr/>
          </xdr14:nvContentPartPr>
          <xdr14:nvPr macro=""/>
          <xdr14:xfrm>
            <a:off x="10399201625" y="20491920"/>
            <a:ext cx="527760" cy="273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8DE59A5-609F-4110-131D-1D505762748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95505" y="20485800"/>
              <a:ext cx="54000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59865</xdr:colOff>
      <xdr:row>40</xdr:row>
      <xdr:rowOff>490818</xdr:rowOff>
    </xdr:from>
    <xdr:to>
      <xdr:col>8</xdr:col>
      <xdr:colOff>554844</xdr:colOff>
      <xdr:row>42</xdr:row>
      <xdr:rowOff>87182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E78A010-5484-4DCB-1055-23E0FCD6A510}"/>
                </a:ext>
              </a:extLst>
            </xdr14:cNvPr>
            <xdr14:cNvContentPartPr/>
          </xdr14:nvContentPartPr>
          <xdr14:nvPr macro=""/>
          <xdr14:xfrm>
            <a:off x="10398690065" y="20349000"/>
            <a:ext cx="1811160" cy="774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E78A010-5484-4DCB-1055-23E0FCD6A51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683945" y="20342880"/>
              <a:ext cx="1823400" cy="786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4:37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1016 583 1680,'0'0'0,"-7"-15"920,7 15-920,-2-18 984,-12-3-120,7 0 97,2 2-185,5 19-776,-5-17 584,-6 2-160,7-4-40,1 1-48,3 18-336,-11-19 320,6-1 8,1 2-48,1 1-72,3 17-208,-5-17 200,3 1-87,2-1-33,2 0 8,-2 17-88,5-16 24,5-1 8,1 0-40,6-4-8,-17 21 16,16-21-16,2-2 24,5 0-16,1 2-16,-24 21 24,23-22-16,5 3-8,-3-1 24,3 3 8,-28 17-8,26-16-8,1 5-8,-1 5-16,-3 0-8,-23 6 40,23-3 8,-2 3 0,-1 3-40,2 14 24,-22-17 8,21 16-57,-6 5 25,0 2 48,-4 3 57,-11-26-73,2 27 24,1 2-24,-3 0 32,-3 1-72,3-30 40,-13 27 40,1 0 40,-4-3-8,2-1 40,14-23-112,-24 20 120,1-5-40,0-2 32,-2-9 24,25-4-136,-28 13 88,0-13 64,3 0 0,-3-1-32,28 1-120,-23-6 184,0-10-40,4 2 8,5-2-16,14 16-136,-17-17 48,4 0 32,10-1-80,-9 1 48,12 17-48,-3-16 32,-2 0-80,2 5 40,-1 5 16,4 6-8,-3-12-16,3 10 72,0-2 24,-2 3-128,2 1 48,0 0 0,0 0-48,0 0-88,-3 2 104,3-2 32,-2 13-88,-2-1 24,2 3 80,-13 4-24,15-19 8,-11 21 8,-1 0 40,-6-1-16,1-1 8,17-19-40,-20 15 88,-1-2 16,0-2 16,1-6-56,20-5-64,-20 14 64,2-14-24,0 3 24,-1-3 88,19 0-152,-16 0 128,-2-4 16,1-2-80,-2-7 32,19 13-96,-14-6 88,3-5-56,-1 7 0,6-1-16,6 5-16,-15-4-80,13 3 104,-12 1-40,7 0 8,7 0 8,-16 4 72,0 13-56,0 2 24,-5 2-64,21-21 24,-22 25 8,-1 4-48,-2-1 72,-3 2-48,28-30 16,-30 30 0,2-2 32,-4 1-32,2-2 32,30-27-32,-28 26-32,-2-2 32,4-4-16,1-2 24,25-18-8,-21 14 16,-3-2-56,4-8-8,-1 0-128,21-4 176,-23 3-344,-5-3-896,3 0-1129,-1-1-415,26 1 2784,-30-5-4529,30 5 4529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4:38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1215 788 10562,'0'0'0,"0"0"0,-14 3 1128,-4 15-816,-6 8-112,4 8-128,20-34-72,-13 44 40,-1 4-56,-3 6-32,6 3-16,11-57 64,-17 56-56,-2 5-24,-7-1-16,-6 2-48,32-62 144,-40 63-88,-7 0 8,-5-2-8,-5-1 64,57-60 24,-57 55-88,-4-4 72,-2-4-40,-4-7-8,67-40 64,-63 32-184,-1-10-392,8-10-552,1-12-873,55 0 2001,-49-12-2200,4-12-537,13-11 425,32 35 2312</inkml:trace>
  <inkml:trace contextRef="#ctx0" brushRef="#br0" timeOffset="1">365 1431 10378,'0'0'0,"-35"47"720,35-47-720,-47 68 456,-12 21-192,7 4-80,7-13 0,45-80-184,-37 74 72,6-9 64,3-7-24,9-10-96,19-48-16,-12 40 96,12-9-40,5-8 120,13-6 176,-18-17-352,32 4 400,8-4 113,14-4-65,16-20-120,-70 24-328,85-35 360,16-10 0,15-13 40,8-10 64,-124 68-464,134-79 528,15-6-32,4-9-16,12-5-8,-165 99-472,170-103 369,6 0 47,10 2 40,10-3-16,-196 104-440,202-99 400,3-3-96,7-1-96,6 0-96,-218 103-112,225-105 120,8 3-144,-2 4 8,-3 6-64,-228 92 80,223-83-176,-17 11-56,-14 12-400,-20 11-1025,-172 49 1657,150-40-3440,-6 7-1617,-35 9-1809,-109 24 6866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33</v>
      </c>
      <c r="D2" s="71"/>
      <c r="E2" s="11" t="s">
        <v>7</v>
      </c>
      <c r="F2" s="66">
        <v>45931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60</v>
      </c>
      <c r="D3" s="71"/>
      <c r="E3" s="11" t="s">
        <v>6</v>
      </c>
      <c r="F3" s="71" t="s">
        <v>120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 t="s">
        <v>211</v>
      </c>
      <c r="E4" s="6"/>
      <c r="F4" s="7"/>
      <c r="G4" s="7"/>
      <c r="H4" s="8"/>
      <c r="I4" s="7"/>
      <c r="J4" s="7"/>
    </row>
    <row r="5" spans="1:10" ht="24.9" customHeight="1" x14ac:dyDescent="0.3">
      <c r="A5" s="9"/>
      <c r="B5" s="67" t="s">
        <v>0</v>
      </c>
      <c r="C5" s="68"/>
      <c r="D5" s="68"/>
      <c r="E5" s="53" t="s">
        <v>1</v>
      </c>
      <c r="F5" s="53"/>
      <c r="G5" s="53"/>
      <c r="H5" s="53"/>
      <c r="I5" s="53" t="s">
        <v>2</v>
      </c>
      <c r="J5" s="54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5"/>
      <c r="J6" s="56"/>
    </row>
    <row r="7" spans="1:10" ht="24.9" customHeight="1" thickBot="1" x14ac:dyDescent="0.35">
      <c r="A7" s="9"/>
      <c r="B7" s="74" t="s">
        <v>21</v>
      </c>
      <c r="C7" s="75"/>
      <c r="D7" s="75"/>
      <c r="E7" s="28" t="s">
        <v>18</v>
      </c>
      <c r="F7" s="28" t="s">
        <v>19</v>
      </c>
      <c r="G7" s="28" t="s">
        <v>22</v>
      </c>
      <c r="H7" s="28" t="s">
        <v>20</v>
      </c>
      <c r="I7" s="57" t="s">
        <v>25</v>
      </c>
      <c r="J7" s="58"/>
    </row>
    <row r="8" spans="1:10" ht="39.9" customHeight="1" x14ac:dyDescent="0.3">
      <c r="A8" s="9"/>
      <c r="B8" s="86" t="s">
        <v>181</v>
      </c>
      <c r="C8" s="87"/>
      <c r="D8" s="87"/>
      <c r="E8" s="33"/>
      <c r="F8" s="34"/>
      <c r="G8" s="35"/>
      <c r="H8" s="36"/>
      <c r="I8" s="51"/>
      <c r="J8" s="52"/>
    </row>
    <row r="9" spans="1:10" ht="39.9" customHeight="1" x14ac:dyDescent="0.3">
      <c r="A9" s="9"/>
      <c r="B9" s="84" t="s">
        <v>182</v>
      </c>
      <c r="C9" s="85"/>
      <c r="D9" s="85"/>
      <c r="E9" s="31">
        <v>5</v>
      </c>
      <c r="F9" s="25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9"/>
      <c r="J9" s="50"/>
    </row>
    <row r="10" spans="1:10" ht="39.9" customHeight="1" x14ac:dyDescent="0.3">
      <c r="A10" s="9"/>
      <c r="B10" s="84" t="s">
        <v>183</v>
      </c>
      <c r="C10" s="85"/>
      <c r="D10" s="85"/>
      <c r="E10" s="31">
        <v>5</v>
      </c>
      <c r="F10" s="25">
        <v>3.75</v>
      </c>
      <c r="G10" s="29">
        <f t="shared" ref="G10:G37" si="0">IFERROR(F10/E10,"")</f>
        <v>0.75</v>
      </c>
      <c r="H10" s="30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39.9" customHeight="1" x14ac:dyDescent="0.3">
      <c r="A11" s="9"/>
      <c r="B11" s="84" t="s">
        <v>184</v>
      </c>
      <c r="C11" s="85"/>
      <c r="D11" s="85"/>
      <c r="E11" s="31">
        <v>5</v>
      </c>
      <c r="F11" s="25">
        <v>3.75</v>
      </c>
      <c r="G11" s="29">
        <f t="shared" si="0"/>
        <v>0.75</v>
      </c>
      <c r="H11" s="30" t="str">
        <f t="shared" si="1"/>
        <v>جيد</v>
      </c>
      <c r="I11" s="49"/>
      <c r="J11" s="50"/>
    </row>
    <row r="12" spans="1:10" ht="39.9" customHeight="1" thickBot="1" x14ac:dyDescent="0.35">
      <c r="A12" s="9"/>
      <c r="B12" s="88" t="s">
        <v>185</v>
      </c>
      <c r="C12" s="89"/>
      <c r="D12" s="89"/>
      <c r="E12" s="37">
        <v>5</v>
      </c>
      <c r="F12" s="27">
        <v>3.5</v>
      </c>
      <c r="G12" s="38">
        <f t="shared" si="0"/>
        <v>0.7</v>
      </c>
      <c r="H12" s="39" t="str">
        <f t="shared" si="1"/>
        <v>جيد</v>
      </c>
      <c r="I12" s="76"/>
      <c r="J12" s="77"/>
    </row>
    <row r="13" spans="1:10" ht="45.75" customHeight="1" thickBot="1" x14ac:dyDescent="0.35">
      <c r="A13" s="9"/>
      <c r="B13" s="90" t="s">
        <v>186</v>
      </c>
      <c r="C13" s="91"/>
      <c r="D13" s="91"/>
      <c r="E13" s="40">
        <v>5</v>
      </c>
      <c r="F13" s="41">
        <v>3.75</v>
      </c>
      <c r="G13" s="42">
        <f t="shared" si="0"/>
        <v>0.75</v>
      </c>
      <c r="H13" s="26" t="str">
        <f t="shared" si="1"/>
        <v>جيد</v>
      </c>
      <c r="I13" s="82"/>
      <c r="J13" s="83"/>
    </row>
    <row r="14" spans="1:10" ht="54.75" customHeight="1" thickBot="1" x14ac:dyDescent="0.35">
      <c r="A14" s="9"/>
      <c r="B14" s="90" t="s">
        <v>187</v>
      </c>
      <c r="C14" s="91"/>
      <c r="D14" s="91"/>
      <c r="E14" s="40">
        <v>5</v>
      </c>
      <c r="F14" s="41">
        <v>3.5</v>
      </c>
      <c r="G14" s="42">
        <f t="shared" si="0"/>
        <v>0.7</v>
      </c>
      <c r="H14" s="26" t="str">
        <f t="shared" si="1"/>
        <v>جيد</v>
      </c>
      <c r="I14" s="82"/>
      <c r="J14" s="83"/>
    </row>
    <row r="15" spans="1:10" ht="55.5" customHeight="1" thickBot="1" x14ac:dyDescent="0.35">
      <c r="A15" s="9"/>
      <c r="B15" s="90" t="s">
        <v>188</v>
      </c>
      <c r="C15" s="91"/>
      <c r="D15" s="91"/>
      <c r="E15" s="40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82"/>
      <c r="J15" s="83"/>
    </row>
    <row r="16" spans="1:10" ht="39.9" customHeight="1" thickBot="1" x14ac:dyDescent="0.35">
      <c r="A16" s="9"/>
      <c r="B16" s="90" t="s">
        <v>189</v>
      </c>
      <c r="C16" s="91"/>
      <c r="D16" s="91"/>
      <c r="E16" s="40">
        <v>5</v>
      </c>
      <c r="F16" s="41">
        <v>3.5</v>
      </c>
      <c r="G16" s="42">
        <f t="shared" si="0"/>
        <v>0.7</v>
      </c>
      <c r="H16" s="26" t="str">
        <f t="shared" si="1"/>
        <v>جيد</v>
      </c>
      <c r="I16" s="82"/>
      <c r="J16" s="83"/>
    </row>
    <row r="17" spans="1:10" ht="39.9" customHeight="1" thickBot="1" x14ac:dyDescent="0.35">
      <c r="A17" s="9"/>
      <c r="B17" s="90" t="s">
        <v>190</v>
      </c>
      <c r="C17" s="91"/>
      <c r="D17" s="91"/>
      <c r="E17" s="40">
        <v>5</v>
      </c>
      <c r="F17" s="41">
        <v>3.5</v>
      </c>
      <c r="G17" s="42">
        <f t="shared" si="0"/>
        <v>0.7</v>
      </c>
      <c r="H17" s="26" t="str">
        <f t="shared" si="1"/>
        <v>جيد</v>
      </c>
      <c r="I17" s="82"/>
      <c r="J17" s="83"/>
    </row>
    <row r="18" spans="1:10" ht="39.9" customHeight="1" x14ac:dyDescent="0.3">
      <c r="A18" s="9"/>
      <c r="B18" s="92" t="s">
        <v>191</v>
      </c>
      <c r="C18" s="93"/>
      <c r="D18" s="93"/>
      <c r="E18" s="43"/>
      <c r="F18" s="34"/>
      <c r="G18" s="35"/>
      <c r="H18" s="36"/>
      <c r="I18" s="51"/>
      <c r="J18" s="52"/>
    </row>
    <row r="19" spans="1:10" ht="39.9" customHeight="1" x14ac:dyDescent="0.3">
      <c r="A19" s="9"/>
      <c r="B19" s="84" t="s">
        <v>192</v>
      </c>
      <c r="C19" s="85"/>
      <c r="D19" s="85"/>
      <c r="E19" s="31">
        <v>5</v>
      </c>
      <c r="F19" s="25">
        <v>3.75</v>
      </c>
      <c r="G19" s="29">
        <f t="shared" si="0"/>
        <v>0.75</v>
      </c>
      <c r="H19" s="30" t="str">
        <f t="shared" si="1"/>
        <v>جيد</v>
      </c>
      <c r="I19" s="49"/>
      <c r="J19" s="50"/>
    </row>
    <row r="20" spans="1:10" ht="39.9" customHeight="1" x14ac:dyDescent="0.3">
      <c r="A20" s="9"/>
      <c r="B20" s="84" t="s">
        <v>193</v>
      </c>
      <c r="C20" s="85"/>
      <c r="D20" s="85"/>
      <c r="E20" s="31">
        <v>5</v>
      </c>
      <c r="F20" s="25">
        <v>3.5</v>
      </c>
      <c r="G20" s="29">
        <f t="shared" si="0"/>
        <v>0.7</v>
      </c>
      <c r="H20" s="30" t="str">
        <f t="shared" si="1"/>
        <v>جيد</v>
      </c>
      <c r="I20" s="49"/>
      <c r="J20" s="50"/>
    </row>
    <row r="21" spans="1:10" ht="39.9" customHeight="1" x14ac:dyDescent="0.3">
      <c r="A21" s="9"/>
      <c r="B21" s="84" t="s">
        <v>194</v>
      </c>
      <c r="C21" s="85"/>
      <c r="D21" s="85"/>
      <c r="E21" s="31">
        <v>5</v>
      </c>
      <c r="F21" s="25">
        <v>3.5</v>
      </c>
      <c r="G21" s="29">
        <f t="shared" si="0"/>
        <v>0.7</v>
      </c>
      <c r="H21" s="30" t="str">
        <f t="shared" si="1"/>
        <v>جيد</v>
      </c>
      <c r="I21" s="49"/>
      <c r="J21" s="50"/>
    </row>
    <row r="22" spans="1:10" ht="39.9" customHeight="1" thickBot="1" x14ac:dyDescent="0.35">
      <c r="A22" s="9"/>
      <c r="B22" s="88" t="s">
        <v>195</v>
      </c>
      <c r="C22" s="89"/>
      <c r="D22" s="89"/>
      <c r="E22" s="37">
        <v>5</v>
      </c>
      <c r="F22" s="27">
        <v>3.5</v>
      </c>
      <c r="G22" s="38">
        <f t="shared" si="0"/>
        <v>0.7</v>
      </c>
      <c r="H22" s="39" t="str">
        <f t="shared" si="1"/>
        <v>جيد</v>
      </c>
      <c r="I22" s="76"/>
      <c r="J22" s="77"/>
    </row>
    <row r="23" spans="1:10" ht="39.9" customHeight="1" x14ac:dyDescent="0.3">
      <c r="A23" s="9"/>
      <c r="B23" s="92" t="s">
        <v>196</v>
      </c>
      <c r="C23" s="93"/>
      <c r="D23" s="93"/>
      <c r="E23" s="43"/>
      <c r="F23" s="34"/>
      <c r="G23" s="35"/>
      <c r="H23" s="36"/>
      <c r="I23" s="51"/>
      <c r="J23" s="52"/>
    </row>
    <row r="24" spans="1:10" ht="56.25" customHeight="1" x14ac:dyDescent="0.3">
      <c r="A24" s="9"/>
      <c r="B24" s="84" t="s">
        <v>197</v>
      </c>
      <c r="C24" s="85"/>
      <c r="D24" s="85"/>
      <c r="E24" s="31">
        <v>5</v>
      </c>
      <c r="F24" s="25">
        <v>3.75</v>
      </c>
      <c r="G24" s="29">
        <f t="shared" si="0"/>
        <v>0.75</v>
      </c>
      <c r="H24" s="30" t="str">
        <f t="shared" si="1"/>
        <v>جيد</v>
      </c>
      <c r="I24" s="49"/>
      <c r="J24" s="50"/>
    </row>
    <row r="25" spans="1:10" ht="39.9" customHeight="1" x14ac:dyDescent="0.3">
      <c r="A25" s="9"/>
      <c r="B25" s="84" t="s">
        <v>198</v>
      </c>
      <c r="C25" s="85"/>
      <c r="D25" s="85"/>
      <c r="E25" s="31">
        <v>5</v>
      </c>
      <c r="F25" s="25">
        <v>3.75</v>
      </c>
      <c r="G25" s="29">
        <f t="shared" si="0"/>
        <v>0.75</v>
      </c>
      <c r="H25" s="30" t="str">
        <f t="shared" si="1"/>
        <v>جيد</v>
      </c>
      <c r="I25" s="49"/>
      <c r="J25" s="50"/>
    </row>
    <row r="26" spans="1:10" ht="39.9" customHeight="1" x14ac:dyDescent="0.3">
      <c r="A26" s="9"/>
      <c r="B26" s="84" t="s">
        <v>199</v>
      </c>
      <c r="C26" s="85"/>
      <c r="D26" s="85"/>
      <c r="E26" s="31">
        <v>5</v>
      </c>
      <c r="F26" s="25">
        <v>3.75</v>
      </c>
      <c r="G26" s="29">
        <f t="shared" si="0"/>
        <v>0.75</v>
      </c>
      <c r="H26" s="30" t="str">
        <f t="shared" si="1"/>
        <v>جيد</v>
      </c>
      <c r="I26" s="49"/>
      <c r="J26" s="50"/>
    </row>
    <row r="27" spans="1:10" ht="39.9" customHeight="1" x14ac:dyDescent="0.3">
      <c r="A27" s="9"/>
      <c r="B27" s="84" t="s">
        <v>200</v>
      </c>
      <c r="C27" s="85"/>
      <c r="D27" s="85"/>
      <c r="E27" s="31">
        <v>5</v>
      </c>
      <c r="F27" s="25">
        <v>3.5</v>
      </c>
      <c r="G27" s="29">
        <f t="shared" si="0"/>
        <v>0.7</v>
      </c>
      <c r="H27" s="30" t="str">
        <f t="shared" si="1"/>
        <v>جيد</v>
      </c>
      <c r="I27" s="49"/>
      <c r="J27" s="50"/>
    </row>
    <row r="28" spans="1:10" ht="51" customHeight="1" x14ac:dyDescent="0.3">
      <c r="A28" s="9"/>
      <c r="B28" s="84" t="s">
        <v>201</v>
      </c>
      <c r="C28" s="85"/>
      <c r="D28" s="85"/>
      <c r="E28" s="31">
        <v>5</v>
      </c>
      <c r="F28" s="25">
        <v>3.5</v>
      </c>
      <c r="G28" s="29">
        <f t="shared" si="0"/>
        <v>0.7</v>
      </c>
      <c r="H28" s="30" t="str">
        <f t="shared" si="1"/>
        <v>جيد</v>
      </c>
      <c r="I28" s="49"/>
      <c r="J28" s="50"/>
    </row>
    <row r="29" spans="1:10" ht="39.9" customHeight="1" thickBot="1" x14ac:dyDescent="0.35">
      <c r="A29" s="9"/>
      <c r="B29" s="88" t="s">
        <v>202</v>
      </c>
      <c r="C29" s="89"/>
      <c r="D29" s="89"/>
      <c r="E29" s="37">
        <v>5</v>
      </c>
      <c r="F29" s="27">
        <v>3.5</v>
      </c>
      <c r="G29" s="38">
        <f t="shared" si="0"/>
        <v>0.7</v>
      </c>
      <c r="H29" s="39" t="str">
        <f t="shared" si="1"/>
        <v>جيد</v>
      </c>
      <c r="I29" s="76"/>
      <c r="J29" s="77"/>
    </row>
    <row r="30" spans="1:10" ht="39.9" customHeight="1" x14ac:dyDescent="0.3">
      <c r="A30" s="9"/>
      <c r="B30" s="92" t="s">
        <v>203</v>
      </c>
      <c r="C30" s="93"/>
      <c r="D30" s="93"/>
      <c r="E30" s="43"/>
      <c r="F30" s="34"/>
      <c r="G30" s="35"/>
      <c r="H30" s="36"/>
      <c r="I30" s="51"/>
      <c r="J30" s="52"/>
    </row>
    <row r="31" spans="1:10" ht="39.9" customHeight="1" x14ac:dyDescent="0.3">
      <c r="A31" s="9"/>
      <c r="B31" s="84" t="s">
        <v>204</v>
      </c>
      <c r="C31" s="85"/>
      <c r="D31" s="85"/>
      <c r="E31" s="31">
        <v>5</v>
      </c>
      <c r="F31" s="25">
        <v>3.75</v>
      </c>
      <c r="G31" s="29">
        <f t="shared" si="0"/>
        <v>0.75</v>
      </c>
      <c r="H31" s="30" t="str">
        <f t="shared" si="1"/>
        <v>جيد</v>
      </c>
      <c r="I31" s="49"/>
      <c r="J31" s="50"/>
    </row>
    <row r="32" spans="1:10" ht="39.9" customHeight="1" thickBot="1" x14ac:dyDescent="0.35">
      <c r="A32" s="9"/>
      <c r="B32" s="88" t="s">
        <v>205</v>
      </c>
      <c r="C32" s="89"/>
      <c r="D32" s="89"/>
      <c r="E32" s="37">
        <v>5</v>
      </c>
      <c r="F32" s="27">
        <v>3.5</v>
      </c>
      <c r="G32" s="38">
        <f t="shared" si="0"/>
        <v>0.7</v>
      </c>
      <c r="H32" s="39" t="str">
        <f t="shared" si="1"/>
        <v>جيد</v>
      </c>
      <c r="I32" s="76"/>
      <c r="J32" s="77"/>
    </row>
    <row r="33" spans="1:10" ht="39.9" customHeight="1" x14ac:dyDescent="0.3">
      <c r="A33" s="9"/>
      <c r="B33" s="86" t="s">
        <v>206</v>
      </c>
      <c r="C33" s="87"/>
      <c r="D33" s="87"/>
      <c r="E33" s="43"/>
      <c r="F33" s="34"/>
      <c r="G33" s="35"/>
      <c r="H33" s="36"/>
      <c r="I33" s="51"/>
      <c r="J33" s="52"/>
    </row>
    <row r="34" spans="1:10" ht="39.9" customHeight="1" x14ac:dyDescent="0.3">
      <c r="A34" s="9"/>
      <c r="B34" s="84" t="s">
        <v>207</v>
      </c>
      <c r="C34" s="85"/>
      <c r="D34" s="85"/>
      <c r="E34" s="31">
        <v>5</v>
      </c>
      <c r="F34" s="25">
        <v>3.5</v>
      </c>
      <c r="G34" s="29">
        <f t="shared" si="0"/>
        <v>0.7</v>
      </c>
      <c r="H34" s="30" t="str">
        <f t="shared" si="1"/>
        <v>جيد</v>
      </c>
      <c r="I34" s="49"/>
      <c r="J34" s="50"/>
    </row>
    <row r="35" spans="1:10" ht="39.9" customHeight="1" x14ac:dyDescent="0.3">
      <c r="A35" s="9"/>
      <c r="B35" s="84" t="s">
        <v>208</v>
      </c>
      <c r="C35" s="85"/>
      <c r="D35" s="85"/>
      <c r="E35" s="31">
        <v>5</v>
      </c>
      <c r="F35" s="25">
        <v>3.75</v>
      </c>
      <c r="G35" s="29">
        <f t="shared" si="0"/>
        <v>0.75</v>
      </c>
      <c r="H35" s="30" t="str">
        <f t="shared" si="1"/>
        <v>جيد</v>
      </c>
      <c r="I35" s="49"/>
      <c r="J35" s="50"/>
    </row>
    <row r="36" spans="1:10" ht="39.9" customHeight="1" x14ac:dyDescent="0.3">
      <c r="A36" s="9"/>
      <c r="B36" s="84" t="s">
        <v>209</v>
      </c>
      <c r="C36" s="85"/>
      <c r="D36" s="85"/>
      <c r="E36" s="31">
        <v>5</v>
      </c>
      <c r="F36" s="25">
        <v>3.75</v>
      </c>
      <c r="G36" s="29">
        <f t="shared" si="0"/>
        <v>0.75</v>
      </c>
      <c r="H36" s="30" t="str">
        <f t="shared" si="1"/>
        <v>جيد</v>
      </c>
      <c r="I36" s="49"/>
      <c r="J36" s="50"/>
    </row>
    <row r="37" spans="1:10" ht="39.9" customHeight="1" thickBot="1" x14ac:dyDescent="0.35">
      <c r="A37" s="9"/>
      <c r="B37" s="88" t="s">
        <v>210</v>
      </c>
      <c r="C37" s="89"/>
      <c r="D37" s="89"/>
      <c r="E37" s="37">
        <v>5</v>
      </c>
      <c r="F37" s="27">
        <v>3.75</v>
      </c>
      <c r="G37" s="38">
        <f t="shared" si="0"/>
        <v>0.75</v>
      </c>
      <c r="H37" s="39" t="str">
        <f t="shared" si="1"/>
        <v>جيد</v>
      </c>
      <c r="I37" s="76"/>
      <c r="J37" s="77"/>
    </row>
    <row r="38" spans="1:10" ht="30" customHeight="1" thickBot="1" x14ac:dyDescent="0.35">
      <c r="A38" s="4"/>
      <c r="B38" s="78" t="s">
        <v>5</v>
      </c>
      <c r="C38" s="79"/>
      <c r="D38" s="79"/>
      <c r="E38" s="32">
        <f>SUM(E8:E37)</f>
        <v>125</v>
      </c>
      <c r="F38" s="32">
        <f>SUM(F8:F37)</f>
        <v>90.5</v>
      </c>
      <c r="G38" s="46"/>
      <c r="H38" s="47"/>
      <c r="I38" s="47"/>
      <c r="J38" s="48"/>
    </row>
    <row r="39" spans="1:10" ht="30" customHeight="1" thickBot="1" x14ac:dyDescent="0.35">
      <c r="A39" s="4"/>
      <c r="B39" s="80" t="s">
        <v>54</v>
      </c>
      <c r="C39" s="81"/>
      <c r="D39" s="81"/>
      <c r="E39" s="72">
        <f>F38/E38/100*100</f>
        <v>0.72399999999999998</v>
      </c>
      <c r="F39" s="72"/>
      <c r="G39" s="72"/>
      <c r="H39" s="72"/>
      <c r="I39" s="72"/>
      <c r="J39" s="73"/>
    </row>
    <row r="40" spans="1:10" ht="30" customHeight="1" thickBot="1" x14ac:dyDescent="0.35">
      <c r="A40" s="4"/>
      <c r="B40" s="80" t="s">
        <v>55</v>
      </c>
      <c r="C40" s="81"/>
      <c r="D40" s="81"/>
      <c r="E40" s="63" t="str">
        <f>_xlfn.IFS(E39&gt;=90%,"ممتاز",E39&gt;=80%,"جيد جداً",E39&gt;=70%,"جيد",E39&gt;=60%,"مقبول",E39&lt;60%,"راسب")</f>
        <v>جيد</v>
      </c>
      <c r="F40" s="63"/>
      <c r="G40" s="63"/>
      <c r="H40" s="63"/>
      <c r="I40" s="63"/>
      <c r="J40" s="64"/>
    </row>
    <row r="41" spans="1:10" ht="42" customHeight="1" x14ac:dyDescent="0.3">
      <c r="B41" s="59" t="s">
        <v>174</v>
      </c>
      <c r="C41" s="59"/>
      <c r="D41" s="59"/>
      <c r="E41" s="44" t="s">
        <v>52</v>
      </c>
      <c r="F41" s="44"/>
      <c r="G41" s="61" t="s">
        <v>120</v>
      </c>
      <c r="H41" s="61"/>
      <c r="I41" s="61"/>
      <c r="J41" s="61"/>
    </row>
    <row r="42" spans="1:10" ht="51" customHeight="1" x14ac:dyDescent="0.3">
      <c r="A42" s="5"/>
      <c r="B42" s="60"/>
      <c r="C42" s="60"/>
      <c r="D42" s="60"/>
      <c r="E42" s="45" t="s">
        <v>53</v>
      </c>
      <c r="F42" s="45"/>
      <c r="G42" s="62"/>
      <c r="H42" s="62"/>
      <c r="I42" s="62"/>
      <c r="J42" s="6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1">
    <mergeCell ref="B22:D22"/>
    <mergeCell ref="B23:D23"/>
    <mergeCell ref="B35:D35"/>
    <mergeCell ref="B36:D36"/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38:D38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1:J21"/>
    <mergeCell ref="I22:J22"/>
    <mergeCell ref="I32:J32"/>
    <mergeCell ref="B41:D42"/>
    <mergeCell ref="G41:J41"/>
    <mergeCell ref="G42:J42"/>
    <mergeCell ref="E40:J40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8:J8"/>
    <mergeCell ref="E41:F41"/>
    <mergeCell ref="E42:F42"/>
    <mergeCell ref="G38:J38"/>
    <mergeCell ref="I9:J9"/>
    <mergeCell ref="I23:J23"/>
    <mergeCell ref="I24:J24"/>
    <mergeCell ref="I25:J25"/>
    <mergeCell ref="I26:J26"/>
    <mergeCell ref="I27:J27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58">
      <formula>$E40="مقبول"</formula>
    </cfRule>
    <cfRule type="expression" dxfId="12" priority="59">
      <formula>$E40="جيد"</formula>
    </cfRule>
    <cfRule type="expression" dxfId="11" priority="60">
      <formula>$E40="جيد جداً"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F34:F37 F31:F32 F24:F29 F19:F22 F9:F17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2025-10-07T15:53:04Z</dcterms:modified>
</cp:coreProperties>
</file>