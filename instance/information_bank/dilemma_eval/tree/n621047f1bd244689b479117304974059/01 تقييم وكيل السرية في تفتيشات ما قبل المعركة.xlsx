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D96555DB-95BA-45BF-9C5C-F37667A8BD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8" i="2"/>
  <c r="H8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<sst xmlns="http://schemas.openxmlformats.org/spreadsheetml/2006/main" count="246" uniqueCount="191">
  <si>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</si>
  <si>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</si>
  <si>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</si>
  <si>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</si>
  <si>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</si>
  <si>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</si>
  <si>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</si>
  <si>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</si>
  <si>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</si>
  <si>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</si>
  <si>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</si>
  <si>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</si>
  <si>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</si>
  <si>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</si>
  <si>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</si>
  <si>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</si>
  <si>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</si>
  <si>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</si>
  <si>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</si>
  <si>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</si>
  <si>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</si>
  <si>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</si>
  <si>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</si>
  <si>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</si>
  <si>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</si>
  <si>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</si>
  <si>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</si>
  <si>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</si>
  <si>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</si>
  <si>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</si>
  <si>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</si>
  <si>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</si>
  <si>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</si>
  <si>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</si>
  <si>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</si>
  <si>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</si>
  <si>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</si>
  <si>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</si>
  <si>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</si>
  <si>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</si>
  <si>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</si>
  <si>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</si>
  <si>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</si>
  <si>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</si>
  <si>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</si>
  <si>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</si>
  <si>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</si>
  <si>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</si>
  <si>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</si>
  <si>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</si>
  <si>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</si>
  <si>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</si>
  <si>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</si>
  <si>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</si>
  <si>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</si>
  <si>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</si>
  <si>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</si>
  <si>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</si>
  <si>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</si>
  <si>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</si>
  <si>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</si>
  <si>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</si>
  <si>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</si>
  <si>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</si>
  <si>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</si>
  <si>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</si>
  <si>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</si>
  <si>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</si>
  <si>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</si>
  <si>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</si>
  <si>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</si>
  <si>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</si>
  <si>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</si>
  <si>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</si>
  <si>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</si>
  <si>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</si>
  <si>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</si>
  <si>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</si>
  <si>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</si>
  <si>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</si>
  <si>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</si>
  <si>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</si>
  <si>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</si>
  <si>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</si>
  <si>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</si>
  <si>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</si>
  <si>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</si>
  <si>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</si>
  <si>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</si>
  <si>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</si>
  <si>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</si>
  <si>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</si>
  <si>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</si>
  <si>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</si>
  <si>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</si>
  <si>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</si>
  <si>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</si>
  <si>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</si>
  <si>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</si>
  <si>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</si>
  <si>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</si>
  <si>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</si>
  <si>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</si>
  <si>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</si>
  <si>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</si>
  <si>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</si>
  <si>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</si>
  <si>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</si>
  <si>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</si>
  <si>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</si>
  <si>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</si>
  <si>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</si>
  <si>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</si>
  <si>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</si>
  <si>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</si>
  <si>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</si>
  <si>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</si>
  <si>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</si>
  <si>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</si>
  <si>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</si>
  <si>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</si>
  <si>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</si>
  <si>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</si>
  <si>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</si>
  <si>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</si>
  <si>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</si>
  <si>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</si>
  <si>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</si>
  <si>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</si>
  <si>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</si>
  <si>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</si>
  <si>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</si>
  <si>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</si>
  <si>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</si>
  <si>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</si>
  <si>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</si>
  <si>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</si>
  <si>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</si>
  <si>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</si>
  <si>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</si>
  <si>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</si>
  <si>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</si>
  <si>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</si>
  <si>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</si>
  <si>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</si>
  <si>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</si>
  <si>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</si>
  <si>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</si>
  <si>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</si>
  <si>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</si>
  <si>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</si>
  <si>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</si>
  <si>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</si>
  <si>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</si>
  <si>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</si>
  <si>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</si>
  <si>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</si>
  <si>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</si>
  <si>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</si>
  <si>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</si>
  <si>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</si>
  <si>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</si>
  <si>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</si>
  <si>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</si>
  <si>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</si>
  <si>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</si>
  <si>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</si>
  <si>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</si>
  <si>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</si>
  <si>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</si>
  <si>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</si>
  <si>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</si>
  <si>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</si>
  <si>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</si>
  <si>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</si>
  <si>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</si>
  <si>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</si>
  <si>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</si>
  <si>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</si>
  <si>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</si>
  <si>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جميع الافراد.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</si>
  <si>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قادة الآليات.</t>
    </r>
  </si>
  <si>
    <r>
      <t>3.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الآليات.</t>
    </r>
  </si>
  <si>
    <r>
      <t>4.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هياكل/ بدن الآليات.</t>
    </r>
  </si>
  <si>
    <r>
      <t>5.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ابراج الآليات.</t>
    </r>
  </si>
  <si>
    <r>
      <t>6.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المعدات المتفرقة.</t>
    </r>
  </si>
  <si>
    <r>
      <t>7.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الاتصال.</t>
    </r>
  </si>
  <si>
    <r>
      <t>8.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الحماية من الاسلحة الكيماوية.</t>
    </r>
  </si>
  <si>
    <r>
      <t>9.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التأكد من التفتيش على اسلحة الطواقم. </t>
    </r>
  </si>
  <si>
    <r>
      <rPr>
        <b/>
        <sz val="14"/>
        <color rgb="FF000000"/>
        <rFont val="Arial"/>
        <family val="2"/>
      </rPr>
      <t>تقييم وكيل السرية في تفتيشات ما قبل المعركة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</si>
  <si>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وكيل/ عبيد سالمين الزعابي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</si>
</sst>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4" fillId="0" borderId="5" xfId="0" applyFont="1" applyBorder="1" applyAlignment="1">
      <alignment horizontal="right" vertical="center" wrapText="1" indent="1" readingOrder="2"/>
    </xf>
    <xf numFmtId="0" fontId="14" fillId="0" borderId="4" xfId="0" applyFont="1" applyBorder="1" applyAlignment="1">
      <alignment horizontal="right" vertical="center" wrapText="1" indent="1" readingOrder="2"/>
    </xf>
    <xf numFmtId="0" fontId="14" fillId="0" borderId="23" xfId="0" applyFont="1" applyBorder="1" applyAlignment="1">
      <alignment horizontal="right" vertical="center" wrapText="1" indent="1" readingOrder="2"/>
    </xf>
    <xf numFmtId="0" fontId="14" fillId="0" borderId="3" xfId="0" applyFont="1" applyBorder="1" applyAlignment="1">
      <alignment horizontal="right" vertical="center" wrapText="1" inden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1" readingOrder="2"/>
    </xf>
    <xf numFmtId="0" fontId="14" fillId="0" borderId="12" xfId="0" applyFont="1" applyBorder="1" applyAlignment="1">
      <alignment horizontal="right" vertical="center" wrapText="1" indent="1" readingOrder="2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339969</xdr:colOff>
      <xdr:row>20</xdr:row>
      <xdr:rowOff>76199</xdr:rowOff>
    </xdr:from>
    <xdr:to>
      <xdr:col>8</xdr:col>
      <xdr:colOff>523198</xdr:colOff>
      <xdr:row>20</xdr:row>
      <xdr:rowOff>621322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C4285D9-4561-47EE-B316-5FD7744A10B3}"/>
                </a:ext>
              </a:extLst>
            </xdr14:cNvPr>
            <xdr14:cNvContentPartPr/>
          </xdr14:nvContentPartPr>
          <xdr14:nvPr macro=""/>
          <xdr14:xfrm>
            <a:off x="10078743879" y="8938845"/>
            <a:ext cx="822136" cy="545123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A9AC195-F3A7-EE43-C02D-CF5AE6214B7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363747" y="19715760"/>
              <a:ext cx="853560" cy="455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4:43:01.6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2283 913 3856,'0'0'0,"0"-5"3505,0-1-2025,0 6-1480,0-14 1393,0 10-97,0 4-72,-2-3-136,2 3-1088,-2-3 1009,-3-3-89,0 2-288,-9-1-208,14 5-424,-14-5 240,-4 1-200,-10-11-16,-9 15 40,37 0-64,-50 0-80,-14 0 0,-9 0-56,-6 2-24,79-2 160,-84 5-136,-4 3 16,-4 5 24,-5-8-64,97-5 160,-101 15-80,-11 0 16,-9 4 72,-9 2 0,130-21-8,-139 26-40,4-5-48,5-2 16,14-6 64,116-13 8,-99 4 24,10-1 64,12-3-88,11 0 24,66 0-24,-58-3 8,11-2 24,8-11 80,9 1-8,30 15-104,-22-15 192,8-6 80,10 0 8,2 0-64,2 21-216,3-24 80,17-7-240,13-7-104,16-9 32,-49 47 232,66-49-184,13-1 120,10 5 32,10 6-8,-99 39 40,104-37-40,6 5 16,8 6 24,2 5-16,-120 21 16,124-18 0,-1 12 16,-7-7-40,-2 13-80,-114 0 104,105 5-16,-9 9-32,-10-7-8,-14 17 32,-72-24 24,58 21-80,-12 3-104,-15 3 48,-14 1 16,-17-28 120,3 32-128,-4 3 56,-23 2 16,-10 3 40,34-40 16,-49 38 8,-10-3 48,-10-2-32,-8-6-8,77-27-16,-84 25 16,-3-4-8,2-15 48,-4 9-48,89-15-8,-89 1 112,-6 1 8,-5 0-32,3-2-8,97 0-80,-93-14 56,9-4 8,9-8 40,15-8 112,60 34-216,-50-40 256,9-2 96,10-5 128,5-2 32,26 49-512,-17-49 480,5-1-112,11 0-111,1-2-89,0 52-168,11-57 104,5-4-56,7-2-24,5 1 8,-28 62-32,31-55 32,4 5-32,2 5 0,-3 12-80,-34 33 80,35-26-56,-7 21-96,-2-1-56,-6 6-57,-20 0 265,19 7-312,-5 28 72,-3 2 56,-7 15 48,-4-52 136,3 59-32,-3 11 0,0 9 32,-3 4 32,3-83-32,-12 84-8,9 0-8,-8 7 8,10 3-16,1-94 24,-2 92-24,2 3 0,4-3-16,11 4-144,-15-96 184,11 99-1008,-7-2-1513,1-14-1143,6 3-3562,-11-86 7226,0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A15" zoomScale="130" zoomScaleNormal="100" zoomScaleSheetLayoutView="130" workbookViewId="0">
      <selection activeCell="B19" sqref="B19:D19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189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12" t="s">
        <v>178</v>
      </c>
      <c r="C2" s="64" t="s">
        <v>44</v>
      </c>
      <c r="D2" s="64"/>
      <c r="E2" s="12" t="s">
        <v>7</v>
      </c>
      <c r="F2" s="59">
        <v>45944</v>
      </c>
      <c r="G2" s="59"/>
      <c r="H2" s="59"/>
      <c r="I2" s="59"/>
      <c r="J2" s="59"/>
    </row>
    <row r="3" spans="1:10" ht="30" customHeight="1" x14ac:dyDescent="0.3">
      <c r="B3" s="12" t="s">
        <v>179</v>
      </c>
      <c r="C3" s="64"/>
      <c r="D3" s="64"/>
      <c r="E3" s="12" t="s">
        <v>6</v>
      </c>
      <c r="F3" s="64" t="s">
        <v>163</v>
      </c>
      <c r="G3" s="64"/>
      <c r="H3" s="64"/>
      <c r="I3" s="64"/>
      <c r="J3" s="64"/>
    </row>
    <row r="4" spans="1:10" ht="30" customHeight="1" thickBot="1" x14ac:dyDescent="0.35">
      <c r="B4" s="6"/>
      <c r="C4" s="83" t="s">
        <v>190</v>
      </c>
      <c r="D4" s="83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0" t="s">
        <v>0</v>
      </c>
      <c r="C5" s="61"/>
      <c r="D5" s="61"/>
      <c r="E5" s="67" t="s">
        <v>1</v>
      </c>
      <c r="F5" s="67"/>
      <c r="G5" s="67"/>
      <c r="H5" s="67"/>
      <c r="I5" s="67" t="s">
        <v>2</v>
      </c>
      <c r="J5" s="68"/>
    </row>
    <row r="6" spans="1:10" ht="24.9" customHeight="1" thickBot="1" x14ac:dyDescent="0.35">
      <c r="A6" s="10"/>
      <c r="B6" s="62"/>
      <c r="C6" s="63"/>
      <c r="D6" s="63"/>
      <c r="E6" s="11" t="s">
        <v>3</v>
      </c>
      <c r="F6" s="11" t="s">
        <v>4</v>
      </c>
      <c r="G6" s="11" t="s">
        <v>21</v>
      </c>
      <c r="H6" s="11" t="s">
        <v>22</v>
      </c>
      <c r="I6" s="69"/>
      <c r="J6" s="70"/>
    </row>
    <row r="7" spans="1:10" ht="24.9" customHeight="1" thickBot="1" x14ac:dyDescent="0.35">
      <c r="A7" s="10"/>
      <c r="B7" s="65" t="s">
        <v>19</v>
      </c>
      <c r="C7" s="66"/>
      <c r="D7" s="66"/>
      <c r="E7" s="28" t="s">
        <v>16</v>
      </c>
      <c r="F7" s="28" t="s">
        <v>17</v>
      </c>
      <c r="G7" s="28" t="s">
        <v>20</v>
      </c>
      <c r="H7" s="28" t="s">
        <v>18</v>
      </c>
      <c r="I7" s="71" t="s">
        <v>23</v>
      </c>
      <c r="J7" s="72"/>
    </row>
    <row r="8" spans="1:10" ht="39.9" customHeight="1" x14ac:dyDescent="0.3">
      <c r="A8" s="10"/>
      <c r="B8" s="75" t="s">
        <v>180</v>
      </c>
      <c r="C8" s="76"/>
      <c r="D8" s="76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73"/>
      <c r="J8" s="74"/>
    </row>
    <row r="9" spans="1:10" ht="39.9" customHeight="1" x14ac:dyDescent="0.3">
      <c r="A9" s="10"/>
      <c r="B9" s="77" t="s">
        <v>181</v>
      </c>
      <c r="C9" s="78"/>
      <c r="D9" s="78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" customHeight="1" x14ac:dyDescent="0.3">
      <c r="A10" s="10"/>
      <c r="B10" s="77" t="s">
        <v>182</v>
      </c>
      <c r="C10" s="78"/>
      <c r="D10" s="78"/>
      <c r="E10" s="9">
        <v>5</v>
      </c>
      <c r="F10" s="26">
        <v>3</v>
      </c>
      <c r="G10" s="30">
        <f t="shared" ref="G10:G16" si="0">IFERROR(F10/E10,"")</f>
        <v>0.6</v>
      </c>
      <c r="H10" s="31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مقبول</v>
      </c>
      <c r="I10" s="44"/>
      <c r="J10" s="45"/>
    </row>
    <row r="11" spans="1:10" ht="39.9" customHeight="1" x14ac:dyDescent="0.3">
      <c r="A11" s="10"/>
      <c r="B11" s="77" t="s">
        <v>183</v>
      </c>
      <c r="C11" s="78"/>
      <c r="D11" s="78"/>
      <c r="E11" s="9">
        <v>5</v>
      </c>
      <c r="F11" s="26">
        <v>3.5</v>
      </c>
      <c r="G11" s="30">
        <f t="shared" si="0"/>
        <v>0.7</v>
      </c>
      <c r="H11" s="31" t="str">
        <f t="shared" si="1"/>
        <v>جيد</v>
      </c>
      <c r="I11" s="44"/>
      <c r="J11" s="45"/>
    </row>
    <row r="12" spans="1:10" ht="39.9" customHeight="1" x14ac:dyDescent="0.3">
      <c r="A12" s="10"/>
      <c r="B12" s="77" t="s">
        <v>184</v>
      </c>
      <c r="C12" s="78"/>
      <c r="D12" s="78"/>
      <c r="E12" s="9">
        <v>5</v>
      </c>
      <c r="F12" s="26">
        <v>3</v>
      </c>
      <c r="G12" s="30">
        <f t="shared" si="0"/>
        <v>0.6</v>
      </c>
      <c r="H12" s="31" t="str">
        <f t="shared" si="1"/>
        <v>مقبول</v>
      </c>
      <c r="I12" s="44"/>
      <c r="J12" s="45"/>
    </row>
    <row r="13" spans="1:10" ht="39.9" customHeight="1" x14ac:dyDescent="0.3">
      <c r="A13" s="10"/>
      <c r="B13" s="77" t="s">
        <v>185</v>
      </c>
      <c r="C13" s="78"/>
      <c r="D13" s="78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44"/>
      <c r="J13" s="45"/>
    </row>
    <row r="14" spans="1:10" ht="39.9" customHeight="1" x14ac:dyDescent="0.3">
      <c r="A14" s="10"/>
      <c r="B14" s="77" t="s">
        <v>186</v>
      </c>
      <c r="C14" s="78"/>
      <c r="D14" s="78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4"/>
      <c r="J14" s="45"/>
    </row>
    <row r="15" spans="1:10" ht="39.9" customHeight="1" x14ac:dyDescent="0.3">
      <c r="A15" s="10"/>
      <c r="B15" s="77" t="s">
        <v>187</v>
      </c>
      <c r="C15" s="78"/>
      <c r="D15" s="78"/>
      <c r="E15" s="9">
        <v>5</v>
      </c>
      <c r="F15" s="26">
        <v>4</v>
      </c>
      <c r="G15" s="30">
        <f t="shared" si="0"/>
        <v>0.8</v>
      </c>
      <c r="H15" s="31" t="str">
        <f t="shared" si="1"/>
        <v>جيد جداً</v>
      </c>
      <c r="I15" s="44"/>
      <c r="J15" s="45"/>
    </row>
    <row r="16" spans="1:10" ht="39.9" customHeight="1" thickBot="1" x14ac:dyDescent="0.35">
      <c r="A16" s="10"/>
      <c r="B16" s="81" t="s">
        <v>188</v>
      </c>
      <c r="C16" s="82"/>
      <c r="D16" s="82"/>
      <c r="E16" s="36">
        <v>5</v>
      </c>
      <c r="F16" s="27">
        <v>3.75</v>
      </c>
      <c r="G16" s="37">
        <f t="shared" si="0"/>
        <v>0.75</v>
      </c>
      <c r="H16" s="38" t="str">
        <f t="shared" si="1"/>
        <v>جيد</v>
      </c>
      <c r="I16" s="79"/>
      <c r="J16" s="80"/>
    </row>
    <row r="17" spans="1:10" ht="30" customHeight="1" thickBot="1" x14ac:dyDescent="0.35">
      <c r="A17" s="4"/>
      <c r="B17" s="54" t="s">
        <v>5</v>
      </c>
      <c r="C17" s="55"/>
      <c r="D17" s="55"/>
      <c r="E17" s="29">
        <f>SUM(E8:E16)</f>
        <v>45</v>
      </c>
      <c r="F17" s="29">
        <f>SUM(F8:F16)</f>
        <v>31.75</v>
      </c>
      <c r="G17" s="41"/>
      <c r="H17" s="42"/>
      <c r="I17" s="42"/>
      <c r="J17" s="43"/>
    </row>
    <row r="18" spans="1:10" ht="30" customHeight="1" thickBot="1" x14ac:dyDescent="0.35">
      <c r="A18" s="4"/>
      <c r="B18" s="56" t="s">
        <v>52</v>
      </c>
      <c r="C18" s="57"/>
      <c r="D18" s="57"/>
      <c r="E18" s="52">
        <f>F17/E17/100*100</f>
        <v>0.7055555555555556</v>
      </c>
      <c r="F18" s="52"/>
      <c r="G18" s="52"/>
      <c r="H18" s="52"/>
      <c r="I18" s="52"/>
      <c r="J18" s="53"/>
    </row>
    <row r="19" spans="1:10" ht="30" customHeight="1" thickBot="1" x14ac:dyDescent="0.35">
      <c r="A19" s="4"/>
      <c r="B19" s="56" t="s">
        <v>53</v>
      </c>
      <c r="C19" s="57"/>
      <c r="D19" s="57"/>
      <c r="E19" s="50" t="str">
        <f>_xlfn.IFS(E18&gt;=90%,"ممتاز",E18&gt;=80%,"جيد جداً",E18&gt;=70%,"جيد",E18&gt;=60%,"مقبول",E18&lt;60%,"راسب")</f>
        <v>جيد</v>
      </c>
      <c r="F19" s="50"/>
      <c r="G19" s="50"/>
      <c r="H19" s="50"/>
      <c r="I19" s="50"/>
      <c r="J19" s="51"/>
    </row>
    <row r="20" spans="1:10" ht="42" customHeight="1" x14ac:dyDescent="0.3">
      <c r="B20" s="46" t="s">
        <v>172</v>
      </c>
      <c r="C20" s="46"/>
      <c r="D20" s="46"/>
      <c r="E20" s="39" t="s">
        <v>50</v>
      </c>
      <c r="F20" s="39"/>
      <c r="G20" s="48" t="s">
        <v>163</v>
      </c>
      <c r="H20" s="48"/>
      <c r="I20" s="48"/>
      <c r="J20" s="48"/>
    </row>
    <row r="21" spans="1:10" ht="51" customHeight="1" x14ac:dyDescent="0.3">
      <c r="A21" s="5"/>
      <c r="B21" s="47"/>
      <c r="C21" s="47"/>
      <c r="D21" s="47"/>
      <c r="E21" s="40" t="s">
        <v>51</v>
      </c>
      <c r="F21" s="40"/>
      <c r="G21" s="49"/>
      <c r="H21" s="49"/>
      <c r="I21" s="49"/>
      <c r="J21" s="49"/>
    </row>
  </sheetData>
  <sheetProtection formatCells="0" formatColumns="0" formatRows="0" insertColumns="0" insertRows="0" insertHyperlinks="0" deleteColumns="0" deleteRows="0" selectLockedCells="1" sort="0" autoFilter="0" pivotTables="0"/>
  <mergeCells count="40">
    <mergeCell ref="B11:D11"/>
    <mergeCell ref="B12:D12"/>
    <mergeCell ref="I15:J15"/>
    <mergeCell ref="I16:J16"/>
    <mergeCell ref="B13:D13"/>
    <mergeCell ref="B14:D14"/>
    <mergeCell ref="B15:D15"/>
    <mergeCell ref="B16:D16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C4:D4"/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60">
      <formula>$E19="جيد جداً"</formula>
    </cfRule>
    <cfRule type="expression" dxfId="12" priority="59">
      <formula>$E19="جيد"</formula>
    </cfRule>
    <cfRule type="expression" dxfId="11" priority="58">
      <formula>$E19="مقبول"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2025-10-20T04:43:07Z</dcterms:modified>
</cp:coreProperties>
</file>