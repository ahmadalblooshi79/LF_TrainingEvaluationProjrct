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4854F5B-1899-423B-A8CD-BE0A3C1F99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/>
  <c r="G11" i="2"/>
  <c r="H11" i="2"/>
  <c r="G12" i="2"/>
  <c r="H12" i="2" s="1"/>
  <c r="G13" i="2"/>
  <c r="H13" i="2"/>
  <c r="G14" i="2"/>
  <c r="H14" i="2" s="1"/>
  <c r="G16" i="2"/>
  <c r="H16" i="2"/>
  <c r="G17" i="2"/>
  <c r="H17" i="2" s="1"/>
  <c r="G18" i="2"/>
  <c r="H18" i="2" s="1"/>
  <c r="G19" i="2"/>
  <c r="H19" i="2" s="1"/>
  <c r="G20" i="2"/>
  <c r="H20" i="2" s="1"/>
  <c r="G21" i="2"/>
  <c r="H21" i="2" s="1"/>
  <c r="F22" i="2"/>
  <c r="E23" i="2" s="1"/>
  <c r="E24" i="2" s="1"/>
  <c r="E22" i="2"/>
</calcChain>
</file>

<file path=xl/sharedStrings.xml><?xml version="1.0" encoding="utf-8"?>
<sst xmlns="http://schemas.openxmlformats.org/spreadsheetml/2006/main" count="251" uniqueCount="194">
  <si>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</si>
  <si>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</si>
  <si>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</si>
  <si>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</si>
  <si>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</si>
  <si>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</si>
  <si>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</si>
  <si>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</si>
  <si>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</si>
  <si>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</si>
  <si>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</si>
  <si>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</si>
  <si>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</si>
  <si>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</si>
  <si>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</si>
  <si>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</si>
  <si>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</si>
  <si>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</si>
  <si>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</si>
  <si>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</si>
  <si>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</si>
  <si>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</si>
  <si>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</si>
  <si>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</si>
  <si>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</si>
  <si>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</si>
  <si>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</si>
  <si>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</si>
  <si>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</si>
  <si>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</si>
  <si>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</si>
  <si>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</si>
  <si>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</si>
  <si>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</si>
  <si>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</si>
  <si>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</si>
  <si>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</si>
  <si>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</si>
  <si>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</si>
  <si>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</si>
  <si>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</si>
  <si>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</si>
  <si>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</si>
  <si>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</si>
  <si>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</si>
  <si>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</si>
  <si>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</si>
  <si>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</si>
  <si>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</si>
  <si>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</si>
  <si>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</si>
  <si>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</si>
  <si>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</si>
  <si>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</si>
  <si>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</si>
  <si>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</si>
  <si>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</si>
  <si>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</si>
  <si>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</si>
  <si>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</si>
  <si>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</si>
  <si>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</si>
  <si>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</si>
  <si>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</si>
  <si>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</si>
  <si>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</si>
  <si>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</si>
  <si>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</si>
  <si>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</si>
  <si>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</si>
  <si>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</si>
  <si>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</si>
  <si>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</si>
  <si>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</si>
  <si>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</si>
  <si>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</si>
  <si>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</si>
  <si>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</si>
  <si>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</si>
  <si>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</si>
  <si>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</si>
  <si>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</si>
  <si>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</si>
  <si>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</si>
  <si>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</si>
  <si>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</si>
  <si>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</si>
  <si>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</si>
  <si>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</si>
  <si>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</si>
  <si>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</si>
  <si>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</si>
  <si>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</si>
  <si>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</si>
  <si>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</si>
  <si>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</si>
  <si>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</si>
  <si>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</si>
  <si>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</si>
  <si>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</si>
  <si>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</si>
  <si>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</si>
  <si>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</si>
  <si>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</si>
  <si>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</si>
  <si>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</si>
  <si>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</si>
  <si>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</si>
  <si>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</si>
  <si>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</si>
  <si>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</si>
  <si>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</si>
  <si>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</si>
  <si>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</si>
  <si>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</si>
  <si>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</si>
  <si>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</si>
  <si>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</si>
  <si>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</si>
  <si>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</si>
  <si>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</si>
  <si>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</si>
  <si>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</si>
  <si>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</si>
  <si>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</si>
  <si>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</si>
  <si>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</si>
  <si>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</si>
  <si>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</si>
  <si>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</si>
  <si>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</si>
  <si>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</si>
  <si>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</si>
  <si>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</si>
  <si>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</si>
  <si>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</si>
  <si>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</si>
  <si>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</si>
  <si>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</si>
  <si>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</si>
  <si>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</si>
  <si>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</si>
  <si>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</si>
  <si>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</si>
  <si>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</si>
  <si>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</si>
  <si>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</si>
  <si>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</si>
  <si>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</si>
  <si>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</si>
  <si>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</si>
  <si>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</si>
  <si>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</si>
  <si>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</si>
  <si>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</si>
  <si>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</si>
  <si>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</si>
  <si>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</si>
  <si>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</si>
  <si>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</si>
  <si>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</si>
  <si>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</si>
  <si>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</si>
  <si>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</si>
  <si>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</si>
  <si>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</si>
  <si>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</si>
  <si>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</si>
  <si>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</si>
  <si>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</si>
  <si>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</si>
  <si>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</si>
  <si>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</si>
  <si>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</si>
  <si>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</si>
  <si>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</si>
  <si>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</si>
  <si>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</si>
  <si>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</si>
  <si>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</si>
  <si>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</si>
  <si>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</si>
  <si>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</si>
  <si>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</si>
  <si>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</si>
  <si>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</si>
  <si>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</si>
  <si>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</si>
  <si>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</si>
  <si>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</si>
  <si>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</si>
  <si>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</si>
  <si>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</si>
  <si>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اليوم/1 - تقييم معضلة/2 -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</si>
</sst>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71174</xdr:colOff>
      <xdr:row>25</xdr:row>
      <xdr:rowOff>18445</xdr:rowOff>
    </xdr:from>
    <xdr:to>
      <xdr:col>8</xdr:col>
      <xdr:colOff>367871</xdr:colOff>
      <xdr:row>25</xdr:row>
      <xdr:rowOff>368365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A197F31-50C4-5713-8B39-E935A9E6EA55}"/>
                </a:ext>
              </a:extLst>
            </xdr14:cNvPr>
            <xdr14:cNvContentPartPr/>
          </xdr14:nvContentPartPr>
          <xdr14:nvPr macro=""/>
          <xdr14:xfrm>
            <a:off x="10423334929" y="9686880"/>
            <a:ext cx="951120" cy="3499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A197F31-50C4-5713-8B39-E935A9E6EA5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326289" y="9678240"/>
              <a:ext cx="968760" cy="36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35591</xdr:colOff>
      <xdr:row>25</xdr:row>
      <xdr:rowOff>175405</xdr:rowOff>
    </xdr:from>
    <xdr:to>
      <xdr:col>9</xdr:col>
      <xdr:colOff>158047</xdr:colOff>
      <xdr:row>25</xdr:row>
      <xdr:rowOff>529285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8802EE6-93D7-CA4D-D098-F96671DC0699}"/>
                </a:ext>
              </a:extLst>
            </xdr14:cNvPr>
            <xdr14:cNvContentPartPr/>
          </xdr14:nvContentPartPr>
          <xdr14:nvPr macro=""/>
          <xdr14:xfrm>
            <a:off x="10422890329" y="9843840"/>
            <a:ext cx="776880" cy="3538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8802EE6-93D7-CA4D-D098-F96671DC069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2881329" y="9834840"/>
              <a:ext cx="794520" cy="371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8:03:36.8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2081 667 2144,'0'0'0,"0"0"0,0-1 352,0 0 72,1 0 72,1 0-40,0-1-232,-1 1-64,-1 1-160,4-1 56,-2 0-96,2 0 64,-1-2-104,2 1 120,6-2-64,-11 4 24,4-1-24,8-3 56,-9 3-136,10-1 80,-8-1 40,8 2-32,-2-1 24,-11 2-8,11-3-24,1 2-48,0-1 64,2 1-32,-1-1-8,0 2-24,-13 0 72,13 0-120,0-1 32,0 1-32,0 0-8,2 0-24,-1 0-56,-14 0 208,14 0-200,1 3 0,0-1 16,0-2 16,0 2 56,1 1 40,-16-3 72,14 2-40,2 1 40,-1-1-24,0 2 16,0-2-8,1 0-8,-16-2 24,14 4 0,1-2 0,-2 2-8,0 0 8,-1 5-16,-3-6 0,-9-3 16,10 3-8,-6 1 8,7 6 8,-8-7-8,8 6 0,-9-5-8,-2-4 8,4 10 0,-2-7-8,1 7 0,-2-7 8,0 9 0,-1-8 0,0-4 0,0 11 0,-2-8 0,-9 8 0,7-7 0,-6 9 0,0-3 16,10-10-16,-10 9 8,-3-5 8,-1 10 0,-4-4-8,1-7 8,-2 12-8,19-15-8,-18 3 8,-1 9 0,-1-9 0,2 6 0,-1-6 0,1-1 0,18-2-8,-19 4 8,1-2 0,0 0-8,-1 1 16,0-3-8,1 0 16,18 0-24,-18 0 16,0-1 8,-2-3-8,-1-1 8,0-4 8,0 5-8,21 4-24,-19-13 16,0 3 8,0-2-24,0 2 8,-1-2 0,1 0-8,19 12 0,-20-12 8,-1 0-16,1 1 16,1 0 0,-1 0 8,-1-1 16,21 12-32,-21-11 24,0 2 8,0-1 0,-1 5-8,2-5 8,-2 6-8,22 4-24,-20-9 16,-2 6-16,-2 0 0,0-1 0,0 0-16,0 3 16,24 1 0,-23-1-16,0 1 8,-3 0 8,5 2-8,-3 1 0,0 0 8,24-3 0,-22 3 0,-2 0 0,0 1 0,1-2 8,-2 1-8,25-3 0,-22 2 0,0-2 8,2 0 0,-2 2 0,2-2 0,-1 0-8,21 0 0,-20 0 0,1 0 8,-2-1 16,1-2 0,2-1 24,-1-1 0,19 5-48,-20-10 56,2 6 24,0-8 0,-1 7 8,0-9 8,0 2 8,19 12-104,-19-12 104,1-3 8,-2 1-32,2 0-8,-1-2-24,0 0-16,19 16-32,-18-15 64,0-2-32,1 0 8,1 1 8,2-1-16,1 0 40,13 17-72,-13-16 152,2 0-40,0-1 8,1-1 0,1 0-32,5 1 57,4 17-145,-11-17 128,8 1 56,-1 0-40,0-1-24,1 0-16,-1 2-112,4 15 8,-2-14-24,2-2-152,0 0-112,0 2-65,1 0-71,3-1 32,-4 15 392,4-13-432,7 1 40,-7-1 40,9 1 88,-2 2 120,1 1 96,-12 9 48,12-10-32,2 5 24,1-8-8,-1 10-24,3-8 56,1 7 0,-18 4-16,19-5-16,1 1 16,2 0-24,1 0-8,-1 1 40,2-1 0,-24 4-8,24-3-8,2 1 0,0 1 8,3 0-8,-1 1 72,2 0-32,-30 0-32,30 0 16,0 0 8,2 2-48,-1 2 24,0 0 16,0 5 8,-31-9-24,34 3 8,-2 6-8,0-5-8,-1 8-8,-2-10 48,-1 11-32,-28-13 0,28 4-8,0 11 0,-2-4-32,0-1 72,-1-1-8,0 2-32,-25-11 8,23 12-16,-1 0-32,-1 0 16,-2 0 0,-2 0-8,-2-1 40,-15-11 0,16 13 0,-2-1 16,-1-1 24,0 0-8,-3 1 8,0 0-32,-10-12-8,3 12 0,7 1-40,-9-1-16,3 0 96,-3 2-24,-1-2-24,0-12 8,0 15 8,-2-2-16,-2-1 16,-8 1-24,1-1 40,-1 1-48,12-13 24,-13 12-16,-3-1 56,0 0-80,-2-1 88,-3 1-16,0 1 32,21-12-64,-25 12 136,-3-2 0,-1 1 96,-1-1-48,0 1 8,-2 1-24,32-12-168,-33 13 112,-2-1 32,-2 1-24,-4 2 56,-1-2-40,-1 1 40,43-14-176,-45 15 160,0-1 32,-2 2 32,-1-2-79,-1 2 23,0-2-48,49-14-120,-50 16 176,-2-1 120,-2 1-16,0-1 88,0 1-8,2 0 48,52-16-408,-56 15 472,4 1-8,-1-2 56,4-1-80,3-1 0,3 0-95,43-12-345,-44 11 248,3-1 56,2-1-144,3 1-56,4-7-48,1 9-64,31-12 8,-28 3 48,0 0 64,2 7-48,2-10-8,1 2-24,0 1-40,23-3 8,-20 0-8,2 0-8,1 0-152,4 0-240,2 0-264,0-1-257,11 1 929,-4-3-1072,-6 0-144,6-1-72,2-1-9,-2-6 345,2 2 344,2 9 608,0-13-320,1-3 232,10-1-360,-1-3-816,-10 20 1264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8:03:37.8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2157 91 4961,'0'0'0,"-24"3"2080,-8 6-696,-11 2-167,43-11-1217,-41 12 1112,0 0-368,2 1-256,-1 0-176,2 2-176,2-1 24,36-14-160,-33 14 80,2 0 0,2-1-24,-1-2 16,1-2 40,-2 2-128,31-11 16,-28 3 176,4 11-136,0-11-16,4 8 56,1-9-176,1 2 200,18-4-104,-16 4-104,4-2 48,1 0-232,2-2-432,5 0-136,-7 0-280,11 0 1136,-2-3-1137,0-1 73,-1-1 56,3-4 24,0 5 8,0-5 31,0 9 945,0-5-832,1-8 224,3 2 208,5 0 216,-5 2 144,7-1 24,-11 10 16,3-4 40,1 0 0,0-1 96,-2 1 152,-1 1 168,0 1 184,-1 2-640,0-1 744,0 0 81,0 1-17,-2 0-8,0 0-32,-2 0-104,4 0-664,-10 0 600,7 2-96,-9 1-143,1 0-1,-2 1-192,-3 6 56,16-10-224,-18 3 72,-1 12-72,-2-6 48,-2 3-168,0-2 136,0-1 48,23-9-64,-23 12 40,0-1 88,-1 1-32,-2 0-88,1-1 88,-1 0-96,26-11 0,-26 3 0,2 12-8,0-6-88,1-5-32,1 7 40,-2-8-80,24-3 168,-23 10-256,-2-7 24,1 7 0,-1-8-41,0 2 65,-3 7 80,28-11 128,-27 3-184,-1 8 136,1-9 32,-2 2 32,0 7 0,-2-9 0,31-2-16,-32 4 8,1 7-32,-1-9 48,2 2 16,1-1-40,-2 7 32,31-10-32,-29 2-16,-2 2 32,-1-1 56,1 1-88,0 0 16,2-1-8,29-3 8,-29 4-16,3-2 40,0-2-56,2 0 152,1 0-56,0-1 24,23 1-88,-20-4 168,2 1-71,2-8 95,2 7-8,2-8-16,1 3-112,11 9-56,-12-10-8,8-2-24,-10-1-72,10-1-16,-5-1-64,5 0-105,4 15 289,-3-16-360,-1-1-200,1 1 120,0-2-80,3-2-8,0 0 32,0 20 496,0-23-656,0 1 144,0-2-145,3 1-39,7 0 96,-5 3 72,-5 20 528,12-20-320,-8 1 184,8 2 40,-9 2 48,9 1 32,-7 0 24,-5 14-8,13-12 80,-3 2 56,-5 0 40,7 0 32,-9 7-32,2-2-64,-5 5-112,10-4 72,-9 2-40,2 2-40,0 0-32,-2 0-24,0 4-8,-1-4 72,0 12-48,0-3 56,0 3 16,-2 4 32,-1-1 16,-6 5-24,9-20-48,-3 20 48,-6 3-16,5 1-8,-9 2 0,3 3-8,7 1-16,3-30 0,-13 31 8,9 2 8,-7 0-8,9 2 8,-2-1 16,1 2 16,3-36-48,-4 37 88,2 1 56,2-1 72,0 0 48,0 0 32,1 1 41,-1-38-337,9 36 360,2-1 56,4-1 48,0-4 40,3-3 40,5-2 24,-23-25-568,27 23 584,4-1-16,5-3-40,2-2-103,4-3-145,6-3-128,-48-11-152,50 9 40,3-5-56,2 0-120,2-1-256,5 0-401,0-3-503,-62 0 1296,65-2-1528,4-2-121,2-7 457,4 1 464,6-2 328,-1-2 296,-80 14 104,85-18-80,2-1-1640,-87 19 1720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zoomScale="130" zoomScaleNormal="100" zoomScaleSheetLayoutView="130" workbookViewId="0">
      <selection activeCell="F9" sqref="F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0" t="s">
        <v>193</v>
      </c>
      <c r="C1" s="60"/>
      <c r="D1" s="60"/>
      <c r="E1" s="60"/>
      <c r="F1" s="60"/>
      <c r="G1" s="60"/>
      <c r="H1" s="60"/>
      <c r="I1" s="60"/>
      <c r="J1" s="60"/>
    </row>
    <row r="2" spans="1:10" ht="30" customHeight="1" x14ac:dyDescent="0.3">
      <c r="B2" s="11" t="s">
        <v>8</v>
      </c>
      <c r="C2" s="66" t="s">
        <v>41</v>
      </c>
      <c r="D2" s="66"/>
      <c r="E2" s="11" t="s">
        <v>7</v>
      </c>
      <c r="F2" s="61">
        <v>45943</v>
      </c>
      <c r="G2" s="61"/>
      <c r="H2" s="61"/>
      <c r="I2" s="61"/>
      <c r="J2" s="61"/>
    </row>
    <row r="3" spans="1:10" ht="30" customHeight="1" x14ac:dyDescent="0.3">
      <c r="B3" s="11" t="s">
        <v>9</v>
      </c>
      <c r="C3" s="66" t="s">
        <v>82</v>
      </c>
      <c r="D3" s="66"/>
      <c r="E3" s="11" t="s">
        <v>6</v>
      </c>
      <c r="F3" s="66" t="s">
        <v>92</v>
      </c>
      <c r="G3" s="66"/>
      <c r="H3" s="66"/>
      <c r="I3" s="66"/>
      <c r="J3" s="66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62" t="s">
        <v>0</v>
      </c>
      <c r="C5" s="63"/>
      <c r="D5" s="63"/>
      <c r="E5" s="67" t="s">
        <v>1</v>
      </c>
      <c r="F5" s="67"/>
      <c r="G5" s="67"/>
      <c r="H5" s="67"/>
      <c r="I5" s="67" t="s">
        <v>2</v>
      </c>
      <c r="J5" s="68"/>
    </row>
    <row r="6" spans="1:10" ht="24.9" customHeight="1" thickBot="1" x14ac:dyDescent="0.35">
      <c r="A6" s="9"/>
      <c r="B6" s="64"/>
      <c r="C6" s="65"/>
      <c r="D6" s="65"/>
      <c r="E6" s="10" t="s">
        <v>3</v>
      </c>
      <c r="F6" s="10" t="s">
        <v>4</v>
      </c>
      <c r="G6" s="10" t="s">
        <v>23</v>
      </c>
      <c r="H6" s="10" t="s">
        <v>24</v>
      </c>
      <c r="I6" s="69"/>
      <c r="J6" s="70"/>
    </row>
    <row r="7" spans="1:10" ht="24.9" customHeight="1" thickBot="1" x14ac:dyDescent="0.35">
      <c r="A7" s="9"/>
      <c r="B7" s="71" t="s">
        <v>21</v>
      </c>
      <c r="C7" s="72"/>
      <c r="D7" s="72"/>
      <c r="E7" s="30" t="s">
        <v>18</v>
      </c>
      <c r="F7" s="30" t="s">
        <v>19</v>
      </c>
      <c r="G7" s="30" t="s">
        <v>22</v>
      </c>
      <c r="H7" s="30" t="s">
        <v>20</v>
      </c>
      <c r="I7" s="73" t="s">
        <v>25</v>
      </c>
      <c r="J7" s="74"/>
    </row>
    <row r="8" spans="1:10" ht="30" customHeight="1" x14ac:dyDescent="0.3">
      <c r="A8" s="9"/>
      <c r="B8" s="75" t="s">
        <v>178</v>
      </c>
      <c r="C8" s="76"/>
      <c r="D8" s="76"/>
      <c r="E8" s="35"/>
      <c r="F8" s="36"/>
      <c r="G8" s="37"/>
      <c r="H8" s="38"/>
      <c r="I8" s="48"/>
      <c r="J8" s="49"/>
    </row>
    <row r="9" spans="1:10" ht="30" customHeight="1" x14ac:dyDescent="0.3">
      <c r="A9" s="9"/>
      <c r="B9" s="77" t="s">
        <v>182</v>
      </c>
      <c r="C9" s="78"/>
      <c r="D9" s="78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4"/>
      <c r="J9" s="55"/>
    </row>
    <row r="10" spans="1:10" ht="30" customHeight="1" x14ac:dyDescent="0.3">
      <c r="A10" s="9"/>
      <c r="B10" s="77" t="s">
        <v>183</v>
      </c>
      <c r="C10" s="78"/>
      <c r="D10" s="78"/>
      <c r="E10" s="32">
        <v>3</v>
      </c>
      <c r="F10" s="25">
        <v>2.25</v>
      </c>
      <c r="G10" s="33">
        <f t="shared" ref="G10:G21" si="0">IFERROR(F10/E10,"")</f>
        <v>0.75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جيد</v>
      </c>
      <c r="I10" s="54"/>
      <c r="J10" s="55"/>
    </row>
    <row r="11" spans="1:10" ht="30" customHeight="1" x14ac:dyDescent="0.3">
      <c r="A11" s="9"/>
      <c r="B11" s="77" t="s">
        <v>184</v>
      </c>
      <c r="C11" s="78"/>
      <c r="D11" s="78"/>
      <c r="E11" s="32">
        <v>3</v>
      </c>
      <c r="F11" s="25">
        <v>2.25</v>
      </c>
      <c r="G11" s="33">
        <f t="shared" si="0"/>
        <v>0.75</v>
      </c>
      <c r="H11" s="34" t="str">
        <f t="shared" si="1"/>
        <v>جيد</v>
      </c>
      <c r="I11" s="54"/>
      <c r="J11" s="55"/>
    </row>
    <row r="12" spans="1:10" ht="30" customHeight="1" x14ac:dyDescent="0.3">
      <c r="A12" s="9"/>
      <c r="B12" s="77" t="s">
        <v>185</v>
      </c>
      <c r="C12" s="78"/>
      <c r="D12" s="78"/>
      <c r="E12" s="32">
        <v>0</v>
      </c>
      <c r="F12" s="25" t="s">
        <v>17</v>
      </c>
      <c r="G12" s="33" t="str">
        <f t="shared" si="0"/>
        <v/>
      </c>
      <c r="H12" s="34" t="str">
        <f t="shared" si="1"/>
        <v>تم الإلغاء</v>
      </c>
      <c r="I12" s="54"/>
      <c r="J12" s="55"/>
    </row>
    <row r="13" spans="1:10" ht="30" customHeight="1" x14ac:dyDescent="0.3">
      <c r="A13" s="9"/>
      <c r="B13" s="77" t="s">
        <v>186</v>
      </c>
      <c r="C13" s="78"/>
      <c r="D13" s="78"/>
      <c r="E13" s="32">
        <v>3</v>
      </c>
      <c r="F13" s="25">
        <v>2.25</v>
      </c>
      <c r="G13" s="33">
        <f t="shared" si="0"/>
        <v>0.75</v>
      </c>
      <c r="H13" s="34" t="str">
        <f t="shared" si="1"/>
        <v>جيد</v>
      </c>
      <c r="I13" s="54"/>
      <c r="J13" s="55"/>
    </row>
    <row r="14" spans="1:10" ht="30" customHeight="1" thickBot="1" x14ac:dyDescent="0.35">
      <c r="A14" s="9"/>
      <c r="B14" s="58" t="s">
        <v>187</v>
      </c>
      <c r="C14" s="59"/>
      <c r="D14" s="59"/>
      <c r="E14" s="39">
        <v>3</v>
      </c>
      <c r="F14" s="26">
        <v>2.25</v>
      </c>
      <c r="G14" s="40">
        <f t="shared" si="0"/>
        <v>0.75</v>
      </c>
      <c r="H14" s="41" t="str">
        <f t="shared" si="1"/>
        <v>جيد</v>
      </c>
      <c r="I14" s="56"/>
      <c r="J14" s="57"/>
    </row>
    <row r="15" spans="1:10" ht="30" customHeight="1" x14ac:dyDescent="0.3">
      <c r="A15" s="9"/>
      <c r="B15" s="75" t="s">
        <v>179</v>
      </c>
      <c r="C15" s="76"/>
      <c r="D15" s="76"/>
      <c r="E15" s="35"/>
      <c r="F15" s="36"/>
      <c r="G15" s="37"/>
      <c r="H15" s="38"/>
      <c r="I15" s="48"/>
      <c r="J15" s="49"/>
    </row>
    <row r="16" spans="1:10" ht="30" customHeight="1" x14ac:dyDescent="0.3">
      <c r="A16" s="9"/>
      <c r="B16" s="77" t="s">
        <v>188</v>
      </c>
      <c r="C16" s="78"/>
      <c r="D16" s="78"/>
      <c r="E16" s="32">
        <v>3</v>
      </c>
      <c r="F16" s="25">
        <v>2.25</v>
      </c>
      <c r="G16" s="33">
        <f t="shared" si="0"/>
        <v>0.75</v>
      </c>
      <c r="H16" s="34" t="str">
        <f t="shared" si="1"/>
        <v>جيد</v>
      </c>
      <c r="I16" s="54"/>
      <c r="J16" s="55"/>
    </row>
    <row r="17" spans="1:10" ht="30" customHeight="1" x14ac:dyDescent="0.3">
      <c r="A17" s="9"/>
      <c r="B17" s="77" t="s">
        <v>180</v>
      </c>
      <c r="C17" s="78"/>
      <c r="D17" s="78"/>
      <c r="E17" s="32">
        <v>3</v>
      </c>
      <c r="F17" s="25">
        <v>2</v>
      </c>
      <c r="G17" s="33">
        <f t="shared" si="0"/>
        <v>0.66666666666666663</v>
      </c>
      <c r="H17" s="34" t="str">
        <f t="shared" si="1"/>
        <v>مقبول</v>
      </c>
      <c r="I17" s="54"/>
      <c r="J17" s="55"/>
    </row>
    <row r="18" spans="1:10" ht="30" customHeight="1" x14ac:dyDescent="0.3">
      <c r="A18" s="9"/>
      <c r="B18" s="77" t="s">
        <v>181</v>
      </c>
      <c r="C18" s="78"/>
      <c r="D18" s="78"/>
      <c r="E18" s="32">
        <v>3</v>
      </c>
      <c r="F18" s="25">
        <v>2.25</v>
      </c>
      <c r="G18" s="33">
        <f t="shared" si="0"/>
        <v>0.75</v>
      </c>
      <c r="H18" s="34" t="str">
        <f t="shared" si="1"/>
        <v>جيد</v>
      </c>
      <c r="I18" s="54"/>
      <c r="J18" s="55"/>
    </row>
    <row r="19" spans="1:10" ht="30" customHeight="1" x14ac:dyDescent="0.3">
      <c r="A19" s="9"/>
      <c r="B19" s="77" t="s">
        <v>189</v>
      </c>
      <c r="C19" s="78"/>
      <c r="D19" s="78"/>
      <c r="E19" s="32">
        <v>3</v>
      </c>
      <c r="F19" s="25">
        <v>2.25</v>
      </c>
      <c r="G19" s="33">
        <f t="shared" si="0"/>
        <v>0.75</v>
      </c>
      <c r="H19" s="34" t="str">
        <f t="shared" si="1"/>
        <v>جيد</v>
      </c>
      <c r="I19" s="54"/>
      <c r="J19" s="55"/>
    </row>
    <row r="20" spans="1:10" ht="30" customHeight="1" x14ac:dyDescent="0.3">
      <c r="A20" s="9"/>
      <c r="B20" s="77" t="s">
        <v>190</v>
      </c>
      <c r="C20" s="78"/>
      <c r="D20" s="78"/>
      <c r="E20" s="32">
        <v>3</v>
      </c>
      <c r="F20" s="25">
        <v>2.25</v>
      </c>
      <c r="G20" s="33">
        <f t="shared" si="0"/>
        <v>0.75</v>
      </c>
      <c r="H20" s="34" t="str">
        <f t="shared" si="1"/>
        <v>جيد</v>
      </c>
      <c r="I20" s="54"/>
      <c r="J20" s="55"/>
    </row>
    <row r="21" spans="1:10" ht="30" customHeight="1" thickBot="1" x14ac:dyDescent="0.35">
      <c r="A21" s="9"/>
      <c r="B21" s="58" t="s">
        <v>191</v>
      </c>
      <c r="C21" s="59"/>
      <c r="D21" s="59"/>
      <c r="E21" s="39">
        <v>3</v>
      </c>
      <c r="F21" s="26">
        <v>2.25</v>
      </c>
      <c r="G21" s="40">
        <f t="shared" si="0"/>
        <v>0.75</v>
      </c>
      <c r="H21" s="41" t="str">
        <f t="shared" si="1"/>
        <v>جيد</v>
      </c>
      <c r="I21" s="56"/>
      <c r="J21" s="57"/>
    </row>
    <row r="22" spans="1:10" ht="30" customHeight="1" thickBot="1" x14ac:dyDescent="0.35">
      <c r="A22" s="4"/>
      <c r="B22" s="50" t="s">
        <v>5</v>
      </c>
      <c r="C22" s="51"/>
      <c r="D22" s="51"/>
      <c r="E22" s="31">
        <f>SUM(E8:E21)</f>
        <v>33</v>
      </c>
      <c r="F22" s="31">
        <f>SUM(F8:F21)</f>
        <v>24.5</v>
      </c>
      <c r="G22" s="87"/>
      <c r="H22" s="88"/>
      <c r="I22" s="88"/>
      <c r="J22" s="89"/>
    </row>
    <row r="23" spans="1:10" ht="30" customHeight="1" thickBot="1" x14ac:dyDescent="0.35">
      <c r="A23" s="4"/>
      <c r="B23" s="52" t="s">
        <v>54</v>
      </c>
      <c r="C23" s="53"/>
      <c r="D23" s="53"/>
      <c r="E23" s="90">
        <f>F22/E22/100*100</f>
        <v>0.74242424242424243</v>
      </c>
      <c r="F23" s="90"/>
      <c r="G23" s="90"/>
      <c r="H23" s="90"/>
      <c r="I23" s="90"/>
      <c r="J23" s="91"/>
    </row>
    <row r="24" spans="1:10" ht="30" customHeight="1" thickBot="1" x14ac:dyDescent="0.35">
      <c r="A24" s="4"/>
      <c r="B24" s="52" t="s">
        <v>55</v>
      </c>
      <c r="C24" s="53"/>
      <c r="D24" s="53"/>
      <c r="E24" s="83" t="str">
        <f>_xlfn.IFS(E23&gt;=90%,"ممتاز",E23&gt;=80%,"جيد جداً",E23&gt;=70%,"جيد",E23&gt;=60%,"مقبول",E23&lt;60%,"راسب")</f>
        <v>جيد</v>
      </c>
      <c r="F24" s="83"/>
      <c r="G24" s="83"/>
      <c r="H24" s="83"/>
      <c r="I24" s="83"/>
      <c r="J24" s="84"/>
    </row>
    <row r="25" spans="1:10" ht="42" customHeight="1" x14ac:dyDescent="0.3">
      <c r="B25" s="79" t="s">
        <v>192</v>
      </c>
      <c r="C25" s="79"/>
      <c r="D25" s="79"/>
      <c r="E25" s="85" t="s">
        <v>52</v>
      </c>
      <c r="F25" s="85"/>
      <c r="G25" s="81" t="s">
        <v>92</v>
      </c>
      <c r="H25" s="81"/>
      <c r="I25" s="81"/>
      <c r="J25" s="81"/>
    </row>
    <row r="26" spans="1:10" ht="51" customHeight="1" x14ac:dyDescent="0.3">
      <c r="A26" s="5"/>
      <c r="B26" s="80"/>
      <c r="C26" s="80"/>
      <c r="D26" s="80"/>
      <c r="E26" s="86" t="s">
        <v>53</v>
      </c>
      <c r="F26" s="86"/>
      <c r="G26" s="82"/>
      <c r="H26" s="82"/>
      <c r="I26" s="82"/>
      <c r="J26" s="82"/>
    </row>
    <row r="27" spans="1:10" ht="15.6" x14ac:dyDescent="0.3">
      <c r="A27" s="27">
        <v>3</v>
      </c>
      <c r="B27" s="42" t="s">
        <v>175</v>
      </c>
      <c r="C27" s="43"/>
    </row>
    <row r="28" spans="1:10" ht="15.6" x14ac:dyDescent="0.3">
      <c r="A28" s="28">
        <v>2</v>
      </c>
      <c r="B28" s="44" t="s">
        <v>176</v>
      </c>
      <c r="C28" s="45"/>
    </row>
    <row r="29" spans="1:10" ht="15.6" x14ac:dyDescent="0.3">
      <c r="A29" s="29">
        <v>1</v>
      </c>
      <c r="B29" s="46" t="s">
        <v>177</v>
      </c>
      <c r="C29" s="47"/>
    </row>
  </sheetData>
  <sheetProtection formatCells="0" formatColumns="0" formatRows="0" insertColumns="0" insertRows="0" insertHyperlinks="0" deleteColumns="0" deleteRows="0" selectLockedCells="1" sort="0" autoFilter="0" pivotTables="0"/>
  <mergeCells count="52"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1:J1"/>
    <mergeCell ref="F2:J2"/>
    <mergeCell ref="B5:D6"/>
    <mergeCell ref="C2:D2"/>
    <mergeCell ref="C3:D3"/>
    <mergeCell ref="F3:J3"/>
    <mergeCell ref="E5:H5"/>
    <mergeCell ref="I5:J6"/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4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4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4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4" t="s">
        <v>152</v>
      </c>
    </row>
    <row r="264" spans="1:1" ht="20.100000000000001" customHeight="1" x14ac:dyDescent="0.3">
      <c r="A264" s="24" t="s">
        <v>153</v>
      </c>
    </row>
    <row r="265" spans="1:1" ht="20.100000000000001" customHeight="1" x14ac:dyDescent="0.3">
      <c r="A265" s="24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4" t="s">
        <v>159</v>
      </c>
    </row>
    <row r="271" spans="1:1" ht="20.100000000000001" customHeight="1" x14ac:dyDescent="0.3">
      <c r="A271" s="24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4" t="s">
        <v>162</v>
      </c>
    </row>
    <row r="274" spans="1:1" ht="20.100000000000001" customHeight="1" x14ac:dyDescent="0.3">
      <c r="A274" s="24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4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4" t="s">
        <v>171</v>
      </c>
    </row>
    <row r="283" spans="1:1" ht="20.100000000000001" customHeight="1" x14ac:dyDescent="0.3">
      <c r="A283" s="24" t="s">
        <v>172</v>
      </c>
    </row>
    <row r="284" spans="1:1" ht="20.100000000000001" customHeight="1" x14ac:dyDescent="0.3">
      <c r="A284" s="24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2025-10-15T17:09:23Z</dcterms:modified>
</cp:coreProperties>
</file>