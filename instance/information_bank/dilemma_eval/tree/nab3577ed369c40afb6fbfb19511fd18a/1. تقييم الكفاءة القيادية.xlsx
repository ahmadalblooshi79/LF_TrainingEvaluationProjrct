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F3A56B0-06FF-43CE-B1FD-7A28F146CE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<sst xmlns="http://schemas.openxmlformats.org/spreadsheetml/2006/main" count="114" uniqueCount="111">
  <si>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</si>
  <si>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</si>
  <si>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</si>
  <si>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</si>
  <si>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</si>
  <si>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</si>
  <si>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</si>
  <si>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</si>
  <si>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</si>
  <si>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</si>
  <si>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</si>
  <si>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</si>
  <si>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</si>
  <si>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</si>
  <si>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</si>
  <si>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</si>
  <si>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</si>
  <si>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</si>
  <si>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</si>
  <si>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</si>
  <si>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</si>
  <si>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</si>
  <si>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</si>
  <si>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</si>
  <si>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</si>
  <si>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</si>
  <si>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</si>
  <si>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</si>
  <si>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</si>
  <si>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</si>
  <si>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</si>
  <si>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</si>
  <si>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</si>
  <si>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</si>
  <si>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</si>
  <si>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</si>
  <si>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</si>
  <si>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</si>
  <si>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</si>
  <si>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</si>
  <si>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</si>
  <si>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</si>
  <si>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</si>
  <si>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</si>
  <si>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</si>
  <si>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</si>
  <si>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</si>
  <si>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</si>
  <si>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</si>
  <si>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</si>
  <si>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</si>
  <si>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</si>
  <si>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</si>
  <si>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</si>
  <si>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</si>
  <si>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</si>
  <si>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</si>
  <si>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</si>
  <si>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</si>
  <si>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</si>
  <si>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</si>
  <si>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</si>
  <si>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</si>
  <si>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</si>
  <si>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</si>
  <si>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</si>
  <si>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</si>
  <si>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</si>
  <si>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</si>
  <si>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</si>
  <si>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</si>
  <si>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</si>
  <si>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</si>
  <si>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</si>
  <si>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</si>
  <si>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</si>
  <si>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</si>
  <si>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</si>
  <si>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</si>
  <si>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</si>
  <si>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</si>
  <si>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</si>
  <si>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</si>
  <si>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</si>
  <si>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</si>
  <si>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</si>
  <si>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</si>
  <si>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</si>
  <si>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</si>
  <si>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</si>
  <si>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</si>
  <si>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</si>
  <si>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</si>
  <si>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</si>
  <si>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</si>
  <si>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</si>
  <si>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</si>
  <si>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</si>
  <si>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</si>
  <si>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</si>
  <si>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</si>
  <si>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</si>
  <si>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</si>
  <si>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</si>
  <si>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</si>
  <si>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</si>
  <si>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</si>
  <si>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</si>
  <si>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(سرية المدفعية)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</si>
  <si>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نقيب/ مسعود الاحبابي</t>
  </si>
  <si>
    <t>رائد/ خليفة مصبح الدهماني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</si>
</sst>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334666</xdr:colOff>
      <xdr:row>21</xdr:row>
      <xdr:rowOff>205948</xdr:rowOff>
    </xdr:from>
    <xdr:to>
      <xdr:col>9</xdr:col>
      <xdr:colOff>340755</xdr:colOff>
      <xdr:row>21</xdr:row>
      <xdr:rowOff>445708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E35A409-2826-F844-C99F-419FCC1B52EC}"/>
                </a:ext>
              </a:extLst>
            </xdr14:cNvPr>
            <xdr14:cNvContentPartPr/>
          </xdr14:nvContentPartPr>
          <xdr14:nvPr macro=""/>
          <xdr14:xfrm>
            <a:off x="10398246064" y="8357040"/>
            <a:ext cx="1980360" cy="239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E35A409-2826-F844-C99F-419FCC1B52E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37424" y="8348040"/>
              <a:ext cx="199800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144216</xdr:colOff>
      <xdr:row>21</xdr:row>
      <xdr:rowOff>231868</xdr:rowOff>
    </xdr:from>
    <xdr:to>
      <xdr:col>9</xdr:col>
      <xdr:colOff>421755</xdr:colOff>
      <xdr:row>21</xdr:row>
      <xdr:rowOff>331228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2561784-A45E-77AB-8216-5DC4891CCE3A}"/>
                </a:ext>
              </a:extLst>
            </xdr14:cNvPr>
            <xdr14:cNvContentPartPr/>
          </xdr14:nvContentPartPr>
          <xdr14:nvPr macro=""/>
          <xdr14:xfrm>
            <a:off x="10398165064" y="8382960"/>
            <a:ext cx="1593720" cy="99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2561784-A45E-77AB-8216-5DC4891CCE3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156424" y="8374320"/>
              <a:ext cx="1611360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207576</xdr:colOff>
      <xdr:row>21</xdr:row>
      <xdr:rowOff>168508</xdr:rowOff>
    </xdr:from>
    <xdr:to>
      <xdr:col>9</xdr:col>
      <xdr:colOff>207915</xdr:colOff>
      <xdr:row>21</xdr:row>
      <xdr:rowOff>261388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6A1860B-EA04-939D-DA2E-FB28FFF1523A}"/>
                </a:ext>
              </a:extLst>
            </xdr14:cNvPr>
            <xdr14:cNvContentPartPr/>
          </xdr14:nvContentPartPr>
          <xdr14:nvPr macro=""/>
          <xdr14:xfrm>
            <a:off x="10398378904" y="8319600"/>
            <a:ext cx="1316520" cy="92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6A1860B-EA04-939D-DA2E-FB28FFF1523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69904" y="8310600"/>
              <a:ext cx="133416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576936</xdr:colOff>
      <xdr:row>21</xdr:row>
      <xdr:rowOff>116308</xdr:rowOff>
    </xdr:from>
    <xdr:to>
      <xdr:col>9</xdr:col>
      <xdr:colOff>435075</xdr:colOff>
      <xdr:row>21</xdr:row>
      <xdr:rowOff>235108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FA94332-2F80-901D-3EFB-5F4957185D72}"/>
                </a:ext>
              </a:extLst>
            </xdr14:cNvPr>
            <xdr14:cNvContentPartPr/>
          </xdr14:nvContentPartPr>
          <xdr14:nvPr macro=""/>
          <xdr14:xfrm>
            <a:off x="10398151744" y="8267400"/>
            <a:ext cx="1174320" cy="118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FA94332-2F80-901D-3EFB-5F4957185D7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142744" y="8258760"/>
              <a:ext cx="119196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432946</xdr:colOff>
      <xdr:row>21</xdr:row>
      <xdr:rowOff>203068</xdr:rowOff>
    </xdr:from>
    <xdr:to>
      <xdr:col>6</xdr:col>
      <xdr:colOff>439066</xdr:colOff>
      <xdr:row>21</xdr:row>
      <xdr:rowOff>209188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703CF3A-68B3-8906-9510-C2208815C6C2}"/>
                </a:ext>
              </a:extLst>
            </xdr14:cNvPr>
            <xdr14:cNvContentPartPr/>
          </xdr14:nvContentPartPr>
          <xdr14:nvPr macro=""/>
          <xdr14:xfrm>
            <a:off x="10400122024" y="8354160"/>
            <a:ext cx="6120" cy="6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703CF3A-68B3-8906-9510-C2208815C6C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113384" y="8345160"/>
              <a:ext cx="23760" cy="23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7:48.0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4189 665,'0'0,"0"0,0 0,0 0,0 0,0 0,0 0,0 0,0 0,0 0,0 0,0 0,0-16,0 13,16-10,-1-19,-12 26,25-20,-12-22,-13 40,25-33,3 9,-26 27,21-38,-9 11,-15 27,26-37,4 10,-28 27,7-38,5 11,-14 27,12-22,1-5,-13 27,12-22,-14-5,0 27,15-6,-15-22,0 29,16-8,-9 4,1 16,-8 8,16-16,-14 0,11 16,34 17,-40-29,33 8,6 20,-39-28,33 24,23-12,-54-14,44 28,9-14,-52-14,27 28,9-14,-39-14,33 12,7 18,-40-27,32 6,-8 4,-26-13,22 12,-11 2,-14-13,27-6,-14 19,-13-13,12-6,-14 19,0-13,-16-6,1 19,12-13,-25-6,-4 3,28 0,-54 0,-20 0,66 0,-100 0,-60-16,146 14,-135 4,-57-2,185 0,-167-16,-34 0,199 14,-163 4,-20-18,184 14,-150 4,-66-2,211 0,-155 0,-56 0,216 0,-180 16,-20-16,198 0,-177 16,-5 0,185-13,-152 10,-18-13,171 0,-122 16,-2-16,132 0,-108 0,-8 0,118 0,-65 0,9 0,67 0,-56 0,5 0,52 0,-27 0,6 0,26 0,-21 0,-5 0,25 0,-19 0,9 0,14 0,-11 0,13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7:48.6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4321 1,'0'0,"0"0,0 0,0 0,0 0,0 0,0 0,0 0,0 0,0 0,0 0,0 0,-16 16,-15-16,25 0,-36 16,-20 0,53-14,-91 28,-41-14,-46 0,-17 0,-47 0,-15-16,0 16,-15-16,237 0,-194 16,-44 0,237-13,-176 10,-45 3,228-14,-206 12,-6 2,209-13,-138-6,-8 19,156-13,-63-6,0 3,81 0,-37-16,3 16,40 0,-18 0,-6 0,26 0,-21 0,26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7:49.1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3550 0,'0'0,"0"0,0 0,0 0,0 0,0 0,-16 0,-16 16,17-8,-1 0,-30-8,7 8,0 0,-85 24,53-24,1 0,-85 24,68-23,3-2,-103 10,84-9,4 0,-166 8,138-16,4 0,-110 16,114-16,4 0,-102 16,106-16,3 0,-78 16,98-16,5 0,-89 0,100 8,5 0,-11-8,46 0,2 0,-33 0,47 0,2 0,-18 0,16 0,32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7:49.5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3155 1,'0'0,"0"0,0 0,0 0,0 0,0 0,-15 0,10 0,-6 0,-20 0,21 0,-42 0,-72 16,86-11,-79-10,-69 5,133 0,-96 16,-68 0,153-11,-74 6,-95 5,166-11,-114 6,-36 5,157-11,-82 22,-44-11,131-11,-29 6,-522 118,492-105,228-48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09:57:50.2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17 0,'0'0,"0"0,0 0,0 0,0 0,-16 16,16-16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C18" zoomScale="130" zoomScaleNormal="100" zoomScaleSheetLayoutView="130" workbookViewId="0">
      <selection activeCell="E21" sqref="E21:F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108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1" t="s">
        <v>8</v>
      </c>
      <c r="C2" s="45" t="s">
        <v>48</v>
      </c>
      <c r="D2" s="45"/>
      <c r="E2" s="11" t="s">
        <v>7</v>
      </c>
      <c r="F2" s="40">
        <v>45944</v>
      </c>
      <c r="G2" s="40"/>
      <c r="H2" s="40"/>
      <c r="I2" s="40"/>
      <c r="J2" s="40"/>
    </row>
    <row r="3" spans="1:10" ht="30" customHeight="1" x14ac:dyDescent="0.3">
      <c r="B3" s="11" t="s">
        <v>9</v>
      </c>
      <c r="C3" s="45" t="s">
        <v>59</v>
      </c>
      <c r="D3" s="45"/>
      <c r="E3" s="11" t="s">
        <v>6</v>
      </c>
      <c r="F3" s="45" t="s">
        <v>58</v>
      </c>
      <c r="G3" s="45"/>
      <c r="H3" s="45"/>
      <c r="I3" s="45"/>
      <c r="J3" s="45"/>
    </row>
    <row r="4" spans="1:10" ht="30" customHeight="1" thickBot="1" x14ac:dyDescent="0.35">
      <c r="B4" s="6"/>
      <c r="C4" s="29" t="s">
        <v>109</v>
      </c>
      <c r="D4" s="29"/>
      <c r="E4" s="6"/>
      <c r="F4" s="29" t="s">
        <v>110</v>
      </c>
      <c r="G4" s="29"/>
      <c r="H4" s="29"/>
      <c r="I4" s="29"/>
      <c r="J4" s="29"/>
    </row>
    <row r="5" spans="1:10" ht="24.9" customHeight="1" x14ac:dyDescent="0.3">
      <c r="A5" s="9"/>
      <c r="B5" s="41" t="s">
        <v>0</v>
      </c>
      <c r="C5" s="42"/>
      <c r="D5" s="42"/>
      <c r="E5" s="50" t="s">
        <v>1</v>
      </c>
      <c r="F5" s="50"/>
      <c r="G5" s="50"/>
      <c r="H5" s="50"/>
      <c r="I5" s="50" t="s">
        <v>2</v>
      </c>
      <c r="J5" s="51"/>
    </row>
    <row r="6" spans="1:10" ht="24.9" customHeight="1" thickBot="1" x14ac:dyDescent="0.35">
      <c r="A6" s="9"/>
      <c r="B6" s="43"/>
      <c r="C6" s="44"/>
      <c r="D6" s="44"/>
      <c r="E6" s="10" t="s">
        <v>3</v>
      </c>
      <c r="F6" s="10" t="s">
        <v>4</v>
      </c>
      <c r="G6" s="10" t="s">
        <v>23</v>
      </c>
      <c r="H6" s="10" t="s">
        <v>24</v>
      </c>
      <c r="I6" s="52"/>
      <c r="J6" s="53"/>
    </row>
    <row r="7" spans="1:10" ht="24.9" customHeight="1" thickBot="1" x14ac:dyDescent="0.35">
      <c r="A7" s="9"/>
      <c r="B7" s="48" t="s">
        <v>21</v>
      </c>
      <c r="C7" s="49"/>
      <c r="D7" s="49"/>
      <c r="E7" s="18" t="s">
        <v>18</v>
      </c>
      <c r="F7" s="18" t="s">
        <v>19</v>
      </c>
      <c r="G7" s="18" t="s">
        <v>22</v>
      </c>
      <c r="H7" s="18" t="s">
        <v>20</v>
      </c>
      <c r="I7" s="54" t="s">
        <v>25</v>
      </c>
      <c r="J7" s="55"/>
    </row>
    <row r="8" spans="1:10" ht="30" customHeight="1" thickBot="1" x14ac:dyDescent="0.35">
      <c r="A8" s="9"/>
      <c r="B8" s="32" t="s">
        <v>98</v>
      </c>
      <c r="C8" s="33"/>
      <c r="D8" s="33"/>
      <c r="E8" s="21">
        <v>5</v>
      </c>
      <c r="F8" s="22">
        <v>3.5</v>
      </c>
      <c r="G8" s="23">
        <f>IFERROR(F8/E8,"")</f>
        <v>0.7</v>
      </c>
      <c r="H8" s="2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6"/>
      <c r="J8" s="67"/>
    </row>
    <row r="9" spans="1:10" ht="30" customHeight="1" thickBot="1" x14ac:dyDescent="0.35">
      <c r="A9" s="9"/>
      <c r="B9" s="30" t="s">
        <v>99</v>
      </c>
      <c r="C9" s="31"/>
      <c r="D9" s="31"/>
      <c r="E9" s="7">
        <v>5</v>
      </c>
      <c r="F9" s="28">
        <v>3.5</v>
      </c>
      <c r="G9" s="19">
        <f>IFERROR(F9/E9,"")</f>
        <v>0.7</v>
      </c>
      <c r="H9" s="2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0" customHeight="1" thickBot="1" x14ac:dyDescent="0.35">
      <c r="A10" s="9"/>
      <c r="B10" s="30" t="s">
        <v>100</v>
      </c>
      <c r="C10" s="31"/>
      <c r="D10" s="31"/>
      <c r="E10" s="7">
        <v>5</v>
      </c>
      <c r="F10" s="28">
        <v>4.25</v>
      </c>
      <c r="G10" s="19">
        <f t="shared" ref="G10:G17" si="0">IFERROR(F10/E10,"")</f>
        <v>0.85</v>
      </c>
      <c r="H10" s="20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6"/>
      <c r="J10" s="57"/>
    </row>
    <row r="11" spans="1:10" ht="30" customHeight="1" thickBot="1" x14ac:dyDescent="0.35">
      <c r="A11" s="9"/>
      <c r="B11" s="30" t="s">
        <v>101</v>
      </c>
      <c r="C11" s="31"/>
      <c r="D11" s="31"/>
      <c r="E11" s="7">
        <v>5</v>
      </c>
      <c r="F11" s="28">
        <v>3.5</v>
      </c>
      <c r="G11" s="19">
        <f t="shared" si="0"/>
        <v>0.7</v>
      </c>
      <c r="H11" s="20" t="str">
        <f t="shared" si="1"/>
        <v>جيد</v>
      </c>
      <c r="I11" s="56"/>
      <c r="J11" s="57"/>
    </row>
    <row r="12" spans="1:10" ht="30" customHeight="1" thickBot="1" x14ac:dyDescent="0.35">
      <c r="A12" s="9"/>
      <c r="B12" s="30" t="s">
        <v>102</v>
      </c>
      <c r="C12" s="31"/>
      <c r="D12" s="31"/>
      <c r="E12" s="7">
        <v>5</v>
      </c>
      <c r="F12" s="28">
        <v>3.5</v>
      </c>
      <c r="G12" s="19">
        <f t="shared" si="0"/>
        <v>0.7</v>
      </c>
      <c r="H12" s="20" t="str">
        <f t="shared" si="1"/>
        <v>جيد</v>
      </c>
      <c r="I12" s="56"/>
      <c r="J12" s="57"/>
    </row>
    <row r="13" spans="1:10" ht="30" customHeight="1" thickBot="1" x14ac:dyDescent="0.35">
      <c r="A13" s="9"/>
      <c r="B13" s="30" t="s">
        <v>103</v>
      </c>
      <c r="C13" s="31"/>
      <c r="D13" s="31"/>
      <c r="E13" s="7">
        <v>5</v>
      </c>
      <c r="F13" s="28">
        <v>3.5</v>
      </c>
      <c r="G13" s="19">
        <f t="shared" si="0"/>
        <v>0.7</v>
      </c>
      <c r="H13" s="20" t="str">
        <f t="shared" si="1"/>
        <v>جيد</v>
      </c>
      <c r="I13" s="56"/>
      <c r="J13" s="57"/>
    </row>
    <row r="14" spans="1:10" ht="30" customHeight="1" thickBot="1" x14ac:dyDescent="0.35">
      <c r="A14" s="9"/>
      <c r="B14" s="30" t="s">
        <v>104</v>
      </c>
      <c r="C14" s="31"/>
      <c r="D14" s="31"/>
      <c r="E14" s="7">
        <v>5</v>
      </c>
      <c r="F14" s="28">
        <v>3.5</v>
      </c>
      <c r="G14" s="19">
        <f t="shared" si="0"/>
        <v>0.7</v>
      </c>
      <c r="H14" s="20" t="str">
        <f t="shared" si="1"/>
        <v>جيد</v>
      </c>
      <c r="I14" s="56"/>
      <c r="J14" s="57"/>
    </row>
    <row r="15" spans="1:10" ht="30" customHeight="1" thickBot="1" x14ac:dyDescent="0.35">
      <c r="A15" s="9"/>
      <c r="B15" s="30" t="s">
        <v>105</v>
      </c>
      <c r="C15" s="31"/>
      <c r="D15" s="31"/>
      <c r="E15" s="7">
        <v>5</v>
      </c>
      <c r="F15" s="28">
        <v>3.5</v>
      </c>
      <c r="G15" s="19">
        <f t="shared" si="0"/>
        <v>0.7</v>
      </c>
      <c r="H15" s="20" t="str">
        <f t="shared" si="1"/>
        <v>جيد</v>
      </c>
      <c r="I15" s="56"/>
      <c r="J15" s="57"/>
    </row>
    <row r="16" spans="1:10" ht="30" customHeight="1" thickBot="1" x14ac:dyDescent="0.35">
      <c r="A16" s="9"/>
      <c r="B16" s="30" t="s">
        <v>106</v>
      </c>
      <c r="C16" s="31"/>
      <c r="D16" s="31"/>
      <c r="E16" s="7">
        <v>5</v>
      </c>
      <c r="F16" s="28">
        <v>3.5</v>
      </c>
      <c r="G16" s="19">
        <f t="shared" si="0"/>
        <v>0.7</v>
      </c>
      <c r="H16" s="20" t="str">
        <f t="shared" si="1"/>
        <v>جيد</v>
      </c>
      <c r="I16" s="56"/>
      <c r="J16" s="57"/>
    </row>
    <row r="17" spans="1:10" ht="30" customHeight="1" thickBot="1" x14ac:dyDescent="0.35">
      <c r="A17" s="9"/>
      <c r="B17" s="58" t="s">
        <v>107</v>
      </c>
      <c r="C17" s="59"/>
      <c r="D17" s="59"/>
      <c r="E17" s="25">
        <v>5</v>
      </c>
      <c r="F17" s="28">
        <v>4</v>
      </c>
      <c r="G17" s="26">
        <f t="shared" si="0"/>
        <v>0.8</v>
      </c>
      <c r="H17" s="27" t="str">
        <f t="shared" si="1"/>
        <v>جيد جداً</v>
      </c>
      <c r="I17" s="70"/>
      <c r="J17" s="71"/>
    </row>
    <row r="18" spans="1:10" ht="30" customHeight="1" thickBot="1" x14ac:dyDescent="0.35">
      <c r="A18" s="4"/>
      <c r="B18" s="68" t="s">
        <v>5</v>
      </c>
      <c r="C18" s="69"/>
      <c r="D18" s="69"/>
      <c r="E18" s="8">
        <f>SUM(E8:E17)</f>
        <v>50</v>
      </c>
      <c r="F18" s="8">
        <f>SUM(F8:F17)</f>
        <v>36.25</v>
      </c>
      <c r="G18" s="36"/>
      <c r="H18" s="37"/>
      <c r="I18" s="37"/>
      <c r="J18" s="38"/>
    </row>
    <row r="19" spans="1:10" ht="30" customHeight="1" thickBot="1" x14ac:dyDescent="0.35">
      <c r="A19" s="4"/>
      <c r="B19" s="68" t="s">
        <v>54</v>
      </c>
      <c r="C19" s="69"/>
      <c r="D19" s="69"/>
      <c r="E19" s="46">
        <f>F18/E18/100*100</f>
        <v>0.72499999999999998</v>
      </c>
      <c r="F19" s="46"/>
      <c r="G19" s="46"/>
      <c r="H19" s="46"/>
      <c r="I19" s="46"/>
      <c r="J19" s="47"/>
    </row>
    <row r="20" spans="1:10" ht="30" customHeight="1" thickBot="1" x14ac:dyDescent="0.35">
      <c r="A20" s="4"/>
      <c r="B20" s="68" t="s">
        <v>55</v>
      </c>
      <c r="C20" s="69"/>
      <c r="D20" s="69"/>
      <c r="E20" s="64" t="str">
        <f>_xlfn.IFS(E19&gt;=90%,"ممتاز",E19&gt;=80%,"جيد جداً",E19&gt;=70%,"جيد",E19&gt;=60%,"مقبول",E19&lt;60%,"راسب")</f>
        <v>جيد</v>
      </c>
      <c r="F20" s="64"/>
      <c r="G20" s="64"/>
      <c r="H20" s="64"/>
      <c r="I20" s="64"/>
      <c r="J20" s="65"/>
    </row>
    <row r="21" spans="1:10" ht="42" customHeight="1" x14ac:dyDescent="0.3">
      <c r="B21" s="60" t="s">
        <v>61</v>
      </c>
      <c r="C21" s="60"/>
      <c r="D21" s="60"/>
      <c r="E21" s="34" t="s">
        <v>52</v>
      </c>
      <c r="F21" s="34"/>
      <c r="G21" s="62" t="s">
        <v>58</v>
      </c>
      <c r="H21" s="62"/>
      <c r="I21" s="62"/>
      <c r="J21" s="62"/>
    </row>
    <row r="22" spans="1:10" ht="51" customHeight="1" x14ac:dyDescent="0.3">
      <c r="A22" s="5"/>
      <c r="B22" s="61"/>
      <c r="C22" s="61"/>
      <c r="D22" s="61"/>
      <c r="E22" s="35" t="s">
        <v>53</v>
      </c>
      <c r="F22" s="35"/>
      <c r="G22" s="63"/>
      <c r="H22" s="63"/>
      <c r="I22" s="63"/>
      <c r="J22" s="63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6:D16"/>
    <mergeCell ref="B8:D8"/>
    <mergeCell ref="B9:D9"/>
    <mergeCell ref="B10:D10"/>
    <mergeCell ref="B11:D11"/>
    <mergeCell ref="B12:D12"/>
    <mergeCell ref="C4:D4"/>
    <mergeCell ref="F4:J4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2025-10-14T22:07:01Z</dcterms:modified>
</cp:coreProperties>
</file>