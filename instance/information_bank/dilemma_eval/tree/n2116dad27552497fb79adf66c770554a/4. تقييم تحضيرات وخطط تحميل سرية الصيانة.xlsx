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FB1E4FD-BEDC-4E7D-8578-6401B90724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 s="1"/>
  <c r="G15" i="2"/>
  <c r="H15" i="2" s="1"/>
  <c r="G16" i="2"/>
  <c r="H16" i="2" s="1"/>
  <c r="G17" i="2"/>
  <c r="H17" i="2" s="1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 s="1"/>
  <c r="G27" i="2"/>
  <c r="H27" i="2"/>
  <c r="G28" i="2"/>
  <c r="H28" i="2"/>
  <c r="G29" i="2"/>
  <c r="H29" i="2"/>
  <c r="G31" i="2"/>
  <c r="H31" i="2"/>
  <c r="G32" i="2"/>
  <c r="H32" i="2" s="1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F66" i="2"/>
  <c r="E66" i="2"/>
  <c r="E67" i="2" s="1"/>
  <c r="E68" i="2" s="1"/>
</calcChain>
</file>

<file path=xl/sharedStrings.xml><?xml version="1.0" encoding="utf-8"?>
<sst xmlns="http://schemas.openxmlformats.org/spreadsheetml/2006/main" count="301" uniqueCount="239">
  <si>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</si>
  <si>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</si>
  <si>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</si>
  <si>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</si>
  <si>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</si>
  <si>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</si>
  <si>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</si>
  <si>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</si>
  <si>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</si>
  <si>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</si>
  <si>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</si>
  <si>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</si>
  <si>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</si>
  <si>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</si>
  <si>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</si>
  <si>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</si>
  <si>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</si>
  <si>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</si>
  <si>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</si>
  <si>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</si>
  <si>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</si>
  <si>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</si>
  <si>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</si>
  <si>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</si>
  <si>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</si>
  <si>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</si>
  <si>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</si>
  <si>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</si>
  <si>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</si>
  <si>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</si>
  <si>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</si>
  <si>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</si>
  <si>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</si>
  <si>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</si>
  <si>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</si>
  <si>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</si>
  <si>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</si>
  <si>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</si>
  <si>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</si>
  <si>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</si>
  <si>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</si>
  <si>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</si>
  <si>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</si>
  <si>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</si>
  <si>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</si>
  <si>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</si>
  <si>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</si>
  <si>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</si>
  <si>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</si>
  <si>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</si>
  <si>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</si>
  <si>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</si>
  <si>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</si>
  <si>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</si>
  <si>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</si>
  <si>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</si>
  <si>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</si>
  <si>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</si>
  <si>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</si>
  <si>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</si>
  <si>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</si>
  <si>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</si>
  <si>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</si>
  <si>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</si>
  <si>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</si>
  <si>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</si>
  <si>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</si>
  <si>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</si>
  <si>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</si>
  <si>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</si>
  <si>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</si>
  <si>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</si>
  <si>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</si>
  <si>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</si>
  <si>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</si>
  <si>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</si>
  <si>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</si>
  <si>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</si>
  <si>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</si>
  <si>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</si>
  <si>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</si>
  <si>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</si>
  <si>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</si>
  <si>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</si>
  <si>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</si>
  <si>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</si>
  <si>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</si>
  <si>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</si>
  <si>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</si>
  <si>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</si>
  <si>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</si>
  <si>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</si>
  <si>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</si>
  <si>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</si>
  <si>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</si>
  <si>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</si>
  <si>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</si>
  <si>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</si>
  <si>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</si>
  <si>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</si>
  <si>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</si>
  <si>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</si>
  <si>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</si>
  <si>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</si>
  <si>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</si>
  <si>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</si>
  <si>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</si>
  <si>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</si>
  <si>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</si>
  <si>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</si>
  <si>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</si>
  <si>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</si>
  <si>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</si>
  <si>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</si>
  <si>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</si>
  <si>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</si>
  <si>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</si>
  <si>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</si>
  <si>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</si>
  <si>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</si>
  <si>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</si>
  <si>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</si>
  <si>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</si>
  <si>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</si>
  <si>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</si>
  <si>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</si>
  <si>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</si>
  <si>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</si>
  <si>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</si>
  <si>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</si>
  <si>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</si>
  <si>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</si>
  <si>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</si>
  <si>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</si>
  <si>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</si>
  <si>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</si>
  <si>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</si>
  <si>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</si>
  <si>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</si>
  <si>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</si>
  <si>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</si>
  <si>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</si>
  <si>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</si>
  <si>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</si>
  <si>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</si>
  <si>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</si>
  <si>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</si>
  <si>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</si>
  <si>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</si>
  <si>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</si>
  <si>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</si>
  <si>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</si>
  <si>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</si>
  <si>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</si>
  <si>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</si>
  <si>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</si>
  <si>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</si>
  <si>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</si>
  <si>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</si>
  <si>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</si>
  <si>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</si>
  <si>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</si>
  <si>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</si>
  <si>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</si>
  <si>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</si>
  <si>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</si>
  <si>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</si>
  <si>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</si>
  <si>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</si>
  <si>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</si>
  <si>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</si>
  <si>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</si>
  <si>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</si>
  <si>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</si>
  <si>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</si>
  <si>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</si>
  <si>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</si>
  <si>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</si>
  <si>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</si>
  <si>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</si>
  <si>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التجهيزات.</t>
  </si>
  <si>
    <t>سيارات الإسعاف.</t>
  </si>
  <si>
    <t>معدات متفرقة.</t>
  </si>
  <si>
    <r>
      <t>معدات الاتصالات</t>
    </r>
    <r>
      <rPr>
        <sz val="12"/>
        <color rgb="FF000000"/>
        <rFont val="Arial"/>
        <family val="2"/>
      </rPr>
      <t>.</t>
    </r>
  </si>
  <si>
    <r>
      <t>الآليـــــات</t>
    </r>
    <r>
      <rPr>
        <b/>
        <sz val="12"/>
        <color rgb="FF000000"/>
        <rFont val="Arial"/>
        <family val="2"/>
      </rPr>
      <t>.</t>
    </r>
  </si>
  <si>
    <r>
      <t>الأسلحة الفردية</t>
    </r>
    <r>
      <rPr>
        <b/>
        <sz val="12"/>
        <color rgb="FF000000"/>
        <rFont val="Arial"/>
        <family val="2"/>
      </rPr>
      <t>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</si>
  <si>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الآليات.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</si>
  <si>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أنظمة الآليات.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</si>
  <si>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أجهزة الاتصال.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</si>
  <si>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الأسلحة.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</si>
  <si>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أن تكون مجموعات المعدات الطبية المسموح بها موجودة.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</si>
  <si>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المعدات الطبية كاملة وصالحة.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</si>
  <si>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الأوكسجين متوفّر وصالح للاستخدام.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</si>
  <si>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الأدوية المرخص بها متوفرّة وجاهزة وصالحة للاستعمال.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</si>
  <si>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تفقد المناظير.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</si>
  <si>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تفقد شبكة التمويه والتخفية وأنظمة الإسناد.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</si>
  <si>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تفقد أجهزة الرؤية الليلية.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</si>
  <si>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البطاريات موجودة وصالحة.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</si>
  <si>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معدات التخييم متوفرة.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</si>
  <si>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أنظمة تحديد المواقع العالمية والأنظمة الرقمية الأخرى – إذا كانت متوفرة.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</si>
  <si>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قوائم التحميل متوفرة.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</si>
  <si>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خرائط الهبوط الاضطراري أو خرائط الطرق متوفرة (مع الشفافات).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</si>
  <si>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جميع المعدات في الآلية.</t>
    </r>
  </si>
  <si>
    <r>
      <t>10.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توفر السجلات وتحديثها.</t>
    </r>
  </si>
  <si>
    <r>
      <t>11.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توفر رخص القيادة العسكرية لدى جميع السائقين.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</si>
  <si>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الأجهزة اللاسلكية صالحة.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</si>
  <si>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معدات الاتصالات الطبية متوفرة وصالحة.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</si>
  <si>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معدات الاتصالات متوفرة وشغالة وموضوعة على الترددات الصحيحة.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</si>
  <si>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الهوائيات مربوطة بطريقة صحيحة.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</si>
  <si>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الموصلات نظيفة وصالحة.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</si>
  <si>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الهواتف الميدانية موجودة وصالحة.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</si>
  <si>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البطاريات موجودة وصالحة للاستخدام.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</si>
  <si>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مجموعات الأجهزة اللاسلكية كاملة.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</si>
  <si>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لوحات المفاتيح موجودة وصالحة.</t>
    </r>
  </si>
  <si>
    <r>
      <t>10.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أسلاك الاتصالات موجودة وصالحة.</t>
    </r>
  </si>
  <si>
    <r>
      <t>11.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تعليمات تشغيل الإشارة موجودة ومحمية.</t>
    </r>
  </si>
  <si>
    <r>
      <t>12.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الجنود يعرفون النداءات والترددات وكلمات التحدي السرية.</t>
    </r>
  </si>
  <si>
    <r>
      <t>13.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إنجاز اختبار الاتصالات مرة أخرى.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</si>
  <si>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أن تكون الحمولات وفقاً لخطة التحميل، وخطة التحميل ملصقة في الآلية.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</si>
  <si>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المواد الخطيرة محددة بشكل صحيح ومخزّنة باتجاه مؤخرة العربة للوصول والتفتيش السهل.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</si>
  <si>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الذخيرة مصروفة ومخزنة بشكل صحيح.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</si>
  <si>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خزانات الوقود للآليات معبأة.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</si>
  <si>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رُزم الوقود والزيوت وزيت الأسلحة الخفيفة تكون موجودة ومتوفرة.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</si>
  <si>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مطرات المياه معبأة.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</si>
  <si>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الوجبات الجاهزة مصروفة ومعبأة.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</si>
  <si>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صناديق الإسعافات الأولية موجودة وكاملة.</t>
    </r>
  </si>
  <si>
    <r>
      <t>9.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دليل العمل وأوامر التزييت موجودة للآليات والأجهزة اللاسلكية والمعدات ذات العلاقة.</t>
    </r>
  </si>
  <si>
    <r>
      <t>10.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المعدات الأساسية داخل الآلية والمواد المصروفة الأساسية موجودة.</t>
    </r>
  </si>
  <si>
    <r>
      <t>11.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إرسالية الآليات كاملة.</t>
    </r>
  </si>
  <si>
    <r>
      <t>12.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لا يوجد نواقص في مواعيد الآليات النهائي (لا يوجد مشاكل رئيسية بالآليات).</t>
    </r>
  </si>
  <si>
    <r>
      <t>13.</t>
    </r>
    <r>
      <rPr>
        <sz val="12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تم إكمال فحوصات وخدمات الصيانة الوقائية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</si>
  <si>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نظيفة وصالحة. 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</si>
  <si>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أدوات وعدة التنظيف، ومسامير التثبيت، ونتّاش ظرف الطلقات موجودة.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</si>
  <si>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بطاقات المدى موجودة.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</si>
  <si>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الذخيرة مصروفة ومعدودة ومحميّة.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</si>
  <si>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المخازن مصروفة.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</si>
  <si>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وصلة الطلقات الفارغة مركّبة.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</si>
  <si>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اختبار "أنّ السلاح يعمل".</t>
    </r>
  </si>
  <si>
    <r>
      <rPr>
        <b/>
        <sz val="14"/>
        <color rgb="FF000000"/>
        <rFont val="Arial"/>
        <family val="2"/>
      </rPr>
      <t>تقييم تحضيرات وخطط تحميل سرية الصيانة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</si>
</sst>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horizontal="right" vertical="center" wrapText="1" readingOrder="2"/>
    </xf>
    <xf numFmtId="0" fontId="1" fillId="0" borderId="15" xfId="0" applyFont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222242</xdr:colOff>
      <xdr:row>68</xdr:row>
      <xdr:rowOff>347236</xdr:rowOff>
    </xdr:from>
    <xdr:to>
      <xdr:col>9</xdr:col>
      <xdr:colOff>595888</xdr:colOff>
      <xdr:row>70</xdr:row>
      <xdr:rowOff>47912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7E8D5B1-C047-618E-47DA-D902F59EDAAC}"/>
                </a:ext>
              </a:extLst>
            </xdr14:cNvPr>
            <xdr14:cNvContentPartPr/>
          </xdr14:nvContentPartPr>
          <xdr14:nvPr macro=""/>
          <xdr14:xfrm>
            <a:off x="10435797676" y="27135000"/>
            <a:ext cx="2347920" cy="885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7E8D5B1-C047-618E-47DA-D902F59EDA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5789036" y="27126360"/>
              <a:ext cx="2365560" cy="90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489002</xdr:colOff>
      <xdr:row>69</xdr:row>
      <xdr:rowOff>289756</xdr:rowOff>
    </xdr:from>
    <xdr:to>
      <xdr:col>9</xdr:col>
      <xdr:colOff>277288</xdr:colOff>
      <xdr:row>70</xdr:row>
      <xdr:rowOff>167792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45E7D2-B094-B0F6-8EB9-9F541E4C00D5}"/>
                </a:ext>
              </a:extLst>
            </xdr14:cNvPr>
            <xdr14:cNvContentPartPr/>
          </xdr14:nvContentPartPr>
          <xdr14:nvPr macro=""/>
          <xdr14:xfrm>
            <a:off x="10436116276" y="27610920"/>
            <a:ext cx="1762560" cy="529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145E7D2-B094-B0F6-8EB9-9F541E4C00D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107636" y="27602280"/>
              <a:ext cx="1780200" cy="54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13:30.9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4192 1881 4921,'0'0'0,"0"0"0,5-2 752,7 1-632,2-1-104,-9 2 0,-5 0-16,21 0 0,-7 0 0,0 3-32,-9 3 16,-5-6 16,18 13-16,-13-9 32,0 11-32,9-10-24,-14-5 40,0 17-48,0-12-40,-14 14 48,-7-5-8,21-14 48,-34 15-48,-10 0 8,-14 1-40,-17-3 16,75-13 64,-95 6-16,-12 7 8,-18-9 8,-14-1 0,139-3 0,-152 0-16,-15 3 8,-4-3-8,-7-1 8,178 1 8,-179-5-24,-1-12 8,-4 1 0,2-3 24,182 19-8,-174-25 8,3-8-24,90 15 40,-17-8-16,98 26-8,-94-27 8,-14-9 0,7-3-40,-7-9-24,108 48 56,-95-53-48,-7-8 8,20-6 8,19-5 32,63 72 0,-45-75 8,21-3 0,22 0 64,24-3 40,-22 81-112,42-82 104,21 0-8,24 0-32,40-8-80,-127 90 16,253-147-16,15 21 24,-1 22-24,-41 30 40,-226 74-24,237-70 16,9 5 8,7 7-8,6 7 8,-259 51-24,264-44 48,7 5-16,-6 6 16,-4 9-32,-261 24-16,255-15 24,-8 12 8,-15 3 8,-9 13 8,-223-13-48,200 17 16,-18 11-8,-15 2-48,-18 6 24,-149-36 16,125 39-8,-18 2 8,-27 5 24,-20 2-24,-60-48 0,38 53 32,-22 2-8,-18 1-16,-31 0-16,33-56 8,-56 57-32,-27 1 8,-19 1-24,-33 1 32,135-60 16,-159 61-56,-26-1 16,-27 1 0,-22-1-24,234-60 64,-259 62-40,-18-1 8,-14 6 24,-11 1 16,302-68-8,-306 76 8,-1 4-24,0-2-8,1 4 8,306-82 16,-302 82-48,13-4 8,150-37 32,-31 9-48,170-50 56,-162 49-72,-29 11-56,13-4-80,74-23 112,104-33 96,-110 35-153,5 0-7,-5 2-48,-10 2-88,120-39 296,-127 43-248,14-4 16,-2 2 80,15-5 56,100-36 96,-99 36-48,16-5 48,4-2-184,23-9-776,56-20 960,-54 19-1760,54-19 1760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13:31.7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4737 16 9706,'0'0'0,"0"0"0,-5-14 1264,-21 13-1320,-20 1-280,-31 5-72,77-5 408,-107 31-224,-28 1 192,-21 11 8,-19 4-32,175-47 56,-195 57-136,-17 1 64,-11 3 32,-10 0-8,233-61 48,-241 62-24,-6-1-48,-3 1 16,2 1-33,248-63 89,-250 59-128,11-1 48,4-3 64,8-4-24,227-51 40,-104 24 48,-22 5-24,10-2-56,-18 4 40,134-31-8,-119 29-104,-12 2 56,22-2-48,-8 2-8,117-31 104,-95 27-112,25-5-160,19-5 96,28-12-152,23-5 328,0 14-768,32-14-200,26-5-937,22-14-1439,-80 19 3344</inkml:trace>
  <inkml:trace contextRef="#ctx0" brushRef="#br0" timeOffset="1">4201 422 5361,'0'0'0,"49"-19"328,-2 6-56,-47 13-272,41-14 256,-43 14-112,-47 5-56,-29 19-24,78-24-64,-117 24-48,-34 5 16,-26 8 0,-26 8-8,203-45 40,-221 53-40,-14 3-32,-12 4 16,-11 3-24,258-63 80,-259 61-80,-3 6 16,1-1 24,3 6 16,258-72 24,-249 70-64,128-36 48,-26 10-48,6-5-24,141-39 88,-164 47-72,10-5-80,-18 4-24,14-3-40,158-43 216,-84 22 48,-6 4-368,11-8-3017,79-18 3337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0"/>
  <sheetViews>
    <sheetView rightToLeft="1" tabSelected="1" view="pageBreakPreview" topLeftCell="A60" zoomScale="130" zoomScaleNormal="100" zoomScaleSheetLayoutView="130" workbookViewId="0">
      <selection activeCell="E32" sqref="E3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4" t="s">
        <v>238</v>
      </c>
      <c r="C1" s="74"/>
      <c r="D1" s="74"/>
      <c r="E1" s="74"/>
      <c r="F1" s="74"/>
      <c r="G1" s="74"/>
      <c r="H1" s="74"/>
      <c r="I1" s="74"/>
      <c r="J1" s="74"/>
    </row>
    <row r="2" spans="1:10" ht="30" customHeight="1" x14ac:dyDescent="0.3">
      <c r="B2" s="15" t="s">
        <v>8</v>
      </c>
      <c r="C2" s="80" t="s">
        <v>32</v>
      </c>
      <c r="D2" s="80"/>
      <c r="E2" s="15" t="s">
        <v>7</v>
      </c>
      <c r="F2" s="75">
        <v>45931</v>
      </c>
      <c r="G2" s="75"/>
      <c r="H2" s="75"/>
      <c r="I2" s="75"/>
      <c r="J2" s="75"/>
    </row>
    <row r="3" spans="1:10" ht="30" customHeight="1" x14ac:dyDescent="0.3">
      <c r="B3" s="15" t="s">
        <v>9</v>
      </c>
      <c r="C3" s="80" t="s">
        <v>67</v>
      </c>
      <c r="D3" s="80"/>
      <c r="E3" s="15" t="s">
        <v>6</v>
      </c>
      <c r="F3" s="80" t="s">
        <v>136</v>
      </c>
      <c r="G3" s="80"/>
      <c r="H3" s="80"/>
      <c r="I3" s="80"/>
      <c r="J3" s="8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3"/>
      <c r="B5" s="76" t="s">
        <v>0</v>
      </c>
      <c r="C5" s="77"/>
      <c r="D5" s="77"/>
      <c r="E5" s="85" t="s">
        <v>1</v>
      </c>
      <c r="F5" s="85"/>
      <c r="G5" s="85"/>
      <c r="H5" s="85"/>
      <c r="I5" s="85" t="s">
        <v>2</v>
      </c>
      <c r="J5" s="86"/>
    </row>
    <row r="6" spans="1:10" ht="24.9" customHeight="1" thickBot="1" x14ac:dyDescent="0.35">
      <c r="A6" s="13"/>
      <c r="B6" s="78"/>
      <c r="C6" s="79"/>
      <c r="D6" s="79"/>
      <c r="E6" s="14" t="s">
        <v>3</v>
      </c>
      <c r="F6" s="14" t="s">
        <v>4</v>
      </c>
      <c r="G6" s="14" t="s">
        <v>23</v>
      </c>
      <c r="H6" s="14" t="s">
        <v>24</v>
      </c>
      <c r="I6" s="87"/>
      <c r="J6" s="88"/>
    </row>
    <row r="7" spans="1:10" ht="24.9" customHeight="1" thickBot="1" x14ac:dyDescent="0.35">
      <c r="A7" s="13"/>
      <c r="B7" s="83" t="s">
        <v>21</v>
      </c>
      <c r="C7" s="84"/>
      <c r="D7" s="84"/>
      <c r="E7" s="34" t="s">
        <v>18</v>
      </c>
      <c r="F7" s="34" t="s">
        <v>19</v>
      </c>
      <c r="G7" s="34" t="s">
        <v>22</v>
      </c>
      <c r="H7" s="34" t="s">
        <v>20</v>
      </c>
      <c r="I7" s="89" t="s">
        <v>25</v>
      </c>
      <c r="J7" s="90"/>
    </row>
    <row r="8" spans="1:10" ht="30" customHeight="1" x14ac:dyDescent="0.3">
      <c r="A8" s="13"/>
      <c r="B8" s="49" t="s">
        <v>180</v>
      </c>
      <c r="C8" s="50"/>
      <c r="D8" s="50"/>
      <c r="E8" s="32"/>
      <c r="F8" s="38"/>
      <c r="G8" s="39"/>
      <c r="H8" s="40"/>
      <c r="I8" s="51"/>
      <c r="J8" s="52"/>
    </row>
    <row r="9" spans="1:10" ht="30" customHeight="1" x14ac:dyDescent="0.3">
      <c r="A9" s="13"/>
      <c r="B9" s="43" t="s">
        <v>186</v>
      </c>
      <c r="C9" s="44"/>
      <c r="D9" s="44"/>
      <c r="E9" s="12">
        <v>5</v>
      </c>
      <c r="F9" s="29">
        <v>3.5</v>
      </c>
      <c r="G9" s="36">
        <f>IFERROR(F9/E9,"")</f>
        <v>0.7</v>
      </c>
      <c r="H9" s="3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3">
      <c r="A10" s="13"/>
      <c r="B10" s="43" t="s">
        <v>187</v>
      </c>
      <c r="C10" s="44"/>
      <c r="D10" s="44"/>
      <c r="E10" s="12">
        <v>5</v>
      </c>
      <c r="F10" s="29">
        <v>3.5</v>
      </c>
      <c r="G10" s="36">
        <f t="shared" ref="G10:G65" si="0">IFERROR(F10/E10,"")</f>
        <v>0.7</v>
      </c>
      <c r="H10" s="37" t="str">
        <f t="shared" ref="H10:H65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3"/>
      <c r="B11" s="43" t="s">
        <v>188</v>
      </c>
      <c r="C11" s="44"/>
      <c r="D11" s="44"/>
      <c r="E11" s="12">
        <v>5</v>
      </c>
      <c r="F11" s="29">
        <v>3</v>
      </c>
      <c r="G11" s="36">
        <f t="shared" si="0"/>
        <v>0.6</v>
      </c>
      <c r="H11" s="37" t="str">
        <f t="shared" si="1"/>
        <v>مقبول</v>
      </c>
      <c r="I11" s="57"/>
      <c r="J11" s="58"/>
    </row>
    <row r="12" spans="1:10" ht="30" customHeight="1" thickBot="1" x14ac:dyDescent="0.35">
      <c r="A12" s="13"/>
      <c r="B12" s="45" t="s">
        <v>189</v>
      </c>
      <c r="C12" s="46"/>
      <c r="D12" s="46"/>
      <c r="E12" s="33">
        <v>5</v>
      </c>
      <c r="F12" s="31">
        <v>3.5</v>
      </c>
      <c r="G12" s="41">
        <f t="shared" si="0"/>
        <v>0.7</v>
      </c>
      <c r="H12" s="42" t="str">
        <f t="shared" si="1"/>
        <v>جيد</v>
      </c>
      <c r="I12" s="59"/>
      <c r="J12" s="60"/>
    </row>
    <row r="13" spans="1:10" ht="30" customHeight="1" x14ac:dyDescent="0.3">
      <c r="A13" s="13"/>
      <c r="B13" s="49" t="s">
        <v>181</v>
      </c>
      <c r="C13" s="50"/>
      <c r="D13" s="50"/>
      <c r="E13" s="32"/>
      <c r="F13" s="38"/>
      <c r="G13" s="39"/>
      <c r="H13" s="40"/>
      <c r="I13" s="51"/>
      <c r="J13" s="52"/>
    </row>
    <row r="14" spans="1:10" ht="30" customHeight="1" x14ac:dyDescent="0.3">
      <c r="A14" s="13"/>
      <c r="B14" s="43" t="s">
        <v>190</v>
      </c>
      <c r="C14" s="44"/>
      <c r="D14" s="44"/>
      <c r="E14" s="12">
        <v>0</v>
      </c>
      <c r="F14" s="29" t="s">
        <v>17</v>
      </c>
      <c r="G14" s="36" t="str">
        <f t="shared" si="0"/>
        <v/>
      </c>
      <c r="H14" s="37" t="str">
        <f t="shared" si="1"/>
        <v>تم الإلغاء</v>
      </c>
      <c r="I14" s="57"/>
      <c r="J14" s="58"/>
    </row>
    <row r="15" spans="1:10" ht="30" customHeight="1" x14ac:dyDescent="0.3">
      <c r="A15" s="13"/>
      <c r="B15" s="43" t="s">
        <v>191</v>
      </c>
      <c r="C15" s="44"/>
      <c r="D15" s="44"/>
      <c r="E15" s="12">
        <v>0</v>
      </c>
      <c r="F15" s="29" t="s">
        <v>17</v>
      </c>
      <c r="G15" s="36" t="str">
        <f t="shared" si="0"/>
        <v/>
      </c>
      <c r="H15" s="37" t="str">
        <f t="shared" si="1"/>
        <v>تم الإلغاء</v>
      </c>
      <c r="I15" s="57"/>
      <c r="J15" s="58"/>
    </row>
    <row r="16" spans="1:10" ht="30" customHeight="1" x14ac:dyDescent="0.3">
      <c r="A16" s="13"/>
      <c r="B16" s="43" t="s">
        <v>192</v>
      </c>
      <c r="C16" s="44"/>
      <c r="D16" s="44"/>
      <c r="E16" s="12">
        <v>0</v>
      </c>
      <c r="F16" s="29" t="s">
        <v>17</v>
      </c>
      <c r="G16" s="36" t="str">
        <f t="shared" si="0"/>
        <v/>
      </c>
      <c r="H16" s="37" t="str">
        <f t="shared" si="1"/>
        <v>تم الإلغاء</v>
      </c>
      <c r="I16" s="57"/>
      <c r="J16" s="58"/>
    </row>
    <row r="17" spans="1:10" ht="30" customHeight="1" thickBot="1" x14ac:dyDescent="0.35">
      <c r="A17" s="13"/>
      <c r="B17" s="45" t="s">
        <v>193</v>
      </c>
      <c r="C17" s="46"/>
      <c r="D17" s="46"/>
      <c r="E17" s="33">
        <v>0</v>
      </c>
      <c r="F17" s="31" t="s">
        <v>17</v>
      </c>
      <c r="G17" s="41" t="str">
        <f t="shared" si="0"/>
        <v/>
      </c>
      <c r="H17" s="42" t="str">
        <f t="shared" si="1"/>
        <v>تم الإلغاء</v>
      </c>
      <c r="I17" s="59"/>
      <c r="J17" s="60"/>
    </row>
    <row r="18" spans="1:10" ht="30" customHeight="1" x14ac:dyDescent="0.3">
      <c r="A18" s="13"/>
      <c r="B18" s="49" t="s">
        <v>182</v>
      </c>
      <c r="C18" s="50"/>
      <c r="D18" s="50"/>
      <c r="E18" s="32"/>
      <c r="F18" s="38"/>
      <c r="G18" s="39"/>
      <c r="H18" s="40"/>
      <c r="I18" s="51"/>
      <c r="J18" s="52"/>
    </row>
    <row r="19" spans="1:10" ht="30" customHeight="1" x14ac:dyDescent="0.3">
      <c r="A19" s="13"/>
      <c r="B19" s="43" t="s">
        <v>194</v>
      </c>
      <c r="C19" s="44"/>
      <c r="D19" s="44"/>
      <c r="E19" s="12">
        <v>5</v>
      </c>
      <c r="F19" s="29">
        <v>3.5</v>
      </c>
      <c r="G19" s="36">
        <f t="shared" si="0"/>
        <v>0.7</v>
      </c>
      <c r="H19" s="37" t="str">
        <f t="shared" si="1"/>
        <v>جيد</v>
      </c>
      <c r="I19" s="57"/>
      <c r="J19" s="58"/>
    </row>
    <row r="20" spans="1:10" ht="30" customHeight="1" x14ac:dyDescent="0.3">
      <c r="A20" s="13"/>
      <c r="B20" s="43" t="s">
        <v>195</v>
      </c>
      <c r="C20" s="44"/>
      <c r="D20" s="44"/>
      <c r="E20" s="12">
        <v>5</v>
      </c>
      <c r="F20" s="29">
        <v>3.75</v>
      </c>
      <c r="G20" s="36">
        <f t="shared" si="0"/>
        <v>0.75</v>
      </c>
      <c r="H20" s="37" t="str">
        <f t="shared" si="1"/>
        <v>جيد</v>
      </c>
      <c r="I20" s="57"/>
      <c r="J20" s="58"/>
    </row>
    <row r="21" spans="1:10" ht="30" customHeight="1" x14ac:dyDescent="0.3">
      <c r="A21" s="13"/>
      <c r="B21" s="43" t="s">
        <v>196</v>
      </c>
      <c r="C21" s="44"/>
      <c r="D21" s="44"/>
      <c r="E21" s="12">
        <v>5</v>
      </c>
      <c r="F21" s="29">
        <v>4</v>
      </c>
      <c r="G21" s="36">
        <f t="shared" si="0"/>
        <v>0.8</v>
      </c>
      <c r="H21" s="37" t="str">
        <f t="shared" si="1"/>
        <v>جيد جداً</v>
      </c>
      <c r="I21" s="57"/>
      <c r="J21" s="58"/>
    </row>
    <row r="22" spans="1:10" ht="30" customHeight="1" x14ac:dyDescent="0.3">
      <c r="A22" s="13"/>
      <c r="B22" s="43" t="s">
        <v>197</v>
      </c>
      <c r="C22" s="44"/>
      <c r="D22" s="44"/>
      <c r="E22" s="12">
        <v>5</v>
      </c>
      <c r="F22" s="29">
        <v>4</v>
      </c>
      <c r="G22" s="36">
        <f t="shared" si="0"/>
        <v>0.8</v>
      </c>
      <c r="H22" s="37" t="str">
        <f t="shared" si="1"/>
        <v>جيد جداً</v>
      </c>
      <c r="I22" s="57"/>
      <c r="J22" s="58"/>
    </row>
    <row r="23" spans="1:10" ht="30" customHeight="1" x14ac:dyDescent="0.3">
      <c r="A23" s="13"/>
      <c r="B23" s="43" t="s">
        <v>198</v>
      </c>
      <c r="C23" s="44"/>
      <c r="D23" s="44"/>
      <c r="E23" s="12">
        <v>5</v>
      </c>
      <c r="F23" s="29">
        <v>3.75</v>
      </c>
      <c r="G23" s="36">
        <f t="shared" si="0"/>
        <v>0.75</v>
      </c>
      <c r="H23" s="37" t="str">
        <f t="shared" si="1"/>
        <v>جيد</v>
      </c>
      <c r="I23" s="57"/>
      <c r="J23" s="58"/>
    </row>
    <row r="24" spans="1:10" ht="39.9" customHeight="1" x14ac:dyDescent="0.3">
      <c r="A24" s="13"/>
      <c r="B24" s="43" t="s">
        <v>199</v>
      </c>
      <c r="C24" s="44"/>
      <c r="D24" s="44"/>
      <c r="E24" s="12">
        <v>5</v>
      </c>
      <c r="F24" s="29">
        <v>3.75</v>
      </c>
      <c r="G24" s="36">
        <f t="shared" si="0"/>
        <v>0.75</v>
      </c>
      <c r="H24" s="37" t="str">
        <f t="shared" si="1"/>
        <v>جيد</v>
      </c>
      <c r="I24" s="57"/>
      <c r="J24" s="58"/>
    </row>
    <row r="25" spans="1:10" ht="30" customHeight="1" x14ac:dyDescent="0.3">
      <c r="A25" s="13"/>
      <c r="B25" s="43" t="s">
        <v>200</v>
      </c>
      <c r="C25" s="44"/>
      <c r="D25" s="44"/>
      <c r="E25" s="12">
        <v>5</v>
      </c>
      <c r="F25" s="29">
        <v>3.75</v>
      </c>
      <c r="G25" s="36">
        <f t="shared" si="0"/>
        <v>0.75</v>
      </c>
      <c r="H25" s="37" t="str">
        <f t="shared" si="1"/>
        <v>جيد</v>
      </c>
      <c r="I25" s="57"/>
      <c r="J25" s="58"/>
    </row>
    <row r="26" spans="1:10" ht="30" customHeight="1" x14ac:dyDescent="0.3">
      <c r="A26" s="13"/>
      <c r="B26" s="43" t="s">
        <v>201</v>
      </c>
      <c r="C26" s="44"/>
      <c r="D26" s="44"/>
      <c r="E26" s="12">
        <v>0</v>
      </c>
      <c r="F26" s="29" t="s">
        <v>17</v>
      </c>
      <c r="G26" s="36" t="str">
        <f t="shared" si="0"/>
        <v/>
      </c>
      <c r="H26" s="37" t="str">
        <f t="shared" si="1"/>
        <v>تم الإلغاء</v>
      </c>
      <c r="I26" s="57"/>
      <c r="J26" s="58"/>
    </row>
    <row r="27" spans="1:10" ht="30" customHeight="1" x14ac:dyDescent="0.3">
      <c r="A27" s="13"/>
      <c r="B27" s="43" t="s">
        <v>202</v>
      </c>
      <c r="C27" s="44"/>
      <c r="D27" s="44"/>
      <c r="E27" s="12">
        <v>5</v>
      </c>
      <c r="F27" s="29">
        <v>3.75</v>
      </c>
      <c r="G27" s="36">
        <f t="shared" si="0"/>
        <v>0.75</v>
      </c>
      <c r="H27" s="37" t="str">
        <f t="shared" si="1"/>
        <v>جيد</v>
      </c>
      <c r="I27" s="57"/>
      <c r="J27" s="58"/>
    </row>
    <row r="28" spans="1:10" ht="30" customHeight="1" x14ac:dyDescent="0.3">
      <c r="A28" s="13"/>
      <c r="B28" s="43" t="s">
        <v>203</v>
      </c>
      <c r="C28" s="44"/>
      <c r="D28" s="44"/>
      <c r="E28" s="12">
        <v>5</v>
      </c>
      <c r="F28" s="29">
        <v>3.75</v>
      </c>
      <c r="G28" s="36">
        <f t="shared" si="0"/>
        <v>0.75</v>
      </c>
      <c r="H28" s="37" t="str">
        <f t="shared" si="1"/>
        <v>جيد</v>
      </c>
      <c r="I28" s="57"/>
      <c r="J28" s="58"/>
    </row>
    <row r="29" spans="1:10" ht="30" customHeight="1" thickBot="1" x14ac:dyDescent="0.35">
      <c r="A29" s="13"/>
      <c r="B29" s="45" t="s">
        <v>204</v>
      </c>
      <c r="C29" s="46"/>
      <c r="D29" s="46"/>
      <c r="E29" s="33">
        <v>5</v>
      </c>
      <c r="F29" s="31">
        <v>3.75</v>
      </c>
      <c r="G29" s="41">
        <f t="shared" si="0"/>
        <v>0.75</v>
      </c>
      <c r="H29" s="42" t="str">
        <f t="shared" si="1"/>
        <v>جيد</v>
      </c>
      <c r="I29" s="59"/>
      <c r="J29" s="60"/>
    </row>
    <row r="30" spans="1:10" ht="30" customHeight="1" x14ac:dyDescent="0.3">
      <c r="A30" s="13"/>
      <c r="B30" s="49" t="s">
        <v>183</v>
      </c>
      <c r="C30" s="50"/>
      <c r="D30" s="50"/>
      <c r="E30" s="32"/>
      <c r="F30" s="38"/>
      <c r="G30" s="39"/>
      <c r="H30" s="40"/>
      <c r="I30" s="51"/>
      <c r="J30" s="52"/>
    </row>
    <row r="31" spans="1:10" ht="30" customHeight="1" x14ac:dyDescent="0.3">
      <c r="A31" s="13"/>
      <c r="B31" s="43" t="s">
        <v>205</v>
      </c>
      <c r="C31" s="44"/>
      <c r="D31" s="44"/>
      <c r="E31" s="12">
        <v>5</v>
      </c>
      <c r="F31" s="29">
        <v>3.75</v>
      </c>
      <c r="G31" s="36">
        <f t="shared" si="0"/>
        <v>0.75</v>
      </c>
      <c r="H31" s="37" t="str">
        <f t="shared" si="1"/>
        <v>جيد</v>
      </c>
      <c r="I31" s="57"/>
      <c r="J31" s="58"/>
    </row>
    <row r="32" spans="1:10" ht="30" customHeight="1" x14ac:dyDescent="0.3">
      <c r="A32" s="13"/>
      <c r="B32" s="43" t="s">
        <v>206</v>
      </c>
      <c r="C32" s="44"/>
      <c r="D32" s="44"/>
      <c r="E32" s="12">
        <v>0</v>
      </c>
      <c r="F32" s="29" t="s">
        <v>17</v>
      </c>
      <c r="G32" s="36" t="str">
        <f t="shared" si="0"/>
        <v/>
      </c>
      <c r="H32" s="37" t="str">
        <f t="shared" si="1"/>
        <v>تم الإلغاء</v>
      </c>
      <c r="I32" s="57"/>
      <c r="J32" s="58"/>
    </row>
    <row r="33" spans="1:10" ht="39.9" customHeight="1" x14ac:dyDescent="0.3">
      <c r="A33" s="13"/>
      <c r="B33" s="43" t="s">
        <v>207</v>
      </c>
      <c r="C33" s="44"/>
      <c r="D33" s="44"/>
      <c r="E33" s="12">
        <v>5</v>
      </c>
      <c r="F33" s="29">
        <v>3.75</v>
      </c>
      <c r="G33" s="36">
        <f t="shared" si="0"/>
        <v>0.75</v>
      </c>
      <c r="H33" s="37" t="str">
        <f t="shared" si="1"/>
        <v>جيد</v>
      </c>
      <c r="I33" s="57"/>
      <c r="J33" s="58"/>
    </row>
    <row r="34" spans="1:10" ht="30" customHeight="1" x14ac:dyDescent="0.3">
      <c r="A34" s="13"/>
      <c r="B34" s="43" t="s">
        <v>208</v>
      </c>
      <c r="C34" s="44"/>
      <c r="D34" s="44"/>
      <c r="E34" s="12">
        <v>5</v>
      </c>
      <c r="F34" s="29">
        <v>4</v>
      </c>
      <c r="G34" s="36">
        <f t="shared" si="0"/>
        <v>0.8</v>
      </c>
      <c r="H34" s="37" t="str">
        <f t="shared" si="1"/>
        <v>جيد جداً</v>
      </c>
      <c r="I34" s="57"/>
      <c r="J34" s="58"/>
    </row>
    <row r="35" spans="1:10" ht="30" customHeight="1" x14ac:dyDescent="0.3">
      <c r="A35" s="13"/>
      <c r="B35" s="43" t="s">
        <v>209</v>
      </c>
      <c r="C35" s="44"/>
      <c r="D35" s="44"/>
      <c r="E35" s="12">
        <v>5</v>
      </c>
      <c r="F35" s="29">
        <v>3.75</v>
      </c>
      <c r="G35" s="36">
        <f t="shared" si="0"/>
        <v>0.75</v>
      </c>
      <c r="H35" s="37" t="str">
        <f t="shared" si="1"/>
        <v>جيد</v>
      </c>
      <c r="I35" s="57"/>
      <c r="J35" s="58"/>
    </row>
    <row r="36" spans="1:10" ht="30" customHeight="1" x14ac:dyDescent="0.3">
      <c r="A36" s="13"/>
      <c r="B36" s="43" t="s">
        <v>210</v>
      </c>
      <c r="C36" s="44"/>
      <c r="D36" s="44"/>
      <c r="E36" s="12">
        <v>5</v>
      </c>
      <c r="F36" s="29">
        <v>3.5</v>
      </c>
      <c r="G36" s="36">
        <f t="shared" si="0"/>
        <v>0.7</v>
      </c>
      <c r="H36" s="37" t="str">
        <f t="shared" si="1"/>
        <v>جيد</v>
      </c>
      <c r="I36" s="57"/>
      <c r="J36" s="58"/>
    </row>
    <row r="37" spans="1:10" ht="30" customHeight="1" x14ac:dyDescent="0.3">
      <c r="A37" s="13"/>
      <c r="B37" s="43" t="s">
        <v>211</v>
      </c>
      <c r="C37" s="44"/>
      <c r="D37" s="44"/>
      <c r="E37" s="12">
        <v>5</v>
      </c>
      <c r="F37" s="29">
        <v>3.75</v>
      </c>
      <c r="G37" s="36">
        <f t="shared" si="0"/>
        <v>0.75</v>
      </c>
      <c r="H37" s="37" t="str">
        <f t="shared" si="1"/>
        <v>جيد</v>
      </c>
      <c r="I37" s="57"/>
      <c r="J37" s="58"/>
    </row>
    <row r="38" spans="1:10" ht="30" customHeight="1" x14ac:dyDescent="0.3">
      <c r="A38" s="13"/>
      <c r="B38" s="43" t="s">
        <v>212</v>
      </c>
      <c r="C38" s="44"/>
      <c r="D38" s="44"/>
      <c r="E38" s="12">
        <v>5</v>
      </c>
      <c r="F38" s="29">
        <v>3.5</v>
      </c>
      <c r="G38" s="36">
        <f t="shared" si="0"/>
        <v>0.7</v>
      </c>
      <c r="H38" s="37" t="str">
        <f t="shared" si="1"/>
        <v>جيد</v>
      </c>
      <c r="I38" s="57"/>
      <c r="J38" s="58"/>
    </row>
    <row r="39" spans="1:10" ht="30" customHeight="1" x14ac:dyDescent="0.3">
      <c r="A39" s="13"/>
      <c r="B39" s="43" t="s">
        <v>213</v>
      </c>
      <c r="C39" s="44"/>
      <c r="D39" s="44"/>
      <c r="E39" s="12">
        <v>5</v>
      </c>
      <c r="F39" s="29">
        <v>3.75</v>
      </c>
      <c r="G39" s="36">
        <f t="shared" si="0"/>
        <v>0.75</v>
      </c>
      <c r="H39" s="37" t="str">
        <f t="shared" si="1"/>
        <v>جيد</v>
      </c>
      <c r="I39" s="57"/>
      <c r="J39" s="58"/>
    </row>
    <row r="40" spans="1:10" ht="30" customHeight="1" x14ac:dyDescent="0.3">
      <c r="A40" s="13"/>
      <c r="B40" s="43" t="s">
        <v>214</v>
      </c>
      <c r="C40" s="44"/>
      <c r="D40" s="44"/>
      <c r="E40" s="12">
        <v>5</v>
      </c>
      <c r="F40" s="29">
        <v>3.5</v>
      </c>
      <c r="G40" s="36">
        <f t="shared" si="0"/>
        <v>0.7</v>
      </c>
      <c r="H40" s="37" t="str">
        <f t="shared" si="1"/>
        <v>جيد</v>
      </c>
      <c r="I40" s="57"/>
      <c r="J40" s="58"/>
    </row>
    <row r="41" spans="1:10" ht="30" customHeight="1" x14ac:dyDescent="0.3">
      <c r="A41" s="13"/>
      <c r="B41" s="43" t="s">
        <v>215</v>
      </c>
      <c r="C41" s="44"/>
      <c r="D41" s="44"/>
      <c r="E41" s="12">
        <v>5</v>
      </c>
      <c r="F41" s="29">
        <v>3.5</v>
      </c>
      <c r="G41" s="36">
        <f t="shared" si="0"/>
        <v>0.7</v>
      </c>
      <c r="H41" s="37" t="str">
        <f t="shared" si="1"/>
        <v>جيد</v>
      </c>
      <c r="I41" s="57"/>
      <c r="J41" s="58"/>
    </row>
    <row r="42" spans="1:10" ht="30" customHeight="1" x14ac:dyDescent="0.3">
      <c r="A42" s="13"/>
      <c r="B42" s="43" t="s">
        <v>216</v>
      </c>
      <c r="C42" s="44"/>
      <c r="D42" s="44"/>
      <c r="E42" s="12">
        <v>5</v>
      </c>
      <c r="F42" s="29">
        <v>3.5</v>
      </c>
      <c r="G42" s="36">
        <f t="shared" si="0"/>
        <v>0.7</v>
      </c>
      <c r="H42" s="37" t="str">
        <f t="shared" si="1"/>
        <v>جيد</v>
      </c>
      <c r="I42" s="57"/>
      <c r="J42" s="58"/>
    </row>
    <row r="43" spans="1:10" ht="30" customHeight="1" thickBot="1" x14ac:dyDescent="0.35">
      <c r="A43" s="13"/>
      <c r="B43" s="45" t="s">
        <v>217</v>
      </c>
      <c r="C43" s="46"/>
      <c r="D43" s="46"/>
      <c r="E43" s="33">
        <v>5</v>
      </c>
      <c r="F43" s="31">
        <v>3.5</v>
      </c>
      <c r="G43" s="41">
        <f t="shared" si="0"/>
        <v>0.7</v>
      </c>
      <c r="H43" s="42" t="str">
        <f t="shared" si="1"/>
        <v>جيد</v>
      </c>
      <c r="I43" s="59"/>
      <c r="J43" s="60"/>
    </row>
    <row r="44" spans="1:10" ht="30" customHeight="1" x14ac:dyDescent="0.3">
      <c r="A44" s="13"/>
      <c r="B44" s="49" t="s">
        <v>184</v>
      </c>
      <c r="C44" s="50"/>
      <c r="D44" s="50"/>
      <c r="E44" s="32"/>
      <c r="F44" s="38"/>
      <c r="G44" s="39"/>
      <c r="H44" s="40"/>
      <c r="I44" s="51"/>
      <c r="J44" s="52"/>
    </row>
    <row r="45" spans="1:10" ht="39.9" customHeight="1" x14ac:dyDescent="0.3">
      <c r="A45" s="13"/>
      <c r="B45" s="43" t="s">
        <v>218</v>
      </c>
      <c r="C45" s="44"/>
      <c r="D45" s="44"/>
      <c r="E45" s="12">
        <v>5</v>
      </c>
      <c r="F45" s="29">
        <v>3.5</v>
      </c>
      <c r="G45" s="36">
        <f t="shared" si="0"/>
        <v>0.7</v>
      </c>
      <c r="H45" s="37" t="str">
        <f t="shared" si="1"/>
        <v>جيد</v>
      </c>
      <c r="I45" s="57"/>
      <c r="J45" s="58"/>
    </row>
    <row r="46" spans="1:10" ht="39.9" customHeight="1" x14ac:dyDescent="0.3">
      <c r="A46" s="13"/>
      <c r="B46" s="43" t="s">
        <v>219</v>
      </c>
      <c r="C46" s="44"/>
      <c r="D46" s="44"/>
      <c r="E46" s="12">
        <v>5</v>
      </c>
      <c r="F46" s="29">
        <v>3.5</v>
      </c>
      <c r="G46" s="36">
        <f t="shared" si="0"/>
        <v>0.7</v>
      </c>
      <c r="H46" s="37" t="str">
        <f t="shared" si="1"/>
        <v>جيد</v>
      </c>
      <c r="I46" s="57"/>
      <c r="J46" s="58"/>
    </row>
    <row r="47" spans="1:10" ht="30" customHeight="1" x14ac:dyDescent="0.3">
      <c r="A47" s="13"/>
      <c r="B47" s="43" t="s">
        <v>220</v>
      </c>
      <c r="C47" s="44"/>
      <c r="D47" s="44"/>
      <c r="E47" s="12">
        <v>5</v>
      </c>
      <c r="F47" s="29">
        <v>3.5</v>
      </c>
      <c r="G47" s="36">
        <f t="shared" si="0"/>
        <v>0.7</v>
      </c>
      <c r="H47" s="37" t="str">
        <f t="shared" si="1"/>
        <v>جيد</v>
      </c>
      <c r="I47" s="57"/>
      <c r="J47" s="58"/>
    </row>
    <row r="48" spans="1:10" ht="30" customHeight="1" x14ac:dyDescent="0.3">
      <c r="A48" s="13"/>
      <c r="B48" s="43" t="s">
        <v>221</v>
      </c>
      <c r="C48" s="44"/>
      <c r="D48" s="44"/>
      <c r="E48" s="12">
        <v>5</v>
      </c>
      <c r="F48" s="29">
        <v>4</v>
      </c>
      <c r="G48" s="36">
        <f t="shared" si="0"/>
        <v>0.8</v>
      </c>
      <c r="H48" s="37" t="str">
        <f t="shared" si="1"/>
        <v>جيد جداً</v>
      </c>
      <c r="I48" s="57"/>
      <c r="J48" s="58"/>
    </row>
    <row r="49" spans="1:10" ht="30" customHeight="1" x14ac:dyDescent="0.3">
      <c r="A49" s="13"/>
      <c r="B49" s="43" t="s">
        <v>222</v>
      </c>
      <c r="C49" s="44"/>
      <c r="D49" s="44"/>
      <c r="E49" s="12">
        <v>5</v>
      </c>
      <c r="F49" s="29">
        <v>3.5</v>
      </c>
      <c r="G49" s="36">
        <f t="shared" si="0"/>
        <v>0.7</v>
      </c>
      <c r="H49" s="37" t="str">
        <f t="shared" si="1"/>
        <v>جيد</v>
      </c>
      <c r="I49" s="57"/>
      <c r="J49" s="58"/>
    </row>
    <row r="50" spans="1:10" ht="30" customHeight="1" x14ac:dyDescent="0.3">
      <c r="A50" s="13"/>
      <c r="B50" s="43" t="s">
        <v>223</v>
      </c>
      <c r="C50" s="44"/>
      <c r="D50" s="44"/>
      <c r="E50" s="12">
        <v>5</v>
      </c>
      <c r="F50" s="29">
        <v>3.5</v>
      </c>
      <c r="G50" s="36">
        <f t="shared" si="0"/>
        <v>0.7</v>
      </c>
      <c r="H50" s="37" t="str">
        <f t="shared" si="1"/>
        <v>جيد</v>
      </c>
      <c r="I50" s="57"/>
      <c r="J50" s="58"/>
    </row>
    <row r="51" spans="1:10" ht="30" customHeight="1" x14ac:dyDescent="0.3">
      <c r="A51" s="13"/>
      <c r="B51" s="43" t="s">
        <v>224</v>
      </c>
      <c r="C51" s="44"/>
      <c r="D51" s="44"/>
      <c r="E51" s="12">
        <v>5</v>
      </c>
      <c r="F51" s="29">
        <v>3.5</v>
      </c>
      <c r="G51" s="36">
        <f t="shared" si="0"/>
        <v>0.7</v>
      </c>
      <c r="H51" s="37" t="str">
        <f t="shared" si="1"/>
        <v>جيد</v>
      </c>
      <c r="I51" s="57"/>
      <c r="J51" s="58"/>
    </row>
    <row r="52" spans="1:10" ht="30" customHeight="1" x14ac:dyDescent="0.3">
      <c r="A52" s="13"/>
      <c r="B52" s="43" t="s">
        <v>225</v>
      </c>
      <c r="C52" s="44"/>
      <c r="D52" s="44"/>
      <c r="E52" s="12">
        <v>5</v>
      </c>
      <c r="F52" s="29">
        <v>3.5</v>
      </c>
      <c r="G52" s="36">
        <f t="shared" si="0"/>
        <v>0.7</v>
      </c>
      <c r="H52" s="37" t="str">
        <f t="shared" si="1"/>
        <v>جيد</v>
      </c>
      <c r="I52" s="57"/>
      <c r="J52" s="58"/>
    </row>
    <row r="53" spans="1:10" ht="39.9" customHeight="1" x14ac:dyDescent="0.3">
      <c r="A53" s="13"/>
      <c r="B53" s="43" t="s">
        <v>226</v>
      </c>
      <c r="C53" s="44"/>
      <c r="D53" s="44"/>
      <c r="E53" s="12">
        <v>5</v>
      </c>
      <c r="F53" s="29">
        <v>3.75</v>
      </c>
      <c r="G53" s="36">
        <f t="shared" si="0"/>
        <v>0.75</v>
      </c>
      <c r="H53" s="37" t="str">
        <f t="shared" si="1"/>
        <v>جيد</v>
      </c>
      <c r="I53" s="57"/>
      <c r="J53" s="58"/>
    </row>
    <row r="54" spans="1:10" ht="30" customHeight="1" x14ac:dyDescent="0.3">
      <c r="A54" s="13"/>
      <c r="B54" s="43" t="s">
        <v>227</v>
      </c>
      <c r="C54" s="44"/>
      <c r="D54" s="44"/>
      <c r="E54" s="12">
        <v>5</v>
      </c>
      <c r="F54" s="29">
        <v>3.5</v>
      </c>
      <c r="G54" s="36">
        <f t="shared" si="0"/>
        <v>0.7</v>
      </c>
      <c r="H54" s="37" t="str">
        <f t="shared" si="1"/>
        <v>جيد</v>
      </c>
      <c r="I54" s="57"/>
      <c r="J54" s="58"/>
    </row>
    <row r="55" spans="1:10" ht="30" customHeight="1" x14ac:dyDescent="0.3">
      <c r="A55" s="13"/>
      <c r="B55" s="43" t="s">
        <v>228</v>
      </c>
      <c r="C55" s="44"/>
      <c r="D55" s="44"/>
      <c r="E55" s="12">
        <v>5</v>
      </c>
      <c r="F55" s="29">
        <v>3.5</v>
      </c>
      <c r="G55" s="36">
        <f t="shared" si="0"/>
        <v>0.7</v>
      </c>
      <c r="H55" s="37" t="str">
        <f t="shared" si="1"/>
        <v>جيد</v>
      </c>
      <c r="I55" s="57"/>
      <c r="J55" s="58"/>
    </row>
    <row r="56" spans="1:10" ht="39.9" customHeight="1" x14ac:dyDescent="0.3">
      <c r="A56" s="13"/>
      <c r="B56" s="43" t="s">
        <v>229</v>
      </c>
      <c r="C56" s="44"/>
      <c r="D56" s="44"/>
      <c r="E56" s="12">
        <v>5</v>
      </c>
      <c r="F56" s="29">
        <v>3.5</v>
      </c>
      <c r="G56" s="36">
        <f t="shared" si="0"/>
        <v>0.7</v>
      </c>
      <c r="H56" s="37" t="str">
        <f t="shared" si="1"/>
        <v>جيد</v>
      </c>
      <c r="I56" s="57"/>
      <c r="J56" s="58"/>
    </row>
    <row r="57" spans="1:10" ht="30" customHeight="1" thickBot="1" x14ac:dyDescent="0.35">
      <c r="A57" s="13"/>
      <c r="B57" s="45" t="s">
        <v>230</v>
      </c>
      <c r="C57" s="46"/>
      <c r="D57" s="46"/>
      <c r="E57" s="33">
        <v>5</v>
      </c>
      <c r="F57" s="31">
        <v>3.75</v>
      </c>
      <c r="G57" s="41">
        <f t="shared" si="0"/>
        <v>0.75</v>
      </c>
      <c r="H57" s="42" t="str">
        <f t="shared" si="1"/>
        <v>جيد</v>
      </c>
      <c r="I57" s="59"/>
      <c r="J57" s="60"/>
    </row>
    <row r="58" spans="1:10" ht="30" customHeight="1" x14ac:dyDescent="0.3">
      <c r="A58" s="13"/>
      <c r="B58" s="47" t="s">
        <v>185</v>
      </c>
      <c r="C58" s="48"/>
      <c r="D58" s="48"/>
      <c r="E58" s="10"/>
      <c r="F58" s="30"/>
      <c r="G58" s="11"/>
      <c r="H58" s="9"/>
      <c r="I58" s="61"/>
      <c r="J58" s="62"/>
    </row>
    <row r="59" spans="1:10" ht="30" customHeight="1" x14ac:dyDescent="0.3">
      <c r="A59" s="13"/>
      <c r="B59" s="43" t="s">
        <v>231</v>
      </c>
      <c r="C59" s="44"/>
      <c r="D59" s="44"/>
      <c r="E59" s="12">
        <v>5</v>
      </c>
      <c r="F59" s="29">
        <v>3.5</v>
      </c>
      <c r="G59" s="36">
        <f t="shared" si="0"/>
        <v>0.7</v>
      </c>
      <c r="H59" s="37" t="str">
        <f t="shared" si="1"/>
        <v>جيد</v>
      </c>
      <c r="I59" s="57"/>
      <c r="J59" s="58"/>
    </row>
    <row r="60" spans="1:10" ht="39.9" customHeight="1" x14ac:dyDescent="0.3">
      <c r="A60" s="13"/>
      <c r="B60" s="43" t="s">
        <v>232</v>
      </c>
      <c r="C60" s="44"/>
      <c r="D60" s="44"/>
      <c r="E60" s="12">
        <v>5</v>
      </c>
      <c r="F60" s="29">
        <v>3.75</v>
      </c>
      <c r="G60" s="36">
        <f t="shared" si="0"/>
        <v>0.75</v>
      </c>
      <c r="H60" s="37" t="str">
        <f t="shared" si="1"/>
        <v>جيد</v>
      </c>
      <c r="I60" s="57"/>
      <c r="J60" s="58"/>
    </row>
    <row r="61" spans="1:10" ht="30" customHeight="1" x14ac:dyDescent="0.3">
      <c r="A61" s="13"/>
      <c r="B61" s="43" t="s">
        <v>233</v>
      </c>
      <c r="C61" s="44"/>
      <c r="D61" s="44"/>
      <c r="E61" s="12">
        <v>5</v>
      </c>
      <c r="F61" s="29">
        <v>3.5</v>
      </c>
      <c r="G61" s="36">
        <f t="shared" si="0"/>
        <v>0.7</v>
      </c>
      <c r="H61" s="37" t="str">
        <f t="shared" si="1"/>
        <v>جيد</v>
      </c>
      <c r="I61" s="57"/>
      <c r="J61" s="58"/>
    </row>
    <row r="62" spans="1:10" ht="30" customHeight="1" x14ac:dyDescent="0.3">
      <c r="A62" s="13"/>
      <c r="B62" s="43" t="s">
        <v>234</v>
      </c>
      <c r="C62" s="44"/>
      <c r="D62" s="44"/>
      <c r="E62" s="12">
        <v>5</v>
      </c>
      <c r="F62" s="29">
        <v>3.75</v>
      </c>
      <c r="G62" s="36">
        <f t="shared" si="0"/>
        <v>0.75</v>
      </c>
      <c r="H62" s="37" t="str">
        <f t="shared" si="1"/>
        <v>جيد</v>
      </c>
      <c r="I62" s="57"/>
      <c r="J62" s="58"/>
    </row>
    <row r="63" spans="1:10" ht="30" customHeight="1" x14ac:dyDescent="0.3">
      <c r="A63" s="13"/>
      <c r="B63" s="43" t="s">
        <v>235</v>
      </c>
      <c r="C63" s="44"/>
      <c r="D63" s="44"/>
      <c r="E63" s="12">
        <v>5</v>
      </c>
      <c r="F63" s="29">
        <v>3.75</v>
      </c>
      <c r="G63" s="36">
        <f t="shared" si="0"/>
        <v>0.75</v>
      </c>
      <c r="H63" s="37" t="str">
        <f t="shared" si="1"/>
        <v>جيد</v>
      </c>
      <c r="I63" s="57"/>
      <c r="J63" s="58"/>
    </row>
    <row r="64" spans="1:10" ht="30" customHeight="1" x14ac:dyDescent="0.3">
      <c r="A64" s="13"/>
      <c r="B64" s="43" t="s">
        <v>236</v>
      </c>
      <c r="C64" s="44"/>
      <c r="D64" s="44"/>
      <c r="E64" s="12">
        <v>5</v>
      </c>
      <c r="F64" s="29">
        <v>4</v>
      </c>
      <c r="G64" s="36">
        <f t="shared" si="0"/>
        <v>0.8</v>
      </c>
      <c r="H64" s="37" t="str">
        <f t="shared" si="1"/>
        <v>جيد جداً</v>
      </c>
      <c r="I64" s="57"/>
      <c r="J64" s="58"/>
    </row>
    <row r="65" spans="1:10" ht="30" customHeight="1" thickBot="1" x14ac:dyDescent="0.35">
      <c r="A65" s="13"/>
      <c r="B65" s="45" t="s">
        <v>237</v>
      </c>
      <c r="C65" s="46"/>
      <c r="D65" s="46"/>
      <c r="E65" s="33">
        <v>5</v>
      </c>
      <c r="F65" s="31">
        <v>4</v>
      </c>
      <c r="G65" s="41">
        <f t="shared" si="0"/>
        <v>0.8</v>
      </c>
      <c r="H65" s="42" t="str">
        <f t="shared" si="1"/>
        <v>جيد جداً</v>
      </c>
      <c r="I65" s="59"/>
      <c r="J65" s="60"/>
    </row>
    <row r="66" spans="1:10" ht="30" customHeight="1" thickBot="1" x14ac:dyDescent="0.35">
      <c r="A66" s="4"/>
      <c r="B66" s="53" t="s">
        <v>5</v>
      </c>
      <c r="C66" s="54"/>
      <c r="D66" s="54"/>
      <c r="E66" s="35">
        <f>SUM(E8:E65)</f>
        <v>230</v>
      </c>
      <c r="F66" s="35">
        <f>SUM(F8:F65)</f>
        <v>167.75</v>
      </c>
      <c r="G66" s="71"/>
      <c r="H66" s="72"/>
      <c r="I66" s="72"/>
      <c r="J66" s="73"/>
    </row>
    <row r="67" spans="1:10" ht="30" customHeight="1" thickBot="1" x14ac:dyDescent="0.35">
      <c r="A67" s="4"/>
      <c r="B67" s="55" t="s">
        <v>54</v>
      </c>
      <c r="C67" s="56"/>
      <c r="D67" s="56"/>
      <c r="E67" s="81">
        <f>F66/E66/100*100</f>
        <v>0.72934782608695647</v>
      </c>
      <c r="F67" s="81"/>
      <c r="G67" s="81"/>
      <c r="H67" s="81"/>
      <c r="I67" s="81"/>
      <c r="J67" s="82"/>
    </row>
    <row r="68" spans="1:10" ht="30" customHeight="1" thickBot="1" x14ac:dyDescent="0.35">
      <c r="A68" s="4"/>
      <c r="B68" s="55" t="s">
        <v>55</v>
      </c>
      <c r="C68" s="56"/>
      <c r="D68" s="56"/>
      <c r="E68" s="67" t="str">
        <f>_xlfn.IFS(E67&gt;=90%,"ممتاز",E67&gt;=80%,"جيد جداً",E67&gt;=70%,"جيد",E67&gt;=60%,"مقبول",E67&lt;60%,"راسب")</f>
        <v>جيد</v>
      </c>
      <c r="F68" s="67"/>
      <c r="G68" s="67"/>
      <c r="H68" s="67"/>
      <c r="I68" s="67"/>
      <c r="J68" s="68"/>
    </row>
    <row r="69" spans="1:10" ht="42" customHeight="1" x14ac:dyDescent="0.3">
      <c r="B69" s="63" t="s">
        <v>174</v>
      </c>
      <c r="C69" s="63"/>
      <c r="D69" s="63"/>
      <c r="E69" s="69" t="s">
        <v>52</v>
      </c>
      <c r="F69" s="69"/>
      <c r="G69" s="65" t="s">
        <v>136</v>
      </c>
      <c r="H69" s="65"/>
      <c r="I69" s="65"/>
      <c r="J69" s="65"/>
    </row>
    <row r="70" spans="1:10" ht="51" customHeight="1" x14ac:dyDescent="0.3">
      <c r="A70" s="5"/>
      <c r="B70" s="64"/>
      <c r="C70" s="64"/>
      <c r="D70" s="64"/>
      <c r="E70" s="70" t="s">
        <v>53</v>
      </c>
      <c r="F70" s="70"/>
      <c r="G70" s="66"/>
      <c r="H70" s="66"/>
      <c r="I70" s="66"/>
      <c r="J70" s="66"/>
    </row>
  </sheetData>
  <sheetProtection formatCells="0" formatColumns="0" formatRows="0" insertColumns="0" insertRows="0" insertHyperlinks="0" deleteColumns="0" deleteRows="0" selectLockedCells="1" sort="0" autoFilter="0" pivotTables="0"/>
  <mergeCells count="137">
    <mergeCell ref="I63:J63"/>
    <mergeCell ref="I64:J64"/>
    <mergeCell ref="I65:J65"/>
    <mergeCell ref="E69:F69"/>
    <mergeCell ref="E70:F70"/>
    <mergeCell ref="G66:J66"/>
    <mergeCell ref="I9:J9"/>
    <mergeCell ref="B1:J1"/>
    <mergeCell ref="F2:J2"/>
    <mergeCell ref="B5:D6"/>
    <mergeCell ref="C2:D2"/>
    <mergeCell ref="C3:D3"/>
    <mergeCell ref="F3:J3"/>
    <mergeCell ref="E67:J6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9:D70"/>
    <mergeCell ref="G69:J69"/>
    <mergeCell ref="G70:J70"/>
    <mergeCell ref="E68:J6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8:J8"/>
    <mergeCell ref="B66:D66"/>
    <mergeCell ref="B67:D67"/>
    <mergeCell ref="B68:D6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2:D62"/>
    <mergeCell ref="B63:D63"/>
    <mergeCell ref="B64:D64"/>
    <mergeCell ref="B65:D65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8">
    <cfRule type="expression" dxfId="14" priority="57">
      <formula>$E68="راسب"</formula>
    </cfRule>
  </conditionalFormatting>
  <conditionalFormatting sqref="E68:J68">
    <cfRule type="expression" dxfId="13" priority="58">
      <formula>$E68="مقبول"</formula>
    </cfRule>
    <cfRule type="expression" dxfId="12" priority="59">
      <formula>$E68="جيد"</formula>
    </cfRule>
    <cfRule type="expression" dxfId="11" priority="60">
      <formula>$E68="جيد جداً"</formula>
    </cfRule>
    <cfRule type="expression" dxfId="10" priority="61">
      <formula>$E68="ممتاز"</formula>
    </cfRule>
  </conditionalFormatting>
  <conditionalFormatting sqref="F8:F6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9:J69">
    <cfRule type="containsText" dxfId="6" priority="15" operator="containsText" text="أدخل اسم المحكم">
      <formula>NOT(ISERROR(SEARCH("أدخل اسم المحكم",G69)))</formula>
    </cfRule>
  </conditionalFormatting>
  <conditionalFormatting sqref="H8:H6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F59:F65 F45:F57 F31:F43 F19:F29 F14:F17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G69:J69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2" t="s">
        <v>62</v>
      </c>
    </row>
    <row r="3" spans="1:3" ht="20.100000000000001" customHeight="1" thickBot="1" x14ac:dyDescent="0.35">
      <c r="A3" s="2" t="s">
        <v>26</v>
      </c>
      <c r="C3" s="22" t="s">
        <v>63</v>
      </c>
    </row>
    <row r="4" spans="1:3" ht="20.100000000000001" customHeight="1" thickBot="1" x14ac:dyDescent="0.35">
      <c r="A4" s="2" t="s">
        <v>36</v>
      </c>
      <c r="C4" s="22" t="s">
        <v>64</v>
      </c>
    </row>
    <row r="5" spans="1:3" ht="20.100000000000001" customHeight="1" thickBot="1" x14ac:dyDescent="0.35">
      <c r="A5" s="2" t="s">
        <v>37</v>
      </c>
      <c r="C5" s="22" t="s">
        <v>65</v>
      </c>
    </row>
    <row r="6" spans="1:3" ht="20.100000000000001" customHeight="1" thickBot="1" x14ac:dyDescent="0.35">
      <c r="A6" s="2" t="s">
        <v>38</v>
      </c>
      <c r="C6" s="22" t="s">
        <v>66</v>
      </c>
    </row>
    <row r="7" spans="1:3" ht="20.100000000000001" customHeight="1" thickBot="1" x14ac:dyDescent="0.35">
      <c r="A7" s="2" t="s">
        <v>39</v>
      </c>
      <c r="C7" s="22" t="s">
        <v>67</v>
      </c>
    </row>
    <row r="8" spans="1:3" ht="20.100000000000001" customHeight="1" thickBot="1" x14ac:dyDescent="0.35">
      <c r="A8" s="2" t="s">
        <v>40</v>
      </c>
      <c r="C8" s="22" t="s">
        <v>68</v>
      </c>
    </row>
    <row r="9" spans="1:3" ht="20.100000000000001" customHeight="1" thickBot="1" x14ac:dyDescent="0.35">
      <c r="A9" s="2" t="s">
        <v>41</v>
      </c>
      <c r="C9" s="22" t="s">
        <v>69</v>
      </c>
    </row>
    <row r="10" spans="1:3" ht="20.100000000000001" customHeight="1" thickBot="1" x14ac:dyDescent="0.35">
      <c r="A10" s="2" t="s">
        <v>42</v>
      </c>
      <c r="C10" s="22" t="s">
        <v>70</v>
      </c>
    </row>
    <row r="11" spans="1:3" ht="20.100000000000001" customHeight="1" thickBot="1" x14ac:dyDescent="0.35">
      <c r="A11" s="2" t="s">
        <v>43</v>
      </c>
      <c r="C11" s="22" t="s">
        <v>71</v>
      </c>
    </row>
    <row r="12" spans="1:3" ht="20.100000000000001" customHeight="1" thickBot="1" x14ac:dyDescent="0.35">
      <c r="A12" s="2" t="s">
        <v>44</v>
      </c>
      <c r="C12" s="22" t="s">
        <v>72</v>
      </c>
    </row>
    <row r="13" spans="1:3" ht="20.100000000000001" customHeight="1" thickBot="1" x14ac:dyDescent="0.35">
      <c r="A13" s="2" t="s">
        <v>45</v>
      </c>
      <c r="C13" s="22" t="s">
        <v>73</v>
      </c>
    </row>
    <row r="14" spans="1:3" ht="20.100000000000001" customHeight="1" thickBot="1" x14ac:dyDescent="0.35">
      <c r="A14" s="2" t="s">
        <v>46</v>
      </c>
      <c r="C14" s="22" t="s">
        <v>74</v>
      </c>
    </row>
    <row r="15" spans="1:3" ht="20.100000000000001" customHeight="1" thickBot="1" x14ac:dyDescent="0.35">
      <c r="A15" s="2" t="s">
        <v>47</v>
      </c>
      <c r="C15" s="22" t="s">
        <v>75</v>
      </c>
    </row>
    <row r="16" spans="1:3" ht="20.100000000000001" customHeight="1" thickBot="1" x14ac:dyDescent="0.35">
      <c r="A16" s="2" t="s">
        <v>10</v>
      </c>
      <c r="C16" s="22" t="s">
        <v>76</v>
      </c>
    </row>
    <row r="17" spans="1:3" ht="20.100000000000001" customHeight="1" thickBot="1" x14ac:dyDescent="0.35">
      <c r="A17" s="2" t="s">
        <v>27</v>
      </c>
      <c r="C17" s="22" t="s">
        <v>77</v>
      </c>
    </row>
    <row r="18" spans="1:3" ht="20.100000000000001" customHeight="1" thickBot="1" x14ac:dyDescent="0.35">
      <c r="A18" s="2" t="s">
        <v>48</v>
      </c>
      <c r="C18" s="22" t="s">
        <v>78</v>
      </c>
    </row>
    <row r="19" spans="1:3" ht="20.100000000000001" customHeight="1" thickBot="1" x14ac:dyDescent="0.35">
      <c r="A19" s="2" t="s">
        <v>49</v>
      </c>
      <c r="C19" s="22" t="s">
        <v>79</v>
      </c>
    </row>
    <row r="20" spans="1:3" ht="20.100000000000001" customHeight="1" thickBot="1" x14ac:dyDescent="0.35">
      <c r="A20" s="2" t="s">
        <v>50</v>
      </c>
      <c r="C20" s="22" t="s">
        <v>80</v>
      </c>
    </row>
    <row r="21" spans="1:3" ht="20.100000000000001" customHeight="1" thickBot="1" x14ac:dyDescent="0.35">
      <c r="A21" s="2" t="s">
        <v>51</v>
      </c>
      <c r="C21" s="22" t="s">
        <v>81</v>
      </c>
    </row>
    <row r="22" spans="1:3" ht="20.100000000000001" customHeight="1" thickBot="1" x14ac:dyDescent="0.35">
      <c r="A22" s="2" t="s">
        <v>11</v>
      </c>
      <c r="C22" s="22" t="s">
        <v>82</v>
      </c>
    </row>
    <row r="23" spans="1:3" ht="20.100000000000001" customHeight="1" thickBot="1" x14ac:dyDescent="0.35">
      <c r="A23" s="2" t="s">
        <v>12</v>
      </c>
      <c r="C23" s="22" t="s">
        <v>83</v>
      </c>
    </row>
    <row r="24" spans="1:3" ht="20.100000000000001" customHeight="1" thickBot="1" x14ac:dyDescent="0.35">
      <c r="A24" s="2" t="s">
        <v>15</v>
      </c>
      <c r="C24" s="22" t="s">
        <v>84</v>
      </c>
    </row>
    <row r="25" spans="1:3" ht="20.100000000000001" customHeight="1" thickBot="1" x14ac:dyDescent="0.35">
      <c r="A25" s="2" t="s">
        <v>28</v>
      </c>
      <c r="C25" s="22" t="s">
        <v>85</v>
      </c>
    </row>
    <row r="26" spans="1:3" ht="20.100000000000001" customHeight="1" thickBot="1" x14ac:dyDescent="0.35">
      <c r="A26" s="2" t="s">
        <v>29</v>
      </c>
      <c r="C26" s="22" t="s">
        <v>86</v>
      </c>
    </row>
    <row r="27" spans="1:3" ht="20.100000000000001" customHeight="1" thickBot="1" x14ac:dyDescent="0.35">
      <c r="A27" s="2" t="s">
        <v>13</v>
      </c>
      <c r="C27" s="22" t="s">
        <v>87</v>
      </c>
    </row>
    <row r="28" spans="1:3" ht="20.100000000000001" customHeight="1" thickBot="1" x14ac:dyDescent="0.35">
      <c r="A28" s="2" t="s">
        <v>30</v>
      </c>
      <c r="C28" s="22" t="s">
        <v>88</v>
      </c>
    </row>
    <row r="29" spans="1:3" ht="20.100000000000001" customHeight="1" thickBot="1" x14ac:dyDescent="0.35">
      <c r="A29" s="2" t="s">
        <v>31</v>
      </c>
      <c r="C29" s="22" t="s">
        <v>177</v>
      </c>
    </row>
    <row r="30" spans="1:3" ht="20.100000000000001" customHeight="1" thickBot="1" x14ac:dyDescent="0.35">
      <c r="A30" s="2" t="s">
        <v>32</v>
      </c>
      <c r="C30" s="22" t="s">
        <v>178</v>
      </c>
    </row>
    <row r="31" spans="1:3" ht="20.100000000000001" customHeight="1" thickBot="1" x14ac:dyDescent="0.35">
      <c r="A31" s="2" t="s">
        <v>33</v>
      </c>
      <c r="C31" s="22" t="s">
        <v>179</v>
      </c>
    </row>
    <row r="32" spans="1:3" ht="20.100000000000001" customHeight="1" thickBot="1" x14ac:dyDescent="0.35">
      <c r="A32" s="2" t="s">
        <v>16</v>
      </c>
      <c r="C32" s="22"/>
    </row>
    <row r="33" spans="1:9" ht="20.100000000000001" customHeight="1" thickBot="1" x14ac:dyDescent="0.35">
      <c r="A33" s="2" t="s">
        <v>14</v>
      </c>
      <c r="C33" s="22"/>
    </row>
    <row r="34" spans="1:9" ht="20.100000000000001" customHeight="1" thickBot="1" x14ac:dyDescent="0.35">
      <c r="A34" s="2" t="s">
        <v>34</v>
      </c>
      <c r="C34" s="22"/>
    </row>
    <row r="35" spans="1:9" ht="20.100000000000001" customHeight="1" x14ac:dyDescent="0.3">
      <c r="A35" s="21"/>
    </row>
    <row r="36" spans="1:9" s="20" customFormat="1" ht="20.100000000000001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6">
        <v>45901</v>
      </c>
    </row>
    <row r="40" spans="1:9" ht="20.100000000000001" customHeight="1" thickBot="1" x14ac:dyDescent="0.35">
      <c r="A40" s="16">
        <v>45902</v>
      </c>
    </row>
    <row r="41" spans="1:9" ht="20.100000000000001" customHeight="1" thickBot="1" x14ac:dyDescent="0.35">
      <c r="A41" s="16">
        <v>45903</v>
      </c>
    </row>
    <row r="42" spans="1:9" ht="20.100000000000001" customHeight="1" thickBot="1" x14ac:dyDescent="0.35">
      <c r="A42" s="16">
        <v>45904</v>
      </c>
    </row>
    <row r="43" spans="1:9" ht="20.100000000000001" customHeight="1" thickBot="1" x14ac:dyDescent="0.35">
      <c r="A43" s="16">
        <v>45905</v>
      </c>
    </row>
    <row r="44" spans="1:9" ht="20.100000000000001" customHeight="1" thickBot="1" x14ac:dyDescent="0.35">
      <c r="A44" s="16">
        <v>45906</v>
      </c>
    </row>
    <row r="45" spans="1:9" ht="20.100000000000001" customHeight="1" thickBot="1" x14ac:dyDescent="0.35">
      <c r="A45" s="16">
        <v>45907</v>
      </c>
    </row>
    <row r="46" spans="1:9" ht="20.100000000000001" customHeight="1" thickBot="1" x14ac:dyDescent="0.35">
      <c r="A46" s="16">
        <v>45908</v>
      </c>
    </row>
    <row r="47" spans="1:9" ht="20.100000000000001" customHeight="1" thickBot="1" x14ac:dyDescent="0.35">
      <c r="A47" s="16">
        <v>45909</v>
      </c>
    </row>
    <row r="48" spans="1:9" ht="20.100000000000001" customHeight="1" thickBot="1" x14ac:dyDescent="0.35">
      <c r="A48" s="16">
        <v>45910</v>
      </c>
    </row>
    <row r="49" spans="1:1" ht="20.100000000000001" customHeight="1" thickBot="1" x14ac:dyDescent="0.35">
      <c r="A49" s="16">
        <v>45911</v>
      </c>
    </row>
    <row r="50" spans="1:1" ht="20.100000000000001" customHeight="1" thickBot="1" x14ac:dyDescent="0.35">
      <c r="A50" s="16">
        <v>45912</v>
      </c>
    </row>
    <row r="51" spans="1:1" ht="20.100000000000001" customHeight="1" thickBot="1" x14ac:dyDescent="0.35">
      <c r="A51" s="16">
        <v>45913</v>
      </c>
    </row>
    <row r="52" spans="1:1" ht="20.100000000000001" customHeight="1" thickBot="1" x14ac:dyDescent="0.35">
      <c r="A52" s="16">
        <v>45914</v>
      </c>
    </row>
    <row r="53" spans="1:1" ht="20.100000000000001" customHeight="1" thickBot="1" x14ac:dyDescent="0.35">
      <c r="A53" s="16">
        <v>45915</v>
      </c>
    </row>
    <row r="54" spans="1:1" ht="20.100000000000001" customHeight="1" thickBot="1" x14ac:dyDescent="0.35">
      <c r="A54" s="16">
        <v>45916</v>
      </c>
    </row>
    <row r="55" spans="1:1" ht="20.100000000000001" customHeight="1" thickBot="1" x14ac:dyDescent="0.35">
      <c r="A55" s="16">
        <v>45917</v>
      </c>
    </row>
    <row r="56" spans="1:1" ht="20.100000000000001" customHeight="1" thickBot="1" x14ac:dyDescent="0.35">
      <c r="A56" s="16">
        <v>45918</v>
      </c>
    </row>
    <row r="57" spans="1:1" ht="20.100000000000001" customHeight="1" thickBot="1" x14ac:dyDescent="0.35">
      <c r="A57" s="16">
        <v>45919</v>
      </c>
    </row>
    <row r="58" spans="1:1" ht="20.100000000000001" customHeight="1" thickBot="1" x14ac:dyDescent="0.35">
      <c r="A58" s="16">
        <v>45920</v>
      </c>
    </row>
    <row r="59" spans="1:1" ht="20.100000000000001" customHeight="1" thickBot="1" x14ac:dyDescent="0.35">
      <c r="A59" s="16">
        <v>45921</v>
      </c>
    </row>
    <row r="60" spans="1:1" ht="20.100000000000001" customHeight="1" thickBot="1" x14ac:dyDescent="0.35">
      <c r="A60" s="16">
        <v>45922</v>
      </c>
    </row>
    <row r="61" spans="1:1" ht="20.100000000000001" customHeight="1" thickBot="1" x14ac:dyDescent="0.35">
      <c r="A61" s="16">
        <v>45923</v>
      </c>
    </row>
    <row r="62" spans="1:1" ht="20.100000000000001" customHeight="1" thickBot="1" x14ac:dyDescent="0.35">
      <c r="A62" s="16">
        <v>45924</v>
      </c>
    </row>
    <row r="63" spans="1:1" ht="20.100000000000001" customHeight="1" thickBot="1" x14ac:dyDescent="0.35">
      <c r="A63" s="16">
        <v>45925</v>
      </c>
    </row>
    <row r="64" spans="1:1" ht="20.100000000000001" customHeight="1" thickBot="1" x14ac:dyDescent="0.35">
      <c r="A64" s="16">
        <v>45926</v>
      </c>
    </row>
    <row r="65" spans="1:1" ht="20.100000000000001" customHeight="1" thickBot="1" x14ac:dyDescent="0.35">
      <c r="A65" s="16">
        <v>45927</v>
      </c>
    </row>
    <row r="66" spans="1:1" ht="20.100000000000001" customHeight="1" thickBot="1" x14ac:dyDescent="0.35">
      <c r="A66" s="16">
        <v>45928</v>
      </c>
    </row>
    <row r="67" spans="1:1" ht="20.100000000000001" customHeight="1" thickBot="1" x14ac:dyDescent="0.35">
      <c r="A67" s="16">
        <v>45929</v>
      </c>
    </row>
    <row r="68" spans="1:1" ht="20.100000000000001" customHeight="1" thickBot="1" x14ac:dyDescent="0.35">
      <c r="A68" s="16">
        <v>45930</v>
      </c>
    </row>
    <row r="69" spans="1:1" ht="20.100000000000001" customHeight="1" thickBot="1" x14ac:dyDescent="0.35">
      <c r="A69" s="16">
        <v>45931</v>
      </c>
    </row>
    <row r="70" spans="1:1" ht="20.100000000000001" customHeight="1" thickBot="1" x14ac:dyDescent="0.35">
      <c r="A70" s="16">
        <v>45932</v>
      </c>
    </row>
    <row r="71" spans="1:1" ht="20.100000000000001" customHeight="1" thickBot="1" x14ac:dyDescent="0.35">
      <c r="A71" s="16">
        <v>45933</v>
      </c>
    </row>
    <row r="72" spans="1:1" ht="20.100000000000001" customHeight="1" thickBot="1" x14ac:dyDescent="0.35">
      <c r="A72" s="16">
        <v>45934</v>
      </c>
    </row>
    <row r="73" spans="1:1" ht="20.100000000000001" customHeight="1" thickBot="1" x14ac:dyDescent="0.35">
      <c r="A73" s="16">
        <v>45935</v>
      </c>
    </row>
    <row r="74" spans="1:1" ht="20.100000000000001" customHeight="1" thickBot="1" x14ac:dyDescent="0.35">
      <c r="A74" s="16">
        <v>45936</v>
      </c>
    </row>
    <row r="75" spans="1:1" ht="20.100000000000001" customHeight="1" thickBot="1" x14ac:dyDescent="0.35">
      <c r="A75" s="16">
        <v>45937</v>
      </c>
    </row>
    <row r="76" spans="1:1" ht="20.100000000000001" customHeight="1" thickBot="1" x14ac:dyDescent="0.35">
      <c r="A76" s="16">
        <v>45938</v>
      </c>
    </row>
    <row r="77" spans="1:1" ht="20.100000000000001" customHeight="1" thickBot="1" x14ac:dyDescent="0.35">
      <c r="A77" s="16">
        <v>45939</v>
      </c>
    </row>
    <row r="78" spans="1:1" ht="20.100000000000001" customHeight="1" thickBot="1" x14ac:dyDescent="0.35">
      <c r="A78" s="16">
        <v>45940</v>
      </c>
    </row>
    <row r="79" spans="1:1" ht="20.100000000000001" customHeight="1" thickBot="1" x14ac:dyDescent="0.35">
      <c r="A79" s="16">
        <v>45941</v>
      </c>
    </row>
    <row r="80" spans="1:1" ht="20.100000000000001" customHeight="1" thickBot="1" x14ac:dyDescent="0.35">
      <c r="A80" s="16">
        <v>45942</v>
      </c>
    </row>
    <row r="81" spans="1:1" ht="20.100000000000001" customHeight="1" thickBot="1" x14ac:dyDescent="0.35">
      <c r="A81" s="16">
        <v>45943</v>
      </c>
    </row>
    <row r="82" spans="1:1" ht="20.100000000000001" customHeight="1" thickBot="1" x14ac:dyDescent="0.35">
      <c r="A82" s="16">
        <v>45944</v>
      </c>
    </row>
    <row r="83" spans="1:1" ht="20.100000000000001" customHeight="1" thickBot="1" x14ac:dyDescent="0.35">
      <c r="A83" s="16">
        <v>45945</v>
      </c>
    </row>
    <row r="84" spans="1:1" ht="20.100000000000001" customHeight="1" thickBot="1" x14ac:dyDescent="0.35">
      <c r="A84" s="16">
        <v>45946</v>
      </c>
    </row>
    <row r="85" spans="1:1" ht="20.100000000000001" customHeight="1" thickBot="1" x14ac:dyDescent="0.35">
      <c r="A85" s="16">
        <v>45947</v>
      </c>
    </row>
    <row r="86" spans="1:1" ht="20.100000000000001" customHeight="1" thickBot="1" x14ac:dyDescent="0.35">
      <c r="A86" s="16">
        <v>45948</v>
      </c>
    </row>
    <row r="87" spans="1:1" ht="20.100000000000001" customHeight="1" thickBot="1" x14ac:dyDescent="0.35">
      <c r="A87" s="16">
        <v>45949</v>
      </c>
    </row>
    <row r="88" spans="1:1" ht="20.100000000000001" customHeight="1" thickBot="1" x14ac:dyDescent="0.35">
      <c r="A88" s="16">
        <v>45950</v>
      </c>
    </row>
    <row r="89" spans="1:1" ht="20.100000000000001" customHeight="1" thickBot="1" x14ac:dyDescent="0.35">
      <c r="A89" s="16">
        <v>45951</v>
      </c>
    </row>
    <row r="90" spans="1:1" ht="20.100000000000001" customHeight="1" thickBot="1" x14ac:dyDescent="0.35">
      <c r="A90" s="16">
        <v>45952</v>
      </c>
    </row>
    <row r="91" spans="1:1" ht="20.100000000000001" customHeight="1" thickBot="1" x14ac:dyDescent="0.35">
      <c r="A91" s="16">
        <v>45953</v>
      </c>
    </row>
    <row r="92" spans="1:1" ht="20.100000000000001" customHeight="1" thickBot="1" x14ac:dyDescent="0.35">
      <c r="A92" s="16">
        <v>45954</v>
      </c>
    </row>
    <row r="93" spans="1:1" ht="20.100000000000001" customHeight="1" thickBot="1" x14ac:dyDescent="0.35">
      <c r="A93" s="16">
        <v>45955</v>
      </c>
    </row>
    <row r="94" spans="1:1" ht="20.100000000000001" customHeight="1" thickBot="1" x14ac:dyDescent="0.35">
      <c r="A94" s="16">
        <v>45956</v>
      </c>
    </row>
    <row r="95" spans="1:1" ht="20.100000000000001" customHeight="1" thickBot="1" x14ac:dyDescent="0.35">
      <c r="A95" s="16">
        <v>45957</v>
      </c>
    </row>
    <row r="96" spans="1:1" ht="20.100000000000001" customHeight="1" thickBot="1" x14ac:dyDescent="0.35">
      <c r="A96" s="16">
        <v>45958</v>
      </c>
    </row>
    <row r="97" spans="1:9" ht="20.100000000000001" customHeight="1" thickBot="1" x14ac:dyDescent="0.35">
      <c r="A97" s="16">
        <v>45959</v>
      </c>
    </row>
    <row r="98" spans="1:9" ht="20.100000000000001" customHeight="1" thickBot="1" x14ac:dyDescent="0.35">
      <c r="A98" s="16">
        <v>45960</v>
      </c>
    </row>
    <row r="99" spans="1:9" ht="20.100000000000001" customHeight="1" thickBot="1" x14ac:dyDescent="0.35">
      <c r="A99" s="16">
        <v>45961</v>
      </c>
    </row>
    <row r="100" spans="1:9" ht="20.100000000000001" customHeight="1" thickBot="1" x14ac:dyDescent="0.35">
      <c r="A100" s="16">
        <v>45962</v>
      </c>
    </row>
    <row r="101" spans="1:9" ht="20.100000000000001" customHeight="1" thickBot="1" x14ac:dyDescent="0.35">
      <c r="A101" s="16">
        <v>45963</v>
      </c>
    </row>
    <row r="102" spans="1:9" ht="20.100000000000001" customHeight="1" thickBot="1" x14ac:dyDescent="0.35">
      <c r="A102" s="16">
        <v>45964</v>
      </c>
    </row>
    <row r="103" spans="1:9" ht="20.100000000000001" customHeight="1" thickBot="1" x14ac:dyDescent="0.35">
      <c r="A103" s="16">
        <v>45965</v>
      </c>
    </row>
    <row r="104" spans="1:9" ht="20.100000000000001" customHeight="1" thickBot="1" x14ac:dyDescent="0.35">
      <c r="A104" s="16">
        <v>45966</v>
      </c>
    </row>
    <row r="105" spans="1:9" ht="20.100000000000001" customHeight="1" thickBot="1" x14ac:dyDescent="0.35">
      <c r="A105" s="16">
        <v>45967</v>
      </c>
    </row>
    <row r="106" spans="1:9" ht="20.100000000000001" customHeight="1" thickBot="1" x14ac:dyDescent="0.35">
      <c r="A106" s="16">
        <v>45968</v>
      </c>
    </row>
    <row r="107" spans="1:9" ht="20.100000000000001" customHeight="1" x14ac:dyDescent="0.3">
      <c r="A107" s="17"/>
    </row>
    <row r="108" spans="1:9" ht="20.100000000000001" customHeight="1" x14ac:dyDescent="0.3">
      <c r="A108" s="17"/>
    </row>
    <row r="109" spans="1:9" s="20" customFormat="1" ht="20.100000000000001" customHeight="1" x14ac:dyDescent="0.3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3" t="s">
        <v>89</v>
      </c>
    </row>
    <row r="200" spans="1:1" ht="20.100000000000001" customHeight="1" x14ac:dyDescent="0.3">
      <c r="A200" s="23" t="s">
        <v>90</v>
      </c>
    </row>
    <row r="201" spans="1:1" ht="20.100000000000001" customHeight="1" x14ac:dyDescent="0.3">
      <c r="A201" s="23" t="s">
        <v>91</v>
      </c>
    </row>
    <row r="202" spans="1:1" ht="20.100000000000001" customHeight="1" x14ac:dyDescent="0.3">
      <c r="A202" s="23" t="s">
        <v>92</v>
      </c>
    </row>
    <row r="203" spans="1:1" ht="20.100000000000001" customHeight="1" x14ac:dyDescent="0.3">
      <c r="A203" s="23" t="s">
        <v>93</v>
      </c>
    </row>
    <row r="204" spans="1:1" ht="20.100000000000001" customHeight="1" x14ac:dyDescent="0.3">
      <c r="A204" s="23" t="s">
        <v>94</v>
      </c>
    </row>
    <row r="205" spans="1:1" ht="20.100000000000001" customHeight="1" x14ac:dyDescent="0.3">
      <c r="A205" s="23" t="s">
        <v>95</v>
      </c>
    </row>
    <row r="206" spans="1:1" ht="20.100000000000001" customHeight="1" x14ac:dyDescent="0.3">
      <c r="A206" s="23" t="s">
        <v>96</v>
      </c>
    </row>
    <row r="207" spans="1:1" ht="20.100000000000001" customHeight="1" x14ac:dyDescent="0.3">
      <c r="A207" s="23" t="s">
        <v>97</v>
      </c>
    </row>
    <row r="208" spans="1:1" ht="20.100000000000001" customHeight="1" x14ac:dyDescent="0.3">
      <c r="A208" s="24" t="s">
        <v>98</v>
      </c>
    </row>
    <row r="209" spans="1:1" ht="20.100000000000001" customHeight="1" x14ac:dyDescent="0.3">
      <c r="A209" s="24" t="s">
        <v>99</v>
      </c>
    </row>
    <row r="210" spans="1:1" ht="20.100000000000001" customHeight="1" x14ac:dyDescent="0.3">
      <c r="A210" s="23" t="s">
        <v>100</v>
      </c>
    </row>
    <row r="211" spans="1:1" ht="20.100000000000001" customHeight="1" x14ac:dyDescent="0.3">
      <c r="A211" s="23" t="s">
        <v>101</v>
      </c>
    </row>
    <row r="212" spans="1:1" ht="20.100000000000001" customHeight="1" x14ac:dyDescent="0.3">
      <c r="A212" s="23" t="s">
        <v>175</v>
      </c>
    </row>
    <row r="213" spans="1:1" ht="20.100000000000001" customHeight="1" x14ac:dyDescent="0.3">
      <c r="A213" s="23" t="s">
        <v>102</v>
      </c>
    </row>
    <row r="214" spans="1:1" ht="20.100000000000001" customHeight="1" x14ac:dyDescent="0.3">
      <c r="A214" s="23" t="s">
        <v>103</v>
      </c>
    </row>
    <row r="215" spans="1:1" ht="20.100000000000001" customHeight="1" x14ac:dyDescent="0.3">
      <c r="A215" s="23" t="s">
        <v>104</v>
      </c>
    </row>
    <row r="216" spans="1:1" ht="20.100000000000001" customHeight="1" x14ac:dyDescent="0.3">
      <c r="A216" s="23" t="s">
        <v>105</v>
      </c>
    </row>
    <row r="217" spans="1:1" ht="20.100000000000001" customHeight="1" x14ac:dyDescent="0.3">
      <c r="A217" s="23" t="s">
        <v>106</v>
      </c>
    </row>
    <row r="218" spans="1:1" ht="20.100000000000001" customHeight="1" x14ac:dyDescent="0.3">
      <c r="A218" s="23" t="s">
        <v>107</v>
      </c>
    </row>
    <row r="219" spans="1:1" ht="20.100000000000001" customHeight="1" x14ac:dyDescent="0.3">
      <c r="A219" s="23" t="s">
        <v>108</v>
      </c>
    </row>
    <row r="220" spans="1:1" ht="20.100000000000001" customHeight="1" x14ac:dyDescent="0.3">
      <c r="A220" s="23" t="s">
        <v>109</v>
      </c>
    </row>
    <row r="221" spans="1:1" ht="20.100000000000001" customHeight="1" x14ac:dyDescent="0.3">
      <c r="A221" s="23" t="s">
        <v>110</v>
      </c>
    </row>
    <row r="222" spans="1:1" ht="20.100000000000001" customHeight="1" x14ac:dyDescent="0.3">
      <c r="A222" s="23" t="s">
        <v>111</v>
      </c>
    </row>
    <row r="223" spans="1:1" ht="20.100000000000001" customHeight="1" x14ac:dyDescent="0.3">
      <c r="A223" s="23" t="s">
        <v>112</v>
      </c>
    </row>
    <row r="224" spans="1:1" ht="20.100000000000001" customHeight="1" x14ac:dyDescent="0.3">
      <c r="A224" s="23" t="s">
        <v>176</v>
      </c>
    </row>
    <row r="225" spans="1:1" ht="20.100000000000001" customHeight="1" x14ac:dyDescent="0.3">
      <c r="A225" s="23" t="s">
        <v>113</v>
      </c>
    </row>
    <row r="226" spans="1:1" ht="20.100000000000001" customHeight="1" x14ac:dyDescent="0.3">
      <c r="A226" s="23" t="s">
        <v>114</v>
      </c>
    </row>
    <row r="227" spans="1:1" ht="20.100000000000001" customHeight="1" x14ac:dyDescent="0.3">
      <c r="A227" s="23" t="s">
        <v>115</v>
      </c>
    </row>
    <row r="228" spans="1:1" ht="20.100000000000001" customHeight="1" x14ac:dyDescent="0.3">
      <c r="A228" s="23" t="s">
        <v>116</v>
      </c>
    </row>
    <row r="229" spans="1:1" ht="20.100000000000001" customHeight="1" x14ac:dyDescent="0.3">
      <c r="A229" s="23" t="s">
        <v>117</v>
      </c>
    </row>
    <row r="230" spans="1:1" ht="20.100000000000001" customHeight="1" x14ac:dyDescent="0.3">
      <c r="A230" s="23" t="s">
        <v>118</v>
      </c>
    </row>
    <row r="231" spans="1:1" ht="20.100000000000001" customHeight="1" x14ac:dyDescent="0.3">
      <c r="A231" s="23" t="s">
        <v>119</v>
      </c>
    </row>
    <row r="232" spans="1:1" ht="20.100000000000001" customHeight="1" x14ac:dyDescent="0.3">
      <c r="A232" s="23" t="s">
        <v>120</v>
      </c>
    </row>
    <row r="233" spans="1:1" ht="20.100000000000001" customHeight="1" x14ac:dyDescent="0.3">
      <c r="A233" s="23" t="s">
        <v>121</v>
      </c>
    </row>
    <row r="234" spans="1:1" ht="20.100000000000001" customHeight="1" x14ac:dyDescent="0.3">
      <c r="A234" s="23" t="s">
        <v>122</v>
      </c>
    </row>
    <row r="235" spans="1:1" ht="20.100000000000001" customHeight="1" x14ac:dyDescent="0.3">
      <c r="A235" s="23" t="s">
        <v>123</v>
      </c>
    </row>
    <row r="236" spans="1:1" ht="20.100000000000001" customHeight="1" x14ac:dyDescent="0.3">
      <c r="A236" s="25" t="s">
        <v>124</v>
      </c>
    </row>
    <row r="237" spans="1:1" ht="20.100000000000001" customHeight="1" x14ac:dyDescent="0.3">
      <c r="A237" s="23" t="s">
        <v>125</v>
      </c>
    </row>
    <row r="238" spans="1:1" ht="20.100000000000001" customHeight="1" x14ac:dyDescent="0.3">
      <c r="A238" s="23" t="s">
        <v>126</v>
      </c>
    </row>
    <row r="239" spans="1:1" ht="20.100000000000001" customHeight="1" x14ac:dyDescent="0.3">
      <c r="A239" s="23" t="s">
        <v>127</v>
      </c>
    </row>
    <row r="240" spans="1:1" ht="20.100000000000001" customHeight="1" x14ac:dyDescent="0.3">
      <c r="A240" s="23" t="s">
        <v>128</v>
      </c>
    </row>
    <row r="241" spans="1:1" ht="20.100000000000001" customHeight="1" x14ac:dyDescent="0.3">
      <c r="A241" s="23" t="s">
        <v>129</v>
      </c>
    </row>
    <row r="242" spans="1:1" ht="20.100000000000001" customHeight="1" x14ac:dyDescent="0.3">
      <c r="A242" s="23" t="s">
        <v>130</v>
      </c>
    </row>
    <row r="243" spans="1:1" ht="20.100000000000001" customHeight="1" x14ac:dyDescent="0.3">
      <c r="A243" s="23" t="s">
        <v>131</v>
      </c>
    </row>
    <row r="244" spans="1:1" ht="20.100000000000001" customHeight="1" x14ac:dyDescent="0.3">
      <c r="A244" s="23" t="s">
        <v>132</v>
      </c>
    </row>
    <row r="245" spans="1:1" ht="20.100000000000001" customHeight="1" x14ac:dyDescent="0.3">
      <c r="A245" s="23" t="s">
        <v>133</v>
      </c>
    </row>
    <row r="246" spans="1:1" ht="20.100000000000001" customHeight="1" x14ac:dyDescent="0.3">
      <c r="A246" s="23" t="s">
        <v>134</v>
      </c>
    </row>
    <row r="247" spans="1:1" ht="20.100000000000001" customHeight="1" x14ac:dyDescent="0.3">
      <c r="A247" s="23" t="s">
        <v>135</v>
      </c>
    </row>
    <row r="248" spans="1:1" ht="20.100000000000001" customHeight="1" x14ac:dyDescent="0.3">
      <c r="A248" s="23" t="s">
        <v>126</v>
      </c>
    </row>
    <row r="249" spans="1:1" ht="20.100000000000001" customHeight="1" x14ac:dyDescent="0.3">
      <c r="A249" s="23" t="s">
        <v>136</v>
      </c>
    </row>
    <row r="250" spans="1:1" ht="20.100000000000001" customHeight="1" x14ac:dyDescent="0.3">
      <c r="A250" s="23" t="s">
        <v>137</v>
      </c>
    </row>
    <row r="251" spans="1:1" ht="20.100000000000001" customHeight="1" x14ac:dyDescent="0.3">
      <c r="A251" s="25" t="s">
        <v>138</v>
      </c>
    </row>
    <row r="252" spans="1:1" ht="20.100000000000001" customHeight="1" x14ac:dyDescent="0.3">
      <c r="A252" s="26" t="s">
        <v>139</v>
      </c>
    </row>
    <row r="253" spans="1:1" ht="20.100000000000001" customHeight="1" x14ac:dyDescent="0.3">
      <c r="A253" s="23" t="s">
        <v>140</v>
      </c>
    </row>
    <row r="254" spans="1:1" ht="20.100000000000001" customHeight="1" x14ac:dyDescent="0.3">
      <c r="A254" s="23" t="s">
        <v>141</v>
      </c>
    </row>
    <row r="255" spans="1:1" ht="20.100000000000001" customHeight="1" x14ac:dyDescent="0.3">
      <c r="A255" s="27" t="s">
        <v>142</v>
      </c>
    </row>
    <row r="256" spans="1:1" ht="20.100000000000001" customHeight="1" x14ac:dyDescent="0.3">
      <c r="A256" s="27" t="s">
        <v>143</v>
      </c>
    </row>
    <row r="257" spans="1:1" ht="20.100000000000001" customHeight="1" x14ac:dyDescent="0.3">
      <c r="A257" s="28" t="s">
        <v>144</v>
      </c>
    </row>
    <row r="258" spans="1:1" ht="20.100000000000001" customHeight="1" x14ac:dyDescent="0.3">
      <c r="A258" s="23" t="s">
        <v>145</v>
      </c>
    </row>
    <row r="259" spans="1:1" ht="20.100000000000001" customHeight="1" x14ac:dyDescent="0.3">
      <c r="A259" s="28" t="s">
        <v>146</v>
      </c>
    </row>
    <row r="260" spans="1:1" ht="20.100000000000001" customHeight="1" x14ac:dyDescent="0.3">
      <c r="A260" s="23" t="s">
        <v>147</v>
      </c>
    </row>
    <row r="261" spans="1:1" ht="20.100000000000001" customHeight="1" x14ac:dyDescent="0.3">
      <c r="A261" s="28" t="s">
        <v>148</v>
      </c>
    </row>
    <row r="262" spans="1:1" ht="20.100000000000001" customHeight="1" x14ac:dyDescent="0.3">
      <c r="A262" s="23" t="s">
        <v>149</v>
      </c>
    </row>
    <row r="263" spans="1:1" ht="20.100000000000001" customHeight="1" x14ac:dyDescent="0.3">
      <c r="A263" s="23" t="s">
        <v>150</v>
      </c>
    </row>
    <row r="264" spans="1:1" ht="20.100000000000001" customHeight="1" x14ac:dyDescent="0.3">
      <c r="A264" s="28" t="s">
        <v>151</v>
      </c>
    </row>
    <row r="265" spans="1:1" ht="20.100000000000001" customHeight="1" x14ac:dyDescent="0.3">
      <c r="A265" s="28" t="s">
        <v>152</v>
      </c>
    </row>
    <row r="266" spans="1:1" ht="20.100000000000001" customHeight="1" x14ac:dyDescent="0.3">
      <c r="A266" s="28" t="s">
        <v>153</v>
      </c>
    </row>
    <row r="267" spans="1:1" ht="20.100000000000001" customHeight="1" x14ac:dyDescent="0.3">
      <c r="A267" s="23" t="s">
        <v>154</v>
      </c>
    </row>
    <row r="268" spans="1:1" ht="20.100000000000001" customHeight="1" x14ac:dyDescent="0.3">
      <c r="A268" s="23" t="s">
        <v>155</v>
      </c>
    </row>
    <row r="269" spans="1:1" ht="20.100000000000001" customHeight="1" x14ac:dyDescent="0.3">
      <c r="A269" s="23" t="s">
        <v>156</v>
      </c>
    </row>
    <row r="270" spans="1:1" ht="20.100000000000001" customHeight="1" x14ac:dyDescent="0.3">
      <c r="A270" s="23" t="s">
        <v>157</v>
      </c>
    </row>
    <row r="271" spans="1:1" ht="20.100000000000001" customHeight="1" x14ac:dyDescent="0.3">
      <c r="A271" s="28" t="s">
        <v>158</v>
      </c>
    </row>
    <row r="272" spans="1:1" ht="20.100000000000001" customHeight="1" x14ac:dyDescent="0.3">
      <c r="A272" s="28" t="s">
        <v>159</v>
      </c>
    </row>
    <row r="273" spans="1:1" ht="20.100000000000001" customHeight="1" x14ac:dyDescent="0.3">
      <c r="A273" s="23" t="s">
        <v>160</v>
      </c>
    </row>
    <row r="274" spans="1:1" ht="20.100000000000001" customHeight="1" x14ac:dyDescent="0.3">
      <c r="A274" s="28" t="s">
        <v>161</v>
      </c>
    </row>
    <row r="275" spans="1:1" ht="20.100000000000001" customHeight="1" x14ac:dyDescent="0.3">
      <c r="A275" s="28" t="s">
        <v>162</v>
      </c>
    </row>
    <row r="276" spans="1:1" ht="20.100000000000001" customHeight="1" x14ac:dyDescent="0.3">
      <c r="A276" s="23" t="s">
        <v>163</v>
      </c>
    </row>
    <row r="277" spans="1:1" ht="20.100000000000001" customHeight="1" x14ac:dyDescent="0.3">
      <c r="A277" s="23" t="s">
        <v>164</v>
      </c>
    </row>
    <row r="278" spans="1:1" ht="20.100000000000001" customHeight="1" x14ac:dyDescent="0.3">
      <c r="A278" s="28" t="s">
        <v>165</v>
      </c>
    </row>
    <row r="279" spans="1:1" ht="20.100000000000001" customHeight="1" x14ac:dyDescent="0.3">
      <c r="A279" s="23" t="s">
        <v>166</v>
      </c>
    </row>
    <row r="280" spans="1:1" ht="20.100000000000001" customHeight="1" x14ac:dyDescent="0.3">
      <c r="A280" s="23" t="s">
        <v>167</v>
      </c>
    </row>
    <row r="281" spans="1:1" ht="20.100000000000001" customHeight="1" x14ac:dyDescent="0.3">
      <c r="A281" s="23" t="s">
        <v>168</v>
      </c>
    </row>
    <row r="282" spans="1:1" ht="20.100000000000001" customHeight="1" x14ac:dyDescent="0.3">
      <c r="A282" s="23" t="s">
        <v>169</v>
      </c>
    </row>
    <row r="283" spans="1:1" ht="20.100000000000001" customHeight="1" x14ac:dyDescent="0.3">
      <c r="A283" s="28" t="s">
        <v>170</v>
      </c>
    </row>
    <row r="284" spans="1:1" ht="20.100000000000001" customHeight="1" x14ac:dyDescent="0.3">
      <c r="A284" s="28" t="s">
        <v>171</v>
      </c>
    </row>
    <row r="285" spans="1:1" ht="20.100000000000001" customHeight="1" x14ac:dyDescent="0.3">
      <c r="A285" s="28" t="s">
        <v>172</v>
      </c>
    </row>
    <row r="286" spans="1:1" ht="20.100000000000001" customHeight="1" thickBot="1" x14ac:dyDescent="0.35">
      <c r="A286" s="23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2025-10-07T18:19:34Z</dcterms:modified>
</cp:coreProperties>
</file>