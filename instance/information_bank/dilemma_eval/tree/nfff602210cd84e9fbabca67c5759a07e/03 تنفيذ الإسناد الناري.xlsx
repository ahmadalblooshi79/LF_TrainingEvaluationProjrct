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A59F322F-DEBA-F648-AFE0-958AB2D8CFBC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4" i="2"/>
  <c r="H14" i="2"/>
  <c r="G15" i="2"/>
  <c r="H15" i="2"/>
  <c r="G16" i="2"/>
  <c r="H16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F30" i="2"/>
  <c r="E30" i="2"/>
  <c r="E31" i="2"/>
  <c r="E32" i="2"/>
</calcChain>
</file>

<file path=xl/sharedStrings.xml><?xml version="1.0" encoding="utf-8"?>
<sst xmlns="http://schemas.openxmlformats.org/spreadsheetml/2006/main" count="259" uniqueCount="203">
  <si>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</si>
  <si>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</si>
  <si>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</si>
  <si>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</si>
  <si>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</si>
  <si>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</si>
  <si>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</si>
  <si>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</si>
  <si>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</si>
  <si>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</si>
  <si>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</si>
  <si>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</si>
  <si>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</si>
  <si>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</si>
  <si>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</si>
  <si>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</si>
  <si>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</si>
  <si>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</si>
  <si>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</si>
  <si>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</si>
  <si>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</si>
  <si>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</si>
  <si>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</si>
  <si>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</si>
  <si>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</si>
  <si>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</si>
  <si>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</si>
  <si>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</si>
  <si>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</si>
  <si>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</si>
  <si>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</si>
  <si>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</si>
  <si>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</si>
  <si>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</si>
  <si>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</si>
  <si>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</si>
  <si>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</si>
  <si>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</si>
  <si>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</si>
  <si>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</si>
  <si>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</si>
  <si>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</si>
  <si>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</si>
  <si>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</si>
  <si>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</si>
  <si>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</si>
  <si>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</si>
  <si>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</si>
  <si>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</si>
  <si>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</si>
  <si>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</si>
  <si>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</si>
  <si>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</si>
  <si>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</si>
  <si>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</si>
  <si>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</si>
  <si>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</si>
  <si>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</si>
  <si>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</si>
  <si>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</si>
  <si>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</si>
  <si>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</si>
  <si>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</si>
  <si>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</si>
  <si>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</si>
  <si>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</si>
  <si>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</si>
  <si>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</si>
  <si>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</si>
  <si>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</si>
  <si>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</si>
  <si>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</si>
  <si>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</si>
  <si>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</si>
  <si>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</si>
  <si>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</si>
  <si>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</si>
  <si>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</si>
  <si>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</si>
  <si>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</si>
  <si>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</si>
  <si>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</si>
  <si>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</si>
  <si>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</si>
  <si>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</si>
  <si>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</si>
  <si>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</si>
  <si>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</si>
  <si>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</si>
  <si>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</si>
  <si>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</si>
  <si>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</si>
  <si>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</si>
  <si>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</si>
  <si>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</si>
  <si>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</si>
  <si>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</si>
  <si>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</si>
  <si>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</si>
  <si>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</si>
  <si>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</si>
  <si>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</si>
  <si>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</si>
  <si>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</si>
  <si>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</si>
  <si>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</si>
  <si>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</si>
  <si>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</si>
  <si>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</si>
  <si>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</si>
  <si>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</si>
  <si>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</si>
  <si>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</si>
  <si>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</si>
  <si>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</si>
  <si>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</si>
  <si>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</si>
  <si>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</si>
  <si>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</si>
  <si>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</si>
  <si>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</si>
  <si>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</si>
  <si>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</si>
  <si>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</si>
  <si>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</si>
  <si>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</si>
  <si>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</si>
  <si>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</si>
  <si>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</si>
  <si>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</si>
  <si>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</si>
  <si>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</si>
  <si>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</si>
  <si>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</si>
  <si>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</si>
  <si>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</si>
  <si>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</si>
  <si>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</si>
  <si>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</si>
  <si>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</si>
  <si>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</si>
  <si>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</si>
  <si>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</si>
  <si>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</si>
  <si>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</si>
  <si>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</si>
  <si>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</si>
  <si>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</si>
  <si>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</si>
  <si>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</si>
  <si>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</si>
  <si>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</si>
  <si>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</si>
  <si>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</si>
  <si>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</si>
  <si>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</si>
  <si>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</si>
  <si>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</si>
  <si>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</si>
  <si>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</si>
  <si>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</si>
  <si>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</si>
  <si>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</si>
  <si>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</si>
  <si>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</si>
  <si>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</si>
  <si>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</si>
  <si>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</si>
  <si>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</si>
  <si>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</si>
  <si>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</si>
  <si>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</si>
  <si>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</si>
  <si>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</si>
  <si>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</si>
  <si>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</si>
  <si>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</si>
  <si>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</si>
  <si>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</si>
  <si>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</si>
  <si>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تنفيذ الاسناد الناري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</si>
  <si>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مرحلتي التحضير والتخطيط</t>
    </r>
    <r>
      <rPr>
        <sz val="12"/>
        <color rgb="FF000000"/>
        <rFont val="Arial"/>
        <family val="2"/>
      </rPr>
      <t>.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</si>
  <si>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قام ضابط الإسناد الناري وعناصر الإسناد الناري الاخرين بمعالجة طلبات النيران المخطط لها:</t>
    </r>
  </si>
  <si>
    <t>أ. التأكد من خلو منطقة الهدف من القوات الصديقة (التصريح بالرماية).</t>
  </si>
  <si>
    <t>ب. التأكد من أن المهمة تلبي جميع المتطلبات وحسب مخطط تنفيذ الهجوم/جدول الواجبات على الاهداف.</t>
  </si>
  <si>
    <t>جـ. التأكد من أن المهمة تحقق توجيهات القائد المتعلقة بالنيران (الواجبات الأساسية للإسناد الناري والقصد من المهمة ).</t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</si>
  <si>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تقييم القتال من قبل ضابط الإسناد الناري وكما يلي:</t>
    </r>
  </si>
  <si>
    <t>أ. يطلب ضابط صف الإسناد الناري لتقارير تقييم القتال (تقارير الرميات وتقييم أضرار المعركة) من عناصر الإسناد الناري في الوحدات (ضباط الرصد).</t>
  </si>
  <si>
    <t>ب. يطلب ضابط الإسناد الناري من خلال ركن الاستخبارات أن يقوم مصدر المعلومات الاستخبارية المناسب بتقرير مدى التأثير على الأهداف المنتخبة والتي تم تحديدها خلال مرحلة (قرر) في الاستهداف.</t>
  </si>
  <si>
    <t>جـ. يقرر ضابط الإسناد الناري فيما إذا تم تحقيق النتيجة النهائية وتقديم التوصيات إمَّا الاستمرار في تنفيذ الواجب الأساسي الحالي أو الانتقال الى الواجب الاساسي اللاحق.</t>
  </si>
  <si>
    <t>مرحلة التنفيذ.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</si>
  <si>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إدامة الموقف الحالي لجميع مصادر الإسناد الناري بحيث يُغطي تقرير الموقف ما يلي:</t>
    </r>
  </si>
  <si>
    <t>أ. المواقع.</t>
  </si>
  <si>
    <t>ب. المهام.</t>
  </si>
  <si>
    <t>جـ. القدرات.</t>
  </si>
  <si>
    <t>د. موقف الذخيرة.</t>
  </si>
  <si>
    <t>هـ. موقف المعدات/المهمات.</t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</si>
  <si>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جمع وادامة موقف القوات الصديقة وموقف العدو المعروف ليشمل:</t>
    </r>
  </si>
  <si>
    <t>أ. اجراءات السيطرة وادامتها على الشفافات.</t>
  </si>
  <si>
    <t>ب. مواقع المناورة وعناصر الاسناد الناري غير المباشرة ( هاونات الكتيبة، وحدات الرمي للمدفعية، وعناصر التزويد الميدانية.</t>
  </si>
  <si>
    <t>جـ. معايير تنسيق نيران الإسناد.</t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</si>
  <si>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تحضير وإدامة خارطة الموقف وشفاف قائمة الاهداف.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</si>
  <si>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تمرير المعلومات الاستخبارية إلى ركن الاستخبارات واستلامها منه.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</si>
</sst>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12" fillId="0" borderId="26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26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5" borderId="23" xfId="0" applyFont="1" applyFill="1" applyBorder="1" applyAlignment="1">
      <alignment vertical="center" wrapText="1" readingOrder="2"/>
    </xf>
    <xf numFmtId="0" fontId="1" fillId="5" borderId="24" xfId="0" applyFont="1" applyFill="1" applyBorder="1" applyAlignment="1">
      <alignment vertical="center" wrapText="1" readingOrder="2"/>
    </xf>
    <xf numFmtId="0" fontId="1" fillId="5" borderId="25" xfId="0" applyFont="1" applyFill="1" applyBorder="1" applyAlignment="1">
      <alignment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513250</xdr:colOff>
      <xdr:row>33</xdr:row>
      <xdr:rowOff>249233</xdr:rowOff>
    </xdr:from>
    <xdr:to>
      <xdr:col>7</xdr:col>
      <xdr:colOff>84120</xdr:colOff>
      <xdr:row>34</xdr:row>
      <xdr:rowOff>9127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E6AC20C-15A6-6FF3-21B6-09DB5672BD3A}"/>
                </a:ext>
              </a:extLst>
            </xdr14:cNvPr>
            <xdr14:cNvContentPartPr/>
          </xdr14:nvContentPartPr>
          <xdr14:nvPr macro=""/>
          <xdr14:xfrm>
            <a:off x="10399818880" y="14403960"/>
            <a:ext cx="228960" cy="4064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E6AC20C-15A6-6FF3-21B6-09DB5672BD3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809880" y="14394960"/>
              <a:ext cx="246600" cy="42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207610</xdr:colOff>
      <xdr:row>32</xdr:row>
      <xdr:rowOff>513923</xdr:rowOff>
    </xdr:from>
    <xdr:to>
      <xdr:col>8</xdr:col>
      <xdr:colOff>81589</xdr:colOff>
      <xdr:row>33</xdr:row>
      <xdr:rowOff>607433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15980B0-6372-5FC7-C17E-012786C779D7}"/>
                </a:ext>
              </a:extLst>
            </xdr14:cNvPr>
            <xdr14:cNvContentPartPr/>
          </xdr14:nvContentPartPr>
          <xdr14:nvPr macro=""/>
          <xdr14:xfrm>
            <a:off x="10399163320" y="14137560"/>
            <a:ext cx="1190160" cy="62460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D15980B0-6372-5FC7-C17E-012786C779D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154320" y="14128560"/>
              <a:ext cx="1207800" cy="642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2T18:22:09.1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635 0,'0'0,"0"0,0 0,0 0,0 0,0 0,0 0,0 0,0 0,0 0,0 0,0 0,0 0,0 0,0 0,0 0,0 0,0 0,0 0,0 0,0 0,0 0,0 0,0 16,0 0,0-14,0 29,0 17,0-44,-16 72,0 20,14-87,-29 94,-17 42,44-132,-72 102,-4 13,72-115,-80 86,8-2,71-87,-79 44,8-6,71-43,18-10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2T18:22:10.5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1349 1238,'0'0,"0"0,0 0,0 0,0 0,0 0,0 0,0 0,0 0,0 0,0 0,16 0,0 0,-8 0,0 0,24 0,-16 7,1 2,47 7,-33-1,2 2,31-1,-32 8,0 0,-32-24</inkml:trace>
  <inkml:trace contextRef="#ctx0" brushRef="#br0" timeOffset="1">3305 708,'0'0,"0"0,0 0,0 0,0 0,0 0,0 0,0 0,0 0,-15 0,12 0,-11 0,-18 0,28 0,-56 32,-68 0,110-27,-125 39,-49 20,163-55,-150 62,-94 25,232-81,-207 66,-72 16,276-84,-185 70,-27 13,219-82,-167 36,-5 14,179-54,-132 44,34-22,111-27,-78 23,30-12,56-14,-30 12,23-14,14 0,20 0,15-16,-29 13,40-26,52-4,-81 28,114-38,31-21,-135 55,159-62,40-9,-189 67,171-54,50-30,-218 83,165-52,37-30,-204 82,153-52,-12 2,-151 54,60-28,-6 6,-68 27,24-6,12-6,-41 15,-46 4,37-2,-60 17,-66-1,109-14,-123 28,-66 2,179-28,-151 24,-44 20,191-41,-159 18,-96 23,247-41,-191 34,24-9,178-27,-101 22,35-11,83-13,-54 10,3 3,54-13,-28 10,6-13,27 0,-7 0,-4 0,14 0,-11 0,-4 0,15 0,-12-16,-2 0,14 14,-12-12,-2-18,14 28,-12-40,-2-4,14 42,4-68,14-22,-14 82,60-101,-14 19,-41 82,19-36,102-158,-109 176,186-145,-44 97,-136 68,94-24,73 20,-162 13,133 6,29 45,-165-41,139 66,42 23,-176-81,145 83,31 30,-177-109,163 74,46 19,-204-95,169 46,-205-63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4"/>
  <sheetViews>
    <sheetView rightToLeft="1" tabSelected="1" view="pageBreakPreview" topLeftCell="A15" zoomScale="130" zoomScaleNormal="100" zoomScaleSheetLayoutView="130" workbookViewId="0">
      <selection activeCell="F19" sqref="F19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5" t="s">
        <v>180</v>
      </c>
      <c r="C1" s="55"/>
      <c r="D1" s="55"/>
      <c r="E1" s="55"/>
      <c r="F1" s="55"/>
      <c r="G1" s="55"/>
      <c r="H1" s="55"/>
      <c r="I1" s="55"/>
      <c r="J1" s="55"/>
    </row>
    <row r="2" spans="1:10" ht="30" customHeight="1" x14ac:dyDescent="0.2">
      <c r="B2" s="12" t="s">
        <v>8</v>
      </c>
      <c r="C2" s="61" t="s">
        <v>48</v>
      </c>
      <c r="D2" s="61"/>
      <c r="E2" s="12" t="s">
        <v>7</v>
      </c>
      <c r="F2" s="56">
        <v>45956</v>
      </c>
      <c r="G2" s="56"/>
      <c r="H2" s="56"/>
      <c r="I2" s="56"/>
      <c r="J2" s="56"/>
    </row>
    <row r="3" spans="1:10" ht="30" customHeight="1" x14ac:dyDescent="0.2">
      <c r="B3" s="12" t="s">
        <v>9</v>
      </c>
      <c r="C3" s="61" t="s">
        <v>68</v>
      </c>
      <c r="D3" s="61"/>
      <c r="E3" s="12" t="s">
        <v>6</v>
      </c>
      <c r="F3" s="61" t="s">
        <v>176</v>
      </c>
      <c r="G3" s="61"/>
      <c r="H3" s="61"/>
      <c r="I3" s="61"/>
      <c r="J3" s="6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7" t="s">
        <v>0</v>
      </c>
      <c r="C5" s="58"/>
      <c r="D5" s="58"/>
      <c r="E5" s="49" t="s">
        <v>1</v>
      </c>
      <c r="F5" s="49"/>
      <c r="G5" s="49"/>
      <c r="H5" s="49"/>
      <c r="I5" s="49" t="s">
        <v>2</v>
      </c>
      <c r="J5" s="50"/>
    </row>
    <row r="6" spans="1:10" ht="24.95" customHeight="1" thickBot="1" x14ac:dyDescent="0.25">
      <c r="A6" s="10"/>
      <c r="B6" s="59"/>
      <c r="C6" s="60"/>
      <c r="D6" s="60"/>
      <c r="E6" s="11" t="s">
        <v>3</v>
      </c>
      <c r="F6" s="11" t="s">
        <v>4</v>
      </c>
      <c r="G6" s="11" t="s">
        <v>23</v>
      </c>
      <c r="H6" s="11" t="s">
        <v>24</v>
      </c>
      <c r="I6" s="51"/>
      <c r="J6" s="52"/>
    </row>
    <row r="7" spans="1:10" ht="24.95" customHeight="1" thickBot="1" x14ac:dyDescent="0.25">
      <c r="A7" s="10"/>
      <c r="B7" s="47" t="s">
        <v>21</v>
      </c>
      <c r="C7" s="48"/>
      <c r="D7" s="48"/>
      <c r="E7" s="27" t="s">
        <v>18</v>
      </c>
      <c r="F7" s="27" t="s">
        <v>19</v>
      </c>
      <c r="G7" s="27" t="s">
        <v>22</v>
      </c>
      <c r="H7" s="27" t="s">
        <v>20</v>
      </c>
      <c r="I7" s="53" t="s">
        <v>25</v>
      </c>
      <c r="J7" s="54"/>
    </row>
    <row r="8" spans="1:10" ht="30" customHeight="1" x14ac:dyDescent="0.2">
      <c r="A8" s="10"/>
      <c r="B8" s="79" t="s">
        <v>181</v>
      </c>
      <c r="C8" s="80"/>
      <c r="D8" s="80"/>
      <c r="E8" s="80"/>
      <c r="F8" s="80"/>
      <c r="G8" s="80"/>
      <c r="H8" s="80"/>
      <c r="I8" s="80"/>
      <c r="J8" s="81"/>
    </row>
    <row r="9" spans="1:10" ht="30" customHeight="1" x14ac:dyDescent="0.2">
      <c r="A9" s="10"/>
      <c r="B9" s="75" t="s">
        <v>182</v>
      </c>
      <c r="C9" s="76"/>
      <c r="D9" s="76"/>
      <c r="E9" s="9"/>
      <c r="F9" s="26"/>
      <c r="G9" s="29"/>
      <c r="H9" s="30"/>
      <c r="I9" s="37"/>
      <c r="J9" s="38"/>
    </row>
    <row r="10" spans="1:10" ht="30" customHeight="1" x14ac:dyDescent="0.2">
      <c r="A10" s="10"/>
      <c r="B10" s="73" t="s">
        <v>183</v>
      </c>
      <c r="C10" s="74"/>
      <c r="D10" s="74"/>
      <c r="E10" s="9">
        <v>5</v>
      </c>
      <c r="F10" s="26">
        <v>3.5</v>
      </c>
      <c r="G10" s="29">
        <f t="shared" ref="G10:G29" si="0">IFERROR(F10/E10,"")</f>
        <v>0.7</v>
      </c>
      <c r="H10" s="30" t="str">
        <f t="shared" ref="H10:H29" si="1">_xlfn.IFS(F10="أدخل العلامة","",F10="لا ينطبق","تم الإلغاء",G10&gt;=90%,"ممتاز",G10&gt;=80%,"جيد جداً",G10&gt;=70%,"جيد",G10&gt;=60%,"مقبول",G10&lt;60%,"راسب")</f>
        <v>جيد</v>
      </c>
      <c r="I10" s="37"/>
      <c r="J10" s="38"/>
    </row>
    <row r="11" spans="1:10" ht="39.950000000000003" customHeight="1" x14ac:dyDescent="0.2">
      <c r="A11" s="10"/>
      <c r="B11" s="73" t="s">
        <v>184</v>
      </c>
      <c r="C11" s="74"/>
      <c r="D11" s="74"/>
      <c r="E11" s="9">
        <v>5</v>
      </c>
      <c r="F11" s="34">
        <v>4.25</v>
      </c>
      <c r="G11" s="29">
        <f t="shared" si="0"/>
        <v>0.85</v>
      </c>
      <c r="H11" s="30" t="str">
        <f t="shared" si="1"/>
        <v>جيد جداً</v>
      </c>
      <c r="I11" s="37"/>
      <c r="J11" s="38"/>
    </row>
    <row r="12" spans="1:10" ht="39.950000000000003" customHeight="1" x14ac:dyDescent="0.2">
      <c r="A12" s="10"/>
      <c r="B12" s="73" t="s">
        <v>185</v>
      </c>
      <c r="C12" s="74"/>
      <c r="D12" s="74"/>
      <c r="E12" s="9">
        <v>5</v>
      </c>
      <c r="F12" s="34">
        <v>3.5</v>
      </c>
      <c r="G12" s="29">
        <f t="shared" si="0"/>
        <v>0.7</v>
      </c>
      <c r="H12" s="30" t="str">
        <f t="shared" si="1"/>
        <v>جيد</v>
      </c>
      <c r="I12" s="37"/>
      <c r="J12" s="38"/>
    </row>
    <row r="13" spans="1:10" ht="30" customHeight="1" x14ac:dyDescent="0.2">
      <c r="A13" s="10"/>
      <c r="B13" s="75" t="s">
        <v>186</v>
      </c>
      <c r="C13" s="76"/>
      <c r="D13" s="76"/>
      <c r="E13" s="9"/>
      <c r="F13" s="26"/>
      <c r="G13" s="29"/>
      <c r="H13" s="30"/>
      <c r="I13" s="37"/>
      <c r="J13" s="38"/>
    </row>
    <row r="14" spans="1:10" ht="54" customHeight="1" x14ac:dyDescent="0.2">
      <c r="A14" s="10"/>
      <c r="B14" s="73" t="s">
        <v>187</v>
      </c>
      <c r="C14" s="74"/>
      <c r="D14" s="74"/>
      <c r="E14" s="9">
        <v>5</v>
      </c>
      <c r="F14" s="26">
        <v>3.5</v>
      </c>
      <c r="G14" s="29">
        <f t="shared" si="0"/>
        <v>0.7</v>
      </c>
      <c r="H14" s="30" t="str">
        <f t="shared" si="1"/>
        <v>جيد</v>
      </c>
      <c r="I14" s="37"/>
      <c r="J14" s="38"/>
    </row>
    <row r="15" spans="1:10" ht="59.25" customHeight="1" x14ac:dyDescent="0.2">
      <c r="A15" s="10"/>
      <c r="B15" s="73" t="s">
        <v>188</v>
      </c>
      <c r="C15" s="74"/>
      <c r="D15" s="74"/>
      <c r="E15" s="9">
        <v>5</v>
      </c>
      <c r="F15" s="34">
        <v>3.5</v>
      </c>
      <c r="G15" s="29">
        <f t="shared" si="0"/>
        <v>0.7</v>
      </c>
      <c r="H15" s="30" t="str">
        <f t="shared" si="1"/>
        <v>جيد</v>
      </c>
      <c r="I15" s="37"/>
      <c r="J15" s="38"/>
    </row>
    <row r="16" spans="1:10" ht="49.5" customHeight="1" thickBot="1" x14ac:dyDescent="0.25">
      <c r="A16" s="10"/>
      <c r="B16" s="62" t="s">
        <v>189</v>
      </c>
      <c r="C16" s="63"/>
      <c r="D16" s="63"/>
      <c r="E16" s="31">
        <v>5</v>
      </c>
      <c r="F16" s="34">
        <v>3.5</v>
      </c>
      <c r="G16" s="32">
        <f t="shared" si="0"/>
        <v>0.7</v>
      </c>
      <c r="H16" s="33" t="str">
        <f t="shared" si="1"/>
        <v>جيد</v>
      </c>
      <c r="I16" s="35"/>
      <c r="J16" s="36"/>
    </row>
    <row r="17" spans="1:10" ht="30" customHeight="1" x14ac:dyDescent="0.2">
      <c r="A17" s="10"/>
      <c r="B17" s="79" t="s">
        <v>190</v>
      </c>
      <c r="C17" s="80"/>
      <c r="D17" s="80"/>
      <c r="E17" s="80"/>
      <c r="F17" s="80"/>
      <c r="G17" s="80"/>
      <c r="H17" s="80"/>
      <c r="I17" s="80"/>
      <c r="J17" s="81"/>
    </row>
    <row r="18" spans="1:10" ht="39.950000000000003" customHeight="1" x14ac:dyDescent="0.2">
      <c r="A18" s="10"/>
      <c r="B18" s="75" t="s">
        <v>191</v>
      </c>
      <c r="C18" s="76"/>
      <c r="D18" s="76"/>
      <c r="E18" s="9"/>
      <c r="F18" s="26"/>
      <c r="G18" s="29"/>
      <c r="H18" s="30"/>
      <c r="I18" s="37"/>
      <c r="J18" s="38"/>
    </row>
    <row r="19" spans="1:10" ht="30" customHeight="1" x14ac:dyDescent="0.2">
      <c r="A19" s="10"/>
      <c r="B19" s="73" t="s">
        <v>192</v>
      </c>
      <c r="C19" s="74"/>
      <c r="D19" s="74"/>
      <c r="E19" s="9">
        <v>5</v>
      </c>
      <c r="F19" s="26">
        <v>4</v>
      </c>
      <c r="G19" s="29">
        <f t="shared" si="0"/>
        <v>0.8</v>
      </c>
      <c r="H19" s="30" t="str">
        <f t="shared" si="1"/>
        <v>جيد جداً</v>
      </c>
      <c r="I19" s="37"/>
      <c r="J19" s="38"/>
    </row>
    <row r="20" spans="1:10" ht="30" customHeight="1" x14ac:dyDescent="0.2">
      <c r="A20" s="10"/>
      <c r="B20" s="73" t="s">
        <v>193</v>
      </c>
      <c r="C20" s="74"/>
      <c r="D20" s="74"/>
      <c r="E20" s="9">
        <v>5</v>
      </c>
      <c r="F20" s="34">
        <v>3.5</v>
      </c>
      <c r="G20" s="29">
        <f t="shared" si="0"/>
        <v>0.7</v>
      </c>
      <c r="H20" s="30" t="str">
        <f t="shared" si="1"/>
        <v>جيد</v>
      </c>
      <c r="I20" s="37"/>
      <c r="J20" s="38"/>
    </row>
    <row r="21" spans="1:10" ht="30" customHeight="1" x14ac:dyDescent="0.2">
      <c r="A21" s="10"/>
      <c r="B21" s="73" t="s">
        <v>194</v>
      </c>
      <c r="C21" s="74"/>
      <c r="D21" s="74"/>
      <c r="E21" s="9">
        <v>5</v>
      </c>
      <c r="F21" s="34">
        <v>3.5</v>
      </c>
      <c r="G21" s="29">
        <f t="shared" si="0"/>
        <v>0.7</v>
      </c>
      <c r="H21" s="30" t="str">
        <f t="shared" si="1"/>
        <v>جيد</v>
      </c>
      <c r="I21" s="37"/>
      <c r="J21" s="38"/>
    </row>
    <row r="22" spans="1:10" ht="30" customHeight="1" x14ac:dyDescent="0.2">
      <c r="A22" s="10"/>
      <c r="B22" s="73" t="s">
        <v>195</v>
      </c>
      <c r="C22" s="74"/>
      <c r="D22" s="74"/>
      <c r="E22" s="9">
        <v>5</v>
      </c>
      <c r="F22" s="34">
        <v>3.5</v>
      </c>
      <c r="G22" s="29">
        <f t="shared" si="0"/>
        <v>0.7</v>
      </c>
      <c r="H22" s="30" t="str">
        <f t="shared" si="1"/>
        <v>جيد</v>
      </c>
      <c r="I22" s="37"/>
      <c r="J22" s="38"/>
    </row>
    <row r="23" spans="1:10" ht="30" customHeight="1" x14ac:dyDescent="0.2">
      <c r="A23" s="10"/>
      <c r="B23" s="73" t="s">
        <v>196</v>
      </c>
      <c r="C23" s="74"/>
      <c r="D23" s="74"/>
      <c r="E23" s="9">
        <v>5</v>
      </c>
      <c r="F23" s="34">
        <v>3.5</v>
      </c>
      <c r="G23" s="29">
        <f t="shared" si="0"/>
        <v>0.7</v>
      </c>
      <c r="H23" s="30" t="str">
        <f t="shared" si="1"/>
        <v>جيد</v>
      </c>
      <c r="I23" s="37"/>
      <c r="J23" s="38"/>
    </row>
    <row r="24" spans="1:10" ht="30" customHeight="1" x14ac:dyDescent="0.2">
      <c r="A24" s="10"/>
      <c r="B24" s="75" t="s">
        <v>197</v>
      </c>
      <c r="C24" s="76"/>
      <c r="D24" s="76"/>
      <c r="E24" s="9"/>
      <c r="F24" s="26"/>
      <c r="G24" s="29"/>
      <c r="H24" s="30"/>
      <c r="I24" s="37"/>
      <c r="J24" s="38"/>
    </row>
    <row r="25" spans="1:10" ht="30" customHeight="1" x14ac:dyDescent="0.2">
      <c r="A25" s="10"/>
      <c r="B25" s="73" t="s">
        <v>198</v>
      </c>
      <c r="C25" s="74"/>
      <c r="D25" s="74"/>
      <c r="E25" s="9">
        <v>5</v>
      </c>
      <c r="F25" s="26">
        <v>3.5</v>
      </c>
      <c r="G25" s="29">
        <f t="shared" si="0"/>
        <v>0.7</v>
      </c>
      <c r="H25" s="30" t="str">
        <f t="shared" si="1"/>
        <v>جيد</v>
      </c>
      <c r="I25" s="37"/>
      <c r="J25" s="38"/>
    </row>
    <row r="26" spans="1:10" ht="39.950000000000003" customHeight="1" x14ac:dyDescent="0.2">
      <c r="A26" s="10"/>
      <c r="B26" s="73" t="s">
        <v>199</v>
      </c>
      <c r="C26" s="74"/>
      <c r="D26" s="74"/>
      <c r="E26" s="9">
        <v>5</v>
      </c>
      <c r="F26" s="34">
        <v>3.5</v>
      </c>
      <c r="G26" s="29">
        <f t="shared" si="0"/>
        <v>0.7</v>
      </c>
      <c r="H26" s="30" t="str">
        <f t="shared" si="1"/>
        <v>جيد</v>
      </c>
      <c r="I26" s="37"/>
      <c r="J26" s="38"/>
    </row>
    <row r="27" spans="1:10" ht="30" customHeight="1" x14ac:dyDescent="0.2">
      <c r="A27" s="10"/>
      <c r="B27" s="73" t="s">
        <v>200</v>
      </c>
      <c r="C27" s="74"/>
      <c r="D27" s="74"/>
      <c r="E27" s="9">
        <v>5</v>
      </c>
      <c r="F27" s="34">
        <v>3.5</v>
      </c>
      <c r="G27" s="29">
        <f t="shared" si="0"/>
        <v>0.7</v>
      </c>
      <c r="H27" s="30" t="str">
        <f t="shared" si="1"/>
        <v>جيد</v>
      </c>
      <c r="I27" s="37"/>
      <c r="J27" s="38"/>
    </row>
    <row r="28" spans="1:10" ht="30" customHeight="1" x14ac:dyDescent="0.2">
      <c r="A28" s="10"/>
      <c r="B28" s="75" t="s">
        <v>201</v>
      </c>
      <c r="C28" s="76"/>
      <c r="D28" s="76"/>
      <c r="E28" s="9">
        <v>5</v>
      </c>
      <c r="F28" s="34">
        <v>3.5</v>
      </c>
      <c r="G28" s="29">
        <f t="shared" si="0"/>
        <v>0.7</v>
      </c>
      <c r="H28" s="30" t="str">
        <f t="shared" si="1"/>
        <v>جيد</v>
      </c>
      <c r="I28" s="37"/>
      <c r="J28" s="38"/>
    </row>
    <row r="29" spans="1:10" ht="30" customHeight="1" thickBot="1" x14ac:dyDescent="0.25">
      <c r="A29" s="10"/>
      <c r="B29" s="77" t="s">
        <v>202</v>
      </c>
      <c r="C29" s="78"/>
      <c r="D29" s="78"/>
      <c r="E29" s="31">
        <v>5</v>
      </c>
      <c r="F29" s="34">
        <v>3.5</v>
      </c>
      <c r="G29" s="32">
        <f t="shared" si="0"/>
        <v>0.7</v>
      </c>
      <c r="H29" s="33" t="str">
        <f t="shared" si="1"/>
        <v>جيد</v>
      </c>
      <c r="I29" s="35"/>
      <c r="J29" s="36"/>
    </row>
    <row r="30" spans="1:10" ht="30" customHeight="1" thickBot="1" x14ac:dyDescent="0.25">
      <c r="A30" s="4"/>
      <c r="B30" s="43" t="s">
        <v>5</v>
      </c>
      <c r="C30" s="44"/>
      <c r="D30" s="44"/>
      <c r="E30" s="28">
        <f>SUM(E8:E29)</f>
        <v>80</v>
      </c>
      <c r="F30" s="28">
        <f>SUM(F8:F29)</f>
        <v>57.25</v>
      </c>
      <c r="G30" s="66"/>
      <c r="H30" s="67"/>
      <c r="I30" s="67"/>
      <c r="J30" s="68"/>
    </row>
    <row r="31" spans="1:10" ht="30" customHeight="1" thickBot="1" x14ac:dyDescent="0.25">
      <c r="A31" s="4"/>
      <c r="B31" s="45" t="s">
        <v>54</v>
      </c>
      <c r="C31" s="46"/>
      <c r="D31" s="46"/>
      <c r="E31" s="69">
        <f>F30/E30/100*100</f>
        <v>0.71562499999999996</v>
      </c>
      <c r="F31" s="69"/>
      <c r="G31" s="69"/>
      <c r="H31" s="69"/>
      <c r="I31" s="69"/>
      <c r="J31" s="70"/>
    </row>
    <row r="32" spans="1:10" ht="30" customHeight="1" thickBot="1" x14ac:dyDescent="0.25">
      <c r="A32" s="4"/>
      <c r="B32" s="45" t="s">
        <v>55</v>
      </c>
      <c r="C32" s="46"/>
      <c r="D32" s="46"/>
      <c r="E32" s="41" t="str">
        <f>_xlfn.IFS(E31&gt;=90%,"ممتاز",E31&gt;=80%,"جيد جداً",E31&gt;=70%,"جيد",E31&gt;=60%,"مقبول",E31&lt;60%,"راسب")</f>
        <v>جيد</v>
      </c>
      <c r="F32" s="41"/>
      <c r="G32" s="41"/>
      <c r="H32" s="41"/>
      <c r="I32" s="41"/>
      <c r="J32" s="42"/>
    </row>
    <row r="33" spans="1:10" ht="42" customHeight="1" x14ac:dyDescent="0.2">
      <c r="B33" s="71" t="s">
        <v>174</v>
      </c>
      <c r="C33" s="71"/>
      <c r="D33" s="71"/>
      <c r="E33" s="64" t="s">
        <v>52</v>
      </c>
      <c r="F33" s="64"/>
      <c r="G33" s="39" t="s">
        <v>176</v>
      </c>
      <c r="H33" s="39"/>
      <c r="I33" s="39"/>
      <c r="J33" s="39"/>
    </row>
    <row r="34" spans="1:10" ht="51" customHeight="1" x14ac:dyDescent="0.2">
      <c r="A34" s="5"/>
      <c r="B34" s="72"/>
      <c r="C34" s="72"/>
      <c r="D34" s="72"/>
      <c r="E34" s="65" t="s">
        <v>53</v>
      </c>
      <c r="F34" s="65"/>
      <c r="G34" s="40"/>
      <c r="H34" s="40"/>
      <c r="I34" s="40"/>
      <c r="J34" s="4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3">
    <mergeCell ref="B26:D26"/>
    <mergeCell ref="B27:D27"/>
    <mergeCell ref="B28:D28"/>
    <mergeCell ref="B29:D29"/>
    <mergeCell ref="B8:J8"/>
    <mergeCell ref="B17:J17"/>
    <mergeCell ref="B18:D18"/>
    <mergeCell ref="B19:D19"/>
    <mergeCell ref="B20:D20"/>
    <mergeCell ref="B21:D21"/>
    <mergeCell ref="B22:D22"/>
    <mergeCell ref="B23:D23"/>
    <mergeCell ref="B24:D24"/>
    <mergeCell ref="B25:D25"/>
    <mergeCell ref="B9:D9"/>
    <mergeCell ref="B10:D10"/>
    <mergeCell ref="B11:D11"/>
    <mergeCell ref="B12:D12"/>
    <mergeCell ref="B13:D13"/>
    <mergeCell ref="B14:D14"/>
    <mergeCell ref="B15:D15"/>
    <mergeCell ref="B16:D16"/>
    <mergeCell ref="I9:J9"/>
    <mergeCell ref="E33:F33"/>
    <mergeCell ref="E34:F34"/>
    <mergeCell ref="G30:J30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1:J31"/>
    <mergeCell ref="B33:D3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G33:J33"/>
    <mergeCell ref="G34:J34"/>
    <mergeCell ref="E32:J32"/>
    <mergeCell ref="B30:D30"/>
    <mergeCell ref="B31:D31"/>
    <mergeCell ref="B32:D32"/>
    <mergeCell ref="I16:J16"/>
    <mergeCell ref="I18:J18"/>
    <mergeCell ref="I28:J28"/>
    <mergeCell ref="I29:J29"/>
    <mergeCell ref="I11:J11"/>
    <mergeCell ref="I12:J12"/>
    <mergeCell ref="I13:J13"/>
    <mergeCell ref="I14:J14"/>
    <mergeCell ref="I15:J15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2">
    <cfRule type="expression" dxfId="21" priority="57">
      <formula>$E32="راسب"</formula>
    </cfRule>
  </conditionalFormatting>
  <conditionalFormatting sqref="E32:J32">
    <cfRule type="expression" dxfId="20" priority="60">
      <formula>$E32="جيد جداً"</formula>
    </cfRule>
    <cfRule type="expression" dxfId="19" priority="59">
      <formula>$E32="جيد"</formula>
    </cfRule>
    <cfRule type="expression" dxfId="18" priority="58">
      <formula>$E32="مقبول"</formula>
    </cfRule>
    <cfRule type="expression" dxfId="17" priority="61">
      <formula>$E32="ممتاز"</formula>
    </cfRule>
  </conditionalFormatting>
  <conditionalFormatting sqref="F9:F16">
    <cfRule type="containsText" dxfId="16" priority="4" operator="containsText" text="أدخل العلامة">
      <formula>NOT(ISERROR(SEARCH("أدخل العلامة",F9)))</formula>
    </cfRule>
  </conditionalFormatting>
  <conditionalFormatting sqref="F18:F29">
    <cfRule type="containsText" dxfId="15" priority="14" operator="containsText" text="أدخل العلامة">
      <formula>NOT(ISERROR(SEARCH("أدخل العلامة",F18)))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33:J33">
    <cfRule type="containsText" dxfId="12" priority="15" operator="containsText" text="أدخل اسم المحكم">
      <formula>NOT(ISERROR(SEARCH("أدخل اسم المحكم",G33)))</formula>
    </cfRule>
  </conditionalFormatting>
  <conditionalFormatting sqref="H9:H16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8:H29">
    <cfRule type="containsText" dxfId="5" priority="38" operator="containsText" text="أدخل العلامة">
      <formula>NOT(ISERROR(SEARCH("أدخل العلامة",H18)))</formula>
    </cfRule>
    <cfRule type="containsText" dxfId="4" priority="39" operator="containsText" text="ممتاز">
      <formula>NOT(ISERROR(SEARCH("ممتاز",H18)))</formula>
    </cfRule>
    <cfRule type="containsText" dxfId="3" priority="40" operator="containsText" text="جيد جداً">
      <formula>NOT(ISERROR(SEARCH("جيد جداً",H18)))</formula>
    </cfRule>
    <cfRule type="containsText" dxfId="2" priority="41" operator="containsText" text="جيد">
      <formula>NOT(ISERROR(SEARCH("جيد",H18)))</formula>
    </cfRule>
    <cfRule type="containsText" dxfId="1" priority="42" operator="containsText" text="مقبول">
      <formula>NOT(ISERROR(SEARCH("مقبول",H18)))</formula>
    </cfRule>
    <cfRule type="containsText" dxfId="0" priority="43" operator="containsText" text="راسب">
      <formula>NOT(ISERROR(SEARCH("راسب",H18)))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F25:F29 F19:F23 F14:F16 F10:F12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G33:J33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2025-10-22T08:12:04Z</dcterms:modified>
</cp:coreProperties>
</file>