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C3F407C-FAE3-4D65-BC7A-B0CDA2448F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<sst xmlns="http://schemas.openxmlformats.org/spreadsheetml/2006/main" count="281" uniqueCount="225">
  <si>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</si>
  <si>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</si>
  <si>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</si>
  <si>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</si>
  <si>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</si>
  <si>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</si>
  <si>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</si>
  <si>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</si>
  <si>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</si>
  <si>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</si>
  <si>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</si>
  <si>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</si>
  <si>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</si>
  <si>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</si>
  <si>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</si>
  <si>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</si>
  <si>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</si>
  <si>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</si>
  <si>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</si>
  <si>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</si>
  <si>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</si>
  <si>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</si>
  <si>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</si>
  <si>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</si>
  <si>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</si>
  <si>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</si>
  <si>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</si>
  <si>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</si>
  <si>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</si>
  <si>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</si>
  <si>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</si>
  <si>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</si>
  <si>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</si>
  <si>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</si>
  <si>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</si>
  <si>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</si>
  <si>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</si>
  <si>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</si>
  <si>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</si>
  <si>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</si>
  <si>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</si>
  <si>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</si>
  <si>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</si>
  <si>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</si>
  <si>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</si>
  <si>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</si>
  <si>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</si>
  <si>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</si>
  <si>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</si>
  <si>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</si>
  <si>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</si>
  <si>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</si>
  <si>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</si>
  <si>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</si>
  <si>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</si>
  <si>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</si>
  <si>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</si>
  <si>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</si>
  <si>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</si>
  <si>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</si>
  <si>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</si>
  <si>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</si>
  <si>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</si>
  <si>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</si>
  <si>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</si>
  <si>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</si>
  <si>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</si>
  <si>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</si>
  <si>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</si>
  <si>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</si>
  <si>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</si>
  <si>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</si>
  <si>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</si>
  <si>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</si>
  <si>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</si>
  <si>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</si>
  <si>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</si>
  <si>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</si>
  <si>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</si>
  <si>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</si>
  <si>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</si>
  <si>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</si>
  <si>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</si>
  <si>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</si>
  <si>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</si>
  <si>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</si>
  <si>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</si>
  <si>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</si>
  <si>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</si>
  <si>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</si>
  <si>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</si>
  <si>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</si>
  <si>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</si>
  <si>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</si>
  <si>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</si>
  <si>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</si>
  <si>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</si>
  <si>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</si>
  <si>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</si>
  <si>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</si>
  <si>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</si>
  <si>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</si>
  <si>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</si>
  <si>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</si>
  <si>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</si>
  <si>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</si>
  <si>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</si>
  <si>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</si>
  <si>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</si>
  <si>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</si>
  <si>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</si>
  <si>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</si>
  <si>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</si>
  <si>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</si>
  <si>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</si>
  <si>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</si>
  <si>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</si>
  <si>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</si>
  <si>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</si>
  <si>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</si>
  <si>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</si>
  <si>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</si>
  <si>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</si>
  <si>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</si>
  <si>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</si>
  <si>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</si>
  <si>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</si>
  <si>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</si>
  <si>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</si>
  <si>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</si>
  <si>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</si>
  <si>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</si>
  <si>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</si>
  <si>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</si>
  <si>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</si>
  <si>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</si>
  <si>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</si>
  <si>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</si>
  <si>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</si>
  <si>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</si>
  <si>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</si>
  <si>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</si>
  <si>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</si>
  <si>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</si>
  <si>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</si>
  <si>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</si>
  <si>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</si>
  <si>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</si>
  <si>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</si>
  <si>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</si>
  <si>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</si>
  <si>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</si>
  <si>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</si>
  <si>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</si>
  <si>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</si>
  <si>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</si>
  <si>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</si>
  <si>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</si>
  <si>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</si>
  <si>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</si>
  <si>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</si>
  <si>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</si>
  <si>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</si>
  <si>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</si>
  <si>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</si>
  <si>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</si>
  <si>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</si>
  <si>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</si>
  <si>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</si>
  <si>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</si>
  <si>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</si>
  <si>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</si>
  <si>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</si>
  <si>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</si>
  <si>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</si>
  <si>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</si>
  <si>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</si>
  <si>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تستلم قيادة الكتيبة/ مجموعة القتال الأوامر من المستوى الأعلى وتقوم بما يلي: </t>
    </r>
  </si>
  <si>
    <t>أ. البدء بالتخطيط من خلال إجراءات المعركة الثمانية.</t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</si>
  <si>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</si>
  <si>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</si>
  <si>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</si>
  <si>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t>(1) التجميع للواجب بما يتلاءم مع المهمة.</t>
  </si>
  <si>
    <t>(2) استخدام قوة الاستطلاع وتركيزها على إيجاد مواقع العدو.</t>
  </si>
  <si>
    <t>(3) استخدام تشكيلات الحركة التي تُمكِّن الكتيبة/ مجموعة القتال من الانفتاح بسرعة والهجوم من أي اتجاه، وأن تكون الوحدات ضمن مسافات إسناد بعضها البعض لتسهيل رد الفعل.</t>
  </si>
  <si>
    <t xml:space="preserve">(4) الحصول على التماس مع العدو بأصغر قوة ممكنة والمحافظة على حماية القوة. </t>
  </si>
  <si>
    <t>(5) المحافظة على إمكانية حشد النيران بسرعة من أي اتجاه.</t>
  </si>
  <si>
    <t>هـ. وضع إجراءات السيطرة المناسبة.</t>
  </si>
  <si>
    <t>و. تنسيق ومزامنة الوظائف القتالية التالية بناءً على متغيرات المهمة كما يلي:</t>
  </si>
  <si>
    <t>(1) إسناد النيران غير المباشرة.</t>
  </si>
  <si>
    <t>(2)  الإسناد الهندسي مع خطة المناورة.</t>
  </si>
  <si>
    <t>(3) إسناد الدفاع الجوي عند توفيره للكتيبة/ مجموعة القتال.</t>
  </si>
  <si>
    <t>(4) الإسناد الإداري قبل وأثناء العملية.</t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</si>
  <si>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</si>
  <si>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</si>
  <si>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تقوم قيادة الكتيبة/ مجموعة القتال بالإشراف على الوحدات المرؤوسة أثناء تحضيرها للتقدم للتماس. تقوم قيادة الكتيبة/ مجموعة القتال الإجراءات التالية:</t>
    </r>
  </si>
  <si>
    <t>أ. تنقيح الخطة بناءً على التحديث المستمر للمعلومات الاستخبارية.</t>
  </si>
  <si>
    <t>ب. تنفيذ الاستطلاع الواسع.</t>
  </si>
  <si>
    <t>جـ. التنسيق مع الوحدات المجاورة.</t>
  </si>
  <si>
    <t>د. الإشراف على عملية التخطيط والتحضير للوحدات المرؤوسة لضمان أن التخطيط والتحضير يتماشى مع قصد القائد.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</si>
  <si>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إجراء التجارب على تنفيذ المهمة لتشمل ما يلي: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</si>
  <si>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</si>
  <si>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</si>
  <si>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</si>
  <si>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إجراءات التعامل مع الموانع.</t>
  </si>
  <si>
    <t>هـ. إجراءات التحول للهجوم عند التماس مع العدو.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</si>
  <si>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</si>
  <si>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</si>
  <si>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من منطقة التجمع حسب الأولوية والخطة الموضوعة كما يلي:</t>
    </r>
  </si>
  <si>
    <t>أ. بدء حركة عناصر حرس المقدمة وحسب التوقيتات في أمر العمليات.</t>
  </si>
  <si>
    <t>ب. حركة الجسم الرئيسي وحرس الأجنحة وحرس المؤخرة حسب خطة المناورة (التشكيلة وأسلوب الحركة والطرق).</t>
  </si>
  <si>
    <t>جـ. تموضع وحدة الإسناد الهندسي حسب الخطة.</t>
  </si>
  <si>
    <t>د. حركة وحدات الإسناد الناري حسب الخطة.</t>
  </si>
  <si>
    <t>هـ. حركة وتموضع قيادة الكتيبة/ مجموعة القتال.</t>
  </si>
  <si>
    <t>و. حركة الإسناد الإداري حسب الخطة.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</si>
  <si>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تطبيق إجراءات العمل عند التماس مع العدو كما يلي: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</si>
  <si>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</si>
  <si>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</si>
  <si>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</si>
  <si>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(الهجوم، التجاوز، الدفاع السريع).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</si>
  <si>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</si>
  <si>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</si>
  <si>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</si>
  <si>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</si>
  <si>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r>
      <rPr>
        <b/>
        <sz val="14"/>
        <color rgb="FF000000"/>
        <rFont val="Arial"/>
        <family val="2"/>
      </rPr>
      <t>تقييم الكتيبة/ مجموعة القتال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</si>
</sst>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27433</xdr:colOff>
      <xdr:row>59</xdr:row>
      <xdr:rowOff>215495</xdr:rowOff>
    </xdr:from>
    <xdr:to>
      <xdr:col>7</xdr:col>
      <xdr:colOff>47593</xdr:colOff>
      <xdr:row>59</xdr:row>
      <xdr:rowOff>216935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14:cNvPr>
            <xdr14:cNvContentPartPr/>
          </xdr14:nvContentPartPr>
          <xdr14:nvPr macro=""/>
          <xdr14:xfrm>
            <a:off x="10399855407" y="29183040"/>
            <a:ext cx="20160" cy="1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849287" y="29176920"/>
              <a:ext cx="324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14473</xdr:colOff>
      <xdr:row>59</xdr:row>
      <xdr:rowOff>102095</xdr:rowOff>
    </xdr:from>
    <xdr:to>
      <xdr:col>8</xdr:col>
      <xdr:colOff>4486</xdr:colOff>
      <xdr:row>59</xdr:row>
      <xdr:rowOff>555335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14:cNvPr>
            <xdr14:cNvContentPartPr/>
          </xdr14:nvContentPartPr>
          <xdr14:nvPr macro=""/>
          <xdr14:xfrm>
            <a:off x="10399259607" y="29069640"/>
            <a:ext cx="628920" cy="453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53487" y="29063520"/>
              <a:ext cx="64116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199513</xdr:colOff>
      <xdr:row>59</xdr:row>
      <xdr:rowOff>374255</xdr:rowOff>
    </xdr:from>
    <xdr:to>
      <xdr:col>7</xdr:col>
      <xdr:colOff>233713</xdr:colOff>
      <xdr:row>59</xdr:row>
      <xdr:rowOff>391895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14:cNvPr>
            <xdr14:cNvContentPartPr/>
          </xdr14:nvContentPartPr>
          <xdr14:nvPr macro=""/>
          <xdr14:xfrm>
            <a:off x="10399669287" y="29341800"/>
            <a:ext cx="34200" cy="17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63167" y="29335680"/>
              <a:ext cx="46440" cy="2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29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1 5873,'0'0'0,"0"0"0,-17 0-352,-2 0-80,0 2-57,19-2-583,0 0 1072,0-1-2736,0 1 2736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0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1701 256 4705,'0'0'0,"-2"-1"208,-3-1-64,0 1-128,5 1-16,-4 0-40,1-2 32,1 1-32,2-1-8,0 2 48,0-1-96,0 1 16,0-1 16,0-1-1,0 2 65,0-1-32,0-1-8,0 2-8,0-1 56,0 1-8,0-2-8,0 0-8,0-1 32,0 0-24,0 3 8,0-4-8,0-1 16,0 1-24,0-2 24,0 6-8,2-4 8,3 0 0,-3 0 0,-2-1-40,0 5 32,5-4 0,2 1 0,3 0 0,-7 1 8,-3 2-8,4-2-8,1 1 16,7-1 8,-12 2 16,0 0-32,3 0 40,4 3-16,-7 0 8,2 1 113,-2-4-145,0 5 168,0-1 40,-5 7-16,-7-8-64,12-3-128,-4 11 120,-13-8 8,2 9-16,1-8 24,14-4-136,-15 11 160,3-8-72,-4 1 32,1 1-64,15-5-56,-12 2 56,7 1 0,-7-3 16,7 0-24,5 0-48,-4 0 24,1 0-24,1 0-56,2 0-96,0 0 152,-3-1-224,3-3-88,0-1-72,0 0 136,0 5 248,12-13-192,-9 7 56,9-8 64,-10 3 40,-2 11 32,3-12 24,11 7 16,-9-11 48,7 12 8,-12 4-96,2-13 80,10 10 104,-9-1 32,2-1-32,-5 5-184,2-2 160,-2 0-40,2 2-40,-2 0 0,0 0-80,0 0 136,0 3 64,0 11 16,-4-1 64,4-13-280,-20 19 256,6 2-88,-8 2 0,-2 2-40,24-25-128,-31 27 152,2-3 8,-5-1-8,-2-2-24,36-21-128,-33 20 128,-6-1 16,1-2 0,-6-1 72,44-16-216,-40 14 248,-9-3-23,4-7 7,1 9-56,44-13-176,-45 3 152,-1 1-8,0-1-32,8-3-48,38 0-64,-46 0 32,12-3-16,3-11 16,10 0 0,21 14-32,-13-19-104,9-2-96,1-5-184,3-3-41,0 29 425,17-36-432,0-4 32,7-1 96,5 1 96,-29 40 208,29-37-72,0 3 56,-1 3 40,-1 2 0,-27 29-24,24-22 24,0 2-8,-2 7 8,-8 9 0,-14 4-24,15-5-8,-11 4 40,1 1 24,-2 14 72,-3-14-128,-3 13 232,-11 8 48,-8 6 40,-7 6 1,29-33-321,-33 38 288,-6 2 72,-4 3 40,-5-2 48,48-41-448,-48 37 416,-3-3-48,-2-5-64,0-4-64,53-25-240,-53 24 208,0-2-48,3-5-16,-1-3-64,51-14-80,-53 4 104,3 9-64,4-13-24,8 0-72,38 0 56,-34-1-176,10-4-120,0-9-256,7 1-152,17 13 704,-2-15-784,-6-5-32,8-4 23,5-5 73,-5 29 720,20-31-656,1-5 136,3-1 152,5 2 136,-29 35 232,29-33-112,-3 3 112,1 6 40,-1 7 88,-26 17-128,20-11 192,-6 8 48,-4 2 80,-6-1 32,-4 2-352,3 0 392,-1 3 72,1 10 56,-3-2 121,0-11-641,0 14 752,-3 5 32,-18 4-72,-1 1-120,22-24-592,-24 28 456,-3-1-120,-1 0-64,-1 0-56,29-27-216,-29 24 144,5-1-32,2-2-72,1 1-8,21-22-32,-15 18-16,13 1-56,-1-1-88,3-1-184,0-17 344,17 17-536,7 0-72,12-2-32,5-3 32,-41-12 608,48 3-576,5 1-120,-5-4-65,3 0 89,-51 0 672,38 0-520,-6 0 224,-13 5 296,-14 9 160,-5-14-160,2 13 376,-2 2 288,-5 5 313,-14 6 215,19-26-1192,-29 33 1224,-9 6 120,-11 7-95,-6 4-33,55-50-1216,-60 52 1240,-5 4-200,5-2-135,5 1-193,55-55-712,-53 53 528,12-5-224,14-7-128,13-8-128,14-33-48,0 23-24,12-6 0,12-6 40,22-11-32,-46 0 16,62-1 0,22-19-88,17-14-168,17-12-272,-118 46 528,128-58-1008,4-3-369,5-3-1015,-2 0-1425,-135 64 3817,130-60-3217,-8 9-2824,-122 51 6041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1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49 20868,'0'0'0,"-16"-16"992,16 16-992,-8-4 416,-9-10 8,17 12-88,-2 1-280,2 1-56,-2-2-432,2 1-568,4 1-920,16 0-2601,-20 0 4521,33-4-4897,3-1-2713,-36 5 7610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topLeftCell="A56" zoomScale="130" zoomScaleNormal="100" zoomScaleSheetLayoutView="130" workbookViewId="0">
      <selection activeCell="G4" sqref="G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6" t="s">
        <v>224</v>
      </c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3">
      <c r="B2" s="12" t="s">
        <v>8</v>
      </c>
      <c r="C2" s="42" t="s">
        <v>44</v>
      </c>
      <c r="D2" s="42"/>
      <c r="E2" s="12" t="s">
        <v>7</v>
      </c>
      <c r="F2" s="37">
        <v>45953</v>
      </c>
      <c r="G2" s="37"/>
      <c r="H2" s="37"/>
      <c r="I2" s="37"/>
      <c r="J2" s="37"/>
    </row>
    <row r="3" spans="1:10" ht="30" customHeight="1" x14ac:dyDescent="0.3">
      <c r="B3" s="12" t="s">
        <v>9</v>
      </c>
      <c r="C3" s="42" t="s">
        <v>85</v>
      </c>
      <c r="D3" s="42"/>
      <c r="E3" s="12" t="s">
        <v>6</v>
      </c>
      <c r="F3" s="42" t="s">
        <v>100</v>
      </c>
      <c r="G3" s="42"/>
      <c r="H3" s="42"/>
      <c r="I3" s="42"/>
      <c r="J3" s="42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38" t="s">
        <v>0</v>
      </c>
      <c r="C5" s="39"/>
      <c r="D5" s="39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10"/>
      <c r="B6" s="40"/>
      <c r="C6" s="41"/>
      <c r="D6" s="41"/>
      <c r="E6" s="11" t="s">
        <v>3</v>
      </c>
      <c r="F6" s="11" t="s">
        <v>4</v>
      </c>
      <c r="G6" s="11" t="s">
        <v>23</v>
      </c>
      <c r="H6" s="11" t="s">
        <v>24</v>
      </c>
      <c r="I6" s="53"/>
      <c r="J6" s="54"/>
    </row>
    <row r="7" spans="1:10" ht="24.9" customHeight="1" thickBot="1" x14ac:dyDescent="0.35">
      <c r="A7" s="10"/>
      <c r="B7" s="45" t="s">
        <v>21</v>
      </c>
      <c r="C7" s="46"/>
      <c r="D7" s="46"/>
      <c r="E7" s="28" t="s">
        <v>18</v>
      </c>
      <c r="F7" s="28" t="s">
        <v>19</v>
      </c>
      <c r="G7" s="28" t="s">
        <v>22</v>
      </c>
      <c r="H7" s="28" t="s">
        <v>20</v>
      </c>
      <c r="I7" s="55" t="s">
        <v>25</v>
      </c>
      <c r="J7" s="56"/>
    </row>
    <row r="8" spans="1:10" ht="39.9" customHeight="1" x14ac:dyDescent="0.3">
      <c r="A8" s="10"/>
      <c r="B8" s="76" t="s">
        <v>176</v>
      </c>
      <c r="C8" s="77"/>
      <c r="D8" s="77"/>
      <c r="E8" s="77"/>
      <c r="F8" s="77"/>
      <c r="G8" s="77"/>
      <c r="H8" s="77"/>
      <c r="I8" s="77"/>
      <c r="J8" s="78"/>
    </row>
    <row r="9" spans="1:10" ht="39.9" customHeight="1" x14ac:dyDescent="0.3">
      <c r="A9" s="10"/>
      <c r="B9" s="81" t="s">
        <v>177</v>
      </c>
      <c r="C9" s="82"/>
      <c r="D9" s="82"/>
      <c r="E9" s="30"/>
      <c r="F9" s="26"/>
      <c r="G9" s="31"/>
      <c r="H9" s="32"/>
      <c r="I9" s="49"/>
      <c r="J9" s="50"/>
    </row>
    <row r="10" spans="1:10" ht="39.9" customHeight="1" x14ac:dyDescent="0.3">
      <c r="A10" s="10"/>
      <c r="B10" s="68" t="s">
        <v>178</v>
      </c>
      <c r="C10" s="69"/>
      <c r="D10" s="69"/>
      <c r="E10" s="9">
        <v>5</v>
      </c>
      <c r="F10" s="26">
        <v>4</v>
      </c>
      <c r="G10" s="31">
        <f t="shared" ref="G10:G55" si="0">IFERROR(F10/E10,"")</f>
        <v>0.8</v>
      </c>
      <c r="H10" s="32" t="str">
        <f t="shared" ref="H10:H5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9"/>
      <c r="J10" s="50"/>
    </row>
    <row r="11" spans="1:10" ht="39.9" customHeight="1" x14ac:dyDescent="0.3">
      <c r="A11" s="10"/>
      <c r="B11" s="68" t="s">
        <v>179</v>
      </c>
      <c r="C11" s="69"/>
      <c r="D11" s="69"/>
      <c r="E11" s="9">
        <v>5</v>
      </c>
      <c r="F11" s="26">
        <v>4</v>
      </c>
      <c r="G11" s="31">
        <f t="shared" si="0"/>
        <v>0.8</v>
      </c>
      <c r="H11" s="32" t="str">
        <f t="shared" si="1"/>
        <v>جيد جداً</v>
      </c>
      <c r="I11" s="49"/>
      <c r="J11" s="50"/>
    </row>
    <row r="12" spans="1:10" ht="39.9" customHeight="1" x14ac:dyDescent="0.3">
      <c r="A12" s="10"/>
      <c r="B12" s="68" t="s">
        <v>180</v>
      </c>
      <c r="C12" s="69"/>
      <c r="D12" s="69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9"/>
      <c r="J12" s="50"/>
    </row>
    <row r="13" spans="1:10" ht="39.9" customHeight="1" x14ac:dyDescent="0.3">
      <c r="A13" s="10"/>
      <c r="B13" s="68" t="s">
        <v>181</v>
      </c>
      <c r="C13" s="69"/>
      <c r="D13" s="69"/>
      <c r="E13" s="30"/>
      <c r="F13" s="26"/>
      <c r="G13" s="31"/>
      <c r="H13" s="32"/>
      <c r="I13" s="49"/>
      <c r="J13" s="50"/>
    </row>
    <row r="14" spans="1:10" ht="39.9" customHeight="1" x14ac:dyDescent="0.3">
      <c r="A14" s="10"/>
      <c r="B14" s="79" t="s">
        <v>182</v>
      </c>
      <c r="C14" s="80"/>
      <c r="D14" s="80"/>
      <c r="E14" s="9">
        <v>5</v>
      </c>
      <c r="F14" s="26">
        <v>4</v>
      </c>
      <c r="G14" s="31">
        <f t="shared" si="0"/>
        <v>0.8</v>
      </c>
      <c r="H14" s="32" t="str">
        <f t="shared" si="1"/>
        <v>جيد جداً</v>
      </c>
      <c r="I14" s="49"/>
      <c r="J14" s="50"/>
    </row>
    <row r="15" spans="1:10" ht="39.9" customHeight="1" x14ac:dyDescent="0.3">
      <c r="A15" s="10"/>
      <c r="B15" s="79" t="s">
        <v>183</v>
      </c>
      <c r="C15" s="80"/>
      <c r="D15" s="80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49"/>
      <c r="J15" s="50"/>
    </row>
    <row r="16" spans="1:10" ht="50.1" customHeight="1" x14ac:dyDescent="0.3">
      <c r="A16" s="10"/>
      <c r="B16" s="79" t="s">
        <v>184</v>
      </c>
      <c r="C16" s="80"/>
      <c r="D16" s="80"/>
      <c r="E16" s="9">
        <v>5</v>
      </c>
      <c r="F16" s="26">
        <v>4</v>
      </c>
      <c r="G16" s="31">
        <f t="shared" si="0"/>
        <v>0.8</v>
      </c>
      <c r="H16" s="32" t="str">
        <f t="shared" si="1"/>
        <v>جيد جداً</v>
      </c>
      <c r="I16" s="49"/>
      <c r="J16" s="50"/>
    </row>
    <row r="17" spans="1:10" ht="39.9" customHeight="1" x14ac:dyDescent="0.3">
      <c r="A17" s="10"/>
      <c r="B17" s="79" t="s">
        <v>185</v>
      </c>
      <c r="C17" s="80"/>
      <c r="D17" s="80"/>
      <c r="E17" s="9">
        <v>5</v>
      </c>
      <c r="F17" s="26">
        <v>4</v>
      </c>
      <c r="G17" s="31">
        <f t="shared" si="0"/>
        <v>0.8</v>
      </c>
      <c r="H17" s="32" t="str">
        <f t="shared" si="1"/>
        <v>جيد جداً</v>
      </c>
      <c r="I17" s="49"/>
      <c r="J17" s="50"/>
    </row>
    <row r="18" spans="1:10" ht="39.9" customHeight="1" x14ac:dyDescent="0.3">
      <c r="A18" s="10"/>
      <c r="B18" s="79" t="s">
        <v>186</v>
      </c>
      <c r="C18" s="80"/>
      <c r="D18" s="80"/>
      <c r="E18" s="9">
        <v>5</v>
      </c>
      <c r="F18" s="26">
        <v>4</v>
      </c>
      <c r="G18" s="31">
        <f t="shared" si="0"/>
        <v>0.8</v>
      </c>
      <c r="H18" s="32" t="str">
        <f t="shared" si="1"/>
        <v>جيد جداً</v>
      </c>
      <c r="I18" s="49"/>
      <c r="J18" s="50"/>
    </row>
    <row r="19" spans="1:10" ht="39.9" customHeight="1" x14ac:dyDescent="0.3">
      <c r="A19" s="10"/>
      <c r="B19" s="68" t="s">
        <v>187</v>
      </c>
      <c r="C19" s="69"/>
      <c r="D19" s="69"/>
      <c r="E19" s="9">
        <v>5</v>
      </c>
      <c r="F19" s="26">
        <v>4</v>
      </c>
      <c r="G19" s="31">
        <f t="shared" si="0"/>
        <v>0.8</v>
      </c>
      <c r="H19" s="32" t="str">
        <f t="shared" si="1"/>
        <v>جيد جداً</v>
      </c>
      <c r="I19" s="49"/>
      <c r="J19" s="50"/>
    </row>
    <row r="20" spans="1:10" ht="39.9" customHeight="1" x14ac:dyDescent="0.3">
      <c r="A20" s="10"/>
      <c r="B20" s="68" t="s">
        <v>188</v>
      </c>
      <c r="C20" s="69"/>
      <c r="D20" s="69"/>
      <c r="E20" s="30"/>
      <c r="F20" s="26"/>
      <c r="G20" s="31"/>
      <c r="H20" s="32"/>
      <c r="I20" s="49"/>
      <c r="J20" s="50"/>
    </row>
    <row r="21" spans="1:10" ht="39.9" customHeight="1" x14ac:dyDescent="0.3">
      <c r="A21" s="10"/>
      <c r="B21" s="79" t="s">
        <v>189</v>
      </c>
      <c r="C21" s="80"/>
      <c r="D21" s="80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9"/>
      <c r="J21" s="50"/>
    </row>
    <row r="22" spans="1:10" ht="39.9" customHeight="1" x14ac:dyDescent="0.3">
      <c r="A22" s="10"/>
      <c r="B22" s="79" t="s">
        <v>190</v>
      </c>
      <c r="C22" s="80"/>
      <c r="D22" s="80"/>
      <c r="E22" s="9">
        <v>5</v>
      </c>
      <c r="F22" s="26">
        <v>3.75</v>
      </c>
      <c r="G22" s="31">
        <f t="shared" si="0"/>
        <v>0.75</v>
      </c>
      <c r="H22" s="32" t="str">
        <f t="shared" si="1"/>
        <v>جيد</v>
      </c>
      <c r="I22" s="49"/>
      <c r="J22" s="50"/>
    </row>
    <row r="23" spans="1:10" ht="39.9" customHeight="1" x14ac:dyDescent="0.3">
      <c r="A23" s="10"/>
      <c r="B23" s="79" t="s">
        <v>191</v>
      </c>
      <c r="C23" s="80"/>
      <c r="D23" s="80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49"/>
      <c r="J23" s="50"/>
    </row>
    <row r="24" spans="1:10" ht="39.9" customHeight="1" x14ac:dyDescent="0.3">
      <c r="A24" s="10"/>
      <c r="B24" s="79" t="s">
        <v>192</v>
      </c>
      <c r="C24" s="80"/>
      <c r="D24" s="80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49"/>
      <c r="J24" s="50"/>
    </row>
    <row r="25" spans="1:10" ht="39.9" customHeight="1" thickBot="1" x14ac:dyDescent="0.35">
      <c r="A25" s="10"/>
      <c r="B25" s="74" t="s">
        <v>193</v>
      </c>
      <c r="C25" s="75"/>
      <c r="D25" s="75"/>
      <c r="E25" s="33">
        <v>5</v>
      </c>
      <c r="F25" s="27">
        <v>3.75</v>
      </c>
      <c r="G25" s="34">
        <f t="shared" si="0"/>
        <v>0.75</v>
      </c>
      <c r="H25" s="35" t="str">
        <f t="shared" si="1"/>
        <v>جيد</v>
      </c>
      <c r="I25" s="47"/>
      <c r="J25" s="48"/>
    </row>
    <row r="26" spans="1:10" ht="39.9" customHeight="1" x14ac:dyDescent="0.3">
      <c r="A26" s="10"/>
      <c r="B26" s="76" t="s">
        <v>194</v>
      </c>
      <c r="C26" s="77"/>
      <c r="D26" s="77"/>
      <c r="E26" s="77"/>
      <c r="F26" s="77"/>
      <c r="G26" s="77"/>
      <c r="H26" s="77"/>
      <c r="I26" s="77"/>
      <c r="J26" s="78"/>
    </row>
    <row r="27" spans="1:10" ht="50.1" customHeight="1" x14ac:dyDescent="0.3">
      <c r="A27" s="10"/>
      <c r="B27" s="81" t="s">
        <v>195</v>
      </c>
      <c r="C27" s="82"/>
      <c r="D27" s="82"/>
      <c r="E27" s="9"/>
      <c r="F27" s="26"/>
      <c r="G27" s="31"/>
      <c r="H27" s="32"/>
      <c r="I27" s="49"/>
      <c r="J27" s="50"/>
    </row>
    <row r="28" spans="1:10" ht="39.9" customHeight="1" x14ac:dyDescent="0.3">
      <c r="A28" s="10"/>
      <c r="B28" s="68" t="s">
        <v>196</v>
      </c>
      <c r="C28" s="69"/>
      <c r="D28" s="69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9"/>
      <c r="J28" s="50"/>
    </row>
    <row r="29" spans="1:10" ht="39.9" customHeight="1" x14ac:dyDescent="0.3">
      <c r="A29" s="10"/>
      <c r="B29" s="68" t="s">
        <v>197</v>
      </c>
      <c r="C29" s="69"/>
      <c r="D29" s="69"/>
      <c r="E29" s="9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9"/>
      <c r="J29" s="50"/>
    </row>
    <row r="30" spans="1:10" ht="39.9" customHeight="1" x14ac:dyDescent="0.3">
      <c r="A30" s="10"/>
      <c r="B30" s="68" t="s">
        <v>198</v>
      </c>
      <c r="C30" s="69"/>
      <c r="D30" s="69"/>
      <c r="E30" s="9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9"/>
      <c r="J30" s="50"/>
    </row>
    <row r="31" spans="1:10" ht="39.9" customHeight="1" x14ac:dyDescent="0.3">
      <c r="A31" s="10"/>
      <c r="B31" s="68" t="s">
        <v>199</v>
      </c>
      <c r="C31" s="69"/>
      <c r="D31" s="69"/>
      <c r="E31" s="9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49"/>
      <c r="J31" s="50"/>
    </row>
    <row r="32" spans="1:10" ht="39.9" customHeight="1" x14ac:dyDescent="0.3">
      <c r="A32" s="10"/>
      <c r="B32" s="81" t="s">
        <v>200</v>
      </c>
      <c r="C32" s="82"/>
      <c r="D32" s="82"/>
      <c r="E32" s="30"/>
      <c r="F32" s="26"/>
      <c r="G32" s="31"/>
      <c r="H32" s="32"/>
      <c r="I32" s="49"/>
      <c r="J32" s="50"/>
    </row>
    <row r="33" spans="1:10" ht="39.9" customHeight="1" x14ac:dyDescent="0.3">
      <c r="A33" s="10"/>
      <c r="B33" s="68" t="s">
        <v>201</v>
      </c>
      <c r="C33" s="69"/>
      <c r="D33" s="69"/>
      <c r="E33" s="9">
        <v>5</v>
      </c>
      <c r="F33" s="26">
        <v>4</v>
      </c>
      <c r="G33" s="31">
        <f t="shared" si="0"/>
        <v>0.8</v>
      </c>
      <c r="H33" s="32" t="str">
        <f t="shared" si="1"/>
        <v>جيد جداً</v>
      </c>
      <c r="I33" s="49"/>
      <c r="J33" s="50"/>
    </row>
    <row r="34" spans="1:10" ht="39.9" customHeight="1" x14ac:dyDescent="0.3">
      <c r="A34" s="10"/>
      <c r="B34" s="68" t="s">
        <v>202</v>
      </c>
      <c r="C34" s="69"/>
      <c r="D34" s="69"/>
      <c r="E34" s="9">
        <v>5</v>
      </c>
      <c r="F34" s="26">
        <v>4</v>
      </c>
      <c r="G34" s="31">
        <f t="shared" si="0"/>
        <v>0.8</v>
      </c>
      <c r="H34" s="32" t="str">
        <f t="shared" si="1"/>
        <v>جيد جداً</v>
      </c>
      <c r="I34" s="49"/>
      <c r="J34" s="50"/>
    </row>
    <row r="35" spans="1:10" ht="39.9" customHeight="1" x14ac:dyDescent="0.3">
      <c r="A35" s="10"/>
      <c r="B35" s="68" t="s">
        <v>203</v>
      </c>
      <c r="C35" s="69"/>
      <c r="D35" s="69"/>
      <c r="E35" s="9">
        <v>5</v>
      </c>
      <c r="F35" s="26">
        <v>4</v>
      </c>
      <c r="G35" s="31">
        <f t="shared" si="0"/>
        <v>0.8</v>
      </c>
      <c r="H35" s="32" t="str">
        <f t="shared" si="1"/>
        <v>جيد جداً</v>
      </c>
      <c r="I35" s="49"/>
      <c r="J35" s="50"/>
    </row>
    <row r="36" spans="1:10" ht="39.9" customHeight="1" x14ac:dyDescent="0.3">
      <c r="A36" s="10"/>
      <c r="B36" s="68" t="s">
        <v>204</v>
      </c>
      <c r="C36" s="69"/>
      <c r="D36" s="69"/>
      <c r="E36" s="9">
        <v>5</v>
      </c>
      <c r="F36" s="26">
        <v>4</v>
      </c>
      <c r="G36" s="31">
        <f t="shared" si="0"/>
        <v>0.8</v>
      </c>
      <c r="H36" s="32" t="str">
        <f t="shared" si="1"/>
        <v>جيد جداً</v>
      </c>
      <c r="I36" s="49"/>
      <c r="J36" s="50"/>
    </row>
    <row r="37" spans="1:10" ht="39.9" customHeight="1" x14ac:dyDescent="0.3">
      <c r="A37" s="10"/>
      <c r="B37" s="68" t="s">
        <v>205</v>
      </c>
      <c r="C37" s="69"/>
      <c r="D37" s="69"/>
      <c r="E37" s="9">
        <v>5</v>
      </c>
      <c r="F37" s="26">
        <v>4</v>
      </c>
      <c r="G37" s="31">
        <f t="shared" si="0"/>
        <v>0.8</v>
      </c>
      <c r="H37" s="32" t="str">
        <f t="shared" si="1"/>
        <v>جيد جداً</v>
      </c>
      <c r="I37" s="49"/>
      <c r="J37" s="50"/>
    </row>
    <row r="38" spans="1:10" ht="39.9" customHeight="1" thickBot="1" x14ac:dyDescent="0.35">
      <c r="A38" s="10"/>
      <c r="B38" s="83" t="s">
        <v>206</v>
      </c>
      <c r="C38" s="84"/>
      <c r="D38" s="84"/>
      <c r="E38" s="33">
        <v>5</v>
      </c>
      <c r="F38" s="27">
        <v>4</v>
      </c>
      <c r="G38" s="34">
        <f t="shared" si="0"/>
        <v>0.8</v>
      </c>
      <c r="H38" s="35" t="str">
        <f t="shared" si="1"/>
        <v>جيد جداً</v>
      </c>
      <c r="I38" s="47"/>
      <c r="J38" s="48"/>
    </row>
    <row r="39" spans="1:10" ht="39.9" customHeight="1" x14ac:dyDescent="0.3">
      <c r="A39" s="10"/>
      <c r="B39" s="76" t="s">
        <v>207</v>
      </c>
      <c r="C39" s="77"/>
      <c r="D39" s="77"/>
      <c r="E39" s="77"/>
      <c r="F39" s="77"/>
      <c r="G39" s="77"/>
      <c r="H39" s="77"/>
      <c r="I39" s="77"/>
      <c r="J39" s="78"/>
    </row>
    <row r="40" spans="1:10" ht="39.9" customHeight="1" x14ac:dyDescent="0.3">
      <c r="A40" s="10"/>
      <c r="B40" s="81" t="s">
        <v>208</v>
      </c>
      <c r="C40" s="82"/>
      <c r="D40" s="82"/>
      <c r="E40" s="9"/>
      <c r="F40" s="26"/>
      <c r="G40" s="31"/>
      <c r="H40" s="32"/>
      <c r="I40" s="49"/>
      <c r="J40" s="50"/>
    </row>
    <row r="41" spans="1:10" ht="39.9" customHeight="1" x14ac:dyDescent="0.3">
      <c r="A41" s="10"/>
      <c r="B41" s="68" t="s">
        <v>209</v>
      </c>
      <c r="C41" s="69"/>
      <c r="D41" s="69"/>
      <c r="E41" s="9">
        <v>5</v>
      </c>
      <c r="F41" s="26">
        <v>4.25</v>
      </c>
      <c r="G41" s="31">
        <f t="shared" si="0"/>
        <v>0.85</v>
      </c>
      <c r="H41" s="32" t="str">
        <f t="shared" si="1"/>
        <v>جيد جداً</v>
      </c>
      <c r="I41" s="49"/>
      <c r="J41" s="50"/>
    </row>
    <row r="42" spans="1:10" ht="39.9" customHeight="1" x14ac:dyDescent="0.3">
      <c r="A42" s="10"/>
      <c r="B42" s="68" t="s">
        <v>210</v>
      </c>
      <c r="C42" s="69"/>
      <c r="D42" s="69"/>
      <c r="E42" s="9">
        <v>5</v>
      </c>
      <c r="F42" s="26">
        <v>4</v>
      </c>
      <c r="G42" s="31">
        <f t="shared" si="0"/>
        <v>0.8</v>
      </c>
      <c r="H42" s="32" t="str">
        <f t="shared" si="1"/>
        <v>جيد جداً</v>
      </c>
      <c r="I42" s="49"/>
      <c r="J42" s="50"/>
    </row>
    <row r="43" spans="1:10" ht="39.9" customHeight="1" x14ac:dyDescent="0.3">
      <c r="A43" s="10"/>
      <c r="B43" s="68" t="s">
        <v>211</v>
      </c>
      <c r="C43" s="69"/>
      <c r="D43" s="69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9"/>
      <c r="J43" s="50"/>
    </row>
    <row r="44" spans="1:10" ht="39.9" customHeight="1" x14ac:dyDescent="0.3">
      <c r="A44" s="10"/>
      <c r="B44" s="68" t="s">
        <v>212</v>
      </c>
      <c r="C44" s="69"/>
      <c r="D44" s="69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9"/>
      <c r="J44" s="50"/>
    </row>
    <row r="45" spans="1:10" ht="39.9" customHeight="1" x14ac:dyDescent="0.3">
      <c r="A45" s="10"/>
      <c r="B45" s="68" t="s">
        <v>213</v>
      </c>
      <c r="C45" s="69"/>
      <c r="D45" s="69"/>
      <c r="E45" s="9">
        <v>5</v>
      </c>
      <c r="F45" s="26">
        <v>4</v>
      </c>
      <c r="G45" s="31">
        <f t="shared" si="0"/>
        <v>0.8</v>
      </c>
      <c r="H45" s="32" t="str">
        <f t="shared" si="1"/>
        <v>جيد جداً</v>
      </c>
      <c r="I45" s="49"/>
      <c r="J45" s="50"/>
    </row>
    <row r="46" spans="1:10" ht="39.9" customHeight="1" x14ac:dyDescent="0.3">
      <c r="A46" s="10"/>
      <c r="B46" s="68" t="s">
        <v>214</v>
      </c>
      <c r="C46" s="69"/>
      <c r="D46" s="69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49"/>
      <c r="J46" s="50"/>
    </row>
    <row r="47" spans="1:10" ht="39.9" customHeight="1" x14ac:dyDescent="0.3">
      <c r="A47" s="10"/>
      <c r="B47" s="81" t="s">
        <v>215</v>
      </c>
      <c r="C47" s="82"/>
      <c r="D47" s="82"/>
      <c r="E47" s="30"/>
      <c r="F47" s="26"/>
      <c r="G47" s="31"/>
      <c r="H47" s="32"/>
      <c r="I47" s="49"/>
      <c r="J47" s="50"/>
    </row>
    <row r="48" spans="1:10" ht="39.9" customHeight="1" x14ac:dyDescent="0.3">
      <c r="A48" s="10"/>
      <c r="B48" s="68" t="s">
        <v>216</v>
      </c>
      <c r="C48" s="69"/>
      <c r="D48" s="69"/>
      <c r="E48" s="9">
        <v>5</v>
      </c>
      <c r="F48" s="26">
        <v>4</v>
      </c>
      <c r="G48" s="31">
        <f t="shared" si="0"/>
        <v>0.8</v>
      </c>
      <c r="H48" s="32" t="str">
        <f t="shared" si="1"/>
        <v>جيد جداً</v>
      </c>
      <c r="I48" s="49"/>
      <c r="J48" s="50"/>
    </row>
    <row r="49" spans="1:10" ht="39.9" customHeight="1" x14ac:dyDescent="0.3">
      <c r="A49" s="10"/>
      <c r="B49" s="68" t="s">
        <v>217</v>
      </c>
      <c r="C49" s="69"/>
      <c r="D49" s="69"/>
      <c r="E49" s="9">
        <v>5</v>
      </c>
      <c r="F49" s="26">
        <v>4</v>
      </c>
      <c r="G49" s="31">
        <f t="shared" si="0"/>
        <v>0.8</v>
      </c>
      <c r="H49" s="32" t="str">
        <f t="shared" si="1"/>
        <v>جيد جداً</v>
      </c>
      <c r="I49" s="49"/>
      <c r="J49" s="50"/>
    </row>
    <row r="50" spans="1:10" ht="39.9" customHeight="1" x14ac:dyDescent="0.3">
      <c r="A50" s="10"/>
      <c r="B50" s="68" t="s">
        <v>218</v>
      </c>
      <c r="C50" s="69"/>
      <c r="D50" s="69"/>
      <c r="E50" s="9">
        <v>5</v>
      </c>
      <c r="F50" s="26">
        <v>4</v>
      </c>
      <c r="G50" s="31">
        <f t="shared" si="0"/>
        <v>0.8</v>
      </c>
      <c r="H50" s="32" t="str">
        <f t="shared" si="1"/>
        <v>جيد جداً</v>
      </c>
      <c r="I50" s="49"/>
      <c r="J50" s="50"/>
    </row>
    <row r="51" spans="1:10" ht="39.9" customHeight="1" x14ac:dyDescent="0.3">
      <c r="A51" s="10"/>
      <c r="B51" s="68" t="s">
        <v>219</v>
      </c>
      <c r="C51" s="69"/>
      <c r="D51" s="69"/>
      <c r="E51" s="9">
        <v>5</v>
      </c>
      <c r="F51" s="26">
        <v>4.25</v>
      </c>
      <c r="G51" s="31">
        <f t="shared" si="0"/>
        <v>0.85</v>
      </c>
      <c r="H51" s="32" t="str">
        <f t="shared" si="1"/>
        <v>جيد جداً</v>
      </c>
      <c r="I51" s="49"/>
      <c r="J51" s="50"/>
    </row>
    <row r="52" spans="1:10" ht="39.9" customHeight="1" x14ac:dyDescent="0.3">
      <c r="A52" s="10"/>
      <c r="B52" s="68" t="s">
        <v>220</v>
      </c>
      <c r="C52" s="69"/>
      <c r="D52" s="69"/>
      <c r="E52" s="9">
        <v>5</v>
      </c>
      <c r="F52" s="26">
        <v>4</v>
      </c>
      <c r="G52" s="31">
        <f t="shared" si="0"/>
        <v>0.8</v>
      </c>
      <c r="H52" s="32" t="str">
        <f t="shared" si="1"/>
        <v>جيد جداً</v>
      </c>
      <c r="I52" s="49"/>
      <c r="J52" s="50"/>
    </row>
    <row r="53" spans="1:10" ht="39.9" customHeight="1" x14ac:dyDescent="0.3">
      <c r="A53" s="10"/>
      <c r="B53" s="68" t="s">
        <v>221</v>
      </c>
      <c r="C53" s="69"/>
      <c r="D53" s="69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9"/>
      <c r="J53" s="50"/>
    </row>
    <row r="54" spans="1:10" ht="39.9" customHeight="1" x14ac:dyDescent="0.3">
      <c r="A54" s="10"/>
      <c r="B54" s="68" t="s">
        <v>222</v>
      </c>
      <c r="C54" s="69"/>
      <c r="D54" s="69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9"/>
      <c r="J54" s="50"/>
    </row>
    <row r="55" spans="1:10" ht="39.9" customHeight="1" thickBot="1" x14ac:dyDescent="0.35">
      <c r="A55" s="10"/>
      <c r="B55" s="74" t="s">
        <v>223</v>
      </c>
      <c r="C55" s="75"/>
      <c r="D55" s="75"/>
      <c r="E55" s="33">
        <v>5</v>
      </c>
      <c r="F55" s="27">
        <v>3.75</v>
      </c>
      <c r="G55" s="34">
        <f t="shared" si="0"/>
        <v>0.75</v>
      </c>
      <c r="H55" s="35" t="str">
        <f t="shared" si="1"/>
        <v>جيد</v>
      </c>
      <c r="I55" s="47"/>
      <c r="J55" s="48"/>
    </row>
    <row r="56" spans="1:10" ht="30" customHeight="1" thickBot="1" x14ac:dyDescent="0.35">
      <c r="A56" s="4"/>
      <c r="B56" s="70" t="s">
        <v>5</v>
      </c>
      <c r="C56" s="71"/>
      <c r="D56" s="71"/>
      <c r="E56" s="29">
        <f>SUM(E8:E55)</f>
        <v>190</v>
      </c>
      <c r="F56" s="29">
        <f>SUM(F8:F55)</f>
        <v>148.25</v>
      </c>
      <c r="G56" s="65"/>
      <c r="H56" s="66"/>
      <c r="I56" s="66"/>
      <c r="J56" s="67"/>
    </row>
    <row r="57" spans="1:10" ht="30" customHeight="1" thickBot="1" x14ac:dyDescent="0.35">
      <c r="A57" s="4"/>
      <c r="B57" s="72" t="s">
        <v>54</v>
      </c>
      <c r="C57" s="73"/>
      <c r="D57" s="73"/>
      <c r="E57" s="43">
        <f>F56/E56/100*100</f>
        <v>0.78026315789473688</v>
      </c>
      <c r="F57" s="43"/>
      <c r="G57" s="43"/>
      <c r="H57" s="43"/>
      <c r="I57" s="43"/>
      <c r="J57" s="44"/>
    </row>
    <row r="58" spans="1:10" ht="30" customHeight="1" thickBot="1" x14ac:dyDescent="0.35">
      <c r="A58" s="4"/>
      <c r="B58" s="72" t="s">
        <v>55</v>
      </c>
      <c r="C58" s="73"/>
      <c r="D58" s="73"/>
      <c r="E58" s="61" t="str">
        <f>_xlfn.IFS(E57&gt;=90%,"ممتاز",E57&gt;=80%,"جيد جداً",E57&gt;=70%,"جيد",E57&gt;=60%,"مقبول",E57&lt;60%,"راسب")</f>
        <v>جيد</v>
      </c>
      <c r="F58" s="61"/>
      <c r="G58" s="61"/>
      <c r="H58" s="61"/>
      <c r="I58" s="61"/>
      <c r="J58" s="62"/>
    </row>
    <row r="59" spans="1:10" ht="42" customHeight="1" x14ac:dyDescent="0.3">
      <c r="B59" s="57" t="s">
        <v>175</v>
      </c>
      <c r="C59" s="57"/>
      <c r="D59" s="57"/>
      <c r="E59" s="63" t="s">
        <v>52</v>
      </c>
      <c r="F59" s="63"/>
      <c r="G59" s="59" t="s">
        <v>59</v>
      </c>
      <c r="H59" s="59"/>
      <c r="I59" s="59"/>
      <c r="J59" s="59"/>
    </row>
    <row r="60" spans="1:10" ht="51" customHeight="1" x14ac:dyDescent="0.3">
      <c r="A60" s="5"/>
      <c r="B60" s="58"/>
      <c r="C60" s="58"/>
      <c r="D60" s="58"/>
      <c r="E60" s="64" t="s">
        <v>53</v>
      </c>
      <c r="F60" s="64"/>
      <c r="G60" s="60"/>
      <c r="H60" s="60"/>
      <c r="I60" s="60"/>
      <c r="J60" s="6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8:J8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39:J39"/>
    <mergeCell ref="B26:J26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F48:F55 F41:F46 F33:F38 F28:F31 F21:F25 F14:F19 F10:F12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2025-10-23T19:51:36Z</dcterms:modified>
</cp:coreProperties>
</file>