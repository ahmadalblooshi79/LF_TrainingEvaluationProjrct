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DBD0BEA-9267-44C4-BC6C-30BB015D4B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57" i="2"/>
  <c r="H57" i="2" s="1"/>
  <c r="G58" i="2"/>
  <c r="H58" i="2" s="1"/>
  <c r="F59" i="2"/>
  <c r="E59" i="2"/>
  <c r="E60" i="2" l="1"/>
  <c r="E61" i="2" s="1"/>
</calcChain>
</file>

<file path=xl/sharedStrings.xml><?xml version="1.0" encoding="utf-8"?>
<sst xmlns="http://schemas.openxmlformats.org/spreadsheetml/2006/main" count="317" uniqueCount="232">
  <si>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</si>
  <si>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</si>
  <si>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</si>
  <si>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</si>
  <si>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</si>
  <si>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</si>
  <si>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</si>
  <si>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</si>
  <si>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</si>
  <si>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</si>
  <si>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</si>
  <si>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</si>
  <si>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</si>
  <si>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</si>
  <si>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</si>
  <si>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</si>
  <si>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</si>
  <si>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</si>
  <si>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</si>
  <si>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</si>
  <si>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</si>
  <si>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</si>
  <si>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</si>
  <si>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</si>
  <si>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</si>
  <si>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</si>
  <si>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</si>
  <si>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</si>
  <si>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</si>
  <si>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</si>
  <si>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</si>
  <si>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</si>
  <si>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</si>
  <si>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</si>
  <si>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</si>
  <si>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</si>
  <si>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</si>
  <si>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</si>
  <si>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</si>
  <si>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</si>
  <si>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</si>
  <si>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</si>
  <si>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</si>
  <si>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</si>
  <si>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</si>
  <si>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</si>
  <si>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</si>
  <si>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</si>
  <si>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</si>
  <si>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</si>
  <si>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</si>
  <si>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</si>
  <si>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</si>
  <si>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</si>
  <si>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</si>
  <si>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</si>
  <si>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</si>
  <si>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</si>
  <si>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</si>
  <si>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</si>
  <si>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</si>
  <si>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</si>
  <si>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</si>
  <si>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</si>
  <si>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</si>
  <si>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</si>
  <si>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</si>
  <si>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</si>
  <si>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</si>
  <si>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</si>
  <si>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</si>
  <si>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</si>
  <si>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</si>
  <si>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</si>
  <si>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</si>
  <si>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</si>
  <si>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</si>
  <si>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</si>
  <si>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</si>
  <si>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</si>
  <si>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</si>
  <si>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</si>
  <si>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</si>
  <si>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</si>
  <si>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</si>
  <si>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</si>
  <si>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</si>
  <si>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</si>
  <si>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</si>
  <si>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</si>
  <si>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</si>
  <si>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</si>
  <si>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</si>
  <si>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</si>
  <si>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</si>
  <si>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</si>
  <si>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</si>
  <si>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</si>
  <si>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</si>
  <si>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</si>
  <si>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</si>
  <si>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</si>
  <si>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</si>
  <si>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</si>
  <si>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</si>
  <si>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</si>
  <si>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</si>
  <si>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</si>
  <si>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</si>
  <si>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</si>
  <si>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</si>
  <si>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</si>
  <si>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</si>
  <si>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</si>
  <si>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</si>
  <si>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</si>
  <si>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</si>
  <si>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</si>
  <si>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</si>
  <si>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</si>
  <si>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</si>
  <si>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</si>
  <si>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</si>
  <si>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</si>
  <si>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</si>
  <si>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</si>
  <si>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</si>
  <si>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</si>
  <si>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</si>
  <si>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</si>
  <si>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</si>
  <si>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</si>
  <si>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</si>
  <si>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</si>
  <si>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</si>
  <si>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</si>
  <si>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</si>
  <si>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</si>
  <si>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</si>
  <si>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</si>
  <si>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</si>
  <si>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</si>
  <si>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</si>
  <si>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</si>
  <si>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</si>
  <si>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</si>
  <si>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</si>
  <si>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</si>
  <si>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</si>
  <si>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</si>
  <si>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</si>
  <si>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</si>
  <si>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</si>
  <si>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</si>
  <si>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</si>
  <si>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</si>
  <si>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</si>
  <si>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</si>
  <si>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</si>
  <si>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</si>
  <si>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</si>
  <si>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</si>
  <si>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</si>
  <si>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</si>
  <si>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</si>
  <si>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</si>
  <si>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</si>
  <si>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</si>
  <si>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</si>
  <si>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</si>
  <si>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</si>
  <si>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</si>
  <si>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</si>
  <si>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</si>
  <si>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</si>
  <si>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</si>
  <si>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</si>
  <si>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</si>
  <si>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</si>
  <si>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</si>
  <si>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تفتيش جاهزية الآليات (ب) لسرية الــ م  د - تمرين جاهزية مجموعة لواء الإمارات/1 (جندي الصحراء 2025/20)
</t>
  </si>
  <si>
    <r>
      <t>1.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الشؤون</t>
    </r>
    <r>
      <rPr>
        <b/>
        <u/>
        <sz val="12"/>
        <color theme="1"/>
        <rFont val="Arial"/>
        <family val="2"/>
      </rPr>
      <t xml:space="preserve"> الإدارية</t>
    </r>
    <r>
      <rPr>
        <b/>
        <sz val="12"/>
        <color theme="1"/>
        <rFont val="Arial"/>
        <family val="2"/>
      </rPr>
      <t xml:space="preserve">. </t>
    </r>
    <r>
      <rPr>
        <sz val="12"/>
        <color theme="1"/>
        <rFont val="Arial"/>
        <family val="2"/>
      </rPr>
      <t>التأكد من التالي:</t>
    </r>
  </si>
  <si>
    <t>أ. مدى استكمال المرتب من الآليات ونسبة الصلاحية.</t>
  </si>
  <si>
    <t>ب. استكمال الطاقم المؤهل بالنسبة لعدد الآليات (السواقين).</t>
  </si>
  <si>
    <t>جـ. وجود كشف معتمد من القائد بالمرتب والموجود ونسبة الصلاحية للآليات.</t>
  </si>
  <si>
    <t>د. وجود وإدامة سجل العهدة.</t>
  </si>
  <si>
    <t>هـ. وجود ملف لحفظ سندات الصرف والاستلام للآليات والعـدة.</t>
  </si>
  <si>
    <t>و. وجود وإدامة سجل الحركة.</t>
  </si>
  <si>
    <t>ز. وجود وإدامة سجل الحوادث.</t>
  </si>
  <si>
    <t>ح. وجود وإدامة سجل تسليم واستلام الآليات.</t>
  </si>
  <si>
    <t>ط. وجود وإدامة سجل الدخول والخروج من الورشة / المشاغل / مراكز الإصلاح.</t>
  </si>
  <si>
    <t>ي. وجود تعليمات وإجراءات الصيانة الدورية واللوحات الإرشادية.</t>
  </si>
  <si>
    <t>ك. التقيد بالتعليمات والإجراءات لإدخال الآليات لمراكز الإصلاح.</t>
  </si>
  <si>
    <t>ل. إدامة السجلات الخاصة بكل آلية بواسطة الطاقم وتصديق الضابط المسؤول.</t>
  </si>
  <si>
    <t>م. معرفة السائق بالآلية وإلمامه بالتعليمات والصيانة.</t>
  </si>
  <si>
    <t>ن. إلمام ضابط النقليات بمهامه وواجباته.</t>
  </si>
  <si>
    <t>س. وجود ملف لحفظ نماذج شطب الآليات.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</si>
  <si>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مجموعـة الجسم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التأكد من التالي:</t>
    </r>
  </si>
  <si>
    <t>أ. النظافة.</t>
  </si>
  <si>
    <t>ب. عدم وجود أي نواقص.</t>
  </si>
  <si>
    <t>جـ. الضرر.</t>
  </si>
  <si>
    <t>د. حالة الصبغ.</t>
  </si>
  <si>
    <t>هـ. فحص الإطارات.</t>
  </si>
  <si>
    <t>و. صندوق العدة ومحتوياته.</t>
  </si>
  <si>
    <t>ز. مقاعد غرفة القيادة والركاب.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</si>
  <si>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الزيوت / السوائل.</t>
    </r>
  </si>
  <si>
    <t>أ. مستـوى الزيـت / المياه (المحرك ، نظـام ناقل الحركة ، الفرامل ، مبرد المياه (الراديتر).</t>
  </si>
  <si>
    <t>ب. عدم تسرّب الزيت / المياه من أجزاء الآلية.</t>
  </si>
  <si>
    <t>جـ. التقيد بتوقيتات تغيير الزيت.</t>
  </si>
  <si>
    <t>د. التشحيــم.</t>
  </si>
  <si>
    <r>
      <t>4.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مجموعة القوى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التأكد من الحالة العامة للأنظمة التالية:</t>
    </r>
  </si>
  <si>
    <t>أ. نظام المحرك.</t>
  </si>
  <si>
    <t>ب. نظام الوقود.</t>
  </si>
  <si>
    <t>جـ. نظام ناقل الحركة.</t>
  </si>
  <si>
    <t>د. نظام التبريد.</t>
  </si>
  <si>
    <t>هـ. نظام الفرامل.</t>
  </si>
  <si>
    <t>و. نظام التوجيه.</t>
  </si>
  <si>
    <t>ز. إطفاء الحريق (طفاية الحريق وصلاحيتها).</t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</si>
  <si>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الأنظمة الكهربائية والإلكترونية.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التأكد من التالي:</t>
    </r>
  </si>
  <si>
    <t>أ. البطاريات.</t>
  </si>
  <si>
    <t>ب. نظام التشغيل.</t>
  </si>
  <si>
    <t>جـ. المولــــد.</t>
  </si>
  <si>
    <t>د. الإنارة الداخلية.</t>
  </si>
  <si>
    <t>هـ. الإنارة الخارجية.</t>
  </si>
  <si>
    <t>و. لوحات العرض.</t>
  </si>
  <si>
    <r>
      <t>6.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فحص الآلية أثناء السير</t>
    </r>
    <r>
      <rPr>
        <b/>
        <sz val="12"/>
        <color theme="1"/>
        <rFont val="Arial"/>
        <family val="2"/>
      </rPr>
      <t xml:space="preserve">. </t>
    </r>
    <r>
      <rPr>
        <sz val="12"/>
        <color theme="1"/>
        <rFont val="Arial"/>
        <family val="2"/>
      </rPr>
      <t>التأكد من التالي:</t>
    </r>
  </si>
  <si>
    <t>أ. صلاحية السير على الطريق.</t>
  </si>
  <si>
    <t>ب. صلاحية أنظمة الآلية (الميكانيكية والكهربائية).</t>
  </si>
  <si>
    <t>جـ. نظام التكييف / نظام التهوية.</t>
  </si>
  <si>
    <r>
      <t>7.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المهمـات الإضافية</t>
    </r>
    <r>
      <rPr>
        <b/>
        <sz val="12"/>
        <color theme="1"/>
        <rFont val="Arial"/>
        <family val="2"/>
      </rPr>
      <t>.</t>
    </r>
  </si>
  <si>
    <t>أ. مستــودع الـعــــدة وأغطيـــة التمويه وأعمدة التثبيت.</t>
  </si>
  <si>
    <t>ب. مستودع قطع الغيار.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</si>
</sst>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7" fillId="0" borderId="23" xfId="0" applyFont="1" applyBorder="1" applyAlignment="1">
      <alignment horizontal="right" vertical="center" wrapText="1" indent="2" readingOrder="2"/>
    </xf>
    <xf numFmtId="0" fontId="17" fillId="0" borderId="3" xfId="0" applyFont="1" applyBorder="1" applyAlignment="1">
      <alignment horizontal="right" vertical="center" wrapText="1" indent="2" readingOrder="2"/>
    </xf>
    <xf numFmtId="0" fontId="17" fillId="0" borderId="11" xfId="0" applyFont="1" applyBorder="1" applyAlignment="1">
      <alignment horizontal="right" vertical="center" wrapText="1" indent="2" readingOrder="2"/>
    </xf>
    <xf numFmtId="0" fontId="17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495717</xdr:colOff>
      <xdr:row>61</xdr:row>
      <xdr:rowOff>280480</xdr:rowOff>
    </xdr:from>
    <xdr:to>
      <xdr:col>9</xdr:col>
      <xdr:colOff>121983</xdr:colOff>
      <xdr:row>65</xdr:row>
      <xdr:rowOff>74800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20FBC019-6718-CD94-4F5C-4062AD0C89C9}"/>
                </a:ext>
              </a:extLst>
            </xdr14:cNvPr>
            <xdr14:cNvContentPartPr/>
          </xdr14:nvContentPartPr>
          <xdr14:nvPr macro=""/>
          <xdr14:xfrm>
            <a:off x="11438317745" y="23775480"/>
            <a:ext cx="1773720" cy="131832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20FBC019-6718-CD94-4F5C-4062AD0C89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309105" y="23766840"/>
              <a:ext cx="1791360" cy="1335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18:49:10.0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428 1587,'0'0,"0"0,0 0,15-16,0 0,-13 12,9-9,2-3,-10 13,22-27,-10-2,-14 26,24-5,4-22,-27 28,9-6,3-6,-12 15,11 4,-13-18,0 14,0 2,0 18,0-15,-15-6,15 20,0-14,-14 10,1 20,11-28,-10 7,-3 20,15-28,-13 9,0 19,10-27,6 7,-3 20,0-27,0 6,0 22,0-29,13 8,-13 5,0-15,13 28,2-14,-13-14,10-4,30 19,-36-14,29-23,60 4,-81 14,96-45,29-34,-121 70,114-60,49-27,-154 84,126-86,53-14,-172 95,125-93,34-19,-165 113,109-78,29-18,-141 97,130-64,-4-18,-129 85,94-53,23-14,-118 68,67-23,-4-13,-72 42,44-19,-15-6,-35 27,29-7,-6 12,-27 0,8-16,-10 32,0-14,15-20,-13 16,-4 20,2-9,0-1,-27 8,21-14,-17 12,-4 19,23-28,-47 55,-32 5,70-55,-70 62,-14 10,83-71,-81 76,-17 10,95-82,-91 84,-1-1,93-83,-65 53,-2-3,73-56,-34 47,-26-7,62-43,-26 20,-7 7,35-28,-14 23,-8-12,25-13,-8 10,-16 3,23-12,-6 9,3-5,28-16,-8-9,1 1,-12 14,23-12,16-19,-32 28,11-6,7-5,-23 14,19-29,6 15,-27 14,23 4,-11-18,-12 13,8 6,-1-3,-30 0,21 16,0-14,-14 12,8-6,-3 0,3 1,27-18,-7-7,-12 14,38-12,14-35,-44 42,49-35,25-7,-72 41,17-16,24-26,-42 43,34-19,-3-6,-35 28,13-9,-6 5,-41 33,13-9,12-13,4 10,-16 4,14-14,-13 10,-16 20,27-29,-23 25,-2 4,23-28,-6 22,-17-11,21-14,-17 29,11-15,9-14,-9 29,-14-15,21-14,-5 29,-5-31,15 0,-13 16,26-16,-11 0,11-16,14-1,-23 15,62-61,29-2,-81 55,96-78,44-10,-132 82,121-99,35 1,-149 97,122-96,29-18,-156 112,103-60,11-35,-115 95,50-27,-3-20,-59 56,20 3,-19-9,-10 14,-16 20,-69 48,68-55,-82 60,-81 76,149-124,-136 100,-84 74,210-166,-197 149,-54 49,245-192,-214 171,-31 21,247-195,-174 127,-60 85,233-208,-173 119,-19 7,201-139,-122 97,18-25,119-81,-70 17,22 16,58-41,-50 17,6-9,46-13,-26 10,-7 3,33-12,-25 26,-23-14,48-14,-40 29,-5 1,44-26,-38 21,-9 6,47-28,-24 22,-8 6,34-28,-13 6,-7 5,23-13,-7 11,-3 2,14-13,-12-6,10 3,4 16,10-32,-10 13,52-10,29-69,-69 68,96-53,-1-31,-88 82,83-67,117-96,-184 149,201-153,25-45,-218 189,173-151,1-21,-179 174,115-106,10-21,-138 138,70-62,179-222,-229 257,153-155,-61 28,-116 152,49-58,-1-28,-61 97,21-47,-4-2,-21 55,-12-27,-35 21,35 15,-30-12,-46 30,67-13,-122 28,-28 50,138-68,-153 72,-41 45,186-109,-138 89,-18 21,161-111,-106 74,24-13,96-68,-51 40,14-4,44-41,-24 16,4-7,27-15,19-4,-17 19,0-15,14 28,13-30,-21 0,15 17,35-1,-48-14,81 12,-6 2,-70-14,84 29,0 2,-82-28,106 55,-23-28,-84-28,55 41,-2 4,-56-41,34 33,-3 9,-36-43,14 35,10 7,-28-42,22 34,4 25,-22-56,-12 61,-7 27,11-83,-52 101,-14 14,58-109,-92 89,-7 5,92-97,-76 78,10-15,70-69,-44 25,15 12,36-41,-14 0,-8 25,25-28,-8 6,-3 5,14-13,-13-6,26-13,-11 14,24-29,58-50,-72 69,112-74,29-28,-130 96,132-111,52-34,-176 137,174-127,14-11,-184 138,137-111,23-27,-167 140,136-99,16-23,-151 122,78-50,-24-8,-69 69,42-23,-2 3,-43 28,20-6,-17-6,-12 15,23-12,4-2,-27 14,8 4,-1-2,-44 16,-34 33,58-41,-102 82,-67 25,153-98,-167 112,-96 83,246-178,-243 194,-85 50,314-234,-269 205,-87 45,346-247,-251 200,-53 14,312-218,-197 143,9-7,206-149,-69 38,16 13,78-67,-22-11,24 13,15-13,-12-6,24-13,-10 14,-16 4,6-2,16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3"/>
  <sheetViews>
    <sheetView rightToLeft="1" tabSelected="1" view="pageBreakPreview" topLeftCell="A55" zoomScale="130" zoomScaleNormal="100" zoomScaleSheetLayoutView="130" workbookViewId="0">
      <selection activeCell="E58" sqref="E5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41" t="s">
        <v>180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3">
      <c r="B2" s="12" t="s">
        <v>8</v>
      </c>
      <c r="C2" s="47" t="s">
        <v>27</v>
      </c>
      <c r="D2" s="47"/>
      <c r="E2" s="12" t="s">
        <v>7</v>
      </c>
      <c r="F2" s="42">
        <v>45929</v>
      </c>
      <c r="G2" s="42"/>
      <c r="H2" s="42"/>
      <c r="I2" s="42"/>
      <c r="J2" s="42"/>
    </row>
    <row r="3" spans="1:10" ht="30" customHeight="1" x14ac:dyDescent="0.3">
      <c r="B3" s="12" t="s">
        <v>9</v>
      </c>
      <c r="C3" s="47" t="s">
        <v>70</v>
      </c>
      <c r="D3" s="47"/>
      <c r="E3" s="12" t="s">
        <v>6</v>
      </c>
      <c r="F3" s="47" t="s">
        <v>115</v>
      </c>
      <c r="G3" s="47"/>
      <c r="H3" s="47"/>
      <c r="I3" s="47"/>
      <c r="J3" s="4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3" t="s">
        <v>0</v>
      </c>
      <c r="C5" s="44"/>
      <c r="D5" s="44"/>
      <c r="E5" s="56" t="s">
        <v>1</v>
      </c>
      <c r="F5" s="56"/>
      <c r="G5" s="56"/>
      <c r="H5" s="56"/>
      <c r="I5" s="56" t="s">
        <v>2</v>
      </c>
      <c r="J5" s="59"/>
    </row>
    <row r="6" spans="1:10" ht="24.9" customHeight="1" thickBot="1" x14ac:dyDescent="0.35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60"/>
      <c r="J6" s="61"/>
    </row>
    <row r="7" spans="1:10" ht="24.9" customHeight="1" thickBot="1" x14ac:dyDescent="0.35">
      <c r="A7" s="10"/>
      <c r="B7" s="50" t="s">
        <v>21</v>
      </c>
      <c r="C7" s="51"/>
      <c r="D7" s="51"/>
      <c r="E7" s="28" t="s">
        <v>18</v>
      </c>
      <c r="F7" s="28" t="s">
        <v>19</v>
      </c>
      <c r="G7" s="28" t="s">
        <v>22</v>
      </c>
      <c r="H7" s="28" t="s">
        <v>20</v>
      </c>
      <c r="I7" s="62" t="s">
        <v>25</v>
      </c>
      <c r="J7" s="63"/>
    </row>
    <row r="8" spans="1:10" ht="30" customHeight="1" x14ac:dyDescent="0.3">
      <c r="A8" s="10"/>
      <c r="B8" s="85" t="s">
        <v>181</v>
      </c>
      <c r="C8" s="86"/>
      <c r="D8" s="86"/>
      <c r="E8" s="33"/>
      <c r="F8" s="34"/>
      <c r="G8" s="35"/>
      <c r="H8" s="36"/>
      <c r="I8" s="57"/>
      <c r="J8" s="58"/>
    </row>
    <row r="9" spans="1:10" ht="30" customHeight="1" x14ac:dyDescent="0.3">
      <c r="A9" s="10"/>
      <c r="B9" s="79" t="s">
        <v>182</v>
      </c>
      <c r="C9" s="80"/>
      <c r="D9" s="80"/>
      <c r="E9" s="32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0" customHeight="1" x14ac:dyDescent="0.3">
      <c r="A10" s="10"/>
      <c r="B10" s="79" t="s">
        <v>183</v>
      </c>
      <c r="C10" s="80"/>
      <c r="D10" s="80"/>
      <c r="E10" s="32">
        <v>5</v>
      </c>
      <c r="F10" s="26">
        <v>3.5</v>
      </c>
      <c r="G10" s="30">
        <f t="shared" ref="G10:G58" si="0">IFERROR(F10/E10,"")</f>
        <v>0.7</v>
      </c>
      <c r="H10" s="31" t="str">
        <f t="shared" ref="H10:H58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0" customHeight="1" x14ac:dyDescent="0.3">
      <c r="A11" s="10"/>
      <c r="B11" s="79" t="s">
        <v>184</v>
      </c>
      <c r="C11" s="80"/>
      <c r="D11" s="80"/>
      <c r="E11" s="32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52"/>
      <c r="J11" s="53"/>
    </row>
    <row r="12" spans="1:10" ht="30" customHeight="1" x14ac:dyDescent="0.3">
      <c r="A12" s="10"/>
      <c r="B12" s="79" t="s">
        <v>185</v>
      </c>
      <c r="C12" s="80"/>
      <c r="D12" s="80"/>
      <c r="E12" s="32">
        <v>5</v>
      </c>
      <c r="F12" s="26">
        <v>4</v>
      </c>
      <c r="G12" s="30">
        <f t="shared" si="0"/>
        <v>0.8</v>
      </c>
      <c r="H12" s="31" t="str">
        <f t="shared" si="1"/>
        <v>جيد جداً</v>
      </c>
      <c r="I12" s="52"/>
      <c r="J12" s="53"/>
    </row>
    <row r="13" spans="1:10" ht="30" customHeight="1" x14ac:dyDescent="0.3">
      <c r="A13" s="10"/>
      <c r="B13" s="79" t="s">
        <v>186</v>
      </c>
      <c r="C13" s="80"/>
      <c r="D13" s="80"/>
      <c r="E13" s="32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52"/>
      <c r="J13" s="53"/>
    </row>
    <row r="14" spans="1:10" ht="30" customHeight="1" x14ac:dyDescent="0.3">
      <c r="A14" s="10"/>
      <c r="B14" s="79" t="s">
        <v>187</v>
      </c>
      <c r="C14" s="80"/>
      <c r="D14" s="80"/>
      <c r="E14" s="32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52"/>
      <c r="J14" s="53"/>
    </row>
    <row r="15" spans="1:10" ht="30" customHeight="1" x14ac:dyDescent="0.3">
      <c r="A15" s="10"/>
      <c r="B15" s="79" t="s">
        <v>188</v>
      </c>
      <c r="C15" s="80"/>
      <c r="D15" s="80"/>
      <c r="E15" s="32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2"/>
      <c r="J15" s="53"/>
    </row>
    <row r="16" spans="1:10" ht="30" customHeight="1" x14ac:dyDescent="0.3">
      <c r="A16" s="10"/>
      <c r="B16" s="79" t="s">
        <v>189</v>
      </c>
      <c r="C16" s="80"/>
      <c r="D16" s="80"/>
      <c r="E16" s="32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52"/>
      <c r="J16" s="53"/>
    </row>
    <row r="17" spans="1:10" ht="39.9" customHeight="1" x14ac:dyDescent="0.3">
      <c r="A17" s="10"/>
      <c r="B17" s="79" t="s">
        <v>190</v>
      </c>
      <c r="C17" s="80"/>
      <c r="D17" s="80"/>
      <c r="E17" s="32">
        <v>5</v>
      </c>
      <c r="F17" s="26">
        <v>4</v>
      </c>
      <c r="G17" s="30">
        <f t="shared" si="0"/>
        <v>0.8</v>
      </c>
      <c r="H17" s="31" t="str">
        <f t="shared" si="1"/>
        <v>جيد جداً</v>
      </c>
      <c r="I17" s="52"/>
      <c r="J17" s="53"/>
    </row>
    <row r="18" spans="1:10" ht="30" customHeight="1" x14ac:dyDescent="0.3">
      <c r="A18" s="10"/>
      <c r="B18" s="79" t="s">
        <v>191</v>
      </c>
      <c r="C18" s="80"/>
      <c r="D18" s="80"/>
      <c r="E18" s="32">
        <v>5</v>
      </c>
      <c r="F18" s="26">
        <v>4</v>
      </c>
      <c r="G18" s="30">
        <f t="shared" si="0"/>
        <v>0.8</v>
      </c>
      <c r="H18" s="31" t="str">
        <f t="shared" si="1"/>
        <v>جيد جداً</v>
      </c>
      <c r="I18" s="52"/>
      <c r="J18" s="53"/>
    </row>
    <row r="19" spans="1:10" ht="30" customHeight="1" x14ac:dyDescent="0.3">
      <c r="A19" s="10"/>
      <c r="B19" s="79" t="s">
        <v>192</v>
      </c>
      <c r="C19" s="80"/>
      <c r="D19" s="80"/>
      <c r="E19" s="32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2"/>
      <c r="J19" s="53"/>
    </row>
    <row r="20" spans="1:10" ht="30" customHeight="1" x14ac:dyDescent="0.3">
      <c r="A20" s="10"/>
      <c r="B20" s="79" t="s">
        <v>193</v>
      </c>
      <c r="C20" s="80"/>
      <c r="D20" s="80"/>
      <c r="E20" s="32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52"/>
      <c r="J20" s="53"/>
    </row>
    <row r="21" spans="1:10" ht="30" customHeight="1" x14ac:dyDescent="0.3">
      <c r="A21" s="10"/>
      <c r="B21" s="79" t="s">
        <v>194</v>
      </c>
      <c r="C21" s="80"/>
      <c r="D21" s="80"/>
      <c r="E21" s="32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52"/>
      <c r="J21" s="53"/>
    </row>
    <row r="22" spans="1:10" ht="30" customHeight="1" x14ac:dyDescent="0.3">
      <c r="A22" s="10"/>
      <c r="B22" s="79" t="s">
        <v>195</v>
      </c>
      <c r="C22" s="80"/>
      <c r="D22" s="80"/>
      <c r="E22" s="32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52"/>
      <c r="J22" s="53"/>
    </row>
    <row r="23" spans="1:10" ht="30" customHeight="1" thickBot="1" x14ac:dyDescent="0.35">
      <c r="A23" s="10"/>
      <c r="B23" s="81" t="s">
        <v>196</v>
      </c>
      <c r="C23" s="82"/>
      <c r="D23" s="82"/>
      <c r="E23" s="37">
        <v>5</v>
      </c>
      <c r="F23" s="27">
        <v>3.5</v>
      </c>
      <c r="G23" s="38">
        <f t="shared" si="0"/>
        <v>0.7</v>
      </c>
      <c r="H23" s="39" t="str">
        <f t="shared" si="1"/>
        <v>جيد</v>
      </c>
      <c r="I23" s="54"/>
      <c r="J23" s="55"/>
    </row>
    <row r="24" spans="1:10" ht="30" customHeight="1" x14ac:dyDescent="0.3">
      <c r="A24" s="10"/>
      <c r="B24" s="83" t="s">
        <v>197</v>
      </c>
      <c r="C24" s="84"/>
      <c r="D24" s="84"/>
      <c r="E24" s="33"/>
      <c r="F24" s="34"/>
      <c r="G24" s="35"/>
      <c r="H24" s="36"/>
      <c r="I24" s="57"/>
      <c r="J24" s="58"/>
    </row>
    <row r="25" spans="1:10" ht="30" customHeight="1" x14ac:dyDescent="0.3">
      <c r="A25" s="10"/>
      <c r="B25" s="79" t="s">
        <v>198</v>
      </c>
      <c r="C25" s="80"/>
      <c r="D25" s="80"/>
      <c r="E25" s="9">
        <v>0</v>
      </c>
      <c r="F25" s="26" t="s">
        <v>17</v>
      </c>
      <c r="G25" s="30"/>
      <c r="H25" s="31"/>
      <c r="I25" s="52"/>
      <c r="J25" s="53"/>
    </row>
    <row r="26" spans="1:10" ht="30" customHeight="1" x14ac:dyDescent="0.3">
      <c r="A26" s="10"/>
      <c r="B26" s="79" t="s">
        <v>199</v>
      </c>
      <c r="C26" s="80"/>
      <c r="D26" s="80"/>
      <c r="E26" s="9">
        <v>0</v>
      </c>
      <c r="F26" s="26" t="s">
        <v>17</v>
      </c>
      <c r="G26" s="30"/>
      <c r="H26" s="31"/>
      <c r="I26" s="52"/>
      <c r="J26" s="53"/>
    </row>
    <row r="27" spans="1:10" ht="30" customHeight="1" x14ac:dyDescent="0.3">
      <c r="A27" s="10"/>
      <c r="B27" s="79" t="s">
        <v>200</v>
      </c>
      <c r="C27" s="80"/>
      <c r="D27" s="80"/>
      <c r="E27" s="9">
        <v>0</v>
      </c>
      <c r="F27" s="26" t="s">
        <v>17</v>
      </c>
      <c r="G27" s="30"/>
      <c r="H27" s="31"/>
      <c r="I27" s="52"/>
      <c r="J27" s="53"/>
    </row>
    <row r="28" spans="1:10" ht="30" customHeight="1" x14ac:dyDescent="0.3">
      <c r="A28" s="10"/>
      <c r="B28" s="79" t="s">
        <v>201</v>
      </c>
      <c r="C28" s="80"/>
      <c r="D28" s="80"/>
      <c r="E28" s="9">
        <v>0</v>
      </c>
      <c r="F28" s="26" t="s">
        <v>17</v>
      </c>
      <c r="G28" s="30"/>
      <c r="H28" s="31"/>
      <c r="I28" s="52"/>
      <c r="J28" s="53"/>
    </row>
    <row r="29" spans="1:10" ht="30" customHeight="1" x14ac:dyDescent="0.3">
      <c r="A29" s="10"/>
      <c r="B29" s="79" t="s">
        <v>202</v>
      </c>
      <c r="C29" s="80"/>
      <c r="D29" s="80"/>
      <c r="E29" s="9">
        <v>0</v>
      </c>
      <c r="F29" s="26" t="s">
        <v>17</v>
      </c>
      <c r="G29" s="30"/>
      <c r="H29" s="31"/>
      <c r="I29" s="52"/>
      <c r="J29" s="53"/>
    </row>
    <row r="30" spans="1:10" ht="30" customHeight="1" x14ac:dyDescent="0.3">
      <c r="A30" s="10"/>
      <c r="B30" s="79" t="s">
        <v>203</v>
      </c>
      <c r="C30" s="80"/>
      <c r="D30" s="80"/>
      <c r="E30" s="9">
        <v>0</v>
      </c>
      <c r="F30" s="26" t="s">
        <v>17</v>
      </c>
      <c r="G30" s="30"/>
      <c r="H30" s="31"/>
      <c r="I30" s="52"/>
      <c r="J30" s="53"/>
    </row>
    <row r="31" spans="1:10" ht="30" customHeight="1" thickBot="1" x14ac:dyDescent="0.35">
      <c r="A31" s="10"/>
      <c r="B31" s="81" t="s">
        <v>204</v>
      </c>
      <c r="C31" s="82"/>
      <c r="D31" s="82"/>
      <c r="E31" s="37">
        <v>0</v>
      </c>
      <c r="F31" s="27" t="s">
        <v>17</v>
      </c>
      <c r="G31" s="38"/>
      <c r="H31" s="39"/>
      <c r="I31" s="54"/>
      <c r="J31" s="55"/>
    </row>
    <row r="32" spans="1:10" ht="30" customHeight="1" x14ac:dyDescent="0.3">
      <c r="A32" s="10"/>
      <c r="B32" s="83" t="s">
        <v>205</v>
      </c>
      <c r="C32" s="84"/>
      <c r="D32" s="84"/>
      <c r="E32" s="33"/>
      <c r="F32" s="34"/>
      <c r="G32" s="35"/>
      <c r="H32" s="36"/>
      <c r="I32" s="57"/>
      <c r="J32" s="58"/>
    </row>
    <row r="33" spans="1:10" ht="39.9" customHeight="1" x14ac:dyDescent="0.3">
      <c r="A33" s="10"/>
      <c r="B33" s="79" t="s">
        <v>206</v>
      </c>
      <c r="C33" s="80"/>
      <c r="D33" s="80"/>
      <c r="E33" s="9">
        <v>0</v>
      </c>
      <c r="F33" s="26" t="s">
        <v>17</v>
      </c>
      <c r="G33" s="30"/>
      <c r="H33" s="31"/>
      <c r="I33" s="52"/>
      <c r="J33" s="53"/>
    </row>
    <row r="34" spans="1:10" ht="30" customHeight="1" x14ac:dyDescent="0.3">
      <c r="A34" s="10"/>
      <c r="B34" s="79" t="s">
        <v>207</v>
      </c>
      <c r="C34" s="80"/>
      <c r="D34" s="80"/>
      <c r="E34" s="9">
        <v>0</v>
      </c>
      <c r="F34" s="26" t="s">
        <v>17</v>
      </c>
      <c r="G34" s="30"/>
      <c r="H34" s="31"/>
      <c r="I34" s="52"/>
      <c r="J34" s="53"/>
    </row>
    <row r="35" spans="1:10" ht="30" customHeight="1" x14ac:dyDescent="0.3">
      <c r="A35" s="10"/>
      <c r="B35" s="79" t="s">
        <v>208</v>
      </c>
      <c r="C35" s="80"/>
      <c r="D35" s="80"/>
      <c r="E35" s="9">
        <v>0</v>
      </c>
      <c r="F35" s="26" t="s">
        <v>17</v>
      </c>
      <c r="G35" s="30"/>
      <c r="H35" s="31"/>
      <c r="I35" s="52"/>
      <c r="J35" s="53"/>
    </row>
    <row r="36" spans="1:10" ht="30" customHeight="1" thickBot="1" x14ac:dyDescent="0.35">
      <c r="A36" s="10"/>
      <c r="B36" s="81" t="s">
        <v>209</v>
      </c>
      <c r="C36" s="82"/>
      <c r="D36" s="82"/>
      <c r="E36" s="37">
        <v>0</v>
      </c>
      <c r="F36" s="27" t="s">
        <v>17</v>
      </c>
      <c r="G36" s="38"/>
      <c r="H36" s="39"/>
      <c r="I36" s="54"/>
      <c r="J36" s="55"/>
    </row>
    <row r="37" spans="1:10" ht="30" customHeight="1" x14ac:dyDescent="0.3">
      <c r="A37" s="10"/>
      <c r="B37" s="85" t="s">
        <v>210</v>
      </c>
      <c r="C37" s="86"/>
      <c r="D37" s="86"/>
      <c r="E37" s="33"/>
      <c r="F37" s="34"/>
      <c r="G37" s="35"/>
      <c r="H37" s="36"/>
      <c r="I37" s="57"/>
      <c r="J37" s="58"/>
    </row>
    <row r="38" spans="1:10" ht="30" customHeight="1" x14ac:dyDescent="0.3">
      <c r="A38" s="10"/>
      <c r="B38" s="79" t="s">
        <v>211</v>
      </c>
      <c r="C38" s="80"/>
      <c r="D38" s="80"/>
      <c r="E38" s="9">
        <v>0</v>
      </c>
      <c r="F38" s="26" t="s">
        <v>17</v>
      </c>
      <c r="G38" s="30"/>
      <c r="H38" s="31"/>
      <c r="I38" s="52"/>
      <c r="J38" s="53"/>
    </row>
    <row r="39" spans="1:10" ht="30" customHeight="1" x14ac:dyDescent="0.3">
      <c r="A39" s="10"/>
      <c r="B39" s="79" t="s">
        <v>212</v>
      </c>
      <c r="C39" s="80"/>
      <c r="D39" s="80"/>
      <c r="E39" s="9">
        <v>0</v>
      </c>
      <c r="F39" s="40" t="s">
        <v>17</v>
      </c>
      <c r="G39" s="30"/>
      <c r="H39" s="31"/>
      <c r="I39" s="52"/>
      <c r="J39" s="53"/>
    </row>
    <row r="40" spans="1:10" ht="30" customHeight="1" x14ac:dyDescent="0.3">
      <c r="A40" s="10"/>
      <c r="B40" s="79" t="s">
        <v>213</v>
      </c>
      <c r="C40" s="80"/>
      <c r="D40" s="80"/>
      <c r="E40" s="9">
        <v>0</v>
      </c>
      <c r="F40" s="40" t="s">
        <v>17</v>
      </c>
      <c r="G40" s="30"/>
      <c r="H40" s="31"/>
      <c r="I40" s="52"/>
      <c r="J40" s="53"/>
    </row>
    <row r="41" spans="1:10" ht="30" customHeight="1" x14ac:dyDescent="0.3">
      <c r="A41" s="10"/>
      <c r="B41" s="79" t="s">
        <v>214</v>
      </c>
      <c r="C41" s="80"/>
      <c r="D41" s="80"/>
      <c r="E41" s="9">
        <v>0</v>
      </c>
      <c r="F41" s="40" t="s">
        <v>17</v>
      </c>
      <c r="G41" s="30"/>
      <c r="H41" s="31"/>
      <c r="I41" s="52"/>
      <c r="J41" s="53"/>
    </row>
    <row r="42" spans="1:10" ht="30" customHeight="1" x14ac:dyDescent="0.3">
      <c r="A42" s="10"/>
      <c r="B42" s="79" t="s">
        <v>215</v>
      </c>
      <c r="C42" s="80"/>
      <c r="D42" s="80"/>
      <c r="E42" s="9">
        <v>0</v>
      </c>
      <c r="F42" s="40" t="s">
        <v>17</v>
      </c>
      <c r="G42" s="30"/>
      <c r="H42" s="31"/>
      <c r="I42" s="52"/>
      <c r="J42" s="53"/>
    </row>
    <row r="43" spans="1:10" ht="30" customHeight="1" x14ac:dyDescent="0.3">
      <c r="A43" s="10"/>
      <c r="B43" s="79" t="s">
        <v>216</v>
      </c>
      <c r="C43" s="80"/>
      <c r="D43" s="80"/>
      <c r="E43" s="9">
        <v>0</v>
      </c>
      <c r="F43" s="40" t="s">
        <v>17</v>
      </c>
      <c r="G43" s="30"/>
      <c r="H43" s="31"/>
      <c r="I43" s="52"/>
      <c r="J43" s="53"/>
    </row>
    <row r="44" spans="1:10" ht="30" customHeight="1" thickBot="1" x14ac:dyDescent="0.35">
      <c r="A44" s="10"/>
      <c r="B44" s="81" t="s">
        <v>217</v>
      </c>
      <c r="C44" s="82"/>
      <c r="D44" s="82"/>
      <c r="E44" s="37">
        <v>0</v>
      </c>
      <c r="F44" s="40" t="s">
        <v>17</v>
      </c>
      <c r="G44" s="38"/>
      <c r="H44" s="39"/>
      <c r="I44" s="54"/>
      <c r="J44" s="55"/>
    </row>
    <row r="45" spans="1:10" ht="30" customHeight="1" x14ac:dyDescent="0.3">
      <c r="A45" s="10"/>
      <c r="B45" s="83" t="s">
        <v>218</v>
      </c>
      <c r="C45" s="84"/>
      <c r="D45" s="84"/>
      <c r="E45" s="33"/>
      <c r="F45" s="34"/>
      <c r="G45" s="35"/>
      <c r="H45" s="36"/>
      <c r="I45" s="57"/>
      <c r="J45" s="58"/>
    </row>
    <row r="46" spans="1:10" ht="30" customHeight="1" x14ac:dyDescent="0.3">
      <c r="A46" s="10"/>
      <c r="B46" s="79" t="s">
        <v>219</v>
      </c>
      <c r="C46" s="80"/>
      <c r="D46" s="80"/>
      <c r="E46" s="9">
        <v>0</v>
      </c>
      <c r="F46" s="26" t="s">
        <v>17</v>
      </c>
      <c r="G46" s="30"/>
      <c r="H46" s="31"/>
      <c r="I46" s="52"/>
      <c r="J46" s="53"/>
    </row>
    <row r="47" spans="1:10" ht="30" customHeight="1" x14ac:dyDescent="0.3">
      <c r="A47" s="10"/>
      <c r="B47" s="79" t="s">
        <v>220</v>
      </c>
      <c r="C47" s="80"/>
      <c r="D47" s="80"/>
      <c r="E47" s="9">
        <v>0</v>
      </c>
      <c r="F47" s="40" t="s">
        <v>17</v>
      </c>
      <c r="G47" s="30"/>
      <c r="H47" s="31"/>
      <c r="I47" s="52"/>
      <c r="J47" s="53"/>
    </row>
    <row r="48" spans="1:10" ht="30" customHeight="1" x14ac:dyDescent="0.3">
      <c r="A48" s="10"/>
      <c r="B48" s="79" t="s">
        <v>221</v>
      </c>
      <c r="C48" s="80"/>
      <c r="D48" s="80"/>
      <c r="E48" s="9">
        <v>0</v>
      </c>
      <c r="F48" s="40" t="s">
        <v>17</v>
      </c>
      <c r="G48" s="30"/>
      <c r="H48" s="31"/>
      <c r="I48" s="52"/>
      <c r="J48" s="53"/>
    </row>
    <row r="49" spans="1:10" ht="30" customHeight="1" x14ac:dyDescent="0.3">
      <c r="A49" s="10"/>
      <c r="B49" s="79" t="s">
        <v>222</v>
      </c>
      <c r="C49" s="80"/>
      <c r="D49" s="80"/>
      <c r="E49" s="9">
        <v>0</v>
      </c>
      <c r="F49" s="40" t="s">
        <v>17</v>
      </c>
      <c r="G49" s="30"/>
      <c r="H49" s="31"/>
      <c r="I49" s="52"/>
      <c r="J49" s="53"/>
    </row>
    <row r="50" spans="1:10" ht="30" customHeight="1" x14ac:dyDescent="0.3">
      <c r="A50" s="10"/>
      <c r="B50" s="79" t="s">
        <v>223</v>
      </c>
      <c r="C50" s="80"/>
      <c r="D50" s="80"/>
      <c r="E50" s="9">
        <v>0</v>
      </c>
      <c r="F50" s="40" t="s">
        <v>17</v>
      </c>
      <c r="G50" s="30"/>
      <c r="H50" s="31"/>
      <c r="I50" s="52"/>
      <c r="J50" s="53"/>
    </row>
    <row r="51" spans="1:10" ht="30" customHeight="1" thickBot="1" x14ac:dyDescent="0.35">
      <c r="A51" s="10"/>
      <c r="B51" s="81" t="s">
        <v>224</v>
      </c>
      <c r="C51" s="82"/>
      <c r="D51" s="82"/>
      <c r="E51" s="37">
        <v>0</v>
      </c>
      <c r="F51" s="40" t="s">
        <v>17</v>
      </c>
      <c r="G51" s="38"/>
      <c r="H51" s="39"/>
      <c r="I51" s="54"/>
      <c r="J51" s="55"/>
    </row>
    <row r="52" spans="1:10" ht="30" customHeight="1" x14ac:dyDescent="0.3">
      <c r="A52" s="10"/>
      <c r="B52" s="85" t="s">
        <v>225</v>
      </c>
      <c r="C52" s="86"/>
      <c r="D52" s="86"/>
      <c r="E52" s="33"/>
      <c r="F52" s="40"/>
      <c r="G52" s="35"/>
      <c r="H52" s="36"/>
      <c r="I52" s="57"/>
      <c r="J52" s="58"/>
    </row>
    <row r="53" spans="1:10" ht="30" customHeight="1" x14ac:dyDescent="0.3">
      <c r="A53" s="10"/>
      <c r="B53" s="79" t="s">
        <v>226</v>
      </c>
      <c r="C53" s="80"/>
      <c r="D53" s="80"/>
      <c r="E53" s="9">
        <v>0</v>
      </c>
      <c r="F53" s="40" t="s">
        <v>17</v>
      </c>
      <c r="G53" s="30"/>
      <c r="H53" s="31"/>
      <c r="I53" s="52"/>
      <c r="J53" s="53"/>
    </row>
    <row r="54" spans="1:10" ht="30" customHeight="1" x14ac:dyDescent="0.3">
      <c r="A54" s="10"/>
      <c r="B54" s="79" t="s">
        <v>227</v>
      </c>
      <c r="C54" s="80"/>
      <c r="D54" s="80"/>
      <c r="E54" s="9">
        <v>0</v>
      </c>
      <c r="F54" s="40" t="s">
        <v>17</v>
      </c>
      <c r="G54" s="30"/>
      <c r="H54" s="31"/>
      <c r="I54" s="52"/>
      <c r="J54" s="53"/>
    </row>
    <row r="55" spans="1:10" ht="30" customHeight="1" thickBot="1" x14ac:dyDescent="0.35">
      <c r="A55" s="10"/>
      <c r="B55" s="81" t="s">
        <v>228</v>
      </c>
      <c r="C55" s="82"/>
      <c r="D55" s="82"/>
      <c r="E55" s="37">
        <v>0</v>
      </c>
      <c r="F55" s="40" t="s">
        <v>17</v>
      </c>
      <c r="G55" s="38"/>
      <c r="H55" s="39"/>
      <c r="I55" s="54"/>
      <c r="J55" s="55"/>
    </row>
    <row r="56" spans="1:10" ht="30" customHeight="1" x14ac:dyDescent="0.3">
      <c r="A56" s="10"/>
      <c r="B56" s="85" t="s">
        <v>229</v>
      </c>
      <c r="C56" s="86"/>
      <c r="D56" s="86"/>
      <c r="E56" s="33"/>
      <c r="F56" s="40"/>
      <c r="G56" s="35"/>
      <c r="H56" s="36"/>
      <c r="I56" s="57"/>
      <c r="J56" s="58"/>
    </row>
    <row r="57" spans="1:10" ht="30" customHeight="1" x14ac:dyDescent="0.3">
      <c r="A57" s="10"/>
      <c r="B57" s="79" t="s">
        <v>230</v>
      </c>
      <c r="C57" s="80"/>
      <c r="D57" s="80"/>
      <c r="E57" s="9">
        <v>0</v>
      </c>
      <c r="F57" s="26" t="s">
        <v>17</v>
      </c>
      <c r="G57" s="30" t="str">
        <f t="shared" si="0"/>
        <v/>
      </c>
      <c r="H57" s="31" t="str">
        <f t="shared" si="1"/>
        <v>تم الإلغاء</v>
      </c>
      <c r="I57" s="52"/>
      <c r="J57" s="53"/>
    </row>
    <row r="58" spans="1:10" ht="30" customHeight="1" thickBot="1" x14ac:dyDescent="0.35">
      <c r="A58" s="10"/>
      <c r="B58" s="81" t="s">
        <v>231</v>
      </c>
      <c r="C58" s="82"/>
      <c r="D58" s="82"/>
      <c r="E58" s="37">
        <v>0</v>
      </c>
      <c r="F58" s="27" t="s">
        <v>17</v>
      </c>
      <c r="G58" s="38" t="str">
        <f t="shared" si="0"/>
        <v/>
      </c>
      <c r="H58" s="39" t="str">
        <f t="shared" si="1"/>
        <v>تم الإلغاء</v>
      </c>
      <c r="I58" s="54"/>
      <c r="J58" s="55"/>
    </row>
    <row r="59" spans="1:10" ht="30" customHeight="1" thickBot="1" x14ac:dyDescent="0.35">
      <c r="A59" s="4"/>
      <c r="B59" s="72" t="s">
        <v>5</v>
      </c>
      <c r="C59" s="73"/>
      <c r="D59" s="73"/>
      <c r="E59" s="29">
        <f>SUM(E8:E58)</f>
        <v>75</v>
      </c>
      <c r="F59" s="29">
        <f>SUM(F8:F58)</f>
        <v>55.75</v>
      </c>
      <c r="G59" s="76"/>
      <c r="H59" s="77"/>
      <c r="I59" s="77"/>
      <c r="J59" s="78"/>
    </row>
    <row r="60" spans="1:10" ht="30" customHeight="1" thickBot="1" x14ac:dyDescent="0.35">
      <c r="A60" s="4"/>
      <c r="B60" s="74" t="s">
        <v>54</v>
      </c>
      <c r="C60" s="75"/>
      <c r="D60" s="75"/>
      <c r="E60" s="48">
        <f>F59/E59/100*100</f>
        <v>0.74333333333333329</v>
      </c>
      <c r="F60" s="48"/>
      <c r="G60" s="48"/>
      <c r="H60" s="48"/>
      <c r="I60" s="48"/>
      <c r="J60" s="49"/>
    </row>
    <row r="61" spans="1:10" ht="30" customHeight="1" thickBot="1" x14ac:dyDescent="0.35">
      <c r="A61" s="4"/>
      <c r="B61" s="74" t="s">
        <v>55</v>
      </c>
      <c r="C61" s="75"/>
      <c r="D61" s="75"/>
      <c r="E61" s="68" t="str">
        <f>_xlfn.IFS(E60&gt;=90%,"ممتاز",E60&gt;=80%,"جيد جداً",E60&gt;=70%,"جيد",E60&gt;=60%,"مقبول",E60&lt;60%,"راسب")</f>
        <v>جيد</v>
      </c>
      <c r="F61" s="68"/>
      <c r="G61" s="68"/>
      <c r="H61" s="68"/>
      <c r="I61" s="68"/>
      <c r="J61" s="69"/>
    </row>
    <row r="62" spans="1:10" ht="42" customHeight="1" x14ac:dyDescent="0.3">
      <c r="B62" s="64" t="s">
        <v>174</v>
      </c>
      <c r="C62" s="64"/>
      <c r="D62" s="64"/>
      <c r="E62" s="70" t="s">
        <v>52</v>
      </c>
      <c r="F62" s="70"/>
      <c r="G62" s="66" t="s">
        <v>115</v>
      </c>
      <c r="H62" s="66"/>
      <c r="I62" s="66"/>
      <c r="J62" s="66"/>
    </row>
    <row r="63" spans="1:10" ht="51" customHeight="1" x14ac:dyDescent="0.3">
      <c r="A63" s="5"/>
      <c r="B63" s="65"/>
      <c r="C63" s="65"/>
      <c r="D63" s="65"/>
      <c r="E63" s="71" t="s">
        <v>53</v>
      </c>
      <c r="F63" s="71"/>
      <c r="G63" s="67"/>
      <c r="H63" s="67"/>
      <c r="I63" s="67"/>
      <c r="J63" s="67"/>
    </row>
  </sheetData>
  <sheetProtection formatCells="0" formatColumns="0" formatRows="0" insertColumns="0" insertRows="0" insertHyperlinks="0" deleteColumns="0" deleteRows="0" selectLockedCells="1" sort="0" autoFilter="0" pivotTables="0"/>
  <mergeCells count="123">
    <mergeCell ref="B46:D46"/>
    <mergeCell ref="B47:D47"/>
    <mergeCell ref="B56:D56"/>
    <mergeCell ref="B57:D57"/>
    <mergeCell ref="B58:D58"/>
    <mergeCell ref="B48:D48"/>
    <mergeCell ref="B49:D49"/>
    <mergeCell ref="B50:D50"/>
    <mergeCell ref="B51:D51"/>
    <mergeCell ref="B52:D52"/>
    <mergeCell ref="B53:D53"/>
    <mergeCell ref="B54:D54"/>
    <mergeCell ref="B55:D55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33:J33"/>
    <mergeCell ref="I34:J34"/>
    <mergeCell ref="I35:J35"/>
    <mergeCell ref="I36:J3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0:D30"/>
    <mergeCell ref="B31:D31"/>
    <mergeCell ref="B32:D32"/>
    <mergeCell ref="B33:D33"/>
    <mergeCell ref="B34:D34"/>
    <mergeCell ref="B35:D35"/>
    <mergeCell ref="B36:D36"/>
    <mergeCell ref="I8:J8"/>
    <mergeCell ref="B59:D59"/>
    <mergeCell ref="B60:D60"/>
    <mergeCell ref="B61:D6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8:J58"/>
    <mergeCell ref="I26:J26"/>
    <mergeCell ref="I27:J27"/>
    <mergeCell ref="G59:J59"/>
    <mergeCell ref="I9:J9"/>
    <mergeCell ref="B26:D26"/>
    <mergeCell ref="B27:D27"/>
    <mergeCell ref="B28:D28"/>
    <mergeCell ref="B29:D29"/>
    <mergeCell ref="I32:J32"/>
    <mergeCell ref="B62:D63"/>
    <mergeCell ref="G62:J62"/>
    <mergeCell ref="G63:J63"/>
    <mergeCell ref="E61:J61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2:F62"/>
    <mergeCell ref="E63:F63"/>
    <mergeCell ref="B1:J1"/>
    <mergeCell ref="F2:J2"/>
    <mergeCell ref="B5:D6"/>
    <mergeCell ref="C2:D2"/>
    <mergeCell ref="C3:D3"/>
    <mergeCell ref="F3:J3"/>
    <mergeCell ref="E60:J6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20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9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1">
    <cfRule type="expression" dxfId="14" priority="59">
      <formula>$E61="راسب"</formula>
    </cfRule>
  </conditionalFormatting>
  <conditionalFormatting sqref="E61:J61">
    <cfRule type="expression" dxfId="13" priority="60">
      <formula>$E61="مقبول"</formula>
    </cfRule>
    <cfRule type="expression" dxfId="12" priority="61">
      <formula>$E61="جيد"</formula>
    </cfRule>
    <cfRule type="expression" dxfId="11" priority="62">
      <formula>$E61="جيد جداً"</formula>
    </cfRule>
    <cfRule type="expression" dxfId="10" priority="63">
      <formula>$E61="ممتاز"</formula>
    </cfRule>
  </conditionalFormatting>
  <conditionalFormatting sqref="F8:F58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21" operator="containsText" text="أدخل التاريخ">
      <formula>NOT(ISERROR(SEARCH("أدخل التاريخ",F2)))</formula>
    </cfRule>
  </conditionalFormatting>
  <conditionalFormatting sqref="F3:J3">
    <cfRule type="containsText" dxfId="7" priority="18" operator="containsText" text="أدخل أسم المحكم">
      <formula>NOT(ISERROR(SEARCH("أدخل أسم المحكم",F3)))</formula>
    </cfRule>
  </conditionalFormatting>
  <conditionalFormatting sqref="G62:J62">
    <cfRule type="containsText" dxfId="6" priority="17" operator="containsText" text="أدخل اسم المحكم">
      <formula>NOT(ISERROR(SEARCH("أدخل اسم المحكم",G62)))</formula>
    </cfRule>
  </conditionalFormatting>
  <conditionalFormatting sqref="H8:H58">
    <cfRule type="containsText" dxfId="5" priority="7" operator="containsText" text="أدخل العلامة">
      <formula>NOT(ISERROR(SEARCH("أدخل العلامة",H8)))</formula>
    </cfRule>
    <cfRule type="containsText" dxfId="4" priority="8" operator="containsText" text="ممتاز">
      <formula>NOT(ISERROR(SEARCH("ممتاز",H8)))</formula>
    </cfRule>
    <cfRule type="containsText" dxfId="3" priority="9" operator="containsText" text="جيد جداً">
      <formula>NOT(ISERROR(SEARCH("جيد جداً",H8)))</formula>
    </cfRule>
    <cfRule type="containsText" dxfId="2" priority="10" operator="containsText" text="جيد">
      <formula>NOT(ISERROR(SEARCH("جيد",H8)))</formula>
    </cfRule>
    <cfRule type="containsText" dxfId="1" priority="11" operator="containsText" text="مقبول">
      <formula>NOT(ISERROR(SEARCH("مقبول",H8)))</formula>
    </cfRule>
    <cfRule type="containsText" dxfId="0" priority="1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G62:J62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F9:F23 F25:F31 F33:F36 F46:F58 F38:F44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53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2025-10-27T19:14:43Z</dcterms:modified>
</cp:coreProperties>
</file>