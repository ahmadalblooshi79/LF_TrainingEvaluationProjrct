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41D874A4-CB34-164C-AD67-ADD4CD5394D4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6" i="2"/>
  <c r="H26" i="2"/>
  <c r="G27" i="2"/>
  <c r="H27" i="2"/>
  <c r="G28" i="2"/>
  <c r="H28" i="2"/>
  <c r="G29" i="2"/>
  <c r="H29" i="2"/>
  <c r="F30" i="2"/>
  <c r="E30" i="2"/>
  <c r="E31" i="2"/>
  <c r="E32" i="2"/>
</calcChain>
</file>

<file path=xl/sharedStrings.xml><?xml version="1.0" encoding="utf-8"?>
<sst xmlns="http://schemas.openxmlformats.org/spreadsheetml/2006/main" count="255" uniqueCount="198">
  <si>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</si>
  <si>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</si>
  <si>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</si>
  <si>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</si>
  <si>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</si>
  <si>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</si>
  <si>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</si>
  <si>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</si>
  <si>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</si>
  <si>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</si>
  <si>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</si>
  <si>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</si>
  <si>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</si>
  <si>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</si>
  <si>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</si>
  <si>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</si>
  <si>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</si>
  <si>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</si>
  <si>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</si>
  <si>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</si>
  <si>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</si>
  <si>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</si>
  <si>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</si>
  <si>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</si>
  <si>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</si>
  <si>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</si>
  <si>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</si>
  <si>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</si>
  <si>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</si>
  <si>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</si>
  <si>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</si>
  <si>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</si>
  <si>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</si>
  <si>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</si>
  <si>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</si>
  <si>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</si>
  <si>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</si>
  <si>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</si>
  <si>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</si>
  <si>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</si>
  <si>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</si>
  <si>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</si>
  <si>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</si>
  <si>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</si>
  <si>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</si>
  <si>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</si>
  <si>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</si>
  <si>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</si>
  <si>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</si>
  <si>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</si>
  <si>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</si>
  <si>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</si>
  <si>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</si>
  <si>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</si>
  <si>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</si>
  <si>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</si>
  <si>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</si>
  <si>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</si>
  <si>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</si>
  <si>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</si>
  <si>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</si>
  <si>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</si>
  <si>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</si>
  <si>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</si>
  <si>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</si>
  <si>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</si>
  <si>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</si>
  <si>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</si>
  <si>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</si>
  <si>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</si>
  <si>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</si>
  <si>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</si>
  <si>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</si>
  <si>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</si>
  <si>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</si>
  <si>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</si>
  <si>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</si>
  <si>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</si>
  <si>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</si>
  <si>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</si>
  <si>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</si>
  <si>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</si>
  <si>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</si>
  <si>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</si>
  <si>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</si>
  <si>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</si>
  <si>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</si>
  <si>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</si>
  <si>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</si>
  <si>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</si>
  <si>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</si>
  <si>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</si>
  <si>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</si>
  <si>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</si>
  <si>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</si>
  <si>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</si>
  <si>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</si>
  <si>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</si>
  <si>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</si>
  <si>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</si>
  <si>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</si>
  <si>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</si>
  <si>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</si>
  <si>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</si>
  <si>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</si>
  <si>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</si>
  <si>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</si>
  <si>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</si>
  <si>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</si>
  <si>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</si>
  <si>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</si>
  <si>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</si>
  <si>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</si>
  <si>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</si>
  <si>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</si>
  <si>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</si>
  <si>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</si>
  <si>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</si>
  <si>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</si>
  <si>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</si>
  <si>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</si>
  <si>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</si>
  <si>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</si>
  <si>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</si>
  <si>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</si>
  <si>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</si>
  <si>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</si>
  <si>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</si>
  <si>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</si>
  <si>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</si>
  <si>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</si>
  <si>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</si>
  <si>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</si>
  <si>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</si>
  <si>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</si>
  <si>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</si>
  <si>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</si>
  <si>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</si>
  <si>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</si>
  <si>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</si>
  <si>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</si>
  <si>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</si>
  <si>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</si>
  <si>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</si>
  <si>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</si>
  <si>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</si>
  <si>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</si>
  <si>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</si>
  <si>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</si>
  <si>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</si>
  <si>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</si>
  <si>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</si>
  <si>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</si>
  <si>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</si>
  <si>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</si>
  <si>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</si>
  <si>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</si>
  <si>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</si>
  <si>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</si>
  <si>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</si>
  <si>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</si>
  <si>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</si>
  <si>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</si>
  <si>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</si>
  <si>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</si>
  <si>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</si>
  <si>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</si>
  <si>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</si>
  <si>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</si>
  <si>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</si>
  <si>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</si>
  <si>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</si>
  <si>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</si>
  <si>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</si>
  <si>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</si>
  <si>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</si>
  <si>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في الكتيبة/ مجموعة القتال (بالتنسيق مع ضابط العمليات) بتحليل المتطلبات وإعداد وتطوير قائمة متطلبات المعلومات ذات الأولوية من خلال الإجراءات التالية:</t>
    </r>
  </si>
  <si>
    <t>أ. استلام متطلبات المعلومات الهامة للقائد.</t>
  </si>
  <si>
    <t>ب. مراجعة متطلبات المعلومات وتقييم متطلبات المعلومات ذات الأولوية.</t>
  </si>
  <si>
    <t>جـ. تحليل متطلبات الجمع لتحديد مصادر الجمع الأكثر فعالية في الاستخدام.</t>
  </si>
  <si>
    <t>د. تطوير متطلبات المعلومات المعينة التي تجيب على كل متطلب من متطلبات المعلومات.</t>
  </si>
  <si>
    <t>هـ. تحويل متطلبات المعلومات المعينة إلى واجبات استخباراتية ومراقبة واستطلاع.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</si>
  <si>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في الكتيبة/ مجموعة القتال بإعداد وتطوير خطة الجمع التي تجيب بفعالية على أولوية متطلبات المعلومات للقائد.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</si>
  <si>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يتأكد ضابط الاستخبارات من توزيع المعلومات الاستخباراتية عن طريق:</t>
    </r>
  </si>
  <si>
    <t>أ. التوزيع المباشر للمعنيين.</t>
  </si>
  <si>
    <t>ب. تحديد المعلومات التي يمكن أن تفقد قيمتها بسرعة (المتغيرة) والتي يجب استطلاعها مرة أخرى.</t>
  </si>
  <si>
    <t>جـ. تحديد كمية المعلومات التي يجب توزيعها.</t>
  </si>
  <si>
    <t>د. توزيع منتجات الاستخبارات.</t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</si>
  <si>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بتقييم عملية تمرير المعلومات للتأكد من أن كافة واجبات الاستخبارات والمراقبة والاستطلاع مقنعة تماماً وأن تبقى خطة إدارة الجمع متزامنة بشكل كامل:</t>
    </r>
  </si>
  <si>
    <t>أ. مقارنة تأكيد الاستخبارات والمراقبة والاستطلاع مع متطلبات الاستخبارات ذات الأولوية ومتطلبات المعلومات المحددة.</t>
  </si>
  <si>
    <t>جـ. تدقيق التقارير للتأكد من اكتمال واستمرارية واجب الاستخبارات والمراقبة والاستطلاع.</t>
  </si>
  <si>
    <t>د. توفير التغذية الراجعة لمصادر جمع الاستخبارات والمراقبة والاستطلاع والمستخدمين عن نجاح جهد الجمع وعن تقدم واجبات الاستخبارات والمراقبة والاستطلاع.</t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</si>
  <si>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بتحديث خطة جمع المعلومات وتأكيد التزامن من خلال:</t>
    </r>
  </si>
  <si>
    <t>أ. حذف المتطلبات التي تمت تلبيتها.</t>
  </si>
  <si>
    <t>ب. إعادة توجيه مصادر الجمع لمتطلبات المعلومات غير الكاملة.</t>
  </si>
  <si>
    <t xml:space="preserve">جـ. توجيه مصادر الجمع للمتطلبات الجديدة التي تطورت أثناء العمليات وحسب تغير متطلبات الاستخبارات ذات الأولوية. </t>
  </si>
  <si>
    <t>د. إدامة الإلمام بالموقف.</t>
  </si>
  <si>
    <r>
      <rPr>
        <b/>
        <sz val="14"/>
        <color rgb="FF000000"/>
        <rFont val="Arial"/>
        <family val="2"/>
      </rPr>
      <t>تقييم الكتيبة/ مجموعة القتال في إعداد وتطوير خطة الاستخبارات والمراقبة والاستطلاع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</si>
</sst>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center" wrapText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6" fillId="0" borderId="23" xfId="0" applyFont="1" applyBorder="1" applyAlignment="1">
      <alignment horizontal="right" vertical="center" wrapText="1" indent="2" readingOrder="2"/>
    </xf>
    <xf numFmtId="0" fontId="16" fillId="0" borderId="3" xfId="0" applyFont="1" applyBorder="1" applyAlignment="1">
      <alignment horizontal="right" vertical="center" wrapText="1" indent="2" readingOrder="2"/>
    </xf>
    <xf numFmtId="0" fontId="16" fillId="0" borderId="11" xfId="0" applyFont="1" applyBorder="1" applyAlignment="1">
      <alignment horizontal="right" vertical="center" wrapText="1" indent="2" readingOrder="2"/>
    </xf>
    <xf numFmtId="0" fontId="16" fillId="0" borderId="12" xfId="0" applyFont="1" applyBorder="1" applyAlignment="1">
      <alignment horizontal="right" vertical="center" wrapText="1" indent="2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4" fillId="0" borderId="8" xfId="0" applyFont="1" applyBorder="1" applyAlignment="1">
      <alignment horizontal="right" vertical="center" wrapText="1" readingOrder="2"/>
    </xf>
    <xf numFmtId="0" fontId="14" fillId="0" borderId="9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184672</xdr:colOff>
      <xdr:row>33</xdr:row>
      <xdr:rowOff>50018</xdr:rowOff>
    </xdr:from>
    <xdr:to>
      <xdr:col>8</xdr:col>
      <xdr:colOff>396409</xdr:colOff>
      <xdr:row>33</xdr:row>
      <xdr:rowOff>478418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DAB5FEA-28E1-8B72-8C6F-F047E4BB224C}"/>
                </a:ext>
              </a:extLst>
            </xdr14:cNvPr>
            <xdr14:cNvContentPartPr/>
          </xdr14:nvContentPartPr>
          <xdr14:nvPr macro=""/>
          <xdr14:xfrm>
            <a:off x="10423306391" y="16092360"/>
            <a:ext cx="866160" cy="4284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DAB5FEA-28E1-8B72-8C6F-F047E4BB224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297391" y="16083360"/>
              <a:ext cx="883800" cy="44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640432</xdr:colOff>
      <xdr:row>33</xdr:row>
      <xdr:rowOff>246578</xdr:rowOff>
    </xdr:from>
    <xdr:to>
      <xdr:col>8</xdr:col>
      <xdr:colOff>609169</xdr:colOff>
      <xdr:row>33</xdr:row>
      <xdr:rowOff>586418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CA1A79E-3022-9E2C-566B-D9B479045390}"/>
                </a:ext>
              </a:extLst>
            </xdr14:cNvPr>
            <xdr14:cNvContentPartPr/>
          </xdr14:nvContentPartPr>
          <xdr14:nvPr macro=""/>
          <xdr14:xfrm>
            <a:off x="10423093631" y="16288920"/>
            <a:ext cx="623160" cy="3398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CA1A79E-3022-9E2C-566B-D9B47904539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084631" y="16280280"/>
              <a:ext cx="640800" cy="357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15:02:10.1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1945 863 5057,'0'0'0,"-2"-3"1192,0-9-736,-1 7-224,3 5-232,-2-5 96,1 1 48,-1 1-72,1-1 40,1 1 32,0 0-32,0 3-112,0-2 176,0 0-64,0-1 16,0 2-48,0-1-16,0-1 24,0 3-88,0-2 32,0-1 8,0 0 0,0 0-24,0 0 8,0 0-16,0 3-8,0-3 8,3-1 16,-3 1-24,2-2-16,0 0-8,-2 0-8,0 5 32,3-5 0,-1-4-8,1 5 8,-1-1-32,0-4-16,2 5 8,-4 4 40,4-9-56,6 5 16,-7-6-16,6 7 0,-5-10 24,8 8-40,-12 5 72,9-11-56,1 8 0,1-7-16,0 6 32,1 1-8,1-7-8,-13 10 56,14-3-64,1-1-16,-1-6-8,0 9 0,1-2 16,0 0-8,-15 3 80,15-2-96,0-1 0,1 2-16,-2 1 16,0 0 40,2 3 16,-16-3 40,16 3-24,-2 8 0,0-7 8,1 6-24,-2-6 8,0 8 0,-13-12 32,13 4-32,1 11 24,-2-3 8,-2-1 8,0 0 8,-6 1-8,-4-12-8,10 10 16,-10 4 0,4-4-16,0 1 24,-4 1 8,0-1 24,0-11-56,0 13 80,-2-1 0,-1 0 16,-7 0 8,1 0 8,-3 0-8,12-12-104,-15 10 112,1 0 0,-3-6-8,0 10 0,1-10-8,-4 8-16,20-12-80,-19 4 80,0 6-8,-1-7-32,0 6 0,0-6-40,0-1 0,20-2 0,-21 4 40,0-2-64,2-2-16,-3 0-64,0 0-128,1 0-80,21 0 312,-21-1-392,2-3-48,-1-6-40,0 6 48,-1-9 48,0 2 40,21 11 344,-21-11-208,1-2 63,1 0 57,-2-3 72,2 1-8,-1-3 72,20 18-48,-21-18 112,1-1 49,0 1 103,-1 0 88,1 0 56,-3 1 88,23 17-496,-23-18 576,-2 1-80,-1 2-24,-1-1-56,1 0-112,0 1 56,26 15-360,-25-16 296,-1 2 9,1 1-81,-1-1-64,-1 2-24,-1 2 8,28 10-144,-29-10 64,0 5-32,2-7-24,-1 9-24,0-8 112,1 7-48,27 4-48,-28-4 64,0-6-72,1 6-40,-1 1 0,-1-2 0,1 0 0,28 5 48,-27-5-24,0 1 48,1-1 8,0 1 24,-1-1-136,1 1 120,26 4-40,-28-5 8,2 0-40,-1 0 112,2-4-40,5 6 8,-2-2 0,22 5-48,-19-9 24,1 5-80,2-5 8,1 4 80,1-7-88,2 7 48,12 5 8,-10-13-56,5 8-128,1-8 32,1 3-128,1 1-193,0-2-47,2 11 520,0-11-656,3-1-16,9-1 216,-2-1-48,3-1 112,2 1 88,-15 14 304,17-14-312,3 0 136,3 1 104,4 0-48,3 0 8,3-2 16,-33 15 96,36-13-136,5 1 55,1-1 73,1 0-48,1 0 24,4-1 16,-48 14 16,51-11-48,0-1 16,2 1-16,1 0-48,0 7 32,-1-6 16,-53 10 48,54-2-48,-4-1 96,2 2-96,-1-1 0,-1 2-8,0 0-48,-50 0 104,46 3-48,-2 0-24,-4 1 24,-1 7-16,0-8-32,-3 8 0,-36-11 96,34 4-120,-1 8 64,-2-9-24,-3 12 8,-2-12 16,-2 10-32,-24-13 88,21 4-32,-3 10 16,-1-10-48,-1 10-8,-4-4-8,-1 0-8,-11-10 88,3 9-32,1 2 64,-1 0 0,-3 0 8,0-1 40,-1 0-8,1-10-72,-9 11 160,-4-1 80,-1 4 48,-4 1 72,-4 1 48,-1-1-7,23-15-401,-29 18 432,-4-1-48,-1 1-32,-5 1-24,-1 0 0,-4 2 8,44-21-336,-46 20 312,-2 2-8,-3-1-64,-3 1-24,-1 1-32,-3-1-64,58-22-120,-60 26 112,0-2-32,-1 1-8,-2 1-8,1-2 24,-2 1-8,64-25-80,-60 24 72,-4 3 32,3-3-64,0 2-8,-3 2 16,2-2-24,62-26-24,-61 27 24,0 0 0,3-1-32,2 1 0,1-2-16,2 0-32,53-25 56,-49 24-40,1-1-48,2-2-64,4-2-112,2-1-280,1-1-488,39-17 1032,-36 16-1328,4-2-73,1 0 321,0-2 456,2-2 304,1 0 216,28-10 104,-24 3-1856,24-3 1856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15:02:11.0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1730 43 11210,'0'0'0,"-28"-3"1040,-9 0-680,37 3-360,-48-3 192,3 3-56,0 10-48,0 2 8,-3 1 80,0 3-24,48-16-152,-49 17 248,2-2-96,2 1-64,-1 0-40,2 1-144,-1-1 112,45-16-16,-41 15-64,2 0 24,0-2-64,5 0-128,0-2-72,4 0-336,30-11 640,-26 3-992,2 9-488,4-9-633,3-1 17,2 0 327,5-2 617,10 0 1152,-5 0-536,0 0 304,1-2 144,3-3-1768,1 5 1856</inkml:trace>
  <inkml:trace contextRef="#ctx0" brushRef="#br0" timeOffset="1">570 350 1936,'0'0'0,"0"0"0,-21 3 1136,-4 8-248,-7-7 257,2 8 143,6-9-128,-1 8-120,25-11-1040,-24 4 929,3 9-153,1-10-176,6 7-136,-1-8-160,2 8-88,13-10-216,-12 0 104,1 3-56,2 1-48,5 0 8,-7-1 8,8 0-40,3-3 24,-11 2 56,6 2-96,-8-1 40,9 1 48,-7-2-136,1 2 16,10-4 72,-5 3-96,-8 1-72,3 6 88,1-10 0,-2 3-88,0 0 8,11-3 160,-11 2-152,1 0-32,-1 1 112,-1-3-16,-1 0-32,2 0 0,11 0 120,-11 0-192,0 0-24,2-3-64,-1 0-72,5-2-81,-6-6-55,11 11 488,-3-5-536,-2-7-56,0 3-96,2-2 40,1 0-24,2-3 8,0 14 664,0-16-545,0 0 17,4-4 128,7 0 144,-8 0 88,12-2 72,-15 22 96,12-23-48,0 1 24,1-2 8,1 2 32,1 0 0,-1 1-8,-14 21-8,14-21 40,1 3 32,1 2 8,-1-1 16,1 3 0,-2-2-8,-14 16-88,14-13 96,1 0 56,-2 2-24,-1 1-16,-1 1 0,-2 5-40,-9 4-72,4-4 64,8 2 16,-10 1-32,8 1-16,-8 0 24,2 3 24,-4-3-80,3 12 88,0-8 72,-3 13-24,0-4-8,0 3 1,-1 2-25,1-18-104,-5 20 104,-6 4 24,1 0-16,6 5-8,-10-1 8,4 1 0,10-29-112,-12 34 160,0-3 96,-3 4 96,1-1 120,0 1 152,-1 3 56,15-38-680,-13 40 784,0 1 41,0 0-81,-1-3-64,4 1-120,0-1-128,10-38-432,-3 37 384,0-3-48,2-2-32,3-2-16,9-4 8,3-2 1,-14-24-297,20 20 328,4-2 24,6-2 8,5-4 72,8-9 0,6 7-72,-49-10-360,53 0 304,6 0-96,6-4-88,6-6-48,6-1-40,3-4-64,-80 15 32,82-14-192,3-1-336,4-3-624,2 0-865,4-3-983,4 1-433,-99 20 3433,103-23-2457,2-1 953,1-1-1008,-106 25 2512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4"/>
  <sheetViews>
    <sheetView rightToLeft="1" tabSelected="1" view="pageBreakPreview" topLeftCell="D20" zoomScale="130" zoomScaleNormal="100" zoomScaleSheetLayoutView="130" workbookViewId="0">
      <selection activeCell="G34" sqref="G34:J34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0" t="s">
        <v>197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2">
      <c r="B2" s="13" t="s">
        <v>8</v>
      </c>
      <c r="C2" s="76" t="s">
        <v>40</v>
      </c>
      <c r="D2" s="76"/>
      <c r="E2" s="13" t="s">
        <v>7</v>
      </c>
      <c r="F2" s="71">
        <v>45923</v>
      </c>
      <c r="G2" s="71"/>
      <c r="H2" s="71"/>
      <c r="I2" s="71"/>
      <c r="J2" s="71"/>
    </row>
    <row r="3" spans="1:10" ht="30" customHeight="1" x14ac:dyDescent="0.2">
      <c r="B3" s="13" t="s">
        <v>9</v>
      </c>
      <c r="C3" s="76" t="s">
        <v>81</v>
      </c>
      <c r="D3" s="76"/>
      <c r="E3" s="13" t="s">
        <v>6</v>
      </c>
      <c r="F3" s="76" t="s">
        <v>92</v>
      </c>
      <c r="G3" s="76"/>
      <c r="H3" s="76"/>
      <c r="I3" s="76"/>
      <c r="J3" s="76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1"/>
      <c r="B5" s="72" t="s">
        <v>0</v>
      </c>
      <c r="C5" s="73"/>
      <c r="D5" s="73"/>
      <c r="E5" s="81" t="s">
        <v>1</v>
      </c>
      <c r="F5" s="81"/>
      <c r="G5" s="81"/>
      <c r="H5" s="81"/>
      <c r="I5" s="81" t="s">
        <v>2</v>
      </c>
      <c r="J5" s="82"/>
    </row>
    <row r="6" spans="1:10" ht="24.95" customHeight="1" thickBot="1" x14ac:dyDescent="0.25">
      <c r="A6" s="11"/>
      <c r="B6" s="74"/>
      <c r="C6" s="75"/>
      <c r="D6" s="75"/>
      <c r="E6" s="12" t="s">
        <v>3</v>
      </c>
      <c r="F6" s="12" t="s">
        <v>4</v>
      </c>
      <c r="G6" s="12" t="s">
        <v>23</v>
      </c>
      <c r="H6" s="12" t="s">
        <v>24</v>
      </c>
      <c r="I6" s="83"/>
      <c r="J6" s="84"/>
    </row>
    <row r="7" spans="1:10" ht="24.95" customHeight="1" thickBot="1" x14ac:dyDescent="0.25">
      <c r="A7" s="11"/>
      <c r="B7" s="79" t="s">
        <v>21</v>
      </c>
      <c r="C7" s="80"/>
      <c r="D7" s="80"/>
      <c r="E7" s="30" t="s">
        <v>18</v>
      </c>
      <c r="F7" s="30" t="s">
        <v>19</v>
      </c>
      <c r="G7" s="30" t="s">
        <v>22</v>
      </c>
      <c r="H7" s="30" t="s">
        <v>20</v>
      </c>
      <c r="I7" s="85" t="s">
        <v>25</v>
      </c>
      <c r="J7" s="86"/>
    </row>
    <row r="8" spans="1:10" ht="54.95" customHeight="1" x14ac:dyDescent="0.2">
      <c r="A8" s="11"/>
      <c r="B8" s="48" t="s">
        <v>176</v>
      </c>
      <c r="C8" s="49"/>
      <c r="D8" s="49"/>
      <c r="E8" s="34"/>
      <c r="F8" s="35"/>
      <c r="G8" s="36"/>
      <c r="H8" s="37"/>
      <c r="I8" s="52"/>
      <c r="J8" s="53"/>
    </row>
    <row r="9" spans="1:10" ht="39.950000000000003" customHeight="1" x14ac:dyDescent="0.2">
      <c r="A9" s="11"/>
      <c r="B9" s="44" t="s">
        <v>177</v>
      </c>
      <c r="C9" s="45"/>
      <c r="D9" s="45"/>
      <c r="E9" s="9">
        <v>5</v>
      </c>
      <c r="F9" s="27">
        <v>3.5</v>
      </c>
      <c r="G9" s="32">
        <f>IFERROR(F9/E9,"")</f>
        <v>0.7</v>
      </c>
      <c r="H9" s="33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8"/>
      <c r="J9" s="59"/>
    </row>
    <row r="10" spans="1:10" ht="39.950000000000003" customHeight="1" x14ac:dyDescent="0.2">
      <c r="A10" s="11"/>
      <c r="B10" s="44" t="s">
        <v>178</v>
      </c>
      <c r="C10" s="45"/>
      <c r="D10" s="45"/>
      <c r="E10" s="9">
        <v>5</v>
      </c>
      <c r="F10" s="27">
        <v>3.5</v>
      </c>
      <c r="G10" s="32">
        <f t="shared" ref="G10:G29" si="0">IFERROR(F10/E10,"")</f>
        <v>0.7</v>
      </c>
      <c r="H10" s="33" t="str">
        <f t="shared" ref="H10:H29" si="1">_xlfn.IFS(F10="أدخل العلامة","",F10="لا ينطبق","تم الإلغاء",G10&gt;=90%,"ممتاز",G10&gt;=80%,"جيد جداً",G10&gt;=70%,"جيد",G10&gt;=60%,"مقبول",G10&lt;60%,"راسب")</f>
        <v>جيد</v>
      </c>
      <c r="I10" s="58"/>
      <c r="J10" s="59"/>
    </row>
    <row r="11" spans="1:10" ht="39.950000000000003" customHeight="1" x14ac:dyDescent="0.2">
      <c r="A11" s="11"/>
      <c r="B11" s="44" t="s">
        <v>179</v>
      </c>
      <c r="C11" s="45"/>
      <c r="D11" s="45"/>
      <c r="E11" s="9">
        <v>5</v>
      </c>
      <c r="F11" s="27">
        <v>3.5</v>
      </c>
      <c r="G11" s="32">
        <f t="shared" si="0"/>
        <v>0.7</v>
      </c>
      <c r="H11" s="33" t="str">
        <f t="shared" si="1"/>
        <v>جيد</v>
      </c>
      <c r="I11" s="58"/>
      <c r="J11" s="59"/>
    </row>
    <row r="12" spans="1:10" ht="39.950000000000003" customHeight="1" x14ac:dyDescent="0.2">
      <c r="A12" s="11"/>
      <c r="B12" s="44" t="s">
        <v>180</v>
      </c>
      <c r="C12" s="45"/>
      <c r="D12" s="45"/>
      <c r="E12" s="9">
        <v>5</v>
      </c>
      <c r="F12" s="27">
        <v>3.5</v>
      </c>
      <c r="G12" s="32">
        <f t="shared" si="0"/>
        <v>0.7</v>
      </c>
      <c r="H12" s="33" t="str">
        <f t="shared" si="1"/>
        <v>جيد</v>
      </c>
      <c r="I12" s="58"/>
      <c r="J12" s="59"/>
    </row>
    <row r="13" spans="1:10" ht="39.950000000000003" customHeight="1" thickBot="1" x14ac:dyDescent="0.25">
      <c r="A13" s="11"/>
      <c r="B13" s="46" t="s">
        <v>181</v>
      </c>
      <c r="C13" s="47"/>
      <c r="D13" s="47"/>
      <c r="E13" s="38">
        <v>5</v>
      </c>
      <c r="F13" s="29">
        <v>3.5</v>
      </c>
      <c r="G13" s="39">
        <f t="shared" si="0"/>
        <v>0.7</v>
      </c>
      <c r="H13" s="40" t="str">
        <f t="shared" si="1"/>
        <v>جيد</v>
      </c>
      <c r="I13" s="60"/>
      <c r="J13" s="61"/>
    </row>
    <row r="14" spans="1:10" ht="39.950000000000003" customHeight="1" thickBot="1" x14ac:dyDescent="0.25">
      <c r="A14" s="11"/>
      <c r="B14" s="50" t="s">
        <v>182</v>
      </c>
      <c r="C14" s="51"/>
      <c r="D14" s="51"/>
      <c r="E14" s="10">
        <v>5</v>
      </c>
      <c r="F14" s="42">
        <v>3.5</v>
      </c>
      <c r="G14" s="43">
        <f t="shared" si="0"/>
        <v>0.7</v>
      </c>
      <c r="H14" s="28" t="str">
        <f t="shared" si="1"/>
        <v>جيد</v>
      </c>
      <c r="I14" s="62"/>
      <c r="J14" s="63"/>
    </row>
    <row r="15" spans="1:10" ht="39.950000000000003" customHeight="1" x14ac:dyDescent="0.2">
      <c r="A15" s="11"/>
      <c r="B15" s="48" t="s">
        <v>183</v>
      </c>
      <c r="C15" s="49"/>
      <c r="D15" s="49"/>
      <c r="E15" s="41"/>
      <c r="F15" s="35"/>
      <c r="G15" s="36"/>
      <c r="H15" s="37"/>
      <c r="I15" s="52"/>
      <c r="J15" s="53"/>
    </row>
    <row r="16" spans="1:10" ht="39.950000000000003" customHeight="1" x14ac:dyDescent="0.2">
      <c r="A16" s="11"/>
      <c r="B16" s="44" t="s">
        <v>184</v>
      </c>
      <c r="C16" s="45"/>
      <c r="D16" s="45"/>
      <c r="E16" s="9">
        <v>5</v>
      </c>
      <c r="F16" s="27">
        <v>3.5</v>
      </c>
      <c r="G16" s="32">
        <f t="shared" si="0"/>
        <v>0.7</v>
      </c>
      <c r="H16" s="33" t="str">
        <f t="shared" si="1"/>
        <v>جيد</v>
      </c>
      <c r="I16" s="58"/>
      <c r="J16" s="59"/>
    </row>
    <row r="17" spans="1:10" ht="39.950000000000003" customHeight="1" x14ac:dyDescent="0.2">
      <c r="A17" s="11"/>
      <c r="B17" s="44" t="s">
        <v>185</v>
      </c>
      <c r="C17" s="45"/>
      <c r="D17" s="45"/>
      <c r="E17" s="9">
        <v>5</v>
      </c>
      <c r="F17" s="27">
        <v>3.5</v>
      </c>
      <c r="G17" s="32">
        <f t="shared" si="0"/>
        <v>0.7</v>
      </c>
      <c r="H17" s="33" t="str">
        <f t="shared" si="1"/>
        <v>جيد</v>
      </c>
      <c r="I17" s="58"/>
      <c r="J17" s="59"/>
    </row>
    <row r="18" spans="1:10" ht="39.950000000000003" customHeight="1" x14ac:dyDescent="0.2">
      <c r="A18" s="11"/>
      <c r="B18" s="44" t="s">
        <v>186</v>
      </c>
      <c r="C18" s="45"/>
      <c r="D18" s="45"/>
      <c r="E18" s="9">
        <v>5</v>
      </c>
      <c r="F18" s="27">
        <v>3.5</v>
      </c>
      <c r="G18" s="32">
        <f t="shared" si="0"/>
        <v>0.7</v>
      </c>
      <c r="H18" s="33" t="str">
        <f t="shared" si="1"/>
        <v>جيد</v>
      </c>
      <c r="I18" s="58"/>
      <c r="J18" s="59"/>
    </row>
    <row r="19" spans="1:10" ht="39.950000000000003" customHeight="1" thickBot="1" x14ac:dyDescent="0.25">
      <c r="A19" s="11"/>
      <c r="B19" s="46" t="s">
        <v>187</v>
      </c>
      <c r="C19" s="47"/>
      <c r="D19" s="47"/>
      <c r="E19" s="38">
        <v>5</v>
      </c>
      <c r="F19" s="29">
        <v>3.5</v>
      </c>
      <c r="G19" s="39">
        <f t="shared" si="0"/>
        <v>0.7</v>
      </c>
      <c r="H19" s="40" t="str">
        <f t="shared" si="1"/>
        <v>جيد</v>
      </c>
      <c r="I19" s="60"/>
      <c r="J19" s="61"/>
    </row>
    <row r="20" spans="1:10" ht="54.95" customHeight="1" x14ac:dyDescent="0.2">
      <c r="A20" s="11"/>
      <c r="B20" s="48" t="s">
        <v>188</v>
      </c>
      <c r="C20" s="49"/>
      <c r="D20" s="49"/>
      <c r="E20" s="41"/>
      <c r="F20" s="35"/>
      <c r="G20" s="36"/>
      <c r="H20" s="37"/>
      <c r="I20" s="52"/>
      <c r="J20" s="53"/>
    </row>
    <row r="21" spans="1:10" ht="39.950000000000003" customHeight="1" x14ac:dyDescent="0.2">
      <c r="A21" s="11"/>
      <c r="B21" s="44" t="s">
        <v>189</v>
      </c>
      <c r="C21" s="45"/>
      <c r="D21" s="45"/>
      <c r="E21" s="9">
        <v>5</v>
      </c>
      <c r="F21" s="27">
        <v>3.5</v>
      </c>
      <c r="G21" s="32">
        <f t="shared" si="0"/>
        <v>0.7</v>
      </c>
      <c r="H21" s="33" t="str">
        <f t="shared" si="1"/>
        <v>جيد</v>
      </c>
      <c r="I21" s="58"/>
      <c r="J21" s="59"/>
    </row>
    <row r="22" spans="1:10" ht="39.950000000000003" customHeight="1" x14ac:dyDescent="0.2">
      <c r="A22" s="11"/>
      <c r="B22" s="44" t="s">
        <v>185</v>
      </c>
      <c r="C22" s="45"/>
      <c r="D22" s="45"/>
      <c r="E22" s="9">
        <v>5</v>
      </c>
      <c r="F22" s="27">
        <v>3.5</v>
      </c>
      <c r="G22" s="32">
        <f t="shared" si="0"/>
        <v>0.7</v>
      </c>
      <c r="H22" s="33" t="str">
        <f t="shared" si="1"/>
        <v>جيد</v>
      </c>
      <c r="I22" s="58"/>
      <c r="J22" s="59"/>
    </row>
    <row r="23" spans="1:10" ht="39.950000000000003" customHeight="1" x14ac:dyDescent="0.2">
      <c r="A23" s="11"/>
      <c r="B23" s="44" t="s">
        <v>190</v>
      </c>
      <c r="C23" s="45"/>
      <c r="D23" s="45"/>
      <c r="E23" s="9">
        <v>5</v>
      </c>
      <c r="F23" s="27">
        <v>3.5</v>
      </c>
      <c r="G23" s="32">
        <f t="shared" si="0"/>
        <v>0.7</v>
      </c>
      <c r="H23" s="33" t="str">
        <f t="shared" si="1"/>
        <v>جيد</v>
      </c>
      <c r="I23" s="58"/>
      <c r="J23" s="59"/>
    </row>
    <row r="24" spans="1:10" ht="54.95" customHeight="1" thickBot="1" x14ac:dyDescent="0.25">
      <c r="A24" s="11"/>
      <c r="B24" s="46" t="s">
        <v>191</v>
      </c>
      <c r="C24" s="47"/>
      <c r="D24" s="47"/>
      <c r="E24" s="38">
        <v>5</v>
      </c>
      <c r="F24" s="29">
        <v>3.5</v>
      </c>
      <c r="G24" s="39">
        <f t="shared" si="0"/>
        <v>0.7</v>
      </c>
      <c r="H24" s="40" t="str">
        <f t="shared" si="1"/>
        <v>جيد</v>
      </c>
      <c r="I24" s="60"/>
      <c r="J24" s="61"/>
    </row>
    <row r="25" spans="1:10" ht="39.950000000000003" customHeight="1" x14ac:dyDescent="0.2">
      <c r="A25" s="11"/>
      <c r="B25" s="48" t="s">
        <v>192</v>
      </c>
      <c r="C25" s="49"/>
      <c r="D25" s="49"/>
      <c r="E25" s="41"/>
      <c r="F25" s="35"/>
      <c r="G25" s="36"/>
      <c r="H25" s="37"/>
      <c r="I25" s="52"/>
      <c r="J25" s="53"/>
    </row>
    <row r="26" spans="1:10" ht="39.950000000000003" customHeight="1" x14ac:dyDescent="0.2">
      <c r="A26" s="11"/>
      <c r="B26" s="44" t="s">
        <v>193</v>
      </c>
      <c r="C26" s="45"/>
      <c r="D26" s="45"/>
      <c r="E26" s="9">
        <v>5</v>
      </c>
      <c r="F26" s="27">
        <v>3.75</v>
      </c>
      <c r="G26" s="32">
        <f t="shared" si="0"/>
        <v>0.75</v>
      </c>
      <c r="H26" s="33" t="str">
        <f t="shared" si="1"/>
        <v>جيد</v>
      </c>
      <c r="I26" s="58"/>
      <c r="J26" s="59"/>
    </row>
    <row r="27" spans="1:10" ht="39.950000000000003" customHeight="1" x14ac:dyDescent="0.2">
      <c r="A27" s="11"/>
      <c r="B27" s="44" t="s">
        <v>194</v>
      </c>
      <c r="C27" s="45"/>
      <c r="D27" s="45"/>
      <c r="E27" s="9">
        <v>5</v>
      </c>
      <c r="F27" s="27">
        <v>3.5</v>
      </c>
      <c r="G27" s="32">
        <f t="shared" si="0"/>
        <v>0.7</v>
      </c>
      <c r="H27" s="33" t="str">
        <f t="shared" si="1"/>
        <v>جيد</v>
      </c>
      <c r="I27" s="58"/>
      <c r="J27" s="59"/>
    </row>
    <row r="28" spans="1:10" ht="39.950000000000003" customHeight="1" x14ac:dyDescent="0.2">
      <c r="A28" s="11"/>
      <c r="B28" s="44" t="s">
        <v>195</v>
      </c>
      <c r="C28" s="45"/>
      <c r="D28" s="45"/>
      <c r="E28" s="9">
        <v>5</v>
      </c>
      <c r="F28" s="27">
        <v>3.5</v>
      </c>
      <c r="G28" s="32">
        <f t="shared" si="0"/>
        <v>0.7</v>
      </c>
      <c r="H28" s="33" t="str">
        <f t="shared" si="1"/>
        <v>جيد</v>
      </c>
      <c r="I28" s="58"/>
      <c r="J28" s="59"/>
    </row>
    <row r="29" spans="1:10" ht="39.950000000000003" customHeight="1" thickBot="1" x14ac:dyDescent="0.25">
      <c r="A29" s="11"/>
      <c r="B29" s="46" t="s">
        <v>196</v>
      </c>
      <c r="C29" s="47"/>
      <c r="D29" s="47"/>
      <c r="E29" s="38">
        <v>5</v>
      </c>
      <c r="F29" s="29">
        <v>3.5</v>
      </c>
      <c r="G29" s="39">
        <f t="shared" si="0"/>
        <v>0.7</v>
      </c>
      <c r="H29" s="40" t="str">
        <f t="shared" si="1"/>
        <v>جيد</v>
      </c>
      <c r="I29" s="60"/>
      <c r="J29" s="61"/>
    </row>
    <row r="30" spans="1:10" ht="30" customHeight="1" thickBot="1" x14ac:dyDescent="0.25">
      <c r="A30" s="4"/>
      <c r="B30" s="54" t="s">
        <v>5</v>
      </c>
      <c r="C30" s="55"/>
      <c r="D30" s="55"/>
      <c r="E30" s="31">
        <f>SUM(E8:E29)</f>
        <v>90</v>
      </c>
      <c r="F30" s="31">
        <f>SUM(F8:F29)</f>
        <v>63.25</v>
      </c>
      <c r="G30" s="89"/>
      <c r="H30" s="90"/>
      <c r="I30" s="90"/>
      <c r="J30" s="91"/>
    </row>
    <row r="31" spans="1:10" ht="30" customHeight="1" thickBot="1" x14ac:dyDescent="0.25">
      <c r="A31" s="4"/>
      <c r="B31" s="56" t="s">
        <v>54</v>
      </c>
      <c r="C31" s="57"/>
      <c r="D31" s="57"/>
      <c r="E31" s="77">
        <f>F30/E30/100*100</f>
        <v>0.70277777777777772</v>
      </c>
      <c r="F31" s="77"/>
      <c r="G31" s="77"/>
      <c r="H31" s="77"/>
      <c r="I31" s="77"/>
      <c r="J31" s="78"/>
    </row>
    <row r="32" spans="1:10" ht="30" customHeight="1" thickBot="1" x14ac:dyDescent="0.25">
      <c r="A32" s="4"/>
      <c r="B32" s="56" t="s">
        <v>55</v>
      </c>
      <c r="C32" s="57"/>
      <c r="D32" s="57"/>
      <c r="E32" s="68" t="str">
        <f>_xlfn.IFS(E31&gt;=90%,"ممتاز",E31&gt;=80%,"جيد جداً",E31&gt;=70%,"جيد",E31&gt;=60%,"مقبول",E31&lt;60%,"راسب")</f>
        <v>جيد</v>
      </c>
      <c r="F32" s="68"/>
      <c r="G32" s="68"/>
      <c r="H32" s="68"/>
      <c r="I32" s="68"/>
      <c r="J32" s="69"/>
    </row>
    <row r="33" spans="1:10" ht="42" customHeight="1" x14ac:dyDescent="0.2">
      <c r="B33" s="64" t="s">
        <v>175</v>
      </c>
      <c r="C33" s="64"/>
      <c r="D33" s="64"/>
      <c r="E33" s="87" t="s">
        <v>52</v>
      </c>
      <c r="F33" s="87"/>
      <c r="G33" s="66" t="s">
        <v>92</v>
      </c>
      <c r="H33" s="66"/>
      <c r="I33" s="66"/>
      <c r="J33" s="66"/>
    </row>
    <row r="34" spans="1:10" ht="51" customHeight="1" x14ac:dyDescent="0.2">
      <c r="A34" s="5"/>
      <c r="B34" s="65"/>
      <c r="C34" s="65"/>
      <c r="D34" s="65"/>
      <c r="E34" s="88" t="s">
        <v>53</v>
      </c>
      <c r="F34" s="88"/>
      <c r="G34" s="67"/>
      <c r="H34" s="67"/>
      <c r="I34" s="67"/>
      <c r="J34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5">
    <mergeCell ref="I27:J27"/>
    <mergeCell ref="E33:F33"/>
    <mergeCell ref="E34:F34"/>
    <mergeCell ref="G30:J30"/>
    <mergeCell ref="I9:J9"/>
    <mergeCell ref="I22:J22"/>
    <mergeCell ref="I23:J23"/>
    <mergeCell ref="I24:J24"/>
    <mergeCell ref="I25:J25"/>
    <mergeCell ref="I26:J26"/>
    <mergeCell ref="B33:D34"/>
    <mergeCell ref="G33:J33"/>
    <mergeCell ref="G34:J34"/>
    <mergeCell ref="E32:J32"/>
    <mergeCell ref="B1:J1"/>
    <mergeCell ref="F2:J2"/>
    <mergeCell ref="B5:D6"/>
    <mergeCell ref="C2:D2"/>
    <mergeCell ref="C3:D3"/>
    <mergeCell ref="F3:J3"/>
    <mergeCell ref="E31:J31"/>
    <mergeCell ref="B7:D7"/>
    <mergeCell ref="E5:H5"/>
    <mergeCell ref="I5:J6"/>
    <mergeCell ref="I7:J7"/>
    <mergeCell ref="I10:J10"/>
    <mergeCell ref="B30:D30"/>
    <mergeCell ref="B31:D31"/>
    <mergeCell ref="B32:D3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19:J19"/>
    <mergeCell ref="I20:J20"/>
    <mergeCell ref="I21:J21"/>
    <mergeCell ref="B13:D13"/>
    <mergeCell ref="B14:D14"/>
    <mergeCell ref="B15:D15"/>
    <mergeCell ref="B16:D16"/>
    <mergeCell ref="I8:J8"/>
    <mergeCell ref="B8:D8"/>
    <mergeCell ref="B9:D9"/>
    <mergeCell ref="B10:D10"/>
    <mergeCell ref="B11:D11"/>
    <mergeCell ref="B12:D12"/>
    <mergeCell ref="B26:D26"/>
    <mergeCell ref="B27:D27"/>
    <mergeCell ref="B28:D28"/>
    <mergeCell ref="B29:D29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2">
    <cfRule type="expression" dxfId="14" priority="57">
      <formula>$E32="راسب"</formula>
    </cfRule>
  </conditionalFormatting>
  <conditionalFormatting sqref="E32:J32">
    <cfRule type="expression" dxfId="13" priority="60">
      <formula>$E32="جيد جداً"</formula>
    </cfRule>
    <cfRule type="expression" dxfId="12" priority="59">
      <formula>$E32="جيد"</formula>
    </cfRule>
    <cfRule type="expression" dxfId="11" priority="58">
      <formula>$E32="مقبول"</formula>
    </cfRule>
    <cfRule type="expression" dxfId="10" priority="61">
      <formula>$E32="ممتاز"</formula>
    </cfRule>
  </conditionalFormatting>
  <conditionalFormatting sqref="F8:F2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3:J33">
    <cfRule type="containsText" dxfId="6" priority="15" operator="containsText" text="أدخل اسم المحكم">
      <formula>NOT(ISERROR(SEARCH("أدخل اسم المحكم",G33)))</formula>
    </cfRule>
  </conditionalFormatting>
  <conditionalFormatting sqref="H8:H29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F26:F29 F21:F24 F16:F19 F9:F14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G33:J33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62</v>
      </c>
    </row>
    <row r="3" spans="1:3" ht="20.100000000000001" customHeight="1" thickBot="1" x14ac:dyDescent="0.3">
      <c r="A3" s="2" t="s">
        <v>26</v>
      </c>
      <c r="C3" s="20" t="s">
        <v>63</v>
      </c>
    </row>
    <row r="4" spans="1:3" ht="20.100000000000001" customHeight="1" thickBot="1" x14ac:dyDescent="0.3">
      <c r="A4" s="2" t="s">
        <v>36</v>
      </c>
      <c r="C4" s="20" t="s">
        <v>64</v>
      </c>
    </row>
    <row r="5" spans="1:3" ht="20.100000000000001" customHeight="1" thickBot="1" x14ac:dyDescent="0.3">
      <c r="A5" s="2" t="s">
        <v>37</v>
      </c>
      <c r="C5" s="20" t="s">
        <v>65</v>
      </c>
    </row>
    <row r="6" spans="1:3" ht="20.100000000000001" customHeight="1" thickBot="1" x14ac:dyDescent="0.3">
      <c r="A6" s="2" t="s">
        <v>38</v>
      </c>
      <c r="C6" s="20" t="s">
        <v>66</v>
      </c>
    </row>
    <row r="7" spans="1:3" ht="20.100000000000001" customHeight="1" thickBot="1" x14ac:dyDescent="0.3">
      <c r="A7" s="2" t="s">
        <v>39</v>
      </c>
      <c r="C7" s="20" t="s">
        <v>67</v>
      </c>
    </row>
    <row r="8" spans="1:3" ht="20.100000000000001" customHeight="1" thickBot="1" x14ac:dyDescent="0.3">
      <c r="A8" s="2" t="s">
        <v>40</v>
      </c>
      <c r="C8" s="20" t="s">
        <v>68</v>
      </c>
    </row>
    <row r="9" spans="1:3" ht="20.100000000000001" customHeight="1" thickBot="1" x14ac:dyDescent="0.3">
      <c r="A9" s="2" t="s">
        <v>41</v>
      </c>
      <c r="C9" s="20" t="s">
        <v>69</v>
      </c>
    </row>
    <row r="10" spans="1:3" ht="20.100000000000001" customHeight="1" thickBot="1" x14ac:dyDescent="0.3">
      <c r="A10" s="2" t="s">
        <v>42</v>
      </c>
      <c r="C10" s="20" t="s">
        <v>70</v>
      </c>
    </row>
    <row r="11" spans="1:3" ht="20.100000000000001" customHeight="1" thickBot="1" x14ac:dyDescent="0.3">
      <c r="A11" s="2" t="s">
        <v>43</v>
      </c>
      <c r="C11" s="20" t="s">
        <v>71</v>
      </c>
    </row>
    <row r="12" spans="1:3" ht="20.100000000000001" customHeight="1" thickBot="1" x14ac:dyDescent="0.3">
      <c r="A12" s="2" t="s">
        <v>44</v>
      </c>
      <c r="C12" s="20" t="s">
        <v>72</v>
      </c>
    </row>
    <row r="13" spans="1:3" ht="20.100000000000001" customHeight="1" thickBot="1" x14ac:dyDescent="0.3">
      <c r="A13" s="2" t="s">
        <v>45</v>
      </c>
      <c r="C13" s="20" t="s">
        <v>73</v>
      </c>
    </row>
    <row r="14" spans="1:3" ht="20.100000000000001" customHeight="1" thickBot="1" x14ac:dyDescent="0.3">
      <c r="A14" s="2" t="s">
        <v>46</v>
      </c>
      <c r="C14" s="20" t="s">
        <v>74</v>
      </c>
    </row>
    <row r="15" spans="1:3" ht="20.100000000000001" customHeight="1" thickBot="1" x14ac:dyDescent="0.3">
      <c r="A15" s="2" t="s">
        <v>47</v>
      </c>
      <c r="C15" s="20" t="s">
        <v>75</v>
      </c>
    </row>
    <row r="16" spans="1:3" ht="20.100000000000001" customHeight="1" thickBot="1" x14ac:dyDescent="0.3">
      <c r="A16" s="2" t="s">
        <v>10</v>
      </c>
      <c r="C16" s="20" t="s">
        <v>76</v>
      </c>
    </row>
    <row r="17" spans="1:3" ht="20.100000000000001" customHeight="1" thickBot="1" x14ac:dyDescent="0.3">
      <c r="A17" s="2" t="s">
        <v>27</v>
      </c>
      <c r="C17" s="20" t="s">
        <v>77</v>
      </c>
    </row>
    <row r="18" spans="1:3" ht="20.100000000000001" customHeight="1" thickBot="1" x14ac:dyDescent="0.3">
      <c r="A18" s="2" t="s">
        <v>48</v>
      </c>
      <c r="C18" s="20" t="s">
        <v>78</v>
      </c>
    </row>
    <row r="19" spans="1:3" ht="20.100000000000001" customHeight="1" thickBot="1" x14ac:dyDescent="0.3">
      <c r="A19" s="2" t="s">
        <v>49</v>
      </c>
      <c r="C19" s="20" t="s">
        <v>79</v>
      </c>
    </row>
    <row r="20" spans="1:3" ht="20.100000000000001" customHeight="1" thickBot="1" x14ac:dyDescent="0.3">
      <c r="A20" s="2" t="s">
        <v>50</v>
      </c>
      <c r="C20" s="20" t="s">
        <v>80</v>
      </c>
    </row>
    <row r="21" spans="1:3" ht="20.100000000000001" customHeight="1" thickBot="1" x14ac:dyDescent="0.3">
      <c r="A21" s="2" t="s">
        <v>51</v>
      </c>
      <c r="C21" s="20" t="s">
        <v>81</v>
      </c>
    </row>
    <row r="22" spans="1:3" ht="20.100000000000001" customHeight="1" thickBot="1" x14ac:dyDescent="0.3">
      <c r="A22" s="2" t="s">
        <v>11</v>
      </c>
      <c r="C22" s="20" t="s">
        <v>82</v>
      </c>
    </row>
    <row r="23" spans="1:3" ht="20.100000000000001" customHeight="1" thickBot="1" x14ac:dyDescent="0.3">
      <c r="A23" s="2" t="s">
        <v>12</v>
      </c>
      <c r="C23" s="20" t="s">
        <v>83</v>
      </c>
    </row>
    <row r="24" spans="1:3" ht="20.100000000000001" customHeight="1" thickBot="1" x14ac:dyDescent="0.3">
      <c r="A24" s="2" t="s">
        <v>15</v>
      </c>
      <c r="C24" s="20" t="s">
        <v>84</v>
      </c>
    </row>
    <row r="25" spans="1:3" ht="20.100000000000001" customHeight="1" thickBot="1" x14ac:dyDescent="0.3">
      <c r="A25" s="2" t="s">
        <v>28</v>
      </c>
      <c r="C25" s="20" t="s">
        <v>85</v>
      </c>
    </row>
    <row r="26" spans="1:3" ht="20.100000000000001" customHeight="1" thickBot="1" x14ac:dyDescent="0.3">
      <c r="A26" s="2" t="s">
        <v>29</v>
      </c>
      <c r="C26" s="20" t="s">
        <v>86</v>
      </c>
    </row>
    <row r="27" spans="1:3" ht="20.100000000000001" customHeight="1" thickBot="1" x14ac:dyDescent="0.3">
      <c r="A27" s="2" t="s">
        <v>13</v>
      </c>
      <c r="C27" s="20" t="s">
        <v>87</v>
      </c>
    </row>
    <row r="28" spans="1:3" ht="20.100000000000001" customHeight="1" thickBot="1" x14ac:dyDescent="0.3">
      <c r="A28" s="2" t="s">
        <v>30</v>
      </c>
      <c r="C28" s="20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9"/>
    </row>
    <row r="36" spans="1:9" s="18" customFormat="1" ht="20.100000000000001" customHeight="1" x14ac:dyDescent="0.2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">
      <c r="A107" s="15"/>
    </row>
    <row r="108" spans="1:9" ht="20.100000000000001" customHeight="1" x14ac:dyDescent="0.2">
      <c r="A108" s="15"/>
    </row>
    <row r="109" spans="1:9" s="18" customFormat="1" ht="20.100000000000001" customHeight="1" x14ac:dyDescent="0.2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1" t="s">
        <v>89</v>
      </c>
    </row>
    <row r="200" spans="1:1" ht="20.100000000000001" customHeight="1" x14ac:dyDescent="0.2">
      <c r="A200" s="21" t="s">
        <v>90</v>
      </c>
    </row>
    <row r="201" spans="1:1" ht="20.100000000000001" customHeight="1" x14ac:dyDescent="0.2">
      <c r="A201" s="21" t="s">
        <v>91</v>
      </c>
    </row>
    <row r="202" spans="1:1" ht="20.100000000000001" customHeight="1" x14ac:dyDescent="0.2">
      <c r="A202" s="21" t="s">
        <v>92</v>
      </c>
    </row>
    <row r="203" spans="1:1" ht="20.100000000000001" customHeight="1" x14ac:dyDescent="0.2">
      <c r="A203" s="21" t="s">
        <v>93</v>
      </c>
    </row>
    <row r="204" spans="1:1" ht="20.100000000000001" customHeight="1" x14ac:dyDescent="0.2">
      <c r="A204" s="21" t="s">
        <v>94</v>
      </c>
    </row>
    <row r="205" spans="1:1" ht="20.100000000000001" customHeight="1" x14ac:dyDescent="0.2">
      <c r="A205" s="21" t="s">
        <v>95</v>
      </c>
    </row>
    <row r="206" spans="1:1" ht="20.100000000000001" customHeight="1" x14ac:dyDescent="0.2">
      <c r="A206" s="21" t="s">
        <v>96</v>
      </c>
    </row>
    <row r="207" spans="1:1" ht="20.100000000000001" customHeight="1" x14ac:dyDescent="0.2">
      <c r="A207" s="21" t="s">
        <v>97</v>
      </c>
    </row>
    <row r="208" spans="1:1" ht="20.100000000000001" customHeight="1" x14ac:dyDescent="0.2">
      <c r="A208" s="22" t="s">
        <v>98</v>
      </c>
    </row>
    <row r="209" spans="1:1" ht="20.100000000000001" customHeight="1" x14ac:dyDescent="0.2">
      <c r="A209" s="22" t="s">
        <v>99</v>
      </c>
    </row>
    <row r="210" spans="1:1" ht="20.100000000000001" customHeight="1" x14ac:dyDescent="0.2">
      <c r="A210" s="21" t="s">
        <v>100</v>
      </c>
    </row>
    <row r="211" spans="1:1" ht="20.100000000000001" customHeight="1" x14ac:dyDescent="0.2">
      <c r="A211" s="21" t="s">
        <v>101</v>
      </c>
    </row>
    <row r="212" spans="1:1" ht="20.100000000000001" customHeight="1" x14ac:dyDescent="0.2">
      <c r="A212" s="21" t="s">
        <v>102</v>
      </c>
    </row>
    <row r="213" spans="1:1" ht="20.100000000000001" customHeight="1" x14ac:dyDescent="0.2">
      <c r="A213" s="21" t="s">
        <v>103</v>
      </c>
    </row>
    <row r="214" spans="1:1" ht="20.100000000000001" customHeight="1" x14ac:dyDescent="0.2">
      <c r="A214" s="21" t="s">
        <v>104</v>
      </c>
    </row>
    <row r="215" spans="1:1" ht="20.100000000000001" customHeight="1" x14ac:dyDescent="0.2">
      <c r="A215" s="21" t="s">
        <v>105</v>
      </c>
    </row>
    <row r="216" spans="1:1" ht="20.100000000000001" customHeight="1" x14ac:dyDescent="0.2">
      <c r="A216" s="21" t="s">
        <v>106</v>
      </c>
    </row>
    <row r="217" spans="1:1" ht="20.100000000000001" customHeight="1" x14ac:dyDescent="0.2">
      <c r="A217" s="21" t="s">
        <v>107</v>
      </c>
    </row>
    <row r="218" spans="1:1" ht="20.100000000000001" customHeight="1" x14ac:dyDescent="0.2">
      <c r="A218" s="21" t="s">
        <v>108</v>
      </c>
    </row>
    <row r="219" spans="1:1" ht="20.100000000000001" customHeight="1" x14ac:dyDescent="0.2">
      <c r="A219" s="21" t="s">
        <v>109</v>
      </c>
    </row>
    <row r="220" spans="1:1" ht="20.100000000000001" customHeight="1" x14ac:dyDescent="0.2">
      <c r="A220" s="21" t="s">
        <v>110</v>
      </c>
    </row>
    <row r="221" spans="1:1" ht="20.100000000000001" customHeight="1" x14ac:dyDescent="0.2">
      <c r="A221" s="21" t="s">
        <v>111</v>
      </c>
    </row>
    <row r="222" spans="1:1" ht="20.100000000000001" customHeight="1" x14ac:dyDescent="0.2">
      <c r="A222" s="21" t="s">
        <v>112</v>
      </c>
    </row>
    <row r="223" spans="1:1" ht="20.100000000000001" customHeight="1" x14ac:dyDescent="0.2">
      <c r="A223" s="21" t="s">
        <v>113</v>
      </c>
    </row>
    <row r="224" spans="1:1" ht="20.100000000000001" customHeight="1" x14ac:dyDescent="0.2">
      <c r="A224" s="21" t="s">
        <v>114</v>
      </c>
    </row>
    <row r="225" spans="1:1" ht="20.100000000000001" customHeight="1" x14ac:dyDescent="0.2">
      <c r="A225" s="21" t="s">
        <v>115</v>
      </c>
    </row>
    <row r="226" spans="1:1" ht="20.100000000000001" customHeight="1" x14ac:dyDescent="0.2">
      <c r="A226" s="21" t="s">
        <v>116</v>
      </c>
    </row>
    <row r="227" spans="1:1" ht="20.100000000000001" customHeight="1" x14ac:dyDescent="0.2">
      <c r="A227" s="21" t="s">
        <v>117</v>
      </c>
    </row>
    <row r="228" spans="1:1" ht="20.100000000000001" customHeight="1" x14ac:dyDescent="0.2">
      <c r="A228" s="21" t="s">
        <v>118</v>
      </c>
    </row>
    <row r="229" spans="1:1" ht="20.100000000000001" customHeight="1" x14ac:dyDescent="0.2">
      <c r="A229" s="21" t="s">
        <v>119</v>
      </c>
    </row>
    <row r="230" spans="1:1" ht="20.100000000000001" customHeight="1" x14ac:dyDescent="0.2">
      <c r="A230" s="21" t="s">
        <v>120</v>
      </c>
    </row>
    <row r="231" spans="1:1" ht="20.100000000000001" customHeight="1" x14ac:dyDescent="0.2">
      <c r="A231" s="21" t="s">
        <v>121</v>
      </c>
    </row>
    <row r="232" spans="1:1" ht="20.100000000000001" customHeight="1" x14ac:dyDescent="0.2">
      <c r="A232" s="21" t="s">
        <v>122</v>
      </c>
    </row>
    <row r="233" spans="1:1" ht="20.100000000000001" customHeight="1" x14ac:dyDescent="0.2">
      <c r="A233" s="21" t="s">
        <v>123</v>
      </c>
    </row>
    <row r="234" spans="1:1" ht="20.100000000000001" customHeight="1" x14ac:dyDescent="0.2">
      <c r="A234" s="21" t="s">
        <v>124</v>
      </c>
    </row>
    <row r="235" spans="1:1" ht="20.100000000000001" customHeight="1" x14ac:dyDescent="0.2">
      <c r="A235" s="23" t="s">
        <v>125</v>
      </c>
    </row>
    <row r="236" spans="1:1" ht="20.100000000000001" customHeight="1" x14ac:dyDescent="0.2">
      <c r="A236" s="21" t="s">
        <v>126</v>
      </c>
    </row>
    <row r="237" spans="1:1" ht="20.100000000000001" customHeight="1" x14ac:dyDescent="0.2">
      <c r="A237" s="21" t="s">
        <v>127</v>
      </c>
    </row>
    <row r="238" spans="1:1" ht="20.100000000000001" customHeight="1" x14ac:dyDescent="0.2">
      <c r="A238" s="21" t="s">
        <v>128</v>
      </c>
    </row>
    <row r="239" spans="1:1" ht="20.100000000000001" customHeight="1" x14ac:dyDescent="0.2">
      <c r="A239" s="21" t="s">
        <v>129</v>
      </c>
    </row>
    <row r="240" spans="1:1" ht="20.100000000000001" customHeight="1" x14ac:dyDescent="0.2">
      <c r="A240" s="21" t="s">
        <v>130</v>
      </c>
    </row>
    <row r="241" spans="1:1" ht="20.100000000000001" customHeight="1" x14ac:dyDescent="0.2">
      <c r="A241" s="21" t="s">
        <v>131</v>
      </c>
    </row>
    <row r="242" spans="1:1" ht="20.100000000000001" customHeight="1" x14ac:dyDescent="0.2">
      <c r="A242" s="21" t="s">
        <v>132</v>
      </c>
    </row>
    <row r="243" spans="1:1" ht="20.100000000000001" customHeight="1" x14ac:dyDescent="0.2">
      <c r="A243" s="21" t="s">
        <v>133</v>
      </c>
    </row>
    <row r="244" spans="1:1" ht="20.100000000000001" customHeight="1" x14ac:dyDescent="0.2">
      <c r="A244" s="21" t="s">
        <v>134</v>
      </c>
    </row>
    <row r="245" spans="1:1" ht="20.100000000000001" customHeight="1" x14ac:dyDescent="0.2">
      <c r="A245" s="21" t="s">
        <v>135</v>
      </c>
    </row>
    <row r="246" spans="1:1" ht="20.100000000000001" customHeight="1" x14ac:dyDescent="0.2">
      <c r="A246" s="21" t="s">
        <v>136</v>
      </c>
    </row>
    <row r="247" spans="1:1" ht="20.100000000000001" customHeight="1" x14ac:dyDescent="0.2">
      <c r="A247" s="21" t="s">
        <v>127</v>
      </c>
    </row>
    <row r="248" spans="1:1" ht="20.100000000000001" customHeight="1" x14ac:dyDescent="0.2">
      <c r="A248" s="21" t="s">
        <v>137</v>
      </c>
    </row>
    <row r="249" spans="1:1" ht="20.100000000000001" customHeight="1" x14ac:dyDescent="0.2">
      <c r="A249" s="21" t="s">
        <v>138</v>
      </c>
    </row>
    <row r="250" spans="1:1" ht="20.100000000000001" customHeight="1" x14ac:dyDescent="0.2">
      <c r="A250" s="23" t="s">
        <v>139</v>
      </c>
    </row>
    <row r="251" spans="1:1" ht="20.100000000000001" customHeight="1" x14ac:dyDescent="0.2">
      <c r="A251" s="24" t="s">
        <v>140</v>
      </c>
    </row>
    <row r="252" spans="1:1" ht="20.100000000000001" customHeight="1" x14ac:dyDescent="0.2">
      <c r="A252" s="21" t="s">
        <v>141</v>
      </c>
    </row>
    <row r="253" spans="1:1" ht="20.100000000000001" customHeight="1" x14ac:dyDescent="0.2">
      <c r="A253" s="21" t="s">
        <v>142</v>
      </c>
    </row>
    <row r="254" spans="1:1" ht="20.100000000000001" customHeight="1" x14ac:dyDescent="0.2">
      <c r="A254" s="25" t="s">
        <v>143</v>
      </c>
    </row>
    <row r="255" spans="1:1" ht="20.100000000000001" customHeight="1" x14ac:dyDescent="0.2">
      <c r="A255" s="25" t="s">
        <v>144</v>
      </c>
    </row>
    <row r="256" spans="1:1" ht="20.100000000000001" customHeight="1" x14ac:dyDescent="0.2">
      <c r="A256" s="26" t="s">
        <v>145</v>
      </c>
    </row>
    <row r="257" spans="1:1" ht="20.100000000000001" customHeight="1" x14ac:dyDescent="0.2">
      <c r="A257" s="21" t="s">
        <v>146</v>
      </c>
    </row>
    <row r="258" spans="1:1" ht="20.100000000000001" customHeight="1" x14ac:dyDescent="0.2">
      <c r="A258" s="26" t="s">
        <v>147</v>
      </c>
    </row>
    <row r="259" spans="1:1" ht="20.100000000000001" customHeight="1" x14ac:dyDescent="0.2">
      <c r="A259" s="21" t="s">
        <v>148</v>
      </c>
    </row>
    <row r="260" spans="1:1" ht="20.100000000000001" customHeight="1" x14ac:dyDescent="0.2">
      <c r="A260" s="26" t="s">
        <v>149</v>
      </c>
    </row>
    <row r="261" spans="1:1" ht="20.100000000000001" customHeight="1" x14ac:dyDescent="0.2">
      <c r="A261" s="21" t="s">
        <v>150</v>
      </c>
    </row>
    <row r="262" spans="1:1" ht="20.100000000000001" customHeight="1" x14ac:dyDescent="0.2">
      <c r="A262" s="21" t="s">
        <v>151</v>
      </c>
    </row>
    <row r="263" spans="1:1" ht="20.100000000000001" customHeight="1" x14ac:dyDescent="0.2">
      <c r="A263" s="26" t="s">
        <v>152</v>
      </c>
    </row>
    <row r="264" spans="1:1" ht="20.100000000000001" customHeight="1" x14ac:dyDescent="0.2">
      <c r="A264" s="26" t="s">
        <v>153</v>
      </c>
    </row>
    <row r="265" spans="1:1" ht="20.100000000000001" customHeight="1" x14ac:dyDescent="0.2">
      <c r="A265" s="26" t="s">
        <v>154</v>
      </c>
    </row>
    <row r="266" spans="1:1" ht="20.100000000000001" customHeight="1" x14ac:dyDescent="0.2">
      <c r="A266" s="21" t="s">
        <v>155</v>
      </c>
    </row>
    <row r="267" spans="1:1" ht="20.100000000000001" customHeight="1" x14ac:dyDescent="0.2">
      <c r="A267" s="21" t="s">
        <v>156</v>
      </c>
    </row>
    <row r="268" spans="1:1" ht="20.100000000000001" customHeight="1" x14ac:dyDescent="0.2">
      <c r="A268" s="21" t="s">
        <v>157</v>
      </c>
    </row>
    <row r="269" spans="1:1" ht="20.100000000000001" customHeight="1" x14ac:dyDescent="0.2">
      <c r="A269" s="21" t="s">
        <v>158</v>
      </c>
    </row>
    <row r="270" spans="1:1" ht="20.100000000000001" customHeight="1" x14ac:dyDescent="0.2">
      <c r="A270" s="26" t="s">
        <v>159</v>
      </c>
    </row>
    <row r="271" spans="1:1" ht="20.100000000000001" customHeight="1" x14ac:dyDescent="0.2">
      <c r="A271" s="26" t="s">
        <v>160</v>
      </c>
    </row>
    <row r="272" spans="1:1" ht="20.100000000000001" customHeight="1" x14ac:dyDescent="0.2">
      <c r="A272" s="21" t="s">
        <v>161</v>
      </c>
    </row>
    <row r="273" spans="1:1" ht="20.100000000000001" customHeight="1" x14ac:dyDescent="0.2">
      <c r="A273" s="26" t="s">
        <v>162</v>
      </c>
    </row>
    <row r="274" spans="1:1" ht="20.100000000000001" customHeight="1" x14ac:dyDescent="0.2">
      <c r="A274" s="26" t="s">
        <v>163</v>
      </c>
    </row>
    <row r="275" spans="1:1" ht="20.100000000000001" customHeight="1" x14ac:dyDescent="0.2">
      <c r="A275" s="21" t="s">
        <v>164</v>
      </c>
    </row>
    <row r="276" spans="1:1" ht="20.100000000000001" customHeight="1" x14ac:dyDescent="0.2">
      <c r="A276" s="21" t="s">
        <v>165</v>
      </c>
    </row>
    <row r="277" spans="1:1" ht="20.100000000000001" customHeight="1" x14ac:dyDescent="0.2">
      <c r="A277" s="26" t="s">
        <v>166</v>
      </c>
    </row>
    <row r="278" spans="1:1" ht="20.100000000000001" customHeight="1" x14ac:dyDescent="0.2">
      <c r="A278" s="21" t="s">
        <v>167</v>
      </c>
    </row>
    <row r="279" spans="1:1" ht="20.100000000000001" customHeight="1" x14ac:dyDescent="0.2">
      <c r="A279" s="21" t="s">
        <v>168</v>
      </c>
    </row>
    <row r="280" spans="1:1" ht="20.100000000000001" customHeight="1" x14ac:dyDescent="0.2">
      <c r="A280" s="21" t="s">
        <v>169</v>
      </c>
    </row>
    <row r="281" spans="1:1" ht="20.100000000000001" customHeight="1" x14ac:dyDescent="0.2">
      <c r="A281" s="21" t="s">
        <v>170</v>
      </c>
    </row>
    <row r="282" spans="1:1" ht="20.100000000000001" customHeight="1" x14ac:dyDescent="0.2">
      <c r="A282" s="26" t="s">
        <v>171</v>
      </c>
    </row>
    <row r="283" spans="1:1" ht="20.100000000000001" customHeight="1" x14ac:dyDescent="0.2">
      <c r="A283" s="26" t="s">
        <v>172</v>
      </c>
    </row>
    <row r="284" spans="1:1" ht="20.100000000000001" customHeight="1" x14ac:dyDescent="0.2">
      <c r="A284" s="26" t="s">
        <v>173</v>
      </c>
    </row>
    <row r="285" spans="1:1" ht="20.100000000000001" customHeight="1" thickBot="1" x14ac:dyDescent="0.25">
      <c r="A285" s="21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2025-10-22T04:55:06Z</dcterms:modified>
</cp:coreProperties>
</file>