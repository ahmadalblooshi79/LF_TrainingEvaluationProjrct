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FE3EFA69-B5C8-4F33-9FD9-979BE617812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التقييم'!$A$1:$J$97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0" i="2" l="1"/>
  <c r="H10" i="2" s="1"/>
  <c r="G11" i="2"/>
  <c r="H11" i="2"/>
  <c r="G12" i="2"/>
  <c r="H12" i="2"/>
  <c r="G13" i="2"/>
  <c r="H13" i="2"/>
  <c r="G14" i="2"/>
  <c r="H14" i="2" s="1"/>
  <c r="G15" i="2"/>
  <c r="H15" i="2"/>
  <c r="G16" i="2"/>
  <c r="H16" i="2" s="1"/>
  <c r="G17" i="2"/>
  <c r="H17" i="2"/>
  <c r="G18" i="2"/>
  <c r="H18" i="2"/>
  <c r="G19" i="2"/>
  <c r="H19" i="2"/>
  <c r="G20" i="2"/>
  <c r="H20" i="2"/>
  <c r="G21" i="2"/>
  <c r="H21" i="2"/>
  <c r="G23" i="2"/>
  <c r="H23" i="2"/>
  <c r="G24" i="2"/>
  <c r="H24" i="2" s="1"/>
  <c r="G25" i="2"/>
  <c r="H25" i="2" s="1"/>
  <c r="G26" i="2"/>
  <c r="H26" i="2"/>
  <c r="G27" i="2"/>
  <c r="H27" i="2" s="1"/>
  <c r="G28" i="2"/>
  <c r="H28" i="2"/>
  <c r="G29" i="2"/>
  <c r="H29" i="2" s="1"/>
  <c r="G30" i="2"/>
  <c r="H30" i="2"/>
  <c r="G31" i="2"/>
  <c r="H31" i="2" s="1"/>
  <c r="G32" i="2"/>
  <c r="H32" i="2" s="1"/>
  <c r="G34" i="2"/>
  <c r="H34" i="2"/>
  <c r="G35" i="2"/>
  <c r="H35" i="2"/>
  <c r="G36" i="2"/>
  <c r="H36" i="2" s="1"/>
  <c r="G37" i="2"/>
  <c r="H37" i="2"/>
  <c r="G38" i="2"/>
  <c r="H38" i="2" s="1"/>
  <c r="G39" i="2"/>
  <c r="H39" i="2"/>
  <c r="G40" i="2"/>
  <c r="H40" i="2"/>
  <c r="G41" i="2"/>
  <c r="H41" i="2"/>
  <c r="G42" i="2"/>
  <c r="H42" i="2"/>
  <c r="G43" i="2"/>
  <c r="H43" i="2" s="1"/>
  <c r="G44" i="2"/>
  <c r="H44" i="2" s="1"/>
  <c r="G45" i="2"/>
  <c r="H45" i="2" s="1"/>
  <c r="G46" i="2"/>
  <c r="H46" i="2" s="1"/>
  <c r="G48" i="2"/>
  <c r="H48" i="2"/>
  <c r="G49" i="2"/>
  <c r="H49" i="2"/>
  <c r="G50" i="2"/>
  <c r="H50" i="2"/>
  <c r="G51" i="2"/>
  <c r="H51" i="2"/>
  <c r="G52" i="2"/>
  <c r="H52" i="2"/>
  <c r="G53" i="2"/>
  <c r="H53" i="2"/>
  <c r="G55" i="2"/>
  <c r="H55" i="2"/>
  <c r="G56" i="2"/>
  <c r="H56" i="2" s="1"/>
  <c r="G57" i="2"/>
  <c r="H57" i="2" s="1"/>
  <c r="G58" i="2"/>
  <c r="H58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G73" i="2"/>
  <c r="H73" i="2"/>
  <c r="G75" i="2"/>
  <c r="H75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7" i="2"/>
  <c r="H87" i="2"/>
  <c r="G88" i="2"/>
  <c r="H88" i="2"/>
  <c r="G89" i="2"/>
  <c r="H89" i="2"/>
  <c r="G90" i="2"/>
  <c r="H90" i="2"/>
  <c r="G91" i="2"/>
  <c r="H91" i="2"/>
  <c r="G92" i="2"/>
  <c r="H92" i="2"/>
  <c r="G8" i="2"/>
  <c r="H8" i="2" s="1"/>
  <c r="F93" i="2"/>
  <c r="E93" i="2"/>
  <c r="E94" i="2" l="1"/>
  <c r="E95" i="2" s="1"/>
</calcChain>
</file>

<file path=xl/sharedStrings.xml><?xml version="1.0" encoding="utf-8"?>
<sst xmlns="http://schemas.openxmlformats.org/spreadsheetml/2006/main" count="358" uniqueCount="266">
  <si>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</si>
  <si>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</si>
  <si>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</si>
  <si>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</si>
  <si>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</si>
  <si>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</si>
  <si>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</si>
  <si>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</si>
  <si>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</si>
  <si>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</si>
  <si>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</si>
  <si>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</si>
  <si>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</si>
  <si>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</si>
  <si>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</si>
  <si>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</si>
  <si>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</si>
  <si>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</si>
  <si>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</si>
  <si>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</si>
  <si>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</si>
  <si>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</si>
  <si>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</si>
  <si>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</si>
  <si>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</si>
  <si>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</si>
  <si>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</si>
  <si>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</si>
  <si>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</si>
  <si>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</si>
  <si>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</si>
  <si>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</si>
  <si>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</si>
  <si>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</si>
  <si>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</si>
  <si>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</si>
  <si>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</si>
  <si>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</si>
  <si>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</si>
  <si>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</si>
  <si>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</si>
  <si>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</si>
  <si>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</si>
  <si>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</si>
  <si>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</si>
  <si>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</si>
  <si>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</si>
  <si>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</si>
  <si>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</si>
  <si>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</si>
  <si>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</si>
  <si>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</si>
  <si>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</si>
  <si>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</si>
  <si>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</si>
  <si>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</si>
  <si>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</si>
  <si>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</si>
  <si>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</si>
  <si>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</si>
  <si>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</si>
  <si>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</si>
  <si>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</si>
  <si>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</si>
  <si>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</si>
  <si>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</si>
  <si>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</si>
  <si>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</si>
  <si>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</si>
  <si>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</si>
  <si>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</si>
  <si>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</si>
  <si>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</si>
  <si>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</si>
  <si>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</si>
  <si>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</si>
  <si>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</si>
  <si>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</si>
  <si>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</si>
  <si>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</si>
  <si>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</si>
  <si>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</si>
  <si>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</si>
  <si>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</si>
  <si>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</si>
  <si>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</si>
  <si>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</si>
  <si>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</si>
  <si>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</si>
  <si>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</si>
  <si>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</si>
  <si>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</si>
  <si>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</si>
  <si>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</si>
  <si>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</si>
  <si>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</si>
  <si>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</si>
  <si>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</si>
  <si>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</si>
  <si>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</si>
  <si>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</si>
  <si>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</si>
  <si>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</si>
  <si>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</si>
  <si>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</si>
  <si>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</si>
  <si>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</si>
  <si>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</si>
  <si>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</si>
  <si>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</si>
  <si>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</si>
  <si>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</si>
  <si>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</si>
  <si>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</si>
  <si>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</si>
  <si>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</si>
  <si>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</si>
  <si>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</si>
  <si>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</si>
  <si>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</si>
  <si>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</si>
  <si>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</si>
  <si>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</si>
  <si>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</si>
  <si>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</si>
  <si>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</si>
  <si>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</si>
  <si>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</si>
  <si>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</si>
  <si>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</si>
  <si>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</si>
  <si>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</si>
  <si>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</si>
  <si>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</si>
  <si>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</si>
  <si>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</si>
  <si>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</si>
  <si>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</si>
  <si>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</si>
  <si>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</si>
  <si>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</si>
  <si>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</si>
  <si>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</si>
  <si>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</si>
  <si>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</si>
  <si>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</si>
  <si>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</si>
  <si>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</si>
  <si>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</si>
  <si>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</si>
  <si>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</si>
  <si>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</si>
  <si>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</si>
  <si>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</si>
  <si>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</si>
  <si>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</si>
  <si>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</si>
  <si>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</si>
  <si>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</si>
  <si>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</si>
  <si>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</si>
  <si>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</si>
  <si>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</si>
  <si>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</si>
  <si>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</si>
  <si>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</si>
  <si>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</si>
  <si>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</si>
  <si>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</si>
  <si>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</si>
  <si>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</si>
  <si>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</si>
  <si>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</si>
  <si>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</si>
  <si>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</si>
  <si>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</si>
  <si>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</si>
  <si>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r>
      <t>1.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استلام برقية رفع الحالة وتفهم القائد لمضمون البرقية في الوقت المحدد.</t>
    </r>
  </si>
  <si>
    <r>
      <t>2.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قائد الوحدة</t>
    </r>
    <r>
      <rPr>
        <b/>
        <sz val="12"/>
        <color rgb="FF000000"/>
        <rFont val="Arial"/>
        <family val="2"/>
      </rPr>
      <t>.</t>
    </r>
  </si>
  <si>
    <t>أ.    استلام المهمة وتفهم المطلوب في الوقت المحدد.</t>
  </si>
  <si>
    <t>ب.   الرد بالاعتراف على البرقية حسب الوقت المحدد.</t>
  </si>
  <si>
    <t>جـ.   تحرير برقية رفع الحالة وإرسالها إلى مستوى الأعلى والأدنى.</t>
  </si>
  <si>
    <t>د.    الكشف من الخارطة.</t>
  </si>
  <si>
    <t>هـ.   إصدار أمر إنذاري والحصول على الاعتراف من المستوى الأدنى.</t>
  </si>
  <si>
    <t>و.    تسجيل برقية رفع الحالة في سجل الحوادث.</t>
  </si>
  <si>
    <t>ز.   عمل تقدير موقف للوقت من قبل القائد مع مراعاة ثلثي الوقت لعمل وإجراءات المرؤوسين وتشمل الإجراءات منذ استلام المهمة وحتى ساعة الصفر.</t>
  </si>
  <si>
    <t>ح.   عمل تقدير موقف ذهني سريع من قبل القائد.</t>
  </si>
  <si>
    <t>ط.   إنذار الوحدة بالمهمة ووسائل الإنذار المتوفرة.</t>
  </si>
  <si>
    <t>ي.   توضيح المطلوب للقادة المرؤوسين والإجابة على استفساراتهم.</t>
  </si>
  <si>
    <t>ك.   التقيد بأصول المخابرة في عملية إرسال البرقية.</t>
  </si>
  <si>
    <t>ل.   التقيد بواجبات الأركان الصغرى في كتابة الأمر الإنذاري.</t>
  </si>
  <si>
    <r>
      <t>3.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التقييد بمشتملات الأمر الإنذاري.</t>
    </r>
    <r>
      <rPr>
        <b/>
        <sz val="12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>يسلم مكتوب لنائب قائد الوحدة ونسخة للمحكم ويشمل:</t>
    </r>
  </si>
  <si>
    <t>أ.    ملخص عن العمليات المقبلة.</t>
  </si>
  <si>
    <t>ب.   موقع ووقت اجتماع قسم الأمر.</t>
  </si>
  <si>
    <t>جـ.   تفاصيل عن منطقة التجمع.</t>
  </si>
  <si>
    <t>د.    تحديدات الحركة (حسب المهمة).</t>
  </si>
  <si>
    <t>هـ.   منطقة التجمع.</t>
  </si>
  <si>
    <t>و.    حدود الكشف.</t>
  </si>
  <si>
    <t>ز.   التعليمات الإدارية.</t>
  </si>
  <si>
    <r>
      <t>4.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وسائل الإنذار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Times New Roman"/>
        <family val="1"/>
      </rPr>
      <t>التأكد من استخدام وسائل الإنذار المتوفرة (المسموعة، المرئية، الضوئية) حسب ما جاء في تعليمات التحول.</t>
    </r>
  </si>
  <si>
    <r>
      <t>5.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وصول البرقية إلى المرؤوسين وتفهمها من قبلهم.</t>
    </r>
  </si>
  <si>
    <r>
      <t>6.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sz val="12"/>
        <color rgb="FF000000"/>
        <rFont val="Arial"/>
        <family val="2"/>
      </rPr>
      <t>التأكد من إصدار الأوامر إلى المرؤوسين (شفهية، مكتوبة، بواسطة اللاسلكي).</t>
    </r>
  </si>
  <si>
    <r>
      <t>7.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إجراءات التحـول</t>
    </r>
    <r>
      <rPr>
        <b/>
        <sz val="12"/>
        <color rgb="FF000000"/>
        <rFont val="Arial"/>
        <family val="2"/>
      </rPr>
      <t>.</t>
    </r>
  </si>
  <si>
    <t>أ.    تحرك الوحدات المرؤوسة لتنفيذ التحول حسب تعليمات والخطة الزمنية لرفع الحالة.</t>
  </si>
  <si>
    <t>ب.   توفر خطة مفصلة توضح الإجراءات وتوقيتاتها المحددة.</t>
  </si>
  <si>
    <t>جـ.   التزام وتفهم مرتب الوحدة (الكتائب / السرايا / الفصائل) بتعليمات رفع الحالة وتنفيذهـا بطريقـة سليمـة وحسب الحالة المطلوبة.</t>
  </si>
  <si>
    <t>د.    مدى التقيد بالتوقيتات المحددة في الخطة الزمنية.</t>
  </si>
  <si>
    <t>هـ.   أسلوب وإجراءات تنفيذ الخطة الزمنية.</t>
  </si>
  <si>
    <t>و.    التأكد من حماس وجديـة الضبـاط والرتـب الأخرى في تنفيـذ الواجبات ومـــدى تفهمهم لإجراءات رفع الحالة.</t>
  </si>
  <si>
    <t>ز.   التأكد من إجراءات تحميل / تعبئة الذخيرة (التقيد باحتياطات الأمان ومخطط التحميل).</t>
  </si>
  <si>
    <t>ح.   استلام المهمات الكيميائية.</t>
  </si>
  <si>
    <t>ط.   تعبئة وتحميل الوقود والمياه.</t>
  </si>
  <si>
    <t>ي.   تحميل الأرزاق لـ (48) ساعة.</t>
  </si>
  <si>
    <t>ك.   تحميل المهمات الإدارية والهندسية.</t>
  </si>
  <si>
    <t>ل.   تركيب الأسلحة والأجهزة واختبارها.</t>
  </si>
  <si>
    <t>م.   وضع خطة للتحميل والتقيد بها أثناء عملية التحميل ومدى فعاليتها.</t>
  </si>
  <si>
    <r>
      <t>8.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جاهزية القوة</t>
    </r>
    <r>
      <rPr>
        <b/>
        <sz val="12"/>
        <color rgb="FF000000"/>
        <rFont val="Arial"/>
        <family val="2"/>
      </rPr>
      <t>.</t>
    </r>
  </si>
  <si>
    <t>أ.    اصطفاف القوة بالميدان في الوقت المحدد في تعليمات رفع حالات الاستعداد القتالي.</t>
  </si>
  <si>
    <t>ب.   التأكد من نسبة استكمال وجاهزية الضباط والأفراد من حيث (السلاح وملحقاته، حقائب الكتف، القلادة المعدنية، البطاقة، رخصة السواقة، حقيبة الميدان، مفكرة الميدان للضباط).</t>
  </si>
  <si>
    <t>جـ.   مدى إلمام الضباط والرتب الأخرى باستخدام المعدات والآليات حسب تخصصاتهم.</t>
  </si>
  <si>
    <t>د.    تعبئة وإدامة جداول الركوب والتحميل طبقاً لحالات الاستعداد القتالي ومطابقته للواقع.</t>
  </si>
  <si>
    <t xml:space="preserve">هـ.   التأكد من عدم تحميل الآليات أكثر من حمولتها المقررة </t>
  </si>
  <si>
    <t>و.    تعبئة وإدامة سجلات استلام الذخائر.</t>
  </si>
  <si>
    <r>
      <t>9.</t>
    </r>
    <r>
      <rPr>
        <b/>
        <sz val="12"/>
        <color rgb="FF000000"/>
        <rFont val="Times New Roman"/>
        <family val="1"/>
      </rPr>
      <t xml:space="preserve">         </t>
    </r>
    <r>
      <rPr>
        <b/>
        <u/>
        <sz val="12"/>
        <color rgb="FF000000"/>
        <rFont val="Arial"/>
        <family val="2"/>
      </rPr>
      <t>الآليات</t>
    </r>
    <r>
      <rPr>
        <b/>
        <sz val="12"/>
        <color rgb="FF000000"/>
        <rFont val="Arial"/>
        <family val="2"/>
      </rPr>
      <t>.</t>
    </r>
  </si>
  <si>
    <t>أ.    التأكد من جاهزية الآليات من حيث (الوقود، المياه، العدة، سجل الآلية، شباك التمويه مع العصي، إلخ).</t>
  </si>
  <si>
    <t>ب.   التأكد من نسبة استكمال الأسلحة والمعدات.</t>
  </si>
  <si>
    <t>جـ.   التأكد من نسبة استكمال الآليات المقاتلة ( أ ).</t>
  </si>
  <si>
    <t>د.    توفير نقليات (ب) لحمل (ذخائر الخط الثاني).</t>
  </si>
  <si>
    <r>
      <t>10.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فـرش المتاع</t>
    </r>
    <r>
      <rPr>
        <b/>
        <sz val="12"/>
        <color rgb="FF000000"/>
        <rFont val="Arial"/>
        <family val="2"/>
      </rPr>
      <t xml:space="preserve">. </t>
    </r>
    <r>
      <rPr>
        <sz val="12"/>
        <color rgb="FF000000"/>
        <rFont val="Arial"/>
        <family val="2"/>
      </rPr>
      <t>حقيبة الميدان وتشمل:</t>
    </r>
  </si>
  <si>
    <t>أ.    عدد (1) بدلة مموهه.</t>
  </si>
  <si>
    <t>ب.   خـوذه.</t>
  </si>
  <si>
    <t>جـ.   فوطه.</t>
  </si>
  <si>
    <t>د.    جراب.</t>
  </si>
  <si>
    <t>هـ.   ملابس داخلية.</t>
  </si>
  <si>
    <t>و.    ملابس رياضة (شورت، حذاء، فانله).</t>
  </si>
  <si>
    <t>ز.   أدوات الطعام.</t>
  </si>
  <si>
    <t>ح.   أدوات الخياطة.</t>
  </si>
  <si>
    <t>ط.   أدوات حلاقة + معجون وفرشاة أسنان.</t>
  </si>
  <si>
    <t>ي.   كيس النوم.</t>
  </si>
  <si>
    <t>ك.   لباس مدني.</t>
  </si>
  <si>
    <t>ل.   شماغ (عسكري / مدني).</t>
  </si>
  <si>
    <t>م.   مشمع أرضي.</t>
  </si>
  <si>
    <t>ن.   ترتيب ونظافة محتويات الحقيبة.</t>
  </si>
  <si>
    <r>
      <t>11.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صندوق / آلية الوثائق</t>
    </r>
    <r>
      <rPr>
        <b/>
        <sz val="12"/>
        <color rgb="FF000000"/>
        <rFont val="Arial"/>
        <family val="2"/>
      </rPr>
      <t>.</t>
    </r>
  </si>
  <si>
    <t>أ.    توفر صندوق لحفظ الوثائق والسجلات والقرطاسية اللازمة.</t>
  </si>
  <si>
    <t>ب.   وجود فهرس بمحتويات الصندوق ومطابقته مع الموجود.</t>
  </si>
  <si>
    <t>جـ.   توفر الخرائط والخطط الضرورية.</t>
  </si>
  <si>
    <t>د.    وجود الأوامر الثابتة لقيادته.</t>
  </si>
  <si>
    <t>هـ.   وجود قوائم التوزيع الشهرية.</t>
  </si>
  <si>
    <t>و.    وجود نموذج برقيــات.</t>
  </si>
  <si>
    <t>ز.   توفر كشف بأرقام الهواتف الهامة (عسكرية، مدنية).</t>
  </si>
  <si>
    <t>ح.   وجود وإدامة سجل الوارد والصادر.</t>
  </si>
  <si>
    <t>ط.   التأكد من إعداد وتجهيز آلية الوثائق.</t>
  </si>
  <si>
    <t>ي.   توفر وصلاحية وسائل الاتصالات الإشارية بآلية الوثائق.</t>
  </si>
  <si>
    <t>ك.   توفر وصلاحية الإضاءة الرئيسة والبديلة بآلية الوثائق.</t>
  </si>
  <si>
    <r>
      <t>12.</t>
    </r>
    <r>
      <rPr>
        <b/>
        <sz val="12"/>
        <color rgb="FF000000"/>
        <rFont val="Times New Roman"/>
        <family val="1"/>
      </rPr>
      <t xml:space="preserve">     </t>
    </r>
    <r>
      <rPr>
        <b/>
        <u/>
        <sz val="12"/>
        <color rgb="FF000000"/>
        <rFont val="Arial"/>
        <family val="2"/>
      </rPr>
      <t>نظام المجموعات في السرية</t>
    </r>
    <r>
      <rPr>
        <b/>
        <sz val="12"/>
        <color rgb="FF000000"/>
        <rFont val="Arial"/>
        <family val="2"/>
      </rPr>
      <t>.</t>
    </r>
  </si>
  <si>
    <t>أ.    التأكد من جماعة الكشف (قائد السرية مأمور إشارة، ممثلون عن الأسلحة والخدمات المساندة إن وجدوا، فردين حماية، ضابط الرصد).</t>
  </si>
  <si>
    <t>ب.   التأكد من جماعة الأمـر (جماعـة كشف السرية، قـادة الفصائل).</t>
  </si>
  <si>
    <t>جـ.   مدى فعالية الكشف وإصدار الأوامر.</t>
  </si>
  <si>
    <t>د.    التأكد من عمل جميع المجموعات في آنٍ واحد (التزامن في العمل) من خلال الخطة الزمنية.</t>
  </si>
  <si>
    <r>
      <t>13.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التأكد من الإشراف والمتابعة من المستوى الأعلى وقيادة المستوى نفسه.</t>
    </r>
  </si>
  <si>
    <r>
      <t>14.</t>
    </r>
    <r>
      <rPr>
        <b/>
        <sz val="12"/>
        <color rgb="FF000000"/>
        <rFont val="Times New Roman"/>
        <family val="1"/>
      </rPr>
      <t xml:space="preserve">     </t>
    </r>
    <r>
      <rPr>
        <b/>
        <sz val="12"/>
        <color rgb="FF000000"/>
        <rFont val="Arial"/>
        <family val="2"/>
      </rPr>
      <t>مدى كفاءة القائد القيادية والذهنية.</t>
    </r>
  </si>
  <si>
    <t>نقيب / حميد سعيد مسير الظاهري</t>
  </si>
  <si>
    <t>نقيب / يوسف محمد الفلاسي</t>
  </si>
  <si>
    <t>نقيب / سعيد راشد الظنحاني</t>
  </si>
  <si>
    <t>تقييم الجاهزية القتالية في وحدات المناورة - تمرين جاهزية مجموعة لواء الإمارات/1 (جندي الصحراء 2025/20)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</si>
</sst>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32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91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9" fontId="3" fillId="0" borderId="8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2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9" fontId="3" fillId="0" borderId="26" xfId="0" applyNumberFormat="1" applyFont="1" applyBorder="1" applyAlignment="1">
      <alignment horizontal="center" vertical="center" wrapText="1" readingOrder="2"/>
    </xf>
    <xf numFmtId="0" fontId="2" fillId="0" borderId="26" xfId="0" applyFont="1" applyBorder="1" applyAlignment="1">
      <alignment horizontal="center" vertical="center" wrapText="1" readingOrder="1"/>
    </xf>
    <xf numFmtId="0" fontId="2" fillId="0" borderId="28" xfId="0" applyFont="1" applyBorder="1" applyAlignment="1">
      <alignment horizontal="center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9" fontId="3" fillId="0" borderId="28" xfId="0" applyNumberFormat="1" applyFont="1" applyBorder="1" applyAlignment="1">
      <alignment horizontal="center" vertical="center" wrapText="1" readingOrder="2"/>
    </xf>
    <xf numFmtId="0" fontId="2" fillId="0" borderId="28" xfId="0" applyFont="1" applyBorder="1" applyAlignment="1">
      <alignment horizontal="center" vertical="center" wrapText="1" readingOrder="1"/>
    </xf>
    <xf numFmtId="0" fontId="2" fillId="0" borderId="30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9" fontId="3" fillId="0" borderId="30" xfId="0" applyNumberFormat="1" applyFont="1" applyBorder="1" applyAlignment="1">
      <alignment horizontal="center" vertical="center" wrapText="1" readingOrder="2"/>
    </xf>
    <xf numFmtId="0" fontId="2" fillId="0" borderId="30" xfId="0" applyFont="1" applyBorder="1" applyAlignment="1">
      <alignment horizontal="center" vertical="center" wrapText="1" readingOrder="1"/>
    </xf>
    <xf numFmtId="0" fontId="12" fillId="0" borderId="19" xfId="0" applyFont="1" applyBorder="1" applyAlignment="1">
      <alignment horizontal="right" vertical="center" wrapText="1" indent="3" readingOrder="2"/>
    </xf>
    <xf numFmtId="0" fontId="12" fillId="0" borderId="0" xfId="0" applyFont="1" applyBorder="1" applyAlignment="1">
      <alignment horizontal="right" vertical="center" wrapText="1" indent="3" readingOrder="2"/>
    </xf>
    <xf numFmtId="0" fontId="12" fillId="0" borderId="20" xfId="0" applyFont="1" applyBorder="1" applyAlignment="1">
      <alignment horizontal="right" vertical="center" wrapText="1" indent="3" readingOrder="2"/>
    </xf>
    <xf numFmtId="0" fontId="12" fillId="0" borderId="21" xfId="0" applyFont="1" applyBorder="1" applyAlignment="1">
      <alignment horizontal="right" vertical="center" wrapText="1" indent="3" readingOrder="2"/>
    </xf>
    <xf numFmtId="0" fontId="12" fillId="0" borderId="22" xfId="0" applyFont="1" applyBorder="1" applyAlignment="1">
      <alignment horizontal="right" vertical="center" wrapText="1" indent="3" readingOrder="2"/>
    </xf>
    <xf numFmtId="0" fontId="12" fillId="0" borderId="23" xfId="0" applyFont="1" applyBorder="1" applyAlignment="1">
      <alignment horizontal="right" vertical="center" wrapText="1" indent="3" readingOrder="2"/>
    </xf>
    <xf numFmtId="0" fontId="2" fillId="0" borderId="24" xfId="0" applyFont="1" applyBorder="1" applyAlignment="1">
      <alignment horizontal="right" vertical="center" wrapText="1" readingOrder="2"/>
    </xf>
    <xf numFmtId="0" fontId="2" fillId="0" borderId="14" xfId="0" applyFont="1" applyBorder="1" applyAlignment="1">
      <alignment horizontal="right" vertical="center" wrapText="1" readingOrder="2"/>
    </xf>
    <xf numFmtId="0" fontId="2" fillId="0" borderId="25" xfId="0" applyFont="1" applyBorder="1" applyAlignment="1">
      <alignment horizontal="right" vertical="center" wrapText="1" readingOrder="2"/>
    </xf>
    <xf numFmtId="0" fontId="2" fillId="0" borderId="17" xfId="0" applyFont="1" applyBorder="1" applyAlignment="1">
      <alignment horizontal="right" vertical="center" wrapText="1" readingOrder="2"/>
    </xf>
    <xf numFmtId="0" fontId="2" fillId="0" borderId="1" xfId="0" applyFont="1" applyBorder="1" applyAlignment="1">
      <alignment horizontal="right" vertical="center" wrapText="1" readingOrder="2"/>
    </xf>
    <xf numFmtId="0" fontId="2" fillId="0" borderId="18" xfId="0" applyFont="1" applyBorder="1" applyAlignment="1">
      <alignment horizontal="right" vertical="center" wrapText="1" readingOrder="2"/>
    </xf>
    <xf numFmtId="0" fontId="3" fillId="0" borderId="28" xfId="0" applyFont="1" applyBorder="1" applyAlignment="1" applyProtection="1">
      <alignment horizontal="center" vertical="center" wrapText="1" readingOrder="2"/>
      <protection locked="0"/>
    </xf>
    <xf numFmtId="0" fontId="3" fillId="0" borderId="29" xfId="0" applyFont="1" applyBorder="1" applyAlignment="1" applyProtection="1">
      <alignment horizontal="center" vertical="center" wrapText="1" readingOrder="2"/>
      <protection locked="0"/>
    </xf>
    <xf numFmtId="0" fontId="3" fillId="0" borderId="8" xfId="0" applyFont="1" applyBorder="1" applyAlignment="1" applyProtection="1">
      <alignment horizontal="center" vertical="center" wrapText="1" readingOrder="2"/>
      <protection locked="0"/>
    </xf>
    <xf numFmtId="0" fontId="3" fillId="0" borderId="9" xfId="0" applyFont="1" applyBorder="1" applyAlignment="1" applyProtection="1">
      <alignment horizontal="center" vertical="center" wrapText="1" readingOrder="2"/>
      <protection locked="0"/>
    </xf>
    <xf numFmtId="0" fontId="3" fillId="0" borderId="26" xfId="0" applyFont="1" applyBorder="1" applyAlignment="1" applyProtection="1">
      <alignment horizontal="center" vertical="center" wrapText="1" readingOrder="2"/>
      <protection locked="0"/>
    </xf>
    <xf numFmtId="0" fontId="3" fillId="0" borderId="2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13" xfId="0" applyFont="1" applyBorder="1" applyAlignment="1">
      <alignment horizontal="center" vertical="center" wrapText="1" readingOrder="2"/>
    </xf>
    <xf numFmtId="0" fontId="2" fillId="0" borderId="14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3" fillId="0" borderId="30" xfId="0" applyFont="1" applyBorder="1" applyAlignment="1" applyProtection="1">
      <alignment horizontal="center" vertical="center" wrapText="1" readingOrder="2"/>
      <protection locked="0"/>
    </xf>
    <xf numFmtId="0" fontId="3" fillId="0" borderId="31" xfId="0" applyFont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center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0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8" xfId="0" applyNumberFormat="1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0" fontId="7" fillId="4" borderId="7" xfId="0" applyFont="1" applyFill="1" applyBorder="1" applyAlignment="1" applyProtection="1">
      <alignment horizontal="center" vertical="center" wrapText="1" readingOrder="2"/>
      <protection locked="0"/>
    </xf>
    <xf numFmtId="0" fontId="7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1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8" xfId="0" applyFont="1" applyBorder="1" applyAlignment="1">
      <alignment horizontal="center" vertical="center" wrapText="1" readingOrder="1"/>
    </xf>
    <xf numFmtId="0" fontId="2" fillId="0" borderId="9" xfId="0" applyFont="1" applyBorder="1" applyAlignment="1">
      <alignment horizontal="center" vertical="center" wrapText="1" readingOrder="1"/>
    </xf>
    <xf numFmtId="0" fontId="6" fillId="4" borderId="7" xfId="0" applyFont="1" applyFill="1" applyBorder="1" applyAlignment="1" applyProtection="1">
      <alignment horizontal="center" vertical="center" wrapText="1" readingOrder="2"/>
      <protection locked="0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238501</xdr:colOff>
      <xdr:row>96</xdr:row>
      <xdr:rowOff>121412</xdr:rowOff>
    </xdr:from>
    <xdr:to>
      <xdr:col>8</xdr:col>
      <xdr:colOff>440053</xdr:colOff>
      <xdr:row>97</xdr:row>
      <xdr:rowOff>59172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BF8166C-072B-4466-6D0F-465F597AF18A}"/>
                </a:ext>
              </a:extLst>
            </xdr14:cNvPr>
            <xdr14:cNvContentPartPr/>
          </xdr14:nvContentPartPr>
          <xdr14:nvPr macro=""/>
          <xdr14:xfrm>
            <a:off x="10471509247" y="39393720"/>
            <a:ext cx="1515960" cy="5860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BF8166C-072B-4466-6D0F-465F597AF18A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71500247" y="39385080"/>
              <a:ext cx="1533600" cy="6037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08T04:14:59.131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4057 551 3800,'0'0'0,"0"0"0,-5 0 1305,-4 0-465,-12 7-288,14 0-280,7-7-272,0 0 152,0 4-160,0-4-56,4 0 64,-4 0 0,5 0-24,-5 0-8,0 4-40,0-4 72,0 0-32,0 5-8,5-5 16,-5 4 24,0-4 0,0 0-48,0 0 32,-5 0 72,5 0 24,0 0-80,0 0 176,0 0 64,0 0 80,0 0 8,0 0-328,0 0 320,0 0-64,0 5-48,0-5-24,0 0-184,0 0 216,0 0 40,0 0-31,0 0 63,0 0-1273,-2 0 2226,2 0-985,-3 0 32,3 5 16,0-5-304,-4 4 248,-1-4-72,3 7-8,-5-1-24,7-6-144,-19 7 64,14 13-24,-18-14-88,4 18-32,19-24 80,-18 22-72,-9 2 72,-1 2 32,3 3-56,25-29 24,-35 30 32,1 0-8,6 3 24,-7-1 40,35-32-88,-33 31 144,1 0-32,-2-3 32,4-2 16,30-26-160,-26 24 248,-3-6 48,6 0 88,0-11 32,23-7-416,-19 7 392,1-1-55,1 1-1,7-7 88,10 0-424,-18 0 328,13 4-16,-2-4-72,5 0-72,2 0-168,-5 0 104,5-2 0,0 0-48,0-1-248,0 3 192,0-4-192,0 2-128,7-2-16,-4 1 64,-3 3 272,4-4-328,1 2 88,-2 0 8,-3-1 88,0 3 144,0-2 40,0 0 24,0 0 40,0 2 48,0 0-152,0-2 136,0-1 80,0-1-64,0-1 8,0 5-160,-3-5 56,1-1-40,-1 1 88,-4 1-16,7 4-88,-2-7 88,-3 5-24,2-2-24,3 0-72,0 4 32,0-3-96,0 1 0,0 0-32,0 0-64,0 2 192,3-2-120,-3-1 24,7 1-8,-7 0 104,0 2 0,0-2-16,0 2 48,0 0-8,0 0 80,0 0-104,0 0 104,0 0-24,0 0-16,0 0-80,0 0-216,-2 0 432,-3 0-256,2 0 16,3 0 40,-2 0-24,0 0-32,-6 0 88,2-2 0,6 2-32,-5-5-8,-2 1 32,7 0-24,-2-1 0,2 5 0,-3-6 0,-1-1 80,-1 0-64,5 1-8,0 6-8,-7-18 56,7 14-104,-3-5 96,2-10-96,1 19 48,0-9 16,-5-11 0,3 14-48,2-14 48,0 20-16,0-7-32,0 1 16,-3-4 8,3 4 48,0 6-40,-7-7-48,7-2 48,-2 3 48,-1-1-56,3 7 8,-5-6 32,5-1-24,0 0-48,0-10 40,0 17 0,-2-4 40,2-5-72,0 0 32,-3 0-16,3 9 16,0-8-16,0-1-16,0 2 24,0 1 16,0 6-8,0-7 16,0 3 56,0-1 8,0 3-64,0 2-16,0-2 16,0 0 0,-2 2 0,-3 0-8,5 0-8,-1 0-8,1 0-56,-5 0-24,0 4 8,5-4 80,-2 5-64,-1-1-96,-4 2 24,2-1-112,5-5 248,-9 6-272,-9 12-17,10-12-23,-9 16 40,17-22 272,-8 18-240,-14 2 56,2 1 56,5 4 48,15-25 80,-9 22-88,-12 2 16,11-2 16,-10-2 40,20-20 16,-8 20 40,-16-1-40,20 1 72,-22 2-24,26-22-48,-21 22 48,7 4 24,-5-1-32,0-1-48,19-24 8,-14 22 16,9-5 8,-13-10-16,16 15 24,2-22-32,-10 4 0,-9 14 0,17-14 24,-7 3 48,9-7-72,-7 6 64,2 1 32,-3-3 24,4 1 24,4-5-144,-7 4 280,5-4 72,-3 0 41,3 0 31,2 0-424,-3 0 344,1-2-72,-5-5-128,7-2-32,0 9-112,0-8 64,-3-12 8,1 16-24,-3-14 0,5 18-48,-5-6 0,1-14 8,2 2-8,2 1-32,0 17 32,0-20 0,0 0-32,0 0 32,0 2 0,0 18 0,0-6 32,0-14-32,0 14 16,0-3-32,0 9 16,0-9-56,0 2 72,0 1-72,0 2 64,0 4-8,0-3-8,0 1-40,0 2-16,0 0 64,0 0-32,0 0 16,0 0 8,0 0-24,0 0 120,0 0-240,0 0 80,0 5 8,0-5 0,0 0 64,-2 0-32,2 4-32,-3-4-24,3 0 8,0 0 80,0 4-128,-7 1 8,5-1 24,-5 3-72,7-7 168,-15 6-192,11 12-16,-13-1-17,10 3 73,7-20 152,-18 22-128,1 3 40,-2-1 32,-2 0 8,21-24 48,-19 22-56,3 2 40,-1-2-24,1-3-16,16-19 56,-9 20 24,-13-2 16,16-12 24,-16 14 8,22-20-72,-4 4 112,-4 3 40,0-2 88,3-5 169,5 0-409,-7 4 464,4-4 112,1 0-40,-3 0 96,5 0-632,0-2 584,0 0-80,0-5 8,7 0-224,-7 7-288,5-7 200,0-10-127,0 10-57,-1-17-32,-4 24 16,4-26 0,18-7 16,-15-13 16,16-6 40,-23 52-72,22-60 72,-1-1 8,2-3-96,1 0 8,-24 64 8,25-68-24,2 0-32,3-4 56,3-3-32,-33 75 32,30-75-16,1 3-16,-8 8-16,-2 7 56,-21 57-8,7-48-24,15 6 40,-20 7 32,3 8-64,-5 27 16,5-20 24,-5 14 40,3-3 8,-3 7-56,0 2-16,0-3-24,0 3-112,-3 0-145,-5 7-63,8-7 344,-4 22-440,-4-1-16,-1 7 104,-12 9 160,21-37 192,-9 44-112,-15 4 16,3 0 16,-2-1-8,23-47 88,-22 48-80,1 0 16,0 0-8,0 1-40,21-49 112,-24 46-32,-4-2 8,3 2 24,-4-4-40,29-42 40,-33 41-24,3 2 48,0-4-24,-6 3 56,36-42-56,-31 37 40,-1 0 8,-1 0 40,3-3 40,30-34-128,-27 31 120,2-3-64,3-6-8,6-5 0,16-17-48,-9 7 64,-14 11-8,18-18 48,0 6 24,5-6-128,-5 4 160,3-4 72,2 5-32,-3-5-72,3 0-128,0 0 152,0-2 88,0-1-48,5 1 48,-5 2-240,0-4 200,5-3-63,0 1 7,-5-1 48,0 7-192,7-6 184,-3-3-72,3-9 40,-4 10-64,-3 8-88,2-31 8,8 5-104,-3-8 96,6 1-40,-13 33 40,0-33 16,7-2 40,13 5-136,-16-1 24,-4 31 56,3-26-48,1 3 48,0 14 64,-4-8-80,0 17 16,0-2 16,0-1-32,-4 3-88,4 0-56,0 0 160,-7 5-272,-2-1 7,4 3-23,0-1 56,5-6 232,-5 21-216,-13-4 8,9 3-16,-17 11 24,26-31 200,-24 37-256,-6 0 88,3 5 16,7 0 104,20-42 48,-20 35 0,5-2 48,-5-7-56,16-6-32,4-20 40,-21 7 128,21 12-96,-7-14 96,-3-5 104,10 0-232,0 0 144,-2 0 136,2 0 8,0 0-8,0 0-280,0-3 312,2-3-256,5-1 32,0 1-184,-7 6 96,3-9-208,2 0 104,-5-10-56,7 10 32,-7 9 128,7-24-152,-3 6 40,3 10 72,-4-14-56,-3 22 96,0-5 8,0 3-8,0-1-24,0 3 64,0 0-40,-3 7-96,3 11-8,-9-11 88,-12 14-64,21-21 80,-7 24 0,-16 5 24,1 6-184,1 0 136,21-35 24,-24 37 24,4-1-56,0-5 136,2-3-64,18-28-40,-5 26 0,-19-8 88,18-1 16,-8-12-48,14-5-56,-5 4 200,2 0 104,1-4-72,0 0 160,2 0-392,0 0 401,0 0-41,0-4-64,0-3-152,0-10-104,0 17-40,0-9-64,4-15 40,-1 0-48,-3 24 72,7-30-128,0-17 152,14-8-80,-16-15 80,14-9-48,-19 79 24,5-86 0,23-8-24,-8-3 0,2-4 128,-22 101-104,23-104-48,6 4 152,-6 3-56,-2 11-160,-21 86 112,14-74-72,-4 13 16,10 9 96,-13 11 24,-7 41-64,5-31 24,-2 7-64,-3 17 88,7-1 104,-7 8-152,0-2 240,0 2 48,-3 0-200,-1 4-192,4-4 104,-5 6-152,-2 12-32,4-11 24,-2 19-8,5-26 168,-8 22-168,1 6 8,-8 4 64,8 3 56,7-35 40,-9 32-16,-12 3-56,6-2-8,-3 2 160,18-35-80,-17 43-32,-8 3-8,4 2 8,-1 7 32,22-55 0,-23 54-16,-10 8 64,2-3-8,-9 3-168,40-62 128,-35 59-32,3 1-40,-3-1 96,0 0 8,35-59-32,-40 59 64,-3-3-40,1-4 48,-7-4-32,49-48-40,-52 42 8,2-1 144,-6-5-152,12-3 160,44-33-160,-43 33 104,1-2-152,0-1 128,0-1-168,42-29 88,-45 28-64,3-3 128,-3-1-56,3-4 16,42-20-24,-40 20 200,-3-14-176,16 16 152,-1-18 88,28-4-264,-22 5 208,17 1 136,-13-1-88,18-5-8,0 0-248,-2 0 152,2 0-88,0 0-144,2-3 16,-2 3 64,9-4-240,12 0 24,-16-3 32,35 1 48,-40 6 136,35-9 40,12-11-80,11 14 176,6-16-168,-64 22 32,73-18-40,11-5 136,3 1-152,11-2 40,-98 24 16,107-28 16,-5-3-8,12 1-8,1-5 24,-115 35-24,124-37 24,9-4-72,6 2 88,9-5 24,-148 44-64,148-46 72,2-6-8,-2-4-8,-7-1 72,-141 57-128,140-59-16,-5 2 80,-4-1 0,6-3-88,-137 61 24,123-61 128,-9-3-104,-12 0 0,-15 3-24,-87 61 0,75-59-72,-18 6 32,-10 11 40,-24 11 144,-23 31-144,3-22 240,-3 14 184,-5-10 88,-28 14 48,33 4-560,-40-7 577,-16 1-233,-17-1-120,-21 5-160,94 2-64,-117 0-80,-24 26 64,-18 5 88,-13 10-112,172-41 40,-190 49 136,-5 8-72,-16 2-48,0 9 64,211-68-80,-217 75 56,-4 2-8,6 6-104,-16 3 152,231-86-96,-213 86-72,9-5 32,9-6 96,24-10-128,171-65 72,-157 60 40,18-9-8,22-3-32,18-4-16,99-44 16,-83 35 16,18-7-32,13-6 88,27-15-88,25-7 16,-8 4-232,8-4-112,8 0-160,24-7 15,-32 7 489,35-19-360,27 1 200,11-8 104,22-7 8,-95 33 48,111-41-96,18-5 32,19-8 0,14-1 48,-162 55 16,176-63 16,17 0-128,-8 3-784,8 3-1392,-193 57 2288,199-53-4713,-2 1-2953,-197 52 7666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97"/>
  <sheetViews>
    <sheetView rightToLeft="1" tabSelected="1" view="pageBreakPreview" topLeftCell="A90" zoomScale="130" zoomScaleNormal="100" zoomScaleSheetLayoutView="130" workbookViewId="0">
      <selection activeCell="F55" sqref="F55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67" t="s">
        <v>265</v>
      </c>
      <c r="C1" s="67"/>
      <c r="D1" s="67"/>
      <c r="E1" s="67"/>
      <c r="F1" s="67"/>
      <c r="G1" s="67"/>
      <c r="H1" s="67"/>
      <c r="I1" s="67"/>
      <c r="J1" s="67"/>
    </row>
    <row r="2" spans="1:10" ht="30" customHeight="1" x14ac:dyDescent="0.3">
      <c r="B2" s="13" t="s">
        <v>8</v>
      </c>
      <c r="C2" s="73" t="s">
        <v>39</v>
      </c>
      <c r="D2" s="73"/>
      <c r="E2" s="13" t="s">
        <v>7</v>
      </c>
      <c r="F2" s="68">
        <v>45931</v>
      </c>
      <c r="G2" s="68"/>
      <c r="H2" s="68"/>
      <c r="I2" s="68"/>
      <c r="J2" s="68"/>
    </row>
    <row r="3" spans="1:10" ht="30" customHeight="1" x14ac:dyDescent="0.3">
      <c r="B3" s="13" t="s">
        <v>9</v>
      </c>
      <c r="C3" s="73" t="s">
        <v>80</v>
      </c>
      <c r="D3" s="73"/>
      <c r="E3" s="13" t="s">
        <v>6</v>
      </c>
      <c r="F3" s="73" t="s">
        <v>141</v>
      </c>
      <c r="G3" s="73"/>
      <c r="H3" s="73"/>
      <c r="I3" s="73"/>
      <c r="J3" s="73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69" t="s">
        <v>0</v>
      </c>
      <c r="C5" s="70"/>
      <c r="D5" s="70"/>
      <c r="E5" s="78" t="s">
        <v>1</v>
      </c>
      <c r="F5" s="78"/>
      <c r="G5" s="78"/>
      <c r="H5" s="78"/>
      <c r="I5" s="78" t="s">
        <v>2</v>
      </c>
      <c r="J5" s="79"/>
    </row>
    <row r="6" spans="1:10" ht="24.9" customHeight="1" thickBot="1" x14ac:dyDescent="0.35">
      <c r="A6" s="10"/>
      <c r="B6" s="71"/>
      <c r="C6" s="72"/>
      <c r="D6" s="72"/>
      <c r="E6" s="11" t="s">
        <v>3</v>
      </c>
      <c r="F6" s="11" t="s">
        <v>4</v>
      </c>
      <c r="G6" s="11" t="s">
        <v>23</v>
      </c>
      <c r="H6" s="11" t="s">
        <v>24</v>
      </c>
      <c r="I6" s="80"/>
      <c r="J6" s="81"/>
    </row>
    <row r="7" spans="1:10" ht="24.9" customHeight="1" thickBot="1" x14ac:dyDescent="0.35">
      <c r="A7" s="10"/>
      <c r="B7" s="76" t="s">
        <v>21</v>
      </c>
      <c r="C7" s="77"/>
      <c r="D7" s="77"/>
      <c r="E7" s="12" t="s">
        <v>18</v>
      </c>
      <c r="F7" s="12" t="s">
        <v>19</v>
      </c>
      <c r="G7" s="12" t="s">
        <v>22</v>
      </c>
      <c r="H7" s="12" t="s">
        <v>20</v>
      </c>
      <c r="I7" s="82" t="s">
        <v>25</v>
      </c>
      <c r="J7" s="83"/>
    </row>
    <row r="8" spans="1:10" ht="39.9" customHeight="1" thickBot="1" x14ac:dyDescent="0.35">
      <c r="A8" s="10"/>
      <c r="B8" s="48" t="s">
        <v>177</v>
      </c>
      <c r="C8" s="49"/>
      <c r="D8" s="50"/>
      <c r="E8" s="9">
        <v>0</v>
      </c>
      <c r="F8" s="28" t="s">
        <v>61</v>
      </c>
      <c r="G8" s="29" t="str">
        <f>IFERROR(F8/E8,"")</f>
        <v/>
      </c>
      <c r="H8" s="27" t="str">
        <f>_xlfn.IFS(F8="أدخل العلامة","",F8="لا ينطبق","تم الإلغاء",G8&gt;=90%,"ممتاز",G8&gt;=80%,"جيد جداً",G8&gt;=70%,"جيد",G8&gt;=60%,"مقبول",G8&lt;60%,"راسب")</f>
        <v/>
      </c>
      <c r="I8" s="56"/>
      <c r="J8" s="57"/>
    </row>
    <row r="9" spans="1:10" ht="30" customHeight="1" x14ac:dyDescent="0.3">
      <c r="A9" s="10"/>
      <c r="B9" s="51" t="s">
        <v>178</v>
      </c>
      <c r="C9" s="52"/>
      <c r="D9" s="53"/>
      <c r="E9" s="30"/>
      <c r="F9" s="31"/>
      <c r="G9" s="32"/>
      <c r="H9" s="33"/>
      <c r="I9" s="58"/>
      <c r="J9" s="59"/>
    </row>
    <row r="10" spans="1:10" ht="30" customHeight="1" x14ac:dyDescent="0.3">
      <c r="A10" s="10"/>
      <c r="B10" s="42" t="s">
        <v>179</v>
      </c>
      <c r="C10" s="43"/>
      <c r="D10" s="44"/>
      <c r="E10" s="34">
        <v>0</v>
      </c>
      <c r="F10" s="35" t="s">
        <v>61</v>
      </c>
      <c r="G10" s="36" t="str">
        <f t="shared" ref="G10:G73" si="0">IFERROR(F10/E10,"")</f>
        <v/>
      </c>
      <c r="H10" s="37" t="str">
        <f t="shared" ref="H10:H73" si="1">_xlfn.IFS(F10="أدخل العلامة","",F10="لا ينطبق","تم الإلغاء",G10&gt;=90%,"ممتاز",G10&gt;=80%,"جيد جداً",G10&gt;=70%,"جيد",G10&gt;=60%,"مقبول",G10&lt;60%,"راسب")</f>
        <v/>
      </c>
      <c r="I10" s="54"/>
      <c r="J10" s="55"/>
    </row>
    <row r="11" spans="1:10" ht="30" customHeight="1" x14ac:dyDescent="0.3">
      <c r="A11" s="10"/>
      <c r="B11" s="42" t="s">
        <v>180</v>
      </c>
      <c r="C11" s="43"/>
      <c r="D11" s="44"/>
      <c r="E11" s="34">
        <v>0</v>
      </c>
      <c r="F11" s="35" t="s">
        <v>61</v>
      </c>
      <c r="G11" s="36" t="str">
        <f t="shared" si="0"/>
        <v/>
      </c>
      <c r="H11" s="37" t="str">
        <f t="shared" si="1"/>
        <v/>
      </c>
      <c r="I11" s="54"/>
      <c r="J11" s="55"/>
    </row>
    <row r="12" spans="1:10" ht="30" customHeight="1" x14ac:dyDescent="0.3">
      <c r="A12" s="10"/>
      <c r="B12" s="42" t="s">
        <v>181</v>
      </c>
      <c r="C12" s="43"/>
      <c r="D12" s="44"/>
      <c r="E12" s="34">
        <v>0</v>
      </c>
      <c r="F12" s="35" t="s">
        <v>61</v>
      </c>
      <c r="G12" s="36" t="str">
        <f t="shared" si="0"/>
        <v/>
      </c>
      <c r="H12" s="37" t="str">
        <f t="shared" si="1"/>
        <v/>
      </c>
      <c r="I12" s="54"/>
      <c r="J12" s="55"/>
    </row>
    <row r="13" spans="1:10" ht="30" customHeight="1" x14ac:dyDescent="0.3">
      <c r="A13" s="10"/>
      <c r="B13" s="42" t="s">
        <v>182</v>
      </c>
      <c r="C13" s="43"/>
      <c r="D13" s="44"/>
      <c r="E13" s="34">
        <v>0</v>
      </c>
      <c r="F13" s="35" t="s">
        <v>61</v>
      </c>
      <c r="G13" s="36" t="str">
        <f t="shared" si="0"/>
        <v/>
      </c>
      <c r="H13" s="37" t="str">
        <f t="shared" si="1"/>
        <v/>
      </c>
      <c r="I13" s="54"/>
      <c r="J13" s="55"/>
    </row>
    <row r="14" spans="1:10" ht="39.9" customHeight="1" x14ac:dyDescent="0.3">
      <c r="A14" s="10"/>
      <c r="B14" s="42" t="s">
        <v>183</v>
      </c>
      <c r="C14" s="43"/>
      <c r="D14" s="44"/>
      <c r="E14" s="34">
        <v>0</v>
      </c>
      <c r="F14" s="35" t="s">
        <v>61</v>
      </c>
      <c r="G14" s="36" t="str">
        <f t="shared" si="0"/>
        <v/>
      </c>
      <c r="H14" s="37" t="str">
        <f t="shared" si="1"/>
        <v/>
      </c>
      <c r="I14" s="54"/>
      <c r="J14" s="55"/>
    </row>
    <row r="15" spans="1:10" ht="30" customHeight="1" x14ac:dyDescent="0.3">
      <c r="A15" s="10"/>
      <c r="B15" s="42" t="s">
        <v>184</v>
      </c>
      <c r="C15" s="43"/>
      <c r="D15" s="44"/>
      <c r="E15" s="34">
        <v>0</v>
      </c>
      <c r="F15" s="35" t="s">
        <v>61</v>
      </c>
      <c r="G15" s="36" t="str">
        <f t="shared" si="0"/>
        <v/>
      </c>
      <c r="H15" s="37" t="str">
        <f t="shared" si="1"/>
        <v/>
      </c>
      <c r="I15" s="54"/>
      <c r="J15" s="55"/>
    </row>
    <row r="16" spans="1:10" ht="39.9" customHeight="1" x14ac:dyDescent="0.3">
      <c r="A16" s="10"/>
      <c r="B16" s="42" t="s">
        <v>185</v>
      </c>
      <c r="C16" s="43"/>
      <c r="D16" s="44"/>
      <c r="E16" s="34">
        <v>0</v>
      </c>
      <c r="F16" s="35" t="s">
        <v>61</v>
      </c>
      <c r="G16" s="36" t="str">
        <f t="shared" si="0"/>
        <v/>
      </c>
      <c r="H16" s="37" t="str">
        <f t="shared" si="1"/>
        <v/>
      </c>
      <c r="I16" s="54"/>
      <c r="J16" s="55"/>
    </row>
    <row r="17" spans="1:10" ht="30" customHeight="1" x14ac:dyDescent="0.3">
      <c r="A17" s="10"/>
      <c r="B17" s="42" t="s">
        <v>186</v>
      </c>
      <c r="C17" s="43"/>
      <c r="D17" s="44"/>
      <c r="E17" s="34">
        <v>0</v>
      </c>
      <c r="F17" s="35" t="s">
        <v>61</v>
      </c>
      <c r="G17" s="36" t="str">
        <f t="shared" si="0"/>
        <v/>
      </c>
      <c r="H17" s="37" t="str">
        <f t="shared" si="1"/>
        <v/>
      </c>
      <c r="I17" s="54"/>
      <c r="J17" s="55"/>
    </row>
    <row r="18" spans="1:10" ht="30" customHeight="1" x14ac:dyDescent="0.3">
      <c r="A18" s="10"/>
      <c r="B18" s="42" t="s">
        <v>187</v>
      </c>
      <c r="C18" s="43"/>
      <c r="D18" s="44"/>
      <c r="E18" s="34">
        <v>0</v>
      </c>
      <c r="F18" s="35" t="s">
        <v>61</v>
      </c>
      <c r="G18" s="36" t="str">
        <f t="shared" si="0"/>
        <v/>
      </c>
      <c r="H18" s="37" t="str">
        <f t="shared" si="1"/>
        <v/>
      </c>
      <c r="I18" s="54"/>
      <c r="J18" s="55"/>
    </row>
    <row r="19" spans="1:10" ht="30" customHeight="1" x14ac:dyDescent="0.3">
      <c r="A19" s="10"/>
      <c r="B19" s="42" t="s">
        <v>188</v>
      </c>
      <c r="C19" s="43"/>
      <c r="D19" s="44"/>
      <c r="E19" s="34">
        <v>0</v>
      </c>
      <c r="F19" s="35" t="s">
        <v>61</v>
      </c>
      <c r="G19" s="36" t="str">
        <f t="shared" si="0"/>
        <v/>
      </c>
      <c r="H19" s="37" t="str">
        <f t="shared" si="1"/>
        <v/>
      </c>
      <c r="I19" s="54"/>
      <c r="J19" s="55"/>
    </row>
    <row r="20" spans="1:10" ht="30" customHeight="1" x14ac:dyDescent="0.3">
      <c r="A20" s="10"/>
      <c r="B20" s="42" t="s">
        <v>189</v>
      </c>
      <c r="C20" s="43"/>
      <c r="D20" s="44"/>
      <c r="E20" s="34">
        <v>0</v>
      </c>
      <c r="F20" s="35" t="s">
        <v>61</v>
      </c>
      <c r="G20" s="36" t="str">
        <f t="shared" si="0"/>
        <v/>
      </c>
      <c r="H20" s="37" t="str">
        <f t="shared" si="1"/>
        <v/>
      </c>
      <c r="I20" s="54"/>
      <c r="J20" s="55"/>
    </row>
    <row r="21" spans="1:10" ht="30" customHeight="1" thickBot="1" x14ac:dyDescent="0.35">
      <c r="A21" s="10"/>
      <c r="B21" s="45" t="s">
        <v>190</v>
      </c>
      <c r="C21" s="46"/>
      <c r="D21" s="47"/>
      <c r="E21" s="38">
        <v>0</v>
      </c>
      <c r="F21" s="39" t="s">
        <v>61</v>
      </c>
      <c r="G21" s="40" t="str">
        <f t="shared" si="0"/>
        <v/>
      </c>
      <c r="H21" s="41" t="str">
        <f t="shared" si="1"/>
        <v/>
      </c>
      <c r="I21" s="65"/>
      <c r="J21" s="66"/>
    </row>
    <row r="22" spans="1:10" ht="39.9" customHeight="1" x14ac:dyDescent="0.3">
      <c r="A22" s="10"/>
      <c r="B22" s="51" t="s">
        <v>191</v>
      </c>
      <c r="C22" s="52"/>
      <c r="D22" s="53"/>
      <c r="E22" s="30"/>
      <c r="F22" s="31"/>
      <c r="G22" s="32"/>
      <c r="H22" s="33"/>
      <c r="I22" s="58"/>
      <c r="J22" s="59"/>
    </row>
    <row r="23" spans="1:10" ht="30" customHeight="1" x14ac:dyDescent="0.3">
      <c r="A23" s="10"/>
      <c r="B23" s="42" t="s">
        <v>192</v>
      </c>
      <c r="C23" s="43"/>
      <c r="D23" s="44"/>
      <c r="E23" s="34">
        <v>0</v>
      </c>
      <c r="F23" s="35" t="s">
        <v>61</v>
      </c>
      <c r="G23" s="36" t="str">
        <f t="shared" si="0"/>
        <v/>
      </c>
      <c r="H23" s="37" t="str">
        <f t="shared" si="1"/>
        <v/>
      </c>
      <c r="I23" s="54"/>
      <c r="J23" s="55"/>
    </row>
    <row r="24" spans="1:10" ht="30" customHeight="1" x14ac:dyDescent="0.3">
      <c r="A24" s="10"/>
      <c r="B24" s="42" t="s">
        <v>193</v>
      </c>
      <c r="C24" s="43"/>
      <c r="D24" s="44"/>
      <c r="E24" s="34">
        <v>0</v>
      </c>
      <c r="F24" s="35" t="s">
        <v>61</v>
      </c>
      <c r="G24" s="36" t="str">
        <f t="shared" si="0"/>
        <v/>
      </c>
      <c r="H24" s="37" t="str">
        <f t="shared" si="1"/>
        <v/>
      </c>
      <c r="I24" s="54"/>
      <c r="J24" s="55"/>
    </row>
    <row r="25" spans="1:10" ht="30" customHeight="1" x14ac:dyDescent="0.3">
      <c r="A25" s="10"/>
      <c r="B25" s="42" t="s">
        <v>194</v>
      </c>
      <c r="C25" s="43"/>
      <c r="D25" s="44"/>
      <c r="E25" s="34">
        <v>0</v>
      </c>
      <c r="F25" s="35" t="s">
        <v>61</v>
      </c>
      <c r="G25" s="36" t="str">
        <f t="shared" si="0"/>
        <v/>
      </c>
      <c r="H25" s="37" t="str">
        <f t="shared" si="1"/>
        <v/>
      </c>
      <c r="I25" s="54"/>
      <c r="J25" s="55"/>
    </row>
    <row r="26" spans="1:10" ht="30" customHeight="1" x14ac:dyDescent="0.3">
      <c r="A26" s="10"/>
      <c r="B26" s="42" t="s">
        <v>195</v>
      </c>
      <c r="C26" s="43"/>
      <c r="D26" s="44"/>
      <c r="E26" s="34">
        <v>0</v>
      </c>
      <c r="F26" s="35" t="s">
        <v>61</v>
      </c>
      <c r="G26" s="36" t="str">
        <f t="shared" si="0"/>
        <v/>
      </c>
      <c r="H26" s="37" t="str">
        <f t="shared" si="1"/>
        <v/>
      </c>
      <c r="I26" s="54"/>
      <c r="J26" s="55"/>
    </row>
    <row r="27" spans="1:10" ht="30" customHeight="1" x14ac:dyDescent="0.3">
      <c r="A27" s="10"/>
      <c r="B27" s="42" t="s">
        <v>196</v>
      </c>
      <c r="C27" s="43"/>
      <c r="D27" s="44"/>
      <c r="E27" s="34">
        <v>0</v>
      </c>
      <c r="F27" s="35" t="s">
        <v>61</v>
      </c>
      <c r="G27" s="36" t="str">
        <f t="shared" si="0"/>
        <v/>
      </c>
      <c r="H27" s="37" t="str">
        <f t="shared" si="1"/>
        <v/>
      </c>
      <c r="I27" s="54"/>
      <c r="J27" s="55"/>
    </row>
    <row r="28" spans="1:10" ht="30" customHeight="1" x14ac:dyDescent="0.3">
      <c r="A28" s="10"/>
      <c r="B28" s="42" t="s">
        <v>197</v>
      </c>
      <c r="C28" s="43"/>
      <c r="D28" s="44"/>
      <c r="E28" s="34">
        <v>0</v>
      </c>
      <c r="F28" s="35" t="s">
        <v>61</v>
      </c>
      <c r="G28" s="36" t="str">
        <f t="shared" si="0"/>
        <v/>
      </c>
      <c r="H28" s="37" t="str">
        <f t="shared" si="1"/>
        <v/>
      </c>
      <c r="I28" s="54"/>
      <c r="J28" s="55"/>
    </row>
    <row r="29" spans="1:10" ht="30" customHeight="1" thickBot="1" x14ac:dyDescent="0.35">
      <c r="A29" s="10"/>
      <c r="B29" s="45" t="s">
        <v>198</v>
      </c>
      <c r="C29" s="46"/>
      <c r="D29" s="47"/>
      <c r="E29" s="38">
        <v>0</v>
      </c>
      <c r="F29" s="39" t="s">
        <v>61</v>
      </c>
      <c r="G29" s="40" t="str">
        <f t="shared" si="0"/>
        <v/>
      </c>
      <c r="H29" s="41" t="str">
        <f t="shared" si="1"/>
        <v/>
      </c>
      <c r="I29" s="65"/>
      <c r="J29" s="66"/>
    </row>
    <row r="30" spans="1:10" ht="39.9" customHeight="1" thickBot="1" x14ac:dyDescent="0.35">
      <c r="A30" s="10"/>
      <c r="B30" s="48" t="s">
        <v>199</v>
      </c>
      <c r="C30" s="49"/>
      <c r="D30" s="50"/>
      <c r="E30" s="9">
        <v>0</v>
      </c>
      <c r="F30" s="28" t="s">
        <v>61</v>
      </c>
      <c r="G30" s="29" t="str">
        <f t="shared" si="0"/>
        <v/>
      </c>
      <c r="H30" s="27" t="str">
        <f t="shared" si="1"/>
        <v/>
      </c>
      <c r="I30" s="56"/>
      <c r="J30" s="57"/>
    </row>
    <row r="31" spans="1:10" ht="39.9" customHeight="1" thickBot="1" x14ac:dyDescent="0.35">
      <c r="A31" s="10"/>
      <c r="B31" s="48" t="s">
        <v>200</v>
      </c>
      <c r="C31" s="49"/>
      <c r="D31" s="50"/>
      <c r="E31" s="9">
        <v>0</v>
      </c>
      <c r="F31" s="28" t="s">
        <v>61</v>
      </c>
      <c r="G31" s="29" t="str">
        <f t="shared" si="0"/>
        <v/>
      </c>
      <c r="H31" s="27" t="str">
        <f t="shared" si="1"/>
        <v/>
      </c>
      <c r="I31" s="56"/>
      <c r="J31" s="57"/>
    </row>
    <row r="32" spans="1:10" ht="39.9" customHeight="1" thickBot="1" x14ac:dyDescent="0.35">
      <c r="A32" s="10"/>
      <c r="B32" s="48" t="s">
        <v>201</v>
      </c>
      <c r="C32" s="49"/>
      <c r="D32" s="50"/>
      <c r="E32" s="9">
        <v>0</v>
      </c>
      <c r="F32" s="28" t="s">
        <v>61</v>
      </c>
      <c r="G32" s="29" t="str">
        <f t="shared" si="0"/>
        <v/>
      </c>
      <c r="H32" s="27" t="str">
        <f t="shared" si="1"/>
        <v/>
      </c>
      <c r="I32" s="56"/>
      <c r="J32" s="57"/>
    </row>
    <row r="33" spans="1:10" ht="30" customHeight="1" x14ac:dyDescent="0.3">
      <c r="A33" s="10"/>
      <c r="B33" s="51" t="s">
        <v>202</v>
      </c>
      <c r="C33" s="52"/>
      <c r="D33" s="53"/>
      <c r="E33" s="30"/>
      <c r="F33" s="31"/>
      <c r="G33" s="32"/>
      <c r="H33" s="33"/>
      <c r="I33" s="58"/>
      <c r="J33" s="59"/>
    </row>
    <row r="34" spans="1:10" ht="39.9" customHeight="1" x14ac:dyDescent="0.3">
      <c r="A34" s="10"/>
      <c r="B34" s="42" t="s">
        <v>203</v>
      </c>
      <c r="C34" s="43"/>
      <c r="D34" s="44"/>
      <c r="E34" s="34">
        <v>0</v>
      </c>
      <c r="F34" s="35" t="s">
        <v>61</v>
      </c>
      <c r="G34" s="36" t="str">
        <f t="shared" si="0"/>
        <v/>
      </c>
      <c r="H34" s="37" t="str">
        <f t="shared" si="1"/>
        <v/>
      </c>
      <c r="I34" s="54"/>
      <c r="J34" s="55"/>
    </row>
    <row r="35" spans="1:10" ht="30" customHeight="1" x14ac:dyDescent="0.3">
      <c r="A35" s="10"/>
      <c r="B35" s="42" t="s">
        <v>204</v>
      </c>
      <c r="C35" s="43"/>
      <c r="D35" s="44"/>
      <c r="E35" s="34">
        <v>0</v>
      </c>
      <c r="F35" s="35" t="s">
        <v>61</v>
      </c>
      <c r="G35" s="36" t="str">
        <f t="shared" si="0"/>
        <v/>
      </c>
      <c r="H35" s="37" t="str">
        <f t="shared" si="1"/>
        <v/>
      </c>
      <c r="I35" s="54"/>
      <c r="J35" s="55"/>
    </row>
    <row r="36" spans="1:10" ht="39.9" customHeight="1" x14ac:dyDescent="0.3">
      <c r="A36" s="10"/>
      <c r="B36" s="42" t="s">
        <v>205</v>
      </c>
      <c r="C36" s="43"/>
      <c r="D36" s="44"/>
      <c r="E36" s="34">
        <v>0</v>
      </c>
      <c r="F36" s="35" t="s">
        <v>61</v>
      </c>
      <c r="G36" s="36" t="str">
        <f t="shared" si="0"/>
        <v/>
      </c>
      <c r="H36" s="37" t="str">
        <f t="shared" si="1"/>
        <v/>
      </c>
      <c r="I36" s="54"/>
      <c r="J36" s="55"/>
    </row>
    <row r="37" spans="1:10" ht="30" customHeight="1" x14ac:dyDescent="0.3">
      <c r="A37" s="10"/>
      <c r="B37" s="42" t="s">
        <v>206</v>
      </c>
      <c r="C37" s="43"/>
      <c r="D37" s="44"/>
      <c r="E37" s="34">
        <v>0</v>
      </c>
      <c r="F37" s="35" t="s">
        <v>61</v>
      </c>
      <c r="G37" s="36" t="str">
        <f t="shared" si="0"/>
        <v/>
      </c>
      <c r="H37" s="37" t="str">
        <f t="shared" si="1"/>
        <v/>
      </c>
      <c r="I37" s="54"/>
      <c r="J37" s="55"/>
    </row>
    <row r="38" spans="1:10" ht="30" customHeight="1" x14ac:dyDescent="0.3">
      <c r="A38" s="10"/>
      <c r="B38" s="42" t="s">
        <v>207</v>
      </c>
      <c r="C38" s="43"/>
      <c r="D38" s="44"/>
      <c r="E38" s="34">
        <v>0</v>
      </c>
      <c r="F38" s="35" t="s">
        <v>61</v>
      </c>
      <c r="G38" s="36" t="str">
        <f t="shared" si="0"/>
        <v/>
      </c>
      <c r="H38" s="37" t="str">
        <f t="shared" si="1"/>
        <v/>
      </c>
      <c r="I38" s="54"/>
      <c r="J38" s="55"/>
    </row>
    <row r="39" spans="1:10" ht="39.9" customHeight="1" x14ac:dyDescent="0.3">
      <c r="A39" s="10"/>
      <c r="B39" s="42" t="s">
        <v>208</v>
      </c>
      <c r="C39" s="43"/>
      <c r="D39" s="44"/>
      <c r="E39" s="34">
        <v>0</v>
      </c>
      <c r="F39" s="35" t="s">
        <v>61</v>
      </c>
      <c r="G39" s="36" t="str">
        <f t="shared" si="0"/>
        <v/>
      </c>
      <c r="H39" s="37" t="str">
        <f t="shared" si="1"/>
        <v/>
      </c>
      <c r="I39" s="54"/>
      <c r="J39" s="55"/>
    </row>
    <row r="40" spans="1:10" ht="39.9" customHeight="1" x14ac:dyDescent="0.3">
      <c r="A40" s="10"/>
      <c r="B40" s="42" t="s">
        <v>209</v>
      </c>
      <c r="C40" s="43"/>
      <c r="D40" s="44"/>
      <c r="E40" s="34">
        <v>0</v>
      </c>
      <c r="F40" s="35" t="s">
        <v>61</v>
      </c>
      <c r="G40" s="36" t="str">
        <f t="shared" si="0"/>
        <v/>
      </c>
      <c r="H40" s="37" t="str">
        <f t="shared" si="1"/>
        <v/>
      </c>
      <c r="I40" s="54"/>
      <c r="J40" s="55"/>
    </row>
    <row r="41" spans="1:10" ht="30" customHeight="1" x14ac:dyDescent="0.3">
      <c r="A41" s="10"/>
      <c r="B41" s="42" t="s">
        <v>210</v>
      </c>
      <c r="C41" s="43"/>
      <c r="D41" s="44"/>
      <c r="E41" s="34">
        <v>0</v>
      </c>
      <c r="F41" s="35" t="s">
        <v>61</v>
      </c>
      <c r="G41" s="36" t="str">
        <f t="shared" si="0"/>
        <v/>
      </c>
      <c r="H41" s="37" t="str">
        <f t="shared" si="1"/>
        <v/>
      </c>
      <c r="I41" s="54"/>
      <c r="J41" s="55"/>
    </row>
    <row r="42" spans="1:10" ht="30" customHeight="1" x14ac:dyDescent="0.3">
      <c r="A42" s="10"/>
      <c r="B42" s="42" t="s">
        <v>211</v>
      </c>
      <c r="C42" s="43"/>
      <c r="D42" s="44"/>
      <c r="E42" s="34">
        <v>0</v>
      </c>
      <c r="F42" s="35" t="s">
        <v>61</v>
      </c>
      <c r="G42" s="36" t="str">
        <f t="shared" si="0"/>
        <v/>
      </c>
      <c r="H42" s="37" t="str">
        <f t="shared" si="1"/>
        <v/>
      </c>
      <c r="I42" s="54"/>
      <c r="J42" s="55"/>
    </row>
    <row r="43" spans="1:10" ht="30" customHeight="1" x14ac:dyDescent="0.3">
      <c r="A43" s="10"/>
      <c r="B43" s="42" t="s">
        <v>212</v>
      </c>
      <c r="C43" s="43"/>
      <c r="D43" s="44"/>
      <c r="E43" s="34">
        <v>0</v>
      </c>
      <c r="F43" s="35" t="s">
        <v>61</v>
      </c>
      <c r="G43" s="36" t="str">
        <f t="shared" si="0"/>
        <v/>
      </c>
      <c r="H43" s="37" t="str">
        <f t="shared" si="1"/>
        <v/>
      </c>
      <c r="I43" s="54"/>
      <c r="J43" s="55"/>
    </row>
    <row r="44" spans="1:10" ht="30" customHeight="1" x14ac:dyDescent="0.3">
      <c r="A44" s="10"/>
      <c r="B44" s="42" t="s">
        <v>213</v>
      </c>
      <c r="C44" s="43"/>
      <c r="D44" s="44"/>
      <c r="E44" s="34">
        <v>0</v>
      </c>
      <c r="F44" s="35" t="s">
        <v>61</v>
      </c>
      <c r="G44" s="36" t="str">
        <f t="shared" si="0"/>
        <v/>
      </c>
      <c r="H44" s="37" t="str">
        <f t="shared" si="1"/>
        <v/>
      </c>
      <c r="I44" s="54"/>
      <c r="J44" s="55"/>
    </row>
    <row r="45" spans="1:10" ht="30" customHeight="1" x14ac:dyDescent="0.3">
      <c r="A45" s="10"/>
      <c r="B45" s="42" t="s">
        <v>214</v>
      </c>
      <c r="C45" s="43"/>
      <c r="D45" s="44"/>
      <c r="E45" s="34">
        <v>0</v>
      </c>
      <c r="F45" s="35" t="s">
        <v>61</v>
      </c>
      <c r="G45" s="36" t="str">
        <f t="shared" si="0"/>
        <v/>
      </c>
      <c r="H45" s="37" t="str">
        <f t="shared" si="1"/>
        <v/>
      </c>
      <c r="I45" s="54"/>
      <c r="J45" s="55"/>
    </row>
    <row r="46" spans="1:10" ht="39.9" customHeight="1" thickBot="1" x14ac:dyDescent="0.35">
      <c r="A46" s="10"/>
      <c r="B46" s="45" t="s">
        <v>215</v>
      </c>
      <c r="C46" s="46"/>
      <c r="D46" s="47"/>
      <c r="E46" s="38">
        <v>0</v>
      </c>
      <c r="F46" s="39" t="s">
        <v>61</v>
      </c>
      <c r="G46" s="40" t="str">
        <f t="shared" si="0"/>
        <v/>
      </c>
      <c r="H46" s="41" t="str">
        <f t="shared" si="1"/>
        <v/>
      </c>
      <c r="I46" s="65"/>
      <c r="J46" s="66"/>
    </row>
    <row r="47" spans="1:10" ht="30" customHeight="1" x14ac:dyDescent="0.3">
      <c r="A47" s="10"/>
      <c r="B47" s="51" t="s">
        <v>216</v>
      </c>
      <c r="C47" s="52"/>
      <c r="D47" s="53"/>
      <c r="E47" s="30"/>
      <c r="F47" s="31"/>
      <c r="G47" s="32"/>
      <c r="H47" s="33"/>
      <c r="I47" s="58"/>
      <c r="J47" s="59"/>
    </row>
    <row r="48" spans="1:10" ht="39.9" customHeight="1" x14ac:dyDescent="0.3">
      <c r="A48" s="10"/>
      <c r="B48" s="42" t="s">
        <v>217</v>
      </c>
      <c r="C48" s="43"/>
      <c r="D48" s="44"/>
      <c r="E48" s="34">
        <v>10</v>
      </c>
      <c r="F48" s="35">
        <v>8.5</v>
      </c>
      <c r="G48" s="36">
        <f t="shared" si="0"/>
        <v>0.85</v>
      </c>
      <c r="H48" s="37" t="str">
        <f t="shared" si="1"/>
        <v>جيد جداً</v>
      </c>
      <c r="I48" s="54"/>
      <c r="J48" s="55"/>
    </row>
    <row r="49" spans="1:10" ht="39.9" customHeight="1" x14ac:dyDescent="0.3">
      <c r="A49" s="10"/>
      <c r="B49" s="42" t="s">
        <v>218</v>
      </c>
      <c r="C49" s="43"/>
      <c r="D49" s="44"/>
      <c r="E49" s="34">
        <v>10</v>
      </c>
      <c r="F49" s="35">
        <v>8</v>
      </c>
      <c r="G49" s="36">
        <f t="shared" si="0"/>
        <v>0.8</v>
      </c>
      <c r="H49" s="37" t="str">
        <f t="shared" si="1"/>
        <v>جيد جداً</v>
      </c>
      <c r="I49" s="54"/>
      <c r="J49" s="55"/>
    </row>
    <row r="50" spans="1:10" ht="39.9" customHeight="1" x14ac:dyDescent="0.3">
      <c r="A50" s="10"/>
      <c r="B50" s="42" t="s">
        <v>219</v>
      </c>
      <c r="C50" s="43"/>
      <c r="D50" s="44"/>
      <c r="E50" s="34">
        <v>8</v>
      </c>
      <c r="F50" s="35">
        <v>6.75</v>
      </c>
      <c r="G50" s="36">
        <f t="shared" si="0"/>
        <v>0.84375</v>
      </c>
      <c r="H50" s="37" t="str">
        <f t="shared" si="1"/>
        <v>جيد جداً</v>
      </c>
      <c r="I50" s="54"/>
      <c r="J50" s="55"/>
    </row>
    <row r="51" spans="1:10" ht="39.9" customHeight="1" x14ac:dyDescent="0.3">
      <c r="A51" s="10"/>
      <c r="B51" s="42" t="s">
        <v>220</v>
      </c>
      <c r="C51" s="43"/>
      <c r="D51" s="44"/>
      <c r="E51" s="34">
        <v>8</v>
      </c>
      <c r="F51" s="35">
        <v>7</v>
      </c>
      <c r="G51" s="36">
        <f t="shared" si="0"/>
        <v>0.875</v>
      </c>
      <c r="H51" s="37" t="str">
        <f t="shared" si="1"/>
        <v>جيد جداً</v>
      </c>
      <c r="I51" s="54"/>
      <c r="J51" s="55"/>
    </row>
    <row r="52" spans="1:10" ht="30" customHeight="1" x14ac:dyDescent="0.3">
      <c r="A52" s="10"/>
      <c r="B52" s="42" t="s">
        <v>221</v>
      </c>
      <c r="C52" s="43"/>
      <c r="D52" s="44"/>
      <c r="E52" s="34">
        <v>8</v>
      </c>
      <c r="F52" s="35">
        <v>6.75</v>
      </c>
      <c r="G52" s="36">
        <f t="shared" si="0"/>
        <v>0.84375</v>
      </c>
      <c r="H52" s="37" t="str">
        <f t="shared" si="1"/>
        <v>جيد جداً</v>
      </c>
      <c r="I52" s="54"/>
      <c r="J52" s="55"/>
    </row>
    <row r="53" spans="1:10" ht="30" customHeight="1" thickBot="1" x14ac:dyDescent="0.35">
      <c r="A53" s="10"/>
      <c r="B53" s="45" t="s">
        <v>222</v>
      </c>
      <c r="C53" s="46"/>
      <c r="D53" s="47"/>
      <c r="E53" s="38">
        <v>8</v>
      </c>
      <c r="F53" s="39">
        <v>7</v>
      </c>
      <c r="G53" s="40">
        <f t="shared" si="0"/>
        <v>0.875</v>
      </c>
      <c r="H53" s="41" t="str">
        <f t="shared" si="1"/>
        <v>جيد جداً</v>
      </c>
      <c r="I53" s="65"/>
      <c r="J53" s="66"/>
    </row>
    <row r="54" spans="1:10" ht="30" customHeight="1" x14ac:dyDescent="0.3">
      <c r="A54" s="10"/>
      <c r="B54" s="51" t="s">
        <v>223</v>
      </c>
      <c r="C54" s="52"/>
      <c r="D54" s="53"/>
      <c r="E54" s="30"/>
      <c r="F54" s="31"/>
      <c r="G54" s="32"/>
      <c r="H54" s="33"/>
      <c r="I54" s="58"/>
      <c r="J54" s="59"/>
    </row>
    <row r="55" spans="1:10" ht="39.9" customHeight="1" x14ac:dyDescent="0.3">
      <c r="A55" s="10"/>
      <c r="B55" s="42" t="s">
        <v>224</v>
      </c>
      <c r="C55" s="43"/>
      <c r="D55" s="44"/>
      <c r="E55" s="34">
        <v>10</v>
      </c>
      <c r="F55" s="35">
        <v>7</v>
      </c>
      <c r="G55" s="36">
        <f t="shared" si="0"/>
        <v>0.7</v>
      </c>
      <c r="H55" s="37" t="str">
        <f t="shared" si="1"/>
        <v>جيد</v>
      </c>
      <c r="I55" s="54"/>
      <c r="J55" s="55"/>
    </row>
    <row r="56" spans="1:10" ht="30" customHeight="1" x14ac:dyDescent="0.3">
      <c r="A56" s="10"/>
      <c r="B56" s="42" t="s">
        <v>225</v>
      </c>
      <c r="C56" s="43"/>
      <c r="D56" s="44"/>
      <c r="E56" s="34">
        <v>8</v>
      </c>
      <c r="F56" s="35">
        <v>6.25</v>
      </c>
      <c r="G56" s="36">
        <f t="shared" si="0"/>
        <v>0.78125</v>
      </c>
      <c r="H56" s="37" t="str">
        <f t="shared" si="1"/>
        <v>جيد</v>
      </c>
      <c r="I56" s="54"/>
      <c r="J56" s="55"/>
    </row>
    <row r="57" spans="1:10" ht="30" customHeight="1" x14ac:dyDescent="0.3">
      <c r="A57" s="10"/>
      <c r="B57" s="42" t="s">
        <v>226</v>
      </c>
      <c r="C57" s="43"/>
      <c r="D57" s="44"/>
      <c r="E57" s="34">
        <v>8</v>
      </c>
      <c r="F57" s="35">
        <v>6.5</v>
      </c>
      <c r="G57" s="36">
        <f t="shared" si="0"/>
        <v>0.8125</v>
      </c>
      <c r="H57" s="37" t="str">
        <f t="shared" si="1"/>
        <v>جيد جداً</v>
      </c>
      <c r="I57" s="54"/>
      <c r="J57" s="55"/>
    </row>
    <row r="58" spans="1:10" ht="30" customHeight="1" thickBot="1" x14ac:dyDescent="0.35">
      <c r="A58" s="10"/>
      <c r="B58" s="45" t="s">
        <v>227</v>
      </c>
      <c r="C58" s="46"/>
      <c r="D58" s="47"/>
      <c r="E58" s="38">
        <v>8</v>
      </c>
      <c r="F58" s="39">
        <v>7</v>
      </c>
      <c r="G58" s="40">
        <f t="shared" si="0"/>
        <v>0.875</v>
      </c>
      <c r="H58" s="41" t="str">
        <f t="shared" si="1"/>
        <v>جيد جداً</v>
      </c>
      <c r="I58" s="65"/>
      <c r="J58" s="66"/>
    </row>
    <row r="59" spans="1:10" ht="30" customHeight="1" x14ac:dyDescent="0.3">
      <c r="A59" s="10"/>
      <c r="B59" s="51" t="s">
        <v>228</v>
      </c>
      <c r="C59" s="52"/>
      <c r="D59" s="53"/>
      <c r="E59" s="30"/>
      <c r="F59" s="31"/>
      <c r="G59" s="32"/>
      <c r="H59" s="33"/>
      <c r="I59" s="58"/>
      <c r="J59" s="59"/>
    </row>
    <row r="60" spans="1:10" ht="30" customHeight="1" x14ac:dyDescent="0.3">
      <c r="A60" s="10"/>
      <c r="B60" s="42" t="s">
        <v>229</v>
      </c>
      <c r="C60" s="43"/>
      <c r="D60" s="44"/>
      <c r="E60" s="34">
        <v>5</v>
      </c>
      <c r="F60" s="35">
        <v>4</v>
      </c>
      <c r="G60" s="36">
        <f t="shared" si="0"/>
        <v>0.8</v>
      </c>
      <c r="H60" s="37" t="str">
        <f t="shared" si="1"/>
        <v>جيد جداً</v>
      </c>
      <c r="I60" s="54"/>
      <c r="J60" s="55"/>
    </row>
    <row r="61" spans="1:10" ht="30" customHeight="1" x14ac:dyDescent="0.3">
      <c r="A61" s="10"/>
      <c r="B61" s="42" t="s">
        <v>230</v>
      </c>
      <c r="C61" s="43"/>
      <c r="D61" s="44"/>
      <c r="E61" s="34">
        <v>5</v>
      </c>
      <c r="F61" s="35">
        <v>4</v>
      </c>
      <c r="G61" s="36">
        <f t="shared" si="0"/>
        <v>0.8</v>
      </c>
      <c r="H61" s="37" t="str">
        <f t="shared" si="1"/>
        <v>جيد جداً</v>
      </c>
      <c r="I61" s="54"/>
      <c r="J61" s="55"/>
    </row>
    <row r="62" spans="1:10" ht="30" customHeight="1" x14ac:dyDescent="0.3">
      <c r="A62" s="10"/>
      <c r="B62" s="42" t="s">
        <v>231</v>
      </c>
      <c r="C62" s="43"/>
      <c r="D62" s="44"/>
      <c r="E62" s="34">
        <v>5</v>
      </c>
      <c r="F62" s="35">
        <v>4.25</v>
      </c>
      <c r="G62" s="36">
        <f t="shared" si="0"/>
        <v>0.85</v>
      </c>
      <c r="H62" s="37" t="str">
        <f t="shared" si="1"/>
        <v>جيد جداً</v>
      </c>
      <c r="I62" s="54"/>
      <c r="J62" s="55"/>
    </row>
    <row r="63" spans="1:10" ht="30" customHeight="1" x14ac:dyDescent="0.3">
      <c r="A63" s="10"/>
      <c r="B63" s="42" t="s">
        <v>232</v>
      </c>
      <c r="C63" s="43"/>
      <c r="D63" s="44"/>
      <c r="E63" s="34">
        <v>5</v>
      </c>
      <c r="F63" s="35">
        <v>4.25</v>
      </c>
      <c r="G63" s="36">
        <f t="shared" si="0"/>
        <v>0.85</v>
      </c>
      <c r="H63" s="37" t="str">
        <f t="shared" si="1"/>
        <v>جيد جداً</v>
      </c>
      <c r="I63" s="54"/>
      <c r="J63" s="55"/>
    </row>
    <row r="64" spans="1:10" ht="30" customHeight="1" x14ac:dyDescent="0.3">
      <c r="A64" s="10"/>
      <c r="B64" s="42" t="s">
        <v>233</v>
      </c>
      <c r="C64" s="43"/>
      <c r="D64" s="44"/>
      <c r="E64" s="34">
        <v>5</v>
      </c>
      <c r="F64" s="35">
        <v>3.75</v>
      </c>
      <c r="G64" s="36">
        <f t="shared" si="0"/>
        <v>0.75</v>
      </c>
      <c r="H64" s="37" t="str">
        <f t="shared" si="1"/>
        <v>جيد</v>
      </c>
      <c r="I64" s="54"/>
      <c r="J64" s="55"/>
    </row>
    <row r="65" spans="1:10" ht="30" customHeight="1" x14ac:dyDescent="0.3">
      <c r="A65" s="10"/>
      <c r="B65" s="42" t="s">
        <v>234</v>
      </c>
      <c r="C65" s="43"/>
      <c r="D65" s="44"/>
      <c r="E65" s="34">
        <v>5</v>
      </c>
      <c r="F65" s="35">
        <v>3.5</v>
      </c>
      <c r="G65" s="36">
        <f t="shared" si="0"/>
        <v>0.7</v>
      </c>
      <c r="H65" s="37" t="str">
        <f t="shared" si="1"/>
        <v>جيد</v>
      </c>
      <c r="I65" s="54"/>
      <c r="J65" s="55"/>
    </row>
    <row r="66" spans="1:10" ht="30" customHeight="1" x14ac:dyDescent="0.3">
      <c r="A66" s="10"/>
      <c r="B66" s="42" t="s">
        <v>235</v>
      </c>
      <c r="C66" s="43"/>
      <c r="D66" s="44"/>
      <c r="E66" s="34">
        <v>5</v>
      </c>
      <c r="F66" s="35">
        <v>3.5</v>
      </c>
      <c r="G66" s="36">
        <f t="shared" si="0"/>
        <v>0.7</v>
      </c>
      <c r="H66" s="37" t="str">
        <f t="shared" si="1"/>
        <v>جيد</v>
      </c>
      <c r="I66" s="54"/>
      <c r="J66" s="55"/>
    </row>
    <row r="67" spans="1:10" ht="30" customHeight="1" x14ac:dyDescent="0.3">
      <c r="A67" s="10"/>
      <c r="B67" s="42" t="s">
        <v>236</v>
      </c>
      <c r="C67" s="43"/>
      <c r="D67" s="44"/>
      <c r="E67" s="34">
        <v>5</v>
      </c>
      <c r="F67" s="35">
        <v>3.75</v>
      </c>
      <c r="G67" s="36">
        <f t="shared" si="0"/>
        <v>0.75</v>
      </c>
      <c r="H67" s="37" t="str">
        <f t="shared" si="1"/>
        <v>جيد</v>
      </c>
      <c r="I67" s="54"/>
      <c r="J67" s="55"/>
    </row>
    <row r="68" spans="1:10" ht="30" customHeight="1" x14ac:dyDescent="0.3">
      <c r="A68" s="10"/>
      <c r="B68" s="42" t="s">
        <v>237</v>
      </c>
      <c r="C68" s="43"/>
      <c r="D68" s="44"/>
      <c r="E68" s="34">
        <v>5</v>
      </c>
      <c r="F68" s="35">
        <v>3.75</v>
      </c>
      <c r="G68" s="36">
        <f t="shared" si="0"/>
        <v>0.75</v>
      </c>
      <c r="H68" s="37" t="str">
        <f t="shared" si="1"/>
        <v>جيد</v>
      </c>
      <c r="I68" s="54"/>
      <c r="J68" s="55"/>
    </row>
    <row r="69" spans="1:10" ht="30" customHeight="1" x14ac:dyDescent="0.3">
      <c r="A69" s="10"/>
      <c r="B69" s="42" t="s">
        <v>238</v>
      </c>
      <c r="C69" s="43"/>
      <c r="D69" s="44"/>
      <c r="E69" s="34">
        <v>5</v>
      </c>
      <c r="F69" s="35">
        <v>4</v>
      </c>
      <c r="G69" s="36">
        <f t="shared" si="0"/>
        <v>0.8</v>
      </c>
      <c r="H69" s="37" t="str">
        <f t="shared" si="1"/>
        <v>جيد جداً</v>
      </c>
      <c r="I69" s="54"/>
      <c r="J69" s="55"/>
    </row>
    <row r="70" spans="1:10" ht="30" customHeight="1" x14ac:dyDescent="0.3">
      <c r="A70" s="10"/>
      <c r="B70" s="42" t="s">
        <v>239</v>
      </c>
      <c r="C70" s="43"/>
      <c r="D70" s="44"/>
      <c r="E70" s="34">
        <v>5</v>
      </c>
      <c r="F70" s="35">
        <v>3.75</v>
      </c>
      <c r="G70" s="36">
        <f t="shared" si="0"/>
        <v>0.75</v>
      </c>
      <c r="H70" s="37" t="str">
        <f t="shared" si="1"/>
        <v>جيد</v>
      </c>
      <c r="I70" s="54"/>
      <c r="J70" s="55"/>
    </row>
    <row r="71" spans="1:10" ht="30" customHeight="1" x14ac:dyDescent="0.3">
      <c r="A71" s="10"/>
      <c r="B71" s="42" t="s">
        <v>240</v>
      </c>
      <c r="C71" s="43"/>
      <c r="D71" s="44"/>
      <c r="E71" s="34">
        <v>5</v>
      </c>
      <c r="F71" s="35">
        <v>3.75</v>
      </c>
      <c r="G71" s="36">
        <f t="shared" si="0"/>
        <v>0.75</v>
      </c>
      <c r="H71" s="37" t="str">
        <f t="shared" si="1"/>
        <v>جيد</v>
      </c>
      <c r="I71" s="54"/>
      <c r="J71" s="55"/>
    </row>
    <row r="72" spans="1:10" ht="30" customHeight="1" x14ac:dyDescent="0.3">
      <c r="A72" s="10"/>
      <c r="B72" s="42" t="s">
        <v>241</v>
      </c>
      <c r="C72" s="43"/>
      <c r="D72" s="44"/>
      <c r="E72" s="34">
        <v>5</v>
      </c>
      <c r="F72" s="35">
        <v>4.25</v>
      </c>
      <c r="G72" s="36">
        <f t="shared" si="0"/>
        <v>0.85</v>
      </c>
      <c r="H72" s="37" t="str">
        <f t="shared" si="1"/>
        <v>جيد جداً</v>
      </c>
      <c r="I72" s="54"/>
      <c r="J72" s="55"/>
    </row>
    <row r="73" spans="1:10" ht="30" customHeight="1" thickBot="1" x14ac:dyDescent="0.35">
      <c r="A73" s="10"/>
      <c r="B73" s="45" t="s">
        <v>242</v>
      </c>
      <c r="C73" s="46"/>
      <c r="D73" s="47"/>
      <c r="E73" s="38">
        <v>5</v>
      </c>
      <c r="F73" s="39">
        <v>4</v>
      </c>
      <c r="G73" s="40">
        <f t="shared" si="0"/>
        <v>0.8</v>
      </c>
      <c r="H73" s="41" t="str">
        <f t="shared" si="1"/>
        <v>جيد جداً</v>
      </c>
      <c r="I73" s="65"/>
      <c r="J73" s="66"/>
    </row>
    <row r="74" spans="1:10" ht="30" customHeight="1" x14ac:dyDescent="0.3">
      <c r="A74" s="10"/>
      <c r="B74" s="51" t="s">
        <v>243</v>
      </c>
      <c r="C74" s="52"/>
      <c r="D74" s="53"/>
      <c r="E74" s="30"/>
      <c r="F74" s="31"/>
      <c r="G74" s="32"/>
      <c r="H74" s="33"/>
      <c r="I74" s="58"/>
      <c r="J74" s="59"/>
    </row>
    <row r="75" spans="1:10" ht="30" customHeight="1" x14ac:dyDescent="0.3">
      <c r="A75" s="10"/>
      <c r="B75" s="42" t="s">
        <v>244</v>
      </c>
      <c r="C75" s="43"/>
      <c r="D75" s="44"/>
      <c r="E75" s="34">
        <v>5</v>
      </c>
      <c r="F75" s="35">
        <v>3.5</v>
      </c>
      <c r="G75" s="36">
        <f t="shared" ref="G75:G92" si="2">IFERROR(F75/E75,"")</f>
        <v>0.7</v>
      </c>
      <c r="H75" s="37" t="str">
        <f t="shared" ref="H75:H92" si="3">_xlfn.IFS(F75="أدخل العلامة","",F75="لا ينطبق","تم الإلغاء",G75&gt;=90%,"ممتاز",G75&gt;=80%,"جيد جداً",G75&gt;=70%,"جيد",G75&gt;=60%,"مقبول",G75&lt;60%,"راسب")</f>
        <v>جيد</v>
      </c>
      <c r="I75" s="54"/>
      <c r="J75" s="55"/>
    </row>
    <row r="76" spans="1:10" ht="30" customHeight="1" x14ac:dyDescent="0.3">
      <c r="A76" s="10"/>
      <c r="B76" s="42" t="s">
        <v>245</v>
      </c>
      <c r="C76" s="43"/>
      <c r="D76" s="44"/>
      <c r="E76" s="34">
        <v>5</v>
      </c>
      <c r="F76" s="35">
        <v>3.75</v>
      </c>
      <c r="G76" s="36">
        <f t="shared" si="2"/>
        <v>0.75</v>
      </c>
      <c r="H76" s="37" t="str">
        <f t="shared" si="3"/>
        <v>جيد</v>
      </c>
      <c r="I76" s="54"/>
      <c r="J76" s="55"/>
    </row>
    <row r="77" spans="1:10" ht="30" customHeight="1" x14ac:dyDescent="0.3">
      <c r="A77" s="10"/>
      <c r="B77" s="42" t="s">
        <v>246</v>
      </c>
      <c r="C77" s="43"/>
      <c r="D77" s="44"/>
      <c r="E77" s="34">
        <v>5</v>
      </c>
      <c r="F77" s="35">
        <v>4</v>
      </c>
      <c r="G77" s="36">
        <f t="shared" si="2"/>
        <v>0.8</v>
      </c>
      <c r="H77" s="37" t="str">
        <f t="shared" si="3"/>
        <v>جيد جداً</v>
      </c>
      <c r="I77" s="54"/>
      <c r="J77" s="55"/>
    </row>
    <row r="78" spans="1:10" ht="30" customHeight="1" x14ac:dyDescent="0.3">
      <c r="A78" s="10"/>
      <c r="B78" s="42" t="s">
        <v>247</v>
      </c>
      <c r="C78" s="43"/>
      <c r="D78" s="44"/>
      <c r="E78" s="34">
        <v>5</v>
      </c>
      <c r="F78" s="35">
        <v>3.75</v>
      </c>
      <c r="G78" s="36">
        <f t="shared" si="2"/>
        <v>0.75</v>
      </c>
      <c r="H78" s="37" t="str">
        <f t="shared" si="3"/>
        <v>جيد</v>
      </c>
      <c r="I78" s="54"/>
      <c r="J78" s="55"/>
    </row>
    <row r="79" spans="1:10" ht="30" customHeight="1" x14ac:dyDescent="0.3">
      <c r="A79" s="10"/>
      <c r="B79" s="42" t="s">
        <v>248</v>
      </c>
      <c r="C79" s="43"/>
      <c r="D79" s="44"/>
      <c r="E79" s="34">
        <v>5</v>
      </c>
      <c r="F79" s="35">
        <v>3.5</v>
      </c>
      <c r="G79" s="36">
        <f t="shared" si="2"/>
        <v>0.7</v>
      </c>
      <c r="H79" s="37" t="str">
        <f t="shared" si="3"/>
        <v>جيد</v>
      </c>
      <c r="I79" s="54"/>
      <c r="J79" s="55"/>
    </row>
    <row r="80" spans="1:10" ht="30" customHeight="1" x14ac:dyDescent="0.3">
      <c r="A80" s="10"/>
      <c r="B80" s="42" t="s">
        <v>249</v>
      </c>
      <c r="C80" s="43"/>
      <c r="D80" s="44"/>
      <c r="E80" s="34">
        <v>5</v>
      </c>
      <c r="F80" s="35">
        <v>3.75</v>
      </c>
      <c r="G80" s="36">
        <f t="shared" si="2"/>
        <v>0.75</v>
      </c>
      <c r="H80" s="37" t="str">
        <f t="shared" si="3"/>
        <v>جيد</v>
      </c>
      <c r="I80" s="54"/>
      <c r="J80" s="55"/>
    </row>
    <row r="81" spans="1:10" ht="30" customHeight="1" x14ac:dyDescent="0.3">
      <c r="A81" s="10"/>
      <c r="B81" s="42" t="s">
        <v>250</v>
      </c>
      <c r="C81" s="43"/>
      <c r="D81" s="44"/>
      <c r="E81" s="34">
        <v>5</v>
      </c>
      <c r="F81" s="35">
        <v>3.75</v>
      </c>
      <c r="G81" s="36">
        <f t="shared" si="2"/>
        <v>0.75</v>
      </c>
      <c r="H81" s="37" t="str">
        <f t="shared" si="3"/>
        <v>جيد</v>
      </c>
      <c r="I81" s="54"/>
      <c r="J81" s="55"/>
    </row>
    <row r="82" spans="1:10" ht="30" customHeight="1" x14ac:dyDescent="0.3">
      <c r="A82" s="10"/>
      <c r="B82" s="42" t="s">
        <v>251</v>
      </c>
      <c r="C82" s="43"/>
      <c r="D82" s="44"/>
      <c r="E82" s="34">
        <v>5</v>
      </c>
      <c r="F82" s="35">
        <v>3.75</v>
      </c>
      <c r="G82" s="36">
        <f t="shared" si="2"/>
        <v>0.75</v>
      </c>
      <c r="H82" s="37" t="str">
        <f t="shared" si="3"/>
        <v>جيد</v>
      </c>
      <c r="I82" s="54"/>
      <c r="J82" s="55"/>
    </row>
    <row r="83" spans="1:10" ht="30" customHeight="1" x14ac:dyDescent="0.3">
      <c r="A83" s="10"/>
      <c r="B83" s="42" t="s">
        <v>252</v>
      </c>
      <c r="C83" s="43"/>
      <c r="D83" s="44"/>
      <c r="E83" s="34">
        <v>5</v>
      </c>
      <c r="F83" s="35">
        <v>4</v>
      </c>
      <c r="G83" s="36">
        <f t="shared" si="2"/>
        <v>0.8</v>
      </c>
      <c r="H83" s="37" t="str">
        <f t="shared" si="3"/>
        <v>جيد جداً</v>
      </c>
      <c r="I83" s="54"/>
      <c r="J83" s="55"/>
    </row>
    <row r="84" spans="1:10" ht="30" customHeight="1" x14ac:dyDescent="0.3">
      <c r="A84" s="10"/>
      <c r="B84" s="42" t="s">
        <v>253</v>
      </c>
      <c r="C84" s="43"/>
      <c r="D84" s="44"/>
      <c r="E84" s="34">
        <v>5</v>
      </c>
      <c r="F84" s="35">
        <v>3.5</v>
      </c>
      <c r="G84" s="36">
        <f t="shared" si="2"/>
        <v>0.7</v>
      </c>
      <c r="H84" s="37" t="str">
        <f t="shared" si="3"/>
        <v>جيد</v>
      </c>
      <c r="I84" s="54"/>
      <c r="J84" s="55"/>
    </row>
    <row r="85" spans="1:10" ht="30" customHeight="1" thickBot="1" x14ac:dyDescent="0.35">
      <c r="A85" s="10"/>
      <c r="B85" s="45" t="s">
        <v>254</v>
      </c>
      <c r="C85" s="46"/>
      <c r="D85" s="47"/>
      <c r="E85" s="38">
        <v>5</v>
      </c>
      <c r="F85" s="39">
        <v>3.75</v>
      </c>
      <c r="G85" s="40">
        <f t="shared" si="2"/>
        <v>0.75</v>
      </c>
      <c r="H85" s="41" t="str">
        <f t="shared" si="3"/>
        <v>جيد</v>
      </c>
      <c r="I85" s="65"/>
      <c r="J85" s="66"/>
    </row>
    <row r="86" spans="1:10" ht="30" customHeight="1" x14ac:dyDescent="0.3">
      <c r="A86" s="10"/>
      <c r="B86" s="51" t="s">
        <v>255</v>
      </c>
      <c r="C86" s="52"/>
      <c r="D86" s="53"/>
      <c r="E86" s="30"/>
      <c r="F86" s="31"/>
      <c r="G86" s="32"/>
      <c r="H86" s="33"/>
      <c r="I86" s="58"/>
      <c r="J86" s="59"/>
    </row>
    <row r="87" spans="1:10" ht="39.9" customHeight="1" x14ac:dyDescent="0.3">
      <c r="A87" s="10"/>
      <c r="B87" s="42" t="s">
        <v>256</v>
      </c>
      <c r="C87" s="43"/>
      <c r="D87" s="44"/>
      <c r="E87" s="34">
        <v>5</v>
      </c>
      <c r="F87" s="35">
        <v>4</v>
      </c>
      <c r="G87" s="36">
        <f t="shared" si="2"/>
        <v>0.8</v>
      </c>
      <c r="H87" s="37" t="str">
        <f t="shared" si="3"/>
        <v>جيد جداً</v>
      </c>
      <c r="I87" s="54"/>
      <c r="J87" s="55"/>
    </row>
    <row r="88" spans="1:10" ht="30" customHeight="1" x14ac:dyDescent="0.3">
      <c r="A88" s="10"/>
      <c r="B88" s="42" t="s">
        <v>257</v>
      </c>
      <c r="C88" s="43"/>
      <c r="D88" s="44"/>
      <c r="E88" s="34">
        <v>5</v>
      </c>
      <c r="F88" s="35">
        <v>4</v>
      </c>
      <c r="G88" s="36">
        <f t="shared" si="2"/>
        <v>0.8</v>
      </c>
      <c r="H88" s="37" t="str">
        <f t="shared" si="3"/>
        <v>جيد جداً</v>
      </c>
      <c r="I88" s="54"/>
      <c r="J88" s="55"/>
    </row>
    <row r="89" spans="1:10" ht="30" customHeight="1" x14ac:dyDescent="0.3">
      <c r="A89" s="10"/>
      <c r="B89" s="42" t="s">
        <v>258</v>
      </c>
      <c r="C89" s="43"/>
      <c r="D89" s="44"/>
      <c r="E89" s="34">
        <v>5</v>
      </c>
      <c r="F89" s="35">
        <v>3.75</v>
      </c>
      <c r="G89" s="36">
        <f t="shared" si="2"/>
        <v>0.75</v>
      </c>
      <c r="H89" s="37" t="str">
        <f t="shared" si="3"/>
        <v>جيد</v>
      </c>
      <c r="I89" s="54"/>
      <c r="J89" s="55"/>
    </row>
    <row r="90" spans="1:10" ht="39.9" customHeight="1" thickBot="1" x14ac:dyDescent="0.35">
      <c r="A90" s="10"/>
      <c r="B90" s="45" t="s">
        <v>259</v>
      </c>
      <c r="C90" s="46"/>
      <c r="D90" s="47"/>
      <c r="E90" s="38">
        <v>6</v>
      </c>
      <c r="F90" s="39">
        <v>4.25</v>
      </c>
      <c r="G90" s="40">
        <f t="shared" si="2"/>
        <v>0.70833333333333337</v>
      </c>
      <c r="H90" s="41" t="str">
        <f t="shared" si="3"/>
        <v>جيد</v>
      </c>
      <c r="I90" s="65"/>
      <c r="J90" s="66"/>
    </row>
    <row r="91" spans="1:10" ht="39.9" customHeight="1" thickBot="1" x14ac:dyDescent="0.35">
      <c r="A91" s="10"/>
      <c r="B91" s="48" t="s">
        <v>260</v>
      </c>
      <c r="C91" s="49"/>
      <c r="D91" s="50"/>
      <c r="E91" s="9">
        <v>8</v>
      </c>
      <c r="F91" s="28">
        <v>6.75</v>
      </c>
      <c r="G91" s="29">
        <f t="shared" si="2"/>
        <v>0.84375</v>
      </c>
      <c r="H91" s="27" t="str">
        <f t="shared" si="3"/>
        <v>جيد جداً</v>
      </c>
      <c r="I91" s="56"/>
      <c r="J91" s="57"/>
    </row>
    <row r="92" spans="1:10" ht="30" customHeight="1" thickBot="1" x14ac:dyDescent="0.35">
      <c r="A92" s="10"/>
      <c r="B92" s="48" t="s">
        <v>261</v>
      </c>
      <c r="C92" s="49"/>
      <c r="D92" s="50"/>
      <c r="E92" s="9">
        <v>8</v>
      </c>
      <c r="F92" s="28">
        <v>6.75</v>
      </c>
      <c r="G92" s="29">
        <f t="shared" si="2"/>
        <v>0.84375</v>
      </c>
      <c r="H92" s="27" t="str">
        <f t="shared" si="3"/>
        <v>جيد جداً</v>
      </c>
      <c r="I92" s="56"/>
      <c r="J92" s="57"/>
    </row>
    <row r="93" spans="1:10" ht="30" customHeight="1" thickBot="1" x14ac:dyDescent="0.35">
      <c r="A93" s="4"/>
      <c r="B93" s="90" t="s">
        <v>5</v>
      </c>
      <c r="C93" s="82"/>
      <c r="D93" s="82"/>
      <c r="E93" s="9">
        <f>SUM(E8:E92)</f>
        <v>248</v>
      </c>
      <c r="F93" s="9">
        <f>SUM(F8:F92)</f>
        <v>195.75</v>
      </c>
      <c r="G93" s="62"/>
      <c r="H93" s="63"/>
      <c r="I93" s="63"/>
      <c r="J93" s="64"/>
    </row>
    <row r="94" spans="1:10" ht="30" customHeight="1" thickBot="1" x14ac:dyDescent="0.35">
      <c r="A94" s="4"/>
      <c r="B94" s="90" t="s">
        <v>54</v>
      </c>
      <c r="C94" s="82"/>
      <c r="D94" s="82"/>
      <c r="E94" s="74">
        <f>F93/E93/100*100</f>
        <v>0.78931451612903225</v>
      </c>
      <c r="F94" s="74"/>
      <c r="G94" s="74"/>
      <c r="H94" s="74"/>
      <c r="I94" s="74"/>
      <c r="J94" s="75"/>
    </row>
    <row r="95" spans="1:10" ht="30" customHeight="1" thickBot="1" x14ac:dyDescent="0.35">
      <c r="A95" s="4"/>
      <c r="B95" s="90" t="s">
        <v>55</v>
      </c>
      <c r="C95" s="82"/>
      <c r="D95" s="82"/>
      <c r="E95" s="88" t="str">
        <f>_xlfn.IFS(E94&gt;=90%,"ممتاز",E94&gt;=80%,"جيد جداً",E94&gt;=70%,"جيد",E94&gt;=60%,"مقبول",E94&lt;60%,"راسب")</f>
        <v>جيد</v>
      </c>
      <c r="F95" s="88"/>
      <c r="G95" s="88"/>
      <c r="H95" s="88"/>
      <c r="I95" s="88"/>
      <c r="J95" s="89"/>
    </row>
    <row r="96" spans="1:10" ht="42" customHeight="1" x14ac:dyDescent="0.3">
      <c r="B96" s="84" t="s">
        <v>174</v>
      </c>
      <c r="C96" s="84"/>
      <c r="D96" s="84"/>
      <c r="E96" s="60" t="s">
        <v>52</v>
      </c>
      <c r="F96" s="60"/>
      <c r="G96" s="86" t="s">
        <v>141</v>
      </c>
      <c r="H96" s="86"/>
      <c r="I96" s="86"/>
      <c r="J96" s="86"/>
    </row>
    <row r="97" spans="1:10" ht="51" customHeight="1" x14ac:dyDescent="0.3">
      <c r="A97" s="5"/>
      <c r="B97" s="85"/>
      <c r="C97" s="85"/>
      <c r="D97" s="85"/>
      <c r="E97" s="61" t="s">
        <v>53</v>
      </c>
      <c r="F97" s="61"/>
      <c r="G97" s="87"/>
      <c r="H97" s="87"/>
      <c r="I97" s="87"/>
      <c r="J97" s="87"/>
    </row>
  </sheetData>
  <sheetProtection formatCells="0" formatColumns="0" formatRows="0" insertColumns="0" insertRows="0" insertHyperlinks="0" deleteColumns="0" deleteRows="0" selectLockedCells="1" sort="0" autoFilter="0" pivotTables="0"/>
  <mergeCells count="191">
    <mergeCell ref="I8:J8"/>
    <mergeCell ref="B93:D93"/>
    <mergeCell ref="B94:D94"/>
    <mergeCell ref="B95:D95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59:J59"/>
    <mergeCell ref="I60:J60"/>
    <mergeCell ref="I61:J61"/>
    <mergeCell ref="I89:J89"/>
    <mergeCell ref="I9:J9"/>
    <mergeCell ref="I79:J79"/>
    <mergeCell ref="I19:J19"/>
    <mergeCell ref="I20:J20"/>
    <mergeCell ref="I21:J21"/>
    <mergeCell ref="I22:J22"/>
    <mergeCell ref="B96:D97"/>
    <mergeCell ref="G96:J96"/>
    <mergeCell ref="G97:J97"/>
    <mergeCell ref="E95:J95"/>
    <mergeCell ref="I40:J40"/>
    <mergeCell ref="I41:J41"/>
    <mergeCell ref="I42:J42"/>
    <mergeCell ref="I43:J43"/>
    <mergeCell ref="I44:J44"/>
    <mergeCell ref="I80:J80"/>
    <mergeCell ref="I81:J81"/>
    <mergeCell ref="I82:J82"/>
    <mergeCell ref="I83:J83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92:J92"/>
    <mergeCell ref="B1:J1"/>
    <mergeCell ref="F2:J2"/>
    <mergeCell ref="B5:D6"/>
    <mergeCell ref="C2:D2"/>
    <mergeCell ref="C3:D3"/>
    <mergeCell ref="F3:J3"/>
    <mergeCell ref="E94:J94"/>
    <mergeCell ref="B7:D7"/>
    <mergeCell ref="I38:J38"/>
    <mergeCell ref="I39:J39"/>
    <mergeCell ref="I84:J84"/>
    <mergeCell ref="I85:J85"/>
    <mergeCell ref="I86:J86"/>
    <mergeCell ref="I87:J87"/>
    <mergeCell ref="I88:J88"/>
    <mergeCell ref="I90:J90"/>
    <mergeCell ref="I91:J91"/>
    <mergeCell ref="I30:J30"/>
    <mergeCell ref="I31:J31"/>
    <mergeCell ref="E5:H5"/>
    <mergeCell ref="I37:J37"/>
    <mergeCell ref="I5:J6"/>
    <mergeCell ref="I7:J7"/>
    <mergeCell ref="I10:J10"/>
    <mergeCell ref="E96:F96"/>
    <mergeCell ref="E97:F97"/>
    <mergeCell ref="G93:J93"/>
    <mergeCell ref="I45:J45"/>
    <mergeCell ref="I46:J46"/>
    <mergeCell ref="I47:J47"/>
    <mergeCell ref="I48:J48"/>
    <mergeCell ref="I62:J62"/>
    <mergeCell ref="I63:J63"/>
    <mergeCell ref="I64:J64"/>
    <mergeCell ref="I65:J65"/>
    <mergeCell ref="I66:J66"/>
    <mergeCell ref="I67:J67"/>
    <mergeCell ref="I68:J68"/>
    <mergeCell ref="I69:J69"/>
    <mergeCell ref="I70:J70"/>
    <mergeCell ref="I71:J71"/>
    <mergeCell ref="I72:J72"/>
    <mergeCell ref="I73:J73"/>
    <mergeCell ref="I74:J74"/>
    <mergeCell ref="I75:J75"/>
    <mergeCell ref="I76:J76"/>
    <mergeCell ref="I77:J77"/>
    <mergeCell ref="I78:J78"/>
    <mergeCell ref="I23:J23"/>
    <mergeCell ref="I24:J24"/>
    <mergeCell ref="I25:J25"/>
    <mergeCell ref="I26:J26"/>
    <mergeCell ref="I27:J27"/>
    <mergeCell ref="I32:J32"/>
    <mergeCell ref="I33:J33"/>
    <mergeCell ref="I34:J34"/>
    <mergeCell ref="I35:J35"/>
    <mergeCell ref="I36:J36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B55:D55"/>
    <mergeCell ref="B56:D56"/>
    <mergeCell ref="B57:D57"/>
    <mergeCell ref="B58:D58"/>
    <mergeCell ref="B59:D59"/>
    <mergeCell ref="B60:D60"/>
    <mergeCell ref="B61:D61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71:D71"/>
    <mergeCell ref="B72:D72"/>
    <mergeCell ref="B73:D73"/>
    <mergeCell ref="B74:D74"/>
    <mergeCell ref="B75:D75"/>
    <mergeCell ref="B76:D76"/>
    <mergeCell ref="B77:D77"/>
    <mergeCell ref="B78:D78"/>
    <mergeCell ref="B79:D79"/>
    <mergeCell ref="B89:D89"/>
    <mergeCell ref="B90:D90"/>
    <mergeCell ref="B91:D91"/>
    <mergeCell ref="B92:D92"/>
    <mergeCell ref="B80:D80"/>
    <mergeCell ref="B81:D81"/>
    <mergeCell ref="B82:D82"/>
    <mergeCell ref="B83:D83"/>
    <mergeCell ref="B84:D84"/>
    <mergeCell ref="B85:D85"/>
    <mergeCell ref="B86:D86"/>
    <mergeCell ref="B87:D87"/>
    <mergeCell ref="B88:D88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95">
    <cfRule type="expression" dxfId="14" priority="57">
      <formula>$E95="راسب"</formula>
    </cfRule>
  </conditionalFormatting>
  <conditionalFormatting sqref="E95:J95">
    <cfRule type="expression" dxfId="13" priority="58">
      <formula>$E95="مقبول"</formula>
    </cfRule>
    <cfRule type="expression" dxfId="12" priority="59">
      <formula>$E95="جيد"</formula>
    </cfRule>
    <cfRule type="expression" dxfId="11" priority="60">
      <formula>$E95="جيد جداً"</formula>
    </cfRule>
    <cfRule type="expression" dxfId="10" priority="61">
      <formula>$E95="ممتاز"</formula>
    </cfRule>
  </conditionalFormatting>
  <conditionalFormatting sqref="F8:F92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96:J96">
    <cfRule type="containsText" dxfId="6" priority="15" operator="containsText" text="أدخل اسم المحكم">
      <formula>NOT(ISERROR(SEARCH("أدخل اسم المحكم",G96)))</formula>
    </cfRule>
  </conditionalFormatting>
  <conditionalFormatting sqref="H8:H92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rowBreaks count="1" manualBreakCount="1">
    <brk id="32" max="9" man="1"/>
  </rowBreaks>
  <drawing r:id="rId2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F15:F17 F75:F85 F60:F73 F32 F87:F89 F23:F29 F21 F13 F10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G96:J96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  <x14:dataValidation type="list" allowBlank="1" showInputMessage="1" showErrorMessage="1" xr:uid="{8D4D43B9-DD7F-460A-8835-21D9C8972F3E}">
          <x14:formula1>
            <xm:f>'بيانات التقييم'!$A$111:$A$153</xm:f>
          </x14:formula1>
          <xm:sqref>F8 F12 F14 F46 F48 F49 F55</xm:sqref>
        </x14:dataValidation>
        <x14:dataValidation type="list" allowBlank="1" showInputMessage="1" showErrorMessage="1" xr:uid="{7ECEABBE-C49A-47D7-824F-0D321C7BFC23}">
          <x14:formula1>
            <xm:f>'بيانات التقييم'!$A$111:$A$145</xm:f>
          </x14:formula1>
          <xm:sqref>F11 F19 F50 F51 F52 F53 F56 F57 F58 F91 F92</xm:sqref>
        </x14:dataValidation>
        <x14:dataValidation type="list" allowBlank="1" showInputMessage="1" showErrorMessage="1" xr:uid="{5C087469-F938-446E-BF86-01C65D256790}">
          <x14:formula1>
            <xm:f>'بيانات التقييم'!$A$111:$A$137</xm:f>
          </x14:formula1>
          <xm:sqref>F90 F45 F44 F43 F42 F41 F40 F39 F38 F37 F36 F35 F34 F31 F30 F20 F18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7" workbookViewId="0">
      <selection activeCell="C34" sqref="C3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0" t="s">
        <v>62</v>
      </c>
    </row>
    <row r="3" spans="1:3" ht="20.100000000000001" customHeight="1" thickBot="1" x14ac:dyDescent="0.35">
      <c r="A3" s="2" t="s">
        <v>26</v>
      </c>
      <c r="C3" s="20" t="s">
        <v>63</v>
      </c>
    </row>
    <row r="4" spans="1:3" ht="20.100000000000001" customHeight="1" thickBot="1" x14ac:dyDescent="0.35">
      <c r="A4" s="2" t="s">
        <v>36</v>
      </c>
      <c r="C4" s="20" t="s">
        <v>64</v>
      </c>
    </row>
    <row r="5" spans="1:3" ht="20.100000000000001" customHeight="1" thickBot="1" x14ac:dyDescent="0.35">
      <c r="A5" s="2" t="s">
        <v>37</v>
      </c>
      <c r="C5" s="20" t="s">
        <v>65</v>
      </c>
    </row>
    <row r="6" spans="1:3" ht="20.100000000000001" customHeight="1" thickBot="1" x14ac:dyDescent="0.35">
      <c r="A6" s="2" t="s">
        <v>38</v>
      </c>
      <c r="C6" s="20" t="s">
        <v>66</v>
      </c>
    </row>
    <row r="7" spans="1:3" ht="20.100000000000001" customHeight="1" thickBot="1" x14ac:dyDescent="0.35">
      <c r="A7" s="2" t="s">
        <v>39</v>
      </c>
      <c r="C7" s="20" t="s">
        <v>67</v>
      </c>
    </row>
    <row r="8" spans="1:3" ht="20.100000000000001" customHeight="1" thickBot="1" x14ac:dyDescent="0.35">
      <c r="A8" s="2" t="s">
        <v>40</v>
      </c>
      <c r="C8" s="20" t="s">
        <v>68</v>
      </c>
    </row>
    <row r="9" spans="1:3" ht="20.100000000000001" customHeight="1" thickBot="1" x14ac:dyDescent="0.35">
      <c r="A9" s="2" t="s">
        <v>41</v>
      </c>
      <c r="C9" s="20" t="s">
        <v>69</v>
      </c>
    </row>
    <row r="10" spans="1:3" ht="20.100000000000001" customHeight="1" thickBot="1" x14ac:dyDescent="0.35">
      <c r="A10" s="2" t="s">
        <v>42</v>
      </c>
      <c r="C10" s="20" t="s">
        <v>70</v>
      </c>
    </row>
    <row r="11" spans="1:3" ht="20.100000000000001" customHeight="1" thickBot="1" x14ac:dyDescent="0.35">
      <c r="A11" s="2" t="s">
        <v>43</v>
      </c>
      <c r="C11" s="20" t="s">
        <v>71</v>
      </c>
    </row>
    <row r="12" spans="1:3" ht="20.100000000000001" customHeight="1" thickBot="1" x14ac:dyDescent="0.35">
      <c r="A12" s="2" t="s">
        <v>44</v>
      </c>
      <c r="C12" s="20" t="s">
        <v>72</v>
      </c>
    </row>
    <row r="13" spans="1:3" ht="20.100000000000001" customHeight="1" thickBot="1" x14ac:dyDescent="0.35">
      <c r="A13" s="2" t="s">
        <v>45</v>
      </c>
      <c r="C13" s="20" t="s">
        <v>73</v>
      </c>
    </row>
    <row r="14" spans="1:3" ht="20.100000000000001" customHeight="1" thickBot="1" x14ac:dyDescent="0.35">
      <c r="A14" s="2" t="s">
        <v>46</v>
      </c>
      <c r="C14" s="20" t="s">
        <v>74</v>
      </c>
    </row>
    <row r="15" spans="1:3" ht="20.100000000000001" customHeight="1" thickBot="1" x14ac:dyDescent="0.35">
      <c r="A15" s="2" t="s">
        <v>47</v>
      </c>
      <c r="C15" s="20" t="s">
        <v>75</v>
      </c>
    </row>
    <row r="16" spans="1:3" ht="20.100000000000001" customHeight="1" thickBot="1" x14ac:dyDescent="0.35">
      <c r="A16" s="2" t="s">
        <v>10</v>
      </c>
      <c r="C16" s="20" t="s">
        <v>76</v>
      </c>
    </row>
    <row r="17" spans="1:3" ht="20.100000000000001" customHeight="1" thickBot="1" x14ac:dyDescent="0.35">
      <c r="A17" s="2" t="s">
        <v>27</v>
      </c>
      <c r="C17" s="20" t="s">
        <v>77</v>
      </c>
    </row>
    <row r="18" spans="1:3" ht="20.100000000000001" customHeight="1" thickBot="1" x14ac:dyDescent="0.35">
      <c r="A18" s="2" t="s">
        <v>48</v>
      </c>
      <c r="C18" s="20" t="s">
        <v>78</v>
      </c>
    </row>
    <row r="19" spans="1:3" ht="20.100000000000001" customHeight="1" thickBot="1" x14ac:dyDescent="0.35">
      <c r="A19" s="2" t="s">
        <v>49</v>
      </c>
      <c r="C19" s="20" t="s">
        <v>79</v>
      </c>
    </row>
    <row r="20" spans="1:3" ht="20.100000000000001" customHeight="1" thickBot="1" x14ac:dyDescent="0.35">
      <c r="A20" s="2" t="s">
        <v>50</v>
      </c>
      <c r="C20" s="20" t="s">
        <v>80</v>
      </c>
    </row>
    <row r="21" spans="1:3" ht="20.100000000000001" customHeight="1" thickBot="1" x14ac:dyDescent="0.35">
      <c r="A21" s="2" t="s">
        <v>51</v>
      </c>
      <c r="C21" s="20" t="s">
        <v>81</v>
      </c>
    </row>
    <row r="22" spans="1:3" ht="20.100000000000001" customHeight="1" thickBot="1" x14ac:dyDescent="0.35">
      <c r="A22" s="2" t="s">
        <v>11</v>
      </c>
      <c r="C22" s="20" t="s">
        <v>82</v>
      </c>
    </row>
    <row r="23" spans="1:3" ht="20.100000000000001" customHeight="1" thickBot="1" x14ac:dyDescent="0.35">
      <c r="A23" s="2" t="s">
        <v>12</v>
      </c>
      <c r="C23" s="20" t="s">
        <v>83</v>
      </c>
    </row>
    <row r="24" spans="1:3" ht="20.100000000000001" customHeight="1" thickBot="1" x14ac:dyDescent="0.35">
      <c r="A24" s="2" t="s">
        <v>15</v>
      </c>
      <c r="C24" s="20" t="s">
        <v>84</v>
      </c>
    </row>
    <row r="25" spans="1:3" ht="20.100000000000001" customHeight="1" thickBot="1" x14ac:dyDescent="0.35">
      <c r="A25" s="2" t="s">
        <v>28</v>
      </c>
      <c r="C25" s="20" t="s">
        <v>85</v>
      </c>
    </row>
    <row r="26" spans="1:3" ht="20.100000000000001" customHeight="1" thickBot="1" x14ac:dyDescent="0.35">
      <c r="A26" s="2" t="s">
        <v>29</v>
      </c>
      <c r="C26" s="20" t="s">
        <v>86</v>
      </c>
    </row>
    <row r="27" spans="1:3" ht="20.100000000000001" customHeight="1" thickBot="1" x14ac:dyDescent="0.35">
      <c r="A27" s="2" t="s">
        <v>13</v>
      </c>
      <c r="C27" s="20" t="s">
        <v>87</v>
      </c>
    </row>
    <row r="28" spans="1:3" ht="20.100000000000001" customHeight="1" thickBot="1" x14ac:dyDescent="0.35">
      <c r="A28" s="2" t="s">
        <v>30</v>
      </c>
      <c r="C28" s="20" t="s">
        <v>88</v>
      </c>
    </row>
    <row r="29" spans="1:3" ht="20.100000000000001" customHeight="1" thickBot="1" x14ac:dyDescent="0.35">
      <c r="A29" s="2" t="s">
        <v>31</v>
      </c>
      <c r="C29" s="20" t="s">
        <v>262</v>
      </c>
    </row>
    <row r="30" spans="1:3" ht="20.100000000000001" customHeight="1" thickBot="1" x14ac:dyDescent="0.35">
      <c r="A30" s="2" t="s">
        <v>32</v>
      </c>
      <c r="C30" s="20" t="s">
        <v>263</v>
      </c>
    </row>
    <row r="31" spans="1:3" ht="20.100000000000001" customHeight="1" thickBot="1" x14ac:dyDescent="0.35">
      <c r="A31" s="2" t="s">
        <v>33</v>
      </c>
      <c r="C31" s="20" t="s">
        <v>264</v>
      </c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9"/>
    </row>
    <row r="36" spans="1:9" s="18" customFormat="1" ht="20.100000000000001" customHeight="1" x14ac:dyDescent="0.3">
      <c r="A36" s="16"/>
      <c r="B36" s="17"/>
      <c r="C36" s="17"/>
      <c r="D36" s="17"/>
      <c r="E36" s="17"/>
      <c r="F36" s="17"/>
      <c r="G36" s="17"/>
      <c r="H36" s="17"/>
      <c r="I36" s="17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4">
        <v>45901</v>
      </c>
    </row>
    <row r="40" spans="1:9" ht="20.100000000000001" customHeight="1" thickBot="1" x14ac:dyDescent="0.35">
      <c r="A40" s="14">
        <v>45902</v>
      </c>
    </row>
    <row r="41" spans="1:9" ht="20.100000000000001" customHeight="1" thickBot="1" x14ac:dyDescent="0.35">
      <c r="A41" s="14">
        <v>45903</v>
      </c>
    </row>
    <row r="42" spans="1:9" ht="20.100000000000001" customHeight="1" thickBot="1" x14ac:dyDescent="0.35">
      <c r="A42" s="14">
        <v>45904</v>
      </c>
    </row>
    <row r="43" spans="1:9" ht="20.100000000000001" customHeight="1" thickBot="1" x14ac:dyDescent="0.35">
      <c r="A43" s="14">
        <v>45905</v>
      </c>
    </row>
    <row r="44" spans="1:9" ht="20.100000000000001" customHeight="1" thickBot="1" x14ac:dyDescent="0.35">
      <c r="A44" s="14">
        <v>45906</v>
      </c>
    </row>
    <row r="45" spans="1:9" ht="20.100000000000001" customHeight="1" thickBot="1" x14ac:dyDescent="0.35">
      <c r="A45" s="14">
        <v>45907</v>
      </c>
    </row>
    <row r="46" spans="1:9" ht="20.100000000000001" customHeight="1" thickBot="1" x14ac:dyDescent="0.35">
      <c r="A46" s="14">
        <v>45908</v>
      </c>
    </row>
    <row r="47" spans="1:9" ht="20.100000000000001" customHeight="1" thickBot="1" x14ac:dyDescent="0.35">
      <c r="A47" s="14">
        <v>45909</v>
      </c>
    </row>
    <row r="48" spans="1:9" ht="20.100000000000001" customHeight="1" thickBot="1" x14ac:dyDescent="0.35">
      <c r="A48" s="14">
        <v>45910</v>
      </c>
    </row>
    <row r="49" spans="1:1" ht="20.100000000000001" customHeight="1" thickBot="1" x14ac:dyDescent="0.35">
      <c r="A49" s="14">
        <v>45911</v>
      </c>
    </row>
    <row r="50" spans="1:1" ht="20.100000000000001" customHeight="1" thickBot="1" x14ac:dyDescent="0.35">
      <c r="A50" s="14">
        <v>45912</v>
      </c>
    </row>
    <row r="51" spans="1:1" ht="20.100000000000001" customHeight="1" thickBot="1" x14ac:dyDescent="0.35">
      <c r="A51" s="14">
        <v>45913</v>
      </c>
    </row>
    <row r="52" spans="1:1" ht="20.100000000000001" customHeight="1" thickBot="1" x14ac:dyDescent="0.35">
      <c r="A52" s="14">
        <v>45914</v>
      </c>
    </row>
    <row r="53" spans="1:1" ht="20.100000000000001" customHeight="1" thickBot="1" x14ac:dyDescent="0.35">
      <c r="A53" s="14">
        <v>45915</v>
      </c>
    </row>
    <row r="54" spans="1:1" ht="20.100000000000001" customHeight="1" thickBot="1" x14ac:dyDescent="0.35">
      <c r="A54" s="14">
        <v>45916</v>
      </c>
    </row>
    <row r="55" spans="1:1" ht="20.100000000000001" customHeight="1" thickBot="1" x14ac:dyDescent="0.35">
      <c r="A55" s="14">
        <v>45917</v>
      </c>
    </row>
    <row r="56" spans="1:1" ht="20.100000000000001" customHeight="1" thickBot="1" x14ac:dyDescent="0.35">
      <c r="A56" s="14">
        <v>45918</v>
      </c>
    </row>
    <row r="57" spans="1:1" ht="20.100000000000001" customHeight="1" thickBot="1" x14ac:dyDescent="0.35">
      <c r="A57" s="14">
        <v>45919</v>
      </c>
    </row>
    <row r="58" spans="1:1" ht="20.100000000000001" customHeight="1" thickBot="1" x14ac:dyDescent="0.35">
      <c r="A58" s="14">
        <v>45920</v>
      </c>
    </row>
    <row r="59" spans="1:1" ht="20.100000000000001" customHeight="1" thickBot="1" x14ac:dyDescent="0.35">
      <c r="A59" s="14">
        <v>45921</v>
      </c>
    </row>
    <row r="60" spans="1:1" ht="20.100000000000001" customHeight="1" thickBot="1" x14ac:dyDescent="0.35">
      <c r="A60" s="14">
        <v>45922</v>
      </c>
    </row>
    <row r="61" spans="1:1" ht="20.100000000000001" customHeight="1" thickBot="1" x14ac:dyDescent="0.35">
      <c r="A61" s="14">
        <v>45923</v>
      </c>
    </row>
    <row r="62" spans="1:1" ht="20.100000000000001" customHeight="1" thickBot="1" x14ac:dyDescent="0.35">
      <c r="A62" s="14">
        <v>45924</v>
      </c>
    </row>
    <row r="63" spans="1:1" ht="20.100000000000001" customHeight="1" thickBot="1" x14ac:dyDescent="0.35">
      <c r="A63" s="14">
        <v>45925</v>
      </c>
    </row>
    <row r="64" spans="1:1" ht="20.100000000000001" customHeight="1" thickBot="1" x14ac:dyDescent="0.35">
      <c r="A64" s="14">
        <v>45926</v>
      </c>
    </row>
    <row r="65" spans="1:1" ht="20.100000000000001" customHeight="1" thickBot="1" x14ac:dyDescent="0.35">
      <c r="A65" s="14">
        <v>45927</v>
      </c>
    </row>
    <row r="66" spans="1:1" ht="20.100000000000001" customHeight="1" thickBot="1" x14ac:dyDescent="0.35">
      <c r="A66" s="14">
        <v>45928</v>
      </c>
    </row>
    <row r="67" spans="1:1" ht="20.100000000000001" customHeight="1" thickBot="1" x14ac:dyDescent="0.35">
      <c r="A67" s="14">
        <v>45929</v>
      </c>
    </row>
    <row r="68" spans="1:1" ht="20.100000000000001" customHeight="1" thickBot="1" x14ac:dyDescent="0.35">
      <c r="A68" s="14">
        <v>45930</v>
      </c>
    </row>
    <row r="69" spans="1:1" ht="20.100000000000001" customHeight="1" thickBot="1" x14ac:dyDescent="0.35">
      <c r="A69" s="14">
        <v>45931</v>
      </c>
    </row>
    <row r="70" spans="1:1" ht="20.100000000000001" customHeight="1" thickBot="1" x14ac:dyDescent="0.35">
      <c r="A70" s="14">
        <v>45932</v>
      </c>
    </row>
    <row r="71" spans="1:1" ht="20.100000000000001" customHeight="1" thickBot="1" x14ac:dyDescent="0.35">
      <c r="A71" s="14">
        <v>45933</v>
      </c>
    </row>
    <row r="72" spans="1:1" ht="20.100000000000001" customHeight="1" thickBot="1" x14ac:dyDescent="0.35">
      <c r="A72" s="14">
        <v>45934</v>
      </c>
    </row>
    <row r="73" spans="1:1" ht="20.100000000000001" customHeight="1" thickBot="1" x14ac:dyDescent="0.35">
      <c r="A73" s="14">
        <v>45935</v>
      </c>
    </row>
    <row r="74" spans="1:1" ht="20.100000000000001" customHeight="1" thickBot="1" x14ac:dyDescent="0.35">
      <c r="A74" s="14">
        <v>45936</v>
      </c>
    </row>
    <row r="75" spans="1:1" ht="20.100000000000001" customHeight="1" thickBot="1" x14ac:dyDescent="0.35">
      <c r="A75" s="14">
        <v>45937</v>
      </c>
    </row>
    <row r="76" spans="1:1" ht="20.100000000000001" customHeight="1" thickBot="1" x14ac:dyDescent="0.35">
      <c r="A76" s="14">
        <v>45938</v>
      </c>
    </row>
    <row r="77" spans="1:1" ht="20.100000000000001" customHeight="1" thickBot="1" x14ac:dyDescent="0.35">
      <c r="A77" s="14">
        <v>45939</v>
      </c>
    </row>
    <row r="78" spans="1:1" ht="20.100000000000001" customHeight="1" thickBot="1" x14ac:dyDescent="0.35">
      <c r="A78" s="14">
        <v>45940</v>
      </c>
    </row>
    <row r="79" spans="1:1" ht="20.100000000000001" customHeight="1" thickBot="1" x14ac:dyDescent="0.35">
      <c r="A79" s="14">
        <v>45941</v>
      </c>
    </row>
    <row r="80" spans="1:1" ht="20.100000000000001" customHeight="1" thickBot="1" x14ac:dyDescent="0.35">
      <c r="A80" s="14">
        <v>45942</v>
      </c>
    </row>
    <row r="81" spans="1:1" ht="20.100000000000001" customHeight="1" thickBot="1" x14ac:dyDescent="0.35">
      <c r="A81" s="14">
        <v>45943</v>
      </c>
    </row>
    <row r="82" spans="1:1" ht="20.100000000000001" customHeight="1" thickBot="1" x14ac:dyDescent="0.35">
      <c r="A82" s="14">
        <v>45944</v>
      </c>
    </row>
    <row r="83" spans="1:1" ht="20.100000000000001" customHeight="1" thickBot="1" x14ac:dyDescent="0.35">
      <c r="A83" s="14">
        <v>45945</v>
      </c>
    </row>
    <row r="84" spans="1:1" ht="20.100000000000001" customHeight="1" thickBot="1" x14ac:dyDescent="0.35">
      <c r="A84" s="14">
        <v>45946</v>
      </c>
    </row>
    <row r="85" spans="1:1" ht="20.100000000000001" customHeight="1" thickBot="1" x14ac:dyDescent="0.35">
      <c r="A85" s="14">
        <v>45947</v>
      </c>
    </row>
    <row r="86" spans="1:1" ht="20.100000000000001" customHeight="1" thickBot="1" x14ac:dyDescent="0.35">
      <c r="A86" s="14">
        <v>45948</v>
      </c>
    </row>
    <row r="87" spans="1:1" ht="20.100000000000001" customHeight="1" thickBot="1" x14ac:dyDescent="0.35">
      <c r="A87" s="14">
        <v>45949</v>
      </c>
    </row>
    <row r="88" spans="1:1" ht="20.100000000000001" customHeight="1" thickBot="1" x14ac:dyDescent="0.35">
      <c r="A88" s="14">
        <v>45950</v>
      </c>
    </row>
    <row r="89" spans="1:1" ht="20.100000000000001" customHeight="1" thickBot="1" x14ac:dyDescent="0.35">
      <c r="A89" s="14">
        <v>45951</v>
      </c>
    </row>
    <row r="90" spans="1:1" ht="20.100000000000001" customHeight="1" thickBot="1" x14ac:dyDescent="0.35">
      <c r="A90" s="14">
        <v>45952</v>
      </c>
    </row>
    <row r="91" spans="1:1" ht="20.100000000000001" customHeight="1" thickBot="1" x14ac:dyDescent="0.35">
      <c r="A91" s="14">
        <v>45953</v>
      </c>
    </row>
    <row r="92" spans="1:1" ht="20.100000000000001" customHeight="1" thickBot="1" x14ac:dyDescent="0.35">
      <c r="A92" s="14">
        <v>45954</v>
      </c>
    </row>
    <row r="93" spans="1:1" ht="20.100000000000001" customHeight="1" thickBot="1" x14ac:dyDescent="0.35">
      <c r="A93" s="14">
        <v>45955</v>
      </c>
    </row>
    <row r="94" spans="1:1" ht="20.100000000000001" customHeight="1" thickBot="1" x14ac:dyDescent="0.35">
      <c r="A94" s="14">
        <v>45956</v>
      </c>
    </row>
    <row r="95" spans="1:1" ht="20.100000000000001" customHeight="1" thickBot="1" x14ac:dyDescent="0.35">
      <c r="A95" s="14">
        <v>45957</v>
      </c>
    </row>
    <row r="96" spans="1:1" ht="20.100000000000001" customHeight="1" thickBot="1" x14ac:dyDescent="0.35">
      <c r="A96" s="14">
        <v>45958</v>
      </c>
    </row>
    <row r="97" spans="1:9" ht="20.100000000000001" customHeight="1" thickBot="1" x14ac:dyDescent="0.35">
      <c r="A97" s="14">
        <v>45959</v>
      </c>
    </row>
    <row r="98" spans="1:9" ht="20.100000000000001" customHeight="1" thickBot="1" x14ac:dyDescent="0.35">
      <c r="A98" s="14">
        <v>45960</v>
      </c>
    </row>
    <row r="99" spans="1:9" ht="20.100000000000001" customHeight="1" thickBot="1" x14ac:dyDescent="0.35">
      <c r="A99" s="14">
        <v>45961</v>
      </c>
    </row>
    <row r="100" spans="1:9" ht="20.100000000000001" customHeight="1" thickBot="1" x14ac:dyDescent="0.35">
      <c r="A100" s="14">
        <v>45962</v>
      </c>
    </row>
    <row r="101" spans="1:9" ht="20.100000000000001" customHeight="1" thickBot="1" x14ac:dyDescent="0.35">
      <c r="A101" s="14">
        <v>45963</v>
      </c>
    </row>
    <row r="102" spans="1:9" ht="20.100000000000001" customHeight="1" thickBot="1" x14ac:dyDescent="0.35">
      <c r="A102" s="14">
        <v>45964</v>
      </c>
    </row>
    <row r="103" spans="1:9" ht="20.100000000000001" customHeight="1" thickBot="1" x14ac:dyDescent="0.35">
      <c r="A103" s="14">
        <v>45965</v>
      </c>
    </row>
    <row r="104" spans="1:9" ht="20.100000000000001" customHeight="1" thickBot="1" x14ac:dyDescent="0.35">
      <c r="A104" s="14">
        <v>45966</v>
      </c>
    </row>
    <row r="105" spans="1:9" ht="20.100000000000001" customHeight="1" thickBot="1" x14ac:dyDescent="0.35">
      <c r="A105" s="14">
        <v>45967</v>
      </c>
    </row>
    <row r="106" spans="1:9" ht="20.100000000000001" customHeight="1" thickBot="1" x14ac:dyDescent="0.35">
      <c r="A106" s="14">
        <v>45968</v>
      </c>
    </row>
    <row r="107" spans="1:9" ht="20.100000000000001" customHeight="1" x14ac:dyDescent="0.3">
      <c r="A107" s="15"/>
    </row>
    <row r="108" spans="1:9" ht="20.100000000000001" customHeight="1" x14ac:dyDescent="0.3">
      <c r="A108" s="15"/>
    </row>
    <row r="109" spans="1:9" s="18" customFormat="1" ht="20.100000000000001" customHeight="1" x14ac:dyDescent="0.3">
      <c r="A109" s="16"/>
      <c r="B109" s="17"/>
      <c r="C109" s="17"/>
      <c r="D109" s="17"/>
      <c r="E109" s="17"/>
      <c r="F109" s="17"/>
      <c r="G109" s="17"/>
      <c r="H109" s="17"/>
      <c r="I109" s="17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1" t="s">
        <v>89</v>
      </c>
    </row>
    <row r="200" spans="1:1" ht="20.100000000000001" customHeight="1" x14ac:dyDescent="0.3">
      <c r="A200" s="21" t="s">
        <v>90</v>
      </c>
    </row>
    <row r="201" spans="1:1" ht="20.100000000000001" customHeight="1" x14ac:dyDescent="0.3">
      <c r="A201" s="21" t="s">
        <v>91</v>
      </c>
    </row>
    <row r="202" spans="1:1" ht="20.100000000000001" customHeight="1" x14ac:dyDescent="0.3">
      <c r="A202" s="21" t="s">
        <v>92</v>
      </c>
    </row>
    <row r="203" spans="1:1" ht="20.100000000000001" customHeight="1" x14ac:dyDescent="0.3">
      <c r="A203" s="21" t="s">
        <v>93</v>
      </c>
    </row>
    <row r="204" spans="1:1" ht="20.100000000000001" customHeight="1" x14ac:dyDescent="0.3">
      <c r="A204" s="21" t="s">
        <v>94</v>
      </c>
    </row>
    <row r="205" spans="1:1" ht="20.100000000000001" customHeight="1" x14ac:dyDescent="0.3">
      <c r="A205" s="21" t="s">
        <v>95</v>
      </c>
    </row>
    <row r="206" spans="1:1" ht="20.100000000000001" customHeight="1" x14ac:dyDescent="0.3">
      <c r="A206" s="21" t="s">
        <v>96</v>
      </c>
    </row>
    <row r="207" spans="1:1" ht="20.100000000000001" customHeight="1" x14ac:dyDescent="0.3">
      <c r="A207" s="21" t="s">
        <v>97</v>
      </c>
    </row>
    <row r="208" spans="1:1" ht="20.100000000000001" customHeight="1" x14ac:dyDescent="0.3">
      <c r="A208" s="22" t="s">
        <v>98</v>
      </c>
    </row>
    <row r="209" spans="1:1" ht="20.100000000000001" customHeight="1" x14ac:dyDescent="0.3">
      <c r="A209" s="22" t="s">
        <v>99</v>
      </c>
    </row>
    <row r="210" spans="1:1" ht="20.100000000000001" customHeight="1" x14ac:dyDescent="0.3">
      <c r="A210" s="21" t="s">
        <v>100</v>
      </c>
    </row>
    <row r="211" spans="1:1" ht="20.100000000000001" customHeight="1" x14ac:dyDescent="0.3">
      <c r="A211" s="21" t="s">
        <v>101</v>
      </c>
    </row>
    <row r="212" spans="1:1" ht="20.100000000000001" customHeight="1" x14ac:dyDescent="0.3">
      <c r="A212" s="21" t="s">
        <v>175</v>
      </c>
    </row>
    <row r="213" spans="1:1" ht="20.100000000000001" customHeight="1" x14ac:dyDescent="0.3">
      <c r="A213" s="21" t="s">
        <v>102</v>
      </c>
    </row>
    <row r="214" spans="1:1" ht="20.100000000000001" customHeight="1" x14ac:dyDescent="0.3">
      <c r="A214" s="21" t="s">
        <v>103</v>
      </c>
    </row>
    <row r="215" spans="1:1" ht="20.100000000000001" customHeight="1" x14ac:dyDescent="0.3">
      <c r="A215" s="21" t="s">
        <v>104</v>
      </c>
    </row>
    <row r="216" spans="1:1" ht="20.100000000000001" customHeight="1" x14ac:dyDescent="0.3">
      <c r="A216" s="21" t="s">
        <v>105</v>
      </c>
    </row>
    <row r="217" spans="1:1" ht="20.100000000000001" customHeight="1" x14ac:dyDescent="0.3">
      <c r="A217" s="21" t="s">
        <v>106</v>
      </c>
    </row>
    <row r="218" spans="1:1" ht="20.100000000000001" customHeight="1" x14ac:dyDescent="0.3">
      <c r="A218" s="21" t="s">
        <v>107</v>
      </c>
    </row>
    <row r="219" spans="1:1" ht="20.100000000000001" customHeight="1" x14ac:dyDescent="0.3">
      <c r="A219" s="21" t="s">
        <v>108</v>
      </c>
    </row>
    <row r="220" spans="1:1" ht="20.100000000000001" customHeight="1" x14ac:dyDescent="0.3">
      <c r="A220" s="21" t="s">
        <v>109</v>
      </c>
    </row>
    <row r="221" spans="1:1" ht="20.100000000000001" customHeight="1" x14ac:dyDescent="0.3">
      <c r="A221" s="21" t="s">
        <v>110</v>
      </c>
    </row>
    <row r="222" spans="1:1" ht="20.100000000000001" customHeight="1" x14ac:dyDescent="0.3">
      <c r="A222" s="21" t="s">
        <v>111</v>
      </c>
    </row>
    <row r="223" spans="1:1" ht="20.100000000000001" customHeight="1" x14ac:dyDescent="0.3">
      <c r="A223" s="21" t="s">
        <v>112</v>
      </c>
    </row>
    <row r="224" spans="1:1" ht="20.100000000000001" customHeight="1" x14ac:dyDescent="0.3">
      <c r="A224" s="21" t="s">
        <v>176</v>
      </c>
    </row>
    <row r="225" spans="1:1" ht="20.100000000000001" customHeight="1" x14ac:dyDescent="0.3">
      <c r="A225" s="21" t="s">
        <v>113</v>
      </c>
    </row>
    <row r="226" spans="1:1" ht="20.100000000000001" customHeight="1" x14ac:dyDescent="0.3">
      <c r="A226" s="21" t="s">
        <v>114</v>
      </c>
    </row>
    <row r="227" spans="1:1" ht="20.100000000000001" customHeight="1" x14ac:dyDescent="0.3">
      <c r="A227" s="21" t="s">
        <v>115</v>
      </c>
    </row>
    <row r="228" spans="1:1" ht="20.100000000000001" customHeight="1" x14ac:dyDescent="0.3">
      <c r="A228" s="21" t="s">
        <v>116</v>
      </c>
    </row>
    <row r="229" spans="1:1" ht="20.100000000000001" customHeight="1" x14ac:dyDescent="0.3">
      <c r="A229" s="21" t="s">
        <v>117</v>
      </c>
    </row>
    <row r="230" spans="1:1" ht="20.100000000000001" customHeight="1" x14ac:dyDescent="0.3">
      <c r="A230" s="21" t="s">
        <v>118</v>
      </c>
    </row>
    <row r="231" spans="1:1" ht="20.100000000000001" customHeight="1" x14ac:dyDescent="0.3">
      <c r="A231" s="21" t="s">
        <v>119</v>
      </c>
    </row>
    <row r="232" spans="1:1" ht="20.100000000000001" customHeight="1" x14ac:dyDescent="0.3">
      <c r="A232" s="21" t="s">
        <v>120</v>
      </c>
    </row>
    <row r="233" spans="1:1" ht="20.100000000000001" customHeight="1" x14ac:dyDescent="0.3">
      <c r="A233" s="21" t="s">
        <v>121</v>
      </c>
    </row>
    <row r="234" spans="1:1" ht="20.100000000000001" customHeight="1" x14ac:dyDescent="0.3">
      <c r="A234" s="21" t="s">
        <v>122</v>
      </c>
    </row>
    <row r="235" spans="1:1" ht="20.100000000000001" customHeight="1" x14ac:dyDescent="0.3">
      <c r="A235" s="21" t="s">
        <v>123</v>
      </c>
    </row>
    <row r="236" spans="1:1" ht="20.100000000000001" customHeight="1" x14ac:dyDescent="0.3">
      <c r="A236" s="23" t="s">
        <v>124</v>
      </c>
    </row>
    <row r="237" spans="1:1" ht="20.100000000000001" customHeight="1" x14ac:dyDescent="0.3">
      <c r="A237" s="21" t="s">
        <v>125</v>
      </c>
    </row>
    <row r="238" spans="1:1" ht="20.100000000000001" customHeight="1" x14ac:dyDescent="0.3">
      <c r="A238" s="21" t="s">
        <v>126</v>
      </c>
    </row>
    <row r="239" spans="1:1" ht="20.100000000000001" customHeight="1" x14ac:dyDescent="0.3">
      <c r="A239" s="21" t="s">
        <v>127</v>
      </c>
    </row>
    <row r="240" spans="1:1" ht="20.100000000000001" customHeight="1" x14ac:dyDescent="0.3">
      <c r="A240" s="21" t="s">
        <v>128</v>
      </c>
    </row>
    <row r="241" spans="1:1" ht="20.100000000000001" customHeight="1" x14ac:dyDescent="0.3">
      <c r="A241" s="21" t="s">
        <v>129</v>
      </c>
    </row>
    <row r="242" spans="1:1" ht="20.100000000000001" customHeight="1" x14ac:dyDescent="0.3">
      <c r="A242" s="21" t="s">
        <v>130</v>
      </c>
    </row>
    <row r="243" spans="1:1" ht="20.100000000000001" customHeight="1" x14ac:dyDescent="0.3">
      <c r="A243" s="21" t="s">
        <v>131</v>
      </c>
    </row>
    <row r="244" spans="1:1" ht="20.100000000000001" customHeight="1" x14ac:dyDescent="0.3">
      <c r="A244" s="21" t="s">
        <v>132</v>
      </c>
    </row>
    <row r="245" spans="1:1" ht="20.100000000000001" customHeight="1" x14ac:dyDescent="0.3">
      <c r="A245" s="21" t="s">
        <v>133</v>
      </c>
    </row>
    <row r="246" spans="1:1" ht="20.100000000000001" customHeight="1" x14ac:dyDescent="0.3">
      <c r="A246" s="21" t="s">
        <v>134</v>
      </c>
    </row>
    <row r="247" spans="1:1" ht="20.100000000000001" customHeight="1" x14ac:dyDescent="0.3">
      <c r="A247" s="21" t="s">
        <v>135</v>
      </c>
    </row>
    <row r="248" spans="1:1" ht="20.100000000000001" customHeight="1" x14ac:dyDescent="0.3">
      <c r="A248" s="21" t="s">
        <v>126</v>
      </c>
    </row>
    <row r="249" spans="1:1" ht="20.100000000000001" customHeight="1" x14ac:dyDescent="0.3">
      <c r="A249" s="21" t="s">
        <v>136</v>
      </c>
    </row>
    <row r="250" spans="1:1" ht="20.100000000000001" customHeight="1" x14ac:dyDescent="0.3">
      <c r="A250" s="21" t="s">
        <v>137</v>
      </c>
    </row>
    <row r="251" spans="1:1" ht="20.100000000000001" customHeight="1" x14ac:dyDescent="0.3">
      <c r="A251" s="23" t="s">
        <v>138</v>
      </c>
    </row>
    <row r="252" spans="1:1" ht="20.100000000000001" customHeight="1" x14ac:dyDescent="0.3">
      <c r="A252" s="24" t="s">
        <v>139</v>
      </c>
    </row>
    <row r="253" spans="1:1" ht="20.100000000000001" customHeight="1" x14ac:dyDescent="0.3">
      <c r="A253" s="21" t="s">
        <v>140</v>
      </c>
    </row>
    <row r="254" spans="1:1" ht="20.100000000000001" customHeight="1" x14ac:dyDescent="0.3">
      <c r="A254" s="21" t="s">
        <v>141</v>
      </c>
    </row>
    <row r="255" spans="1:1" ht="20.100000000000001" customHeight="1" x14ac:dyDescent="0.3">
      <c r="A255" s="25" t="s">
        <v>142</v>
      </c>
    </row>
    <row r="256" spans="1:1" ht="20.100000000000001" customHeight="1" x14ac:dyDescent="0.3">
      <c r="A256" s="25" t="s">
        <v>143</v>
      </c>
    </row>
    <row r="257" spans="1:1" ht="20.100000000000001" customHeight="1" x14ac:dyDescent="0.3">
      <c r="A257" s="26" t="s">
        <v>144</v>
      </c>
    </row>
    <row r="258" spans="1:1" ht="20.100000000000001" customHeight="1" x14ac:dyDescent="0.3">
      <c r="A258" s="21" t="s">
        <v>145</v>
      </c>
    </row>
    <row r="259" spans="1:1" ht="20.100000000000001" customHeight="1" x14ac:dyDescent="0.3">
      <c r="A259" s="26" t="s">
        <v>146</v>
      </c>
    </row>
    <row r="260" spans="1:1" ht="20.100000000000001" customHeight="1" x14ac:dyDescent="0.3">
      <c r="A260" s="21" t="s">
        <v>147</v>
      </c>
    </row>
    <row r="261" spans="1:1" ht="20.100000000000001" customHeight="1" x14ac:dyDescent="0.3">
      <c r="A261" s="26" t="s">
        <v>148</v>
      </c>
    </row>
    <row r="262" spans="1:1" ht="20.100000000000001" customHeight="1" x14ac:dyDescent="0.3">
      <c r="A262" s="21" t="s">
        <v>149</v>
      </c>
    </row>
    <row r="263" spans="1:1" ht="20.100000000000001" customHeight="1" x14ac:dyDescent="0.3">
      <c r="A263" s="21" t="s">
        <v>150</v>
      </c>
    </row>
    <row r="264" spans="1:1" ht="20.100000000000001" customHeight="1" x14ac:dyDescent="0.3">
      <c r="A264" s="26" t="s">
        <v>151</v>
      </c>
    </row>
    <row r="265" spans="1:1" ht="20.100000000000001" customHeight="1" x14ac:dyDescent="0.3">
      <c r="A265" s="26" t="s">
        <v>152</v>
      </c>
    </row>
    <row r="266" spans="1:1" ht="20.100000000000001" customHeight="1" x14ac:dyDescent="0.3">
      <c r="A266" s="26" t="s">
        <v>153</v>
      </c>
    </row>
    <row r="267" spans="1:1" ht="20.100000000000001" customHeight="1" x14ac:dyDescent="0.3">
      <c r="A267" s="21" t="s">
        <v>154</v>
      </c>
    </row>
    <row r="268" spans="1:1" ht="20.100000000000001" customHeight="1" x14ac:dyDescent="0.3">
      <c r="A268" s="21" t="s">
        <v>155</v>
      </c>
    </row>
    <row r="269" spans="1:1" ht="20.100000000000001" customHeight="1" x14ac:dyDescent="0.3">
      <c r="A269" s="21" t="s">
        <v>156</v>
      </c>
    </row>
    <row r="270" spans="1:1" ht="20.100000000000001" customHeight="1" x14ac:dyDescent="0.3">
      <c r="A270" s="21" t="s">
        <v>157</v>
      </c>
    </row>
    <row r="271" spans="1:1" ht="20.100000000000001" customHeight="1" x14ac:dyDescent="0.3">
      <c r="A271" s="26" t="s">
        <v>158</v>
      </c>
    </row>
    <row r="272" spans="1:1" ht="20.100000000000001" customHeight="1" x14ac:dyDescent="0.3">
      <c r="A272" s="26" t="s">
        <v>159</v>
      </c>
    </row>
    <row r="273" spans="1:1" ht="20.100000000000001" customHeight="1" x14ac:dyDescent="0.3">
      <c r="A273" s="21" t="s">
        <v>160</v>
      </c>
    </row>
    <row r="274" spans="1:1" ht="20.100000000000001" customHeight="1" x14ac:dyDescent="0.3">
      <c r="A274" s="26" t="s">
        <v>161</v>
      </c>
    </row>
    <row r="275" spans="1:1" ht="20.100000000000001" customHeight="1" x14ac:dyDescent="0.3">
      <c r="A275" s="26" t="s">
        <v>162</v>
      </c>
    </row>
    <row r="276" spans="1:1" ht="20.100000000000001" customHeight="1" x14ac:dyDescent="0.3">
      <c r="A276" s="21" t="s">
        <v>163</v>
      </c>
    </row>
    <row r="277" spans="1:1" ht="20.100000000000001" customHeight="1" x14ac:dyDescent="0.3">
      <c r="A277" s="21" t="s">
        <v>164</v>
      </c>
    </row>
    <row r="278" spans="1:1" ht="20.100000000000001" customHeight="1" x14ac:dyDescent="0.3">
      <c r="A278" s="26" t="s">
        <v>165</v>
      </c>
    </row>
    <row r="279" spans="1:1" ht="20.100000000000001" customHeight="1" x14ac:dyDescent="0.3">
      <c r="A279" s="21" t="s">
        <v>166</v>
      </c>
    </row>
    <row r="280" spans="1:1" ht="20.100000000000001" customHeight="1" x14ac:dyDescent="0.3">
      <c r="A280" s="21" t="s">
        <v>167</v>
      </c>
    </row>
    <row r="281" spans="1:1" ht="20.100000000000001" customHeight="1" x14ac:dyDescent="0.3">
      <c r="A281" s="21" t="s">
        <v>168</v>
      </c>
    </row>
    <row r="282" spans="1:1" ht="20.100000000000001" customHeight="1" x14ac:dyDescent="0.3">
      <c r="A282" s="21" t="s">
        <v>169</v>
      </c>
    </row>
    <row r="283" spans="1:1" ht="20.100000000000001" customHeight="1" x14ac:dyDescent="0.3">
      <c r="A283" s="26" t="s">
        <v>170</v>
      </c>
    </row>
    <row r="284" spans="1:1" ht="20.100000000000001" customHeight="1" x14ac:dyDescent="0.3">
      <c r="A284" s="26" t="s">
        <v>171</v>
      </c>
    </row>
    <row r="285" spans="1:1" ht="20.100000000000001" customHeight="1" x14ac:dyDescent="0.3">
      <c r="A285" s="26" t="s">
        <v>172</v>
      </c>
    </row>
    <row r="286" spans="1:1" ht="20.100000000000001" customHeight="1" thickBot="1" x14ac:dyDescent="0.35">
      <c r="A286" s="21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2025-10-08T20:29:51Z</dcterms:modified>
</cp:coreProperties>
</file>