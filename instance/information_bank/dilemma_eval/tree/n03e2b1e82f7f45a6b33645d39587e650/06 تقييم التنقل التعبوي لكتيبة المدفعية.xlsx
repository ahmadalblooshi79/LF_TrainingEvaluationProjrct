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89FA1D0-7ADC-9649-9EB2-110632B6D060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F46" i="2"/>
  <c r="E46" i="2"/>
  <c r="E47" i="2"/>
  <c r="E48" i="2"/>
</calcChain>
</file>

<file path=xl/sharedStrings.xml><?xml version="1.0" encoding="utf-8"?>
<sst xmlns="http://schemas.openxmlformats.org/spreadsheetml/2006/main" count="271" uniqueCount="215">
  <si>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</si>
  <si>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</si>
  <si>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</si>
  <si>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</si>
  <si>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</si>
  <si>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</si>
  <si>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</si>
  <si>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</si>
  <si>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</si>
  <si>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</si>
  <si>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</si>
  <si>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</si>
  <si>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</si>
  <si>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</si>
  <si>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</si>
  <si>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</si>
  <si>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</si>
  <si>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</si>
  <si>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</si>
  <si>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</si>
  <si>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</si>
  <si>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</si>
  <si>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</si>
  <si>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</si>
  <si>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</si>
  <si>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</si>
  <si>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</si>
  <si>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</si>
  <si>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</si>
  <si>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</si>
  <si>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</si>
  <si>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</si>
  <si>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</si>
  <si>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</si>
  <si>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</si>
  <si>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</si>
  <si>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</si>
  <si>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</si>
  <si>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</si>
  <si>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</si>
  <si>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</si>
  <si>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</si>
  <si>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</si>
  <si>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</si>
  <si>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</si>
  <si>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</si>
  <si>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</si>
  <si>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</si>
  <si>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</si>
  <si>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</si>
  <si>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</si>
  <si>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</si>
  <si>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</si>
  <si>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</si>
  <si>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</si>
  <si>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</si>
  <si>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</si>
  <si>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</si>
  <si>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</si>
  <si>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</si>
  <si>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</si>
  <si>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</si>
  <si>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</si>
  <si>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</si>
  <si>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</si>
  <si>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</si>
  <si>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</si>
  <si>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</si>
  <si>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</si>
  <si>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</si>
  <si>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</si>
  <si>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</si>
  <si>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</si>
  <si>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</si>
  <si>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</si>
  <si>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</si>
  <si>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</si>
  <si>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</si>
  <si>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</si>
  <si>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</si>
  <si>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</si>
  <si>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</si>
  <si>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</si>
  <si>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</si>
  <si>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</si>
  <si>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</si>
  <si>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</si>
  <si>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</si>
  <si>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</si>
  <si>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</si>
  <si>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</si>
  <si>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</si>
  <si>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</si>
  <si>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</si>
  <si>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</si>
  <si>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</si>
  <si>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</si>
  <si>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</si>
  <si>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</si>
  <si>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</si>
  <si>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</si>
  <si>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</si>
  <si>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</si>
  <si>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</si>
  <si>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</si>
  <si>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</si>
  <si>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</si>
  <si>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</si>
  <si>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</si>
  <si>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</si>
  <si>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</si>
  <si>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</si>
  <si>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</si>
  <si>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</si>
  <si>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</si>
  <si>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</si>
  <si>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</si>
  <si>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</si>
  <si>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</si>
  <si>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</si>
  <si>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</si>
  <si>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</si>
  <si>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</si>
  <si>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</si>
  <si>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</si>
  <si>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</si>
  <si>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</si>
  <si>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</si>
  <si>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</si>
  <si>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</si>
  <si>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</si>
  <si>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</si>
  <si>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</si>
  <si>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</si>
  <si>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</si>
  <si>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</si>
  <si>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</si>
  <si>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</si>
  <si>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</si>
  <si>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</si>
  <si>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</si>
  <si>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</si>
  <si>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</si>
  <si>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</si>
  <si>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</si>
  <si>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</si>
  <si>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</si>
  <si>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</si>
  <si>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</si>
  <si>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</si>
  <si>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</si>
  <si>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</si>
  <si>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</si>
  <si>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</si>
  <si>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</si>
  <si>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</si>
  <si>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</si>
  <si>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</si>
  <si>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</si>
  <si>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</si>
  <si>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</si>
  <si>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</si>
  <si>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</si>
  <si>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</si>
  <si>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</si>
  <si>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</si>
  <si>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</si>
  <si>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</si>
  <si>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</si>
  <si>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</si>
  <si>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</si>
  <si>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</si>
  <si>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</si>
  <si>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</si>
  <si>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</si>
  <si>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</si>
  <si>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من الخارطة وانتخاب الموقع بشكل عام والطُرق الرئيسية والبديلة من الموقع الحالي الى الموقع الجديد.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</si>
  <si>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التفصيلي للموقع على الارض.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</si>
  <si>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بالكشف والاستطلاع من الجو إذا سمح الوقت وتوفرت مصادر الاستطلاع الجوي.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</si>
  <si>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بإعطاء ايجاز حول الموقع الجديد لجميع العناصر الرئيسيين في الكتيبة بحيث يتضمن المعلومات الرئيسية التالية:</t>
    </r>
  </si>
  <si>
    <t>أ. احداثيات الموقع الجديد.</t>
  </si>
  <si>
    <t xml:space="preserve">ب. وقت الحركة الى الموقع الجديد. </t>
  </si>
  <si>
    <t>جـ. اسلوب الحركة.</t>
  </si>
  <si>
    <t>د. طريق الحركة.</t>
  </si>
  <si>
    <t>هـ. المهمة.</t>
  </si>
  <si>
    <t>و. موقف القوات الصديقة وموقف العدو.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</si>
  <si>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تنظيم وتجهيز جماعة المقدمة وحسب الاوامر التعبوية المستديمة للوحدة.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</si>
  <si>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الموقع بشكل جيد لتسهيل عملية الاحتلال وكما يلي:</t>
    </r>
  </si>
  <si>
    <t>أ. اعداد وتحضير خطة الحركة للأليات المجنزرة والآليات المدولبة.</t>
  </si>
  <si>
    <t>ب. اعطاء ايجاز لأُدلاء المدافع والآليات (إيجاز الدليل).</t>
  </si>
  <si>
    <t>جـ. تحضير نقاط دخول وخروج من والى الموقع.</t>
  </si>
  <si>
    <t>د. التأكد من توفر الهوائيات الطويلة على الآليات لتوفير الاتصال لمسافة بعيدة.</t>
  </si>
  <si>
    <t>هـ. تحديد المقتربات التي يمكن الحركة من خلالها بسرعة عالية.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</si>
  <si>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تفهم الجميع لتعليمات الحركة والتي تتضمن:</t>
    </r>
  </si>
  <si>
    <t>أ. نقطة البدء.</t>
  </si>
  <si>
    <t>ب. نقطة الانتشار.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</si>
  <si>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الوحدة بالتفتيش العملياتي وضمان أن جميع الآليات في العمل قبل بدء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</si>
  <si>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اعطاء ايجاز للسائقين حول تعليمات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</si>
  <si>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خطة تحميل المهمات والمعدات وأنها مؤمنة ومحمية حسب خطة التحميل.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</si>
  <si>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تركيب اجهزة الاتصال وأن جميع معدات الاتصال جاهزة للعمل.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</si>
  <si>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توزيع الأفراد على الآليات وقيامهم بإجراء أي تعديلات لازمة على تحميل المهمات والمعدات.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</si>
  <si>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اعداد اُوَل المدافع بتفقد الاضواء ومعدات الرؤية الليلية (ان لزم الأمر).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</si>
  <si>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مراقبة الضبط والربط العسكري المتعلق بمدى الالتزام بتعليمات الاضاءة والصوت أثناء الحركة ليلاً.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</si>
  <si>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استخدام أحد اساليب التحرك التعبوي على الطرق (الرتل المفتوح - الرتل المُغلق - الحركة حسب طبيعة الأرض – التسلل - تشكيلة حركة خاصة) وحسب توجيهات القائد.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</si>
  <si>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التأكد من محافظة السائقين على الفاصل بين الآليات بمسافة (100) متر إذا كانت التشكيلة " رتل مفتوح" ومسافة تقل عن (100) متر لتشكيلة "الرتل المغلق".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</si>
  <si>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المحافظة على الضبط والربط المتمثل بالالتزام بتعليمات المسير وكذلك تأمين الحماية اثناء الحركة.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</si>
  <si>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الابلاغ عند اجتياز نقطة البدء ونقاط السيطرة ونقطة الانتشار وبتوقيتات محددة إلا إذا تم فرض "الصمت اللاسلكي".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</si>
  <si>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حركة السائقين على الطرق المحددة مع استغلال طبيعة الارض والاستفادة من الاشجار والمقاطع الصخرية والتلال المتوفرة في منطقة التحرك التعبوي.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</si>
  <si>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السيطرة على حركة الآليات بشكل فردي عند استخدام اسلوب "التسلل".</t>
    </r>
  </si>
  <si>
    <t>جـ. نقاط السيطرة.</t>
  </si>
  <si>
    <t>د. أسلوب وطريق الحركة.</t>
  </si>
  <si>
    <t>إجراءات التحضير.</t>
  </si>
  <si>
    <r>
      <t xml:space="preserve">إجراءات التخطيط. </t>
    </r>
    <r>
      <rPr>
        <sz val="12"/>
        <color rgb="FF000000"/>
        <rFont val="Arial"/>
        <family val="2"/>
      </rPr>
      <t>الاستعداد للحركة الى الموقع الجديد وتنفيذ الأعمال التالية</t>
    </r>
  </si>
  <si>
    <t>إجراءات التنفيذ.</t>
  </si>
  <si>
    <r>
      <rPr>
        <b/>
        <sz val="14"/>
        <color rgb="FF000000"/>
        <rFont val="Arial"/>
        <family val="2"/>
      </rPr>
      <t>تقييم التنقل التعبوي لكتيبة المدفعية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</si>
</sst>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3" fillId="0" borderId="11" xfId="0" applyFont="1" applyBorder="1" applyAlignment="1">
      <alignment horizontal="right" vertical="center" wrapText="1" indent="2" readingOrder="2"/>
    </xf>
    <xf numFmtId="0" fontId="13" fillId="0" borderId="12" xfId="0" applyFont="1" applyBorder="1" applyAlignment="1">
      <alignment horizontal="right" vertical="center" wrapText="1" indent="2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103725</xdr:colOff>
      <xdr:row>49</xdr:row>
      <xdr:rowOff>168507</xdr:rowOff>
    </xdr:from>
    <xdr:to>
      <xdr:col>9</xdr:col>
      <xdr:colOff>918014</xdr:colOff>
      <xdr:row>49</xdr:row>
      <xdr:rowOff>555507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396393A-CA10-8F60-BFDE-CAD0B82D8381}"/>
                </a:ext>
              </a:extLst>
            </xdr14:cNvPr>
            <xdr14:cNvContentPartPr/>
          </xdr14:nvContentPartPr>
          <xdr14:nvPr macro=""/>
          <xdr14:xfrm>
            <a:off x="10397668805" y="21383280"/>
            <a:ext cx="2788560" cy="387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396393A-CA10-8F60-BFDE-CAD0B82D83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659805" y="21374280"/>
              <a:ext cx="2806200" cy="404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2T04:29:19.0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7040 786,'0'0,"0"0,0 0,-16 0,3-13,10 10,-13 3,-2-9,4 2,-34-9,3 7,9 2,-76-25,33 14,14 4,-112-18,76 10,-22-5,-150 11,139 9,-36-2,-199 9,199 0,-29 0,-186 16,208-1,-31 2,-176 16,197-19,-27 4,-155 14,205-17,-25 2,-132 15,171-10,-20 4,-135 6,164-17,-23 2,-108 15,151-9,-15 2,-104 7,140-16,-9 0,-19 0,82-8,-4 0,-31 8,66-16,-1 0,-1 17,17-25,0-1,17 9,-2 0,1 0,1 0,37 0,4 0,102-16,-65 16,3 0,142-16,-93 9,11-2,211-7,-166 9,11-2,267-23,-254 24,11 0,259-24,-238 24,-5 0,259-40,-236 32,-9 0,245-32,-266 23,-13 2,199-9,-246 7,-5 2,139-10,-182 17,-6 0,60-16,-128 24,-2 0,33-8,-71 16,-1 0,-9 0,-23-8,1 0,-122 8,40 0,2 0,-122 0,69 0,8 0,-205-16,128 16,17 0,-289 0,187 9,27-2,-262-7,252 9,25-2,-262 9,248-7,19-2,-234 9,265-7,15-2,-119 9,195-16,9 0,-44 0,110 0,4 0,-3 0,33 0,0 0,41-12,-18 8,42 4,17-8,-4 0,82-8,-45 8,-6 0,148 8,-66-8,-13 0,239-8,-170 8,-13 0,279 8,-242-8,-13 0,255 8,-251-8,-11 0,230 8,-226-8,-13 0,175 8,-236-8,-9 0,84-8,-166 16,-4 0,43 0,-88 0,-2 0,-7 0,-41-8,2 0,-137-8,45 8,5 0,-163-8,104 0,1 0,-216-16,161 23,13 2,-287-25,214 23,21 2,-219-9,262 16,5 0,-155 0,223 8,3 0,-65-8,142 0,3 0,-33 16,80-16,0 0,32 0,9 0,-2 0,89-16,-28 7,-7 2,83-26,-76 25,-8 0,101-24,-70 16,-6 0,60 0,-95 0,-4 0,18 16,-55-8,-2 0,9 8,-23 9,-2-2,-19 5,8-8,20 12,1-7,-2-2,2 9,-9-7,-1-2,26 25,-25-15,0-1,40 16,-48-32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0"/>
  <sheetViews>
    <sheetView rightToLeft="1" tabSelected="1" view="pageBreakPreview" topLeftCell="A32" zoomScaleNormal="100" zoomScaleSheetLayoutView="100" workbookViewId="0">
      <selection activeCell="F41" sqref="F4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5" t="s">
        <v>214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2">
      <c r="B2" s="10" t="s">
        <v>8</v>
      </c>
      <c r="C2" s="71" t="s">
        <v>48</v>
      </c>
      <c r="D2" s="71"/>
      <c r="E2" s="10" t="s">
        <v>7</v>
      </c>
      <c r="F2" s="66">
        <v>45953</v>
      </c>
      <c r="G2" s="66"/>
      <c r="H2" s="66"/>
      <c r="I2" s="66"/>
      <c r="J2" s="66"/>
    </row>
    <row r="3" spans="1:10" ht="30" customHeight="1" x14ac:dyDescent="0.2">
      <c r="B3" s="10" t="s">
        <v>9</v>
      </c>
      <c r="C3" s="71" t="s">
        <v>69</v>
      </c>
      <c r="D3" s="71"/>
      <c r="E3" s="10" t="s">
        <v>6</v>
      </c>
      <c r="F3" s="71" t="s">
        <v>98</v>
      </c>
      <c r="G3" s="71"/>
      <c r="H3" s="71"/>
      <c r="I3" s="71"/>
      <c r="J3" s="71"/>
    </row>
    <row r="4" spans="1:10" ht="30" customHeight="1" thickBot="1" x14ac:dyDescent="0.25">
      <c r="B4" s="6"/>
      <c r="C4" s="72"/>
      <c r="D4" s="72"/>
      <c r="E4" s="6"/>
      <c r="F4" s="72"/>
      <c r="G4" s="72"/>
      <c r="H4" s="72"/>
      <c r="I4" s="72"/>
      <c r="J4" s="72"/>
    </row>
    <row r="5" spans="1:10" ht="24.95" customHeight="1" x14ac:dyDescent="0.2">
      <c r="A5" s="8"/>
      <c r="B5" s="67" t="s">
        <v>0</v>
      </c>
      <c r="C5" s="68"/>
      <c r="D5" s="68"/>
      <c r="E5" s="75" t="s">
        <v>1</v>
      </c>
      <c r="F5" s="75"/>
      <c r="G5" s="75"/>
      <c r="H5" s="75"/>
      <c r="I5" s="75" t="s">
        <v>2</v>
      </c>
      <c r="J5" s="76"/>
    </row>
    <row r="6" spans="1:10" ht="24.95" customHeight="1" thickBot="1" x14ac:dyDescent="0.25">
      <c r="A6" s="8"/>
      <c r="B6" s="69"/>
      <c r="C6" s="70"/>
      <c r="D6" s="70"/>
      <c r="E6" s="9" t="s">
        <v>3</v>
      </c>
      <c r="F6" s="9" t="s">
        <v>4</v>
      </c>
      <c r="G6" s="9" t="s">
        <v>23</v>
      </c>
      <c r="H6" s="9" t="s">
        <v>24</v>
      </c>
      <c r="I6" s="77"/>
      <c r="J6" s="78"/>
    </row>
    <row r="7" spans="1:10" ht="24.95" customHeight="1" thickBot="1" x14ac:dyDescent="0.25">
      <c r="A7" s="8"/>
      <c r="B7" s="73" t="s">
        <v>21</v>
      </c>
      <c r="C7" s="74"/>
      <c r="D7" s="74"/>
      <c r="E7" s="25" t="s">
        <v>18</v>
      </c>
      <c r="F7" s="25" t="s">
        <v>19</v>
      </c>
      <c r="G7" s="25" t="s">
        <v>22</v>
      </c>
      <c r="H7" s="25" t="s">
        <v>20</v>
      </c>
      <c r="I7" s="79" t="s">
        <v>25</v>
      </c>
      <c r="J7" s="80"/>
    </row>
    <row r="8" spans="1:10" ht="30" customHeight="1" x14ac:dyDescent="0.2">
      <c r="A8" s="8"/>
      <c r="B8" s="37" t="s">
        <v>211</v>
      </c>
      <c r="C8" s="38"/>
      <c r="D8" s="38"/>
      <c r="E8" s="38"/>
      <c r="F8" s="38"/>
      <c r="G8" s="38"/>
      <c r="H8" s="38"/>
      <c r="I8" s="38"/>
      <c r="J8" s="39"/>
    </row>
    <row r="9" spans="1:10" ht="39.950000000000003" customHeight="1" x14ac:dyDescent="0.2">
      <c r="A9" s="8"/>
      <c r="B9" s="33" t="s">
        <v>176</v>
      </c>
      <c r="C9" s="34"/>
      <c r="D9" s="34"/>
      <c r="E9" s="7">
        <v>5</v>
      </c>
      <c r="F9" s="24">
        <v>4</v>
      </c>
      <c r="G9" s="27">
        <f>IFERROR(F9/E9,"")</f>
        <v>0.8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6"/>
      <c r="J9" s="47"/>
    </row>
    <row r="10" spans="1:10" ht="30" customHeight="1" x14ac:dyDescent="0.2">
      <c r="A10" s="8"/>
      <c r="B10" s="33" t="s">
        <v>177</v>
      </c>
      <c r="C10" s="34"/>
      <c r="D10" s="34"/>
      <c r="E10" s="7">
        <v>5</v>
      </c>
      <c r="F10" s="32">
        <v>3.75</v>
      </c>
      <c r="G10" s="27">
        <f t="shared" ref="G10:G45" si="0">IFERROR(F10/E10,"")</f>
        <v>0.75</v>
      </c>
      <c r="H10" s="28" t="str">
        <f t="shared" ref="H10:H45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9.950000000000003" customHeight="1" x14ac:dyDescent="0.2">
      <c r="A11" s="8"/>
      <c r="B11" s="33" t="s">
        <v>178</v>
      </c>
      <c r="C11" s="34"/>
      <c r="D11" s="34"/>
      <c r="E11" s="7">
        <v>5</v>
      </c>
      <c r="F11" s="32">
        <v>3.5</v>
      </c>
      <c r="G11" s="27">
        <f t="shared" si="0"/>
        <v>0.7</v>
      </c>
      <c r="H11" s="28" t="str">
        <f t="shared" si="1"/>
        <v>جيد</v>
      </c>
      <c r="I11" s="46"/>
      <c r="J11" s="47"/>
    </row>
    <row r="12" spans="1:10" ht="39.950000000000003" customHeight="1" x14ac:dyDescent="0.2">
      <c r="A12" s="8"/>
      <c r="B12" s="33" t="s">
        <v>179</v>
      </c>
      <c r="C12" s="34"/>
      <c r="D12" s="34"/>
      <c r="E12" s="7"/>
      <c r="F12" s="24"/>
      <c r="G12" s="27"/>
      <c r="H12" s="28"/>
      <c r="I12" s="46"/>
      <c r="J12" s="47"/>
    </row>
    <row r="13" spans="1:10" ht="30" customHeight="1" x14ac:dyDescent="0.2">
      <c r="A13" s="8"/>
      <c r="B13" s="40" t="s">
        <v>180</v>
      </c>
      <c r="C13" s="41"/>
      <c r="D13" s="41"/>
      <c r="E13" s="7">
        <v>5</v>
      </c>
      <c r="F13" s="24">
        <v>3.5</v>
      </c>
      <c r="G13" s="27">
        <f t="shared" si="0"/>
        <v>0.7</v>
      </c>
      <c r="H13" s="28" t="str">
        <f t="shared" si="1"/>
        <v>جيد</v>
      </c>
      <c r="I13" s="46"/>
      <c r="J13" s="47"/>
    </row>
    <row r="14" spans="1:10" ht="30" customHeight="1" x14ac:dyDescent="0.2">
      <c r="A14" s="8"/>
      <c r="B14" s="40" t="s">
        <v>181</v>
      </c>
      <c r="C14" s="41"/>
      <c r="D14" s="41"/>
      <c r="E14" s="7">
        <v>5</v>
      </c>
      <c r="F14" s="32">
        <v>3.5</v>
      </c>
      <c r="G14" s="27">
        <f t="shared" si="0"/>
        <v>0.7</v>
      </c>
      <c r="H14" s="28" t="str">
        <f t="shared" si="1"/>
        <v>جيد</v>
      </c>
      <c r="I14" s="46"/>
      <c r="J14" s="47"/>
    </row>
    <row r="15" spans="1:10" ht="30" customHeight="1" x14ac:dyDescent="0.2">
      <c r="A15" s="8"/>
      <c r="B15" s="40" t="s">
        <v>182</v>
      </c>
      <c r="C15" s="41"/>
      <c r="D15" s="41"/>
      <c r="E15" s="7">
        <v>5</v>
      </c>
      <c r="F15" s="32">
        <v>4</v>
      </c>
      <c r="G15" s="27">
        <f t="shared" si="0"/>
        <v>0.8</v>
      </c>
      <c r="H15" s="28" t="str">
        <f t="shared" si="1"/>
        <v>جيد جداً</v>
      </c>
      <c r="I15" s="46"/>
      <c r="J15" s="47"/>
    </row>
    <row r="16" spans="1:10" ht="30" customHeight="1" x14ac:dyDescent="0.2">
      <c r="A16" s="8"/>
      <c r="B16" s="40" t="s">
        <v>183</v>
      </c>
      <c r="C16" s="41"/>
      <c r="D16" s="41"/>
      <c r="E16" s="7">
        <v>5</v>
      </c>
      <c r="F16" s="32">
        <v>3.5</v>
      </c>
      <c r="G16" s="27">
        <f t="shared" si="0"/>
        <v>0.7</v>
      </c>
      <c r="H16" s="28" t="str">
        <f t="shared" si="1"/>
        <v>جيد</v>
      </c>
      <c r="I16" s="46"/>
      <c r="J16" s="47"/>
    </row>
    <row r="17" spans="1:10" ht="30" customHeight="1" x14ac:dyDescent="0.2">
      <c r="A17" s="8"/>
      <c r="B17" s="40" t="s">
        <v>184</v>
      </c>
      <c r="C17" s="41"/>
      <c r="D17" s="41"/>
      <c r="E17" s="7">
        <v>5</v>
      </c>
      <c r="F17" s="32">
        <v>4</v>
      </c>
      <c r="G17" s="27">
        <f t="shared" si="0"/>
        <v>0.8</v>
      </c>
      <c r="H17" s="28" t="str">
        <f t="shared" si="1"/>
        <v>جيد جداً</v>
      </c>
      <c r="I17" s="46"/>
      <c r="J17" s="47"/>
    </row>
    <row r="18" spans="1:10" ht="30" customHeight="1" x14ac:dyDescent="0.2">
      <c r="A18" s="8"/>
      <c r="B18" s="40" t="s">
        <v>185</v>
      </c>
      <c r="C18" s="41"/>
      <c r="D18" s="41"/>
      <c r="E18" s="7">
        <v>5</v>
      </c>
      <c r="F18" s="32">
        <v>3.5</v>
      </c>
      <c r="G18" s="27">
        <f t="shared" si="0"/>
        <v>0.7</v>
      </c>
      <c r="H18" s="28" t="str">
        <f t="shared" si="1"/>
        <v>جيد</v>
      </c>
      <c r="I18" s="46"/>
      <c r="J18" s="47"/>
    </row>
    <row r="19" spans="1:10" ht="39.950000000000003" customHeight="1" x14ac:dyDescent="0.2">
      <c r="A19" s="8"/>
      <c r="B19" s="33" t="s">
        <v>186</v>
      </c>
      <c r="C19" s="34"/>
      <c r="D19" s="34"/>
      <c r="E19" s="7">
        <v>5</v>
      </c>
      <c r="F19" s="32">
        <v>3.5</v>
      </c>
      <c r="G19" s="27">
        <f t="shared" si="0"/>
        <v>0.7</v>
      </c>
      <c r="H19" s="28" t="str">
        <f t="shared" si="1"/>
        <v>جيد</v>
      </c>
      <c r="I19" s="46"/>
      <c r="J19" s="47"/>
    </row>
    <row r="20" spans="1:10" ht="30" customHeight="1" x14ac:dyDescent="0.2">
      <c r="A20" s="8"/>
      <c r="B20" s="33" t="s">
        <v>187</v>
      </c>
      <c r="C20" s="34"/>
      <c r="D20" s="34"/>
      <c r="E20" s="7"/>
      <c r="F20" s="24"/>
      <c r="G20" s="27"/>
      <c r="H20" s="28"/>
      <c r="I20" s="46"/>
      <c r="J20" s="47"/>
    </row>
    <row r="21" spans="1:10" ht="30" customHeight="1" x14ac:dyDescent="0.2">
      <c r="A21" s="8"/>
      <c r="B21" s="40" t="s">
        <v>188</v>
      </c>
      <c r="C21" s="41"/>
      <c r="D21" s="41"/>
      <c r="E21" s="7">
        <v>5</v>
      </c>
      <c r="F21" s="24">
        <v>3.75</v>
      </c>
      <c r="G21" s="27">
        <f t="shared" si="0"/>
        <v>0.75</v>
      </c>
      <c r="H21" s="28" t="str">
        <f t="shared" si="1"/>
        <v>جيد</v>
      </c>
      <c r="I21" s="46"/>
      <c r="J21" s="47"/>
    </row>
    <row r="22" spans="1:10" ht="30" customHeight="1" x14ac:dyDescent="0.2">
      <c r="A22" s="8"/>
      <c r="B22" s="40" t="s">
        <v>189</v>
      </c>
      <c r="C22" s="41"/>
      <c r="D22" s="41"/>
      <c r="E22" s="7">
        <v>5</v>
      </c>
      <c r="F22" s="32">
        <v>4</v>
      </c>
      <c r="G22" s="27">
        <f t="shared" si="0"/>
        <v>0.8</v>
      </c>
      <c r="H22" s="28" t="str">
        <f t="shared" si="1"/>
        <v>جيد جداً</v>
      </c>
      <c r="I22" s="46"/>
      <c r="J22" s="47"/>
    </row>
    <row r="23" spans="1:10" ht="30" customHeight="1" x14ac:dyDescent="0.2">
      <c r="A23" s="8"/>
      <c r="B23" s="40" t="s">
        <v>190</v>
      </c>
      <c r="C23" s="41"/>
      <c r="D23" s="41"/>
      <c r="E23" s="7">
        <v>5</v>
      </c>
      <c r="F23" s="32">
        <v>4</v>
      </c>
      <c r="G23" s="27">
        <f t="shared" si="0"/>
        <v>0.8</v>
      </c>
      <c r="H23" s="28" t="str">
        <f t="shared" si="1"/>
        <v>جيد جداً</v>
      </c>
      <c r="I23" s="46"/>
      <c r="J23" s="47"/>
    </row>
    <row r="24" spans="1:10" ht="39.950000000000003" customHeight="1" x14ac:dyDescent="0.2">
      <c r="A24" s="8"/>
      <c r="B24" s="40" t="s">
        <v>191</v>
      </c>
      <c r="C24" s="41"/>
      <c r="D24" s="41"/>
      <c r="E24" s="7">
        <v>5</v>
      </c>
      <c r="F24" s="32">
        <v>3.5</v>
      </c>
      <c r="G24" s="27">
        <f t="shared" si="0"/>
        <v>0.7</v>
      </c>
      <c r="H24" s="28" t="str">
        <f t="shared" si="1"/>
        <v>جيد</v>
      </c>
      <c r="I24" s="46"/>
      <c r="J24" s="47"/>
    </row>
    <row r="25" spans="1:10" ht="30" customHeight="1" thickBot="1" x14ac:dyDescent="0.25">
      <c r="A25" s="8"/>
      <c r="B25" s="42" t="s">
        <v>192</v>
      </c>
      <c r="C25" s="43"/>
      <c r="D25" s="43"/>
      <c r="E25" s="29">
        <v>5</v>
      </c>
      <c r="F25" s="32">
        <v>3.5</v>
      </c>
      <c r="G25" s="30">
        <f t="shared" si="0"/>
        <v>0.7</v>
      </c>
      <c r="H25" s="31" t="str">
        <f t="shared" si="1"/>
        <v>جيد</v>
      </c>
      <c r="I25" s="56"/>
      <c r="J25" s="57"/>
    </row>
    <row r="26" spans="1:10" ht="30" customHeight="1" x14ac:dyDescent="0.2">
      <c r="A26" s="8"/>
      <c r="B26" s="37" t="s">
        <v>212</v>
      </c>
      <c r="C26" s="38"/>
      <c r="D26" s="38"/>
      <c r="E26" s="38"/>
      <c r="F26" s="38"/>
      <c r="G26" s="38"/>
      <c r="H26" s="38"/>
      <c r="I26" s="38"/>
      <c r="J26" s="39"/>
    </row>
    <row r="27" spans="1:10" ht="30" customHeight="1" x14ac:dyDescent="0.2">
      <c r="A27" s="8"/>
      <c r="B27" s="33" t="s">
        <v>193</v>
      </c>
      <c r="C27" s="34"/>
      <c r="D27" s="34"/>
      <c r="E27" s="7"/>
      <c r="F27" s="24"/>
      <c r="G27" s="27"/>
      <c r="H27" s="28"/>
      <c r="I27" s="46"/>
      <c r="J27" s="47"/>
    </row>
    <row r="28" spans="1:10" ht="30" customHeight="1" x14ac:dyDescent="0.2">
      <c r="A28" s="8"/>
      <c r="B28" s="40" t="s">
        <v>194</v>
      </c>
      <c r="C28" s="41"/>
      <c r="D28" s="41"/>
      <c r="E28" s="7">
        <v>5</v>
      </c>
      <c r="F28" s="24">
        <v>4</v>
      </c>
      <c r="G28" s="27">
        <f t="shared" si="0"/>
        <v>0.8</v>
      </c>
      <c r="H28" s="28" t="str">
        <f t="shared" si="1"/>
        <v>جيد جداً</v>
      </c>
      <c r="I28" s="46"/>
      <c r="J28" s="47"/>
    </row>
    <row r="29" spans="1:10" ht="30" customHeight="1" x14ac:dyDescent="0.2">
      <c r="A29" s="8"/>
      <c r="B29" s="40" t="s">
        <v>195</v>
      </c>
      <c r="C29" s="41"/>
      <c r="D29" s="41"/>
      <c r="E29" s="7">
        <v>5</v>
      </c>
      <c r="F29" s="32">
        <v>3.5</v>
      </c>
      <c r="G29" s="27">
        <f t="shared" si="0"/>
        <v>0.7</v>
      </c>
      <c r="H29" s="28" t="str">
        <f t="shared" si="1"/>
        <v>جيد</v>
      </c>
      <c r="I29" s="46"/>
      <c r="J29" s="47"/>
    </row>
    <row r="30" spans="1:10" ht="30" customHeight="1" x14ac:dyDescent="0.2">
      <c r="A30" s="8"/>
      <c r="B30" s="40" t="s">
        <v>209</v>
      </c>
      <c r="C30" s="41"/>
      <c r="D30" s="41"/>
      <c r="E30" s="7">
        <v>5</v>
      </c>
      <c r="F30" s="32">
        <v>3.5</v>
      </c>
      <c r="G30" s="27">
        <f t="shared" si="0"/>
        <v>0.7</v>
      </c>
      <c r="H30" s="28" t="str">
        <f t="shared" si="1"/>
        <v>جيد</v>
      </c>
      <c r="I30" s="46"/>
      <c r="J30" s="47"/>
    </row>
    <row r="31" spans="1:10" ht="30" customHeight="1" x14ac:dyDescent="0.2">
      <c r="A31" s="8"/>
      <c r="B31" s="40" t="s">
        <v>210</v>
      </c>
      <c r="C31" s="41"/>
      <c r="D31" s="41"/>
      <c r="E31" s="7">
        <v>5</v>
      </c>
      <c r="F31" s="32">
        <v>4</v>
      </c>
      <c r="G31" s="27">
        <f t="shared" si="0"/>
        <v>0.8</v>
      </c>
      <c r="H31" s="28" t="str">
        <f t="shared" si="1"/>
        <v>جيد جداً</v>
      </c>
      <c r="I31" s="46"/>
      <c r="J31" s="47"/>
    </row>
    <row r="32" spans="1:10" ht="39.950000000000003" customHeight="1" x14ac:dyDescent="0.2">
      <c r="A32" s="8"/>
      <c r="B32" s="33" t="s">
        <v>196</v>
      </c>
      <c r="C32" s="34"/>
      <c r="D32" s="34"/>
      <c r="E32" s="7">
        <v>5</v>
      </c>
      <c r="F32" s="32">
        <v>3.5</v>
      </c>
      <c r="G32" s="27">
        <f t="shared" si="0"/>
        <v>0.7</v>
      </c>
      <c r="H32" s="28" t="str">
        <f t="shared" si="1"/>
        <v>جيد</v>
      </c>
      <c r="I32" s="46"/>
      <c r="J32" s="47"/>
    </row>
    <row r="33" spans="1:10" ht="30" customHeight="1" x14ac:dyDescent="0.2">
      <c r="A33" s="8"/>
      <c r="B33" s="33" t="s">
        <v>197</v>
      </c>
      <c r="C33" s="34"/>
      <c r="D33" s="34"/>
      <c r="E33" s="7">
        <v>5</v>
      </c>
      <c r="F33" s="32">
        <v>3.5</v>
      </c>
      <c r="G33" s="27">
        <f t="shared" si="0"/>
        <v>0.7</v>
      </c>
      <c r="H33" s="28" t="str">
        <f t="shared" si="1"/>
        <v>جيد</v>
      </c>
      <c r="I33" s="46"/>
      <c r="J33" s="47"/>
    </row>
    <row r="34" spans="1:10" ht="39.950000000000003" customHeight="1" x14ac:dyDescent="0.2">
      <c r="A34" s="8"/>
      <c r="B34" s="33" t="s">
        <v>198</v>
      </c>
      <c r="C34" s="34"/>
      <c r="D34" s="34"/>
      <c r="E34" s="7">
        <v>5</v>
      </c>
      <c r="F34" s="32">
        <v>3.5</v>
      </c>
      <c r="G34" s="27">
        <f t="shared" si="0"/>
        <v>0.7</v>
      </c>
      <c r="H34" s="28" t="str">
        <f t="shared" si="1"/>
        <v>جيد</v>
      </c>
      <c r="I34" s="46"/>
      <c r="J34" s="47"/>
    </row>
    <row r="35" spans="1:10" ht="39.950000000000003" customHeight="1" x14ac:dyDescent="0.2">
      <c r="A35" s="8"/>
      <c r="B35" s="33" t="s">
        <v>199</v>
      </c>
      <c r="C35" s="34"/>
      <c r="D35" s="34"/>
      <c r="E35" s="7">
        <v>5</v>
      </c>
      <c r="F35" s="32">
        <v>4</v>
      </c>
      <c r="G35" s="27">
        <f t="shared" si="0"/>
        <v>0.8</v>
      </c>
      <c r="H35" s="28" t="str">
        <f t="shared" si="1"/>
        <v>جيد جداً</v>
      </c>
      <c r="I35" s="46"/>
      <c r="J35" s="47"/>
    </row>
    <row r="36" spans="1:10" ht="39.950000000000003" customHeight="1" x14ac:dyDescent="0.2">
      <c r="A36" s="8"/>
      <c r="B36" s="33" t="s">
        <v>200</v>
      </c>
      <c r="C36" s="34"/>
      <c r="D36" s="34"/>
      <c r="E36" s="7">
        <v>5</v>
      </c>
      <c r="F36" s="32">
        <v>3.5</v>
      </c>
      <c r="G36" s="27">
        <f t="shared" si="0"/>
        <v>0.7</v>
      </c>
      <c r="H36" s="28" t="str">
        <f t="shared" si="1"/>
        <v>جيد</v>
      </c>
      <c r="I36" s="46"/>
      <c r="J36" s="47"/>
    </row>
    <row r="37" spans="1:10" ht="39.950000000000003" customHeight="1" x14ac:dyDescent="0.2">
      <c r="A37" s="8"/>
      <c r="B37" s="33" t="s">
        <v>201</v>
      </c>
      <c r="C37" s="34"/>
      <c r="D37" s="34"/>
      <c r="E37" s="7">
        <v>5</v>
      </c>
      <c r="F37" s="32">
        <v>3.5</v>
      </c>
      <c r="G37" s="27">
        <f t="shared" si="0"/>
        <v>0.7</v>
      </c>
      <c r="H37" s="28" t="str">
        <f t="shared" si="1"/>
        <v>جيد</v>
      </c>
      <c r="I37" s="46"/>
      <c r="J37" s="47"/>
    </row>
    <row r="38" spans="1:10" ht="39.950000000000003" customHeight="1" thickBot="1" x14ac:dyDescent="0.25">
      <c r="A38" s="8"/>
      <c r="B38" s="35" t="s">
        <v>202</v>
      </c>
      <c r="C38" s="36"/>
      <c r="D38" s="36"/>
      <c r="E38" s="29">
        <v>5</v>
      </c>
      <c r="F38" s="32">
        <v>3.5</v>
      </c>
      <c r="G38" s="30">
        <f t="shared" si="0"/>
        <v>0.7</v>
      </c>
      <c r="H38" s="31" t="str">
        <f t="shared" si="1"/>
        <v>جيد</v>
      </c>
      <c r="I38" s="56"/>
      <c r="J38" s="57"/>
    </row>
    <row r="39" spans="1:10" ht="30" customHeight="1" x14ac:dyDescent="0.2">
      <c r="A39" s="8"/>
      <c r="B39" s="37" t="s">
        <v>213</v>
      </c>
      <c r="C39" s="38"/>
      <c r="D39" s="38"/>
      <c r="E39" s="38"/>
      <c r="F39" s="38"/>
      <c r="G39" s="38"/>
      <c r="H39" s="38"/>
      <c r="I39" s="38"/>
      <c r="J39" s="39"/>
    </row>
    <row r="40" spans="1:10" ht="50.1" customHeight="1" x14ac:dyDescent="0.2">
      <c r="A40" s="8"/>
      <c r="B40" s="33" t="s">
        <v>203</v>
      </c>
      <c r="C40" s="34"/>
      <c r="D40" s="34"/>
      <c r="E40" s="7">
        <v>5</v>
      </c>
      <c r="F40" s="24">
        <v>4</v>
      </c>
      <c r="G40" s="27">
        <f t="shared" si="0"/>
        <v>0.8</v>
      </c>
      <c r="H40" s="28" t="str">
        <f t="shared" si="1"/>
        <v>جيد جداً</v>
      </c>
      <c r="I40" s="46"/>
      <c r="J40" s="47"/>
    </row>
    <row r="41" spans="1:10" ht="50.1" customHeight="1" x14ac:dyDescent="0.2">
      <c r="A41" s="8"/>
      <c r="B41" s="33" t="s">
        <v>204</v>
      </c>
      <c r="C41" s="34"/>
      <c r="D41" s="34"/>
      <c r="E41" s="7">
        <v>5</v>
      </c>
      <c r="F41" s="32">
        <v>3.5</v>
      </c>
      <c r="G41" s="27">
        <f t="shared" si="0"/>
        <v>0.7</v>
      </c>
      <c r="H41" s="28" t="str">
        <f t="shared" si="1"/>
        <v>جيد</v>
      </c>
      <c r="I41" s="46"/>
      <c r="J41" s="47"/>
    </row>
    <row r="42" spans="1:10" ht="39.950000000000003" customHeight="1" x14ac:dyDescent="0.2">
      <c r="A42" s="8"/>
      <c r="B42" s="33" t="s">
        <v>205</v>
      </c>
      <c r="C42" s="34"/>
      <c r="D42" s="34"/>
      <c r="E42" s="7">
        <v>5</v>
      </c>
      <c r="F42" s="32">
        <v>3.5</v>
      </c>
      <c r="G42" s="27">
        <f t="shared" si="0"/>
        <v>0.7</v>
      </c>
      <c r="H42" s="28" t="str">
        <f t="shared" si="1"/>
        <v>جيد</v>
      </c>
      <c r="I42" s="46"/>
      <c r="J42" s="47"/>
    </row>
    <row r="43" spans="1:10" ht="39.950000000000003" customHeight="1" x14ac:dyDescent="0.2">
      <c r="A43" s="8"/>
      <c r="B43" s="33" t="s">
        <v>206</v>
      </c>
      <c r="C43" s="34"/>
      <c r="D43" s="34"/>
      <c r="E43" s="7">
        <v>5</v>
      </c>
      <c r="F43" s="32">
        <v>3.5</v>
      </c>
      <c r="G43" s="27">
        <f t="shared" si="0"/>
        <v>0.7</v>
      </c>
      <c r="H43" s="28" t="str">
        <f t="shared" si="1"/>
        <v>جيد</v>
      </c>
      <c r="I43" s="46"/>
      <c r="J43" s="47"/>
    </row>
    <row r="44" spans="1:10" ht="50.1" customHeight="1" x14ac:dyDescent="0.2">
      <c r="A44" s="8"/>
      <c r="B44" s="33" t="s">
        <v>207</v>
      </c>
      <c r="C44" s="34"/>
      <c r="D44" s="34"/>
      <c r="E44" s="7">
        <v>5</v>
      </c>
      <c r="F44" s="32">
        <v>3.5</v>
      </c>
      <c r="G44" s="27">
        <f t="shared" si="0"/>
        <v>0.7</v>
      </c>
      <c r="H44" s="28" t="str">
        <f t="shared" si="1"/>
        <v>جيد</v>
      </c>
      <c r="I44" s="46"/>
      <c r="J44" s="47"/>
    </row>
    <row r="45" spans="1:10" ht="30" customHeight="1" thickBot="1" x14ac:dyDescent="0.25">
      <c r="A45" s="8"/>
      <c r="B45" s="35" t="s">
        <v>208</v>
      </c>
      <c r="C45" s="36"/>
      <c r="D45" s="36"/>
      <c r="E45" s="29">
        <v>5</v>
      </c>
      <c r="F45" s="32">
        <v>3.5</v>
      </c>
      <c r="G45" s="30">
        <f t="shared" si="0"/>
        <v>0.7</v>
      </c>
      <c r="H45" s="31" t="str">
        <f t="shared" si="1"/>
        <v>جيد</v>
      </c>
      <c r="I45" s="56"/>
      <c r="J45" s="57"/>
    </row>
    <row r="46" spans="1:10" ht="30" customHeight="1" thickBot="1" x14ac:dyDescent="0.25">
      <c r="A46" s="4"/>
      <c r="B46" s="63" t="s">
        <v>5</v>
      </c>
      <c r="C46" s="64"/>
      <c r="D46" s="64"/>
      <c r="E46" s="26">
        <f>SUM(E8:E45)</f>
        <v>160</v>
      </c>
      <c r="F46" s="26">
        <f>SUM(F8:F45)</f>
        <v>117</v>
      </c>
      <c r="G46" s="60"/>
      <c r="H46" s="61"/>
      <c r="I46" s="61"/>
      <c r="J46" s="62"/>
    </row>
    <row r="47" spans="1:10" ht="30" customHeight="1" thickBot="1" x14ac:dyDescent="0.25">
      <c r="A47" s="4"/>
      <c r="B47" s="44" t="s">
        <v>54</v>
      </c>
      <c r="C47" s="45"/>
      <c r="D47" s="45"/>
      <c r="E47" s="54">
        <f>F46/E46/100*100</f>
        <v>0.73124999999999996</v>
      </c>
      <c r="F47" s="54"/>
      <c r="G47" s="54"/>
      <c r="H47" s="54"/>
      <c r="I47" s="54"/>
      <c r="J47" s="55"/>
    </row>
    <row r="48" spans="1:10" ht="30" customHeight="1" thickBot="1" x14ac:dyDescent="0.25">
      <c r="A48" s="4"/>
      <c r="B48" s="44" t="s">
        <v>55</v>
      </c>
      <c r="C48" s="45"/>
      <c r="D48" s="45"/>
      <c r="E48" s="52" t="str">
        <f>_xlfn.IFS(E47&gt;=90%,"ممتاز",E47&gt;=80%,"جيد جداً",E47&gt;=70%,"جيد",E47&gt;=60%,"مقبول",E47&lt;60%,"راسب")</f>
        <v>جيد</v>
      </c>
      <c r="F48" s="52"/>
      <c r="G48" s="52"/>
      <c r="H48" s="52"/>
      <c r="I48" s="52"/>
      <c r="J48" s="53"/>
    </row>
    <row r="49" spans="1:10" ht="42" customHeight="1" x14ac:dyDescent="0.2">
      <c r="B49" s="48" t="s">
        <v>62</v>
      </c>
      <c r="C49" s="48"/>
      <c r="D49" s="48"/>
      <c r="E49" s="58" t="s">
        <v>52</v>
      </c>
      <c r="F49" s="58"/>
      <c r="G49" s="50" t="s">
        <v>98</v>
      </c>
      <c r="H49" s="50"/>
      <c r="I49" s="50"/>
      <c r="J49" s="50"/>
    </row>
    <row r="50" spans="1:10" ht="51" customHeight="1" x14ac:dyDescent="0.2">
      <c r="A50" s="5"/>
      <c r="B50" s="49"/>
      <c r="C50" s="49"/>
      <c r="D50" s="49"/>
      <c r="E50" s="59" t="s">
        <v>53</v>
      </c>
      <c r="F50" s="59"/>
      <c r="G50" s="51"/>
      <c r="H50" s="51"/>
      <c r="I50" s="51"/>
      <c r="J50" s="5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96"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36:J36"/>
    <mergeCell ref="I23:J23"/>
    <mergeCell ref="I24:J24"/>
    <mergeCell ref="I25:J25"/>
    <mergeCell ref="B12:D12"/>
    <mergeCell ref="B13:D13"/>
    <mergeCell ref="I38:J38"/>
    <mergeCell ref="I30:J30"/>
    <mergeCell ref="I31:J31"/>
    <mergeCell ref="B47:D47"/>
    <mergeCell ref="B1:J1"/>
    <mergeCell ref="F2:J2"/>
    <mergeCell ref="B5:D6"/>
    <mergeCell ref="C2:D2"/>
    <mergeCell ref="C3:D3"/>
    <mergeCell ref="F3:J3"/>
    <mergeCell ref="B14:D14"/>
    <mergeCell ref="B15:D15"/>
    <mergeCell ref="I9:J9"/>
    <mergeCell ref="F4:J4"/>
    <mergeCell ref="C4:D4"/>
    <mergeCell ref="B7:D7"/>
    <mergeCell ref="B9:D9"/>
    <mergeCell ref="B10:D10"/>
    <mergeCell ref="B11:D11"/>
    <mergeCell ref="I35:J35"/>
    <mergeCell ref="B49:D50"/>
    <mergeCell ref="G49:J49"/>
    <mergeCell ref="G50:J50"/>
    <mergeCell ref="E48:J48"/>
    <mergeCell ref="I40:J40"/>
    <mergeCell ref="I41:J41"/>
    <mergeCell ref="I42:J42"/>
    <mergeCell ref="I43:J43"/>
    <mergeCell ref="I44:J44"/>
    <mergeCell ref="E47:J47"/>
    <mergeCell ref="I45:J45"/>
    <mergeCell ref="E49:F49"/>
    <mergeCell ref="E50:F50"/>
    <mergeCell ref="G46:J46"/>
    <mergeCell ref="B46:D46"/>
    <mergeCell ref="B34:D34"/>
    <mergeCell ref="B48:D4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I32:J32"/>
    <mergeCell ref="I33:J33"/>
    <mergeCell ref="I34:J34"/>
    <mergeCell ref="B16:D16"/>
    <mergeCell ref="B17:D17"/>
    <mergeCell ref="B18:D18"/>
    <mergeCell ref="B19:D19"/>
    <mergeCell ref="B20:D20"/>
    <mergeCell ref="B21:D21"/>
    <mergeCell ref="B30:D30"/>
    <mergeCell ref="B31:D31"/>
    <mergeCell ref="B32:D32"/>
    <mergeCell ref="B33:D33"/>
    <mergeCell ref="B22:D22"/>
    <mergeCell ref="B23:D23"/>
    <mergeCell ref="B24:D24"/>
    <mergeCell ref="B25:D25"/>
    <mergeCell ref="B44:D44"/>
    <mergeCell ref="B45:D45"/>
    <mergeCell ref="B26:J26"/>
    <mergeCell ref="B8:J8"/>
    <mergeCell ref="B39:J3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28:D28"/>
    <mergeCell ref="B29:D2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8">
    <cfRule type="expression" dxfId="21" priority="57">
      <formula>$E48="راسب"</formula>
    </cfRule>
  </conditionalFormatting>
  <conditionalFormatting sqref="E48:J48">
    <cfRule type="expression" dxfId="20" priority="60">
      <formula>$E48="جيد جداً"</formula>
    </cfRule>
    <cfRule type="expression" dxfId="19" priority="59">
      <formula>$E48="جيد"</formula>
    </cfRule>
    <cfRule type="expression" dxfId="18" priority="58">
      <formula>$E48="مقبول"</formula>
    </cfRule>
    <cfRule type="expression" dxfId="17" priority="61">
      <formula>$E48="ممتاز"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4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9:J49">
    <cfRule type="containsText" dxfId="12" priority="15" operator="containsText" text="أدخل اسم المحكم">
      <formula>NOT(ISERROR(SEARCH("أدخل اسم المحكم",G49)))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4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9F49703-2502-4C70-8A72-4154ABB9F2B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95D8F0A6-87E7-4F32-8557-23FF97E51E58}">
          <x14:formula1>
            <xm:f>'بيانات التقييم'!$A$81:$A$103</xm:f>
          </x14:formula1>
          <xm:sqref>F40:F45 F35:F38 F28:F34 F21:F25 F13:F19 F9:F11</xm:sqref>
        </x14:dataValidation>
        <x14:dataValidation type="list" allowBlank="1" showInputMessage="1" showErrorMessage="1" xr:uid="{35CD82E3-FFFC-47BE-88F1-058A402CB8FA}">
          <x14:formula1>
            <xm:f>'بيانات التقييم'!$A$168:$A$255</xm:f>
          </x14:formula1>
          <xm:sqref>G49:J49 F3:J3</xm:sqref>
        </x14:dataValidation>
        <x14:dataValidation type="list" allowBlank="1" showInputMessage="1" showErrorMessage="1" xr:uid="{DD6A04D7-D44C-4B41-9E81-C47E8C963A8A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2E49A651-7DFB-4CF0-821A-B35F14A7C6BD}">
          <x14:formula1>
            <xm:f>'بيانات التقييم'!$A$38:$A$76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7"/>
  <sheetViews>
    <sheetView rightToLeft="1" topLeftCell="A81" workbookViewId="0">
      <selection activeCell="C10" sqref="C10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63</v>
      </c>
    </row>
    <row r="3" spans="1:3" ht="20.100000000000001" customHeight="1" thickBot="1" x14ac:dyDescent="0.3">
      <c r="A3" s="2" t="s">
        <v>26</v>
      </c>
      <c r="C3" s="17" t="s">
        <v>64</v>
      </c>
    </row>
    <row r="4" spans="1:3" ht="20.100000000000001" customHeight="1" thickBot="1" x14ac:dyDescent="0.3">
      <c r="A4" s="2" t="s">
        <v>36</v>
      </c>
      <c r="C4" s="17" t="s">
        <v>65</v>
      </c>
    </row>
    <row r="5" spans="1:3" ht="20.100000000000001" customHeight="1" thickBot="1" x14ac:dyDescent="0.3">
      <c r="A5" s="2" t="s">
        <v>37</v>
      </c>
      <c r="C5" s="17" t="s">
        <v>66</v>
      </c>
    </row>
    <row r="6" spans="1:3" ht="20.100000000000001" customHeight="1" thickBot="1" x14ac:dyDescent="0.3">
      <c r="A6" s="2" t="s">
        <v>38</v>
      </c>
      <c r="C6" s="17" t="s">
        <v>67</v>
      </c>
    </row>
    <row r="7" spans="1:3" ht="20.100000000000001" customHeight="1" thickBot="1" x14ac:dyDescent="0.3">
      <c r="A7" s="2" t="s">
        <v>39</v>
      </c>
      <c r="C7" s="17" t="s">
        <v>68</v>
      </c>
    </row>
    <row r="8" spans="1:3" ht="20.100000000000001" customHeight="1" thickBot="1" x14ac:dyDescent="0.3">
      <c r="A8" s="2" t="s">
        <v>40</v>
      </c>
      <c r="C8" s="17" t="s">
        <v>69</v>
      </c>
    </row>
    <row r="9" spans="1:3" ht="20.100000000000001" customHeight="1" thickBot="1" x14ac:dyDescent="0.3">
      <c r="A9" s="2" t="s">
        <v>41</v>
      </c>
      <c r="C9" s="17" t="s">
        <v>70</v>
      </c>
    </row>
    <row r="10" spans="1:3" ht="20.100000000000001" customHeight="1" thickBot="1" x14ac:dyDescent="0.3">
      <c r="A10" s="2" t="s">
        <v>42</v>
      </c>
      <c r="C10" s="17" t="s">
        <v>71</v>
      </c>
    </row>
    <row r="11" spans="1:3" ht="20.100000000000001" customHeight="1" thickBot="1" x14ac:dyDescent="0.3">
      <c r="A11" s="2" t="s">
        <v>43</v>
      </c>
      <c r="C11" s="17" t="s">
        <v>72</v>
      </c>
    </row>
    <row r="12" spans="1:3" ht="20.100000000000001" customHeight="1" thickBot="1" x14ac:dyDescent="0.3">
      <c r="A12" s="2" t="s">
        <v>44</v>
      </c>
      <c r="C12" s="17" t="s">
        <v>73</v>
      </c>
    </row>
    <row r="13" spans="1:3" ht="20.100000000000001" customHeight="1" thickBot="1" x14ac:dyDescent="0.3">
      <c r="A13" s="2" t="s">
        <v>45</v>
      </c>
      <c r="C13" s="17" t="s">
        <v>74</v>
      </c>
    </row>
    <row r="14" spans="1:3" ht="20.100000000000001" customHeight="1" thickBot="1" x14ac:dyDescent="0.3">
      <c r="A14" s="2" t="s">
        <v>46</v>
      </c>
      <c r="C14" s="17" t="s">
        <v>75</v>
      </c>
    </row>
    <row r="15" spans="1:3" ht="20.100000000000001" customHeight="1" thickBot="1" x14ac:dyDescent="0.3">
      <c r="A15" s="2" t="s">
        <v>47</v>
      </c>
      <c r="C15" s="17" t="s">
        <v>76</v>
      </c>
    </row>
    <row r="16" spans="1:3" ht="20.100000000000001" customHeight="1" thickBot="1" x14ac:dyDescent="0.3">
      <c r="A16" s="2" t="s">
        <v>10</v>
      </c>
      <c r="C16" s="17" t="s">
        <v>77</v>
      </c>
    </row>
    <row r="17" spans="1:3" ht="20.100000000000001" customHeight="1" thickBot="1" x14ac:dyDescent="0.3">
      <c r="A17" s="2" t="s">
        <v>27</v>
      </c>
      <c r="C17" s="17" t="s">
        <v>78</v>
      </c>
    </row>
    <row r="18" spans="1:3" ht="20.100000000000001" customHeight="1" thickBot="1" x14ac:dyDescent="0.3">
      <c r="A18" s="2" t="s">
        <v>48</v>
      </c>
      <c r="C18" s="17" t="s">
        <v>79</v>
      </c>
    </row>
    <row r="19" spans="1:3" ht="20.100000000000001" customHeight="1" thickBot="1" x14ac:dyDescent="0.3">
      <c r="A19" s="2" t="s">
        <v>49</v>
      </c>
      <c r="C19" s="17" t="s">
        <v>80</v>
      </c>
    </row>
    <row r="20" spans="1:3" ht="20.100000000000001" customHeight="1" thickBot="1" x14ac:dyDescent="0.3">
      <c r="A20" s="2" t="s">
        <v>50</v>
      </c>
      <c r="C20" s="17" t="s">
        <v>81</v>
      </c>
    </row>
    <row r="21" spans="1:3" ht="20.100000000000001" customHeight="1" thickBot="1" x14ac:dyDescent="0.3">
      <c r="A21" s="2" t="s">
        <v>51</v>
      </c>
      <c r="C21" s="17" t="s">
        <v>82</v>
      </c>
    </row>
    <row r="22" spans="1:3" ht="20.100000000000001" customHeight="1" thickBot="1" x14ac:dyDescent="0.3">
      <c r="A22" s="2" t="s">
        <v>11</v>
      </c>
      <c r="C22" s="17" t="s">
        <v>83</v>
      </c>
    </row>
    <row r="23" spans="1:3" ht="20.100000000000001" customHeight="1" thickBot="1" x14ac:dyDescent="0.3">
      <c r="A23" s="2" t="s">
        <v>12</v>
      </c>
      <c r="C23" s="17" t="s">
        <v>84</v>
      </c>
    </row>
    <row r="24" spans="1:3" ht="20.100000000000001" customHeight="1" thickBot="1" x14ac:dyDescent="0.3">
      <c r="A24" s="2" t="s">
        <v>15</v>
      </c>
      <c r="C24" s="17" t="s">
        <v>85</v>
      </c>
    </row>
    <row r="25" spans="1:3" ht="20.100000000000001" customHeight="1" thickBot="1" x14ac:dyDescent="0.3">
      <c r="A25" s="2" t="s">
        <v>28</v>
      </c>
      <c r="C25" s="17" t="s">
        <v>86</v>
      </c>
    </row>
    <row r="26" spans="1:3" ht="20.100000000000001" customHeight="1" thickBot="1" x14ac:dyDescent="0.3">
      <c r="A26" s="2" t="s">
        <v>29</v>
      </c>
      <c r="C26" s="17" t="s">
        <v>87</v>
      </c>
    </row>
    <row r="27" spans="1:3" ht="20.100000000000001" customHeight="1" thickBot="1" x14ac:dyDescent="0.3">
      <c r="A27" s="2" t="s">
        <v>13</v>
      </c>
      <c r="C27" s="17" t="s">
        <v>88</v>
      </c>
    </row>
    <row r="28" spans="1:3" ht="20.100000000000001" customHeight="1" thickBot="1" x14ac:dyDescent="0.3">
      <c r="A28" s="2" t="s">
        <v>30</v>
      </c>
      <c r="C28" s="17" t="s">
        <v>89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9" ht="20.100000000000001" customHeight="1" thickBot="1" x14ac:dyDescent="0.3">
      <c r="A65" s="11">
        <v>45957</v>
      </c>
    </row>
    <row r="66" spans="1:9" ht="20.100000000000001" customHeight="1" thickBot="1" x14ac:dyDescent="0.3">
      <c r="A66" s="11">
        <v>45958</v>
      </c>
    </row>
    <row r="67" spans="1:9" ht="20.100000000000001" customHeight="1" thickBot="1" x14ac:dyDescent="0.3">
      <c r="A67" s="11">
        <v>45959</v>
      </c>
    </row>
    <row r="68" spans="1:9" ht="20.100000000000001" customHeight="1" thickBot="1" x14ac:dyDescent="0.3">
      <c r="A68" s="11">
        <v>45960</v>
      </c>
    </row>
    <row r="69" spans="1:9" ht="20.100000000000001" customHeight="1" thickBot="1" x14ac:dyDescent="0.3">
      <c r="A69" s="11">
        <v>45961</v>
      </c>
    </row>
    <row r="70" spans="1:9" ht="20.100000000000001" customHeight="1" thickBot="1" x14ac:dyDescent="0.3">
      <c r="A70" s="11">
        <v>45962</v>
      </c>
    </row>
    <row r="71" spans="1:9" ht="20.100000000000001" customHeight="1" thickBot="1" x14ac:dyDescent="0.3">
      <c r="A71" s="11">
        <v>45963</v>
      </c>
    </row>
    <row r="72" spans="1:9" ht="20.100000000000001" customHeight="1" thickBot="1" x14ac:dyDescent="0.3">
      <c r="A72" s="11">
        <v>45964</v>
      </c>
    </row>
    <row r="73" spans="1:9" ht="20.100000000000001" customHeight="1" thickBot="1" x14ac:dyDescent="0.3">
      <c r="A73" s="11">
        <v>45965</v>
      </c>
    </row>
    <row r="74" spans="1:9" ht="20.100000000000001" customHeight="1" thickBot="1" x14ac:dyDescent="0.3">
      <c r="A74" s="11">
        <v>45966</v>
      </c>
    </row>
    <row r="75" spans="1:9" ht="20.100000000000001" customHeight="1" thickBot="1" x14ac:dyDescent="0.3">
      <c r="A75" s="11">
        <v>45967</v>
      </c>
    </row>
    <row r="76" spans="1:9" ht="20.100000000000001" customHeight="1" thickBot="1" x14ac:dyDescent="0.3">
      <c r="A76" s="11">
        <v>45968</v>
      </c>
    </row>
    <row r="77" spans="1:9" ht="20.100000000000001" customHeight="1" x14ac:dyDescent="0.2">
      <c r="A77" s="12"/>
    </row>
    <row r="78" spans="1:9" ht="20.100000000000001" customHeight="1" x14ac:dyDescent="0.2">
      <c r="A78" s="12"/>
    </row>
    <row r="79" spans="1:9" s="15" customFormat="1" ht="20.100000000000001" customHeight="1" x14ac:dyDescent="0.2">
      <c r="A79" s="13"/>
      <c r="B79" s="14"/>
      <c r="C79" s="14"/>
      <c r="D79" s="14"/>
      <c r="E79" s="14"/>
      <c r="F79" s="14"/>
      <c r="G79" s="14"/>
      <c r="H79" s="14"/>
      <c r="I79" s="14"/>
    </row>
    <row r="80" spans="1:9" ht="20.100000000000001" customHeight="1" thickBot="1" x14ac:dyDescent="0.25"/>
    <row r="81" spans="1:1" ht="20.100000000000001" customHeight="1" thickBot="1" x14ac:dyDescent="0.3">
      <c r="A81" s="2" t="s">
        <v>61</v>
      </c>
    </row>
    <row r="82" spans="1:1" ht="20.100000000000001" customHeight="1" thickBot="1" x14ac:dyDescent="0.3">
      <c r="A82" s="2" t="s">
        <v>17</v>
      </c>
    </row>
    <row r="83" spans="1:1" ht="20.100000000000001" customHeight="1" thickBot="1" x14ac:dyDescent="0.25">
      <c r="A83" s="2">
        <v>0</v>
      </c>
    </row>
    <row r="84" spans="1:1" ht="20.100000000000001" customHeight="1" thickBot="1" x14ac:dyDescent="0.25">
      <c r="A84" s="2">
        <v>0.25</v>
      </c>
    </row>
    <row r="85" spans="1:1" ht="20.100000000000001" customHeight="1" thickBot="1" x14ac:dyDescent="0.25">
      <c r="A85" s="2">
        <v>0.5</v>
      </c>
    </row>
    <row r="86" spans="1:1" ht="20.100000000000001" customHeight="1" thickBot="1" x14ac:dyDescent="0.25">
      <c r="A86" s="2">
        <v>0.75</v>
      </c>
    </row>
    <row r="87" spans="1:1" ht="20.100000000000001" customHeight="1" thickBot="1" x14ac:dyDescent="0.25">
      <c r="A87" s="2">
        <v>1</v>
      </c>
    </row>
    <row r="88" spans="1:1" ht="20.100000000000001" customHeight="1" thickBot="1" x14ac:dyDescent="0.25">
      <c r="A88" s="2">
        <v>1.25</v>
      </c>
    </row>
    <row r="89" spans="1:1" ht="20.100000000000001" customHeight="1" thickBot="1" x14ac:dyDescent="0.25">
      <c r="A89" s="2">
        <v>1.5</v>
      </c>
    </row>
    <row r="90" spans="1:1" ht="20.100000000000001" customHeight="1" thickBot="1" x14ac:dyDescent="0.25">
      <c r="A90" s="2">
        <v>1.75</v>
      </c>
    </row>
    <row r="91" spans="1:1" ht="20.100000000000001" customHeight="1" thickBot="1" x14ac:dyDescent="0.25">
      <c r="A91" s="2">
        <v>2</v>
      </c>
    </row>
    <row r="92" spans="1:1" ht="20.100000000000001" customHeight="1" thickBot="1" x14ac:dyDescent="0.25">
      <c r="A92" s="2">
        <v>2.25</v>
      </c>
    </row>
    <row r="93" spans="1:1" ht="20.100000000000001" customHeight="1" thickBot="1" x14ac:dyDescent="0.25">
      <c r="A93" s="2">
        <v>2.5</v>
      </c>
    </row>
    <row r="94" spans="1:1" ht="20.100000000000001" customHeight="1" thickBot="1" x14ac:dyDescent="0.25">
      <c r="A94" s="2">
        <v>2.75</v>
      </c>
    </row>
    <row r="95" spans="1:1" ht="20.100000000000001" customHeight="1" thickBot="1" x14ac:dyDescent="0.25">
      <c r="A95" s="2">
        <v>3</v>
      </c>
    </row>
    <row r="96" spans="1:1" ht="20.100000000000001" customHeight="1" thickBot="1" x14ac:dyDescent="0.25">
      <c r="A96" s="2">
        <v>3.25</v>
      </c>
    </row>
    <row r="97" spans="1:1" ht="20.100000000000001" customHeight="1" thickBot="1" x14ac:dyDescent="0.25">
      <c r="A97" s="2">
        <v>3.5</v>
      </c>
    </row>
    <row r="98" spans="1:1" ht="20.100000000000001" customHeight="1" thickBot="1" x14ac:dyDescent="0.25">
      <c r="A98" s="2">
        <v>3.75</v>
      </c>
    </row>
    <row r="99" spans="1:1" ht="20.100000000000001" customHeight="1" thickBot="1" x14ac:dyDescent="0.25">
      <c r="A99" s="2">
        <v>4</v>
      </c>
    </row>
    <row r="100" spans="1:1" ht="20.100000000000001" customHeight="1" thickBot="1" x14ac:dyDescent="0.25">
      <c r="A100" s="2">
        <v>4.25</v>
      </c>
    </row>
    <row r="101" spans="1:1" ht="20.100000000000001" customHeight="1" thickBot="1" x14ac:dyDescent="0.25">
      <c r="A101" s="2">
        <v>4.5</v>
      </c>
    </row>
    <row r="102" spans="1:1" ht="20.100000000000001" customHeight="1" thickBot="1" x14ac:dyDescent="0.25">
      <c r="A102" s="2">
        <v>4.75</v>
      </c>
    </row>
    <row r="103" spans="1:1" ht="20.100000000000001" customHeight="1" thickBot="1" x14ac:dyDescent="0.25">
      <c r="A103" s="2">
        <v>5</v>
      </c>
    </row>
    <row r="104" spans="1:1" ht="20.100000000000001" customHeight="1" thickBot="1" x14ac:dyDescent="0.25">
      <c r="A104" s="2">
        <v>5.25</v>
      </c>
    </row>
    <row r="105" spans="1:1" ht="20.100000000000001" customHeight="1" thickBot="1" x14ac:dyDescent="0.25">
      <c r="A105" s="2">
        <v>5.5</v>
      </c>
    </row>
    <row r="106" spans="1:1" ht="20.100000000000001" customHeight="1" thickBot="1" x14ac:dyDescent="0.25">
      <c r="A106" s="2">
        <v>5.75</v>
      </c>
    </row>
    <row r="107" spans="1:1" ht="20.100000000000001" customHeight="1" thickBot="1" x14ac:dyDescent="0.25">
      <c r="A107" s="2">
        <v>6</v>
      </c>
    </row>
    <row r="108" spans="1:1" ht="20.100000000000001" customHeight="1" thickBot="1" x14ac:dyDescent="0.25">
      <c r="A108" s="2">
        <v>6.25</v>
      </c>
    </row>
    <row r="109" spans="1:1" ht="20.100000000000001" customHeight="1" thickBot="1" x14ac:dyDescent="0.25">
      <c r="A109" s="2">
        <v>6.5</v>
      </c>
    </row>
    <row r="110" spans="1:1" ht="20.100000000000001" customHeight="1" thickBot="1" x14ac:dyDescent="0.25">
      <c r="A110" s="2">
        <v>6.75</v>
      </c>
    </row>
    <row r="111" spans="1:1" ht="20.100000000000001" customHeight="1" thickBot="1" x14ac:dyDescent="0.25">
      <c r="A111" s="2">
        <v>7</v>
      </c>
    </row>
    <row r="112" spans="1:1" ht="20.100000000000001" customHeight="1" thickBot="1" x14ac:dyDescent="0.25">
      <c r="A112" s="2">
        <v>7.25</v>
      </c>
    </row>
    <row r="113" spans="1:1" ht="20.100000000000001" customHeight="1" thickBot="1" x14ac:dyDescent="0.25">
      <c r="A113" s="2">
        <v>7.5</v>
      </c>
    </row>
    <row r="114" spans="1:1" ht="20.100000000000001" customHeight="1" thickBot="1" x14ac:dyDescent="0.25">
      <c r="A114" s="2">
        <v>7.75</v>
      </c>
    </row>
    <row r="115" spans="1:1" ht="20.100000000000001" customHeight="1" thickBot="1" x14ac:dyDescent="0.25">
      <c r="A115" s="2">
        <v>8</v>
      </c>
    </row>
    <row r="116" spans="1:1" ht="20.100000000000001" customHeight="1" thickBot="1" x14ac:dyDescent="0.25">
      <c r="A116" s="2">
        <v>8.25</v>
      </c>
    </row>
    <row r="117" spans="1:1" ht="20.100000000000001" customHeight="1" thickBot="1" x14ac:dyDescent="0.25">
      <c r="A117" s="2">
        <v>8.5</v>
      </c>
    </row>
    <row r="118" spans="1:1" ht="20.100000000000001" customHeight="1" thickBot="1" x14ac:dyDescent="0.25">
      <c r="A118" s="2">
        <v>8.75</v>
      </c>
    </row>
    <row r="119" spans="1:1" ht="20.100000000000001" customHeight="1" thickBot="1" x14ac:dyDescent="0.25">
      <c r="A119" s="2">
        <v>9</v>
      </c>
    </row>
    <row r="120" spans="1:1" ht="20.100000000000001" customHeight="1" thickBot="1" x14ac:dyDescent="0.25">
      <c r="A120" s="2">
        <v>9.25</v>
      </c>
    </row>
    <row r="121" spans="1:1" ht="20.100000000000001" customHeight="1" thickBot="1" x14ac:dyDescent="0.25">
      <c r="A121" s="2">
        <v>9.5</v>
      </c>
    </row>
    <row r="122" spans="1:1" ht="20.100000000000001" customHeight="1" thickBot="1" x14ac:dyDescent="0.25">
      <c r="A122" s="2">
        <v>9.75</v>
      </c>
    </row>
    <row r="123" spans="1:1" ht="20.100000000000001" customHeight="1" thickBot="1" x14ac:dyDescent="0.25">
      <c r="A123" s="2">
        <v>10</v>
      </c>
    </row>
    <row r="124" spans="1:1" ht="20.100000000000001" customHeight="1" thickBot="1" x14ac:dyDescent="0.25">
      <c r="A124" s="2">
        <v>10.25</v>
      </c>
    </row>
    <row r="125" spans="1:1" ht="20.100000000000001" customHeight="1" thickBot="1" x14ac:dyDescent="0.25">
      <c r="A125" s="2">
        <v>10.5</v>
      </c>
    </row>
    <row r="126" spans="1:1" ht="20.100000000000001" customHeight="1" thickBot="1" x14ac:dyDescent="0.25">
      <c r="A126" s="2">
        <v>10.75</v>
      </c>
    </row>
    <row r="127" spans="1:1" ht="20.100000000000001" customHeight="1" thickBot="1" x14ac:dyDescent="0.25">
      <c r="A127" s="2">
        <v>11</v>
      </c>
    </row>
    <row r="128" spans="1:1" ht="20.100000000000001" customHeight="1" thickBot="1" x14ac:dyDescent="0.25">
      <c r="A128" s="2">
        <v>11.25</v>
      </c>
    </row>
    <row r="129" spans="1:1" ht="20.100000000000001" customHeight="1" thickBot="1" x14ac:dyDescent="0.25">
      <c r="A129" s="2">
        <v>11.5</v>
      </c>
    </row>
    <row r="130" spans="1:1" ht="20.100000000000001" customHeight="1" thickBot="1" x14ac:dyDescent="0.25">
      <c r="A130" s="2">
        <v>11.75</v>
      </c>
    </row>
    <row r="131" spans="1:1" ht="20.100000000000001" customHeight="1" thickBot="1" x14ac:dyDescent="0.25">
      <c r="A131" s="2">
        <v>12</v>
      </c>
    </row>
    <row r="132" spans="1:1" ht="20.100000000000001" customHeight="1" thickBot="1" x14ac:dyDescent="0.25">
      <c r="A132" s="2">
        <v>12.25</v>
      </c>
    </row>
    <row r="133" spans="1:1" ht="20.100000000000001" customHeight="1" thickBot="1" x14ac:dyDescent="0.25">
      <c r="A133" s="2">
        <v>12.5</v>
      </c>
    </row>
    <row r="134" spans="1:1" ht="20.100000000000001" customHeight="1" thickBot="1" x14ac:dyDescent="0.25">
      <c r="A134" s="2">
        <v>12.75</v>
      </c>
    </row>
    <row r="135" spans="1:1" ht="20.100000000000001" customHeight="1" thickBot="1" x14ac:dyDescent="0.25">
      <c r="A135" s="2">
        <v>13</v>
      </c>
    </row>
    <row r="136" spans="1:1" ht="20.100000000000001" customHeight="1" thickBot="1" x14ac:dyDescent="0.25">
      <c r="A136" s="2">
        <v>13.25</v>
      </c>
    </row>
    <row r="137" spans="1:1" ht="20.100000000000001" customHeight="1" thickBot="1" x14ac:dyDescent="0.25">
      <c r="A137" s="2">
        <v>13.5</v>
      </c>
    </row>
    <row r="138" spans="1:1" ht="20.100000000000001" customHeight="1" thickBot="1" x14ac:dyDescent="0.25">
      <c r="A138" s="2">
        <v>13.75</v>
      </c>
    </row>
    <row r="139" spans="1:1" ht="20.100000000000001" customHeight="1" thickBot="1" x14ac:dyDescent="0.25">
      <c r="A139" s="2">
        <v>14</v>
      </c>
    </row>
    <row r="140" spans="1:1" ht="20.100000000000001" customHeight="1" thickBot="1" x14ac:dyDescent="0.25">
      <c r="A140" s="2">
        <v>14.25</v>
      </c>
    </row>
    <row r="141" spans="1:1" ht="20.100000000000001" customHeight="1" thickBot="1" x14ac:dyDescent="0.25">
      <c r="A141" s="2">
        <v>14.5</v>
      </c>
    </row>
    <row r="142" spans="1:1" ht="20.100000000000001" customHeight="1" thickBot="1" x14ac:dyDescent="0.25">
      <c r="A142" s="2">
        <v>14.75</v>
      </c>
    </row>
    <row r="143" spans="1:1" ht="20.100000000000001" customHeight="1" thickBot="1" x14ac:dyDescent="0.25">
      <c r="A143" s="2">
        <v>15</v>
      </c>
    </row>
    <row r="144" spans="1:1" ht="20.100000000000001" customHeight="1" thickBot="1" x14ac:dyDescent="0.25">
      <c r="A144" s="2">
        <v>15.25</v>
      </c>
    </row>
    <row r="145" spans="1:1" ht="20.100000000000001" customHeight="1" thickBot="1" x14ac:dyDescent="0.25">
      <c r="A145" s="2">
        <v>15.5</v>
      </c>
    </row>
    <row r="146" spans="1:1" ht="20.100000000000001" customHeight="1" thickBot="1" x14ac:dyDescent="0.25">
      <c r="A146" s="2">
        <v>15.75</v>
      </c>
    </row>
    <row r="147" spans="1:1" ht="20.100000000000001" customHeight="1" thickBot="1" x14ac:dyDescent="0.25">
      <c r="A147" s="2">
        <v>16</v>
      </c>
    </row>
    <row r="148" spans="1:1" ht="20.100000000000001" customHeight="1" thickBot="1" x14ac:dyDescent="0.25">
      <c r="A148" s="2">
        <v>16.25</v>
      </c>
    </row>
    <row r="149" spans="1:1" ht="20.100000000000001" customHeight="1" thickBot="1" x14ac:dyDescent="0.25">
      <c r="A149" s="2">
        <v>16.5</v>
      </c>
    </row>
    <row r="150" spans="1:1" ht="20.100000000000001" customHeight="1" thickBot="1" x14ac:dyDescent="0.25">
      <c r="A150" s="2">
        <v>16.75</v>
      </c>
    </row>
    <row r="151" spans="1:1" ht="20.100000000000001" customHeight="1" thickBot="1" x14ac:dyDescent="0.25">
      <c r="A151" s="2">
        <v>17</v>
      </c>
    </row>
    <row r="152" spans="1:1" ht="20.100000000000001" customHeight="1" thickBot="1" x14ac:dyDescent="0.25">
      <c r="A152" s="2">
        <v>17.25</v>
      </c>
    </row>
    <row r="153" spans="1:1" ht="20.100000000000001" customHeight="1" thickBot="1" x14ac:dyDescent="0.25">
      <c r="A153" s="2">
        <v>17.5</v>
      </c>
    </row>
    <row r="154" spans="1:1" ht="20.100000000000001" customHeight="1" thickBot="1" x14ac:dyDescent="0.25">
      <c r="A154" s="2">
        <v>17.75</v>
      </c>
    </row>
    <row r="155" spans="1:1" ht="20.100000000000001" customHeight="1" thickBot="1" x14ac:dyDescent="0.25">
      <c r="A155" s="2">
        <v>18</v>
      </c>
    </row>
    <row r="156" spans="1:1" ht="20.100000000000001" customHeight="1" thickBot="1" x14ac:dyDescent="0.25">
      <c r="A156" s="2">
        <v>18.25</v>
      </c>
    </row>
    <row r="157" spans="1:1" ht="20.100000000000001" customHeight="1" thickBot="1" x14ac:dyDescent="0.25">
      <c r="A157" s="2">
        <v>18.5</v>
      </c>
    </row>
    <row r="158" spans="1:1" ht="20.100000000000001" customHeight="1" thickBot="1" x14ac:dyDescent="0.25">
      <c r="A158" s="2">
        <v>18.75</v>
      </c>
    </row>
    <row r="159" spans="1:1" ht="20.100000000000001" customHeight="1" thickBot="1" x14ac:dyDescent="0.25">
      <c r="A159" s="2">
        <v>19</v>
      </c>
    </row>
    <row r="160" spans="1:1" ht="20.100000000000001" customHeight="1" thickBot="1" x14ac:dyDescent="0.25">
      <c r="A160" s="2">
        <v>19.25</v>
      </c>
    </row>
    <row r="161" spans="1:1" ht="20.100000000000001" customHeight="1" thickBot="1" x14ac:dyDescent="0.25">
      <c r="A161" s="2">
        <v>19.5</v>
      </c>
    </row>
    <row r="162" spans="1:1" ht="20.100000000000001" customHeight="1" thickBot="1" x14ac:dyDescent="0.25">
      <c r="A162" s="2">
        <v>19.75</v>
      </c>
    </row>
    <row r="163" spans="1:1" ht="20.100000000000001" customHeight="1" thickBot="1" x14ac:dyDescent="0.25">
      <c r="A163" s="2">
        <v>20</v>
      </c>
    </row>
    <row r="167" spans="1:1" ht="20.100000000000001" customHeight="1" thickBot="1" x14ac:dyDescent="0.25"/>
    <row r="168" spans="1:1" ht="20.100000000000001" customHeight="1" thickBot="1" x14ac:dyDescent="0.3">
      <c r="A168" s="2" t="s">
        <v>59</v>
      </c>
    </row>
    <row r="169" spans="1:1" ht="20.100000000000001" customHeight="1" x14ac:dyDescent="0.2">
      <c r="A169" s="18" t="s">
        <v>90</v>
      </c>
    </row>
    <row r="170" spans="1:1" ht="20.100000000000001" customHeight="1" x14ac:dyDescent="0.2">
      <c r="A170" s="18" t="s">
        <v>91</v>
      </c>
    </row>
    <row r="171" spans="1:1" ht="20.100000000000001" customHeight="1" x14ac:dyDescent="0.2">
      <c r="A171" s="18" t="s">
        <v>92</v>
      </c>
    </row>
    <row r="172" spans="1:1" ht="20.100000000000001" customHeight="1" x14ac:dyDescent="0.2">
      <c r="A172" s="18" t="s">
        <v>93</v>
      </c>
    </row>
    <row r="173" spans="1:1" ht="20.100000000000001" customHeight="1" x14ac:dyDescent="0.2">
      <c r="A173" s="18" t="s">
        <v>94</v>
      </c>
    </row>
    <row r="174" spans="1:1" ht="20.100000000000001" customHeight="1" x14ac:dyDescent="0.2">
      <c r="A174" s="18" t="s">
        <v>95</v>
      </c>
    </row>
    <row r="175" spans="1:1" ht="20.100000000000001" customHeight="1" x14ac:dyDescent="0.2">
      <c r="A175" s="18" t="s">
        <v>96</v>
      </c>
    </row>
    <row r="176" spans="1:1" ht="20.100000000000001" customHeight="1" x14ac:dyDescent="0.2">
      <c r="A176" s="18" t="s">
        <v>97</v>
      </c>
    </row>
    <row r="177" spans="1:1" ht="20.100000000000001" customHeight="1" x14ac:dyDescent="0.2">
      <c r="A177" s="18" t="s">
        <v>98</v>
      </c>
    </row>
    <row r="178" spans="1:1" ht="20.100000000000001" customHeight="1" x14ac:dyDescent="0.2">
      <c r="A178" s="19" t="s">
        <v>99</v>
      </c>
    </row>
    <row r="179" spans="1:1" ht="20.100000000000001" customHeight="1" x14ac:dyDescent="0.2">
      <c r="A179" s="19" t="s">
        <v>100</v>
      </c>
    </row>
    <row r="180" spans="1:1" ht="20.100000000000001" customHeight="1" x14ac:dyDescent="0.2">
      <c r="A180" s="18" t="s">
        <v>101</v>
      </c>
    </row>
    <row r="181" spans="1:1" ht="20.100000000000001" customHeight="1" x14ac:dyDescent="0.2">
      <c r="A181" s="18" t="s">
        <v>102</v>
      </c>
    </row>
    <row r="182" spans="1:1" ht="20.100000000000001" customHeight="1" x14ac:dyDescent="0.2">
      <c r="A182" s="18" t="s">
        <v>103</v>
      </c>
    </row>
    <row r="183" spans="1:1" ht="20.100000000000001" customHeight="1" x14ac:dyDescent="0.2">
      <c r="A183" s="18" t="s">
        <v>104</v>
      </c>
    </row>
    <row r="184" spans="1:1" ht="20.100000000000001" customHeight="1" x14ac:dyDescent="0.2">
      <c r="A184" s="18" t="s">
        <v>105</v>
      </c>
    </row>
    <row r="185" spans="1:1" ht="20.100000000000001" customHeight="1" x14ac:dyDescent="0.2">
      <c r="A185" s="18" t="s">
        <v>106</v>
      </c>
    </row>
    <row r="186" spans="1:1" ht="20.100000000000001" customHeight="1" x14ac:dyDescent="0.2">
      <c r="A186" s="18" t="s">
        <v>107</v>
      </c>
    </row>
    <row r="187" spans="1:1" ht="20.100000000000001" customHeight="1" x14ac:dyDescent="0.2">
      <c r="A187" s="18" t="s">
        <v>108</v>
      </c>
    </row>
    <row r="188" spans="1:1" ht="20.100000000000001" customHeight="1" x14ac:dyDescent="0.2">
      <c r="A188" s="18" t="s">
        <v>109</v>
      </c>
    </row>
    <row r="189" spans="1:1" ht="20.100000000000001" customHeight="1" x14ac:dyDescent="0.2">
      <c r="A189" s="18" t="s">
        <v>110</v>
      </c>
    </row>
    <row r="190" spans="1:1" ht="20.100000000000001" customHeight="1" x14ac:dyDescent="0.2">
      <c r="A190" s="18" t="s">
        <v>111</v>
      </c>
    </row>
    <row r="191" spans="1:1" ht="20.100000000000001" customHeight="1" x14ac:dyDescent="0.2">
      <c r="A191" s="18" t="s">
        <v>112</v>
      </c>
    </row>
    <row r="192" spans="1:1" ht="20.100000000000001" customHeight="1" x14ac:dyDescent="0.2">
      <c r="A192" s="18" t="s">
        <v>113</v>
      </c>
    </row>
    <row r="193" spans="1:1" ht="20.100000000000001" customHeight="1" x14ac:dyDescent="0.2">
      <c r="A193" s="18" t="s">
        <v>114</v>
      </c>
    </row>
    <row r="194" spans="1:1" ht="20.100000000000001" customHeight="1" x14ac:dyDescent="0.2">
      <c r="A194" s="18" t="s">
        <v>115</v>
      </c>
    </row>
    <row r="195" spans="1:1" ht="20.100000000000001" customHeight="1" x14ac:dyDescent="0.2">
      <c r="A195" s="18" t="s">
        <v>116</v>
      </c>
    </row>
    <row r="196" spans="1:1" ht="20.100000000000001" customHeight="1" x14ac:dyDescent="0.2">
      <c r="A196" s="18" t="s">
        <v>117</v>
      </c>
    </row>
    <row r="197" spans="1:1" ht="20.100000000000001" customHeight="1" x14ac:dyDescent="0.2">
      <c r="A197" s="18" t="s">
        <v>118</v>
      </c>
    </row>
    <row r="198" spans="1:1" ht="20.100000000000001" customHeight="1" x14ac:dyDescent="0.2">
      <c r="A198" s="18" t="s">
        <v>119</v>
      </c>
    </row>
    <row r="199" spans="1:1" ht="20.100000000000001" customHeight="1" x14ac:dyDescent="0.2">
      <c r="A199" s="18" t="s">
        <v>120</v>
      </c>
    </row>
    <row r="200" spans="1:1" ht="20.100000000000001" customHeight="1" x14ac:dyDescent="0.2">
      <c r="A200" s="18" t="s">
        <v>121</v>
      </c>
    </row>
    <row r="201" spans="1:1" ht="20.100000000000001" customHeight="1" x14ac:dyDescent="0.2">
      <c r="A201" s="18" t="s">
        <v>122</v>
      </c>
    </row>
    <row r="202" spans="1:1" ht="20.100000000000001" customHeight="1" x14ac:dyDescent="0.2">
      <c r="A202" s="18" t="s">
        <v>123</v>
      </c>
    </row>
    <row r="203" spans="1:1" ht="20.100000000000001" customHeight="1" x14ac:dyDescent="0.2">
      <c r="A203" s="18" t="s">
        <v>124</v>
      </c>
    </row>
    <row r="204" spans="1:1" ht="20.100000000000001" customHeight="1" x14ac:dyDescent="0.2">
      <c r="A204" s="18" t="s">
        <v>125</v>
      </c>
    </row>
    <row r="205" spans="1:1" ht="20.100000000000001" customHeight="1" x14ac:dyDescent="0.2">
      <c r="A205" s="20" t="s">
        <v>126</v>
      </c>
    </row>
    <row r="206" spans="1:1" ht="20.100000000000001" customHeight="1" x14ac:dyDescent="0.2">
      <c r="A206" s="18" t="s">
        <v>127</v>
      </c>
    </row>
    <row r="207" spans="1:1" ht="20.100000000000001" customHeight="1" x14ac:dyDescent="0.2">
      <c r="A207" s="18" t="s">
        <v>128</v>
      </c>
    </row>
    <row r="208" spans="1:1" ht="20.100000000000001" customHeight="1" x14ac:dyDescent="0.2">
      <c r="A208" s="18" t="s">
        <v>129</v>
      </c>
    </row>
    <row r="209" spans="1:1" ht="20.100000000000001" customHeight="1" x14ac:dyDescent="0.2">
      <c r="A209" s="18" t="s">
        <v>130</v>
      </c>
    </row>
    <row r="210" spans="1:1" ht="20.100000000000001" customHeight="1" x14ac:dyDescent="0.2">
      <c r="A210" s="18" t="s">
        <v>131</v>
      </c>
    </row>
    <row r="211" spans="1:1" ht="20.100000000000001" customHeight="1" x14ac:dyDescent="0.2">
      <c r="A211" s="18" t="s">
        <v>132</v>
      </c>
    </row>
    <row r="212" spans="1:1" ht="20.100000000000001" customHeight="1" x14ac:dyDescent="0.2">
      <c r="A212" s="18" t="s">
        <v>133</v>
      </c>
    </row>
    <row r="213" spans="1:1" ht="20.100000000000001" customHeight="1" x14ac:dyDescent="0.2">
      <c r="A213" s="18" t="s">
        <v>134</v>
      </c>
    </row>
    <row r="214" spans="1:1" ht="20.100000000000001" customHeight="1" x14ac:dyDescent="0.2">
      <c r="A214" s="18" t="s">
        <v>135</v>
      </c>
    </row>
    <row r="215" spans="1:1" ht="20.100000000000001" customHeight="1" x14ac:dyDescent="0.2">
      <c r="A215" s="18" t="s">
        <v>136</v>
      </c>
    </row>
    <row r="216" spans="1:1" ht="20.100000000000001" customHeight="1" x14ac:dyDescent="0.2">
      <c r="A216" s="18" t="s">
        <v>137</v>
      </c>
    </row>
    <row r="217" spans="1:1" ht="20.100000000000001" customHeight="1" x14ac:dyDescent="0.2">
      <c r="A217" s="18" t="s">
        <v>128</v>
      </c>
    </row>
    <row r="218" spans="1:1" ht="20.100000000000001" customHeight="1" x14ac:dyDescent="0.2">
      <c r="A218" s="18" t="s">
        <v>138</v>
      </c>
    </row>
    <row r="219" spans="1:1" ht="20.100000000000001" customHeight="1" x14ac:dyDescent="0.2">
      <c r="A219" s="18" t="s">
        <v>139</v>
      </c>
    </row>
    <row r="220" spans="1:1" ht="20.100000000000001" customHeight="1" x14ac:dyDescent="0.2">
      <c r="A220" s="20" t="s">
        <v>140</v>
      </c>
    </row>
    <row r="221" spans="1:1" ht="20.100000000000001" customHeight="1" x14ac:dyDescent="0.2">
      <c r="A221" s="21" t="s">
        <v>141</v>
      </c>
    </row>
    <row r="222" spans="1:1" ht="20.100000000000001" customHeight="1" x14ac:dyDescent="0.2">
      <c r="A222" s="18" t="s">
        <v>142</v>
      </c>
    </row>
    <row r="223" spans="1:1" ht="20.100000000000001" customHeight="1" x14ac:dyDescent="0.2">
      <c r="A223" s="18" t="s">
        <v>143</v>
      </c>
    </row>
    <row r="224" spans="1:1" ht="20.100000000000001" customHeight="1" x14ac:dyDescent="0.2">
      <c r="A224" s="22" t="s">
        <v>144</v>
      </c>
    </row>
    <row r="225" spans="1:1" ht="20.100000000000001" customHeight="1" x14ac:dyDescent="0.2">
      <c r="A225" s="22" t="s">
        <v>145</v>
      </c>
    </row>
    <row r="226" spans="1:1" ht="20.100000000000001" customHeight="1" x14ac:dyDescent="0.2">
      <c r="A226" s="23" t="s">
        <v>146</v>
      </c>
    </row>
    <row r="227" spans="1:1" ht="20.100000000000001" customHeight="1" x14ac:dyDescent="0.2">
      <c r="A227" s="18" t="s">
        <v>147</v>
      </c>
    </row>
    <row r="228" spans="1:1" ht="20.100000000000001" customHeight="1" x14ac:dyDescent="0.2">
      <c r="A228" s="23" t="s">
        <v>148</v>
      </c>
    </row>
    <row r="229" spans="1:1" ht="20.100000000000001" customHeight="1" x14ac:dyDescent="0.2">
      <c r="A229" s="18" t="s">
        <v>149</v>
      </c>
    </row>
    <row r="230" spans="1:1" ht="20.100000000000001" customHeight="1" x14ac:dyDescent="0.2">
      <c r="A230" s="23" t="s">
        <v>150</v>
      </c>
    </row>
    <row r="231" spans="1:1" ht="20.100000000000001" customHeight="1" x14ac:dyDescent="0.2">
      <c r="A231" s="18" t="s">
        <v>151</v>
      </c>
    </row>
    <row r="232" spans="1:1" ht="20.100000000000001" customHeight="1" x14ac:dyDescent="0.2">
      <c r="A232" s="18" t="s">
        <v>152</v>
      </c>
    </row>
    <row r="233" spans="1:1" ht="20.100000000000001" customHeight="1" x14ac:dyDescent="0.2">
      <c r="A233" s="23" t="s">
        <v>153</v>
      </c>
    </row>
    <row r="234" spans="1:1" ht="20.100000000000001" customHeight="1" x14ac:dyDescent="0.2">
      <c r="A234" s="23" t="s">
        <v>154</v>
      </c>
    </row>
    <row r="235" spans="1:1" ht="20.100000000000001" customHeight="1" x14ac:dyDescent="0.2">
      <c r="A235" s="23" t="s">
        <v>155</v>
      </c>
    </row>
    <row r="236" spans="1:1" ht="20.100000000000001" customHeight="1" x14ac:dyDescent="0.2">
      <c r="A236" s="18" t="s">
        <v>156</v>
      </c>
    </row>
    <row r="237" spans="1:1" ht="20.100000000000001" customHeight="1" x14ac:dyDescent="0.2">
      <c r="A237" s="18" t="s">
        <v>157</v>
      </c>
    </row>
    <row r="238" spans="1:1" ht="20.100000000000001" customHeight="1" x14ac:dyDescent="0.2">
      <c r="A238" s="18" t="s">
        <v>158</v>
      </c>
    </row>
    <row r="239" spans="1:1" ht="20.100000000000001" customHeight="1" x14ac:dyDescent="0.2">
      <c r="A239" s="18" t="s">
        <v>159</v>
      </c>
    </row>
    <row r="240" spans="1:1" ht="20.100000000000001" customHeight="1" x14ac:dyDescent="0.2">
      <c r="A240" s="23" t="s">
        <v>160</v>
      </c>
    </row>
    <row r="241" spans="1:1" ht="20.100000000000001" customHeight="1" x14ac:dyDescent="0.2">
      <c r="A241" s="23" t="s">
        <v>161</v>
      </c>
    </row>
    <row r="242" spans="1:1" ht="20.100000000000001" customHeight="1" x14ac:dyDescent="0.2">
      <c r="A242" s="18" t="s">
        <v>162</v>
      </c>
    </row>
    <row r="243" spans="1:1" ht="20.100000000000001" customHeight="1" x14ac:dyDescent="0.2">
      <c r="A243" s="23" t="s">
        <v>163</v>
      </c>
    </row>
    <row r="244" spans="1:1" ht="20.100000000000001" customHeight="1" x14ac:dyDescent="0.2">
      <c r="A244" s="23" t="s">
        <v>164</v>
      </c>
    </row>
    <row r="245" spans="1:1" ht="20.100000000000001" customHeight="1" x14ac:dyDescent="0.2">
      <c r="A245" s="18" t="s">
        <v>165</v>
      </c>
    </row>
    <row r="246" spans="1:1" ht="20.100000000000001" customHeight="1" x14ac:dyDescent="0.2">
      <c r="A246" s="18" t="s">
        <v>166</v>
      </c>
    </row>
    <row r="247" spans="1:1" ht="20.100000000000001" customHeight="1" x14ac:dyDescent="0.2">
      <c r="A247" s="23" t="s">
        <v>167</v>
      </c>
    </row>
    <row r="248" spans="1:1" ht="20.100000000000001" customHeight="1" x14ac:dyDescent="0.2">
      <c r="A248" s="18" t="s">
        <v>168</v>
      </c>
    </row>
    <row r="249" spans="1:1" ht="20.100000000000001" customHeight="1" x14ac:dyDescent="0.2">
      <c r="A249" s="18" t="s">
        <v>169</v>
      </c>
    </row>
    <row r="250" spans="1:1" ht="20.100000000000001" customHeight="1" x14ac:dyDescent="0.2">
      <c r="A250" s="18" t="s">
        <v>170</v>
      </c>
    </row>
    <row r="251" spans="1:1" ht="20.100000000000001" customHeight="1" x14ac:dyDescent="0.2">
      <c r="A251" s="18" t="s">
        <v>171</v>
      </c>
    </row>
    <row r="252" spans="1:1" ht="20.100000000000001" customHeight="1" x14ac:dyDescent="0.2">
      <c r="A252" s="23" t="s">
        <v>172</v>
      </c>
    </row>
    <row r="253" spans="1:1" ht="20.100000000000001" customHeight="1" x14ac:dyDescent="0.2">
      <c r="A253" s="23" t="s">
        <v>173</v>
      </c>
    </row>
    <row r="254" spans="1:1" ht="20.100000000000001" customHeight="1" x14ac:dyDescent="0.2">
      <c r="A254" s="23" t="s">
        <v>174</v>
      </c>
    </row>
    <row r="255" spans="1:1" ht="20.100000000000001" customHeight="1" thickBot="1" x14ac:dyDescent="0.25">
      <c r="A255" s="18" t="s">
        <v>175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2025-10-22T03:21:37Z</dcterms:modified>
</cp:coreProperties>
</file>