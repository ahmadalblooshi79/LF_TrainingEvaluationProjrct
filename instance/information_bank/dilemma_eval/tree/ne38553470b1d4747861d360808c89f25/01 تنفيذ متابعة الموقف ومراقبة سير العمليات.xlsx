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22AB4DB-9B10-452C-817E-922EFFF117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8" i="2"/>
  <c r="H8" i="2"/>
  <c r="F23" i="2"/>
  <c r="E23" i="2"/>
  <c r="E24" i="2"/>
  <c r="E25" i="2"/>
</calcChain>
</file>

<file path=xl/sharedStrings.xml><?xml version="1.0" encoding="utf-8"?>
<sst xmlns="http://schemas.openxmlformats.org/spreadsheetml/2006/main" count="253" uniqueCount="197">
  <si>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</si>
  <si>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</si>
  <si>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</si>
  <si>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</si>
  <si>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</si>
  <si>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</si>
  <si>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</si>
  <si>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</si>
  <si>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</si>
  <si>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</si>
  <si>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</si>
  <si>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</si>
  <si>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</si>
  <si>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</si>
  <si>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</si>
  <si>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</si>
  <si>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</si>
  <si>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</si>
  <si>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</si>
  <si>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</si>
  <si>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</si>
  <si>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</si>
  <si>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</si>
  <si>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</si>
  <si>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</si>
  <si>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</si>
  <si>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</si>
  <si>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</si>
  <si>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</si>
  <si>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</si>
  <si>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</si>
  <si>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</si>
  <si>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</si>
  <si>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</si>
  <si>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</si>
  <si>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</si>
  <si>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</si>
  <si>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</si>
  <si>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</si>
  <si>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</si>
  <si>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</si>
  <si>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</si>
  <si>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</si>
  <si>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</si>
  <si>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</si>
  <si>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</si>
  <si>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</si>
  <si>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</si>
  <si>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</si>
  <si>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</si>
  <si>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</si>
  <si>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</si>
  <si>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</si>
  <si>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</si>
  <si>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</si>
  <si>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</si>
  <si>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</si>
  <si>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</si>
  <si>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</si>
  <si>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</si>
  <si>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</si>
  <si>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</si>
  <si>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</si>
  <si>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</si>
  <si>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</si>
  <si>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</si>
  <si>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</si>
  <si>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</si>
  <si>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</si>
  <si>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</si>
  <si>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</si>
  <si>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</si>
  <si>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</si>
  <si>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</si>
  <si>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</si>
  <si>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</si>
  <si>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</si>
  <si>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</si>
  <si>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</si>
  <si>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</si>
  <si>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</si>
  <si>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</si>
  <si>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</si>
  <si>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</si>
  <si>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</si>
  <si>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</si>
  <si>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</si>
  <si>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</si>
  <si>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</si>
  <si>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</si>
  <si>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</si>
  <si>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</si>
  <si>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</si>
  <si>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</si>
  <si>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</si>
  <si>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</si>
  <si>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</si>
  <si>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</si>
  <si>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</si>
  <si>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</si>
  <si>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</si>
  <si>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</si>
  <si>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</si>
  <si>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</si>
  <si>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</si>
  <si>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</si>
  <si>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</si>
  <si>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</si>
  <si>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</si>
  <si>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</si>
  <si>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</si>
  <si>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</si>
  <si>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</si>
  <si>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</si>
  <si>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</si>
  <si>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</si>
  <si>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</si>
  <si>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</si>
  <si>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</si>
  <si>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</si>
  <si>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</si>
  <si>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</si>
  <si>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</si>
  <si>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</si>
  <si>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</si>
  <si>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</si>
  <si>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</si>
  <si>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</si>
  <si>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</si>
  <si>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</si>
  <si>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</si>
  <si>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</si>
  <si>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</si>
  <si>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</si>
  <si>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</si>
  <si>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</si>
  <si>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</si>
  <si>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</si>
  <si>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</si>
  <si>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</si>
  <si>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</si>
  <si>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</si>
  <si>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</si>
  <si>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</si>
  <si>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</si>
  <si>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</si>
  <si>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</si>
  <si>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</si>
  <si>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</si>
  <si>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</si>
  <si>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</si>
  <si>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</si>
  <si>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</si>
  <si>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</si>
  <si>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</si>
  <si>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</si>
  <si>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</si>
  <si>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</si>
  <si>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</si>
  <si>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</si>
  <si>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</si>
  <si>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</si>
  <si>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</si>
  <si>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</si>
  <si>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</si>
  <si>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</si>
  <si>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</si>
  <si>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</si>
  <si>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</si>
  <si>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</si>
  <si>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</si>
  <si>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</si>
  <si>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</si>
  <si>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</si>
  <si>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</si>
  <si>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</si>
  <si>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</si>
  <si>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</si>
  <si>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</si>
  <si>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</si>
  <si>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يتابع قائد السرية الموقف من مركز القيادة في مجموعة اللواء وبحد أدنى وكما يلي:</t>
    </r>
  </si>
  <si>
    <t>أ.   موقع فصائل الهندسة وحركتها.</t>
  </si>
  <si>
    <t>ب. موقع فصائل الإسناد والوحدات المجاورة وحركتها.</t>
  </si>
  <si>
    <t>جـ. متابعة مواقع قوات العدو وحجمها وحركتها ونشاطاتها.</t>
  </si>
  <si>
    <t>د.  متابعة حالة الطقس.</t>
  </si>
  <si>
    <t>هـ. متابعة موقف حقول الألغام لقواتنا.</t>
  </si>
  <si>
    <t>و.  متابعة موقف موانع قوات العدو.</t>
  </si>
  <si>
    <t>ز.  متابعة حركة المدنيين (النازحين) ضمن منطقة العمليات.</t>
  </si>
  <si>
    <t>ح.  متابعة موقف الإمداد والقوى البشرية لسرية الهندسة.</t>
  </si>
  <si>
    <t>ط. متابعة موقف الأسلحة والأجهزة والمعدات الهامة.</t>
  </si>
  <si>
    <t>ي. متابعة إرسال التقارير للمستوى الأعلى.</t>
  </si>
  <si>
    <t>ك. متابعة التقارير الواردة من الوحدات المرؤوسة.</t>
  </si>
  <si>
    <t>ل. متابعة متطلبات القائد من المعلومات الهامة/ الحرجة.</t>
  </si>
  <si>
    <t>م.  متابعة أوامر العمليات أو الأوامر المجزأة الصادرة من المستوى الأعلى.</t>
  </si>
  <si>
    <r>
      <t>2.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توزيع المعلومات إلى المعنيين حسب الحاجة.</t>
    </r>
  </si>
  <si>
    <r>
      <rPr>
        <b/>
        <sz val="14"/>
        <color rgb="FF000000"/>
        <rFont val="Arial"/>
        <family val="2"/>
      </rPr>
      <t>تقييم متابعة موقف سرية الهندسة ومراقبة سير العمليات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</si>
  <si>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النقيب/ مطر محمد بالهوش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</si>
</sst>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13" fillId="0" borderId="4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indent="3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20" xfId="0" applyFont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3" fillId="0" borderId="1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367915</xdr:colOff>
      <xdr:row>26</xdr:row>
      <xdr:rowOff>11828</xdr:rowOff>
    </xdr:from>
    <xdr:to>
      <xdr:col>9</xdr:col>
      <xdr:colOff>394174</xdr:colOff>
      <xdr:row>26</xdr:row>
      <xdr:rowOff>631388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8C32429-F337-6BFC-2B24-9BCF01D3620A}"/>
                </a:ext>
              </a:extLst>
            </xdr14:cNvPr>
            <xdr14:cNvContentPartPr/>
          </xdr14:nvContentPartPr>
          <xdr14:nvPr macro=""/>
          <xdr14:xfrm>
            <a:off x="10398192645" y="10321920"/>
            <a:ext cx="1342440" cy="6195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8C32429-F337-6BFC-2B24-9BCF01D3620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84005" y="10312920"/>
              <a:ext cx="1360080" cy="637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00:23.06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1204 1342 8905,'0'0'0,"-30"-14"777,0 10-297,-3-11-328,33 15-152,-26-1-80,15-2-72,6 0 32,-5 1 96,10 2 24,-2-5 24,-3 2-16,5-1-120,0 0-64,0 4 176,0-4-320,12-8 47,-7 1 25,6-2 24,-11 13 224,5-18-56,11-2 24,0-3 32,1-4 16,-17 27-16,14-28 16,2-5 0,0-1 8,-1-2 0,-15 36-24,17-35 56,-4-1-32,1-1-8,-3-1 48,-11 38-64,12-40 16,0 0-16,0 0 8,2 3-8,-14 37 0,12-35-48,-1 4 64,-4 6-32,-4 7-32,-3 18 48,4-6-16,-1 2 24,-3 1 40,0 3-24,0 0-24,0 0-24,0 3-56,0 1-40,-3 9 40,3-13 80,-2 14 8,0 5-24,-1 3 56,3 4-64,0-26 24,-2 29-8,2 0 0,0 1-32,5-3 40,-5-27 0,12 23-24,-10 0-8,11-3 32,-8 0 24,-5-20-24,17 19 8,-6-2 8,-6 2-56,12-2-24,-17-17 64,2 17-24,16-1 24,-15 1 48,13-3-72,-16-14 24,4 13 24,11-2-80,-13-7 8,3 1 88,-5-5-40,11 11-40,-8-11 8,-3 0 32,0 0-40,0 0 104,0 0 24,0 0 0,0 0-288,-3-1 496,-5-4-272,-7 1 0,-3-9 8,18 13-32,-22-4 72,2-7-24,-6 6-24,-5-6 0,31 11-24,-30-4 48,-5-2 8,-2 0-16,2 2-16,35 4-24,-42-4 48,-1 2-8,1 2 48,0 0 0,42 0-88,-42 13 96,-2-8 1,1 12-49,1-6 48,42-11-96,-36 11 64,1 2 56,2 0-8,4 1-40,29-14-72,-25 14 24,4-1-48,4-2 0,6-6 24,11-5 0,-2 11-16,-3-11-48,0 4-24,5 1-56,0-5 144,5 11-136,8-8-9,4 0-15,-1 0 8,-16-3 152,26 0-152,5-2 72,1-11 24,3 1-16,-35 12 72,43-18-24,-4 0-16,3-2-56,0-3 64,-42 23 32,49-24-48,-5-3 8,4-4 48,0-2-8,-48 33 0,45-34-16,-1-1-8,-1-1-40,-7-1-48,-36 37 112,38-35-96,-10 0 24,-4 6-48,-4 3 120,-20 26 0,5-17 48,0 13 64,-5-1 72,-2 5 16,2 0-200,-17 3 200,1 10 8,-5 0-40,-5 7-96,26-20-72,-28 28 64,-5 6-16,1 3-24,1 2 8,31-39-32,-28 35-8,4-1-56,4 3 48,4-1-32,16-36 48,-19 37-16,3 0-16,1 0 8,1-2 48,14-35-24,-9 33-8,4-5 8,1-4-56,1-2 48,3-22 8,-2 17-24,2-3-64,0-1-24,5-10-120,-5-3 232,2 4-328,10-1-80,-1-3-256,1 0-200,-12 0 864,16-4-664,3-12 64,-5 0 215,7-2 209,-21 18 176,16-22-208,1 1 64,-1-2 72,-2 1 80,-14 22-8,12-23-16,-8-1 40,8 1 32,-12 0 0,0 23-56,0-18 192,-5 2 176,-3 2 321,-4 8 175,12 6-864,-8-14 880,-7 10-80,3-1-360,0 3-176,12 2-264,-11-2 168,3 2-96,-4 0-48,7 0-24,5 0 0,-4 0-8,1 3-32,2 0 56,-4 1-56,5-4 40,-5 14-32,3 2 32,-3 3-64,0 5-16,5-24 80,0 28-32,-2 5-24,2 1 16,0 4 56,0-38-16,2 39-48,15 0 0,-4-2-24,4-2 0,-17-35 72,16 29-32,-1-3-40,3-5 8,-4-4-16,-14-17 80,19 12-208,0-9-48,-3-3-16,8 0-72,-24 0 344,18 0-264,1-3 88,-1-11 64,5-2 64,-23 16 48,27-20 24,-4-6 0,7-3 64,-2-6 40,-28 35-128,30-37 64,3-4 40,-2-1-32,3-4 24,-34 46-96,32-45 160,-5-1-40,6-1-56,-5-1 24,-28 48-88,30-48 72,-4-4-8,-5 0 56,-2-1-24,-19 53-96,16-48 72,-7 2 56,-4 7 16,-3 4-8,-2 35-136,0-34 112,0 2-48,0 0-24,0 1-8,0 31-32,-2-30 8,-3 2 40,-4-1-32,2 4-8,7 25-8,-12-26 72,7 3 48,-8 1-40,6-1-16,7 23-64,-12-21 64,1-1-64,-1 2 96,0 3 72,12 17-168,-19-14 233,0 10 151,-1-7 136,-4 11 40,24 0-560,-24 0 544,1 0-48,0 12-168,2 0-168,21-12-160,-16 17 48,-1 7-88,4 6-64,10 5 64,3-35 40,-17 44-8,17 5-40,-2 3-8,2 5 40,0-57 16,0 58-32,5 2 8,7 3-8,-10-1-24,-2-62 56,16 64-24,-11-1 24,9-4-16,0-3 24,-14-56-8,14 53-88,1-5 8,0-4 0,0-6-56,-15-38 136,11 34-128,1-4-8,2-6-32,2-4 0,-16-20 168,15 15-200,0-11-72,2 0-56,-1-4 32,-16 0 296,19-1-312,-3-12 79,6-4 65,-4-5 72,-18 22 96,21-25-32,3-5 40,-6-3 40,6-1-40,-24 34-8,16-34 8,1-1 8,-4 3 8,-10 7-8,-3 25-16,4-16 40,1 12-8,-5 2-40,0 1-16,0 1 24,0 0-40,0 0-32,3 3-24,-3 0 8,0-3 88,2 11-120,5-8 24,-7 8 16,4-8 16,-4-3 64,5 11-40,-3-8 8,3 2-16,2-1 40,-7-4 8,0 4-16,3 0 16,4 8 8,-5-9 0,-2-3-8,4 12-8,1 0 0,-3 2 0,3 2 0,-5-16 8,10 17 0,-10 1 0,5 1 8,8 0-24,-13-19 16,2 22-48,1 1-8,11-2 8,-11 2 32,-3-23 16,13 20 0,-11-1 0,18 0-40,-16-2 16,-4-17 24,12 16-16,-10-1-8,15-2 24,-13-9-48,-4-4 48,16 16-40,-4-13 8,-3 1-16,3-1 64,-12-3-16,12 0-8,2 0 32,5-4 16,-1-12 16,-18 16-56,23-16 16,4-5 16,-2-3-8,0-6-8,-25 30-16,28-36 56,3-3-16,2-7 16,0-2-24,-33 48-32,28-51 64,0-2-16,0-1-8,-5-3-16,-23 57-24,21-61 16,-3-7 0,2-7 16,-9-8-8,-11 83-24,14-88-8,-9-4 80,6 1-16,-11 7 88,0 84-144,-11-70 248,-6 13 57,-3 16 79,-8 8 16,28 33-400,-24-22 384,-4 4-8,2 7 8,1 7 32,25 4-416,-27-4 464,4-1 0,3 5 0,3 0-160,17 0-304,-18 13 176,3-2-104,4 7-104,-1 6-8,12-24 40,-5 30-48,-9 6 0,12 10-32,0 9 24,2-55 56,-2 63-104,2 12 32,0 8 16,11 9 8,-11-92 48,4 101-16,11 4-24,-4 0 8,3-2-72,-14-103 104,17 99-136,-1-2-16,5-6 32,0-6 24,-21-85 96,16 77-72,3-10-24,0-7-72,-3-9 64,-16-51 104,14 44-72,-4-9 0,-6-8-8,8-8-16,-12-19 96,0 4-112,4 0 80,-4-4 8,0 0 32,0 0-8,-4-3 24,-12-12-8,0-5-8,-6-7 32,22 27-40,-28-33 24,-2-2 0,-5-4 48,-10-3-64,45 42-8,-48-47 24,-9-4-48,4-3 0,-6 0 48,59 54-24,-63-56 72,-3 1 32,-8 2-16,-8 0 16,82 53-104,-85-46 88,-5 3-40,-1 6 24,-7 7 16,98 30-88,-103-24 96,3 5-8,-6 8 24,-1 7-56,107 4-56,-108-4 32,-2 2 56,2 2-16,3 3-64,105-3-8,-100 17 40,4 2 16,3 2-8,11 4-16,82-25-32,-79 27 32,6-1-48,10 0 16,11-4 40,52-22-40,-42 19-8,12-4-24,9-2-24,12-8-128,9-5 184,0 14-424,9-11-112,12 8-112,9-8 24,-30-3 624,47 3-424,11-1 152,15-2 96,12-2 16,-85 2 160,93-6-88,10-10 0,15 2 80,12-4 8,-130 18 0,139-23-8,11-6 8,5-5-16,10-4 40,-165 38-24,171-44 64,8-2 16,1-3-72,5-3 0,-185 52-8,187-51 16,0 2-72,4 3 32,4 6 0,-195 40 24,191-35-64,3 5-217,5 1-1583,-12 7-3209,-187 22 5073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7"/>
  <sheetViews>
    <sheetView rightToLeft="1" tabSelected="1" view="pageBreakPreview" zoomScale="130" zoomScaleNormal="100" zoomScaleSheetLayoutView="130" workbookViewId="0">
      <selection activeCell="F4" sqref="F4:J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7" t="s">
        <v>195</v>
      </c>
      <c r="C1" s="47"/>
      <c r="D1" s="47"/>
      <c r="E1" s="47"/>
      <c r="F1" s="47"/>
      <c r="G1" s="47"/>
      <c r="H1" s="47"/>
      <c r="I1" s="47"/>
      <c r="J1" s="47"/>
    </row>
    <row r="2" spans="1:10" ht="30" customHeight="1" x14ac:dyDescent="0.3">
      <c r="B2" s="18" t="s">
        <v>8</v>
      </c>
      <c r="C2" s="53" t="s">
        <v>12</v>
      </c>
      <c r="D2" s="53"/>
      <c r="E2" s="18" t="s">
        <v>7</v>
      </c>
      <c r="F2" s="48">
        <v>45953</v>
      </c>
      <c r="G2" s="48"/>
      <c r="H2" s="48"/>
      <c r="I2" s="48"/>
      <c r="J2" s="48"/>
    </row>
    <row r="3" spans="1:10" ht="30" customHeight="1" x14ac:dyDescent="0.3">
      <c r="B3" s="18" t="s">
        <v>9</v>
      </c>
      <c r="C3" s="53" t="s">
        <v>73</v>
      </c>
      <c r="D3" s="53"/>
      <c r="E3" s="18" t="s">
        <v>6</v>
      </c>
      <c r="F3" s="53" t="s">
        <v>59</v>
      </c>
      <c r="G3" s="53"/>
      <c r="H3" s="53"/>
      <c r="I3" s="53"/>
      <c r="J3" s="53"/>
    </row>
    <row r="4" spans="1:10" ht="30" customHeight="1" thickBot="1" x14ac:dyDescent="0.35">
      <c r="B4" s="6"/>
      <c r="C4" s="7"/>
      <c r="D4" s="7"/>
      <c r="E4" s="6"/>
      <c r="F4" s="54" t="s">
        <v>196</v>
      </c>
      <c r="G4" s="54"/>
      <c r="H4" s="54"/>
      <c r="I4" s="54"/>
      <c r="J4" s="54"/>
    </row>
    <row r="5" spans="1:10" ht="24.9" customHeight="1" x14ac:dyDescent="0.3">
      <c r="A5" s="15"/>
      <c r="B5" s="49" t="s">
        <v>0</v>
      </c>
      <c r="C5" s="50"/>
      <c r="D5" s="50"/>
      <c r="E5" s="37" t="s">
        <v>1</v>
      </c>
      <c r="F5" s="37"/>
      <c r="G5" s="37"/>
      <c r="H5" s="37"/>
      <c r="I5" s="37" t="s">
        <v>2</v>
      </c>
      <c r="J5" s="38"/>
    </row>
    <row r="6" spans="1:10" ht="24.9" customHeight="1" thickBot="1" x14ac:dyDescent="0.35">
      <c r="A6" s="15"/>
      <c r="B6" s="51"/>
      <c r="C6" s="52"/>
      <c r="D6" s="52"/>
      <c r="E6" s="16" t="s">
        <v>3</v>
      </c>
      <c r="F6" s="16" t="s">
        <v>4</v>
      </c>
      <c r="G6" s="16" t="s">
        <v>23</v>
      </c>
      <c r="H6" s="16" t="s">
        <v>24</v>
      </c>
      <c r="I6" s="39"/>
      <c r="J6" s="40"/>
    </row>
    <row r="7" spans="1:10" ht="24.9" customHeight="1" thickBot="1" x14ac:dyDescent="0.35">
      <c r="A7" s="15"/>
      <c r="B7" s="35" t="s">
        <v>21</v>
      </c>
      <c r="C7" s="36"/>
      <c r="D7" s="36"/>
      <c r="E7" s="17" t="s">
        <v>18</v>
      </c>
      <c r="F7" s="17" t="s">
        <v>19</v>
      </c>
      <c r="G7" s="17" t="s">
        <v>22</v>
      </c>
      <c r="H7" s="17" t="s">
        <v>20</v>
      </c>
      <c r="I7" s="41" t="s">
        <v>25</v>
      </c>
      <c r="J7" s="42"/>
    </row>
    <row r="8" spans="1:10" ht="39.9" customHeight="1" x14ac:dyDescent="0.3">
      <c r="A8" s="15"/>
      <c r="B8" s="45" t="s">
        <v>180</v>
      </c>
      <c r="C8" s="45"/>
      <c r="D8" s="45"/>
      <c r="E8" s="9">
        <v>5</v>
      </c>
      <c r="F8" s="10">
        <v>3.5</v>
      </c>
      <c r="G8" s="11">
        <f>IFERROR(F8/E8,"")</f>
        <v>0.7</v>
      </c>
      <c r="H8" s="8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3"/>
      <c r="J8" s="44"/>
    </row>
    <row r="9" spans="1:10" ht="30" customHeight="1" x14ac:dyDescent="0.3">
      <c r="A9" s="15"/>
      <c r="B9" s="46" t="s">
        <v>181</v>
      </c>
      <c r="C9" s="46"/>
      <c r="D9" s="46"/>
      <c r="E9" s="9">
        <v>5</v>
      </c>
      <c r="F9" s="25">
        <v>3.5</v>
      </c>
      <c r="G9" s="11">
        <f>IFERROR(F9/E9,"")</f>
        <v>0.7</v>
      </c>
      <c r="H9" s="8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3"/>
      <c r="J9" s="44"/>
    </row>
    <row r="10" spans="1:10" ht="30" customHeight="1" x14ac:dyDescent="0.3">
      <c r="A10" s="15"/>
      <c r="B10" s="46" t="s">
        <v>182</v>
      </c>
      <c r="C10" s="46"/>
      <c r="D10" s="46"/>
      <c r="E10" s="12">
        <v>5</v>
      </c>
      <c r="F10" s="14">
        <v>3.75</v>
      </c>
      <c r="G10" s="11">
        <f t="shared" ref="G10:G22" si="0">IFERROR(F10/E10,"")</f>
        <v>0.75</v>
      </c>
      <c r="H10" s="8" t="str">
        <f t="shared" ref="H10:H22" si="1">_xlfn.IFS(F10="أدخل العلامة","",F10="لا ينطبق","تم الإلغاء",G10&gt;=90%,"ممتاز",G10&gt;=80%,"جيد جداً",G10&gt;=70%,"جيد",G10&gt;=60%,"مقبول",G10&lt;60%,"راسب")</f>
        <v>جيد</v>
      </c>
      <c r="I10" s="33"/>
      <c r="J10" s="34"/>
    </row>
    <row r="11" spans="1:10" ht="30" customHeight="1" x14ac:dyDescent="0.3">
      <c r="A11" s="15"/>
      <c r="B11" s="46" t="s">
        <v>183</v>
      </c>
      <c r="C11" s="46"/>
      <c r="D11" s="46"/>
      <c r="E11" s="9">
        <v>5</v>
      </c>
      <c r="F11" s="14">
        <v>3.75</v>
      </c>
      <c r="G11" s="11">
        <f t="shared" si="0"/>
        <v>0.75</v>
      </c>
      <c r="H11" s="8" t="str">
        <f t="shared" si="1"/>
        <v>جيد</v>
      </c>
      <c r="I11" s="33"/>
      <c r="J11" s="34"/>
    </row>
    <row r="12" spans="1:10" ht="30" customHeight="1" x14ac:dyDescent="0.3">
      <c r="A12" s="15"/>
      <c r="B12" s="46" t="s">
        <v>184</v>
      </c>
      <c r="C12" s="46"/>
      <c r="D12" s="46"/>
      <c r="E12" s="12">
        <v>5</v>
      </c>
      <c r="F12" s="14">
        <v>3.5</v>
      </c>
      <c r="G12" s="11">
        <f t="shared" si="0"/>
        <v>0.7</v>
      </c>
      <c r="H12" s="8" t="str">
        <f t="shared" si="1"/>
        <v>جيد</v>
      </c>
      <c r="I12" s="33"/>
      <c r="J12" s="34"/>
    </row>
    <row r="13" spans="1:10" ht="30" customHeight="1" x14ac:dyDescent="0.3">
      <c r="A13" s="15"/>
      <c r="B13" s="46" t="s">
        <v>185</v>
      </c>
      <c r="C13" s="46"/>
      <c r="D13" s="46"/>
      <c r="E13" s="9">
        <v>5</v>
      </c>
      <c r="F13" s="14">
        <v>3.5</v>
      </c>
      <c r="G13" s="11">
        <f t="shared" si="0"/>
        <v>0.7</v>
      </c>
      <c r="H13" s="8" t="str">
        <f t="shared" si="1"/>
        <v>جيد</v>
      </c>
      <c r="I13" s="33"/>
      <c r="J13" s="34"/>
    </row>
    <row r="14" spans="1:10" ht="30" customHeight="1" x14ac:dyDescent="0.3">
      <c r="A14" s="15"/>
      <c r="B14" s="46" t="s">
        <v>186</v>
      </c>
      <c r="C14" s="46"/>
      <c r="D14" s="46"/>
      <c r="E14" s="12">
        <v>5</v>
      </c>
      <c r="F14" s="14">
        <v>3.5</v>
      </c>
      <c r="G14" s="11">
        <f t="shared" si="0"/>
        <v>0.7</v>
      </c>
      <c r="H14" s="8" t="str">
        <f t="shared" si="1"/>
        <v>جيد</v>
      </c>
      <c r="I14" s="33"/>
      <c r="J14" s="34"/>
    </row>
    <row r="15" spans="1:10" ht="30" customHeight="1" x14ac:dyDescent="0.3">
      <c r="A15" s="15"/>
      <c r="B15" s="46" t="s">
        <v>187</v>
      </c>
      <c r="C15" s="46"/>
      <c r="D15" s="46"/>
      <c r="E15" s="9">
        <v>5</v>
      </c>
      <c r="F15" s="14">
        <v>3.75</v>
      </c>
      <c r="G15" s="11">
        <f t="shared" si="0"/>
        <v>0.75</v>
      </c>
      <c r="H15" s="8" t="str">
        <f t="shared" si="1"/>
        <v>جيد</v>
      </c>
      <c r="I15" s="33"/>
      <c r="J15" s="34"/>
    </row>
    <row r="16" spans="1:10" ht="30" customHeight="1" x14ac:dyDescent="0.3">
      <c r="A16" s="15"/>
      <c r="B16" s="46" t="s">
        <v>188</v>
      </c>
      <c r="C16" s="46"/>
      <c r="D16" s="46"/>
      <c r="E16" s="12">
        <v>5</v>
      </c>
      <c r="F16" s="14">
        <v>3.5</v>
      </c>
      <c r="G16" s="11">
        <f t="shared" si="0"/>
        <v>0.7</v>
      </c>
      <c r="H16" s="8" t="str">
        <f t="shared" si="1"/>
        <v>جيد</v>
      </c>
      <c r="I16" s="33"/>
      <c r="J16" s="34"/>
    </row>
    <row r="17" spans="1:10" ht="30" customHeight="1" x14ac:dyDescent="0.3">
      <c r="A17" s="15"/>
      <c r="B17" s="46" t="s">
        <v>189</v>
      </c>
      <c r="C17" s="46"/>
      <c r="D17" s="46"/>
      <c r="E17" s="9">
        <v>5</v>
      </c>
      <c r="F17" s="14">
        <v>3.75</v>
      </c>
      <c r="G17" s="11">
        <f t="shared" si="0"/>
        <v>0.75</v>
      </c>
      <c r="H17" s="8" t="str">
        <f t="shared" si="1"/>
        <v>جيد</v>
      </c>
      <c r="I17" s="33"/>
      <c r="J17" s="34"/>
    </row>
    <row r="18" spans="1:10" ht="30" customHeight="1" x14ac:dyDescent="0.3">
      <c r="A18" s="15"/>
      <c r="B18" s="46" t="s">
        <v>190</v>
      </c>
      <c r="C18" s="46"/>
      <c r="D18" s="46"/>
      <c r="E18" s="12">
        <v>5</v>
      </c>
      <c r="F18" s="14">
        <v>3.75</v>
      </c>
      <c r="G18" s="11">
        <f t="shared" si="0"/>
        <v>0.75</v>
      </c>
      <c r="H18" s="8" t="str">
        <f t="shared" si="1"/>
        <v>جيد</v>
      </c>
      <c r="I18" s="33"/>
      <c r="J18" s="34"/>
    </row>
    <row r="19" spans="1:10" ht="30" customHeight="1" x14ac:dyDescent="0.3">
      <c r="A19" s="15"/>
      <c r="B19" s="46" t="s">
        <v>191</v>
      </c>
      <c r="C19" s="46"/>
      <c r="D19" s="46"/>
      <c r="E19" s="9">
        <v>5</v>
      </c>
      <c r="F19" s="14">
        <v>3.75</v>
      </c>
      <c r="G19" s="11">
        <f t="shared" si="0"/>
        <v>0.75</v>
      </c>
      <c r="H19" s="8" t="str">
        <f t="shared" si="1"/>
        <v>جيد</v>
      </c>
      <c r="I19" s="33"/>
      <c r="J19" s="34"/>
    </row>
    <row r="20" spans="1:10" ht="30" customHeight="1" x14ac:dyDescent="0.3">
      <c r="A20" s="15"/>
      <c r="B20" s="46" t="s">
        <v>192</v>
      </c>
      <c r="C20" s="46"/>
      <c r="D20" s="46"/>
      <c r="E20" s="12">
        <v>5</v>
      </c>
      <c r="F20" s="14">
        <v>3.5</v>
      </c>
      <c r="G20" s="11">
        <f t="shared" si="0"/>
        <v>0.7</v>
      </c>
      <c r="H20" s="8" t="str">
        <f t="shared" si="1"/>
        <v>جيد</v>
      </c>
      <c r="I20" s="33"/>
      <c r="J20" s="34"/>
    </row>
    <row r="21" spans="1:10" ht="39.9" customHeight="1" x14ac:dyDescent="0.3">
      <c r="A21" s="15"/>
      <c r="B21" s="46" t="s">
        <v>193</v>
      </c>
      <c r="C21" s="46"/>
      <c r="D21" s="46"/>
      <c r="E21" s="9">
        <v>5</v>
      </c>
      <c r="F21" s="14">
        <v>3.5</v>
      </c>
      <c r="G21" s="11">
        <f t="shared" si="0"/>
        <v>0.7</v>
      </c>
      <c r="H21" s="8" t="str">
        <f t="shared" si="1"/>
        <v>جيد</v>
      </c>
      <c r="I21" s="33"/>
      <c r="J21" s="34"/>
    </row>
    <row r="22" spans="1:10" ht="30" customHeight="1" thickBot="1" x14ac:dyDescent="0.35">
      <c r="A22" s="15"/>
      <c r="B22" s="57" t="s">
        <v>194</v>
      </c>
      <c r="C22" s="57"/>
      <c r="D22" s="57"/>
      <c r="E22" s="12">
        <v>5</v>
      </c>
      <c r="F22" s="14">
        <v>3.75</v>
      </c>
      <c r="G22" s="11">
        <f t="shared" si="0"/>
        <v>0.75</v>
      </c>
      <c r="H22" s="8" t="str">
        <f t="shared" si="1"/>
        <v>جيد</v>
      </c>
      <c r="I22" s="33"/>
      <c r="J22" s="34"/>
    </row>
    <row r="23" spans="1:10" ht="30" customHeight="1" thickBot="1" x14ac:dyDescent="0.35">
      <c r="A23" s="4"/>
      <c r="B23" s="69" t="s">
        <v>5</v>
      </c>
      <c r="C23" s="41"/>
      <c r="D23" s="41"/>
      <c r="E23" s="13">
        <f>SUM(E8:E22)</f>
        <v>75</v>
      </c>
      <c r="F23" s="13">
        <f>SUM(F8:F22)</f>
        <v>54.25</v>
      </c>
      <c r="G23" s="60"/>
      <c r="H23" s="61"/>
      <c r="I23" s="61"/>
      <c r="J23" s="62"/>
    </row>
    <row r="24" spans="1:10" ht="30" customHeight="1" thickBot="1" x14ac:dyDescent="0.35">
      <c r="A24" s="4"/>
      <c r="B24" s="69" t="s">
        <v>54</v>
      </c>
      <c r="C24" s="41"/>
      <c r="D24" s="41"/>
      <c r="E24" s="55">
        <f>F23/E23/100*100</f>
        <v>0.72333333333333338</v>
      </c>
      <c r="F24" s="55"/>
      <c r="G24" s="55"/>
      <c r="H24" s="55"/>
      <c r="I24" s="55"/>
      <c r="J24" s="56"/>
    </row>
    <row r="25" spans="1:10" ht="30" customHeight="1" thickBot="1" x14ac:dyDescent="0.35">
      <c r="A25" s="4"/>
      <c r="B25" s="69" t="s">
        <v>55</v>
      </c>
      <c r="C25" s="41"/>
      <c r="D25" s="41"/>
      <c r="E25" s="67" t="str">
        <f>_xlfn.IFS(E24&gt;=90%,"ممتاز",E24&gt;=80%,"جيد جداً",E24&gt;=70%,"جيد",E24&gt;=60%,"مقبول",E24&lt;60%,"راسب")</f>
        <v>جيد</v>
      </c>
      <c r="F25" s="67"/>
      <c r="G25" s="67"/>
      <c r="H25" s="67"/>
      <c r="I25" s="67"/>
      <c r="J25" s="68"/>
    </row>
    <row r="26" spans="1:10" ht="42" customHeight="1" x14ac:dyDescent="0.3">
      <c r="B26" s="63" t="s">
        <v>174</v>
      </c>
      <c r="C26" s="63"/>
      <c r="D26" s="63"/>
      <c r="E26" s="58" t="s">
        <v>52</v>
      </c>
      <c r="F26" s="58"/>
      <c r="G26" s="65" t="s">
        <v>59</v>
      </c>
      <c r="H26" s="65"/>
      <c r="I26" s="65"/>
      <c r="J26" s="65"/>
    </row>
    <row r="27" spans="1:10" ht="51" customHeight="1" x14ac:dyDescent="0.3">
      <c r="A27" s="5"/>
      <c r="B27" s="64"/>
      <c r="C27" s="64"/>
      <c r="D27" s="64"/>
      <c r="E27" s="59" t="s">
        <v>53</v>
      </c>
      <c r="F27" s="59"/>
      <c r="G27" s="66"/>
      <c r="H27" s="66"/>
      <c r="I27" s="66"/>
      <c r="J27" s="66"/>
    </row>
  </sheetData>
  <sheetProtection formatCells="0" formatColumns="0" formatRows="0" insertColumns="0" insertRows="0" insertHyperlinks="0" deleteColumns="0" deleteRows="0" selectLockedCells="1" sort="0" autoFilter="0" pivotTables="0"/>
  <mergeCells count="52"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E26:F26"/>
    <mergeCell ref="E27:F27"/>
    <mergeCell ref="G23:J23"/>
    <mergeCell ref="B26:D27"/>
    <mergeCell ref="G26:J26"/>
    <mergeCell ref="G27:J27"/>
    <mergeCell ref="E25:J25"/>
    <mergeCell ref="B23:D23"/>
    <mergeCell ref="B24:D24"/>
    <mergeCell ref="B25:D25"/>
    <mergeCell ref="I19:J19"/>
    <mergeCell ref="I20:J20"/>
    <mergeCell ref="I21:J21"/>
    <mergeCell ref="I22:J22"/>
    <mergeCell ref="E24:J24"/>
    <mergeCell ref="B1:J1"/>
    <mergeCell ref="F2:J2"/>
    <mergeCell ref="B5:D6"/>
    <mergeCell ref="C2:D2"/>
    <mergeCell ref="C3:D3"/>
    <mergeCell ref="F3:J3"/>
    <mergeCell ref="F4:J4"/>
    <mergeCell ref="B7:D7"/>
    <mergeCell ref="E5:H5"/>
    <mergeCell ref="I5:J6"/>
    <mergeCell ref="I7:J7"/>
    <mergeCell ref="I10:J10"/>
    <mergeCell ref="I9:J9"/>
    <mergeCell ref="B8:D8"/>
    <mergeCell ref="B9:D9"/>
    <mergeCell ref="B10:D10"/>
    <mergeCell ref="I8:J8"/>
    <mergeCell ref="I16:J16"/>
    <mergeCell ref="I17:J17"/>
    <mergeCell ref="I18:J18"/>
    <mergeCell ref="I11:J11"/>
    <mergeCell ref="I12:J12"/>
    <mergeCell ref="I13:J13"/>
    <mergeCell ref="I14:J14"/>
    <mergeCell ref="I15:J1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5">
    <cfRule type="expression" dxfId="14" priority="57">
      <formula>$E25="راسب"</formula>
    </cfRule>
  </conditionalFormatting>
  <conditionalFormatting sqref="E25:J25">
    <cfRule type="expression" dxfId="13" priority="58">
      <formula>$E25="مقبول"</formula>
    </cfRule>
    <cfRule type="expression" dxfId="12" priority="59">
      <formula>$E25="جيد"</formula>
    </cfRule>
    <cfRule type="expression" dxfId="11" priority="60">
      <formula>$E25="جيد جداً"</formula>
    </cfRule>
    <cfRule type="expression" dxfId="10" priority="61">
      <formula>$E25="ممتاز"</formula>
    </cfRule>
  </conditionalFormatting>
  <conditionalFormatting sqref="F8:F2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6:J26">
    <cfRule type="containsText" dxfId="6" priority="15" operator="containsText" text="أدخل اسم المحكم">
      <formula>NOT(ISERROR(SEARCH("أدخل اسم المحكم",G26)))</formula>
    </cfRule>
  </conditionalFormatting>
  <conditionalFormatting sqref="H8:H2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G26:J26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6" t="s">
        <v>62</v>
      </c>
    </row>
    <row r="3" spans="1:3" ht="20.100000000000001" customHeight="1" thickBot="1" x14ac:dyDescent="0.35">
      <c r="A3" s="2" t="s">
        <v>26</v>
      </c>
      <c r="C3" s="26" t="s">
        <v>63</v>
      </c>
    </row>
    <row r="4" spans="1:3" ht="20.100000000000001" customHeight="1" thickBot="1" x14ac:dyDescent="0.35">
      <c r="A4" s="2" t="s">
        <v>36</v>
      </c>
      <c r="C4" s="26" t="s">
        <v>64</v>
      </c>
    </row>
    <row r="5" spans="1:3" ht="20.100000000000001" customHeight="1" thickBot="1" x14ac:dyDescent="0.35">
      <c r="A5" s="2" t="s">
        <v>37</v>
      </c>
      <c r="C5" s="26" t="s">
        <v>65</v>
      </c>
    </row>
    <row r="6" spans="1:3" ht="20.100000000000001" customHeight="1" thickBot="1" x14ac:dyDescent="0.35">
      <c r="A6" s="2" t="s">
        <v>38</v>
      </c>
      <c r="C6" s="26" t="s">
        <v>66</v>
      </c>
    </row>
    <row r="7" spans="1:3" ht="20.100000000000001" customHeight="1" thickBot="1" x14ac:dyDescent="0.35">
      <c r="A7" s="2" t="s">
        <v>39</v>
      </c>
      <c r="C7" s="26" t="s">
        <v>67</v>
      </c>
    </row>
    <row r="8" spans="1:3" ht="20.100000000000001" customHeight="1" thickBot="1" x14ac:dyDescent="0.35">
      <c r="A8" s="2" t="s">
        <v>40</v>
      </c>
      <c r="C8" s="26" t="s">
        <v>68</v>
      </c>
    </row>
    <row r="9" spans="1:3" ht="20.100000000000001" customHeight="1" thickBot="1" x14ac:dyDescent="0.35">
      <c r="A9" s="2" t="s">
        <v>41</v>
      </c>
      <c r="C9" s="26" t="s">
        <v>69</v>
      </c>
    </row>
    <row r="10" spans="1:3" ht="20.100000000000001" customHeight="1" thickBot="1" x14ac:dyDescent="0.35">
      <c r="A10" s="2" t="s">
        <v>42</v>
      </c>
      <c r="C10" s="26" t="s">
        <v>70</v>
      </c>
    </row>
    <row r="11" spans="1:3" ht="20.100000000000001" customHeight="1" thickBot="1" x14ac:dyDescent="0.35">
      <c r="A11" s="2" t="s">
        <v>43</v>
      </c>
      <c r="C11" s="26" t="s">
        <v>71</v>
      </c>
    </row>
    <row r="12" spans="1:3" ht="20.100000000000001" customHeight="1" thickBot="1" x14ac:dyDescent="0.35">
      <c r="A12" s="2" t="s">
        <v>44</v>
      </c>
      <c r="C12" s="26" t="s">
        <v>72</v>
      </c>
    </row>
    <row r="13" spans="1:3" ht="20.100000000000001" customHeight="1" thickBot="1" x14ac:dyDescent="0.35">
      <c r="A13" s="2" t="s">
        <v>45</v>
      </c>
      <c r="C13" s="26" t="s">
        <v>73</v>
      </c>
    </row>
    <row r="14" spans="1:3" ht="20.100000000000001" customHeight="1" thickBot="1" x14ac:dyDescent="0.35">
      <c r="A14" s="2" t="s">
        <v>46</v>
      </c>
      <c r="C14" s="26" t="s">
        <v>74</v>
      </c>
    </row>
    <row r="15" spans="1:3" ht="20.100000000000001" customHeight="1" thickBot="1" x14ac:dyDescent="0.35">
      <c r="A15" s="2" t="s">
        <v>47</v>
      </c>
      <c r="C15" s="26" t="s">
        <v>75</v>
      </c>
    </row>
    <row r="16" spans="1:3" ht="20.100000000000001" customHeight="1" thickBot="1" x14ac:dyDescent="0.35">
      <c r="A16" s="2" t="s">
        <v>10</v>
      </c>
      <c r="C16" s="26" t="s">
        <v>76</v>
      </c>
    </row>
    <row r="17" spans="1:3" ht="20.100000000000001" customHeight="1" thickBot="1" x14ac:dyDescent="0.35">
      <c r="A17" s="2" t="s">
        <v>27</v>
      </c>
      <c r="C17" s="26" t="s">
        <v>77</v>
      </c>
    </row>
    <row r="18" spans="1:3" ht="20.100000000000001" customHeight="1" thickBot="1" x14ac:dyDescent="0.35">
      <c r="A18" s="2" t="s">
        <v>48</v>
      </c>
      <c r="C18" s="26" t="s">
        <v>78</v>
      </c>
    </row>
    <row r="19" spans="1:3" ht="20.100000000000001" customHeight="1" thickBot="1" x14ac:dyDescent="0.35">
      <c r="A19" s="2" t="s">
        <v>49</v>
      </c>
      <c r="C19" s="26" t="s">
        <v>79</v>
      </c>
    </row>
    <row r="20" spans="1:3" ht="20.100000000000001" customHeight="1" thickBot="1" x14ac:dyDescent="0.35">
      <c r="A20" s="2" t="s">
        <v>50</v>
      </c>
      <c r="C20" s="26" t="s">
        <v>80</v>
      </c>
    </row>
    <row r="21" spans="1:3" ht="20.100000000000001" customHeight="1" thickBot="1" x14ac:dyDescent="0.35">
      <c r="A21" s="2" t="s">
        <v>51</v>
      </c>
      <c r="C21" s="26" t="s">
        <v>81</v>
      </c>
    </row>
    <row r="22" spans="1:3" ht="20.100000000000001" customHeight="1" thickBot="1" x14ac:dyDescent="0.35">
      <c r="A22" s="2" t="s">
        <v>11</v>
      </c>
      <c r="C22" s="26" t="s">
        <v>82</v>
      </c>
    </row>
    <row r="23" spans="1:3" ht="20.100000000000001" customHeight="1" thickBot="1" x14ac:dyDescent="0.35">
      <c r="A23" s="2" t="s">
        <v>12</v>
      </c>
      <c r="C23" s="26" t="s">
        <v>83</v>
      </c>
    </row>
    <row r="24" spans="1:3" ht="20.100000000000001" customHeight="1" thickBot="1" x14ac:dyDescent="0.35">
      <c r="A24" s="2" t="s">
        <v>15</v>
      </c>
      <c r="C24" s="26" t="s">
        <v>84</v>
      </c>
    </row>
    <row r="25" spans="1:3" ht="20.100000000000001" customHeight="1" thickBot="1" x14ac:dyDescent="0.35">
      <c r="A25" s="2" t="s">
        <v>28</v>
      </c>
      <c r="C25" s="26" t="s">
        <v>85</v>
      </c>
    </row>
    <row r="26" spans="1:3" ht="20.100000000000001" customHeight="1" thickBot="1" x14ac:dyDescent="0.35">
      <c r="A26" s="2" t="s">
        <v>29</v>
      </c>
      <c r="C26" s="26" t="s">
        <v>86</v>
      </c>
    </row>
    <row r="27" spans="1:3" ht="20.100000000000001" customHeight="1" thickBot="1" x14ac:dyDescent="0.35">
      <c r="A27" s="2" t="s">
        <v>13</v>
      </c>
      <c r="C27" s="26" t="s">
        <v>87</v>
      </c>
    </row>
    <row r="28" spans="1:3" ht="20.100000000000001" customHeight="1" thickBot="1" x14ac:dyDescent="0.35">
      <c r="A28" s="2" t="s">
        <v>30</v>
      </c>
      <c r="C28" s="26" t="s">
        <v>88</v>
      </c>
    </row>
    <row r="29" spans="1:3" ht="20.100000000000001" customHeight="1" thickBot="1" x14ac:dyDescent="0.35">
      <c r="A29" s="2" t="s">
        <v>31</v>
      </c>
      <c r="C29" s="26" t="s">
        <v>177</v>
      </c>
    </row>
    <row r="30" spans="1:3" ht="20.100000000000001" customHeight="1" thickBot="1" x14ac:dyDescent="0.35">
      <c r="A30" s="2" t="s">
        <v>32</v>
      </c>
      <c r="C30" s="26" t="s">
        <v>178</v>
      </c>
    </row>
    <row r="31" spans="1:3" ht="20.100000000000001" customHeight="1" thickBot="1" x14ac:dyDescent="0.35">
      <c r="A31" s="2" t="s">
        <v>33</v>
      </c>
      <c r="C31" s="26" t="s">
        <v>179</v>
      </c>
    </row>
    <row r="32" spans="1:3" ht="20.100000000000001" customHeight="1" thickBot="1" x14ac:dyDescent="0.35">
      <c r="A32" s="2" t="s">
        <v>16</v>
      </c>
      <c r="C32" s="26"/>
    </row>
    <row r="33" spans="1:9" ht="20.100000000000001" customHeight="1" thickBot="1" x14ac:dyDescent="0.35">
      <c r="A33" s="2" t="s">
        <v>14</v>
      </c>
      <c r="C33" s="26"/>
    </row>
    <row r="34" spans="1:9" ht="20.100000000000001" customHeight="1" thickBot="1" x14ac:dyDescent="0.35">
      <c r="A34" s="2" t="s">
        <v>34</v>
      </c>
      <c r="C34" s="26"/>
    </row>
    <row r="35" spans="1:9" ht="20.100000000000001" customHeight="1" x14ac:dyDescent="0.3">
      <c r="A35" s="24"/>
    </row>
    <row r="36" spans="1:9" s="23" customFormat="1" ht="20.100000000000001" customHeight="1" x14ac:dyDescent="0.3">
      <c r="A36" s="21"/>
      <c r="B36" s="22"/>
      <c r="C36" s="22"/>
      <c r="D36" s="22"/>
      <c r="E36" s="22"/>
      <c r="F36" s="22"/>
      <c r="G36" s="22"/>
      <c r="H36" s="22"/>
      <c r="I36" s="22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9">
        <v>45931</v>
      </c>
    </row>
    <row r="40" spans="1:9" ht="20.100000000000001" customHeight="1" thickBot="1" x14ac:dyDescent="0.35">
      <c r="A40" s="19">
        <v>45932</v>
      </c>
    </row>
    <row r="41" spans="1:9" ht="20.100000000000001" customHeight="1" thickBot="1" x14ac:dyDescent="0.35">
      <c r="A41" s="19">
        <v>45933</v>
      </c>
    </row>
    <row r="42" spans="1:9" ht="20.100000000000001" customHeight="1" thickBot="1" x14ac:dyDescent="0.35">
      <c r="A42" s="19">
        <v>45934</v>
      </c>
    </row>
    <row r="43" spans="1:9" ht="20.100000000000001" customHeight="1" thickBot="1" x14ac:dyDescent="0.35">
      <c r="A43" s="19">
        <v>45935</v>
      </c>
    </row>
    <row r="44" spans="1:9" ht="20.100000000000001" customHeight="1" thickBot="1" x14ac:dyDescent="0.35">
      <c r="A44" s="19">
        <v>45936</v>
      </c>
    </row>
    <row r="45" spans="1:9" ht="20.100000000000001" customHeight="1" thickBot="1" x14ac:dyDescent="0.35">
      <c r="A45" s="19">
        <v>45937</v>
      </c>
    </row>
    <row r="46" spans="1:9" ht="20.100000000000001" customHeight="1" thickBot="1" x14ac:dyDescent="0.35">
      <c r="A46" s="19">
        <v>45938</v>
      </c>
    </row>
    <row r="47" spans="1:9" ht="20.100000000000001" customHeight="1" thickBot="1" x14ac:dyDescent="0.35">
      <c r="A47" s="19">
        <v>45939</v>
      </c>
    </row>
    <row r="48" spans="1:9" ht="20.100000000000001" customHeight="1" thickBot="1" x14ac:dyDescent="0.35">
      <c r="A48" s="19">
        <v>45940</v>
      </c>
    </row>
    <row r="49" spans="1:1" ht="20.100000000000001" customHeight="1" thickBot="1" x14ac:dyDescent="0.35">
      <c r="A49" s="19">
        <v>45941</v>
      </c>
    </row>
    <row r="50" spans="1:1" ht="20.100000000000001" customHeight="1" thickBot="1" x14ac:dyDescent="0.35">
      <c r="A50" s="19">
        <v>45942</v>
      </c>
    </row>
    <row r="51" spans="1:1" ht="20.100000000000001" customHeight="1" thickBot="1" x14ac:dyDescent="0.35">
      <c r="A51" s="19">
        <v>45943</v>
      </c>
    </row>
    <row r="52" spans="1:1" ht="20.100000000000001" customHeight="1" thickBot="1" x14ac:dyDescent="0.35">
      <c r="A52" s="19">
        <v>45944</v>
      </c>
    </row>
    <row r="53" spans="1:1" ht="20.100000000000001" customHeight="1" thickBot="1" x14ac:dyDescent="0.35">
      <c r="A53" s="19">
        <v>45945</v>
      </c>
    </row>
    <row r="54" spans="1:1" ht="20.100000000000001" customHeight="1" thickBot="1" x14ac:dyDescent="0.35">
      <c r="A54" s="19">
        <v>45946</v>
      </c>
    </row>
    <row r="55" spans="1:1" ht="20.100000000000001" customHeight="1" thickBot="1" x14ac:dyDescent="0.35">
      <c r="A55" s="19">
        <v>45947</v>
      </c>
    </row>
    <row r="56" spans="1:1" ht="20.100000000000001" customHeight="1" thickBot="1" x14ac:dyDescent="0.35">
      <c r="A56" s="19">
        <v>45948</v>
      </c>
    </row>
    <row r="57" spans="1:1" ht="20.100000000000001" customHeight="1" thickBot="1" x14ac:dyDescent="0.35">
      <c r="A57" s="19">
        <v>45949</v>
      </c>
    </row>
    <row r="58" spans="1:1" ht="20.100000000000001" customHeight="1" thickBot="1" x14ac:dyDescent="0.35">
      <c r="A58" s="19">
        <v>45950</v>
      </c>
    </row>
    <row r="59" spans="1:1" ht="20.100000000000001" customHeight="1" thickBot="1" x14ac:dyDescent="0.35">
      <c r="A59" s="19">
        <v>45951</v>
      </c>
    </row>
    <row r="60" spans="1:1" ht="20.100000000000001" customHeight="1" thickBot="1" x14ac:dyDescent="0.35">
      <c r="A60" s="19">
        <v>45952</v>
      </c>
    </row>
    <row r="61" spans="1:1" ht="20.100000000000001" customHeight="1" thickBot="1" x14ac:dyDescent="0.35">
      <c r="A61" s="19">
        <v>45953</v>
      </c>
    </row>
    <row r="62" spans="1:1" ht="20.100000000000001" customHeight="1" thickBot="1" x14ac:dyDescent="0.35">
      <c r="A62" s="19">
        <v>45954</v>
      </c>
    </row>
    <row r="63" spans="1:1" ht="20.100000000000001" customHeight="1" thickBot="1" x14ac:dyDescent="0.35">
      <c r="A63" s="19">
        <v>45955</v>
      </c>
    </row>
    <row r="64" spans="1:1" ht="20.100000000000001" customHeight="1" thickBot="1" x14ac:dyDescent="0.35">
      <c r="A64" s="19">
        <v>45956</v>
      </c>
    </row>
    <row r="65" spans="1:1" ht="20.100000000000001" customHeight="1" thickBot="1" x14ac:dyDescent="0.35">
      <c r="A65" s="19">
        <v>45957</v>
      </c>
    </row>
    <row r="66" spans="1:1" ht="20.100000000000001" customHeight="1" thickBot="1" x14ac:dyDescent="0.35">
      <c r="A66" s="19">
        <v>45958</v>
      </c>
    </row>
    <row r="67" spans="1:1" ht="20.100000000000001" customHeight="1" thickBot="1" x14ac:dyDescent="0.35">
      <c r="A67" s="19">
        <v>45959</v>
      </c>
    </row>
    <row r="68" spans="1:1" ht="20.100000000000001" customHeight="1" thickBot="1" x14ac:dyDescent="0.35">
      <c r="A68" s="19">
        <v>45960</v>
      </c>
    </row>
    <row r="69" spans="1:1" ht="20.100000000000001" customHeight="1" thickBot="1" x14ac:dyDescent="0.35">
      <c r="A69" s="19">
        <v>45961</v>
      </c>
    </row>
    <row r="70" spans="1:1" ht="20.100000000000001" customHeight="1" thickBot="1" x14ac:dyDescent="0.35">
      <c r="A70" s="19"/>
    </row>
    <row r="71" spans="1:1" ht="20.100000000000001" customHeight="1" thickBot="1" x14ac:dyDescent="0.35">
      <c r="A71" s="19"/>
    </row>
    <row r="72" spans="1:1" ht="20.100000000000001" customHeight="1" thickBot="1" x14ac:dyDescent="0.35">
      <c r="A72" s="19"/>
    </row>
    <row r="73" spans="1:1" ht="20.100000000000001" customHeight="1" thickBot="1" x14ac:dyDescent="0.35">
      <c r="A73" s="19"/>
    </row>
    <row r="74" spans="1:1" ht="20.100000000000001" customHeight="1" thickBot="1" x14ac:dyDescent="0.35">
      <c r="A74" s="19"/>
    </row>
    <row r="75" spans="1:1" ht="20.100000000000001" customHeight="1" thickBot="1" x14ac:dyDescent="0.35">
      <c r="A75" s="19"/>
    </row>
    <row r="76" spans="1:1" ht="20.100000000000001" customHeight="1" thickBot="1" x14ac:dyDescent="0.35">
      <c r="A76" s="19"/>
    </row>
    <row r="77" spans="1:1" ht="20.100000000000001" customHeight="1" thickBot="1" x14ac:dyDescent="0.35">
      <c r="A77" s="19"/>
    </row>
    <row r="78" spans="1:1" ht="20.100000000000001" customHeight="1" thickBot="1" x14ac:dyDescent="0.35">
      <c r="A78" s="19"/>
    </row>
    <row r="79" spans="1:1" ht="20.100000000000001" customHeight="1" thickBot="1" x14ac:dyDescent="0.35">
      <c r="A79" s="19"/>
    </row>
    <row r="80" spans="1:1" ht="20.100000000000001" customHeight="1" thickBot="1" x14ac:dyDescent="0.35">
      <c r="A80" s="19"/>
    </row>
    <row r="81" spans="1:1" ht="20.100000000000001" customHeight="1" thickBot="1" x14ac:dyDescent="0.35">
      <c r="A81" s="19"/>
    </row>
    <row r="82" spans="1:1" ht="20.100000000000001" customHeight="1" thickBot="1" x14ac:dyDescent="0.35">
      <c r="A82" s="19"/>
    </row>
    <row r="83" spans="1:1" ht="20.100000000000001" customHeight="1" thickBot="1" x14ac:dyDescent="0.35">
      <c r="A83" s="19"/>
    </row>
    <row r="84" spans="1:1" ht="20.100000000000001" customHeight="1" thickBot="1" x14ac:dyDescent="0.35">
      <c r="A84" s="19"/>
    </row>
    <row r="85" spans="1:1" ht="20.100000000000001" customHeight="1" thickBot="1" x14ac:dyDescent="0.35">
      <c r="A85" s="19"/>
    </row>
    <row r="86" spans="1:1" ht="20.100000000000001" customHeight="1" thickBot="1" x14ac:dyDescent="0.35">
      <c r="A86" s="19"/>
    </row>
    <row r="87" spans="1:1" ht="20.100000000000001" customHeight="1" thickBot="1" x14ac:dyDescent="0.35">
      <c r="A87" s="19"/>
    </row>
    <row r="88" spans="1:1" ht="20.100000000000001" customHeight="1" thickBot="1" x14ac:dyDescent="0.35">
      <c r="A88" s="19"/>
    </row>
    <row r="89" spans="1:1" ht="20.100000000000001" customHeight="1" thickBot="1" x14ac:dyDescent="0.35">
      <c r="A89" s="19"/>
    </row>
    <row r="90" spans="1:1" ht="20.100000000000001" customHeight="1" thickBot="1" x14ac:dyDescent="0.35">
      <c r="A90" s="19"/>
    </row>
    <row r="91" spans="1:1" ht="20.100000000000001" customHeight="1" thickBot="1" x14ac:dyDescent="0.35">
      <c r="A91" s="19"/>
    </row>
    <row r="92" spans="1:1" ht="20.100000000000001" customHeight="1" thickBot="1" x14ac:dyDescent="0.35">
      <c r="A92" s="19"/>
    </row>
    <row r="93" spans="1:1" ht="20.100000000000001" customHeight="1" thickBot="1" x14ac:dyDescent="0.35">
      <c r="A93" s="19"/>
    </row>
    <row r="94" spans="1:1" ht="20.100000000000001" customHeight="1" thickBot="1" x14ac:dyDescent="0.35">
      <c r="A94" s="19"/>
    </row>
    <row r="95" spans="1:1" ht="20.100000000000001" customHeight="1" thickBot="1" x14ac:dyDescent="0.35">
      <c r="A95" s="19"/>
    </row>
    <row r="96" spans="1:1" ht="20.100000000000001" customHeight="1" thickBot="1" x14ac:dyDescent="0.35">
      <c r="A96" s="19"/>
    </row>
    <row r="97" spans="1:9" ht="20.100000000000001" customHeight="1" thickBot="1" x14ac:dyDescent="0.35">
      <c r="A97" s="19"/>
    </row>
    <row r="98" spans="1:9" ht="20.100000000000001" customHeight="1" thickBot="1" x14ac:dyDescent="0.35">
      <c r="A98" s="19"/>
    </row>
    <row r="99" spans="1:9" ht="20.100000000000001" customHeight="1" thickBot="1" x14ac:dyDescent="0.35">
      <c r="A99" s="19"/>
    </row>
    <row r="100" spans="1:9" ht="20.100000000000001" customHeight="1" thickBot="1" x14ac:dyDescent="0.35">
      <c r="A100" s="19"/>
    </row>
    <row r="101" spans="1:9" ht="20.100000000000001" customHeight="1" thickBot="1" x14ac:dyDescent="0.35">
      <c r="A101" s="19"/>
    </row>
    <row r="102" spans="1:9" ht="20.100000000000001" customHeight="1" thickBot="1" x14ac:dyDescent="0.35">
      <c r="A102" s="19"/>
    </row>
    <row r="103" spans="1:9" ht="20.100000000000001" customHeight="1" thickBot="1" x14ac:dyDescent="0.35">
      <c r="A103" s="19"/>
    </row>
    <row r="104" spans="1:9" ht="20.100000000000001" customHeight="1" thickBot="1" x14ac:dyDescent="0.35">
      <c r="A104" s="19"/>
    </row>
    <row r="105" spans="1:9" ht="20.100000000000001" customHeight="1" thickBot="1" x14ac:dyDescent="0.35">
      <c r="A105" s="19"/>
    </row>
    <row r="106" spans="1:9" ht="20.100000000000001" customHeight="1" thickBot="1" x14ac:dyDescent="0.35">
      <c r="A106" s="19"/>
    </row>
    <row r="107" spans="1:9" ht="20.100000000000001" customHeight="1" x14ac:dyDescent="0.3">
      <c r="A107" s="20"/>
    </row>
    <row r="108" spans="1:9" ht="20.100000000000001" customHeight="1" x14ac:dyDescent="0.3">
      <c r="A108" s="20"/>
    </row>
    <row r="109" spans="1:9" s="23" customFormat="1" ht="20.100000000000001" customHeight="1" x14ac:dyDescent="0.3">
      <c r="A109" s="21"/>
      <c r="B109" s="22"/>
      <c r="C109" s="22"/>
      <c r="D109" s="22"/>
      <c r="E109" s="22"/>
      <c r="F109" s="22"/>
      <c r="G109" s="22"/>
      <c r="H109" s="22"/>
      <c r="I109" s="22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7" t="s">
        <v>89</v>
      </c>
    </row>
    <row r="200" spans="1:1" ht="20.100000000000001" customHeight="1" x14ac:dyDescent="0.3">
      <c r="A200" s="27" t="s">
        <v>90</v>
      </c>
    </row>
    <row r="201" spans="1:1" ht="20.100000000000001" customHeight="1" x14ac:dyDescent="0.3">
      <c r="A201" s="27" t="s">
        <v>91</v>
      </c>
    </row>
    <row r="202" spans="1:1" ht="20.100000000000001" customHeight="1" x14ac:dyDescent="0.3">
      <c r="A202" s="27" t="s">
        <v>92</v>
      </c>
    </row>
    <row r="203" spans="1:1" ht="20.100000000000001" customHeight="1" x14ac:dyDescent="0.3">
      <c r="A203" s="27" t="s">
        <v>93</v>
      </c>
    </row>
    <row r="204" spans="1:1" ht="20.100000000000001" customHeight="1" x14ac:dyDescent="0.3">
      <c r="A204" s="27" t="s">
        <v>94</v>
      </c>
    </row>
    <row r="205" spans="1:1" ht="20.100000000000001" customHeight="1" x14ac:dyDescent="0.3">
      <c r="A205" s="27" t="s">
        <v>95</v>
      </c>
    </row>
    <row r="206" spans="1:1" ht="20.100000000000001" customHeight="1" x14ac:dyDescent="0.3">
      <c r="A206" s="27" t="s">
        <v>96</v>
      </c>
    </row>
    <row r="207" spans="1:1" ht="20.100000000000001" customHeight="1" x14ac:dyDescent="0.3">
      <c r="A207" s="27" t="s">
        <v>97</v>
      </c>
    </row>
    <row r="208" spans="1:1" ht="20.100000000000001" customHeight="1" x14ac:dyDescent="0.3">
      <c r="A208" s="28" t="s">
        <v>98</v>
      </c>
    </row>
    <row r="209" spans="1:1" ht="20.100000000000001" customHeight="1" x14ac:dyDescent="0.3">
      <c r="A209" s="28" t="s">
        <v>99</v>
      </c>
    </row>
    <row r="210" spans="1:1" ht="20.100000000000001" customHeight="1" x14ac:dyDescent="0.3">
      <c r="A210" s="27" t="s">
        <v>100</v>
      </c>
    </row>
    <row r="211" spans="1:1" ht="20.100000000000001" customHeight="1" x14ac:dyDescent="0.3">
      <c r="A211" s="27" t="s">
        <v>101</v>
      </c>
    </row>
    <row r="212" spans="1:1" ht="20.100000000000001" customHeight="1" x14ac:dyDescent="0.3">
      <c r="A212" s="27" t="s">
        <v>175</v>
      </c>
    </row>
    <row r="213" spans="1:1" ht="20.100000000000001" customHeight="1" x14ac:dyDescent="0.3">
      <c r="A213" s="27" t="s">
        <v>102</v>
      </c>
    </row>
    <row r="214" spans="1:1" ht="20.100000000000001" customHeight="1" x14ac:dyDescent="0.3">
      <c r="A214" s="27" t="s">
        <v>103</v>
      </c>
    </row>
    <row r="215" spans="1:1" ht="20.100000000000001" customHeight="1" x14ac:dyDescent="0.3">
      <c r="A215" s="27" t="s">
        <v>104</v>
      </c>
    </row>
    <row r="216" spans="1:1" ht="20.100000000000001" customHeight="1" x14ac:dyDescent="0.3">
      <c r="A216" s="27" t="s">
        <v>105</v>
      </c>
    </row>
    <row r="217" spans="1:1" ht="20.100000000000001" customHeight="1" x14ac:dyDescent="0.3">
      <c r="A217" s="27" t="s">
        <v>106</v>
      </c>
    </row>
    <row r="218" spans="1:1" ht="20.100000000000001" customHeight="1" x14ac:dyDescent="0.3">
      <c r="A218" s="27" t="s">
        <v>107</v>
      </c>
    </row>
    <row r="219" spans="1:1" ht="20.100000000000001" customHeight="1" x14ac:dyDescent="0.3">
      <c r="A219" s="27" t="s">
        <v>108</v>
      </c>
    </row>
    <row r="220" spans="1:1" ht="20.100000000000001" customHeight="1" x14ac:dyDescent="0.3">
      <c r="A220" s="27" t="s">
        <v>109</v>
      </c>
    </row>
    <row r="221" spans="1:1" ht="20.100000000000001" customHeight="1" x14ac:dyDescent="0.3">
      <c r="A221" s="27" t="s">
        <v>110</v>
      </c>
    </row>
    <row r="222" spans="1:1" ht="20.100000000000001" customHeight="1" x14ac:dyDescent="0.3">
      <c r="A222" s="27" t="s">
        <v>111</v>
      </c>
    </row>
    <row r="223" spans="1:1" ht="20.100000000000001" customHeight="1" x14ac:dyDescent="0.3">
      <c r="A223" s="27" t="s">
        <v>112</v>
      </c>
    </row>
    <row r="224" spans="1:1" ht="20.100000000000001" customHeight="1" x14ac:dyDescent="0.3">
      <c r="A224" s="27" t="s">
        <v>176</v>
      </c>
    </row>
    <row r="225" spans="1:1" ht="20.100000000000001" customHeight="1" x14ac:dyDescent="0.3">
      <c r="A225" s="27" t="s">
        <v>113</v>
      </c>
    </row>
    <row r="226" spans="1:1" ht="20.100000000000001" customHeight="1" x14ac:dyDescent="0.3">
      <c r="A226" s="27" t="s">
        <v>114</v>
      </c>
    </row>
    <row r="227" spans="1:1" ht="20.100000000000001" customHeight="1" x14ac:dyDescent="0.3">
      <c r="A227" s="27" t="s">
        <v>115</v>
      </c>
    </row>
    <row r="228" spans="1:1" ht="20.100000000000001" customHeight="1" x14ac:dyDescent="0.3">
      <c r="A228" s="27" t="s">
        <v>116</v>
      </c>
    </row>
    <row r="229" spans="1:1" ht="20.100000000000001" customHeight="1" x14ac:dyDescent="0.3">
      <c r="A229" s="27" t="s">
        <v>117</v>
      </c>
    </row>
    <row r="230" spans="1:1" ht="20.100000000000001" customHeight="1" x14ac:dyDescent="0.3">
      <c r="A230" s="27" t="s">
        <v>118</v>
      </c>
    </row>
    <row r="231" spans="1:1" ht="20.100000000000001" customHeight="1" x14ac:dyDescent="0.3">
      <c r="A231" s="27" t="s">
        <v>119</v>
      </c>
    </row>
    <row r="232" spans="1:1" ht="20.100000000000001" customHeight="1" x14ac:dyDescent="0.3">
      <c r="A232" s="27" t="s">
        <v>120</v>
      </c>
    </row>
    <row r="233" spans="1:1" ht="20.100000000000001" customHeight="1" x14ac:dyDescent="0.3">
      <c r="A233" s="27" t="s">
        <v>121</v>
      </c>
    </row>
    <row r="234" spans="1:1" ht="20.100000000000001" customHeight="1" x14ac:dyDescent="0.3">
      <c r="A234" s="27" t="s">
        <v>122</v>
      </c>
    </row>
    <row r="235" spans="1:1" ht="20.100000000000001" customHeight="1" x14ac:dyDescent="0.3">
      <c r="A235" s="27" t="s">
        <v>123</v>
      </c>
    </row>
    <row r="236" spans="1:1" ht="20.100000000000001" customHeight="1" x14ac:dyDescent="0.3">
      <c r="A236" s="29" t="s">
        <v>124</v>
      </c>
    </row>
    <row r="237" spans="1:1" ht="20.100000000000001" customHeight="1" x14ac:dyDescent="0.3">
      <c r="A237" s="27" t="s">
        <v>125</v>
      </c>
    </row>
    <row r="238" spans="1:1" ht="20.100000000000001" customHeight="1" x14ac:dyDescent="0.3">
      <c r="A238" s="27" t="s">
        <v>126</v>
      </c>
    </row>
    <row r="239" spans="1:1" ht="20.100000000000001" customHeight="1" x14ac:dyDescent="0.3">
      <c r="A239" s="27" t="s">
        <v>127</v>
      </c>
    </row>
    <row r="240" spans="1:1" ht="20.100000000000001" customHeight="1" x14ac:dyDescent="0.3">
      <c r="A240" s="27" t="s">
        <v>128</v>
      </c>
    </row>
    <row r="241" spans="1:1" ht="20.100000000000001" customHeight="1" x14ac:dyDescent="0.3">
      <c r="A241" s="27" t="s">
        <v>129</v>
      </c>
    </row>
    <row r="242" spans="1:1" ht="20.100000000000001" customHeight="1" x14ac:dyDescent="0.3">
      <c r="A242" s="27" t="s">
        <v>130</v>
      </c>
    </row>
    <row r="243" spans="1:1" ht="20.100000000000001" customHeight="1" x14ac:dyDescent="0.3">
      <c r="A243" s="27" t="s">
        <v>131</v>
      </c>
    </row>
    <row r="244" spans="1:1" ht="20.100000000000001" customHeight="1" x14ac:dyDescent="0.3">
      <c r="A244" s="27" t="s">
        <v>132</v>
      </c>
    </row>
    <row r="245" spans="1:1" ht="20.100000000000001" customHeight="1" x14ac:dyDescent="0.3">
      <c r="A245" s="27" t="s">
        <v>133</v>
      </c>
    </row>
    <row r="246" spans="1:1" ht="20.100000000000001" customHeight="1" x14ac:dyDescent="0.3">
      <c r="A246" s="27" t="s">
        <v>134</v>
      </c>
    </row>
    <row r="247" spans="1:1" ht="20.100000000000001" customHeight="1" x14ac:dyDescent="0.3">
      <c r="A247" s="27" t="s">
        <v>135</v>
      </c>
    </row>
    <row r="248" spans="1:1" ht="20.100000000000001" customHeight="1" x14ac:dyDescent="0.3">
      <c r="A248" s="27" t="s">
        <v>126</v>
      </c>
    </row>
    <row r="249" spans="1:1" ht="20.100000000000001" customHeight="1" x14ac:dyDescent="0.3">
      <c r="A249" s="27" t="s">
        <v>136</v>
      </c>
    </row>
    <row r="250" spans="1:1" ht="20.100000000000001" customHeight="1" x14ac:dyDescent="0.3">
      <c r="A250" s="27" t="s">
        <v>137</v>
      </c>
    </row>
    <row r="251" spans="1:1" ht="20.100000000000001" customHeight="1" x14ac:dyDescent="0.3">
      <c r="A251" s="29" t="s">
        <v>138</v>
      </c>
    </row>
    <row r="252" spans="1:1" ht="20.100000000000001" customHeight="1" x14ac:dyDescent="0.3">
      <c r="A252" s="30" t="s">
        <v>139</v>
      </c>
    </row>
    <row r="253" spans="1:1" ht="20.100000000000001" customHeight="1" x14ac:dyDescent="0.3">
      <c r="A253" s="27" t="s">
        <v>140</v>
      </c>
    </row>
    <row r="254" spans="1:1" ht="20.100000000000001" customHeight="1" x14ac:dyDescent="0.3">
      <c r="A254" s="27" t="s">
        <v>141</v>
      </c>
    </row>
    <row r="255" spans="1:1" ht="20.100000000000001" customHeight="1" x14ac:dyDescent="0.3">
      <c r="A255" s="31" t="s">
        <v>142</v>
      </c>
    </row>
    <row r="256" spans="1:1" ht="20.100000000000001" customHeight="1" x14ac:dyDescent="0.3">
      <c r="A256" s="31" t="s">
        <v>143</v>
      </c>
    </row>
    <row r="257" spans="1:1" ht="20.100000000000001" customHeight="1" x14ac:dyDescent="0.3">
      <c r="A257" s="32" t="s">
        <v>144</v>
      </c>
    </row>
    <row r="258" spans="1:1" ht="20.100000000000001" customHeight="1" x14ac:dyDescent="0.3">
      <c r="A258" s="27" t="s">
        <v>145</v>
      </c>
    </row>
    <row r="259" spans="1:1" ht="20.100000000000001" customHeight="1" x14ac:dyDescent="0.3">
      <c r="A259" s="32" t="s">
        <v>146</v>
      </c>
    </row>
    <row r="260" spans="1:1" ht="20.100000000000001" customHeight="1" x14ac:dyDescent="0.3">
      <c r="A260" s="27" t="s">
        <v>147</v>
      </c>
    </row>
    <row r="261" spans="1:1" ht="20.100000000000001" customHeight="1" x14ac:dyDescent="0.3">
      <c r="A261" s="32" t="s">
        <v>148</v>
      </c>
    </row>
    <row r="262" spans="1:1" ht="20.100000000000001" customHeight="1" x14ac:dyDescent="0.3">
      <c r="A262" s="27" t="s">
        <v>149</v>
      </c>
    </row>
    <row r="263" spans="1:1" ht="20.100000000000001" customHeight="1" x14ac:dyDescent="0.3">
      <c r="A263" s="27" t="s">
        <v>150</v>
      </c>
    </row>
    <row r="264" spans="1:1" ht="20.100000000000001" customHeight="1" x14ac:dyDescent="0.3">
      <c r="A264" s="32" t="s">
        <v>151</v>
      </c>
    </row>
    <row r="265" spans="1:1" ht="20.100000000000001" customHeight="1" x14ac:dyDescent="0.3">
      <c r="A265" s="32" t="s">
        <v>152</v>
      </c>
    </row>
    <row r="266" spans="1:1" ht="20.100000000000001" customHeight="1" x14ac:dyDescent="0.3">
      <c r="A266" s="32" t="s">
        <v>153</v>
      </c>
    </row>
    <row r="267" spans="1:1" ht="20.100000000000001" customHeight="1" x14ac:dyDescent="0.3">
      <c r="A267" s="27" t="s">
        <v>154</v>
      </c>
    </row>
    <row r="268" spans="1:1" ht="20.100000000000001" customHeight="1" x14ac:dyDescent="0.3">
      <c r="A268" s="27" t="s">
        <v>155</v>
      </c>
    </row>
    <row r="269" spans="1:1" ht="20.100000000000001" customHeight="1" x14ac:dyDescent="0.3">
      <c r="A269" s="27" t="s">
        <v>156</v>
      </c>
    </row>
    <row r="270" spans="1:1" ht="20.100000000000001" customHeight="1" x14ac:dyDescent="0.3">
      <c r="A270" s="27" t="s">
        <v>157</v>
      </c>
    </row>
    <row r="271" spans="1:1" ht="20.100000000000001" customHeight="1" x14ac:dyDescent="0.3">
      <c r="A271" s="32" t="s">
        <v>158</v>
      </c>
    </row>
    <row r="272" spans="1:1" ht="20.100000000000001" customHeight="1" x14ac:dyDescent="0.3">
      <c r="A272" s="32" t="s">
        <v>159</v>
      </c>
    </row>
    <row r="273" spans="1:1" ht="20.100000000000001" customHeight="1" x14ac:dyDescent="0.3">
      <c r="A273" s="27" t="s">
        <v>160</v>
      </c>
    </row>
    <row r="274" spans="1:1" ht="20.100000000000001" customHeight="1" x14ac:dyDescent="0.3">
      <c r="A274" s="32" t="s">
        <v>161</v>
      </c>
    </row>
    <row r="275" spans="1:1" ht="20.100000000000001" customHeight="1" x14ac:dyDescent="0.3">
      <c r="A275" s="32" t="s">
        <v>162</v>
      </c>
    </row>
    <row r="276" spans="1:1" ht="20.100000000000001" customHeight="1" x14ac:dyDescent="0.3">
      <c r="A276" s="27" t="s">
        <v>163</v>
      </c>
    </row>
    <row r="277" spans="1:1" ht="20.100000000000001" customHeight="1" x14ac:dyDescent="0.3">
      <c r="A277" s="27" t="s">
        <v>164</v>
      </c>
    </row>
    <row r="278" spans="1:1" ht="20.100000000000001" customHeight="1" x14ac:dyDescent="0.3">
      <c r="A278" s="32" t="s">
        <v>165</v>
      </c>
    </row>
    <row r="279" spans="1:1" ht="20.100000000000001" customHeight="1" x14ac:dyDescent="0.3">
      <c r="A279" s="27" t="s">
        <v>166</v>
      </c>
    </row>
    <row r="280" spans="1:1" ht="20.100000000000001" customHeight="1" x14ac:dyDescent="0.3">
      <c r="A280" s="27" t="s">
        <v>167</v>
      </c>
    </row>
    <row r="281" spans="1:1" ht="20.100000000000001" customHeight="1" x14ac:dyDescent="0.3">
      <c r="A281" s="27" t="s">
        <v>168</v>
      </c>
    </row>
    <row r="282" spans="1:1" ht="20.100000000000001" customHeight="1" x14ac:dyDescent="0.3">
      <c r="A282" s="27" t="s">
        <v>169</v>
      </c>
    </row>
    <row r="283" spans="1:1" ht="20.100000000000001" customHeight="1" x14ac:dyDescent="0.3">
      <c r="A283" s="32" t="s">
        <v>170</v>
      </c>
    </row>
    <row r="284" spans="1:1" ht="20.100000000000001" customHeight="1" x14ac:dyDescent="0.3">
      <c r="A284" s="32" t="s">
        <v>171</v>
      </c>
    </row>
    <row r="285" spans="1:1" ht="20.100000000000001" customHeight="1" x14ac:dyDescent="0.3">
      <c r="A285" s="32" t="s">
        <v>172</v>
      </c>
    </row>
    <row r="286" spans="1:1" ht="20.100000000000001" customHeight="1" thickBot="1" x14ac:dyDescent="0.35">
      <c r="A286" s="2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A87E-9C8D-4B0D-AFB8-14AD0F6D6F8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قائمة التقييم</vt:lpstr>
      <vt:lpstr>بيانات التقييم</vt:lpstr>
      <vt:lpstr>مسودة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2025-10-27T21:27:16Z</dcterms:modified>
</cp:coreProperties>
</file>