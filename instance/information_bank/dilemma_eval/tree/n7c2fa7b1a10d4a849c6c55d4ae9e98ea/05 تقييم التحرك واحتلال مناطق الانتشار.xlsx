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7872BAB2-92CA-4A4F-8375-0036F1FAF015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4" i="2"/>
  <c r="H14" i="2"/>
  <c r="G15" i="2"/>
  <c r="H15" i="2"/>
  <c r="G16" i="2"/>
  <c r="H16" i="2"/>
  <c r="G17" i="2"/>
  <c r="H17" i="2"/>
  <c r="G19" i="2"/>
  <c r="H19" i="2"/>
  <c r="G20" i="2"/>
  <c r="H20" i="2"/>
  <c r="G21" i="2"/>
  <c r="H21" i="2"/>
  <c r="G22" i="2"/>
  <c r="H22" i="2"/>
  <c r="G23" i="2"/>
  <c r="H23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6" i="2"/>
  <c r="H36" i="2"/>
  <c r="G37" i="2"/>
  <c r="H37" i="2"/>
  <c r="G38" i="2"/>
  <c r="H38" i="2"/>
  <c r="G39" i="2"/>
  <c r="H39" i="2"/>
  <c r="F40" i="2"/>
  <c r="E40" i="2"/>
  <c r="E41" i="2"/>
  <c r="E42" i="2"/>
</calcChain>
</file>

<file path=xl/sharedStrings.xml><?xml version="1.0" encoding="utf-8"?>
<sst xmlns="http://schemas.openxmlformats.org/spreadsheetml/2006/main" count="269" uniqueCount="213">
  <si>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</si>
  <si>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</si>
  <si>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</si>
  <si>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</si>
  <si>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</si>
  <si>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</si>
  <si>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</si>
  <si>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</si>
  <si>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</si>
  <si>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</si>
  <si>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</si>
  <si>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</si>
  <si>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</si>
  <si>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</si>
  <si>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</si>
  <si>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</si>
  <si>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</si>
  <si>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</si>
  <si>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</si>
  <si>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</si>
  <si>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</si>
  <si>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</si>
  <si>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</si>
  <si>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</si>
  <si>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</si>
  <si>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</si>
  <si>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</si>
  <si>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</si>
  <si>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</si>
  <si>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</si>
  <si>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</si>
  <si>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</si>
  <si>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</si>
  <si>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</si>
  <si>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</si>
  <si>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</si>
  <si>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</si>
  <si>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</si>
  <si>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</si>
  <si>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</si>
  <si>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</si>
  <si>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</si>
  <si>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</si>
  <si>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</si>
  <si>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</si>
  <si>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</si>
  <si>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</si>
  <si>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</si>
  <si>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</si>
  <si>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</si>
  <si>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</si>
  <si>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</si>
  <si>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</si>
  <si>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</si>
  <si>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</si>
  <si>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</si>
  <si>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</si>
  <si>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</si>
  <si>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</si>
  <si>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</si>
  <si>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</si>
  <si>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</si>
  <si>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</si>
  <si>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</si>
  <si>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</si>
  <si>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</si>
  <si>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</si>
  <si>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</si>
  <si>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</si>
  <si>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</si>
  <si>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</si>
  <si>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</si>
  <si>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</si>
  <si>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</si>
  <si>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</si>
  <si>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</si>
  <si>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</si>
  <si>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</si>
  <si>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</si>
  <si>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</si>
  <si>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</si>
  <si>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</si>
  <si>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</si>
  <si>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</si>
  <si>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</si>
  <si>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</si>
  <si>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</si>
  <si>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</si>
  <si>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</si>
  <si>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</si>
  <si>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</si>
  <si>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</si>
  <si>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</si>
  <si>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</si>
  <si>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</si>
  <si>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</si>
  <si>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</si>
  <si>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</si>
  <si>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</si>
  <si>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</si>
  <si>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</si>
  <si>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</si>
  <si>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</si>
  <si>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</si>
  <si>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</si>
  <si>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</si>
  <si>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</si>
  <si>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</si>
  <si>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</si>
  <si>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</si>
  <si>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</si>
  <si>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</si>
  <si>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</si>
  <si>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</si>
  <si>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</si>
  <si>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</si>
  <si>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</si>
  <si>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</si>
  <si>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</si>
  <si>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</si>
  <si>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</si>
  <si>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</si>
  <si>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</si>
  <si>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</si>
  <si>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</si>
  <si>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</si>
  <si>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</si>
  <si>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</si>
  <si>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</si>
  <si>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</si>
  <si>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</si>
  <si>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</si>
  <si>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</si>
  <si>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</si>
  <si>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</si>
  <si>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</si>
  <si>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</si>
  <si>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</si>
  <si>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</si>
  <si>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</si>
  <si>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</si>
  <si>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</si>
  <si>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</si>
  <si>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</si>
  <si>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</si>
  <si>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</si>
  <si>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</si>
  <si>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</si>
  <si>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</si>
  <si>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</si>
  <si>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</si>
  <si>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</si>
  <si>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</si>
  <si>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</si>
  <si>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</si>
  <si>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</si>
  <si>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</si>
  <si>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</si>
  <si>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</si>
  <si>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</si>
  <si>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</si>
  <si>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</si>
  <si>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</si>
  <si>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</si>
  <si>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</si>
  <si>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</si>
  <si>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</si>
  <si>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</si>
  <si>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</si>
  <si>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</si>
  <si>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</si>
  <si>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</si>
  <si>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</si>
  <si>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</si>
  <si>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</si>
  <si>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</si>
  <si>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</si>
  <si>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</si>
  <si>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</si>
  <si>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</si>
  <si>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إجراءات القائد قبل بدء التحرك إلى مناطق الانتشار.</t>
  </si>
  <si>
    <t>1.   إبلاغ المرؤوسين بالبدء بتنفيذ خطة التحرك لمناطق الانتشار.</t>
  </si>
  <si>
    <t>2.   إرسال مجموعات الحماية والاستطلاع والأدلاء إلى مناطق الانتشار.</t>
  </si>
  <si>
    <t>3.   تحميل وثائق العمليات.</t>
  </si>
  <si>
    <t>4.   يبدأ الضابط المسؤول عن مجموعة المؤخرة في تنفيذ تعليمات التحرك.</t>
  </si>
  <si>
    <t>إجراءات القادة والقوات أثناء التحرك لمناطق الانتشار.</t>
  </si>
  <si>
    <t>1.   التقيد بتنفيذ إجراءات التحرك حسب أمر / جدول التحرك.</t>
  </si>
  <si>
    <t>2.   سيطرة القادة على قواتهم أثناء التحرك.</t>
  </si>
  <si>
    <t>3.   توفر الحماية للقوات أثناء التحرك.</t>
  </si>
  <si>
    <t>4.   تحقيـق الاتصال بالمستـوى الأعلى والادنى.</t>
  </si>
  <si>
    <t>إجراءات دخول القوات في مناطق الانتشار وتأمينها.</t>
  </si>
  <si>
    <t>1.   فتح نقاط ضبط وسيطرة من قبل الشرطة العسكرية / شرطة الوحدة.</t>
  </si>
  <si>
    <t>2.   وجود جماعة الإرشاد (الإدلاء) والقيام بأداء المهام والواجبات المطلوبة.</t>
  </si>
  <si>
    <t>3.   وجود عناصر من الوحدات لتأمين المواقع.</t>
  </si>
  <si>
    <t>4.   قيام الوحدات باحتلال مواقعها وقيام الأسلحة العضوية والمساندة باحتلال مواقع النيران المخصصة.</t>
  </si>
  <si>
    <t>5.   تسلسل الدخول لمناطق الانتشار حسب جدول التنقل.</t>
  </si>
  <si>
    <t>تجهيز وإعداد مناطق الانتشار والإجراءات المتخذة فيها.</t>
  </si>
  <si>
    <t>1.   التأكد من توزيع المعدات بالطريقة الصحيحة مع تقسيم منطقة الانتشار إلى قطاعات.</t>
  </si>
  <si>
    <t>2.   جاهزية القوة للقيام بالدفاع عن منطقة الانتشار حسب خطة الدفاع والحراسة.</t>
  </si>
  <si>
    <t>3.   وجود خطة / تعليمات التجهيز الهندسي.</t>
  </si>
  <si>
    <t>4.   وجود خطة النيـــران.</t>
  </si>
  <si>
    <t>5.   التأكد من التخفية والتمويه.</t>
  </si>
  <si>
    <t>6.   التأكد من فتح وإدامة مراكز القيادة والسيطرة والاتصالات.</t>
  </si>
  <si>
    <t>7.   وجود خطة التأمين الكيميائي.</t>
  </si>
  <si>
    <t>8.   التأكد من تأمين مناطق الانتشار بالاتصالات.</t>
  </si>
  <si>
    <t>9.   التأكد من تجهيز نقاط المراقبة الجوية والاستطلاع.</t>
  </si>
  <si>
    <t>10.   وجود تعليمات الإنـــذار.</t>
  </si>
  <si>
    <t>إجراءات الإسناد الإداري.</t>
  </si>
  <si>
    <t>1.   التزويد ( الوقود / الأرزاق / المياه، الخ..).</t>
  </si>
  <si>
    <t>2.   تنفيذ إجراءات الإخـلاء الطبي.</t>
  </si>
  <si>
    <t>3.   تنفيذ إجراءات إنقـاذ الآليات.</t>
  </si>
  <si>
    <t>4.   تحديد الطرق الرئيسة والتبادلية المؤديـة من وإلى مناطق الانتشــار.</t>
  </si>
  <si>
    <r>
      <rPr>
        <b/>
        <sz val="14"/>
        <color rgb="FF000000"/>
        <rFont val="Arial"/>
        <family val="2"/>
      </rPr>
      <t>تقييم تحرك وحدات المناورة من معسكرات السلم واحتلال مناطق الانتشار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</si>
</sst>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15" fillId="0" borderId="4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14" fillId="0" borderId="11" xfId="0" applyFont="1" applyBorder="1" applyAlignment="1">
      <alignment horizontal="right" vertical="center" wrapText="1" readingOrder="2"/>
    </xf>
    <xf numFmtId="0" fontId="14" fillId="0" borderId="12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332745</xdr:colOff>
      <xdr:row>43</xdr:row>
      <xdr:rowOff>89428</xdr:rowOff>
    </xdr:from>
    <xdr:to>
      <xdr:col>9</xdr:col>
      <xdr:colOff>127154</xdr:colOff>
      <xdr:row>43</xdr:row>
      <xdr:rowOff>513868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72C2A81-AAD7-866E-42F8-8EF32DD00EB7}"/>
                </a:ext>
              </a:extLst>
            </xdr14:cNvPr>
            <xdr14:cNvContentPartPr/>
          </xdr14:nvContentPartPr>
          <xdr14:nvPr macro=""/>
          <xdr14:xfrm>
            <a:off x="10398459665" y="17003520"/>
            <a:ext cx="1768680" cy="42444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A72C2A81-AAD7-866E-42F8-8EF32DD00EB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450665" y="16994880"/>
              <a:ext cx="1786320" cy="44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5495</xdr:colOff>
      <xdr:row>43</xdr:row>
      <xdr:rowOff>489028</xdr:rowOff>
    </xdr:from>
    <xdr:to>
      <xdr:col>7</xdr:col>
      <xdr:colOff>19895</xdr:colOff>
      <xdr:row>43</xdr:row>
      <xdr:rowOff>600988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C3FDA36-98DB-301A-C2FB-771DC0D0B2D5}"/>
                </a:ext>
              </a:extLst>
            </xdr14:cNvPr>
            <xdr14:cNvContentPartPr/>
          </xdr14:nvContentPartPr>
          <xdr14:nvPr macro=""/>
          <xdr14:xfrm>
            <a:off x="10399883105" y="17403120"/>
            <a:ext cx="14400" cy="11196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C3FDA36-98DB-301A-C2FB-771DC0D0B2D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874465" y="17394480"/>
              <a:ext cx="32040" cy="129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8:09:46.27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4609 148 15771,'0'0'0,"0"0"0,0-32 240,0 0 200,0-2 48,0 9-48,0 25-440,0-13 368,0 9-160,0-1-112,2 4-32,-2 1-64,3-1-112,-3 1 24,5 0 40,-3 0-16,-2 0 64,12 0 48,10 2-8,-3 3-8,0 6-40,-19-11 8,24 4-24,-4 13 0,4 0 24,-3 2-24,-21-19 24,27 24-40,-6 3-72,-1 3-24,4 4-40,-24-34 176,14 36-104,1 1-64,-6 0 48,-9-1 160,0-36-40,0 36-72,0-3 104,-2-5-56,-10-2-88,12-26 112,-15 25-112,-6-3 40,-3-4 8,0-2 24,24-16 40,-32 11 80,-4-7-32,-7 11 64,-8-11-56,51-4-56,-57 4 64,-11 9 0,-4-10 8,-12 10 112,84-13-184,-87 4 120,-6 11 40,-11-10-80,1 9-80,103-14 0,-109 4 72,-1 12-104,4-13 56,0 1 40,106-4-64,-98 4 72,9-4 128,2 0 40,10-4 16,77 4-256,-70-11 241,8-1-25,2-1 0,2-1-24,58 14-192,-51-15 208,6-1-48,6-1-40,-2-2 72,41 19-192,-31-21 160,2-2 16,7-4 16,1-1-24,21 28-168,-15-29 200,3 1-80,5 0 8,5 1-56,2 27-72,-5-25 64,2 6 0,3 4 16,0 11-24,0 4-56,0-4-56,-2 1-88,2 2-112,-2 1-88,2 0 344,0 0-368,0 0 32,-5 0 88,-10 4 136,15-4 112,-24 15-88,-12 1 64,-17 7 8,-9 4-24,62-27 40,-82 31-8,-14 7-32,-12 2 8,-10 4 8,118-44 24,-125 44-24,-3-1 24,-2-2-16,3-2 16,127-39 0,-130 32-40,2-3 64,3-8 64,0-5-64,125-16-24,-115 13 88,2-9 24,7 7-136,5-8 200,101-3-176,-94 4 144,5 9-80,10-10 24,7 1-24,72-4-64,-65 4 48,14 1 0,5-2 80,18-1-136,28-2 8,-29 0-56,14 0 112,10 0-8,5 0-24,0 0-24,0 0-48,15 0 48,2 0 88,12 0 40,-29 0-128,45-4 224,23-10-64,23-5-160,20-6 24,-111 25-24,127-36 104,22-5-40,8-4 24,16-5-8,-173 50-80,185-51 24,-2-1-48,4 3 72,-1 3-24,-186 46-24,182-41 24,-1 4-8,-10 6-32,-8 5-32,-163 26 48,157-20 24,-8 5-32,-10 2 8,-6 9 8,-133 4-8,115-6-176,-9 2 160,-10-1-8,-9 4-32,-87 1 56,77-1 64,-8-1-72,-9 1 16,-16-1 8,-44 2-16,33 0-16,-11-1 16,-10 1 16,-7 0 0,-5 0-16,0 0 88,0 0 64,-2 0-32,-1-2 48,3 2-168,-12-1 128,5-2-96,-10 2-64,0-1 8,17 2 24,-19-1-16,-5 1 16,-3 3-8,-1 10 16,28-13-8,-34 11-32,3 5 32,-1 3 24,-9 4-16,41-23-8,-36 30 16,-5 1 0,3 5-8,2 1 48,36-37-56,-31 37 16,4 0-8,3-2-8,5 1-40,19-36 40,-17 35-8,3-1-48,9 5 32,0-2-96,5-37 120,-12 37-152,12 0-184,-2 1-192,2 0-200,0-38 728,7 45-872,2 1-185,-6 6-503,16 3-1009,-19-55 2569,5 71-5569,9-14-472,-14-57 6041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8:09:46.69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37 311 20956,'0'0'0,"2"-69"232,-2 69-232,0-68 240,0-9-16,-5 23-144,-7 29-48,12 25-32,-4-14-272,-4 11-472,4 3-432,4 4-65,0-4 1241,0 20-1248,0 3 96,-3 8-488,3 0-1241,0-31 2881,-2 39-7274,2-39 7274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4"/>
  <sheetViews>
    <sheetView rightToLeft="1" tabSelected="1" view="pageBreakPreview" topLeftCell="C33" zoomScale="130" zoomScaleNormal="100" zoomScaleSheetLayoutView="130" workbookViewId="0">
      <selection activeCell="G44" sqref="G44:J44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64" t="s">
        <v>212</v>
      </c>
      <c r="C1" s="64"/>
      <c r="D1" s="64"/>
      <c r="E1" s="64"/>
      <c r="F1" s="64"/>
      <c r="G1" s="64"/>
      <c r="H1" s="64"/>
      <c r="I1" s="64"/>
      <c r="J1" s="64"/>
    </row>
    <row r="2" spans="1:10" ht="30" customHeight="1" x14ac:dyDescent="0.2">
      <c r="B2" s="12" t="s">
        <v>8</v>
      </c>
      <c r="C2" s="70" t="s">
        <v>37</v>
      </c>
      <c r="D2" s="70"/>
      <c r="E2" s="12" t="s">
        <v>7</v>
      </c>
      <c r="F2" s="65">
        <v>45905</v>
      </c>
      <c r="G2" s="65"/>
      <c r="H2" s="65"/>
      <c r="I2" s="65"/>
      <c r="J2" s="65"/>
    </row>
    <row r="3" spans="1:10" ht="30" customHeight="1" x14ac:dyDescent="0.2">
      <c r="B3" s="12" t="s">
        <v>9</v>
      </c>
      <c r="C3" s="70" t="s">
        <v>78</v>
      </c>
      <c r="D3" s="70"/>
      <c r="E3" s="12" t="s">
        <v>6</v>
      </c>
      <c r="F3" s="70" t="s">
        <v>133</v>
      </c>
      <c r="G3" s="70"/>
      <c r="H3" s="70"/>
      <c r="I3" s="70"/>
      <c r="J3" s="70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66" t="s">
        <v>0</v>
      </c>
      <c r="C5" s="67"/>
      <c r="D5" s="67"/>
      <c r="E5" s="48" t="s">
        <v>1</v>
      </c>
      <c r="F5" s="48"/>
      <c r="G5" s="48"/>
      <c r="H5" s="48"/>
      <c r="I5" s="48" t="s">
        <v>2</v>
      </c>
      <c r="J5" s="49"/>
    </row>
    <row r="6" spans="1:10" ht="24.95" customHeight="1" thickBot="1" x14ac:dyDescent="0.25">
      <c r="A6" s="10"/>
      <c r="B6" s="68"/>
      <c r="C6" s="69"/>
      <c r="D6" s="69"/>
      <c r="E6" s="11" t="s">
        <v>3</v>
      </c>
      <c r="F6" s="11" t="s">
        <v>4</v>
      </c>
      <c r="G6" s="11" t="s">
        <v>23</v>
      </c>
      <c r="H6" s="11" t="s">
        <v>24</v>
      </c>
      <c r="I6" s="50"/>
      <c r="J6" s="51"/>
    </row>
    <row r="7" spans="1:10" ht="24.95" customHeight="1" thickBot="1" x14ac:dyDescent="0.25">
      <c r="A7" s="10"/>
      <c r="B7" s="73" t="s">
        <v>21</v>
      </c>
      <c r="C7" s="74"/>
      <c r="D7" s="74"/>
      <c r="E7" s="32" t="s">
        <v>18</v>
      </c>
      <c r="F7" s="32" t="s">
        <v>19</v>
      </c>
      <c r="G7" s="32" t="s">
        <v>22</v>
      </c>
      <c r="H7" s="32" t="s">
        <v>20</v>
      </c>
      <c r="I7" s="52" t="s">
        <v>25</v>
      </c>
      <c r="J7" s="53"/>
    </row>
    <row r="8" spans="1:10" ht="30" customHeight="1" x14ac:dyDescent="0.2">
      <c r="A8" s="10"/>
      <c r="B8" s="79" t="s">
        <v>180</v>
      </c>
      <c r="C8" s="80"/>
      <c r="D8" s="80"/>
      <c r="E8" s="30"/>
      <c r="F8" s="36"/>
      <c r="G8" s="37"/>
      <c r="H8" s="38"/>
      <c r="I8" s="56"/>
      <c r="J8" s="57"/>
    </row>
    <row r="9" spans="1:10" ht="30" customHeight="1" x14ac:dyDescent="0.2">
      <c r="A9" s="10"/>
      <c r="B9" s="81" t="s">
        <v>181</v>
      </c>
      <c r="C9" s="82"/>
      <c r="D9" s="82"/>
      <c r="E9" s="28">
        <v>5</v>
      </c>
      <c r="F9" s="26">
        <v>3.5</v>
      </c>
      <c r="G9" s="34">
        <f>IFERROR(F9/E9,"")</f>
        <v>0.7</v>
      </c>
      <c r="H9" s="35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6"/>
      <c r="J9" s="47"/>
    </row>
    <row r="10" spans="1:10" ht="30" customHeight="1" x14ac:dyDescent="0.2">
      <c r="A10" s="10"/>
      <c r="B10" s="81" t="s">
        <v>182</v>
      </c>
      <c r="C10" s="82"/>
      <c r="D10" s="82"/>
      <c r="E10" s="28">
        <v>6</v>
      </c>
      <c r="F10" s="26">
        <v>4.25</v>
      </c>
      <c r="G10" s="34">
        <f t="shared" ref="G10:G39" si="0">IFERROR(F10/E10,"")</f>
        <v>0.70833333333333337</v>
      </c>
      <c r="H10" s="35" t="str">
        <f t="shared" ref="H10:H39" si="1">_xlfn.IFS(F10="أدخل العلامة","",F10="لا ينطبق","تم الإلغاء",G10&gt;=90%,"ممتاز",G10&gt;=80%,"جيد جداً",G10&gt;=70%,"جيد",G10&gt;=60%,"مقبول",G10&lt;60%,"راسب")</f>
        <v>جيد</v>
      </c>
      <c r="I10" s="46"/>
      <c r="J10" s="47"/>
    </row>
    <row r="11" spans="1:10" ht="30" customHeight="1" x14ac:dyDescent="0.2">
      <c r="A11" s="10"/>
      <c r="B11" s="81" t="s">
        <v>183</v>
      </c>
      <c r="C11" s="82"/>
      <c r="D11" s="82"/>
      <c r="E11" s="28">
        <v>6</v>
      </c>
      <c r="F11" s="26">
        <v>4.25</v>
      </c>
      <c r="G11" s="34">
        <f t="shared" si="0"/>
        <v>0.70833333333333337</v>
      </c>
      <c r="H11" s="35" t="str">
        <f t="shared" si="1"/>
        <v>جيد</v>
      </c>
      <c r="I11" s="46"/>
      <c r="J11" s="47"/>
    </row>
    <row r="12" spans="1:10" ht="30" customHeight="1" thickBot="1" x14ac:dyDescent="0.25">
      <c r="A12" s="10"/>
      <c r="B12" s="83" t="s">
        <v>184</v>
      </c>
      <c r="C12" s="84"/>
      <c r="D12" s="84"/>
      <c r="E12" s="29">
        <v>5</v>
      </c>
      <c r="F12" s="27">
        <v>3.75</v>
      </c>
      <c r="G12" s="39">
        <f t="shared" si="0"/>
        <v>0.75</v>
      </c>
      <c r="H12" s="40" t="str">
        <f t="shared" si="1"/>
        <v>جيد</v>
      </c>
      <c r="I12" s="54"/>
      <c r="J12" s="55"/>
    </row>
    <row r="13" spans="1:10" ht="30" customHeight="1" x14ac:dyDescent="0.2">
      <c r="A13" s="10"/>
      <c r="B13" s="79" t="s">
        <v>185</v>
      </c>
      <c r="C13" s="80"/>
      <c r="D13" s="80"/>
      <c r="E13" s="30"/>
      <c r="F13" s="36"/>
      <c r="G13" s="37"/>
      <c r="H13" s="38"/>
      <c r="I13" s="56"/>
      <c r="J13" s="57"/>
    </row>
    <row r="14" spans="1:10" ht="30" customHeight="1" x14ac:dyDescent="0.2">
      <c r="A14" s="10"/>
      <c r="B14" s="81" t="s">
        <v>186</v>
      </c>
      <c r="C14" s="82"/>
      <c r="D14" s="82"/>
      <c r="E14" s="9">
        <v>8</v>
      </c>
      <c r="F14" s="26">
        <v>5.75</v>
      </c>
      <c r="G14" s="34">
        <f t="shared" si="0"/>
        <v>0.71875</v>
      </c>
      <c r="H14" s="35" t="str">
        <f t="shared" si="1"/>
        <v>جيد</v>
      </c>
      <c r="I14" s="46"/>
      <c r="J14" s="47"/>
    </row>
    <row r="15" spans="1:10" ht="30" customHeight="1" x14ac:dyDescent="0.2">
      <c r="A15" s="10"/>
      <c r="B15" s="81" t="s">
        <v>187</v>
      </c>
      <c r="C15" s="82"/>
      <c r="D15" s="82"/>
      <c r="E15" s="9">
        <v>8</v>
      </c>
      <c r="F15" s="26">
        <v>5.75</v>
      </c>
      <c r="G15" s="34">
        <f t="shared" si="0"/>
        <v>0.71875</v>
      </c>
      <c r="H15" s="35" t="str">
        <f t="shared" si="1"/>
        <v>جيد</v>
      </c>
      <c r="I15" s="46"/>
      <c r="J15" s="47"/>
    </row>
    <row r="16" spans="1:10" ht="30" customHeight="1" x14ac:dyDescent="0.2">
      <c r="A16" s="10"/>
      <c r="B16" s="81" t="s">
        <v>188</v>
      </c>
      <c r="C16" s="82"/>
      <c r="D16" s="82"/>
      <c r="E16" s="9">
        <v>5</v>
      </c>
      <c r="F16" s="26">
        <v>3.25</v>
      </c>
      <c r="G16" s="34">
        <f t="shared" si="0"/>
        <v>0.65</v>
      </c>
      <c r="H16" s="35" t="str">
        <f t="shared" si="1"/>
        <v>مقبول</v>
      </c>
      <c r="I16" s="46"/>
      <c r="J16" s="47"/>
    </row>
    <row r="17" spans="1:10" ht="30" customHeight="1" thickBot="1" x14ac:dyDescent="0.25">
      <c r="A17" s="10"/>
      <c r="B17" s="83" t="s">
        <v>189</v>
      </c>
      <c r="C17" s="84"/>
      <c r="D17" s="84"/>
      <c r="E17" s="31">
        <v>6</v>
      </c>
      <c r="F17" s="27">
        <v>4</v>
      </c>
      <c r="G17" s="39">
        <f t="shared" si="0"/>
        <v>0.66666666666666663</v>
      </c>
      <c r="H17" s="40" t="str">
        <f t="shared" si="1"/>
        <v>مقبول</v>
      </c>
      <c r="I17" s="54"/>
      <c r="J17" s="55"/>
    </row>
    <row r="18" spans="1:10" ht="30" customHeight="1" x14ac:dyDescent="0.2">
      <c r="A18" s="10"/>
      <c r="B18" s="79" t="s">
        <v>190</v>
      </c>
      <c r="C18" s="80"/>
      <c r="D18" s="80"/>
      <c r="E18" s="30"/>
      <c r="F18" s="36"/>
      <c r="G18" s="37"/>
      <c r="H18" s="38"/>
      <c r="I18" s="56"/>
      <c r="J18" s="57"/>
    </row>
    <row r="19" spans="1:10" ht="30" customHeight="1" x14ac:dyDescent="0.2">
      <c r="A19" s="10"/>
      <c r="B19" s="81" t="s">
        <v>191</v>
      </c>
      <c r="C19" s="82"/>
      <c r="D19" s="82"/>
      <c r="E19" s="28">
        <v>6</v>
      </c>
      <c r="F19" s="26">
        <v>4.25</v>
      </c>
      <c r="G19" s="34">
        <f t="shared" si="0"/>
        <v>0.70833333333333337</v>
      </c>
      <c r="H19" s="35" t="str">
        <f t="shared" si="1"/>
        <v>جيد</v>
      </c>
      <c r="I19" s="46"/>
      <c r="J19" s="47"/>
    </row>
    <row r="20" spans="1:10" ht="30" customHeight="1" x14ac:dyDescent="0.2">
      <c r="A20" s="10"/>
      <c r="B20" s="81" t="s">
        <v>192</v>
      </c>
      <c r="C20" s="82"/>
      <c r="D20" s="82"/>
      <c r="E20" s="28">
        <v>6</v>
      </c>
      <c r="F20" s="26">
        <v>4</v>
      </c>
      <c r="G20" s="34">
        <f t="shared" si="0"/>
        <v>0.66666666666666663</v>
      </c>
      <c r="H20" s="35" t="str">
        <f t="shared" si="1"/>
        <v>مقبول</v>
      </c>
      <c r="I20" s="46"/>
      <c r="J20" s="47"/>
    </row>
    <row r="21" spans="1:10" ht="30" customHeight="1" x14ac:dyDescent="0.2">
      <c r="A21" s="10"/>
      <c r="B21" s="81" t="s">
        <v>193</v>
      </c>
      <c r="C21" s="82"/>
      <c r="D21" s="82"/>
      <c r="E21" s="28">
        <v>6</v>
      </c>
      <c r="F21" s="26">
        <v>4.25</v>
      </c>
      <c r="G21" s="34">
        <f t="shared" si="0"/>
        <v>0.70833333333333337</v>
      </c>
      <c r="H21" s="35" t="str">
        <f t="shared" si="1"/>
        <v>جيد</v>
      </c>
      <c r="I21" s="46"/>
      <c r="J21" s="47"/>
    </row>
    <row r="22" spans="1:10" ht="39.950000000000003" customHeight="1" x14ac:dyDescent="0.2">
      <c r="A22" s="10"/>
      <c r="B22" s="81" t="s">
        <v>194</v>
      </c>
      <c r="C22" s="82"/>
      <c r="D22" s="82"/>
      <c r="E22" s="28">
        <v>6</v>
      </c>
      <c r="F22" s="26">
        <v>4.5</v>
      </c>
      <c r="G22" s="34">
        <f t="shared" si="0"/>
        <v>0.75</v>
      </c>
      <c r="H22" s="35" t="str">
        <f t="shared" si="1"/>
        <v>جيد</v>
      </c>
      <c r="I22" s="46"/>
      <c r="J22" s="47"/>
    </row>
    <row r="23" spans="1:10" ht="30" customHeight="1" thickBot="1" x14ac:dyDescent="0.25">
      <c r="A23" s="10"/>
      <c r="B23" s="83" t="s">
        <v>195</v>
      </c>
      <c r="C23" s="84"/>
      <c r="D23" s="84"/>
      <c r="E23" s="29">
        <v>6</v>
      </c>
      <c r="F23" s="27">
        <v>3.75</v>
      </c>
      <c r="G23" s="39">
        <f t="shared" si="0"/>
        <v>0.625</v>
      </c>
      <c r="H23" s="40" t="str">
        <f t="shared" si="1"/>
        <v>مقبول</v>
      </c>
      <c r="I23" s="54"/>
      <c r="J23" s="55"/>
    </row>
    <row r="24" spans="1:10" ht="30" customHeight="1" x14ac:dyDescent="0.2">
      <c r="A24" s="10"/>
      <c r="B24" s="79" t="s">
        <v>196</v>
      </c>
      <c r="C24" s="80"/>
      <c r="D24" s="80"/>
      <c r="E24" s="30"/>
      <c r="F24" s="36"/>
      <c r="G24" s="37"/>
      <c r="H24" s="38"/>
      <c r="I24" s="56"/>
      <c r="J24" s="57"/>
    </row>
    <row r="25" spans="1:10" ht="39.950000000000003" customHeight="1" x14ac:dyDescent="0.2">
      <c r="A25" s="10"/>
      <c r="B25" s="85" t="s">
        <v>197</v>
      </c>
      <c r="C25" s="86"/>
      <c r="D25" s="86"/>
      <c r="E25" s="28">
        <v>5</v>
      </c>
      <c r="F25" s="26">
        <v>3.75</v>
      </c>
      <c r="G25" s="34">
        <f t="shared" si="0"/>
        <v>0.75</v>
      </c>
      <c r="H25" s="35" t="str">
        <f t="shared" si="1"/>
        <v>جيد</v>
      </c>
      <c r="I25" s="46"/>
      <c r="J25" s="47"/>
    </row>
    <row r="26" spans="1:10" ht="39.950000000000003" customHeight="1" x14ac:dyDescent="0.2">
      <c r="A26" s="10"/>
      <c r="B26" s="85" t="s">
        <v>198</v>
      </c>
      <c r="C26" s="86"/>
      <c r="D26" s="86"/>
      <c r="E26" s="28">
        <v>5</v>
      </c>
      <c r="F26" s="26">
        <v>3.75</v>
      </c>
      <c r="G26" s="34">
        <f t="shared" si="0"/>
        <v>0.75</v>
      </c>
      <c r="H26" s="35" t="str">
        <f t="shared" si="1"/>
        <v>جيد</v>
      </c>
      <c r="I26" s="46"/>
      <c r="J26" s="47"/>
    </row>
    <row r="27" spans="1:10" ht="30" customHeight="1" x14ac:dyDescent="0.2">
      <c r="A27" s="10"/>
      <c r="B27" s="85" t="s">
        <v>199</v>
      </c>
      <c r="C27" s="86"/>
      <c r="D27" s="86"/>
      <c r="E27" s="28">
        <v>5</v>
      </c>
      <c r="F27" s="26">
        <v>3.75</v>
      </c>
      <c r="G27" s="34">
        <f t="shared" si="0"/>
        <v>0.75</v>
      </c>
      <c r="H27" s="35" t="str">
        <f t="shared" si="1"/>
        <v>جيد</v>
      </c>
      <c r="I27" s="46"/>
      <c r="J27" s="47"/>
    </row>
    <row r="28" spans="1:10" ht="30" customHeight="1" x14ac:dyDescent="0.2">
      <c r="A28" s="10"/>
      <c r="B28" s="85" t="s">
        <v>200</v>
      </c>
      <c r="C28" s="86"/>
      <c r="D28" s="86"/>
      <c r="E28" s="28">
        <v>5</v>
      </c>
      <c r="F28" s="26">
        <v>3.5</v>
      </c>
      <c r="G28" s="34">
        <f t="shared" si="0"/>
        <v>0.7</v>
      </c>
      <c r="H28" s="35" t="str">
        <f t="shared" si="1"/>
        <v>جيد</v>
      </c>
      <c r="I28" s="46"/>
      <c r="J28" s="47"/>
    </row>
    <row r="29" spans="1:10" ht="30" customHeight="1" x14ac:dyDescent="0.2">
      <c r="A29" s="10"/>
      <c r="B29" s="85" t="s">
        <v>201</v>
      </c>
      <c r="C29" s="86"/>
      <c r="D29" s="86"/>
      <c r="E29" s="28">
        <v>5</v>
      </c>
      <c r="F29" s="26">
        <v>3.25</v>
      </c>
      <c r="G29" s="34">
        <f t="shared" si="0"/>
        <v>0.65</v>
      </c>
      <c r="H29" s="35" t="str">
        <f t="shared" si="1"/>
        <v>مقبول</v>
      </c>
      <c r="I29" s="46"/>
      <c r="J29" s="47"/>
    </row>
    <row r="30" spans="1:10" ht="30" customHeight="1" x14ac:dyDescent="0.2">
      <c r="A30" s="10"/>
      <c r="B30" s="85" t="s">
        <v>202</v>
      </c>
      <c r="C30" s="86"/>
      <c r="D30" s="86"/>
      <c r="E30" s="28">
        <v>5</v>
      </c>
      <c r="F30" s="26">
        <v>3.75</v>
      </c>
      <c r="G30" s="34">
        <f t="shared" si="0"/>
        <v>0.75</v>
      </c>
      <c r="H30" s="35" t="str">
        <f t="shared" si="1"/>
        <v>جيد</v>
      </c>
      <c r="I30" s="46"/>
      <c r="J30" s="47"/>
    </row>
    <row r="31" spans="1:10" ht="30" customHeight="1" x14ac:dyDescent="0.2">
      <c r="A31" s="10"/>
      <c r="B31" s="85" t="s">
        <v>203</v>
      </c>
      <c r="C31" s="86"/>
      <c r="D31" s="86"/>
      <c r="E31" s="28">
        <v>5</v>
      </c>
      <c r="F31" s="26">
        <v>3.75</v>
      </c>
      <c r="G31" s="34">
        <f t="shared" si="0"/>
        <v>0.75</v>
      </c>
      <c r="H31" s="35" t="str">
        <f t="shared" si="1"/>
        <v>جيد</v>
      </c>
      <c r="I31" s="46"/>
      <c r="J31" s="47"/>
    </row>
    <row r="32" spans="1:10" ht="30" customHeight="1" x14ac:dyDescent="0.2">
      <c r="A32" s="10"/>
      <c r="B32" s="85" t="s">
        <v>204</v>
      </c>
      <c r="C32" s="86"/>
      <c r="D32" s="86"/>
      <c r="E32" s="28">
        <v>5</v>
      </c>
      <c r="F32" s="26">
        <v>3.75</v>
      </c>
      <c r="G32" s="34">
        <f t="shared" si="0"/>
        <v>0.75</v>
      </c>
      <c r="H32" s="35" t="str">
        <f t="shared" si="1"/>
        <v>جيد</v>
      </c>
      <c r="I32" s="46"/>
      <c r="J32" s="47"/>
    </row>
    <row r="33" spans="1:10" ht="30" customHeight="1" x14ac:dyDescent="0.2">
      <c r="A33" s="10"/>
      <c r="B33" s="85" t="s">
        <v>205</v>
      </c>
      <c r="C33" s="86"/>
      <c r="D33" s="86"/>
      <c r="E33" s="28">
        <v>5</v>
      </c>
      <c r="F33" s="26">
        <v>3.25</v>
      </c>
      <c r="G33" s="34">
        <f t="shared" si="0"/>
        <v>0.65</v>
      </c>
      <c r="H33" s="35" t="str">
        <f t="shared" si="1"/>
        <v>مقبول</v>
      </c>
      <c r="I33" s="46"/>
      <c r="J33" s="47"/>
    </row>
    <row r="34" spans="1:10" ht="30" customHeight="1" thickBot="1" x14ac:dyDescent="0.25">
      <c r="A34" s="10"/>
      <c r="B34" s="83" t="s">
        <v>206</v>
      </c>
      <c r="C34" s="84"/>
      <c r="D34" s="84"/>
      <c r="E34" s="29">
        <v>5</v>
      </c>
      <c r="F34" s="27">
        <v>3.25</v>
      </c>
      <c r="G34" s="39">
        <f t="shared" si="0"/>
        <v>0.65</v>
      </c>
      <c r="H34" s="40" t="str">
        <f t="shared" si="1"/>
        <v>مقبول</v>
      </c>
      <c r="I34" s="54"/>
      <c r="J34" s="55"/>
    </row>
    <row r="35" spans="1:10" ht="30" customHeight="1" x14ac:dyDescent="0.2">
      <c r="A35" s="10"/>
      <c r="B35" s="87" t="s">
        <v>207</v>
      </c>
      <c r="C35" s="88"/>
      <c r="D35" s="88"/>
      <c r="E35" s="30"/>
      <c r="F35" s="36"/>
      <c r="G35" s="37"/>
      <c r="H35" s="38"/>
      <c r="I35" s="56"/>
      <c r="J35" s="57"/>
    </row>
    <row r="36" spans="1:10" ht="30" customHeight="1" x14ac:dyDescent="0.2">
      <c r="A36" s="10"/>
      <c r="B36" s="85" t="s">
        <v>208</v>
      </c>
      <c r="C36" s="86"/>
      <c r="D36" s="86"/>
      <c r="E36" s="9">
        <v>6</v>
      </c>
      <c r="F36" s="26">
        <v>4.25</v>
      </c>
      <c r="G36" s="34">
        <f t="shared" si="0"/>
        <v>0.70833333333333337</v>
      </c>
      <c r="H36" s="35" t="str">
        <f t="shared" si="1"/>
        <v>جيد</v>
      </c>
      <c r="I36" s="46"/>
      <c r="J36" s="47"/>
    </row>
    <row r="37" spans="1:10" ht="30" customHeight="1" x14ac:dyDescent="0.2">
      <c r="A37" s="10"/>
      <c r="B37" s="85" t="s">
        <v>209</v>
      </c>
      <c r="C37" s="86"/>
      <c r="D37" s="86"/>
      <c r="E37" s="9">
        <v>5</v>
      </c>
      <c r="F37" s="26">
        <v>3.5</v>
      </c>
      <c r="G37" s="34">
        <f t="shared" si="0"/>
        <v>0.7</v>
      </c>
      <c r="H37" s="35" t="str">
        <f t="shared" si="1"/>
        <v>جيد</v>
      </c>
      <c r="I37" s="46"/>
      <c r="J37" s="47"/>
    </row>
    <row r="38" spans="1:10" ht="30" customHeight="1" x14ac:dyDescent="0.2">
      <c r="A38" s="10"/>
      <c r="B38" s="85" t="s">
        <v>210</v>
      </c>
      <c r="C38" s="86"/>
      <c r="D38" s="86"/>
      <c r="E38" s="9">
        <v>5</v>
      </c>
      <c r="F38" s="26">
        <v>3.5</v>
      </c>
      <c r="G38" s="34">
        <f t="shared" si="0"/>
        <v>0.7</v>
      </c>
      <c r="H38" s="35" t="str">
        <f t="shared" si="1"/>
        <v>جيد</v>
      </c>
      <c r="I38" s="46"/>
      <c r="J38" s="47"/>
    </row>
    <row r="39" spans="1:10" ht="30" customHeight="1" thickBot="1" x14ac:dyDescent="0.25">
      <c r="A39" s="10"/>
      <c r="B39" s="89" t="s">
        <v>211</v>
      </c>
      <c r="C39" s="90"/>
      <c r="D39" s="90"/>
      <c r="E39" s="31">
        <v>5</v>
      </c>
      <c r="F39" s="27">
        <v>3.25</v>
      </c>
      <c r="G39" s="39">
        <f t="shared" si="0"/>
        <v>0.65</v>
      </c>
      <c r="H39" s="40" t="str">
        <f t="shared" si="1"/>
        <v>مقبول</v>
      </c>
      <c r="I39" s="54"/>
      <c r="J39" s="55"/>
    </row>
    <row r="40" spans="1:10" ht="30" customHeight="1" thickBot="1" x14ac:dyDescent="0.25">
      <c r="A40" s="4"/>
      <c r="B40" s="75" t="s">
        <v>5</v>
      </c>
      <c r="C40" s="76"/>
      <c r="D40" s="76"/>
      <c r="E40" s="33">
        <f>SUM(E8:E39)</f>
        <v>150</v>
      </c>
      <c r="F40" s="33">
        <f>SUM(F8:F39)</f>
        <v>105.5</v>
      </c>
      <c r="G40" s="43"/>
      <c r="H40" s="44"/>
      <c r="I40" s="44"/>
      <c r="J40" s="45"/>
    </row>
    <row r="41" spans="1:10" ht="30" customHeight="1" thickBot="1" x14ac:dyDescent="0.25">
      <c r="A41" s="4"/>
      <c r="B41" s="77" t="s">
        <v>54</v>
      </c>
      <c r="C41" s="78"/>
      <c r="D41" s="78"/>
      <c r="E41" s="71">
        <f>F40/E40/100*100</f>
        <v>0.70333333333333337</v>
      </c>
      <c r="F41" s="71"/>
      <c r="G41" s="71"/>
      <c r="H41" s="71"/>
      <c r="I41" s="71"/>
      <c r="J41" s="72"/>
    </row>
    <row r="42" spans="1:10" ht="30" customHeight="1" thickBot="1" x14ac:dyDescent="0.25">
      <c r="A42" s="4"/>
      <c r="B42" s="77" t="s">
        <v>55</v>
      </c>
      <c r="C42" s="78"/>
      <c r="D42" s="78"/>
      <c r="E42" s="62" t="str">
        <f>_xlfn.IFS(E41&gt;=90%,"ممتاز",E41&gt;=80%,"جيد جداً",E41&gt;=70%,"جيد",E41&gt;=60%,"مقبول",E41&lt;60%,"راسب")</f>
        <v>جيد</v>
      </c>
      <c r="F42" s="62"/>
      <c r="G42" s="62"/>
      <c r="H42" s="62"/>
      <c r="I42" s="62"/>
      <c r="J42" s="63"/>
    </row>
    <row r="43" spans="1:10" ht="42" customHeight="1" x14ac:dyDescent="0.2">
      <c r="B43" s="58" t="s">
        <v>174</v>
      </c>
      <c r="C43" s="58"/>
      <c r="D43" s="58"/>
      <c r="E43" s="41" t="s">
        <v>52</v>
      </c>
      <c r="F43" s="41"/>
      <c r="G43" s="60" t="s">
        <v>133</v>
      </c>
      <c r="H43" s="60"/>
      <c r="I43" s="60"/>
      <c r="J43" s="60"/>
    </row>
    <row r="44" spans="1:10" ht="51" customHeight="1" x14ac:dyDescent="0.2">
      <c r="A44" s="5"/>
      <c r="B44" s="59"/>
      <c r="C44" s="59"/>
      <c r="D44" s="59"/>
      <c r="E44" s="42" t="s">
        <v>53</v>
      </c>
      <c r="F44" s="42"/>
      <c r="G44" s="61"/>
      <c r="H44" s="61"/>
      <c r="I44" s="61"/>
      <c r="J44" s="61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85">
    <mergeCell ref="B35:D35"/>
    <mergeCell ref="B36:D36"/>
    <mergeCell ref="B37:D37"/>
    <mergeCell ref="B38:D38"/>
    <mergeCell ref="B39:D39"/>
    <mergeCell ref="B33:D33"/>
    <mergeCell ref="B34:D34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I8:J8"/>
    <mergeCell ref="B13:D13"/>
    <mergeCell ref="B14:D14"/>
    <mergeCell ref="B15:D15"/>
    <mergeCell ref="B16:D16"/>
    <mergeCell ref="B8:D8"/>
    <mergeCell ref="B9:D9"/>
    <mergeCell ref="B10:D10"/>
    <mergeCell ref="B11:D11"/>
    <mergeCell ref="B12:D12"/>
    <mergeCell ref="B7:D7"/>
    <mergeCell ref="I38:J38"/>
    <mergeCell ref="I39:J39"/>
    <mergeCell ref="I30:J30"/>
    <mergeCell ref="I31:J31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33:J33"/>
    <mergeCell ref="B1:J1"/>
    <mergeCell ref="F2:J2"/>
    <mergeCell ref="B5:D6"/>
    <mergeCell ref="C2:D2"/>
    <mergeCell ref="C3:D3"/>
    <mergeCell ref="F3:J3"/>
    <mergeCell ref="I26:J26"/>
    <mergeCell ref="I27:J27"/>
    <mergeCell ref="B43:D44"/>
    <mergeCell ref="G43:J43"/>
    <mergeCell ref="G44:J44"/>
    <mergeCell ref="E42:J42"/>
    <mergeCell ref="E41:J41"/>
    <mergeCell ref="B40:D40"/>
    <mergeCell ref="B41:D41"/>
    <mergeCell ref="B42:D42"/>
    <mergeCell ref="I34:J34"/>
    <mergeCell ref="I35:J35"/>
    <mergeCell ref="I36:J36"/>
    <mergeCell ref="I32:J32"/>
    <mergeCell ref="B31:D31"/>
    <mergeCell ref="B32:D32"/>
    <mergeCell ref="E43:F43"/>
    <mergeCell ref="E44:F44"/>
    <mergeCell ref="G40:J40"/>
    <mergeCell ref="I9:J9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2">
    <cfRule type="expression" dxfId="14" priority="57">
      <formula>$E42="راسب"</formula>
    </cfRule>
  </conditionalFormatting>
  <conditionalFormatting sqref="E42:J42">
    <cfRule type="expression" dxfId="13" priority="58">
      <formula>$E42="مقبول"</formula>
    </cfRule>
    <cfRule type="expression" dxfId="12" priority="59">
      <formula>$E42="جيد"</formula>
    </cfRule>
    <cfRule type="expression" dxfId="11" priority="60">
      <formula>$E42="جيد جداً"</formula>
    </cfRule>
    <cfRule type="expression" dxfId="10" priority="61">
      <formula>$E42="ممتاز"</formula>
    </cfRule>
  </conditionalFormatting>
  <conditionalFormatting sqref="F8:F39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43:J43">
    <cfRule type="containsText" dxfId="6" priority="15" operator="containsText" text="أدخل اسم المحكم">
      <formula>NOT(ISERROR(SEARCH("أدخل اسم المحكم",G43)))</formula>
    </cfRule>
  </conditionalFormatting>
  <conditionalFormatting sqref="H8:H39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F9 F25:F34 F37:F39 F12 F16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G43:J43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3CD11486-4F82-4DA5-A759-F95A1043CEF6}">
          <x14:formula1>
            <xm:f>'بيانات التقييم'!$A$111:$A$137</xm:f>
          </x14:formula1>
          <xm:sqref>F10 F11 F17 F19 F20 F21 F22 F23 F36</xm:sqref>
        </x14:dataValidation>
        <x14:dataValidation type="list" allowBlank="1" showInputMessage="1" showErrorMessage="1" xr:uid="{A2279BC6-5414-436A-83B1-5F1184DCF6A6}">
          <x14:formula1>
            <xm:f>'بيانات التقييم'!$A$111:$A$145</xm:f>
          </x14:formula1>
          <xm:sqref>F14 F15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8" workbookViewId="0">
      <selection activeCell="C33" sqref="C33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45901</v>
      </c>
    </row>
    <row r="40" spans="1:9" ht="20.100000000000001" customHeight="1" thickBot="1" x14ac:dyDescent="0.3">
      <c r="A40" s="13">
        <v>45902</v>
      </c>
    </row>
    <row r="41" spans="1:9" ht="20.100000000000001" customHeight="1" thickBot="1" x14ac:dyDescent="0.3">
      <c r="A41" s="13">
        <v>45903</v>
      </c>
    </row>
    <row r="42" spans="1:9" ht="20.100000000000001" customHeight="1" thickBot="1" x14ac:dyDescent="0.3">
      <c r="A42" s="13">
        <v>45904</v>
      </c>
    </row>
    <row r="43" spans="1:9" ht="20.100000000000001" customHeight="1" thickBot="1" x14ac:dyDescent="0.3">
      <c r="A43" s="13">
        <v>45905</v>
      </c>
    </row>
    <row r="44" spans="1:9" ht="20.100000000000001" customHeight="1" thickBot="1" x14ac:dyDescent="0.3">
      <c r="A44" s="13">
        <v>45906</v>
      </c>
    </row>
    <row r="45" spans="1:9" ht="20.100000000000001" customHeight="1" thickBot="1" x14ac:dyDescent="0.3">
      <c r="A45" s="13">
        <v>45907</v>
      </c>
    </row>
    <row r="46" spans="1:9" ht="20.100000000000001" customHeight="1" thickBot="1" x14ac:dyDescent="0.3">
      <c r="A46" s="13">
        <v>45908</v>
      </c>
    </row>
    <row r="47" spans="1:9" ht="20.100000000000001" customHeight="1" thickBot="1" x14ac:dyDescent="0.3">
      <c r="A47" s="13">
        <v>45909</v>
      </c>
    </row>
    <row r="48" spans="1:9" ht="20.100000000000001" customHeight="1" thickBot="1" x14ac:dyDescent="0.3">
      <c r="A48" s="13">
        <v>45910</v>
      </c>
    </row>
    <row r="49" spans="1:1" ht="20.100000000000001" customHeight="1" thickBot="1" x14ac:dyDescent="0.3">
      <c r="A49" s="13">
        <v>45911</v>
      </c>
    </row>
    <row r="50" spans="1:1" ht="20.100000000000001" customHeight="1" thickBot="1" x14ac:dyDescent="0.3">
      <c r="A50" s="13">
        <v>45912</v>
      </c>
    </row>
    <row r="51" spans="1:1" ht="20.100000000000001" customHeight="1" thickBot="1" x14ac:dyDescent="0.3">
      <c r="A51" s="13">
        <v>45913</v>
      </c>
    </row>
    <row r="52" spans="1:1" ht="20.100000000000001" customHeight="1" thickBot="1" x14ac:dyDescent="0.3">
      <c r="A52" s="13">
        <v>45914</v>
      </c>
    </row>
    <row r="53" spans="1:1" ht="20.100000000000001" customHeight="1" thickBot="1" x14ac:dyDescent="0.3">
      <c r="A53" s="13">
        <v>45915</v>
      </c>
    </row>
    <row r="54" spans="1:1" ht="20.100000000000001" customHeight="1" thickBot="1" x14ac:dyDescent="0.3">
      <c r="A54" s="13">
        <v>45916</v>
      </c>
    </row>
    <row r="55" spans="1:1" ht="20.100000000000001" customHeight="1" thickBot="1" x14ac:dyDescent="0.3">
      <c r="A55" s="13">
        <v>45917</v>
      </c>
    </row>
    <row r="56" spans="1:1" ht="20.100000000000001" customHeight="1" thickBot="1" x14ac:dyDescent="0.3">
      <c r="A56" s="13">
        <v>45918</v>
      </c>
    </row>
    <row r="57" spans="1:1" ht="20.100000000000001" customHeight="1" thickBot="1" x14ac:dyDescent="0.3">
      <c r="A57" s="13">
        <v>45919</v>
      </c>
    </row>
    <row r="58" spans="1:1" ht="20.100000000000001" customHeight="1" thickBot="1" x14ac:dyDescent="0.3">
      <c r="A58" s="13">
        <v>45920</v>
      </c>
    </row>
    <row r="59" spans="1:1" ht="20.100000000000001" customHeight="1" thickBot="1" x14ac:dyDescent="0.3">
      <c r="A59" s="13">
        <v>45921</v>
      </c>
    </row>
    <row r="60" spans="1:1" ht="20.100000000000001" customHeight="1" thickBot="1" x14ac:dyDescent="0.3">
      <c r="A60" s="13">
        <v>45922</v>
      </c>
    </row>
    <row r="61" spans="1:1" ht="20.100000000000001" customHeight="1" thickBot="1" x14ac:dyDescent="0.3">
      <c r="A61" s="13">
        <v>45923</v>
      </c>
    </row>
    <row r="62" spans="1:1" ht="20.100000000000001" customHeight="1" thickBot="1" x14ac:dyDescent="0.3">
      <c r="A62" s="13">
        <v>45924</v>
      </c>
    </row>
    <row r="63" spans="1:1" ht="20.100000000000001" customHeight="1" thickBot="1" x14ac:dyDescent="0.3">
      <c r="A63" s="13">
        <v>45925</v>
      </c>
    </row>
    <row r="64" spans="1:1" ht="20.100000000000001" customHeight="1" thickBot="1" x14ac:dyDescent="0.3">
      <c r="A64" s="13">
        <v>45926</v>
      </c>
    </row>
    <row r="65" spans="1:1" ht="20.100000000000001" customHeight="1" thickBot="1" x14ac:dyDescent="0.3">
      <c r="A65" s="13">
        <v>45927</v>
      </c>
    </row>
    <row r="66" spans="1:1" ht="20.100000000000001" customHeight="1" thickBot="1" x14ac:dyDescent="0.3">
      <c r="A66" s="13">
        <v>45928</v>
      </c>
    </row>
    <row r="67" spans="1:1" ht="20.100000000000001" customHeight="1" thickBot="1" x14ac:dyDescent="0.3">
      <c r="A67" s="13">
        <v>45929</v>
      </c>
    </row>
    <row r="68" spans="1:1" ht="20.100000000000001" customHeight="1" thickBot="1" x14ac:dyDescent="0.3">
      <c r="A68" s="13">
        <v>45930</v>
      </c>
    </row>
    <row r="69" spans="1:1" ht="20.100000000000001" customHeight="1" thickBot="1" x14ac:dyDescent="0.3">
      <c r="A69" s="13">
        <v>45931</v>
      </c>
    </row>
    <row r="70" spans="1:1" ht="20.100000000000001" customHeight="1" thickBot="1" x14ac:dyDescent="0.3">
      <c r="A70" s="13">
        <v>45932</v>
      </c>
    </row>
    <row r="71" spans="1:1" ht="20.100000000000001" customHeight="1" thickBot="1" x14ac:dyDescent="0.3">
      <c r="A71" s="13">
        <v>45933</v>
      </c>
    </row>
    <row r="72" spans="1:1" ht="20.100000000000001" customHeight="1" thickBot="1" x14ac:dyDescent="0.3">
      <c r="A72" s="13">
        <v>45934</v>
      </c>
    </row>
    <row r="73" spans="1:1" ht="20.100000000000001" customHeight="1" thickBot="1" x14ac:dyDescent="0.3">
      <c r="A73" s="13">
        <v>45935</v>
      </c>
    </row>
    <row r="74" spans="1:1" ht="20.100000000000001" customHeight="1" thickBot="1" x14ac:dyDescent="0.3">
      <c r="A74" s="13">
        <v>45936</v>
      </c>
    </row>
    <row r="75" spans="1:1" ht="20.100000000000001" customHeight="1" thickBot="1" x14ac:dyDescent="0.3">
      <c r="A75" s="13">
        <v>45937</v>
      </c>
    </row>
    <row r="76" spans="1:1" ht="20.100000000000001" customHeight="1" thickBot="1" x14ac:dyDescent="0.3">
      <c r="A76" s="13">
        <v>45938</v>
      </c>
    </row>
    <row r="77" spans="1:1" ht="20.100000000000001" customHeight="1" thickBot="1" x14ac:dyDescent="0.3">
      <c r="A77" s="13">
        <v>45939</v>
      </c>
    </row>
    <row r="78" spans="1:1" ht="20.100000000000001" customHeight="1" thickBot="1" x14ac:dyDescent="0.3">
      <c r="A78" s="13">
        <v>45940</v>
      </c>
    </row>
    <row r="79" spans="1:1" ht="20.100000000000001" customHeight="1" thickBot="1" x14ac:dyDescent="0.3">
      <c r="A79" s="13">
        <v>45941</v>
      </c>
    </row>
    <row r="80" spans="1:1" ht="20.100000000000001" customHeight="1" thickBot="1" x14ac:dyDescent="0.3">
      <c r="A80" s="13">
        <v>45942</v>
      </c>
    </row>
    <row r="81" spans="1:1" ht="20.100000000000001" customHeight="1" thickBot="1" x14ac:dyDescent="0.3">
      <c r="A81" s="13">
        <v>45943</v>
      </c>
    </row>
    <row r="82" spans="1:1" ht="20.100000000000001" customHeight="1" thickBot="1" x14ac:dyDescent="0.3">
      <c r="A82" s="13">
        <v>45944</v>
      </c>
    </row>
    <row r="83" spans="1:1" ht="20.100000000000001" customHeight="1" thickBot="1" x14ac:dyDescent="0.3">
      <c r="A83" s="13">
        <v>45945</v>
      </c>
    </row>
    <row r="84" spans="1:1" ht="20.100000000000001" customHeight="1" thickBot="1" x14ac:dyDescent="0.3">
      <c r="A84" s="13">
        <v>45946</v>
      </c>
    </row>
    <row r="85" spans="1:1" ht="20.100000000000001" customHeight="1" thickBot="1" x14ac:dyDescent="0.3">
      <c r="A85" s="13">
        <v>45947</v>
      </c>
    </row>
    <row r="86" spans="1:1" ht="20.100000000000001" customHeight="1" thickBot="1" x14ac:dyDescent="0.3">
      <c r="A86" s="13">
        <v>45948</v>
      </c>
    </row>
    <row r="87" spans="1:1" ht="20.100000000000001" customHeight="1" thickBot="1" x14ac:dyDescent="0.3">
      <c r="A87" s="13">
        <v>45949</v>
      </c>
    </row>
    <row r="88" spans="1:1" ht="20.100000000000001" customHeight="1" thickBot="1" x14ac:dyDescent="0.3">
      <c r="A88" s="13">
        <v>45950</v>
      </c>
    </row>
    <row r="89" spans="1:1" ht="20.100000000000001" customHeight="1" thickBot="1" x14ac:dyDescent="0.3">
      <c r="A89" s="13">
        <v>45951</v>
      </c>
    </row>
    <row r="90" spans="1:1" ht="20.100000000000001" customHeight="1" thickBot="1" x14ac:dyDescent="0.3">
      <c r="A90" s="13">
        <v>45952</v>
      </c>
    </row>
    <row r="91" spans="1:1" ht="20.100000000000001" customHeight="1" thickBot="1" x14ac:dyDescent="0.3">
      <c r="A91" s="13">
        <v>45953</v>
      </c>
    </row>
    <row r="92" spans="1:1" ht="20.100000000000001" customHeight="1" thickBot="1" x14ac:dyDescent="0.3">
      <c r="A92" s="13">
        <v>45954</v>
      </c>
    </row>
    <row r="93" spans="1:1" ht="20.100000000000001" customHeight="1" thickBot="1" x14ac:dyDescent="0.3">
      <c r="A93" s="13">
        <v>45955</v>
      </c>
    </row>
    <row r="94" spans="1:1" ht="20.100000000000001" customHeight="1" thickBot="1" x14ac:dyDescent="0.3">
      <c r="A94" s="13">
        <v>45956</v>
      </c>
    </row>
    <row r="95" spans="1:1" ht="20.100000000000001" customHeight="1" thickBot="1" x14ac:dyDescent="0.3">
      <c r="A95" s="13">
        <v>45957</v>
      </c>
    </row>
    <row r="96" spans="1:1" ht="20.100000000000001" customHeight="1" thickBot="1" x14ac:dyDescent="0.3">
      <c r="A96" s="13">
        <v>45958</v>
      </c>
    </row>
    <row r="97" spans="1:9" ht="20.100000000000001" customHeight="1" thickBot="1" x14ac:dyDescent="0.3">
      <c r="A97" s="13">
        <v>45959</v>
      </c>
    </row>
    <row r="98" spans="1:9" ht="20.100000000000001" customHeight="1" thickBot="1" x14ac:dyDescent="0.3">
      <c r="A98" s="13">
        <v>45960</v>
      </c>
    </row>
    <row r="99" spans="1:9" ht="20.100000000000001" customHeight="1" thickBot="1" x14ac:dyDescent="0.3">
      <c r="A99" s="13">
        <v>45961</v>
      </c>
    </row>
    <row r="100" spans="1:9" ht="20.100000000000001" customHeight="1" thickBot="1" x14ac:dyDescent="0.3">
      <c r="A100" s="13">
        <v>45962</v>
      </c>
    </row>
    <row r="101" spans="1:9" ht="20.100000000000001" customHeight="1" thickBot="1" x14ac:dyDescent="0.3">
      <c r="A101" s="13">
        <v>45963</v>
      </c>
    </row>
    <row r="102" spans="1:9" ht="20.100000000000001" customHeight="1" thickBot="1" x14ac:dyDescent="0.3">
      <c r="A102" s="13">
        <v>45964</v>
      </c>
    </row>
    <row r="103" spans="1:9" ht="20.100000000000001" customHeight="1" thickBot="1" x14ac:dyDescent="0.3">
      <c r="A103" s="13">
        <v>45965</v>
      </c>
    </row>
    <row r="104" spans="1:9" ht="20.100000000000001" customHeight="1" thickBot="1" x14ac:dyDescent="0.3">
      <c r="A104" s="13">
        <v>45966</v>
      </c>
    </row>
    <row r="105" spans="1:9" ht="20.100000000000001" customHeight="1" thickBot="1" x14ac:dyDescent="0.3">
      <c r="A105" s="13">
        <v>45967</v>
      </c>
    </row>
    <row r="106" spans="1:9" ht="20.100000000000001" customHeight="1" thickBot="1" x14ac:dyDescent="0.3">
      <c r="A106" s="13">
        <v>45968</v>
      </c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2025-09-22T05:40:14Z</dcterms:modified>
</cp:coreProperties>
</file>