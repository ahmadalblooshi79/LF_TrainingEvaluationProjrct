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B5EBE81A-700F-0045-8B01-414118ECA20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<sst xmlns="http://schemas.openxmlformats.org/spreadsheetml/2006/main" count="255" uniqueCount="198">
  <si>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</si>
  <si>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</si>
  <si>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</si>
  <si>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</si>
  <si>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</si>
  <si>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</si>
  <si>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</si>
  <si>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</si>
  <si>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</si>
  <si>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</si>
  <si>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</si>
  <si>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</si>
  <si>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</si>
  <si>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</si>
  <si>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</si>
  <si>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</si>
  <si>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</si>
  <si>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</si>
  <si>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</si>
  <si>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</si>
  <si>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</si>
  <si>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</si>
  <si>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</si>
  <si>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</si>
  <si>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</si>
  <si>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</si>
  <si>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</si>
  <si>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</si>
  <si>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</si>
  <si>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</si>
  <si>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</si>
  <si>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</si>
  <si>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</si>
  <si>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</si>
  <si>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</si>
  <si>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</si>
  <si>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</si>
  <si>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</si>
  <si>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</si>
  <si>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</si>
  <si>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</si>
  <si>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</si>
  <si>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</si>
  <si>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</si>
  <si>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</si>
  <si>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</si>
  <si>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</si>
  <si>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</si>
  <si>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</si>
  <si>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</si>
  <si>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</si>
  <si>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</si>
  <si>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</si>
  <si>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</si>
  <si>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</si>
  <si>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</si>
  <si>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</si>
  <si>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</si>
  <si>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</si>
  <si>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</si>
  <si>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</si>
  <si>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</si>
  <si>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</si>
  <si>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</si>
  <si>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</si>
  <si>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</si>
  <si>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</si>
  <si>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</si>
  <si>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</si>
  <si>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</si>
  <si>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</si>
  <si>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</si>
  <si>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</si>
  <si>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</si>
  <si>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</si>
  <si>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</si>
  <si>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</si>
  <si>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</si>
  <si>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</si>
  <si>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</si>
  <si>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</si>
  <si>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</si>
  <si>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</si>
  <si>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</si>
  <si>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</si>
  <si>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</si>
  <si>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</si>
  <si>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</si>
  <si>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</si>
  <si>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</si>
  <si>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</si>
  <si>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</si>
  <si>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</si>
  <si>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</si>
  <si>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</si>
  <si>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</si>
  <si>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</si>
  <si>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</si>
  <si>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</si>
  <si>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</si>
  <si>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</si>
  <si>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</si>
  <si>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</si>
  <si>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</si>
  <si>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</si>
  <si>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</si>
  <si>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</si>
  <si>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</si>
  <si>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</si>
  <si>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</si>
  <si>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</si>
  <si>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</si>
  <si>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</si>
  <si>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</si>
  <si>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</si>
  <si>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</si>
  <si>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</si>
  <si>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</si>
  <si>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</si>
  <si>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</si>
  <si>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</si>
  <si>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</si>
  <si>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</si>
  <si>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</si>
  <si>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</si>
  <si>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</si>
  <si>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</si>
  <si>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</si>
  <si>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</si>
  <si>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</si>
  <si>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</si>
  <si>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</si>
  <si>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</si>
  <si>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</si>
  <si>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</si>
  <si>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</si>
  <si>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</si>
  <si>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</si>
  <si>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</si>
  <si>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</si>
  <si>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</si>
  <si>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</si>
  <si>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</si>
  <si>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</si>
  <si>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</si>
  <si>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</si>
  <si>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</si>
  <si>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</si>
  <si>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</si>
  <si>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</si>
  <si>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</si>
  <si>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</si>
  <si>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</si>
  <si>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</si>
  <si>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</si>
  <si>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</si>
  <si>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</si>
  <si>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</si>
  <si>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</si>
  <si>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</si>
  <si>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</si>
  <si>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</si>
  <si>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</si>
  <si>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</si>
  <si>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</si>
  <si>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</si>
  <si>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</si>
  <si>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</si>
  <si>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</si>
  <si>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</si>
  <si>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</si>
  <si>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</si>
  <si>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</si>
  <si>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</si>
  <si>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</si>
  <si>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</si>
  <si>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(بالتنسيق مع ضابط العمليات) بتحليل المتطلبات وإعداد وتطوير قائمة متطلبات المعلومات ذات الأولوية من خلال الإجراءات التالية:</t>
    </r>
  </si>
  <si>
    <t>أ. استلام متطلبات المعلومات الهامة للقائد.</t>
  </si>
  <si>
    <t>ب. مراجعة متطلبات المعلومات وتقييم متطلبات المعلومات ذات الأولوية.</t>
  </si>
  <si>
    <t>جـ. تحليل متطلبات الجمع لتحديد مصادر الجمع الأكثر فعالية في الاستخدام.</t>
  </si>
  <si>
    <t>د. تطوير متطلبات المعلومات المعينة التي تجيب على كل متطلب من متطلبات المعلومات.</t>
  </si>
  <si>
    <t>هـ. تحويل متطلبات المعلومات المعينة إلى واجبات استخباراتية ومراقبة واستطلاع.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</si>
  <si>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في الكتيبة/ مجموعة القتال بإعداد وتطوير خطة الجمع التي تجيب بفعالية على أولوية متطلبات المعلومات للقائد.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</si>
  <si>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يتأكد ضابط الاستخبارات من توزيع المعلومات الاستخباراتية عن طريق:</t>
    </r>
  </si>
  <si>
    <t>أ. التوزيع المباشر للمعنيين.</t>
  </si>
  <si>
    <t>ب. تحديد المعلومات التي يمكن أن تفقد قيمتها بسرعة (المتغيرة) والتي يجب استطلاعها مرة أخرى.</t>
  </si>
  <si>
    <t>جـ. تحديد كمية المعلومات التي يجب توزيعها.</t>
  </si>
  <si>
    <t>د. توزيع منتجات الاستخبارات.</t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</si>
  <si>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بتقييم عملية تمرير المعلومات للتأكد من أن كافة واجبات الاستخبارات والمراقبة والاستطلاع مقنعة تماماً وأن تبقى خطة إدارة الجمع متزامنة بشكل كامل:</t>
    </r>
  </si>
  <si>
    <t>أ. مقارنة تأكيد الاستخبارات والمراقبة والاستطلاع مع متطلبات الاستخبارات ذات الأولوية ومتطلبات المعلومات المحددة.</t>
  </si>
  <si>
    <t>جـ. تدقيق التقارير للتأكد من اكتمال واستمرارية واجب الاستخبارات والمراقبة والاستطلاع.</t>
  </si>
  <si>
    <t>د. توفير التغذية الراجعة لمصادر جمع الاستخبارات والمراقبة والاستطلاع والمستخدمين عن نجاح جهد الجمع وعن تقدم واجبات الاستخبارات والمراقبة والاستطلاع.</t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</si>
  <si>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rgb="FF000000"/>
        <rFont val="Arial"/>
        <family val="2"/>
      </rPr>
      <t>يقوم ضابط الاستخبارات بتحديث خطة جمع المعلومات وتأكيد التزامن من خلال:</t>
    </r>
  </si>
  <si>
    <t>أ. حذف المتطلبات التي تمت تلبيتها.</t>
  </si>
  <si>
    <t>ب. إعادة توجيه مصادر الجمع لمتطلبات المعلومات غير الكاملة.</t>
  </si>
  <si>
    <t xml:space="preserve">جـ. توجيه مصادر الجمع للمتطلبات الجديدة التي تطورت أثناء العمليات وحسب تغير متطلبات الاستخبارات ذات الأولوية. </t>
  </si>
  <si>
    <t>د. إدامة الإلمام بالموقف.</t>
  </si>
  <si>
    <r>
      <rPr>
        <b/>
        <sz val="14"/>
        <color rgb="FF000000"/>
        <rFont val="Arial"/>
        <family val="2"/>
      </rPr>
      <t>تقييم الكتيبة/ مجموعة القتال في إعداد وتطوير خطة الاستخبارات والمراقبة والاستطلاع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</si>
</sst>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16" fillId="0" borderId="23" xfId="0" applyFont="1" applyBorder="1" applyAlignment="1">
      <alignment horizontal="right" vertical="center" wrapText="1" indent="2" readingOrder="2"/>
    </xf>
    <xf numFmtId="0" fontId="16" fillId="0" borderId="3" xfId="0" applyFont="1" applyBorder="1" applyAlignment="1">
      <alignment horizontal="right" vertical="center" wrapText="1" indent="2" readingOrder="2"/>
    </xf>
    <xf numFmtId="0" fontId="16" fillId="0" borderId="11" xfId="0" applyFont="1" applyBorder="1" applyAlignment="1">
      <alignment horizontal="right" vertical="center" wrapText="1" indent="2" readingOrder="2"/>
    </xf>
    <xf numFmtId="0" fontId="16" fillId="0" borderId="12" xfId="0" applyFont="1" applyBorder="1" applyAlignment="1">
      <alignment horizontal="right" vertical="center" wrapText="1" indent="2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8" xfId="0" applyFont="1" applyBorder="1" applyAlignment="1">
      <alignment horizontal="right" vertical="center" wrapText="1" readingOrder="2"/>
    </xf>
    <xf numFmtId="0" fontId="14" fillId="0" borderId="9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290265</xdr:colOff>
      <xdr:row>30</xdr:row>
      <xdr:rowOff>196700</xdr:rowOff>
    </xdr:from>
    <xdr:to>
      <xdr:col>9</xdr:col>
      <xdr:colOff>518474</xdr:colOff>
      <xdr:row>34</xdr:row>
      <xdr:rowOff>128343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DB6A545-A71E-EC92-A868-F5E20AEAF404}"/>
                </a:ext>
              </a:extLst>
            </xdr14:cNvPr>
            <xdr14:cNvContentPartPr/>
          </xdr14:nvContentPartPr>
          <xdr14:nvPr macro=""/>
          <xdr14:xfrm>
            <a:off x="10398068345" y="14992200"/>
            <a:ext cx="2202480" cy="18712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DB6A545-A71E-EC92-A868-F5E20AEAF40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059345" y="14983200"/>
              <a:ext cx="2220120" cy="1888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31:19.6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4219 5197 8481,'0'0'0,"0"0"0,-2-4 2945,-1-7-1369,-1 8-439,-1-1-17,5 4-1120,-3-12 1200,3 9 72,0-1 97,0-7-161,0 11-1208,3-3 968,-3-11-136,2 9-144,1-10-136,-3 15-552,0-13 561,0 0-249,0-2-160,0-4-56,0 19-96,-3-21 24,3-2 8,-2-3-16,2-3 64,0 29-80,-3-30 128,1-3-32,-5-4-16,4 0-80,3 37 0,-2-40-56,0-5 56,2-3 168,0-5-80,0 53-88,-5-51 112,2 1-56,1-1 40,-3 3 72,5 48-168,-2-47 160,-1 0 80,1 5-72,-3 6 48,5 36-216,-2-35 336,2 6-24,-8 2-104,4 0 80,4 27-288,-10-25 264,8 4-184,-15-2-8,12 3 16,5 20-88,-17-20-16,5 2 64,0 1 129,0-2-209,12 19 32,-5-15-105,-4-1 138,4 1-49,2-1 72,3 16-56,-2-16 96,-3 2 32,5-2-32,0 2 16,0 14-112,5-13 120,-3-1-120,3 1-56,0 1 72,-5 12-16,5-13-32,0 1-56,7-2 104,-8 1-104,-4 13 88,13-11-96,-1 0 128,0 6-32,-5-7-48,-7 12 48,17-5 32,-5-6 16,2 8 112,1-1-64,-15 4-96,14-11-16,-2 8 16,5-2-320,0-7 352,-17 12-32,19-5 80,0-6-176,0 7 144,5-10-136,-24 14 88,27-5-136,4-12 120,5 4 32,3-1-64,-39 14 48,48-18-40,-2-2-313,11-4 377,1-2 152,-58 26-176,65-28 209,7-2 303,5-2-496,10 1-272,-87 31 256,81-34-168,6 3 24,0-2 71,-1 2 234,-86 31-161,84-30-48,1 0 80,-1 3-32,-5 3 16,-79 24-16,75-21 136,-8 1-112,-2 4 72,-7 3-40,-58 13-56,53-4 56,-12-9 8,-8 13 8,1-3-56,-34 3-16,22 0 48,-3 0 40,-7 0-16,-10 0-8,-2 0-64,5 3 0,-5 9 32,-5-7-16,-9 17 40,14-22-56,-19 21 88,-13 5-88,-6 3 32,-18 6-64,56-35 32,-60 36 0,-7 3-8,-12 5 96,-8 6 200,87-50-288,-96 55 56,-15 11 72,-9 7-224,-10 10-144,130-83 240,-144 88-104,-8 2-48,-9 2 32,0 2 0,161-94 120,-164 96-104,-7 8-96,1 0 160,-3 1-232,173-105 272,-176 107-152,12-5 63,8-7-71,12-6 232,144-89-72,-142 78 80,24-11 17,10-9-274,19-8-407,89-50 584,-72 39-296,11-9 208,13-7 16,15-7 264,33-16-192,-24 4-72,12 0-120,9-2 8,3-2 256,0 0-72,0-13-160,15 0 264,6-7 96,6-4 0,-27 24-200,33-30 408,3-3-376,5-1 216,5-3-128,-46 37-120,46-35 120,2-2 57,0 0-129,5 0-48,-53 37 0,50-40 24,3 0-48,0-2-96,-2 0 144,-51 42-24,48-41-97,-2 3 81,-13 2-16,1 5-16,-34 31 48,29-28-88,-8 1 48,-1 5 144,-6 2-48,-14 20-56,10-17 121,-8 6-33,-2 7-40,2-1 24,-2 5-72,0-4 208,-2-7-16,-12 11-96,-1-3 8,15 3-104,-19 0 0,0 0 16,-5 1 24,-5 4-56,29-5 16,-29 15 0,-10 1 48,-1 2-48,-9 5-16,49-23 16,-48 24 0,0 3 16,0 0-32,0 0 16,48-27 0,-43 26 88,2-3-40,5-2 72,0-1-176,36-20 56,-32 15-168,4 0 48,11-10 0,5 1 136,12-6-16,-5 4 104,2 1-48,1-5 24,0 0-40,2 0-40,0 0 120,0-5-176,4 1 104,1-12 128,-5 16-176,10-11 96,-5-2 96,9 0-64,-11 2-160,-3 11 32,7-11 72,5-1-40,-7 8 32,7-9 104,-12 13-168,0-3 72,2 1-112,-2-3-8,0 2-16,0 3 64,0-2-152,-2 2 200,2-3-64,-3 3 184,3 0-168,-5-3 216,1 0-232,-8 3 264,12-3-192,0 3-56,-3-3-56,-11 3 96,11-2-80,-1 2-8,4 0 48,0 0 0,0 0 120,0-3-56,0 3-48,0 0-16,0 0-16,0-3-104,0 3 120,4 0 24,1-3 8,-2 3-32,1-3 96,-4 3-96,5-4-80,0 0 96,7 1 64,-10 0-112,-2 3 32,5-3 32,-2 0-128,-3 3-152,0 0 280,0 0-32,4-3-32,-4 3 144,0 0-48,3 0-56,-3 0-8,0 0 16,0 0-216,0 0 184,0 0 80,0 0 72,0-2-360,0 2 264,-5-3 104,5 0-104,0 3-40,0 0 128,0-3-128,0 0-152,0 0 8,0 3 144,0 0-16,5-2 48,0-1 48,-5 0-80,0 3 0,0 0 16,0-3 40,0 0-64,2 0 64,-2 3-56,0-3 32,7 1 0,-4-1 80,-3 0-24,0 3-88,0-3 64,0 0-48,0 0-32,2 3-96,-2 0 112,5-2-24,-5-1 64,0 3 40,2 0-160,-2 0 80,0-5 32,3 3-32,-3-11-536,-22 9 752,22 4-216,-10-15 168,-14 11-248,-2-12 720,-5 12-768,31 4 128,-41-17-80,-5 13 208,-4-12-176,-8 12 176,58 4-128,-68-14 168,-4 11-792,-12-10 72,-5 10-64,89 3 616,-101-4-680,-7-7 552,-8 8-8,-9-1 136,125 4 0,-127-5-16,-10-8 256,0 9-88,-5-11-96,142 15-56,-77-5-224,-12-10 40,0 0 160,-15-4 248,104 19-224,-103-26 432,-13-7 24,6-7-160,-13-9-208,123 49-88,-53-32 280,-7-5-192,12-8-104,-7-9-24,55 54 40,-41-64-200,-2-11 272,-20-97-72,32-22-16,31 194 16,-3-210-16,27-19-88,36-18 736,34-11-272,-94 258-360,135-251-112,190-184-8,19 60-144,2 58 168,-346 317 96,308-245 248,-17 49-48,2 27-120,-2 27 168,-291 142-248,296-117 392,-17 29-56,-12 28-256,-12 30-240,-255 30 160,238 0-176,-16 33 112,-23 22 192,-28 19 64,-171-74-192,147 94 144,-27 16-384,-26 19-168,-24 16 232,-70-145 176,38 162 144,-26 10 184,-31 10-104,-34 11-560,53-193 336,-79 201-424,-32 8 176,-19 1 112,-26 6 272,156-216-136,-178 222-184,-29 4-48,-22-3-48,-21-3 296,250-220-16,-255 211-128,-7-8-96,0-7 312,-5-9-208,267-187 120,-265 177 272,20-19-896,14-14 336,27-22-16,204-122 304,-186 99-1032,102-59-441,-12 4-5360,2-11-6274,94-33 13107,0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19" zoomScale="130" zoomScaleNormal="100" zoomScaleSheetLayoutView="130" workbookViewId="0">
      <selection activeCell="G34" sqref="G34:J3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197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3" t="s">
        <v>8</v>
      </c>
      <c r="C2" s="76" t="s">
        <v>37</v>
      </c>
      <c r="D2" s="76"/>
      <c r="E2" s="13" t="s">
        <v>7</v>
      </c>
      <c r="F2" s="71">
        <v>45953</v>
      </c>
      <c r="G2" s="71"/>
      <c r="H2" s="71"/>
      <c r="I2" s="71"/>
      <c r="J2" s="71"/>
    </row>
    <row r="3" spans="1:10" ht="30" customHeight="1" x14ac:dyDescent="0.2">
      <c r="B3" s="13" t="s">
        <v>9</v>
      </c>
      <c r="C3" s="76" t="s">
        <v>77</v>
      </c>
      <c r="D3" s="76"/>
      <c r="E3" s="13" t="s">
        <v>6</v>
      </c>
      <c r="F3" s="76" t="s">
        <v>101</v>
      </c>
      <c r="G3" s="76"/>
      <c r="H3" s="76"/>
      <c r="I3" s="76"/>
      <c r="J3" s="7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11"/>
      <c r="B6" s="74"/>
      <c r="C6" s="75"/>
      <c r="D6" s="75"/>
      <c r="E6" s="12" t="s">
        <v>3</v>
      </c>
      <c r="F6" s="12" t="s">
        <v>4</v>
      </c>
      <c r="G6" s="12" t="s">
        <v>23</v>
      </c>
      <c r="H6" s="12" t="s">
        <v>24</v>
      </c>
      <c r="I6" s="83"/>
      <c r="J6" s="84"/>
    </row>
    <row r="7" spans="1:10" ht="24.95" customHeight="1" thickBot="1" x14ac:dyDescent="0.25">
      <c r="A7" s="11"/>
      <c r="B7" s="79" t="s">
        <v>21</v>
      </c>
      <c r="C7" s="80"/>
      <c r="D7" s="80"/>
      <c r="E7" s="30" t="s">
        <v>18</v>
      </c>
      <c r="F7" s="30" t="s">
        <v>19</v>
      </c>
      <c r="G7" s="30" t="s">
        <v>22</v>
      </c>
      <c r="H7" s="30" t="s">
        <v>20</v>
      </c>
      <c r="I7" s="85" t="s">
        <v>25</v>
      </c>
      <c r="J7" s="86"/>
    </row>
    <row r="8" spans="1:10" ht="54.95" customHeight="1" x14ac:dyDescent="0.2">
      <c r="A8" s="11"/>
      <c r="B8" s="48" t="s">
        <v>176</v>
      </c>
      <c r="C8" s="49"/>
      <c r="D8" s="49"/>
      <c r="E8" s="34"/>
      <c r="F8" s="35"/>
      <c r="G8" s="36"/>
      <c r="H8" s="37"/>
      <c r="I8" s="52"/>
      <c r="J8" s="53"/>
    </row>
    <row r="9" spans="1:10" ht="39.950000000000003" customHeight="1" x14ac:dyDescent="0.2">
      <c r="A9" s="11"/>
      <c r="B9" s="44" t="s">
        <v>177</v>
      </c>
      <c r="C9" s="45"/>
      <c r="D9" s="45"/>
      <c r="E9" s="9">
        <v>5</v>
      </c>
      <c r="F9" s="27">
        <v>3.5</v>
      </c>
      <c r="G9" s="32">
        <f>IFERROR(F9/E9,"")</f>
        <v>0.7</v>
      </c>
      <c r="H9" s="3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8"/>
      <c r="J9" s="59"/>
    </row>
    <row r="10" spans="1:10" ht="39.950000000000003" customHeight="1" x14ac:dyDescent="0.2">
      <c r="A10" s="11"/>
      <c r="B10" s="44" t="s">
        <v>178</v>
      </c>
      <c r="C10" s="45"/>
      <c r="D10" s="45"/>
      <c r="E10" s="9">
        <v>5</v>
      </c>
      <c r="F10" s="27">
        <v>3.75</v>
      </c>
      <c r="G10" s="32">
        <f t="shared" ref="G10:G29" si="0">IFERROR(F10/E10,"")</f>
        <v>0.75</v>
      </c>
      <c r="H10" s="33" t="str">
        <f t="shared" ref="H10:H29" si="1">_xlfn.IFS(F10="أدخل العلامة","",F10="لا ينطبق","تم الإلغاء",G10&gt;=90%,"ممتاز",G10&gt;=80%,"جيد جداً",G10&gt;=70%,"جيد",G10&gt;=60%,"مقبول",G10&lt;60%,"راسب")</f>
        <v>جيد</v>
      </c>
      <c r="I10" s="58"/>
      <c r="J10" s="59"/>
    </row>
    <row r="11" spans="1:10" ht="39.950000000000003" customHeight="1" x14ac:dyDescent="0.2">
      <c r="A11" s="11"/>
      <c r="B11" s="44" t="s">
        <v>179</v>
      </c>
      <c r="C11" s="45"/>
      <c r="D11" s="45"/>
      <c r="E11" s="9">
        <v>5</v>
      </c>
      <c r="F11" s="27">
        <v>3.75</v>
      </c>
      <c r="G11" s="32">
        <f t="shared" si="0"/>
        <v>0.75</v>
      </c>
      <c r="H11" s="33" t="str">
        <f t="shared" si="1"/>
        <v>جيد</v>
      </c>
      <c r="I11" s="58"/>
      <c r="J11" s="59"/>
    </row>
    <row r="12" spans="1:10" ht="39.950000000000003" customHeight="1" x14ac:dyDescent="0.2">
      <c r="A12" s="11"/>
      <c r="B12" s="44" t="s">
        <v>180</v>
      </c>
      <c r="C12" s="45"/>
      <c r="D12" s="45"/>
      <c r="E12" s="9">
        <v>5</v>
      </c>
      <c r="F12" s="27">
        <v>3.75</v>
      </c>
      <c r="G12" s="32">
        <f t="shared" si="0"/>
        <v>0.75</v>
      </c>
      <c r="H12" s="33" t="str">
        <f t="shared" si="1"/>
        <v>جيد</v>
      </c>
      <c r="I12" s="58"/>
      <c r="J12" s="59"/>
    </row>
    <row r="13" spans="1:10" ht="39.950000000000003" customHeight="1" thickBot="1" x14ac:dyDescent="0.25">
      <c r="A13" s="11"/>
      <c r="B13" s="46" t="s">
        <v>181</v>
      </c>
      <c r="C13" s="47"/>
      <c r="D13" s="47"/>
      <c r="E13" s="38">
        <v>5</v>
      </c>
      <c r="F13" s="29">
        <v>3.75</v>
      </c>
      <c r="G13" s="39">
        <f t="shared" si="0"/>
        <v>0.75</v>
      </c>
      <c r="H13" s="40" t="str">
        <f t="shared" si="1"/>
        <v>جيد</v>
      </c>
      <c r="I13" s="60"/>
      <c r="J13" s="61"/>
    </row>
    <row r="14" spans="1:10" ht="39.950000000000003" customHeight="1" thickBot="1" x14ac:dyDescent="0.25">
      <c r="A14" s="11"/>
      <c r="B14" s="50" t="s">
        <v>182</v>
      </c>
      <c r="C14" s="51"/>
      <c r="D14" s="51"/>
      <c r="E14" s="10">
        <v>5</v>
      </c>
      <c r="F14" s="42">
        <v>3.5</v>
      </c>
      <c r="G14" s="43">
        <f t="shared" si="0"/>
        <v>0.7</v>
      </c>
      <c r="H14" s="28" t="str">
        <f t="shared" si="1"/>
        <v>جيد</v>
      </c>
      <c r="I14" s="62"/>
      <c r="J14" s="63"/>
    </row>
    <row r="15" spans="1:10" ht="39.950000000000003" customHeight="1" x14ac:dyDescent="0.2">
      <c r="A15" s="11"/>
      <c r="B15" s="48" t="s">
        <v>183</v>
      </c>
      <c r="C15" s="49"/>
      <c r="D15" s="49"/>
      <c r="E15" s="41"/>
      <c r="F15" s="35"/>
      <c r="G15" s="36"/>
      <c r="H15" s="37"/>
      <c r="I15" s="52"/>
      <c r="J15" s="53"/>
    </row>
    <row r="16" spans="1:10" ht="39.950000000000003" customHeight="1" x14ac:dyDescent="0.2">
      <c r="A16" s="11"/>
      <c r="B16" s="44" t="s">
        <v>184</v>
      </c>
      <c r="C16" s="45"/>
      <c r="D16" s="45"/>
      <c r="E16" s="9">
        <v>5</v>
      </c>
      <c r="F16" s="27">
        <v>3.5</v>
      </c>
      <c r="G16" s="32">
        <f t="shared" si="0"/>
        <v>0.7</v>
      </c>
      <c r="H16" s="33" t="str">
        <f t="shared" si="1"/>
        <v>جيد</v>
      </c>
      <c r="I16" s="58"/>
      <c r="J16" s="59"/>
    </row>
    <row r="17" spans="1:10" ht="39.950000000000003" customHeight="1" x14ac:dyDescent="0.2">
      <c r="A17" s="11"/>
      <c r="B17" s="44" t="s">
        <v>185</v>
      </c>
      <c r="C17" s="45"/>
      <c r="D17" s="45"/>
      <c r="E17" s="9">
        <v>5</v>
      </c>
      <c r="F17" s="27">
        <v>3.5</v>
      </c>
      <c r="G17" s="32">
        <f t="shared" si="0"/>
        <v>0.7</v>
      </c>
      <c r="H17" s="33" t="str">
        <f t="shared" si="1"/>
        <v>جيد</v>
      </c>
      <c r="I17" s="58"/>
      <c r="J17" s="59"/>
    </row>
    <row r="18" spans="1:10" ht="39.950000000000003" customHeight="1" x14ac:dyDescent="0.2">
      <c r="A18" s="11"/>
      <c r="B18" s="44" t="s">
        <v>186</v>
      </c>
      <c r="C18" s="45"/>
      <c r="D18" s="45"/>
      <c r="E18" s="9">
        <v>5</v>
      </c>
      <c r="F18" s="27">
        <v>3.5</v>
      </c>
      <c r="G18" s="32">
        <f t="shared" si="0"/>
        <v>0.7</v>
      </c>
      <c r="H18" s="33" t="str">
        <f t="shared" si="1"/>
        <v>جيد</v>
      </c>
      <c r="I18" s="58"/>
      <c r="J18" s="59"/>
    </row>
    <row r="19" spans="1:10" ht="39.950000000000003" customHeight="1" thickBot="1" x14ac:dyDescent="0.25">
      <c r="A19" s="11"/>
      <c r="B19" s="46" t="s">
        <v>187</v>
      </c>
      <c r="C19" s="47"/>
      <c r="D19" s="47"/>
      <c r="E19" s="38">
        <v>5</v>
      </c>
      <c r="F19" s="29">
        <v>3.5</v>
      </c>
      <c r="G19" s="39">
        <f t="shared" si="0"/>
        <v>0.7</v>
      </c>
      <c r="H19" s="40" t="str">
        <f t="shared" si="1"/>
        <v>جيد</v>
      </c>
      <c r="I19" s="60"/>
      <c r="J19" s="61"/>
    </row>
    <row r="20" spans="1:10" ht="54.95" customHeight="1" x14ac:dyDescent="0.2">
      <c r="A20" s="11"/>
      <c r="B20" s="48" t="s">
        <v>188</v>
      </c>
      <c r="C20" s="49"/>
      <c r="D20" s="49"/>
      <c r="E20" s="41"/>
      <c r="F20" s="35"/>
      <c r="G20" s="36"/>
      <c r="H20" s="37"/>
      <c r="I20" s="52"/>
      <c r="J20" s="53"/>
    </row>
    <row r="21" spans="1:10" ht="39.950000000000003" customHeight="1" x14ac:dyDescent="0.2">
      <c r="A21" s="11"/>
      <c r="B21" s="44" t="s">
        <v>189</v>
      </c>
      <c r="C21" s="45"/>
      <c r="D21" s="45"/>
      <c r="E21" s="9">
        <v>5</v>
      </c>
      <c r="F21" s="27">
        <v>3.5</v>
      </c>
      <c r="G21" s="32">
        <f t="shared" si="0"/>
        <v>0.7</v>
      </c>
      <c r="H21" s="33" t="str">
        <f t="shared" si="1"/>
        <v>جيد</v>
      </c>
      <c r="I21" s="58"/>
      <c r="J21" s="59"/>
    </row>
    <row r="22" spans="1:10" ht="39.950000000000003" customHeight="1" x14ac:dyDescent="0.2">
      <c r="A22" s="11"/>
      <c r="B22" s="44" t="s">
        <v>185</v>
      </c>
      <c r="C22" s="45"/>
      <c r="D22" s="45"/>
      <c r="E22" s="9">
        <v>5</v>
      </c>
      <c r="F22" s="27">
        <v>3.5</v>
      </c>
      <c r="G22" s="32">
        <f t="shared" si="0"/>
        <v>0.7</v>
      </c>
      <c r="H22" s="33" t="str">
        <f t="shared" si="1"/>
        <v>جيد</v>
      </c>
      <c r="I22" s="58"/>
      <c r="J22" s="59"/>
    </row>
    <row r="23" spans="1:10" ht="39.950000000000003" customHeight="1" x14ac:dyDescent="0.2">
      <c r="A23" s="11"/>
      <c r="B23" s="44" t="s">
        <v>190</v>
      </c>
      <c r="C23" s="45"/>
      <c r="D23" s="45"/>
      <c r="E23" s="9">
        <v>5</v>
      </c>
      <c r="F23" s="27">
        <v>3.5</v>
      </c>
      <c r="G23" s="32">
        <f t="shared" si="0"/>
        <v>0.7</v>
      </c>
      <c r="H23" s="33" t="str">
        <f t="shared" si="1"/>
        <v>جيد</v>
      </c>
      <c r="I23" s="58"/>
      <c r="J23" s="59"/>
    </row>
    <row r="24" spans="1:10" ht="54.95" customHeight="1" thickBot="1" x14ac:dyDescent="0.25">
      <c r="A24" s="11"/>
      <c r="B24" s="46" t="s">
        <v>191</v>
      </c>
      <c r="C24" s="47"/>
      <c r="D24" s="47"/>
      <c r="E24" s="38">
        <v>5</v>
      </c>
      <c r="F24" s="29">
        <v>3.5</v>
      </c>
      <c r="G24" s="39">
        <f t="shared" si="0"/>
        <v>0.7</v>
      </c>
      <c r="H24" s="40" t="str">
        <f t="shared" si="1"/>
        <v>جيد</v>
      </c>
      <c r="I24" s="60"/>
      <c r="J24" s="61"/>
    </row>
    <row r="25" spans="1:10" ht="39.950000000000003" customHeight="1" x14ac:dyDescent="0.2">
      <c r="A25" s="11"/>
      <c r="B25" s="48" t="s">
        <v>192</v>
      </c>
      <c r="C25" s="49"/>
      <c r="D25" s="49"/>
      <c r="E25" s="41"/>
      <c r="F25" s="35"/>
      <c r="G25" s="36"/>
      <c r="H25" s="37"/>
      <c r="I25" s="52"/>
      <c r="J25" s="53"/>
    </row>
    <row r="26" spans="1:10" ht="39.950000000000003" customHeight="1" x14ac:dyDescent="0.2">
      <c r="A26" s="11"/>
      <c r="B26" s="44" t="s">
        <v>193</v>
      </c>
      <c r="C26" s="45"/>
      <c r="D26" s="45"/>
      <c r="E26" s="9">
        <v>5</v>
      </c>
      <c r="F26" s="27">
        <v>3.5</v>
      </c>
      <c r="G26" s="32">
        <f t="shared" si="0"/>
        <v>0.7</v>
      </c>
      <c r="H26" s="33" t="str">
        <f t="shared" si="1"/>
        <v>جيد</v>
      </c>
      <c r="I26" s="58"/>
      <c r="J26" s="59"/>
    </row>
    <row r="27" spans="1:10" ht="39.950000000000003" customHeight="1" x14ac:dyDescent="0.2">
      <c r="A27" s="11"/>
      <c r="B27" s="44" t="s">
        <v>194</v>
      </c>
      <c r="C27" s="45"/>
      <c r="D27" s="45"/>
      <c r="E27" s="9">
        <v>5</v>
      </c>
      <c r="F27" s="27">
        <v>3.5</v>
      </c>
      <c r="G27" s="32">
        <f t="shared" si="0"/>
        <v>0.7</v>
      </c>
      <c r="H27" s="33" t="str">
        <f t="shared" si="1"/>
        <v>جيد</v>
      </c>
      <c r="I27" s="58"/>
      <c r="J27" s="59"/>
    </row>
    <row r="28" spans="1:10" ht="39.950000000000003" customHeight="1" x14ac:dyDescent="0.2">
      <c r="A28" s="11"/>
      <c r="B28" s="44" t="s">
        <v>195</v>
      </c>
      <c r="C28" s="45"/>
      <c r="D28" s="45"/>
      <c r="E28" s="9">
        <v>5</v>
      </c>
      <c r="F28" s="27">
        <v>3.75</v>
      </c>
      <c r="G28" s="32">
        <f t="shared" si="0"/>
        <v>0.75</v>
      </c>
      <c r="H28" s="33" t="str">
        <f t="shared" si="1"/>
        <v>جيد</v>
      </c>
      <c r="I28" s="58"/>
      <c r="J28" s="59"/>
    </row>
    <row r="29" spans="1:10" ht="39.950000000000003" customHeight="1" thickBot="1" x14ac:dyDescent="0.25">
      <c r="A29" s="11"/>
      <c r="B29" s="46" t="s">
        <v>196</v>
      </c>
      <c r="C29" s="47"/>
      <c r="D29" s="47"/>
      <c r="E29" s="38">
        <v>5</v>
      </c>
      <c r="F29" s="29">
        <v>3.75</v>
      </c>
      <c r="G29" s="39">
        <f t="shared" si="0"/>
        <v>0.75</v>
      </c>
      <c r="H29" s="40" t="str">
        <f t="shared" si="1"/>
        <v>جيد</v>
      </c>
      <c r="I29" s="60"/>
      <c r="J29" s="61"/>
    </row>
    <row r="30" spans="1:10" ht="30" customHeight="1" thickBot="1" x14ac:dyDescent="0.25">
      <c r="A30" s="4"/>
      <c r="B30" s="54" t="s">
        <v>5</v>
      </c>
      <c r="C30" s="55"/>
      <c r="D30" s="55"/>
      <c r="E30" s="31">
        <f>SUM(E8:E29)</f>
        <v>90</v>
      </c>
      <c r="F30" s="31">
        <f>SUM(F8:F29)</f>
        <v>64.5</v>
      </c>
      <c r="G30" s="89"/>
      <c r="H30" s="90"/>
      <c r="I30" s="90"/>
      <c r="J30" s="91"/>
    </row>
    <row r="31" spans="1:10" ht="30" customHeight="1" thickBot="1" x14ac:dyDescent="0.25">
      <c r="A31" s="4"/>
      <c r="B31" s="56" t="s">
        <v>54</v>
      </c>
      <c r="C31" s="57"/>
      <c r="D31" s="57"/>
      <c r="E31" s="77">
        <f>F30/E30/100*100</f>
        <v>0.71666666666666667</v>
      </c>
      <c r="F31" s="77"/>
      <c r="G31" s="77"/>
      <c r="H31" s="77"/>
      <c r="I31" s="77"/>
      <c r="J31" s="78"/>
    </row>
    <row r="32" spans="1:10" ht="30" customHeight="1" thickBot="1" x14ac:dyDescent="0.25">
      <c r="A32" s="4"/>
      <c r="B32" s="56" t="s">
        <v>55</v>
      </c>
      <c r="C32" s="57"/>
      <c r="D32" s="57"/>
      <c r="E32" s="68" t="str">
        <f>_xlfn.IFS(E31&gt;=90%,"ممتاز",E31&gt;=80%,"جيد جداً",E31&gt;=70%,"جيد",E31&gt;=60%,"مقبول",E31&lt;60%,"راسب")</f>
        <v>جيد</v>
      </c>
      <c r="F32" s="68"/>
      <c r="G32" s="68"/>
      <c r="H32" s="68"/>
      <c r="I32" s="68"/>
      <c r="J32" s="69"/>
    </row>
    <row r="33" spans="1:10" ht="42" customHeight="1" x14ac:dyDescent="0.2">
      <c r="B33" s="64" t="s">
        <v>175</v>
      </c>
      <c r="C33" s="64"/>
      <c r="D33" s="64"/>
      <c r="E33" s="87" t="s">
        <v>52</v>
      </c>
      <c r="F33" s="87"/>
      <c r="G33" s="66" t="s">
        <v>101</v>
      </c>
      <c r="H33" s="66"/>
      <c r="I33" s="66"/>
      <c r="J33" s="66"/>
    </row>
    <row r="34" spans="1:10" ht="51" customHeight="1" x14ac:dyDescent="0.2">
      <c r="A34" s="5"/>
      <c r="B34" s="65"/>
      <c r="C34" s="65"/>
      <c r="D34" s="65"/>
      <c r="E34" s="88" t="s">
        <v>53</v>
      </c>
      <c r="F34" s="88"/>
      <c r="G34" s="67"/>
      <c r="H34" s="67"/>
      <c r="I34" s="67"/>
      <c r="J34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I27:J27"/>
    <mergeCell ref="E33:F33"/>
    <mergeCell ref="E34:F34"/>
    <mergeCell ref="G30:J30"/>
    <mergeCell ref="I9:J9"/>
    <mergeCell ref="I22:J22"/>
    <mergeCell ref="I23:J23"/>
    <mergeCell ref="I24:J24"/>
    <mergeCell ref="I25:J25"/>
    <mergeCell ref="I26:J26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E5:H5"/>
    <mergeCell ref="I5:J6"/>
    <mergeCell ref="I7:J7"/>
    <mergeCell ref="I10:J10"/>
    <mergeCell ref="B30:D30"/>
    <mergeCell ref="B31:D31"/>
    <mergeCell ref="B32:D3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19:J19"/>
    <mergeCell ref="I20:J20"/>
    <mergeCell ref="I21:J21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28:D28"/>
    <mergeCell ref="B29:D29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57">
      <formula>$E32="راسب"</formula>
    </cfRule>
  </conditionalFormatting>
  <conditionalFormatting sqref="E32:J32">
    <cfRule type="expression" dxfId="13" priority="60">
      <formula>$E32="جيد جداً"</formula>
    </cfRule>
    <cfRule type="expression" dxfId="12" priority="59">
      <formula>$E32="جيد"</formula>
    </cfRule>
    <cfRule type="expression" dxfId="11" priority="58">
      <formula>$E32="مقبول"</formula>
    </cfRule>
    <cfRule type="expression" dxfId="10" priority="61">
      <formula>$E32="ممتاز"</formula>
    </cfRule>
  </conditionalFormatting>
  <conditionalFormatting sqref="F8:F2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3:J33">
    <cfRule type="containsText" dxfId="6" priority="15" operator="containsText" text="أدخل اسم المحكم">
      <formula>NOT(ISERROR(SEARCH("أدخل اسم المحكم",G33)))</formula>
    </cfRule>
  </conditionalFormatting>
  <conditionalFormatting sqref="H8:H29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F26:F29 F21:F24 F16:F19 F9:F14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102</v>
      </c>
    </row>
    <row r="213" spans="1:1" ht="20.100000000000001" customHeight="1" x14ac:dyDescent="0.2">
      <c r="A213" s="21" t="s">
        <v>103</v>
      </c>
    </row>
    <row r="214" spans="1:1" ht="20.100000000000001" customHeight="1" x14ac:dyDescent="0.2">
      <c r="A214" s="21" t="s">
        <v>104</v>
      </c>
    </row>
    <row r="215" spans="1:1" ht="20.100000000000001" customHeight="1" x14ac:dyDescent="0.2">
      <c r="A215" s="21" t="s">
        <v>105</v>
      </c>
    </row>
    <row r="216" spans="1:1" ht="20.100000000000001" customHeight="1" x14ac:dyDescent="0.2">
      <c r="A216" s="21" t="s">
        <v>106</v>
      </c>
    </row>
    <row r="217" spans="1:1" ht="20.100000000000001" customHeight="1" x14ac:dyDescent="0.2">
      <c r="A217" s="21" t="s">
        <v>107</v>
      </c>
    </row>
    <row r="218" spans="1:1" ht="20.100000000000001" customHeight="1" x14ac:dyDescent="0.2">
      <c r="A218" s="21" t="s">
        <v>108</v>
      </c>
    </row>
    <row r="219" spans="1:1" ht="20.100000000000001" customHeight="1" x14ac:dyDescent="0.2">
      <c r="A219" s="21" t="s">
        <v>109</v>
      </c>
    </row>
    <row r="220" spans="1:1" ht="20.100000000000001" customHeight="1" x14ac:dyDescent="0.2">
      <c r="A220" s="21" t="s">
        <v>110</v>
      </c>
    </row>
    <row r="221" spans="1:1" ht="20.100000000000001" customHeight="1" x14ac:dyDescent="0.2">
      <c r="A221" s="21" t="s">
        <v>111</v>
      </c>
    </row>
    <row r="222" spans="1:1" ht="20.100000000000001" customHeight="1" x14ac:dyDescent="0.2">
      <c r="A222" s="21" t="s">
        <v>112</v>
      </c>
    </row>
    <row r="223" spans="1:1" ht="20.100000000000001" customHeight="1" x14ac:dyDescent="0.2">
      <c r="A223" s="21" t="s">
        <v>113</v>
      </c>
    </row>
    <row r="224" spans="1:1" ht="20.100000000000001" customHeight="1" x14ac:dyDescent="0.2">
      <c r="A224" s="21" t="s">
        <v>114</v>
      </c>
    </row>
    <row r="225" spans="1:1" ht="20.100000000000001" customHeight="1" x14ac:dyDescent="0.2">
      <c r="A225" s="21" t="s">
        <v>115</v>
      </c>
    </row>
    <row r="226" spans="1:1" ht="20.100000000000001" customHeight="1" x14ac:dyDescent="0.2">
      <c r="A226" s="21" t="s">
        <v>116</v>
      </c>
    </row>
    <row r="227" spans="1:1" ht="20.100000000000001" customHeight="1" x14ac:dyDescent="0.2">
      <c r="A227" s="21" t="s">
        <v>117</v>
      </c>
    </row>
    <row r="228" spans="1:1" ht="20.100000000000001" customHeight="1" x14ac:dyDescent="0.2">
      <c r="A228" s="21" t="s">
        <v>118</v>
      </c>
    </row>
    <row r="229" spans="1:1" ht="20.100000000000001" customHeight="1" x14ac:dyDescent="0.2">
      <c r="A229" s="21" t="s">
        <v>119</v>
      </c>
    </row>
    <row r="230" spans="1:1" ht="20.100000000000001" customHeight="1" x14ac:dyDescent="0.2">
      <c r="A230" s="21" t="s">
        <v>120</v>
      </c>
    </row>
    <row r="231" spans="1:1" ht="20.100000000000001" customHeight="1" x14ac:dyDescent="0.2">
      <c r="A231" s="21" t="s">
        <v>121</v>
      </c>
    </row>
    <row r="232" spans="1:1" ht="20.100000000000001" customHeight="1" x14ac:dyDescent="0.2">
      <c r="A232" s="21" t="s">
        <v>122</v>
      </c>
    </row>
    <row r="233" spans="1:1" ht="20.100000000000001" customHeight="1" x14ac:dyDescent="0.2">
      <c r="A233" s="21" t="s">
        <v>123</v>
      </c>
    </row>
    <row r="234" spans="1:1" ht="20.100000000000001" customHeight="1" x14ac:dyDescent="0.2">
      <c r="A234" s="21" t="s">
        <v>124</v>
      </c>
    </row>
    <row r="235" spans="1:1" ht="20.100000000000001" customHeight="1" x14ac:dyDescent="0.2">
      <c r="A235" s="23" t="s">
        <v>125</v>
      </c>
    </row>
    <row r="236" spans="1:1" ht="20.100000000000001" customHeight="1" x14ac:dyDescent="0.2">
      <c r="A236" s="21" t="s">
        <v>126</v>
      </c>
    </row>
    <row r="237" spans="1:1" ht="20.100000000000001" customHeight="1" x14ac:dyDescent="0.2">
      <c r="A237" s="21" t="s">
        <v>127</v>
      </c>
    </row>
    <row r="238" spans="1:1" ht="20.100000000000001" customHeight="1" x14ac:dyDescent="0.2">
      <c r="A238" s="21" t="s">
        <v>128</v>
      </c>
    </row>
    <row r="239" spans="1:1" ht="20.100000000000001" customHeight="1" x14ac:dyDescent="0.2">
      <c r="A239" s="21" t="s">
        <v>129</v>
      </c>
    </row>
    <row r="240" spans="1:1" ht="20.100000000000001" customHeight="1" x14ac:dyDescent="0.2">
      <c r="A240" s="21" t="s">
        <v>130</v>
      </c>
    </row>
    <row r="241" spans="1:1" ht="20.100000000000001" customHeight="1" x14ac:dyDescent="0.2">
      <c r="A241" s="21" t="s">
        <v>131</v>
      </c>
    </row>
    <row r="242" spans="1:1" ht="20.100000000000001" customHeight="1" x14ac:dyDescent="0.2">
      <c r="A242" s="21" t="s">
        <v>132</v>
      </c>
    </row>
    <row r="243" spans="1:1" ht="20.100000000000001" customHeight="1" x14ac:dyDescent="0.2">
      <c r="A243" s="21" t="s">
        <v>133</v>
      </c>
    </row>
    <row r="244" spans="1:1" ht="20.100000000000001" customHeight="1" x14ac:dyDescent="0.2">
      <c r="A244" s="21" t="s">
        <v>134</v>
      </c>
    </row>
    <row r="245" spans="1:1" ht="20.100000000000001" customHeight="1" x14ac:dyDescent="0.2">
      <c r="A245" s="21" t="s">
        <v>135</v>
      </c>
    </row>
    <row r="246" spans="1:1" ht="20.100000000000001" customHeight="1" x14ac:dyDescent="0.2">
      <c r="A246" s="21" t="s">
        <v>136</v>
      </c>
    </row>
    <row r="247" spans="1:1" ht="20.100000000000001" customHeight="1" x14ac:dyDescent="0.2">
      <c r="A247" s="21" t="s">
        <v>127</v>
      </c>
    </row>
    <row r="248" spans="1:1" ht="20.100000000000001" customHeight="1" x14ac:dyDescent="0.2">
      <c r="A248" s="21" t="s">
        <v>137</v>
      </c>
    </row>
    <row r="249" spans="1:1" ht="20.100000000000001" customHeight="1" x14ac:dyDescent="0.2">
      <c r="A249" s="21" t="s">
        <v>138</v>
      </c>
    </row>
    <row r="250" spans="1:1" ht="20.100000000000001" customHeight="1" x14ac:dyDescent="0.2">
      <c r="A250" s="23" t="s">
        <v>139</v>
      </c>
    </row>
    <row r="251" spans="1:1" ht="20.100000000000001" customHeight="1" x14ac:dyDescent="0.2">
      <c r="A251" s="24" t="s">
        <v>140</v>
      </c>
    </row>
    <row r="252" spans="1:1" ht="20.100000000000001" customHeight="1" x14ac:dyDescent="0.2">
      <c r="A252" s="21" t="s">
        <v>141</v>
      </c>
    </row>
    <row r="253" spans="1:1" ht="20.100000000000001" customHeight="1" x14ac:dyDescent="0.2">
      <c r="A253" s="21" t="s">
        <v>142</v>
      </c>
    </row>
    <row r="254" spans="1:1" ht="20.100000000000001" customHeight="1" x14ac:dyDescent="0.2">
      <c r="A254" s="25" t="s">
        <v>143</v>
      </c>
    </row>
    <row r="255" spans="1:1" ht="20.100000000000001" customHeight="1" x14ac:dyDescent="0.2">
      <c r="A255" s="25" t="s">
        <v>144</v>
      </c>
    </row>
    <row r="256" spans="1:1" ht="20.100000000000001" customHeight="1" x14ac:dyDescent="0.2">
      <c r="A256" s="26" t="s">
        <v>145</v>
      </c>
    </row>
    <row r="257" spans="1:1" ht="20.100000000000001" customHeight="1" x14ac:dyDescent="0.2">
      <c r="A257" s="21" t="s">
        <v>146</v>
      </c>
    </row>
    <row r="258" spans="1:1" ht="20.100000000000001" customHeight="1" x14ac:dyDescent="0.2">
      <c r="A258" s="26" t="s">
        <v>147</v>
      </c>
    </row>
    <row r="259" spans="1:1" ht="20.100000000000001" customHeight="1" x14ac:dyDescent="0.2">
      <c r="A259" s="21" t="s">
        <v>148</v>
      </c>
    </row>
    <row r="260" spans="1:1" ht="20.100000000000001" customHeight="1" x14ac:dyDescent="0.2">
      <c r="A260" s="26" t="s">
        <v>149</v>
      </c>
    </row>
    <row r="261" spans="1:1" ht="20.100000000000001" customHeight="1" x14ac:dyDescent="0.2">
      <c r="A261" s="21" t="s">
        <v>150</v>
      </c>
    </row>
    <row r="262" spans="1:1" ht="20.100000000000001" customHeight="1" x14ac:dyDescent="0.2">
      <c r="A262" s="21" t="s">
        <v>151</v>
      </c>
    </row>
    <row r="263" spans="1:1" ht="20.100000000000001" customHeight="1" x14ac:dyDescent="0.2">
      <c r="A263" s="26" t="s">
        <v>152</v>
      </c>
    </row>
    <row r="264" spans="1:1" ht="20.100000000000001" customHeight="1" x14ac:dyDescent="0.2">
      <c r="A264" s="26" t="s">
        <v>153</v>
      </c>
    </row>
    <row r="265" spans="1:1" ht="20.100000000000001" customHeight="1" x14ac:dyDescent="0.2">
      <c r="A265" s="26" t="s">
        <v>154</v>
      </c>
    </row>
    <row r="266" spans="1:1" ht="20.100000000000001" customHeight="1" x14ac:dyDescent="0.2">
      <c r="A266" s="21" t="s">
        <v>155</v>
      </c>
    </row>
    <row r="267" spans="1:1" ht="20.100000000000001" customHeight="1" x14ac:dyDescent="0.2">
      <c r="A267" s="21" t="s">
        <v>156</v>
      </c>
    </row>
    <row r="268" spans="1:1" ht="20.100000000000001" customHeight="1" x14ac:dyDescent="0.2">
      <c r="A268" s="21" t="s">
        <v>157</v>
      </c>
    </row>
    <row r="269" spans="1:1" ht="20.100000000000001" customHeight="1" x14ac:dyDescent="0.2">
      <c r="A269" s="21" t="s">
        <v>158</v>
      </c>
    </row>
    <row r="270" spans="1:1" ht="20.100000000000001" customHeight="1" x14ac:dyDescent="0.2">
      <c r="A270" s="26" t="s">
        <v>159</v>
      </c>
    </row>
    <row r="271" spans="1:1" ht="20.100000000000001" customHeight="1" x14ac:dyDescent="0.2">
      <c r="A271" s="26" t="s">
        <v>160</v>
      </c>
    </row>
    <row r="272" spans="1:1" ht="20.100000000000001" customHeight="1" x14ac:dyDescent="0.2">
      <c r="A272" s="21" t="s">
        <v>161</v>
      </c>
    </row>
    <row r="273" spans="1:1" ht="20.100000000000001" customHeight="1" x14ac:dyDescent="0.2">
      <c r="A273" s="26" t="s">
        <v>162</v>
      </c>
    </row>
    <row r="274" spans="1:1" ht="20.100000000000001" customHeight="1" x14ac:dyDescent="0.2">
      <c r="A274" s="26" t="s">
        <v>163</v>
      </c>
    </row>
    <row r="275" spans="1:1" ht="20.100000000000001" customHeight="1" x14ac:dyDescent="0.2">
      <c r="A275" s="21" t="s">
        <v>164</v>
      </c>
    </row>
    <row r="276" spans="1:1" ht="20.100000000000001" customHeight="1" x14ac:dyDescent="0.2">
      <c r="A276" s="21" t="s">
        <v>165</v>
      </c>
    </row>
    <row r="277" spans="1:1" ht="20.100000000000001" customHeight="1" x14ac:dyDescent="0.2">
      <c r="A277" s="26" t="s">
        <v>166</v>
      </c>
    </row>
    <row r="278" spans="1:1" ht="20.100000000000001" customHeight="1" x14ac:dyDescent="0.2">
      <c r="A278" s="21" t="s">
        <v>167</v>
      </c>
    </row>
    <row r="279" spans="1:1" ht="20.100000000000001" customHeight="1" x14ac:dyDescent="0.2">
      <c r="A279" s="21" t="s">
        <v>168</v>
      </c>
    </row>
    <row r="280" spans="1:1" ht="20.100000000000001" customHeight="1" x14ac:dyDescent="0.2">
      <c r="A280" s="21" t="s">
        <v>169</v>
      </c>
    </row>
    <row r="281" spans="1:1" ht="20.100000000000001" customHeight="1" x14ac:dyDescent="0.2">
      <c r="A281" s="21" t="s">
        <v>170</v>
      </c>
    </row>
    <row r="282" spans="1:1" ht="20.100000000000001" customHeight="1" x14ac:dyDescent="0.2">
      <c r="A282" s="26" t="s">
        <v>171</v>
      </c>
    </row>
    <row r="283" spans="1:1" ht="20.100000000000001" customHeight="1" x14ac:dyDescent="0.2">
      <c r="A283" s="26" t="s">
        <v>172</v>
      </c>
    </row>
    <row r="284" spans="1:1" ht="20.100000000000001" customHeight="1" x14ac:dyDescent="0.2">
      <c r="A284" s="26" t="s">
        <v>173</v>
      </c>
    </row>
    <row r="285" spans="1:1" ht="20.100000000000001" customHeight="1" thickBot="1" x14ac:dyDescent="0.25">
      <c r="A285" s="21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2025-10-22T04:55:40Z</dcterms:modified>
</cp:coreProperties>
</file>