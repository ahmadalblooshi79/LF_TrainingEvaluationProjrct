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DAA349C-F0FC-434E-9E63-0A322C9E93C3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8" i="2"/>
  <c r="H8" i="2"/>
  <c r="F25" i="2"/>
  <c r="E25" i="2"/>
  <c r="E26" i="2"/>
  <c r="E27" i="2"/>
</calcChain>
</file>

<file path=xl/sharedStrings.xml><?xml version="1.0" encoding="utf-8"?>
<sst xmlns="http://schemas.openxmlformats.org/spreadsheetml/2006/main" count="256" uniqueCount="200">
  <si>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</si>
  <si>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</si>
  <si>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</si>
  <si>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</si>
  <si>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</si>
  <si>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</si>
  <si>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</si>
  <si>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</si>
  <si>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</si>
  <si>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</si>
  <si>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</si>
  <si>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</si>
  <si>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</si>
  <si>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</si>
  <si>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</si>
  <si>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</si>
  <si>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</si>
  <si>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</si>
  <si>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</si>
  <si>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</si>
  <si>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</si>
  <si>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</si>
  <si>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</si>
  <si>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</si>
  <si>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</si>
  <si>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</si>
  <si>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</si>
  <si>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</si>
  <si>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</si>
  <si>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</si>
  <si>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</si>
  <si>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</si>
  <si>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</si>
  <si>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</si>
  <si>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</si>
  <si>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</si>
  <si>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</si>
  <si>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</si>
  <si>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</si>
  <si>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</si>
  <si>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</si>
  <si>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</si>
  <si>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</si>
  <si>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</si>
  <si>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</si>
  <si>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</si>
  <si>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</si>
  <si>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</si>
  <si>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</si>
  <si>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</si>
  <si>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</si>
  <si>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</si>
  <si>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</si>
  <si>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</si>
  <si>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</si>
  <si>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</si>
  <si>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</si>
  <si>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</si>
  <si>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</si>
  <si>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</si>
  <si>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</si>
  <si>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</si>
  <si>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</si>
  <si>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</si>
  <si>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</si>
  <si>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</si>
  <si>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</si>
  <si>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</si>
  <si>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</si>
  <si>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</si>
  <si>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</si>
  <si>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</si>
  <si>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</si>
  <si>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</si>
  <si>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</si>
  <si>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</si>
  <si>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</si>
  <si>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</si>
  <si>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</si>
  <si>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</si>
  <si>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</si>
  <si>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</si>
  <si>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</si>
  <si>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</si>
  <si>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</si>
  <si>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</si>
  <si>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</si>
  <si>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</si>
  <si>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</si>
  <si>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</si>
  <si>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</si>
  <si>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</si>
  <si>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</si>
  <si>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</si>
  <si>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</si>
  <si>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</si>
  <si>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</si>
  <si>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</si>
  <si>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</si>
  <si>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</si>
  <si>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</si>
  <si>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</si>
  <si>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</si>
  <si>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</si>
  <si>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</si>
  <si>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</si>
  <si>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</si>
  <si>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</si>
  <si>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</si>
  <si>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</si>
  <si>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</si>
  <si>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</si>
  <si>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</si>
  <si>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</si>
  <si>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</si>
  <si>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</si>
  <si>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</si>
  <si>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</si>
  <si>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</si>
  <si>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</si>
  <si>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</si>
  <si>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</si>
  <si>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</si>
  <si>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</si>
  <si>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</si>
  <si>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</si>
  <si>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</si>
  <si>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</si>
  <si>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</si>
  <si>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</si>
  <si>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</si>
  <si>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</si>
  <si>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</si>
  <si>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</si>
  <si>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</si>
  <si>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</si>
  <si>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</si>
  <si>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</si>
  <si>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</si>
  <si>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</si>
  <si>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</si>
  <si>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</si>
  <si>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</si>
  <si>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</si>
  <si>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</si>
  <si>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</si>
  <si>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</si>
  <si>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</si>
  <si>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</si>
  <si>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</si>
  <si>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</si>
  <si>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</si>
  <si>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</si>
  <si>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</si>
  <si>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</si>
  <si>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</si>
  <si>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</si>
  <si>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</si>
  <si>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</si>
  <si>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</si>
  <si>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</si>
  <si>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</si>
  <si>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</si>
  <si>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</si>
  <si>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</si>
  <si>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</si>
  <si>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</si>
  <si>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</si>
  <si>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</si>
  <si>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</si>
  <si>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</si>
  <si>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</si>
  <si>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</si>
  <si>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</si>
  <si>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</si>
  <si>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</si>
  <si>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</si>
  <si>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</si>
  <si>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</si>
  <si>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</si>
  <si>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مهام وواجبات سرية الدفاع الجوي في إسناد مجموعة اللواء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</si>
  <si>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1.    مشاركة قائد سرية الدفاع الجوي في اجتماعات التخطيط في قيادة مجموعة اللواء.</t>
  </si>
  <si>
    <t>2.    مشاركة قائد سرية الدفاع الجوي في عملية التحضير الاستخباري لميدان المعركة مع هيئة ركن مجموعة اللواء وخلية الاستخبارات حيث يركز اهتمامه حول التهديد الجوي.</t>
  </si>
  <si>
    <t>3.    توفير الإنذار المحلي عن التهديد الجوي لمجموعة اللواء حسب قدرات أجهزة الكشف والإنذار المتوفرة لديها.</t>
  </si>
  <si>
    <t>4.    منع العدو من المراقبة والاستطلاع وجمع المعلومات.</t>
  </si>
  <si>
    <t>5.    توفير الحماية الجوية لعناصر مجموعة اللواء.</t>
  </si>
  <si>
    <t>6.    فهم مفهوم عمليات قائد مجموعة اللواء.</t>
  </si>
  <si>
    <t>7.     استخدام القدرات القتالية لأسلحة الدفاع الجوي من حيث مدى الكشف والتدمير.</t>
  </si>
  <si>
    <t>8.    تحديد متطلبات انتشار الأسلحة من حيث المواقع القتالية والمسافات وتبادل المعلومات والاتصالات.</t>
  </si>
  <si>
    <t>9.    دراسة أولويات الحماية التي يحددها قائد مجموعة اللواء مع مراعاة محدودية مصادر النيران.</t>
  </si>
  <si>
    <t>10.    دعم حرية الحركة والمناورة لمجموعة اللواء</t>
  </si>
  <si>
    <t>11.    قدم قائد وحدة الدفاع الجوي المشورة لقائد مجموعة اللواء بخصوص استخدام أسلحة الدفاع الجوي المخصصة لمجموعة اللواء وبما يخدم قصد ومفهوم عمليات قائد مجموعة اللواء.</t>
  </si>
  <si>
    <t>12.    وفر قائد سرية الدفاع الجوي المعلومات الضرورية لأمر عمليات مجموعة اللواء ويقدم إيجازاً يبين فيه كيفية إسناد وحدة الدفاع الجوي لمجموعة اللواء وحسب مفهوم عمليات وأولويات قائد مجموعة اللواء.</t>
  </si>
  <si>
    <t>13.    تبادل المعلومات عن العدو الجوي (الموقف الجوي) والتهديدات الجوية المحتملة ضد مجموعة اللواء.</t>
  </si>
  <si>
    <t>14.    دراسة طبيعة التهديدات البرية المحتملة ضد عناصر الدفاع الجوي لمجموعة اللواء وأسلوب توفير الحماية لعناصر الدفاع جوي ضد التهديدات البرية.</t>
  </si>
  <si>
    <t>15.    توضيع المواقع المؤقتة والرئيسة والتبادلية والهيكلية لأسلحة الدفاع الجوي حسب خطة مناورة مجموعة اللواء.</t>
  </si>
  <si>
    <t xml:space="preserve">16.    إدامة وحدة الدفاع الجوي من خلال توفير مواد الإمداد العام من مجموعة اللواء والتنسيق مع قيادة مجموعة اللواء/ خلية الإمداد. </t>
  </si>
  <si>
    <t>17.    تحديد متطلبات وإجراءات السيطرة على المجال الجوي ضمن منطقة مسؤولية مجموعة اللواء.</t>
  </si>
  <si>
    <t>رائد حمد الشامسي</t>
  </si>
  <si>
    <t>نقيب سلطان حسن الطنيجي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</si>
</sst>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16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5" Type="http://schemas.openxmlformats.org/officeDocument/2006/relationships/customXml" Target="../ink/ink3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333465</xdr:colOff>
      <xdr:row>27</xdr:row>
      <xdr:rowOff>485533</xdr:rowOff>
    </xdr:from>
    <xdr:to>
      <xdr:col>7</xdr:col>
      <xdr:colOff>373775</xdr:colOff>
      <xdr:row>28</xdr:row>
      <xdr:rowOff>469602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C17CBA4-3282-F504-C2D7-7E5A1964D456}"/>
                </a:ext>
              </a:extLst>
            </xdr14:cNvPr>
            <xdr14:cNvContentPartPr/>
          </xdr14:nvContentPartPr>
          <xdr14:nvPr macro=""/>
          <xdr14:xfrm>
            <a:off x="10399529225" y="13433760"/>
            <a:ext cx="698400" cy="5151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C17CBA4-3282-F504-C2D7-7E5A1964D45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520225" y="13425120"/>
              <a:ext cx="716040" cy="53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507705</xdr:colOff>
      <xdr:row>28</xdr:row>
      <xdr:rowOff>79722</xdr:rowOff>
    </xdr:from>
    <xdr:to>
      <xdr:col>9</xdr:col>
      <xdr:colOff>652034</xdr:colOff>
      <xdr:row>28</xdr:row>
      <xdr:rowOff>640962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01066E9-3398-55E1-2B94-8C8C7EA7BEB5}"/>
                </a:ext>
              </a:extLst>
            </xdr14:cNvPr>
            <xdr14:cNvContentPartPr/>
          </xdr14:nvContentPartPr>
          <xdr14:nvPr macro=""/>
          <xdr14:xfrm>
            <a:off x="10397934785" y="13559040"/>
            <a:ext cx="2118600" cy="5612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01066E9-3398-55E1-2B94-8C8C7EA7BEB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926145" y="13550400"/>
              <a:ext cx="2136240" cy="57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433874</xdr:colOff>
      <xdr:row>28</xdr:row>
      <xdr:rowOff>113202</xdr:rowOff>
    </xdr:from>
    <xdr:to>
      <xdr:col>9</xdr:col>
      <xdr:colOff>463034</xdr:colOff>
      <xdr:row>28</xdr:row>
      <xdr:rowOff>203202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304A7EA-6183-2231-8D7A-2B091186395B}"/>
                </a:ext>
              </a:extLst>
            </xdr14:cNvPr>
            <xdr14:cNvContentPartPr/>
          </xdr14:nvContentPartPr>
          <xdr14:nvPr macro=""/>
          <xdr14:xfrm>
            <a:off x="10398123785" y="13592520"/>
            <a:ext cx="29160" cy="900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304A7EA-6183-2231-8D7A-2B09118639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114785" y="13583520"/>
              <a:ext cx="46800" cy="107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9:44.9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1794 1300 8,'0'0'0,"0"0"0,-14 0 8,2 0 8,0 0 16,5 0-8,7 0-24,-3-1 8,1-5 16,-1-7-8,3 7 0,0 6-16,5-15 16,-2 9 0,11-10 8,-14 5-8,0 11-16,12-11 16,-9-2 8,9 0-8,-8 2 8,-4 11-24,15-12 24,-10 1 0,11 0 0,-3-2-8,-13 13-16,12-14 16,2 1 0,0-1 8,1 2-8,-15 12-16,9-11 16,3-1 8,-7 1-8,-2 5 8,-3 6-24,5-15 24,-3 9 0,0-8 24,-2 10 8,0 4-56,0-13 56,0 9 48,0-2 152,0-8 1576,0 14-1832,0-12 2945,-2-2 1256,0 1 792,-3 2-3393,5 11-1600,0-11 1392,0-2-327,0-1-321,0-4-232,0 18-512,0-18 344,0-1-120,5 4-16,-1 2-80,-4 13-128,3-4 88,-3 0-56,0 2-72,0 2-40,0 0 80,0 3-208,-3 8 32,-11 4 32,-3 6 56,17-21 88,-22 27 80,3 4-80,-2 0 40,-1 1 8,22-32-48,-17 31-24,-2-3 88,4 1-80,3-5-24,8-1 16,4-23 24,-15 22-112,10-2-208,-7 0-264,12-20 584,-5 17-936,-2-1-305,-5-3-231,7-9-64,1 10 79,4-14 1457,-12 0-1168,12 3 544,0-3 520,0 0 104,-3-1 264,3-5 240,0-12-48,0-2-80,0-6 24,0 26-400,0-28 440,3-2-15,1-2-17,-1 3 40,-3 29-448,2-29 416,5 4 256,-2 3 264,-5 8 152,0 14-1088,0-4 1169,0 0-137,0 2-200,0 2-216,0 0-616,0 0 424,0 3-120,-12 1-32,5 8-120,7-12-152,-17 11 136,5 6-112,0 1 72,-2 4-32,14-22-64,-15 20 0,3 0-16,0-2-152,7-2 120,5-16 48,-4 14-8,-1-3 16,2-8-96,1 1-24,2-4 112,0 5-200,0-2-24,-3-3-8,3 0-112,0 0 344,0 0-520,0-5-432,3-6-264,-1-2-353,-2 13 1569,3-17-1544,2 0 176,7-1 255,-10 0 313,-2 18 800,5-14-440,0 3 704,-3 7 664,-2 1 609,0 3-1537,0 0 1728,-2 0-400,-8 4-527,3 10-433,7-14-368,-17 12 224,-5 6 8,5 1 16,-4 2-48,21-21-200,-19 20 192,2-2-144,5-2 80,-3-2 24,15-14-152,-12 13 72,0-9 8,7 9-56,-9-10 16,14-3-40,-2 3 16,-1-3-16,-4 3 224,-5-3-128,12 0-96,-3 0 136,-4 0 96,-5 0-264,7-2 32,5 2 0,-12-4 72,10-2 136,-3-8 16,0 1 80,5 13-304,-4-17 344,-1-3-104,5-4 80,-3-2-15,3 26-305,0-31 200,0-3 32,5-6-64,7-2 8,-12 42-176,10-49 208,4-2-192,5-2 104,3-5-48,-22 58-72,24-55 16,0-1 48,-5 2-120,-2 10-24,-17 44 80,3-37-16,2 12 88,-1 9 0,-4 13 40,0 3-112,-4-3 56,-1 2 112,0 1 64,-10 4-128,15-4-104,-14 20 0,-3 0-128,-4 6-56,4 5 168,17-31 16,-17 34 72,2 2-112,1 0 80,0 3-8,14-39-32,-17 38-32,-2-1 64,-3 2-80,-9-1-200,31-38 248,-29 41-72,-12 5 48,0 2 32,-7 2 24,48-50-32,-46 48 24,0-1 32,3-4-112,5-2 56,38-41 0,-36 38-8,7-4 8,2-2 40,1-7 56,26-25-96,-31 24 32,-6-1-48,6-3 56,0-4 0,31-16-40,-24 12 32,0 0 24,0-8-40,0 9-88,24-13 72,-29 3 40,5-3-8,2 0 8,3 0 128,19 0-168,-17-5 16,0-9 40,0 0 0,5-6-16,12 20-40,-2-25 16,-10-8-48,12-4-24,0-7-40,0 44 96,0-47-112,2-1-56,1-1 56,11 2 56,-14 47 56,3-44-16,1 3 88,8 3-48,-9 2 8,-3 36-32,14-33 72,-2 5-104,0 2 48,5 5 24,-17 21-40,17-17-184,5 4 176,4 8-120,8-8-40,-34 13 168,38-3-136,8-1-224,12-2-80,-5 0 15,-53 6 425,55-4-400,-7 0 88,-12 2 80,-12 2-8,-24 0 240,12 0-120,-12 0 216,-2 0 152,-17 3 80,19-3-328,-37 12 336,-11-1-7,-19 6-9,-8 3 160,75-20-480,-74 24 456,-8 4-104,3 4-112,2 3-176,77-35-64,-75 40 48,10 1-48,10 2-56,2 2-144,53-45 200,-43 45-488,7-3-448,2 2-841,7-5-1656,27-39 3433,-12 29-6273,10-4 1008,2-11 1752,22-14 1681,-22 0 1832,17-3-392,14-20 208,-2-8 8,9-9 16,-38 40 160,41-50-152,-5-5 56,0-8 8,-5-5 32,-31 68 56,29-69-48,-5-3-8,-7 4 32,-12 9 16,-5 59 8,0-53 0,0 12 32,-12 9-16,-5 10-8,17 22-8,-19-16 56,-5 3 24,2 9 64,1-9 128,21 13-272,-24-14 2768,-3-13 1905,5-13 1449,1-4 1295,21 44-7417,-3-44 0,3 6 16,0 4 136,15-5-160,-15 39 8,12-41 144,12-3 88,-2 1 88,2 5 112,-24 38-432,14-30 320,-2 13-239,-10 13-202,3 4-15,-5 0 136,0 4-272,3 22 48,-3 5-24,-3 13-96,3-44 344,-5 54-392,3 10-48,-3 1 184,3 2-152,2-67 408,0 64-256,0-1 40,5-1-192,7-1-344,-12-61 752,2 61-1385,20-4-639,-5-3-633,4-5-495,-21-49 3152,24 44-3057,-2-6 736,4-5 657,-2-8 808,-24-25 856,24 15-416,1-15 56,-6-16 120,-5-11-8,-14 27 248,3-37-192,1-9 16,-1-3 56,-1-5 40,-2 54 80,0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9:46.0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4451 570 48,'0'0'0,"-8"4"48,8-4-48,-12 14 48,-4-3 24,-4-6 16,-1-1 48,21-4-136,-24 11 280,-8-15 2712,-11-26 2001,2-7 2089,41 37-7082,-48-47 8450,10 8-8090,6 7 240,6 10-424,26 22-176,-22-20-8,3 3-8,5 4-136,2 9-104,12 4 256,-5-12-448,0 11-152,3-4-225,2 3-407,0 2 1232,4-5-1280,16 1-200,1-7-609,18 6-1288,-39 5 3377,48-17-4593,19 3 849,10-3 1295,12-6 1297,-89 23 1152,96-28-312,8-5 152,9-1 24,7 3 24,-120 31 112,128-27-88,4 6 24,0 2 16,-4 5-8,-128 14 56,113-12-32,-5 8 24,-17 0-8,-16 0 8,-75 4 8,62-3 0,-13 1 24,-16 2 32,-11 5 40,-22-5-96,2 15 160,-4-15 2000,-27 3 1697,-9-4 1640,38 1-5497,-56-14 7202,-18 9-5234,-8 1-664,-19 4-215,101 0-1089,-116 4 872,-14 18-304,-16-1-256,-13 9-120,159-30-192,-166 34 56,-12 8-32,-10 4-48,1 5 80,187-51-56,-197 58-72,-1 6 0,4 5 16,6 0 0,188-69 56,-168 66-72,14-5 40,14-3-48,15-1-32,125-57 112,-123 57-216,5-5-120,3-5 40,4-7 80,111-40 216,-98 31-128,4-8 216,10-4-24,12-8-64,72-11 0,-65 4 56,7 1 16,7-3-72,6-2 16,45 0-16,-41 0 48,2-2-72,10-4 80,5-8 16,24 14-72,-21-5 96,9-9-40,9 8 136,-4-8 176,7 14-368,-2-13 72,-1-1 40,3-4-96,0-4-16,0 22 0,0-27 96,5-4 80,-2-6-136,1-4-80,-4 41 40,3-44 24,11-6 32,-9-1 0,9-4-40,-14 55-16,0-57-16,15 3 32,-13 2 24,3 11-48,-5 41 8,2-28 80,-2 11-152,0 14 8,0 3 200,0 0-136,0 4 16,-12 23-72,-2 10 112,-10 16-8,24-53-48,-31 68-32,7 9 248,0 9 40,0 10-32,24-96-224,-17 101 304,-3 1-88,6-1-112,2-6-224,12-95 120,-14 87-88,-3-8-184,2-10 200,-9-12 72,24-57 0,-19 44 8,2-29 256,0 2-16,-7-12 32,24-5-280,-31 11 273,-3-11-233,-9-4-96,-5-18 56,48 22 0,-60-24-32,2-13 48,-9-8 24,2-11 8,65 56-48,-68-62-48,3-6 96,1-4-32,-1-1-153,65 73 137,-63-72 17,32 38 191,-5-1-56,2 4 72,34 31-224,-38-33 88,-1 6-160,1-2-48,2 8-48,36 21 168,-41-18 176,0 6-248,0 7 176,7 2-136,34 3 32,-38 0-264,4 3 96,-2 9-361,7 4-327,29-16 856,-26 17-1384,2 4-905,7 5-1559,5 1-3130,12-27 6978,-3 28-5601,1 1 1920,2-1 1849,0-4 1472,0-24 360,10 22-160,4-7 24,0-3 16,1-9 48,-15-3 72,19 0-88,-2 0 0,5-12-8,-22 12 96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9:46.4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80 249 3392,'0'0'0,"-8"-38"6082,-6 5 3023,2-1 1274,12 34-10379,-12-34-2345,7 3-1176,-9-1-5649,-1 5 2241,15 27 6929,0-18-4249,0 16 2289,0 2 1672,10 0 96,-10 0 192,5 0-168,12 0 48,-17 0 120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C17" zoomScale="130" zoomScaleNormal="100" zoomScaleSheetLayoutView="130" workbookViewId="0">
      <selection activeCell="G29" sqref="G29:J2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8" t="s">
        <v>180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2">
      <c r="B2" s="10" t="s">
        <v>8</v>
      </c>
      <c r="C2" s="54" t="s">
        <v>29</v>
      </c>
      <c r="D2" s="54"/>
      <c r="E2" s="10" t="s">
        <v>7</v>
      </c>
      <c r="F2" s="49">
        <v>45952</v>
      </c>
      <c r="G2" s="49"/>
      <c r="H2" s="49"/>
      <c r="I2" s="49"/>
      <c r="J2" s="49"/>
    </row>
    <row r="3" spans="1:10" ht="30" customHeight="1" x14ac:dyDescent="0.2">
      <c r="B3" s="10" t="s">
        <v>9</v>
      </c>
      <c r="C3" s="54" t="s">
        <v>60</v>
      </c>
      <c r="D3" s="54"/>
      <c r="E3" s="10" t="s">
        <v>6</v>
      </c>
      <c r="F3" s="54" t="s">
        <v>59</v>
      </c>
      <c r="G3" s="54"/>
      <c r="H3" s="54"/>
      <c r="I3" s="54"/>
      <c r="J3" s="54"/>
    </row>
    <row r="4" spans="1:10" ht="30" customHeight="1" thickBot="1" x14ac:dyDescent="0.25">
      <c r="B4" s="6"/>
      <c r="C4" s="75" t="s">
        <v>198</v>
      </c>
      <c r="D4" s="75"/>
      <c r="E4" s="6"/>
      <c r="F4" s="75" t="s">
        <v>199</v>
      </c>
      <c r="G4" s="75"/>
      <c r="H4" s="75"/>
      <c r="I4" s="75"/>
      <c r="J4" s="75"/>
    </row>
    <row r="5" spans="1:10" ht="24.95" customHeight="1" x14ac:dyDescent="0.2">
      <c r="A5" s="8"/>
      <c r="B5" s="50" t="s">
        <v>0</v>
      </c>
      <c r="C5" s="51"/>
      <c r="D5" s="51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25">
      <c r="A6" s="8"/>
      <c r="B6" s="52"/>
      <c r="C6" s="53"/>
      <c r="D6" s="53"/>
      <c r="E6" s="9" t="s">
        <v>3</v>
      </c>
      <c r="F6" s="9" t="s">
        <v>4</v>
      </c>
      <c r="G6" s="9" t="s">
        <v>23</v>
      </c>
      <c r="H6" s="9" t="s">
        <v>24</v>
      </c>
      <c r="I6" s="61"/>
      <c r="J6" s="62"/>
    </row>
    <row r="7" spans="1:10" ht="24.95" customHeight="1" thickBot="1" x14ac:dyDescent="0.25">
      <c r="A7" s="8"/>
      <c r="B7" s="57" t="s">
        <v>21</v>
      </c>
      <c r="C7" s="58"/>
      <c r="D7" s="58"/>
      <c r="E7" s="28" t="s">
        <v>18</v>
      </c>
      <c r="F7" s="28" t="s">
        <v>19</v>
      </c>
      <c r="G7" s="28" t="s">
        <v>22</v>
      </c>
      <c r="H7" s="28" t="s">
        <v>20</v>
      </c>
      <c r="I7" s="63" t="s">
        <v>25</v>
      </c>
      <c r="J7" s="64"/>
    </row>
    <row r="8" spans="1:10" ht="39.950000000000003" customHeight="1" x14ac:dyDescent="0.2">
      <c r="A8" s="8"/>
      <c r="B8" s="39" t="s">
        <v>181</v>
      </c>
      <c r="C8" s="40"/>
      <c r="D8" s="40"/>
      <c r="E8" s="26">
        <v>5</v>
      </c>
      <c r="F8" s="32">
        <v>3.75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6"/>
      <c r="J8" s="77"/>
    </row>
    <row r="9" spans="1:10" ht="52.5" customHeight="1" x14ac:dyDescent="0.2">
      <c r="A9" s="8"/>
      <c r="B9" s="37" t="s">
        <v>182</v>
      </c>
      <c r="C9" s="38"/>
      <c r="D9" s="38"/>
      <c r="E9" s="7">
        <v>5</v>
      </c>
      <c r="F9" s="24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2"/>
    </row>
    <row r="10" spans="1:10" ht="39.950000000000003" customHeight="1" x14ac:dyDescent="0.2">
      <c r="A10" s="8"/>
      <c r="B10" s="37" t="s">
        <v>183</v>
      </c>
      <c r="C10" s="38"/>
      <c r="D10" s="38"/>
      <c r="E10" s="7">
        <v>5</v>
      </c>
      <c r="F10" s="24">
        <v>3.75</v>
      </c>
      <c r="G10" s="30">
        <f t="shared" ref="G10:G24" si="0">IFERROR(F10/E10,"")</f>
        <v>0.75</v>
      </c>
      <c r="H10" s="31" t="str">
        <f t="shared" ref="H10:H24" si="1">_xlfn.IFS(F10="أدخل العلامة","",F10="لا ينطبق","تم الإلغاء",G10&gt;=90%,"ممتاز",G10&gt;=80%,"جيد جداً",G10&gt;=70%,"جيد",G10&gt;=60%,"مقبول",G10&lt;60%,"راسب")</f>
        <v>جيد</v>
      </c>
      <c r="I10" s="41"/>
      <c r="J10" s="42"/>
    </row>
    <row r="11" spans="1:10" ht="39.950000000000003" customHeight="1" x14ac:dyDescent="0.2">
      <c r="A11" s="8"/>
      <c r="B11" s="37" t="s">
        <v>184</v>
      </c>
      <c r="C11" s="38"/>
      <c r="D11" s="38"/>
      <c r="E11" s="7">
        <v>5</v>
      </c>
      <c r="F11" s="24">
        <v>4</v>
      </c>
      <c r="G11" s="30">
        <f t="shared" si="0"/>
        <v>0.8</v>
      </c>
      <c r="H11" s="31" t="str">
        <f t="shared" si="1"/>
        <v>جيد جداً</v>
      </c>
      <c r="I11" s="41"/>
      <c r="J11" s="42"/>
    </row>
    <row r="12" spans="1:10" ht="39.950000000000003" customHeight="1" x14ac:dyDescent="0.2">
      <c r="A12" s="8"/>
      <c r="B12" s="37" t="s">
        <v>185</v>
      </c>
      <c r="C12" s="38"/>
      <c r="D12" s="38"/>
      <c r="E12" s="7">
        <v>5</v>
      </c>
      <c r="F12" s="24">
        <v>3.75</v>
      </c>
      <c r="G12" s="30">
        <f t="shared" si="0"/>
        <v>0.75</v>
      </c>
      <c r="H12" s="31" t="str">
        <f t="shared" si="1"/>
        <v>جيد</v>
      </c>
      <c r="I12" s="41"/>
      <c r="J12" s="42"/>
    </row>
    <row r="13" spans="1:10" ht="39.950000000000003" customHeight="1" x14ac:dyDescent="0.2">
      <c r="A13" s="8"/>
      <c r="B13" s="37" t="s">
        <v>186</v>
      </c>
      <c r="C13" s="38"/>
      <c r="D13" s="38"/>
      <c r="E13" s="7">
        <v>5</v>
      </c>
      <c r="F13" s="24">
        <v>3.75</v>
      </c>
      <c r="G13" s="30">
        <f t="shared" si="0"/>
        <v>0.75</v>
      </c>
      <c r="H13" s="31" t="str">
        <f t="shared" si="1"/>
        <v>جيد</v>
      </c>
      <c r="I13" s="41"/>
      <c r="J13" s="42"/>
    </row>
    <row r="14" spans="1:10" ht="39.950000000000003" customHeight="1" x14ac:dyDescent="0.2">
      <c r="A14" s="8"/>
      <c r="B14" s="37" t="s">
        <v>187</v>
      </c>
      <c r="C14" s="38"/>
      <c r="D14" s="38"/>
      <c r="E14" s="7">
        <v>5</v>
      </c>
      <c r="F14" s="24">
        <v>3.75</v>
      </c>
      <c r="G14" s="30">
        <f t="shared" si="0"/>
        <v>0.75</v>
      </c>
      <c r="H14" s="31" t="str">
        <f t="shared" si="1"/>
        <v>جيد</v>
      </c>
      <c r="I14" s="41"/>
      <c r="J14" s="42"/>
    </row>
    <row r="15" spans="1:10" ht="39.950000000000003" customHeight="1" x14ac:dyDescent="0.2">
      <c r="A15" s="8"/>
      <c r="B15" s="37" t="s">
        <v>188</v>
      </c>
      <c r="C15" s="38"/>
      <c r="D15" s="38"/>
      <c r="E15" s="7">
        <v>5</v>
      </c>
      <c r="F15" s="24">
        <v>3.75</v>
      </c>
      <c r="G15" s="30">
        <f t="shared" si="0"/>
        <v>0.75</v>
      </c>
      <c r="H15" s="31" t="str">
        <f t="shared" si="1"/>
        <v>جيد</v>
      </c>
      <c r="I15" s="41"/>
      <c r="J15" s="42"/>
    </row>
    <row r="16" spans="1:10" ht="39.950000000000003" customHeight="1" x14ac:dyDescent="0.2">
      <c r="A16" s="8"/>
      <c r="B16" s="37" t="s">
        <v>189</v>
      </c>
      <c r="C16" s="38"/>
      <c r="D16" s="38"/>
      <c r="E16" s="7">
        <v>5</v>
      </c>
      <c r="F16" s="24">
        <v>3.75</v>
      </c>
      <c r="G16" s="30">
        <f t="shared" si="0"/>
        <v>0.75</v>
      </c>
      <c r="H16" s="31" t="str">
        <f t="shared" si="1"/>
        <v>جيد</v>
      </c>
      <c r="I16" s="41"/>
      <c r="J16" s="42"/>
    </row>
    <row r="17" spans="1:10" ht="39.950000000000003" customHeight="1" x14ac:dyDescent="0.2">
      <c r="A17" s="8"/>
      <c r="B17" s="37" t="s">
        <v>190</v>
      </c>
      <c r="C17" s="38"/>
      <c r="D17" s="38"/>
      <c r="E17" s="7">
        <v>5</v>
      </c>
      <c r="F17" s="24">
        <v>3.75</v>
      </c>
      <c r="G17" s="30">
        <f t="shared" si="0"/>
        <v>0.75</v>
      </c>
      <c r="H17" s="31" t="str">
        <f t="shared" si="1"/>
        <v>جيد</v>
      </c>
      <c r="I17" s="41"/>
      <c r="J17" s="42"/>
    </row>
    <row r="18" spans="1:10" ht="48.75" customHeight="1" x14ac:dyDescent="0.2">
      <c r="A18" s="8"/>
      <c r="B18" s="37" t="s">
        <v>191</v>
      </c>
      <c r="C18" s="38"/>
      <c r="D18" s="38"/>
      <c r="E18" s="7">
        <v>5</v>
      </c>
      <c r="F18" s="24">
        <v>3.75</v>
      </c>
      <c r="G18" s="30">
        <f t="shared" si="0"/>
        <v>0.75</v>
      </c>
      <c r="H18" s="31" t="str">
        <f t="shared" si="1"/>
        <v>جيد</v>
      </c>
      <c r="I18" s="41"/>
      <c r="J18" s="42"/>
    </row>
    <row r="19" spans="1:10" ht="48.75" customHeight="1" x14ac:dyDescent="0.2">
      <c r="A19" s="8"/>
      <c r="B19" s="37" t="s">
        <v>192</v>
      </c>
      <c r="C19" s="38"/>
      <c r="D19" s="38"/>
      <c r="E19" s="7">
        <v>5</v>
      </c>
      <c r="F19" s="24">
        <v>3.75</v>
      </c>
      <c r="G19" s="30">
        <f t="shared" si="0"/>
        <v>0.75</v>
      </c>
      <c r="H19" s="31" t="str">
        <f t="shared" si="1"/>
        <v>جيد</v>
      </c>
      <c r="I19" s="41"/>
      <c r="J19" s="42"/>
    </row>
    <row r="20" spans="1:10" ht="39.950000000000003" customHeight="1" x14ac:dyDescent="0.2">
      <c r="A20" s="8"/>
      <c r="B20" s="37" t="s">
        <v>193</v>
      </c>
      <c r="C20" s="38"/>
      <c r="D20" s="38"/>
      <c r="E20" s="7">
        <v>5</v>
      </c>
      <c r="F20" s="24">
        <v>3.75</v>
      </c>
      <c r="G20" s="30">
        <f t="shared" si="0"/>
        <v>0.75</v>
      </c>
      <c r="H20" s="31" t="str">
        <f t="shared" si="1"/>
        <v>جيد</v>
      </c>
      <c r="I20" s="41"/>
      <c r="J20" s="42"/>
    </row>
    <row r="21" spans="1:10" ht="49.5" customHeight="1" x14ac:dyDescent="0.2">
      <c r="A21" s="8"/>
      <c r="B21" s="37" t="s">
        <v>194</v>
      </c>
      <c r="C21" s="38"/>
      <c r="D21" s="38"/>
      <c r="E21" s="7">
        <v>5</v>
      </c>
      <c r="F21" s="24">
        <v>4</v>
      </c>
      <c r="G21" s="30">
        <f t="shared" si="0"/>
        <v>0.8</v>
      </c>
      <c r="H21" s="31" t="str">
        <f t="shared" si="1"/>
        <v>جيد جداً</v>
      </c>
      <c r="I21" s="41"/>
      <c r="J21" s="42"/>
    </row>
    <row r="22" spans="1:10" ht="39.950000000000003" customHeight="1" x14ac:dyDescent="0.2">
      <c r="A22" s="8"/>
      <c r="B22" s="37" t="s">
        <v>195</v>
      </c>
      <c r="C22" s="38"/>
      <c r="D22" s="38"/>
      <c r="E22" s="7">
        <v>5</v>
      </c>
      <c r="F22" s="24">
        <v>3.75</v>
      </c>
      <c r="G22" s="30">
        <f t="shared" si="0"/>
        <v>0.75</v>
      </c>
      <c r="H22" s="31" t="str">
        <f t="shared" si="1"/>
        <v>جيد</v>
      </c>
      <c r="I22" s="41"/>
      <c r="J22" s="42"/>
    </row>
    <row r="23" spans="1:10" ht="39.950000000000003" customHeight="1" x14ac:dyDescent="0.2">
      <c r="A23" s="8"/>
      <c r="B23" s="37" t="s">
        <v>196</v>
      </c>
      <c r="C23" s="38"/>
      <c r="D23" s="38"/>
      <c r="E23" s="7">
        <v>5</v>
      </c>
      <c r="F23" s="24">
        <v>3.75</v>
      </c>
      <c r="G23" s="30">
        <f t="shared" si="0"/>
        <v>0.75</v>
      </c>
      <c r="H23" s="31" t="str">
        <f t="shared" si="1"/>
        <v>جيد</v>
      </c>
      <c r="I23" s="41"/>
      <c r="J23" s="42"/>
    </row>
    <row r="24" spans="1:10" ht="39.950000000000003" customHeight="1" thickBot="1" x14ac:dyDescent="0.25">
      <c r="A24" s="8"/>
      <c r="B24" s="73" t="s">
        <v>197</v>
      </c>
      <c r="C24" s="74"/>
      <c r="D24" s="74"/>
      <c r="E24" s="27">
        <v>5</v>
      </c>
      <c r="F24" s="25">
        <v>4</v>
      </c>
      <c r="G24" s="35">
        <f t="shared" si="0"/>
        <v>0.8</v>
      </c>
      <c r="H24" s="36" t="str">
        <f t="shared" si="1"/>
        <v>جيد جداً</v>
      </c>
      <c r="I24" s="80"/>
      <c r="J24" s="81"/>
    </row>
    <row r="25" spans="1:10" ht="30" customHeight="1" thickBot="1" x14ac:dyDescent="0.25">
      <c r="A25" s="4"/>
      <c r="B25" s="78" t="s">
        <v>5</v>
      </c>
      <c r="C25" s="79"/>
      <c r="D25" s="79"/>
      <c r="E25" s="29">
        <f>SUM(E8:E24)</f>
        <v>85</v>
      </c>
      <c r="F25" s="29">
        <f>SUM(F8:F24)</f>
        <v>64.5</v>
      </c>
      <c r="G25" s="45"/>
      <c r="H25" s="46"/>
      <c r="I25" s="46"/>
      <c r="J25" s="47"/>
    </row>
    <row r="26" spans="1:10" ht="30" customHeight="1" thickBot="1" x14ac:dyDescent="0.25">
      <c r="A26" s="4"/>
      <c r="B26" s="71" t="s">
        <v>54</v>
      </c>
      <c r="C26" s="72"/>
      <c r="D26" s="72"/>
      <c r="E26" s="55">
        <f>F25/E25/100*100</f>
        <v>0.75882352941176467</v>
      </c>
      <c r="F26" s="55"/>
      <c r="G26" s="55"/>
      <c r="H26" s="55"/>
      <c r="I26" s="55"/>
      <c r="J26" s="56"/>
    </row>
    <row r="27" spans="1:10" ht="30" customHeight="1" thickBot="1" x14ac:dyDescent="0.25">
      <c r="A27" s="4"/>
      <c r="B27" s="71" t="s">
        <v>55</v>
      </c>
      <c r="C27" s="72"/>
      <c r="D27" s="72"/>
      <c r="E27" s="69" t="str">
        <f>_xlfn.IFS(E26&gt;=90%,"ممتاز",E26&gt;=80%,"جيد جداً",E26&gt;=70%,"جيد",E26&gt;=60%,"مقبول",E26&lt;60%,"راسب")</f>
        <v>جيد</v>
      </c>
      <c r="F27" s="69"/>
      <c r="G27" s="69"/>
      <c r="H27" s="69"/>
      <c r="I27" s="69"/>
      <c r="J27" s="70"/>
    </row>
    <row r="28" spans="1:10" ht="42" customHeight="1" x14ac:dyDescent="0.2">
      <c r="B28" s="65" t="s">
        <v>174</v>
      </c>
      <c r="C28" s="65"/>
      <c r="D28" s="65"/>
      <c r="E28" s="43" t="s">
        <v>52</v>
      </c>
      <c r="F28" s="43"/>
      <c r="G28" s="67" t="s">
        <v>59</v>
      </c>
      <c r="H28" s="67"/>
      <c r="I28" s="67"/>
      <c r="J28" s="67"/>
    </row>
    <row r="29" spans="1:10" ht="51" customHeight="1" x14ac:dyDescent="0.2">
      <c r="A29" s="5"/>
      <c r="B29" s="66"/>
      <c r="C29" s="66"/>
      <c r="D29" s="66"/>
      <c r="E29" s="44" t="s">
        <v>53</v>
      </c>
      <c r="F29" s="44"/>
      <c r="G29" s="68"/>
      <c r="H29" s="68"/>
      <c r="I29" s="68"/>
      <c r="J29" s="6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7">
    <mergeCell ref="C4:D4"/>
    <mergeCell ref="I8:J8"/>
    <mergeCell ref="B25:D25"/>
    <mergeCell ref="I21:J21"/>
    <mergeCell ref="I22:J22"/>
    <mergeCell ref="I23:J23"/>
    <mergeCell ref="I24:J24"/>
    <mergeCell ref="F4:J4"/>
    <mergeCell ref="I16:J16"/>
    <mergeCell ref="I17:J17"/>
    <mergeCell ref="I18:J18"/>
    <mergeCell ref="I19:J19"/>
    <mergeCell ref="I20:J20"/>
    <mergeCell ref="I11:J11"/>
    <mergeCell ref="I12:J12"/>
    <mergeCell ref="I13:J13"/>
    <mergeCell ref="I14:J14"/>
    <mergeCell ref="I15:J15"/>
    <mergeCell ref="B28:D29"/>
    <mergeCell ref="G28:J28"/>
    <mergeCell ref="G29:J29"/>
    <mergeCell ref="E27:J27"/>
    <mergeCell ref="B26:D26"/>
    <mergeCell ref="B27:D27"/>
    <mergeCell ref="B22:D22"/>
    <mergeCell ref="B23:D23"/>
    <mergeCell ref="B24:D24"/>
    <mergeCell ref="B18:D18"/>
    <mergeCell ref="B19:D19"/>
    <mergeCell ref="B20:D20"/>
    <mergeCell ref="B21:D21"/>
    <mergeCell ref="I9:J9"/>
    <mergeCell ref="E28:F28"/>
    <mergeCell ref="E29:F29"/>
    <mergeCell ref="G25:J25"/>
    <mergeCell ref="B1:J1"/>
    <mergeCell ref="F2:J2"/>
    <mergeCell ref="B5:D6"/>
    <mergeCell ref="C2:D2"/>
    <mergeCell ref="C3:D3"/>
    <mergeCell ref="F3:J3"/>
    <mergeCell ref="E26:J26"/>
    <mergeCell ref="B7:D7"/>
    <mergeCell ref="E5:H5"/>
    <mergeCell ref="I5:J6"/>
    <mergeCell ref="I7:J7"/>
    <mergeCell ref="I10:J10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7">
    <cfRule type="expression" dxfId="14" priority="57">
      <formula>$E27="راسب"</formula>
    </cfRule>
  </conditionalFormatting>
  <conditionalFormatting sqref="E27:J27">
    <cfRule type="expression" dxfId="13" priority="58">
      <formula>$E27="مقبول"</formula>
    </cfRule>
    <cfRule type="expression" dxfId="12" priority="59">
      <formula>$E27="جيد"</formula>
    </cfRule>
    <cfRule type="expression" dxfId="11" priority="60">
      <formula>$E27="جيد جداً"</formula>
    </cfRule>
    <cfRule type="expression" dxfId="10" priority="61">
      <formula>$E27="ممتاز"</formula>
    </cfRule>
  </conditionalFormatting>
  <conditionalFormatting sqref="F8:F2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8:J28">
    <cfRule type="containsText" dxfId="6" priority="15" operator="containsText" text="أدخل اسم المحكم">
      <formula>NOT(ISERROR(SEARCH("أدخل اسم المحكم",G28)))</formula>
    </cfRule>
  </conditionalFormatting>
  <conditionalFormatting sqref="H8:H2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G28:J28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7" t="s">
        <v>62</v>
      </c>
    </row>
    <row r="3" spans="1:3" ht="20.100000000000001" customHeight="1" thickBot="1" x14ac:dyDescent="0.3">
      <c r="A3" s="2" t="s">
        <v>26</v>
      </c>
      <c r="C3" s="17" t="s">
        <v>63</v>
      </c>
    </row>
    <row r="4" spans="1:3" ht="20.100000000000001" customHeight="1" thickBot="1" x14ac:dyDescent="0.3">
      <c r="A4" s="2" t="s">
        <v>36</v>
      </c>
      <c r="C4" s="17" t="s">
        <v>64</v>
      </c>
    </row>
    <row r="5" spans="1:3" ht="20.100000000000001" customHeight="1" thickBot="1" x14ac:dyDescent="0.3">
      <c r="A5" s="2" t="s">
        <v>37</v>
      </c>
      <c r="C5" s="17" t="s">
        <v>65</v>
      </c>
    </row>
    <row r="6" spans="1:3" ht="20.100000000000001" customHeight="1" thickBot="1" x14ac:dyDescent="0.3">
      <c r="A6" s="2" t="s">
        <v>38</v>
      </c>
      <c r="C6" s="17" t="s">
        <v>66</v>
      </c>
    </row>
    <row r="7" spans="1:3" ht="20.100000000000001" customHeight="1" thickBot="1" x14ac:dyDescent="0.3">
      <c r="A7" s="2" t="s">
        <v>39</v>
      </c>
      <c r="C7" s="17" t="s">
        <v>67</v>
      </c>
    </row>
    <row r="8" spans="1:3" ht="20.100000000000001" customHeight="1" thickBot="1" x14ac:dyDescent="0.3">
      <c r="A8" s="2" t="s">
        <v>40</v>
      </c>
      <c r="C8" s="17" t="s">
        <v>68</v>
      </c>
    </row>
    <row r="9" spans="1:3" ht="20.100000000000001" customHeight="1" thickBot="1" x14ac:dyDescent="0.3">
      <c r="A9" s="2" t="s">
        <v>41</v>
      </c>
      <c r="C9" s="17" t="s">
        <v>69</v>
      </c>
    </row>
    <row r="10" spans="1:3" ht="20.100000000000001" customHeight="1" thickBot="1" x14ac:dyDescent="0.3">
      <c r="A10" s="2" t="s">
        <v>42</v>
      </c>
      <c r="C10" s="17" t="s">
        <v>70</v>
      </c>
    </row>
    <row r="11" spans="1:3" ht="20.100000000000001" customHeight="1" thickBot="1" x14ac:dyDescent="0.3">
      <c r="A11" s="2" t="s">
        <v>43</v>
      </c>
      <c r="C11" s="17" t="s">
        <v>71</v>
      </c>
    </row>
    <row r="12" spans="1:3" ht="20.100000000000001" customHeight="1" thickBot="1" x14ac:dyDescent="0.3">
      <c r="A12" s="2" t="s">
        <v>44</v>
      </c>
      <c r="C12" s="17" t="s">
        <v>72</v>
      </c>
    </row>
    <row r="13" spans="1:3" ht="20.100000000000001" customHeight="1" thickBot="1" x14ac:dyDescent="0.3">
      <c r="A13" s="2" t="s">
        <v>45</v>
      </c>
      <c r="C13" s="17" t="s">
        <v>73</v>
      </c>
    </row>
    <row r="14" spans="1:3" ht="20.100000000000001" customHeight="1" thickBot="1" x14ac:dyDescent="0.3">
      <c r="A14" s="2" t="s">
        <v>46</v>
      </c>
      <c r="C14" s="17" t="s">
        <v>74</v>
      </c>
    </row>
    <row r="15" spans="1:3" ht="20.100000000000001" customHeight="1" thickBot="1" x14ac:dyDescent="0.3">
      <c r="A15" s="2" t="s">
        <v>47</v>
      </c>
      <c r="C15" s="17" t="s">
        <v>75</v>
      </c>
    </row>
    <row r="16" spans="1:3" ht="20.100000000000001" customHeight="1" thickBot="1" x14ac:dyDescent="0.3">
      <c r="A16" s="2" t="s">
        <v>10</v>
      </c>
      <c r="C16" s="17" t="s">
        <v>76</v>
      </c>
    </row>
    <row r="17" spans="1:3" ht="20.100000000000001" customHeight="1" thickBot="1" x14ac:dyDescent="0.3">
      <c r="A17" s="2" t="s">
        <v>27</v>
      </c>
      <c r="C17" s="17" t="s">
        <v>77</v>
      </c>
    </row>
    <row r="18" spans="1:3" ht="20.100000000000001" customHeight="1" thickBot="1" x14ac:dyDescent="0.3">
      <c r="A18" s="2" t="s">
        <v>48</v>
      </c>
      <c r="C18" s="17" t="s">
        <v>78</v>
      </c>
    </row>
    <row r="19" spans="1:3" ht="20.100000000000001" customHeight="1" thickBot="1" x14ac:dyDescent="0.3">
      <c r="A19" s="2" t="s">
        <v>49</v>
      </c>
      <c r="C19" s="17" t="s">
        <v>79</v>
      </c>
    </row>
    <row r="20" spans="1:3" ht="20.100000000000001" customHeight="1" thickBot="1" x14ac:dyDescent="0.3">
      <c r="A20" s="2" t="s">
        <v>50</v>
      </c>
      <c r="C20" s="17" t="s">
        <v>80</v>
      </c>
    </row>
    <row r="21" spans="1:3" ht="20.100000000000001" customHeight="1" thickBot="1" x14ac:dyDescent="0.3">
      <c r="A21" s="2" t="s">
        <v>51</v>
      </c>
      <c r="C21" s="17" t="s">
        <v>81</v>
      </c>
    </row>
    <row r="22" spans="1:3" ht="20.100000000000001" customHeight="1" thickBot="1" x14ac:dyDescent="0.3">
      <c r="A22" s="2" t="s">
        <v>11</v>
      </c>
      <c r="C22" s="17" t="s">
        <v>82</v>
      </c>
    </row>
    <row r="23" spans="1:3" ht="20.100000000000001" customHeight="1" thickBot="1" x14ac:dyDescent="0.3">
      <c r="A23" s="2" t="s">
        <v>12</v>
      </c>
      <c r="C23" s="17" t="s">
        <v>83</v>
      </c>
    </row>
    <row r="24" spans="1:3" ht="20.100000000000001" customHeight="1" thickBot="1" x14ac:dyDescent="0.3">
      <c r="A24" s="2" t="s">
        <v>15</v>
      </c>
      <c r="C24" s="17" t="s">
        <v>84</v>
      </c>
    </row>
    <row r="25" spans="1:3" ht="20.100000000000001" customHeight="1" thickBot="1" x14ac:dyDescent="0.3">
      <c r="A25" s="2" t="s">
        <v>28</v>
      </c>
      <c r="C25" s="17" t="s">
        <v>85</v>
      </c>
    </row>
    <row r="26" spans="1:3" ht="20.100000000000001" customHeight="1" thickBot="1" x14ac:dyDescent="0.3">
      <c r="A26" s="2" t="s">
        <v>29</v>
      </c>
      <c r="C26" s="17" t="s">
        <v>86</v>
      </c>
    </row>
    <row r="27" spans="1:3" ht="20.100000000000001" customHeight="1" thickBot="1" x14ac:dyDescent="0.3">
      <c r="A27" s="2" t="s">
        <v>13</v>
      </c>
      <c r="C27" s="17" t="s">
        <v>87</v>
      </c>
    </row>
    <row r="28" spans="1:3" ht="20.100000000000001" customHeight="1" thickBot="1" x14ac:dyDescent="0.3">
      <c r="A28" s="2" t="s">
        <v>30</v>
      </c>
      <c r="C28" s="17" t="s">
        <v>88</v>
      </c>
    </row>
    <row r="29" spans="1:3" ht="20.100000000000001" customHeight="1" thickBot="1" x14ac:dyDescent="0.3">
      <c r="A29" s="2" t="s">
        <v>31</v>
      </c>
      <c r="C29" s="17" t="s">
        <v>177</v>
      </c>
    </row>
    <row r="30" spans="1:3" ht="20.100000000000001" customHeight="1" thickBot="1" x14ac:dyDescent="0.3">
      <c r="A30" s="2" t="s">
        <v>32</v>
      </c>
      <c r="C30" s="17" t="s">
        <v>178</v>
      </c>
    </row>
    <row r="31" spans="1:3" ht="20.100000000000001" customHeight="1" thickBot="1" x14ac:dyDescent="0.3">
      <c r="A31" s="2" t="s">
        <v>33</v>
      </c>
      <c r="C31" s="17" t="s">
        <v>179</v>
      </c>
    </row>
    <row r="32" spans="1:3" ht="20.100000000000001" customHeight="1" thickBot="1" x14ac:dyDescent="0.3">
      <c r="A32" s="2" t="s">
        <v>16</v>
      </c>
      <c r="C32" s="17"/>
    </row>
    <row r="33" spans="1:9" ht="20.100000000000001" customHeight="1" thickBot="1" x14ac:dyDescent="0.3">
      <c r="A33" s="2" t="s">
        <v>14</v>
      </c>
      <c r="C33" s="17"/>
    </row>
    <row r="34" spans="1:9" ht="20.100000000000001" customHeight="1" thickBot="1" x14ac:dyDescent="0.3">
      <c r="A34" s="2" t="s">
        <v>34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1">
        <v>45931</v>
      </c>
    </row>
    <row r="40" spans="1:9" ht="20.100000000000001" customHeight="1" thickBot="1" x14ac:dyDescent="0.3">
      <c r="A40" s="11">
        <v>45932</v>
      </c>
    </row>
    <row r="41" spans="1:9" ht="20.100000000000001" customHeight="1" thickBot="1" x14ac:dyDescent="0.3">
      <c r="A41" s="11">
        <v>45933</v>
      </c>
    </row>
    <row r="42" spans="1:9" ht="20.100000000000001" customHeight="1" thickBot="1" x14ac:dyDescent="0.3">
      <c r="A42" s="11">
        <v>45934</v>
      </c>
    </row>
    <row r="43" spans="1:9" ht="20.100000000000001" customHeight="1" thickBot="1" x14ac:dyDescent="0.3">
      <c r="A43" s="11">
        <v>45935</v>
      </c>
    </row>
    <row r="44" spans="1:9" ht="20.100000000000001" customHeight="1" thickBot="1" x14ac:dyDescent="0.3">
      <c r="A44" s="11">
        <v>45936</v>
      </c>
    </row>
    <row r="45" spans="1:9" ht="20.100000000000001" customHeight="1" thickBot="1" x14ac:dyDescent="0.3">
      <c r="A45" s="11">
        <v>45937</v>
      </c>
    </row>
    <row r="46" spans="1:9" ht="20.100000000000001" customHeight="1" thickBot="1" x14ac:dyDescent="0.3">
      <c r="A46" s="11">
        <v>45938</v>
      </c>
    </row>
    <row r="47" spans="1:9" ht="20.100000000000001" customHeight="1" thickBot="1" x14ac:dyDescent="0.3">
      <c r="A47" s="11">
        <v>45939</v>
      </c>
    </row>
    <row r="48" spans="1:9" ht="20.100000000000001" customHeight="1" thickBot="1" x14ac:dyDescent="0.3">
      <c r="A48" s="11">
        <v>45940</v>
      </c>
    </row>
    <row r="49" spans="1:1" ht="20.100000000000001" customHeight="1" thickBot="1" x14ac:dyDescent="0.3">
      <c r="A49" s="11">
        <v>45941</v>
      </c>
    </row>
    <row r="50" spans="1:1" ht="20.100000000000001" customHeight="1" thickBot="1" x14ac:dyDescent="0.3">
      <c r="A50" s="11">
        <v>45942</v>
      </c>
    </row>
    <row r="51" spans="1:1" ht="20.100000000000001" customHeight="1" thickBot="1" x14ac:dyDescent="0.3">
      <c r="A51" s="11">
        <v>45943</v>
      </c>
    </row>
    <row r="52" spans="1:1" ht="20.100000000000001" customHeight="1" thickBot="1" x14ac:dyDescent="0.3">
      <c r="A52" s="11">
        <v>45944</v>
      </c>
    </row>
    <row r="53" spans="1:1" ht="20.100000000000001" customHeight="1" thickBot="1" x14ac:dyDescent="0.3">
      <c r="A53" s="11">
        <v>45945</v>
      </c>
    </row>
    <row r="54" spans="1:1" ht="20.100000000000001" customHeight="1" thickBot="1" x14ac:dyDescent="0.3">
      <c r="A54" s="11">
        <v>45946</v>
      </c>
    </row>
    <row r="55" spans="1:1" ht="20.100000000000001" customHeight="1" thickBot="1" x14ac:dyDescent="0.3">
      <c r="A55" s="11">
        <v>45947</v>
      </c>
    </row>
    <row r="56" spans="1:1" ht="20.100000000000001" customHeight="1" thickBot="1" x14ac:dyDescent="0.3">
      <c r="A56" s="11">
        <v>45948</v>
      </c>
    </row>
    <row r="57" spans="1:1" ht="20.100000000000001" customHeight="1" thickBot="1" x14ac:dyDescent="0.3">
      <c r="A57" s="11">
        <v>45949</v>
      </c>
    </row>
    <row r="58" spans="1:1" ht="20.100000000000001" customHeight="1" thickBot="1" x14ac:dyDescent="0.3">
      <c r="A58" s="11">
        <v>45950</v>
      </c>
    </row>
    <row r="59" spans="1:1" ht="20.100000000000001" customHeight="1" thickBot="1" x14ac:dyDescent="0.3">
      <c r="A59" s="11">
        <v>45951</v>
      </c>
    </row>
    <row r="60" spans="1:1" ht="20.100000000000001" customHeight="1" thickBot="1" x14ac:dyDescent="0.3">
      <c r="A60" s="11">
        <v>45952</v>
      </c>
    </row>
    <row r="61" spans="1:1" ht="20.100000000000001" customHeight="1" thickBot="1" x14ac:dyDescent="0.3">
      <c r="A61" s="11">
        <v>45953</v>
      </c>
    </row>
    <row r="62" spans="1:1" ht="20.100000000000001" customHeight="1" thickBot="1" x14ac:dyDescent="0.3">
      <c r="A62" s="11">
        <v>45954</v>
      </c>
    </row>
    <row r="63" spans="1:1" ht="20.100000000000001" customHeight="1" thickBot="1" x14ac:dyDescent="0.3">
      <c r="A63" s="11">
        <v>45955</v>
      </c>
    </row>
    <row r="64" spans="1:1" ht="20.100000000000001" customHeight="1" thickBot="1" x14ac:dyDescent="0.3">
      <c r="A64" s="11">
        <v>45956</v>
      </c>
    </row>
    <row r="65" spans="1:1" ht="20.100000000000001" customHeight="1" thickBot="1" x14ac:dyDescent="0.3">
      <c r="A65" s="11">
        <v>45957</v>
      </c>
    </row>
    <row r="66" spans="1:1" ht="20.100000000000001" customHeight="1" thickBot="1" x14ac:dyDescent="0.3">
      <c r="A66" s="11">
        <v>45958</v>
      </c>
    </row>
    <row r="67" spans="1:1" ht="20.100000000000001" customHeight="1" thickBot="1" x14ac:dyDescent="0.3">
      <c r="A67" s="11">
        <v>45959</v>
      </c>
    </row>
    <row r="68" spans="1:1" ht="20.100000000000001" customHeight="1" thickBot="1" x14ac:dyDescent="0.3">
      <c r="A68" s="11">
        <v>45960</v>
      </c>
    </row>
    <row r="69" spans="1:1" ht="20.100000000000001" customHeight="1" thickBot="1" x14ac:dyDescent="0.3">
      <c r="A69" s="11">
        <v>45961</v>
      </c>
    </row>
    <row r="70" spans="1:1" ht="20.100000000000001" customHeight="1" thickBot="1" x14ac:dyDescent="0.25">
      <c r="A70" s="11"/>
    </row>
    <row r="71" spans="1:1" ht="20.100000000000001" customHeight="1" thickBot="1" x14ac:dyDescent="0.25">
      <c r="A71" s="11"/>
    </row>
    <row r="72" spans="1:1" ht="20.100000000000001" customHeight="1" thickBot="1" x14ac:dyDescent="0.25">
      <c r="A72" s="11"/>
    </row>
    <row r="73" spans="1:1" ht="20.100000000000001" customHeight="1" thickBot="1" x14ac:dyDescent="0.25">
      <c r="A73" s="11"/>
    </row>
    <row r="74" spans="1:1" ht="20.100000000000001" customHeight="1" thickBot="1" x14ac:dyDescent="0.25">
      <c r="A74" s="11"/>
    </row>
    <row r="75" spans="1:1" ht="20.100000000000001" customHeight="1" thickBot="1" x14ac:dyDescent="0.25">
      <c r="A75" s="11"/>
    </row>
    <row r="76" spans="1:1" ht="20.100000000000001" customHeight="1" thickBot="1" x14ac:dyDescent="0.25">
      <c r="A76" s="11"/>
    </row>
    <row r="77" spans="1:1" ht="20.100000000000001" customHeight="1" thickBot="1" x14ac:dyDescent="0.25">
      <c r="A77" s="11"/>
    </row>
    <row r="78" spans="1:1" ht="20.100000000000001" customHeight="1" thickBot="1" x14ac:dyDescent="0.25">
      <c r="A78" s="11"/>
    </row>
    <row r="79" spans="1:1" ht="20.100000000000001" customHeight="1" thickBot="1" x14ac:dyDescent="0.25">
      <c r="A79" s="11"/>
    </row>
    <row r="80" spans="1:1" ht="20.100000000000001" customHeight="1" thickBot="1" x14ac:dyDescent="0.25">
      <c r="A80" s="11"/>
    </row>
    <row r="81" spans="1:1" ht="20.100000000000001" customHeight="1" thickBot="1" x14ac:dyDescent="0.25">
      <c r="A81" s="11"/>
    </row>
    <row r="82" spans="1:1" ht="20.100000000000001" customHeight="1" thickBot="1" x14ac:dyDescent="0.25">
      <c r="A82" s="11"/>
    </row>
    <row r="83" spans="1:1" ht="20.100000000000001" customHeight="1" thickBot="1" x14ac:dyDescent="0.25">
      <c r="A83" s="11"/>
    </row>
    <row r="84" spans="1:1" ht="20.100000000000001" customHeight="1" thickBot="1" x14ac:dyDescent="0.25">
      <c r="A84" s="11"/>
    </row>
    <row r="85" spans="1:1" ht="20.100000000000001" customHeight="1" thickBot="1" x14ac:dyDescent="0.25">
      <c r="A85" s="11"/>
    </row>
    <row r="86" spans="1:1" ht="20.100000000000001" customHeight="1" thickBot="1" x14ac:dyDescent="0.25">
      <c r="A86" s="11"/>
    </row>
    <row r="87" spans="1:1" ht="20.100000000000001" customHeight="1" thickBot="1" x14ac:dyDescent="0.25">
      <c r="A87" s="11"/>
    </row>
    <row r="88" spans="1:1" ht="20.100000000000001" customHeight="1" thickBot="1" x14ac:dyDescent="0.25">
      <c r="A88" s="11"/>
    </row>
    <row r="89" spans="1:1" ht="20.100000000000001" customHeight="1" thickBot="1" x14ac:dyDescent="0.25">
      <c r="A89" s="11"/>
    </row>
    <row r="90" spans="1:1" ht="20.100000000000001" customHeight="1" thickBot="1" x14ac:dyDescent="0.25">
      <c r="A90" s="11"/>
    </row>
    <row r="91" spans="1:1" ht="20.100000000000001" customHeight="1" thickBot="1" x14ac:dyDescent="0.25">
      <c r="A91" s="11"/>
    </row>
    <row r="92" spans="1:1" ht="20.100000000000001" customHeight="1" thickBot="1" x14ac:dyDescent="0.25">
      <c r="A92" s="11"/>
    </row>
    <row r="93" spans="1:1" ht="20.100000000000001" customHeight="1" thickBot="1" x14ac:dyDescent="0.25">
      <c r="A93" s="11"/>
    </row>
    <row r="94" spans="1:1" ht="20.100000000000001" customHeight="1" thickBot="1" x14ac:dyDescent="0.25">
      <c r="A94" s="11"/>
    </row>
    <row r="95" spans="1:1" ht="20.100000000000001" customHeight="1" thickBot="1" x14ac:dyDescent="0.25">
      <c r="A95" s="11"/>
    </row>
    <row r="96" spans="1:1" ht="20.100000000000001" customHeight="1" thickBot="1" x14ac:dyDescent="0.25">
      <c r="A96" s="11"/>
    </row>
    <row r="97" spans="1:9" ht="20.100000000000001" customHeight="1" thickBot="1" x14ac:dyDescent="0.25">
      <c r="A97" s="11"/>
    </row>
    <row r="98" spans="1:9" ht="20.100000000000001" customHeight="1" thickBot="1" x14ac:dyDescent="0.25">
      <c r="A98" s="11"/>
    </row>
    <row r="99" spans="1:9" ht="20.100000000000001" customHeight="1" thickBot="1" x14ac:dyDescent="0.25">
      <c r="A99" s="11"/>
    </row>
    <row r="100" spans="1:9" ht="20.100000000000001" customHeight="1" thickBot="1" x14ac:dyDescent="0.25">
      <c r="A100" s="11"/>
    </row>
    <row r="101" spans="1:9" ht="20.100000000000001" customHeight="1" thickBot="1" x14ac:dyDescent="0.25">
      <c r="A101" s="11"/>
    </row>
    <row r="102" spans="1:9" ht="20.100000000000001" customHeight="1" thickBot="1" x14ac:dyDescent="0.25">
      <c r="A102" s="11"/>
    </row>
    <row r="103" spans="1:9" ht="20.100000000000001" customHeight="1" thickBot="1" x14ac:dyDescent="0.25">
      <c r="A103" s="11"/>
    </row>
    <row r="104" spans="1:9" ht="20.100000000000001" customHeight="1" thickBot="1" x14ac:dyDescent="0.25">
      <c r="A104" s="11"/>
    </row>
    <row r="105" spans="1:9" ht="20.100000000000001" customHeight="1" thickBot="1" x14ac:dyDescent="0.25">
      <c r="A105" s="11"/>
    </row>
    <row r="106" spans="1:9" ht="20.100000000000001" customHeight="1" thickBot="1" x14ac:dyDescent="0.25">
      <c r="A106" s="11"/>
    </row>
    <row r="107" spans="1:9" ht="20.100000000000001" customHeight="1" x14ac:dyDescent="0.2">
      <c r="A107" s="12"/>
    </row>
    <row r="108" spans="1:9" ht="20.100000000000001" customHeight="1" x14ac:dyDescent="0.2">
      <c r="A108" s="12"/>
    </row>
    <row r="109" spans="1:9" s="15" customFormat="1" ht="20.100000000000001" customHeight="1" x14ac:dyDescent="0.2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8" t="s">
        <v>89</v>
      </c>
    </row>
    <row r="200" spans="1:1" ht="20.100000000000001" customHeight="1" x14ac:dyDescent="0.2">
      <c r="A200" s="18" t="s">
        <v>90</v>
      </c>
    </row>
    <row r="201" spans="1:1" ht="20.100000000000001" customHeight="1" x14ac:dyDescent="0.2">
      <c r="A201" s="18" t="s">
        <v>91</v>
      </c>
    </row>
    <row r="202" spans="1:1" ht="20.100000000000001" customHeight="1" x14ac:dyDescent="0.2">
      <c r="A202" s="18" t="s">
        <v>92</v>
      </c>
    </row>
    <row r="203" spans="1:1" ht="20.100000000000001" customHeight="1" x14ac:dyDescent="0.2">
      <c r="A203" s="18" t="s">
        <v>93</v>
      </c>
    </row>
    <row r="204" spans="1:1" ht="20.100000000000001" customHeight="1" x14ac:dyDescent="0.2">
      <c r="A204" s="18" t="s">
        <v>94</v>
      </c>
    </row>
    <row r="205" spans="1:1" ht="20.100000000000001" customHeight="1" x14ac:dyDescent="0.2">
      <c r="A205" s="18" t="s">
        <v>95</v>
      </c>
    </row>
    <row r="206" spans="1:1" ht="20.100000000000001" customHeight="1" x14ac:dyDescent="0.2">
      <c r="A206" s="18" t="s">
        <v>96</v>
      </c>
    </row>
    <row r="207" spans="1:1" ht="20.100000000000001" customHeight="1" x14ac:dyDescent="0.2">
      <c r="A207" s="18" t="s">
        <v>97</v>
      </c>
    </row>
    <row r="208" spans="1:1" ht="20.100000000000001" customHeight="1" x14ac:dyDescent="0.2">
      <c r="A208" s="19" t="s">
        <v>98</v>
      </c>
    </row>
    <row r="209" spans="1:1" ht="20.100000000000001" customHeight="1" x14ac:dyDescent="0.2">
      <c r="A209" s="19" t="s">
        <v>99</v>
      </c>
    </row>
    <row r="210" spans="1:1" ht="20.100000000000001" customHeight="1" x14ac:dyDescent="0.2">
      <c r="A210" s="18" t="s">
        <v>100</v>
      </c>
    </row>
    <row r="211" spans="1:1" ht="20.100000000000001" customHeight="1" x14ac:dyDescent="0.2">
      <c r="A211" s="18" t="s">
        <v>101</v>
      </c>
    </row>
    <row r="212" spans="1:1" ht="20.100000000000001" customHeight="1" x14ac:dyDescent="0.2">
      <c r="A212" s="18" t="s">
        <v>175</v>
      </c>
    </row>
    <row r="213" spans="1:1" ht="20.100000000000001" customHeight="1" x14ac:dyDescent="0.2">
      <c r="A213" s="18" t="s">
        <v>102</v>
      </c>
    </row>
    <row r="214" spans="1:1" ht="20.100000000000001" customHeight="1" x14ac:dyDescent="0.2">
      <c r="A214" s="18" t="s">
        <v>103</v>
      </c>
    </row>
    <row r="215" spans="1:1" ht="20.100000000000001" customHeight="1" x14ac:dyDescent="0.2">
      <c r="A215" s="18" t="s">
        <v>104</v>
      </c>
    </row>
    <row r="216" spans="1:1" ht="20.100000000000001" customHeight="1" x14ac:dyDescent="0.2">
      <c r="A216" s="18" t="s">
        <v>105</v>
      </c>
    </row>
    <row r="217" spans="1:1" ht="20.100000000000001" customHeight="1" x14ac:dyDescent="0.2">
      <c r="A217" s="18" t="s">
        <v>106</v>
      </c>
    </row>
    <row r="218" spans="1:1" ht="20.100000000000001" customHeight="1" x14ac:dyDescent="0.2">
      <c r="A218" s="18" t="s">
        <v>107</v>
      </c>
    </row>
    <row r="219" spans="1:1" ht="20.100000000000001" customHeight="1" x14ac:dyDescent="0.2">
      <c r="A219" s="18" t="s">
        <v>108</v>
      </c>
    </row>
    <row r="220" spans="1:1" ht="20.100000000000001" customHeight="1" x14ac:dyDescent="0.2">
      <c r="A220" s="18" t="s">
        <v>109</v>
      </c>
    </row>
    <row r="221" spans="1:1" ht="20.100000000000001" customHeight="1" x14ac:dyDescent="0.2">
      <c r="A221" s="18" t="s">
        <v>110</v>
      </c>
    </row>
    <row r="222" spans="1:1" ht="20.100000000000001" customHeight="1" x14ac:dyDescent="0.2">
      <c r="A222" s="18" t="s">
        <v>111</v>
      </c>
    </row>
    <row r="223" spans="1:1" ht="20.100000000000001" customHeight="1" x14ac:dyDescent="0.2">
      <c r="A223" s="18" t="s">
        <v>112</v>
      </c>
    </row>
    <row r="224" spans="1:1" ht="20.100000000000001" customHeight="1" x14ac:dyDescent="0.2">
      <c r="A224" s="18" t="s">
        <v>176</v>
      </c>
    </row>
    <row r="225" spans="1:1" ht="20.100000000000001" customHeight="1" x14ac:dyDescent="0.2">
      <c r="A225" s="18" t="s">
        <v>113</v>
      </c>
    </row>
    <row r="226" spans="1:1" ht="20.100000000000001" customHeight="1" x14ac:dyDescent="0.2">
      <c r="A226" s="18" t="s">
        <v>114</v>
      </c>
    </row>
    <row r="227" spans="1:1" ht="20.100000000000001" customHeight="1" x14ac:dyDescent="0.2">
      <c r="A227" s="18" t="s">
        <v>115</v>
      </c>
    </row>
    <row r="228" spans="1:1" ht="20.100000000000001" customHeight="1" x14ac:dyDescent="0.2">
      <c r="A228" s="18" t="s">
        <v>116</v>
      </c>
    </row>
    <row r="229" spans="1:1" ht="20.100000000000001" customHeight="1" x14ac:dyDescent="0.2">
      <c r="A229" s="18" t="s">
        <v>117</v>
      </c>
    </row>
    <row r="230" spans="1:1" ht="20.100000000000001" customHeight="1" x14ac:dyDescent="0.2">
      <c r="A230" s="18" t="s">
        <v>118</v>
      </c>
    </row>
    <row r="231" spans="1:1" ht="20.100000000000001" customHeight="1" x14ac:dyDescent="0.2">
      <c r="A231" s="18" t="s">
        <v>119</v>
      </c>
    </row>
    <row r="232" spans="1:1" ht="20.100000000000001" customHeight="1" x14ac:dyDescent="0.2">
      <c r="A232" s="18" t="s">
        <v>120</v>
      </c>
    </row>
    <row r="233" spans="1:1" ht="20.100000000000001" customHeight="1" x14ac:dyDescent="0.2">
      <c r="A233" s="18" t="s">
        <v>121</v>
      </c>
    </row>
    <row r="234" spans="1:1" ht="20.100000000000001" customHeight="1" x14ac:dyDescent="0.2">
      <c r="A234" s="18" t="s">
        <v>122</v>
      </c>
    </row>
    <row r="235" spans="1:1" ht="20.100000000000001" customHeight="1" x14ac:dyDescent="0.2">
      <c r="A235" s="18" t="s">
        <v>123</v>
      </c>
    </row>
    <row r="236" spans="1:1" ht="20.100000000000001" customHeight="1" x14ac:dyDescent="0.2">
      <c r="A236" s="20" t="s">
        <v>124</v>
      </c>
    </row>
    <row r="237" spans="1:1" ht="20.100000000000001" customHeight="1" x14ac:dyDescent="0.2">
      <c r="A237" s="18" t="s">
        <v>125</v>
      </c>
    </row>
    <row r="238" spans="1:1" ht="20.100000000000001" customHeight="1" x14ac:dyDescent="0.2">
      <c r="A238" s="18" t="s">
        <v>126</v>
      </c>
    </row>
    <row r="239" spans="1:1" ht="20.100000000000001" customHeight="1" x14ac:dyDescent="0.2">
      <c r="A239" s="18" t="s">
        <v>127</v>
      </c>
    </row>
    <row r="240" spans="1:1" ht="20.100000000000001" customHeight="1" x14ac:dyDescent="0.2">
      <c r="A240" s="18" t="s">
        <v>128</v>
      </c>
    </row>
    <row r="241" spans="1:1" ht="20.100000000000001" customHeight="1" x14ac:dyDescent="0.2">
      <c r="A241" s="18" t="s">
        <v>129</v>
      </c>
    </row>
    <row r="242" spans="1:1" ht="20.100000000000001" customHeight="1" x14ac:dyDescent="0.2">
      <c r="A242" s="18" t="s">
        <v>130</v>
      </c>
    </row>
    <row r="243" spans="1:1" ht="20.100000000000001" customHeight="1" x14ac:dyDescent="0.2">
      <c r="A243" s="18" t="s">
        <v>131</v>
      </c>
    </row>
    <row r="244" spans="1:1" ht="20.100000000000001" customHeight="1" x14ac:dyDescent="0.2">
      <c r="A244" s="18" t="s">
        <v>132</v>
      </c>
    </row>
    <row r="245" spans="1:1" ht="20.100000000000001" customHeight="1" x14ac:dyDescent="0.2">
      <c r="A245" s="18" t="s">
        <v>133</v>
      </c>
    </row>
    <row r="246" spans="1:1" ht="20.100000000000001" customHeight="1" x14ac:dyDescent="0.2">
      <c r="A246" s="18" t="s">
        <v>134</v>
      </c>
    </row>
    <row r="247" spans="1:1" ht="20.100000000000001" customHeight="1" x14ac:dyDescent="0.2">
      <c r="A247" s="18" t="s">
        <v>135</v>
      </c>
    </row>
    <row r="248" spans="1:1" ht="20.100000000000001" customHeight="1" x14ac:dyDescent="0.2">
      <c r="A248" s="18" t="s">
        <v>126</v>
      </c>
    </row>
    <row r="249" spans="1:1" ht="20.100000000000001" customHeight="1" x14ac:dyDescent="0.2">
      <c r="A249" s="18" t="s">
        <v>136</v>
      </c>
    </row>
    <row r="250" spans="1:1" ht="20.100000000000001" customHeight="1" x14ac:dyDescent="0.2">
      <c r="A250" s="18" t="s">
        <v>137</v>
      </c>
    </row>
    <row r="251" spans="1:1" ht="20.100000000000001" customHeight="1" x14ac:dyDescent="0.2">
      <c r="A251" s="20" t="s">
        <v>138</v>
      </c>
    </row>
    <row r="252" spans="1:1" ht="20.100000000000001" customHeight="1" x14ac:dyDescent="0.2">
      <c r="A252" s="21" t="s">
        <v>139</v>
      </c>
    </row>
    <row r="253" spans="1:1" ht="20.100000000000001" customHeight="1" x14ac:dyDescent="0.2">
      <c r="A253" s="18" t="s">
        <v>140</v>
      </c>
    </row>
    <row r="254" spans="1:1" ht="20.100000000000001" customHeight="1" x14ac:dyDescent="0.2">
      <c r="A254" s="18" t="s">
        <v>141</v>
      </c>
    </row>
    <row r="255" spans="1:1" ht="20.100000000000001" customHeight="1" x14ac:dyDescent="0.2">
      <c r="A255" s="22" t="s">
        <v>142</v>
      </c>
    </row>
    <row r="256" spans="1:1" ht="20.100000000000001" customHeight="1" x14ac:dyDescent="0.2">
      <c r="A256" s="22" t="s">
        <v>143</v>
      </c>
    </row>
    <row r="257" spans="1:1" ht="20.100000000000001" customHeight="1" x14ac:dyDescent="0.2">
      <c r="A257" s="23" t="s">
        <v>144</v>
      </c>
    </row>
    <row r="258" spans="1:1" ht="20.100000000000001" customHeight="1" x14ac:dyDescent="0.2">
      <c r="A258" s="18" t="s">
        <v>145</v>
      </c>
    </row>
    <row r="259" spans="1:1" ht="20.100000000000001" customHeight="1" x14ac:dyDescent="0.2">
      <c r="A259" s="23" t="s">
        <v>146</v>
      </c>
    </row>
    <row r="260" spans="1:1" ht="20.100000000000001" customHeight="1" x14ac:dyDescent="0.2">
      <c r="A260" s="18" t="s">
        <v>147</v>
      </c>
    </row>
    <row r="261" spans="1:1" ht="20.100000000000001" customHeight="1" x14ac:dyDescent="0.2">
      <c r="A261" s="23" t="s">
        <v>148</v>
      </c>
    </row>
    <row r="262" spans="1:1" ht="20.100000000000001" customHeight="1" x14ac:dyDescent="0.2">
      <c r="A262" s="18" t="s">
        <v>149</v>
      </c>
    </row>
    <row r="263" spans="1:1" ht="20.100000000000001" customHeight="1" x14ac:dyDescent="0.2">
      <c r="A263" s="18" t="s">
        <v>150</v>
      </c>
    </row>
    <row r="264" spans="1:1" ht="20.100000000000001" customHeight="1" x14ac:dyDescent="0.2">
      <c r="A264" s="23" t="s">
        <v>151</v>
      </c>
    </row>
    <row r="265" spans="1:1" ht="20.100000000000001" customHeight="1" x14ac:dyDescent="0.2">
      <c r="A265" s="23" t="s">
        <v>152</v>
      </c>
    </row>
    <row r="266" spans="1:1" ht="20.100000000000001" customHeight="1" x14ac:dyDescent="0.2">
      <c r="A266" s="23" t="s">
        <v>153</v>
      </c>
    </row>
    <row r="267" spans="1:1" ht="20.100000000000001" customHeight="1" x14ac:dyDescent="0.2">
      <c r="A267" s="18" t="s">
        <v>154</v>
      </c>
    </row>
    <row r="268" spans="1:1" ht="20.100000000000001" customHeight="1" x14ac:dyDescent="0.2">
      <c r="A268" s="18" t="s">
        <v>155</v>
      </c>
    </row>
    <row r="269" spans="1:1" ht="20.100000000000001" customHeight="1" x14ac:dyDescent="0.2">
      <c r="A269" s="18" t="s">
        <v>156</v>
      </c>
    </row>
    <row r="270" spans="1:1" ht="20.100000000000001" customHeight="1" x14ac:dyDescent="0.2">
      <c r="A270" s="18" t="s">
        <v>157</v>
      </c>
    </row>
    <row r="271" spans="1:1" ht="20.100000000000001" customHeight="1" x14ac:dyDescent="0.2">
      <c r="A271" s="23" t="s">
        <v>158</v>
      </c>
    </row>
    <row r="272" spans="1:1" ht="20.100000000000001" customHeight="1" x14ac:dyDescent="0.2">
      <c r="A272" s="23" t="s">
        <v>159</v>
      </c>
    </row>
    <row r="273" spans="1:1" ht="20.100000000000001" customHeight="1" x14ac:dyDescent="0.2">
      <c r="A273" s="18" t="s">
        <v>160</v>
      </c>
    </row>
    <row r="274" spans="1:1" ht="20.100000000000001" customHeight="1" x14ac:dyDescent="0.2">
      <c r="A274" s="23" t="s">
        <v>161</v>
      </c>
    </row>
    <row r="275" spans="1:1" ht="20.100000000000001" customHeight="1" x14ac:dyDescent="0.2">
      <c r="A275" s="23" t="s">
        <v>162</v>
      </c>
    </row>
    <row r="276" spans="1:1" ht="20.100000000000001" customHeight="1" x14ac:dyDescent="0.2">
      <c r="A276" s="18" t="s">
        <v>163</v>
      </c>
    </row>
    <row r="277" spans="1:1" ht="20.100000000000001" customHeight="1" x14ac:dyDescent="0.2">
      <c r="A277" s="18" t="s">
        <v>164</v>
      </c>
    </row>
    <row r="278" spans="1:1" ht="20.100000000000001" customHeight="1" x14ac:dyDescent="0.2">
      <c r="A278" s="23" t="s">
        <v>165</v>
      </c>
    </row>
    <row r="279" spans="1:1" ht="20.100000000000001" customHeight="1" x14ac:dyDescent="0.2">
      <c r="A279" s="18" t="s">
        <v>166</v>
      </c>
    </row>
    <row r="280" spans="1:1" ht="20.100000000000001" customHeight="1" x14ac:dyDescent="0.2">
      <c r="A280" s="18" t="s">
        <v>167</v>
      </c>
    </row>
    <row r="281" spans="1:1" ht="20.100000000000001" customHeight="1" x14ac:dyDescent="0.2">
      <c r="A281" s="18" t="s">
        <v>168</v>
      </c>
    </row>
    <row r="282" spans="1:1" ht="20.100000000000001" customHeight="1" x14ac:dyDescent="0.2">
      <c r="A282" s="18" t="s">
        <v>169</v>
      </c>
    </row>
    <row r="283" spans="1:1" ht="20.100000000000001" customHeight="1" x14ac:dyDescent="0.2">
      <c r="A283" s="23" t="s">
        <v>170</v>
      </c>
    </row>
    <row r="284" spans="1:1" ht="20.100000000000001" customHeight="1" x14ac:dyDescent="0.2">
      <c r="A284" s="23" t="s">
        <v>171</v>
      </c>
    </row>
    <row r="285" spans="1:1" ht="20.100000000000001" customHeight="1" x14ac:dyDescent="0.2">
      <c r="A285" s="23" t="s">
        <v>172</v>
      </c>
    </row>
    <row r="286" spans="1:1" ht="20.100000000000001" customHeight="1" thickBot="1" x14ac:dyDescent="0.25">
      <c r="A286" s="18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2025-10-21T09:29:59Z</dcterms:modified>
</cp:coreProperties>
</file>