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CE329611-6B68-4CA2-B2A6-796B776EAE7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8" i="2"/>
  <c r="H8" i="2"/>
  <c r="F24" i="2"/>
  <c r="E24" i="2"/>
  <c r="E25" i="2"/>
  <c r="E26" i="2"/>
</calcChain>
</file>

<file path=xl/sharedStrings.xml><?xml version="1.0" encoding="utf-8"?>
<sst xmlns="http://schemas.openxmlformats.org/spreadsheetml/2006/main" count="254" uniqueCount="198">
  <si>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</si>
  <si>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</si>
  <si>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</si>
  <si>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</si>
  <si>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</si>
  <si>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</si>
  <si>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</si>
  <si>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</si>
  <si>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</si>
  <si>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</si>
  <si>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</si>
  <si>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</si>
  <si>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</si>
  <si>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</si>
  <si>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</si>
  <si>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</si>
  <si>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</si>
  <si>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</si>
  <si>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</si>
  <si>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</si>
  <si>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</si>
  <si>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</si>
  <si>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</si>
  <si>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</si>
  <si>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</si>
  <si>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</si>
  <si>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</si>
  <si>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</si>
  <si>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</si>
  <si>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</si>
  <si>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</si>
  <si>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</si>
  <si>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</si>
  <si>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</si>
  <si>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</si>
  <si>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</si>
  <si>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</si>
  <si>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</si>
  <si>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</si>
  <si>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</si>
  <si>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</si>
  <si>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</si>
  <si>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</si>
  <si>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</si>
  <si>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</si>
  <si>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</si>
  <si>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</si>
  <si>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</si>
  <si>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</si>
  <si>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</si>
  <si>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</si>
  <si>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</si>
  <si>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</si>
  <si>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</si>
  <si>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</si>
  <si>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</si>
  <si>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</si>
  <si>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</si>
  <si>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</si>
  <si>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</si>
  <si>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</si>
  <si>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</si>
  <si>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</si>
  <si>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</si>
  <si>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</si>
  <si>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</si>
  <si>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</si>
  <si>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</si>
  <si>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</si>
  <si>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</si>
  <si>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</si>
  <si>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</si>
  <si>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</si>
  <si>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</si>
  <si>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</si>
  <si>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</si>
  <si>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</si>
  <si>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</si>
  <si>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</si>
  <si>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</si>
  <si>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</si>
  <si>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</si>
  <si>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</si>
  <si>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</si>
  <si>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</si>
  <si>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</si>
  <si>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</si>
  <si>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</si>
  <si>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</si>
  <si>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</si>
  <si>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</si>
  <si>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</si>
  <si>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</si>
  <si>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</si>
  <si>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</si>
  <si>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</si>
  <si>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</si>
  <si>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</si>
  <si>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</si>
  <si>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</si>
  <si>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</si>
  <si>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</si>
  <si>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</si>
  <si>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</si>
  <si>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</si>
  <si>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</si>
  <si>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</si>
  <si>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</si>
  <si>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</si>
  <si>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</si>
  <si>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</si>
  <si>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</si>
  <si>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</si>
  <si>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</si>
  <si>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</si>
  <si>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</si>
  <si>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</si>
  <si>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</si>
  <si>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</si>
  <si>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</si>
  <si>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</si>
  <si>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</si>
  <si>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</si>
  <si>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</si>
  <si>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</si>
  <si>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</si>
  <si>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</si>
  <si>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</si>
  <si>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</si>
  <si>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</si>
  <si>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</si>
  <si>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</si>
  <si>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</si>
  <si>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</si>
  <si>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</si>
  <si>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</si>
  <si>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</si>
  <si>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</si>
  <si>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</si>
  <si>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</si>
  <si>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</si>
  <si>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</si>
  <si>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</si>
  <si>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</si>
  <si>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</si>
  <si>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</si>
  <si>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</si>
  <si>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</si>
  <si>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</si>
  <si>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</si>
  <si>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</si>
  <si>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</si>
  <si>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</si>
  <si>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</si>
  <si>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</si>
  <si>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</si>
  <si>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</si>
  <si>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</si>
  <si>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</si>
  <si>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</si>
  <si>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</si>
  <si>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</si>
  <si>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</si>
  <si>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</si>
  <si>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</si>
  <si>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</si>
  <si>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</si>
  <si>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</si>
  <si>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</si>
  <si>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</si>
  <si>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</si>
  <si>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</si>
  <si>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</si>
  <si>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</si>
  <si>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</si>
  <si>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</si>
  <si>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</si>
  <si>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</si>
  <si>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</si>
  <si>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</si>
  <si>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تقييــــــم فصيــــــل الشرطـــــة العسكريـــــة في إســــــناد العمليــــــات التعرضيــــــة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</si>
  <si>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 xml:space="preserve">1.    تنفيذ أمن وحماية القوافل العسكرية.   </t>
  </si>
  <si>
    <t>2.    مغادرة ووصول القوافل في الوقت المحدد.</t>
  </si>
  <si>
    <t>3.    إدامة التقارير أول بأول مع المستوى الأعلى.</t>
  </si>
  <si>
    <t>4.    فرض النظام على الطرق.</t>
  </si>
  <si>
    <t>5.    تنفيذ نقاط سيطرة على حركة المرور.</t>
  </si>
  <si>
    <t>6.    تأشير الطرق، والمحافظة على خلو الطرق من حركة مرور الآليات المدنية.</t>
  </si>
  <si>
    <t>7.    التأكد من حركة القوافل المصرح لها فقط وإبقاء القيادة على إطلاع بحالة طرق الإمداد الرئيسية.</t>
  </si>
  <si>
    <t>8.    وضع علامات الدلالة والإرشاد على الطرق.</t>
  </si>
  <si>
    <t>9.    مراقبة واستطلاع الطرق.</t>
  </si>
  <si>
    <t>10. تنفيذ دوريات على طرق الإمداد الرئيسية.</t>
  </si>
  <si>
    <t>11. تنفيذ دوريات الأمن.</t>
  </si>
  <si>
    <t>12. توفير الأمن للشخصيات الهامة.</t>
  </si>
  <si>
    <t>13. تنفيذ أمن المواقع الحيوية.</t>
  </si>
  <si>
    <t>14. إسناد السيطرة على المناطق المتضررة.</t>
  </si>
  <si>
    <t>15. تنفيذ نقاط التفتيش ونقاط غلق الطرق.</t>
  </si>
  <si>
    <t>16. تأسيس نقاط السيطرة على الدخول.</t>
  </si>
  <si>
    <t>المقدم/ سلطان سعيد المزروعي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</si>
</sst>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2" fillId="0" borderId="5" xfId="0" applyFont="1" applyBorder="1" applyAlignment="1">
      <alignment horizontal="right" vertical="center" wrapText="1" readingOrder="2"/>
    </xf>
    <xf numFmtId="0" fontId="12" fillId="0" borderId="4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383865</xdr:colOff>
      <xdr:row>27</xdr:row>
      <xdr:rowOff>173908</xdr:rowOff>
    </xdr:from>
    <xdr:to>
      <xdr:col>8</xdr:col>
      <xdr:colOff>3324</xdr:colOff>
      <xdr:row>27</xdr:row>
      <xdr:rowOff>417268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A612F39-12BD-8642-14D3-913B39282037}"/>
                </a:ext>
              </a:extLst>
            </xdr14:cNvPr>
            <xdr14:cNvContentPartPr/>
          </xdr14:nvContentPartPr>
          <xdr14:nvPr macro=""/>
          <xdr14:xfrm>
            <a:off x="10399241585" y="10611000"/>
            <a:ext cx="935640" cy="243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A612F39-12BD-8642-14D3-913B3928203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235465" y="10604880"/>
              <a:ext cx="947880" cy="25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315455</xdr:colOff>
      <xdr:row>27</xdr:row>
      <xdr:rowOff>16228</xdr:rowOff>
    </xdr:from>
    <xdr:to>
      <xdr:col>7</xdr:col>
      <xdr:colOff>469175</xdr:colOff>
      <xdr:row>27</xdr:row>
      <xdr:rowOff>217828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8F91F5A-78E7-22A9-548A-BF97EDD0FA86}"/>
                </a:ext>
              </a:extLst>
            </xdr14:cNvPr>
            <xdr14:cNvContentPartPr/>
          </xdr14:nvContentPartPr>
          <xdr14:nvPr macro=""/>
          <xdr14:xfrm>
            <a:off x="10399433825" y="10453320"/>
            <a:ext cx="153720" cy="2016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8F91F5A-78E7-22A9-548A-BF97EDD0FA8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427705" y="10447200"/>
              <a:ext cx="165960" cy="21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460895</xdr:colOff>
      <xdr:row>27</xdr:row>
      <xdr:rowOff>142228</xdr:rowOff>
    </xdr:from>
    <xdr:to>
      <xdr:col>8</xdr:col>
      <xdr:colOff>78564</xdr:colOff>
      <xdr:row>27</xdr:row>
      <xdr:rowOff>349948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32A6D785-14FB-5919-C3D6-B40D78B4EDAD}"/>
                </a:ext>
              </a:extLst>
            </xdr14:cNvPr>
            <xdr14:cNvContentPartPr/>
          </xdr14:nvContentPartPr>
          <xdr14:nvPr macro=""/>
          <xdr14:xfrm>
            <a:off x="10399166345" y="10579320"/>
            <a:ext cx="275760" cy="20772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32A6D785-14FB-5919-C3D6-B40D78B4EDA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9160225" y="10573200"/>
              <a:ext cx="288000" cy="21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155985</xdr:colOff>
      <xdr:row>26</xdr:row>
      <xdr:rowOff>518880</xdr:rowOff>
    </xdr:from>
    <xdr:to>
      <xdr:col>9</xdr:col>
      <xdr:colOff>503714</xdr:colOff>
      <xdr:row>27</xdr:row>
      <xdr:rowOff>441388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871AAA17-876D-44D3-D386-B98AB6CC4544}"/>
                </a:ext>
              </a:extLst>
            </xdr14:cNvPr>
            <xdr14:cNvContentPartPr/>
          </xdr14:nvContentPartPr>
          <xdr14:nvPr macro=""/>
          <xdr14:xfrm>
            <a:off x="10398083105" y="10424880"/>
            <a:ext cx="2322000" cy="4536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871AAA17-876D-44D3-D386-B98AB6CC454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8076985" y="10418760"/>
              <a:ext cx="2334240" cy="465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53:36.6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2405 126 10666,'0'0'0,"0"0"3929,-7 0-3353,4-2-512,3 2-64,0 0 24,0-1-8,3 1 0,-1 0 0,-2 0-16,5-2 8,-3 2-32,-2-1 72,4 0-24,-4 1-24,0 0 40,2-2 16,3 1-80,-2 1 32,-3 0-8,2-2 0,3 2 24,-5 0-48,2 0 16,-2 0 8,0 0-64,0 0 8,4 3 24,-2 1 0,-2-4 32,5 5-32,-5 9 64,5-10-8,0 10-24,-5-14 0,2 12 32,3-1-56,6 2 32,-8 0-16,-3-13 8,4 12 32,-1 3-32,1-3-24,-2 3 40,-2-15-16,2 15-16,1 0 32,-3-1-16,2 0-16,-2-14 16,0 14-16,0-1-40,0 0 8,0 0-8,0-13 56,0 12-40,0 1 8,-2-1 0,-1 2-24,3-14 56,-6 13-40,-6-2 8,7 2 8,-6-2-48,11-11 72,-7 4-24,-9 12 16,14-12-16,-16 9 48,18-13-24,-12 3-32,2 1 8,-3 0 48,3 1 24,10-5-48,-11 4 88,-1 0-88,1-1 32,-1-3-8,12 0-24,-14 3 16,1-3 24,1 3-32,1-3-8,11 0 0,-12 0 40,1 0 24,-1-2-16,1 1-16,11 1-32,-15-4 40,6-1 104,-2 0-24,-1-7 0,12 12-120,-4-4 112,-11-10-24,11 8 40,-7-11 112,11 17-240,-5-13 216,-2-1-56,5-2 32,-3 1-64,5 15-128,-4-16 152,-1 1-48,2 0-40,-1 1-64,4 14 0,0-16 24,-2 2 96,2 0-8,0 3-64,0 11-48,0-6 48,0-8 0,0 9 32,0 0-24,0 5-56,0-6 64,0 0-8,0 2-56,0 1 64,0 3-64,0-1-48,0-1-120,0 2-16,0 0 16,0 0 168,0 0-192,0 0 16,0 0 48,0 3-40,0-3 168,2 5-72,-2-1 24,0 10 16,0-10 24,0-4 8,0 17-24,0-5 56,0 1-80,0-1 64,0-12-16,-2 13-48,2 1 48,-5-1-24,3 0 40,2-13-16,-2 14-24,-6-2-144,3-1 144,2-7-24,3-4 48,-8 14-64,4-9 64,-4 7-32,0-9 0,8-3 32,-3 5 8,-9-1 48,9 7 0,-9-11-8,12 0-48,-5 3 72,-6 0-24,8 0-24,-4-3 88,7 0-112,-9 0 104,2 0 104,-5-2 40,12-1 16,0 3-264,-6-4 296,-8-2-40,11-5 40,-10 7-16,13 4-280,-5-16 224,-6 5 33,6-2-137,-7 0-56,12 13-64,-2-11 104,-2 5-88,-1-8 32,0 8 80,5 6-128,-2-12 32,2 7 40,0 1-32,0-2-40,0 6 0,-3-4 24,3 1-24,-2 0 16,2 2 16,0 1-32,0-1-56,0 1 40,0 0-48,-2 0-32,2 0 96,0 2-96,-4 10-8,-8-1 32,7 2-48,5-13 120,-13 14-24,0 2-24,2-1 8,-3 1 112,3-2-120,11-14 48,-5 12 24,-8-8-32,8 9-40,-7-11 128,12-2-80,-4 3 32,-10-3-24,9 3 176,-9-3-24,14 0-160,-15-1 208,3-4 136,-2 0-64,-3-9 72,17 14-352,-16-6 352,3-13 24,-1 5-40,-2-3-48,16 17-288,-14-18 208,2-2-48,-4-3 24,7-1-64,9 24-120,-7-26 168,-7 1-32,7-1-48,7 26-88,-11-25 56,6-1 24,0-1-8,-2 3-88,3 0 56,4 24-40,-12-23 0,12 3 40,-2 0-24,-1 4 32,3 16-48,-2-12-8,2 7-24,0 0 48,0 0-40,0 5 24,0-1-40,0 0-56,0 1-16,0 0 112,0 0-208,0 2 128,0 10-64,0-8 48,2 15 152,-2-19-56,5 15 0,0 4 24,-2-2-40,-3-17 16,2 17-48,4 1-64,-3 2 32,1 0 8,1 1 0,-5-21 72,3 22-40,1-2 56,0 4-40,-1-2 24,-3-22 0,2 26-24,3 0-112,-5-1 136,0-1 40,0-24-40,0 23 16,0 0-32,0 0 16,-5-2-64,5-21 64,-5 20-56,4-2 32,-4-1 40,-7-1 8,12-16-24,-11 16 48,-6-1 104,1 1-184,-2-2 8,18-14 24,-18 14-24,-1-1-48,-2 0 184,-2-2-168,23-11 56,-23 5 96,-3 7 16,3-9-120,-2 0 136,25-3-128,-21 3 24,-4 0-88,-1-3 160,3 0-32,23 0-64,-23-3 40,0-3 24,0-7-64,-2 2 64,25 11-64,-21-14 72,0-2-8,1-2-48,-1-2-32,21 20 16,-13-21-56,-7-4 88,7 0-32,-3-5-40,16 30 40,-14-30 88,3 0-96,6 0 72,-7 3-8,12 27-56,0-27-16,-4 2 0,-1 2 112,3 2-40,2 21-56,0-17 24,-3 1-48,3 2-72,0 1 96,0 13 0,3-13-96,8-1 48,-9 3-64,10-2-160,-12 13 272,5-12-176,11 8 96,-7-10-24,2 10-8,-11 4 112,12-5-40,2 1 8,-12 0-40,12 2 80,-14 2-8,5 0-48,7 0-152,-9 3 128,9 2 16,-12-5 56,5 12-64,6-7 56,-6 12 8,7-4-40,-12-13 40,1 12-24,7 3 8,-6-1-64,3-1 48,-5-13 32,5 14-56,-3-1 56,0-2-24,2 3-80,-4-14 104,0 13 40,0 0-40,0-1-48,-2 0 72,2-12-24,-4 13 8,2-1-40,-10 0 96,9 1 8,3-13-72,-13 11-40,-2 0 120,2 1 8,0-1-48,13-11-40,-20 11 80,4 1-16,-4-8-104,-3 12 88,23-16-48,-23 4 64,-3 10-112,-6-10 96,0 11-72,32-15 24,-33 4-40,-1 9 96,-1-9-96,-1 7 40,36-11 0,-38 5 0,-1 6 16,0-8-48,2 1 48,37-4-16,-37 4 0,-3-1 0,4-3 24,1 0-24,35 0 0,-37 0 16,2 0 8,1 0 40,4-3-24,30 3-40,-28-4 0,1 0 0,2 0-24,2-2-16,23 6 40,-19-4-24,-2-2-56,3 0 0,2 1-48,16 5 128,-12-6-280,5 0-128,-7-5-264,12 8-312,2 3 984,-11-6-1425,8 1-535,1-7-561,-1 8-239,3 4 2760,0-11-2761,0-1 241,12 1 735,-10 0-359,-2 11 2144,0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53:37.1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8721,'0'0'0,"0"4"5850,0-4-5850,12 18 280,-2 1-408,5 4 64,-1-1 40,-14-22 24,17 26-8,-3 2 8,3 1 32,-2 1-32,-15-30 0,14 28 40,-2 1-64,7-1-24,-7 0 24,-12-28 24,19 29 40,3-4 16,-5 1 32,0-5-8,-17-21-80,21 20-8,-1 0 40,-3-1-104,4-1 40,-21-18 32,19 17-464,-2-3-689,0-1-823,0-9-1137,-17-4 3113,17 16-3457,-3-12-479,-14-4 3936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53:37.7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712 549 5513,'0'0'0,"0"0"560,-5 0-448,5 0-112,-1 3-48,-11 1 80,8-1 16,-9 0-40,13-3-8,-10 0 56,-5 3-72,-1-3 64,-4 3-48,20-3 0,-20 0 8,2 2-8,0-2-64,-5 0 64,23 0 0,-19 0-16,-7 3 56,4-3 48,0 0 32,22 0-120,-20 0 208,0 3 112,-3-3 72,3 0 72,20 0-464,-22 0 480,-1 0-24,1 0 40,1 0 1,21 0-497,-19-1 624,-4-2 48,6-1 24,-2-1 96,19 5-792,-19-5 696,0-7 40,1 7 41,3-11-25,15 16-752,-16-13 816,5-1 8,-1-3-56,1-2-32,11 19-736,-6-21 657,-10 0-9,12-5-136,-7 2-80,11 24-432,-3-26 376,-1 1-80,2-1 16,-1-1 80,3 27-392,-4-27 320,4 0-136,0 2 8,0 0-56,0 25-136,0-25 80,0 2 0,0 2-24,2 2-144,-2 19 88,2-18-40,3 2 16,-5 2-40,0 3-32,0 11 96,0-5-160,0 1-256,0 0-320,4 2-416,-4 2 1152,0 0-1680,0 0-297,0 0-215,0 5-145,0-5 2337,-2 12-2424,0-7 47,-3 10 177,-4-2 391,9-13 1809,-4 16-1256,-1 1 328,-6 4-144,11-21 1072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53:39.5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2461 994 5873,'0'0'0,"14"-1"4689,-2 0-2937,0-4-768,-12 5-984,13-1 592,-13-2-167,5 2-241,7-1-72,-12 2-112,0-1 32,12 1-80,-9 0-64,1 4-88,-4-4 200,11 14-144,-11-2 80,0 1 48,0 1 40,0-14-24,0 15 32,0 1 8,0 1 64,0 0-16,0-17-88,-4 16 120,0-1-24,-6 0 8,5 1 80,5-16-184,-14 13 160,9-9 152,-8 12 96,8-13 128,5-3-536,-17 4 720,1 0 0,4-1-40,-7 0-87,19-3-593,-16 0 544,-6 0-72,4 0 0,-6-1-40,24 1-432,-23-12 488,5-1 72,-6-2-96,-2-6 0,26 21-464,-24-20 312,-1-3-95,6 0-33,-2 1-8,21 22-176,-19-23 96,0-3-8,0 2 8,8-1-128,11 25 32,-14-27 40,4 3-80,5 0-96,-8 0-80,13 24 216,-5-25-465,0 4-239,0 1-304,1 5-320,4 15 1328,-3-15-1873,3 10-911,0-7-873,0 8-648,0 4 4305,0 0-5089,0 0 5089</inkml:trace>
  <inkml:trace contextRef="#ctx0" brushRef="#br0" timeOffset="1">2349 569 24181,'0'0'0,"0"0"0,0-2 176,2 2-368,1 0-344,8 5-273,-11-5 809,0 4-1312,0 7-944,0-8-1417,-3 0-1120,3-3 4793,-2 3-4913,-7 1-96,9-4 5009</inkml:trace>
  <inkml:trace contextRef="#ctx0" brushRef="#br0" timeOffset="2">2133 989 18267,'0'0'0,"-3"0"825,-2-2-841,5 2 16,-8-1-32,5 1-56,3 0 16,0 0 8,0 0 64,-4 0-145,1-1 89,-2-1-56,1-1-112,4 3 224,-15-3-264,4-1-48,-3 0 80,-3 0 48,17 4 184,-21-5-120,0 1 40,-5 3-32,-2-1-16,28 2 128,-30 0-88,-6 0 16,-2 3-64,-2 1 40,40-4 96,-39 5-192,-8 6 64,-4-8 0,-4 10 40,55-13 88,-63 4-120,0 10-16,-5-10 48,-3 11-88,71-15 176,-75 4-200,3 9-104,-1-9-112,-2 10 152,75-14 264,-36 3-80,-6 1 24,1 8 88,-9-8-32,50-4 0,-47 13-113,-10-2 33,4 0 0,-11 2-16,64-13 96,-58 12-144,-4 0-88,7 2 64,-4-2 8,59-12 160,-59 12-128,10 0 136,-3-8-40,3 12 16,49-16 16,-42 4 0,5 7-24,1-8 16,8 1-16,28-4 24,-23 12 64,-1-12-32,13 3 104,3-3 128,8 0-264,-4 0 256,1 0-88,3 0-136,5 0-64,-5 0 32,16 0-112,5-2 128,5-2 16,3-2-8,-29 6-24,37-11 40,7 5 8,6-8 0,6 3-16,-56 11-32,61-12 80,8-1-16,3-1 1,10-1 7,-82 15-72,166-27-8,-6 1-8,-12 5-16,-17 3 88,-131 18-56,124-17 80,6-1 32,6 0 32,4 2-48,-140 16-96,141-15 88,5-1-48,-1 3-40,-2-1-32,-143 14 32,153-11 64,7 5 0,3-9 24,6 3-8,-169 12-80,167-11-24,-3 5 24,3-6 8,-1 9 16,-166 3-24,169-6 32,-2 0-8,-3 1-48,1-1 16,-165 6 8,161-4 8,-8 2-8,2 1 40,-8-1-40,-147 2 0,141 0 16,2 0-8,-10 0 0,-3 0-24,-130 0 16,124 0-16,-9 0 40,-7 3-16,-7 0 64,-101-3-72,92 3 40,-15 0-32,-7 0 8,-11 0 16,-59-3-32,47 2 8,-10 1 8,-9 0-64,-11 0-144,-17-3 192,0 3-264,0 0 32,-5-3 64,-18 2 72,23-2 96,-30 3 16,-9 2-24,-14-3-48,-6 3-16,59-5 72,-70 4-80,-5 0 56,-5 0-17,-7 1 41,87-5 0,-87 4 0,-6 0-32,-4 0 32,1 8-64,96-12 64,-99 0-48,1 4 0,4 0 72,-5 8-24,99-12 0,-98 3 32,1 2-32,-3 6-8,1-8 120,99-3-112,-100 4 32,-1 1 41,0-1 31,5-1-104,96-3 0,-97 0 24,3 0 8,6-2-24,3-1 16,85 3-24,-79-5 48,-1-7 8,5 8-24,4-13 64,71 17-96,-66-11 136,6 0-40,3-1 48,5 0-8,52 12-136,-46-13 88,4-3 80,4-1 0,5 0 64,33 17-232,-28-20 304,5 0 40,3 0 48,5-1 32,15 21-424,-3-25 416,-4-1-96,7-1-152,0-1-144,0 28-24,16-30 0,-2-3-40,5-1-32,0-4 32,-19 38 40,28-38-112,0-1 0,0 0 24,7-1 16,-35 40 72,33-37-104,2 2-8,0-1 16,1 2-40,-36 34 136,40-33-144,0 2 32,-3 3 24,-1 0-120,-36 28 208,35-24 24,-5 2 0,3 4-24,-3 5 120,-30 13-120,24-6 152,-3 2 32,-7 1 16,0 3 16,-14 0-216,14 13 80,-2 3 40,-7 9 56,-3 5-32,-2-30-144,5 38 96,-5 3 8,0 5-80,-2 1 40,2-47-64,-3 46 104,-9 2-40,7-1-32,0-1 16,5-46-48,-8 44 24,3-4 16,3-1-64,-3-2 144,5-37-120,-5 38 32,3-2-15,-1-1 39,1 1-185,2-36 129,0 34-24,0 0 8,0-1-40,5-1 40,-5-32 16,2 30 40,0 1-56,3-1-16,6-2 16,-11-28 16,5 26-120,7-1 96,-12 0-288,5 2-1536,-5-27 1848,7 25-4305,-7 9-3633,0-34 7938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8"/>
  <sheetViews>
    <sheetView rightToLeft="1" tabSelected="1" view="pageBreakPreview" topLeftCell="C22" zoomScale="130" zoomScaleNormal="100" zoomScaleSheetLayoutView="130" workbookViewId="0">
      <selection activeCell="F3" sqref="F3:J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8" t="s">
        <v>180</v>
      </c>
      <c r="C1" s="58"/>
      <c r="D1" s="58"/>
      <c r="E1" s="58"/>
      <c r="F1" s="58"/>
      <c r="G1" s="58"/>
      <c r="H1" s="58"/>
      <c r="I1" s="58"/>
      <c r="J1" s="58"/>
    </row>
    <row r="2" spans="1:10" ht="30" customHeight="1" x14ac:dyDescent="0.3">
      <c r="B2" s="11" t="s">
        <v>8</v>
      </c>
      <c r="C2" s="64" t="s">
        <v>16</v>
      </c>
      <c r="D2" s="64"/>
      <c r="E2" s="11" t="s">
        <v>7</v>
      </c>
      <c r="F2" s="59">
        <v>45952</v>
      </c>
      <c r="G2" s="59"/>
      <c r="H2" s="59"/>
      <c r="I2" s="59"/>
      <c r="J2" s="59"/>
    </row>
    <row r="3" spans="1:10" ht="30" customHeight="1" x14ac:dyDescent="0.3">
      <c r="B3" s="11" t="s">
        <v>9</v>
      </c>
      <c r="C3" s="64" t="s">
        <v>74</v>
      </c>
      <c r="D3" s="64"/>
      <c r="E3" s="11" t="s">
        <v>6</v>
      </c>
      <c r="F3" s="64" t="s">
        <v>59</v>
      </c>
      <c r="G3" s="64"/>
      <c r="H3" s="64"/>
      <c r="I3" s="64"/>
      <c r="J3" s="64"/>
    </row>
    <row r="4" spans="1:10" ht="30" customHeight="1" thickBot="1" x14ac:dyDescent="0.35">
      <c r="B4" s="6"/>
      <c r="C4" s="7"/>
      <c r="D4" s="7"/>
      <c r="E4" s="6"/>
      <c r="F4" s="82" t="s">
        <v>197</v>
      </c>
      <c r="G4" s="82"/>
      <c r="H4" s="82"/>
      <c r="I4" s="82"/>
      <c r="J4" s="82"/>
    </row>
    <row r="5" spans="1:10" ht="24.9" customHeight="1" x14ac:dyDescent="0.3">
      <c r="A5" s="9"/>
      <c r="B5" s="60" t="s">
        <v>0</v>
      </c>
      <c r="C5" s="61"/>
      <c r="D5" s="61"/>
      <c r="E5" s="69" t="s">
        <v>1</v>
      </c>
      <c r="F5" s="69"/>
      <c r="G5" s="69"/>
      <c r="H5" s="69"/>
      <c r="I5" s="69" t="s">
        <v>2</v>
      </c>
      <c r="J5" s="70"/>
    </row>
    <row r="6" spans="1:10" ht="24.9" customHeight="1" thickBot="1" x14ac:dyDescent="0.35">
      <c r="A6" s="9"/>
      <c r="B6" s="62"/>
      <c r="C6" s="63"/>
      <c r="D6" s="63"/>
      <c r="E6" s="10" t="s">
        <v>3</v>
      </c>
      <c r="F6" s="10" t="s">
        <v>4</v>
      </c>
      <c r="G6" s="10" t="s">
        <v>23</v>
      </c>
      <c r="H6" s="10" t="s">
        <v>24</v>
      </c>
      <c r="I6" s="71"/>
      <c r="J6" s="72"/>
    </row>
    <row r="7" spans="1:10" ht="24.9" customHeight="1" thickBot="1" x14ac:dyDescent="0.35">
      <c r="A7" s="9"/>
      <c r="B7" s="67" t="s">
        <v>21</v>
      </c>
      <c r="C7" s="68"/>
      <c r="D7" s="68"/>
      <c r="E7" s="27" t="s">
        <v>18</v>
      </c>
      <c r="F7" s="27" t="s">
        <v>19</v>
      </c>
      <c r="G7" s="27" t="s">
        <v>22</v>
      </c>
      <c r="H7" s="27" t="s">
        <v>20</v>
      </c>
      <c r="I7" s="73" t="s">
        <v>25</v>
      </c>
      <c r="J7" s="74"/>
    </row>
    <row r="8" spans="1:10" ht="30" customHeight="1" x14ac:dyDescent="0.3">
      <c r="A8" s="9"/>
      <c r="B8" s="42" t="s">
        <v>181</v>
      </c>
      <c r="C8" s="43"/>
      <c r="D8" s="43"/>
      <c r="E8" s="31">
        <v>10</v>
      </c>
      <c r="F8" s="32">
        <v>7.5</v>
      </c>
      <c r="G8" s="33">
        <f>IFERROR(F8/E8,"")</f>
        <v>0.75</v>
      </c>
      <c r="H8" s="34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44"/>
      <c r="J8" s="45"/>
    </row>
    <row r="9" spans="1:10" ht="30" customHeight="1" x14ac:dyDescent="0.3">
      <c r="A9" s="9"/>
      <c r="B9" s="38" t="s">
        <v>182</v>
      </c>
      <c r="C9" s="39"/>
      <c r="D9" s="39"/>
      <c r="E9" s="8">
        <v>10</v>
      </c>
      <c r="F9" s="25">
        <v>8.5</v>
      </c>
      <c r="G9" s="29">
        <f>IFERROR(F9/E9,"")</f>
        <v>0.85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0"/>
      <c r="J9" s="51"/>
    </row>
    <row r="10" spans="1:10" ht="30" customHeight="1" x14ac:dyDescent="0.3">
      <c r="A10" s="9"/>
      <c r="B10" s="38" t="s">
        <v>183</v>
      </c>
      <c r="C10" s="39"/>
      <c r="D10" s="39"/>
      <c r="E10" s="8">
        <v>10</v>
      </c>
      <c r="F10" s="25">
        <v>7.5</v>
      </c>
      <c r="G10" s="29">
        <f t="shared" ref="G10:G23" si="0">IFERROR(F10/E10,"")</f>
        <v>0.75</v>
      </c>
      <c r="H10" s="30" t="str">
        <f t="shared" ref="H10:H23" si="1">_xlfn.IFS(F10="أدخل العلامة","",F10="لا ينطبق","تم الإلغاء",G10&gt;=90%,"ممتاز",G10&gt;=80%,"جيد جداً",G10&gt;=70%,"جيد",G10&gt;=60%,"مقبول",G10&lt;60%,"راسب")</f>
        <v>جيد</v>
      </c>
      <c r="I10" s="50"/>
      <c r="J10" s="51"/>
    </row>
    <row r="11" spans="1:10" ht="30" customHeight="1" x14ac:dyDescent="0.3">
      <c r="A11" s="9"/>
      <c r="B11" s="38" t="s">
        <v>184</v>
      </c>
      <c r="C11" s="39"/>
      <c r="D11" s="39"/>
      <c r="E11" s="8">
        <v>10</v>
      </c>
      <c r="F11" s="25">
        <v>7.5</v>
      </c>
      <c r="G11" s="29">
        <f t="shared" si="0"/>
        <v>0.75</v>
      </c>
      <c r="H11" s="30" t="str">
        <f t="shared" si="1"/>
        <v>جيد</v>
      </c>
      <c r="I11" s="50"/>
      <c r="J11" s="51"/>
    </row>
    <row r="12" spans="1:10" ht="30" customHeight="1" x14ac:dyDescent="0.3">
      <c r="A12" s="9"/>
      <c r="B12" s="38" t="s">
        <v>185</v>
      </c>
      <c r="C12" s="39"/>
      <c r="D12" s="39"/>
      <c r="E12" s="8">
        <v>10</v>
      </c>
      <c r="F12" s="25">
        <v>7.5</v>
      </c>
      <c r="G12" s="29">
        <f t="shared" si="0"/>
        <v>0.75</v>
      </c>
      <c r="H12" s="30" t="str">
        <f t="shared" si="1"/>
        <v>جيد</v>
      </c>
      <c r="I12" s="50"/>
      <c r="J12" s="51"/>
    </row>
    <row r="13" spans="1:10" ht="30" customHeight="1" x14ac:dyDescent="0.3">
      <c r="A13" s="9"/>
      <c r="B13" s="38" t="s">
        <v>186</v>
      </c>
      <c r="C13" s="39"/>
      <c r="D13" s="39"/>
      <c r="E13" s="8">
        <v>10</v>
      </c>
      <c r="F13" s="25">
        <v>7</v>
      </c>
      <c r="G13" s="29">
        <f t="shared" si="0"/>
        <v>0.7</v>
      </c>
      <c r="H13" s="30" t="str">
        <f t="shared" si="1"/>
        <v>جيد</v>
      </c>
      <c r="I13" s="50"/>
      <c r="J13" s="51"/>
    </row>
    <row r="14" spans="1:10" ht="30" customHeight="1" x14ac:dyDescent="0.3">
      <c r="A14" s="9"/>
      <c r="B14" s="38" t="s">
        <v>187</v>
      </c>
      <c r="C14" s="39"/>
      <c r="D14" s="39"/>
      <c r="E14" s="8">
        <v>10</v>
      </c>
      <c r="F14" s="25">
        <v>7.5</v>
      </c>
      <c r="G14" s="29">
        <f t="shared" si="0"/>
        <v>0.75</v>
      </c>
      <c r="H14" s="30" t="str">
        <f t="shared" si="1"/>
        <v>جيد</v>
      </c>
      <c r="I14" s="50"/>
      <c r="J14" s="51"/>
    </row>
    <row r="15" spans="1:10" ht="30" customHeight="1" x14ac:dyDescent="0.3">
      <c r="A15" s="9"/>
      <c r="B15" s="38" t="s">
        <v>188</v>
      </c>
      <c r="C15" s="39"/>
      <c r="D15" s="39"/>
      <c r="E15" s="8">
        <v>10</v>
      </c>
      <c r="F15" s="25">
        <v>7</v>
      </c>
      <c r="G15" s="29">
        <f t="shared" si="0"/>
        <v>0.7</v>
      </c>
      <c r="H15" s="30" t="str">
        <f t="shared" si="1"/>
        <v>جيد</v>
      </c>
      <c r="I15" s="50"/>
      <c r="J15" s="51"/>
    </row>
    <row r="16" spans="1:10" ht="30" customHeight="1" x14ac:dyDescent="0.3">
      <c r="A16" s="9"/>
      <c r="B16" s="38" t="s">
        <v>189</v>
      </c>
      <c r="C16" s="39"/>
      <c r="D16" s="39"/>
      <c r="E16" s="8">
        <v>10</v>
      </c>
      <c r="F16" s="25">
        <v>7</v>
      </c>
      <c r="G16" s="29">
        <f t="shared" si="0"/>
        <v>0.7</v>
      </c>
      <c r="H16" s="30" t="str">
        <f t="shared" si="1"/>
        <v>جيد</v>
      </c>
      <c r="I16" s="50"/>
      <c r="J16" s="51"/>
    </row>
    <row r="17" spans="1:10" ht="30" customHeight="1" x14ac:dyDescent="0.3">
      <c r="A17" s="9"/>
      <c r="B17" s="38" t="s">
        <v>190</v>
      </c>
      <c r="C17" s="39"/>
      <c r="D17" s="39"/>
      <c r="E17" s="8">
        <v>10</v>
      </c>
      <c r="F17" s="25">
        <v>7.25</v>
      </c>
      <c r="G17" s="29">
        <f t="shared" si="0"/>
        <v>0.72499999999999998</v>
      </c>
      <c r="H17" s="30" t="str">
        <f t="shared" si="1"/>
        <v>جيد</v>
      </c>
      <c r="I17" s="50"/>
      <c r="J17" s="51"/>
    </row>
    <row r="18" spans="1:10" ht="30" customHeight="1" x14ac:dyDescent="0.3">
      <c r="A18" s="9"/>
      <c r="B18" s="38" t="s">
        <v>191</v>
      </c>
      <c r="C18" s="39"/>
      <c r="D18" s="39"/>
      <c r="E18" s="8">
        <v>10</v>
      </c>
      <c r="F18" s="25">
        <v>7</v>
      </c>
      <c r="G18" s="29">
        <f t="shared" si="0"/>
        <v>0.7</v>
      </c>
      <c r="H18" s="30" t="str">
        <f t="shared" si="1"/>
        <v>جيد</v>
      </c>
      <c r="I18" s="50"/>
      <c r="J18" s="51"/>
    </row>
    <row r="19" spans="1:10" ht="30" customHeight="1" x14ac:dyDescent="0.3">
      <c r="A19" s="9"/>
      <c r="B19" s="38" t="s">
        <v>192</v>
      </c>
      <c r="C19" s="39"/>
      <c r="D19" s="39"/>
      <c r="E19" s="8">
        <v>10</v>
      </c>
      <c r="F19" s="25">
        <v>7.75</v>
      </c>
      <c r="G19" s="29">
        <f t="shared" si="0"/>
        <v>0.77500000000000002</v>
      </c>
      <c r="H19" s="30" t="str">
        <f t="shared" si="1"/>
        <v>جيد</v>
      </c>
      <c r="I19" s="50"/>
      <c r="J19" s="51"/>
    </row>
    <row r="20" spans="1:10" ht="30" customHeight="1" x14ac:dyDescent="0.3">
      <c r="A20" s="9"/>
      <c r="B20" s="38" t="s">
        <v>193</v>
      </c>
      <c r="C20" s="39"/>
      <c r="D20" s="39"/>
      <c r="E20" s="8">
        <v>10</v>
      </c>
      <c r="F20" s="25">
        <v>7</v>
      </c>
      <c r="G20" s="29">
        <f t="shared" si="0"/>
        <v>0.7</v>
      </c>
      <c r="H20" s="30" t="str">
        <f t="shared" si="1"/>
        <v>جيد</v>
      </c>
      <c r="I20" s="50"/>
      <c r="J20" s="51"/>
    </row>
    <row r="21" spans="1:10" ht="30" customHeight="1" x14ac:dyDescent="0.3">
      <c r="A21" s="9"/>
      <c r="B21" s="38" t="s">
        <v>194</v>
      </c>
      <c r="C21" s="39"/>
      <c r="D21" s="39"/>
      <c r="E21" s="8">
        <v>10</v>
      </c>
      <c r="F21" s="25">
        <v>7.75</v>
      </c>
      <c r="G21" s="29">
        <f t="shared" si="0"/>
        <v>0.77500000000000002</v>
      </c>
      <c r="H21" s="30" t="str">
        <f t="shared" si="1"/>
        <v>جيد</v>
      </c>
      <c r="I21" s="50"/>
      <c r="J21" s="51"/>
    </row>
    <row r="22" spans="1:10" ht="30" customHeight="1" x14ac:dyDescent="0.3">
      <c r="A22" s="9"/>
      <c r="B22" s="38" t="s">
        <v>195</v>
      </c>
      <c r="C22" s="39"/>
      <c r="D22" s="39"/>
      <c r="E22" s="8">
        <v>10</v>
      </c>
      <c r="F22" s="25">
        <v>8.25</v>
      </c>
      <c r="G22" s="29">
        <f t="shared" si="0"/>
        <v>0.82499999999999996</v>
      </c>
      <c r="H22" s="30" t="str">
        <f t="shared" si="1"/>
        <v>جيد جداً</v>
      </c>
      <c r="I22" s="50"/>
      <c r="J22" s="51"/>
    </row>
    <row r="23" spans="1:10" ht="30" customHeight="1" thickBot="1" x14ac:dyDescent="0.35">
      <c r="A23" s="9"/>
      <c r="B23" s="40" t="s">
        <v>196</v>
      </c>
      <c r="C23" s="41"/>
      <c r="D23" s="41"/>
      <c r="E23" s="35">
        <v>10</v>
      </c>
      <c r="F23" s="26">
        <v>8.25</v>
      </c>
      <c r="G23" s="36">
        <f t="shared" si="0"/>
        <v>0.82499999999999996</v>
      </c>
      <c r="H23" s="37" t="str">
        <f t="shared" si="1"/>
        <v>جيد جداً</v>
      </c>
      <c r="I23" s="75"/>
      <c r="J23" s="76"/>
    </row>
    <row r="24" spans="1:10" ht="30" customHeight="1" thickBot="1" x14ac:dyDescent="0.35">
      <c r="A24" s="4"/>
      <c r="B24" s="46" t="s">
        <v>5</v>
      </c>
      <c r="C24" s="47"/>
      <c r="D24" s="47"/>
      <c r="E24" s="28">
        <f>SUM(E8:E23)</f>
        <v>160</v>
      </c>
      <c r="F24" s="28">
        <f>SUM(F8:F23)</f>
        <v>120.25</v>
      </c>
      <c r="G24" s="79"/>
      <c r="H24" s="80"/>
      <c r="I24" s="80"/>
      <c r="J24" s="81"/>
    </row>
    <row r="25" spans="1:10" ht="30" customHeight="1" thickBot="1" x14ac:dyDescent="0.35">
      <c r="A25" s="4"/>
      <c r="B25" s="48" t="s">
        <v>54</v>
      </c>
      <c r="C25" s="49"/>
      <c r="D25" s="49"/>
      <c r="E25" s="65">
        <f>F24/E24/100*100</f>
        <v>0.75156250000000002</v>
      </c>
      <c r="F25" s="65"/>
      <c r="G25" s="65"/>
      <c r="H25" s="65"/>
      <c r="I25" s="65"/>
      <c r="J25" s="66"/>
    </row>
    <row r="26" spans="1:10" ht="30" customHeight="1" thickBot="1" x14ac:dyDescent="0.35">
      <c r="A26" s="4"/>
      <c r="B26" s="48" t="s">
        <v>55</v>
      </c>
      <c r="C26" s="49"/>
      <c r="D26" s="49"/>
      <c r="E26" s="56" t="str">
        <f>_xlfn.IFS(E25&gt;=90%,"ممتاز",E25&gt;=80%,"جيد جداً",E25&gt;=70%,"جيد",E25&gt;=60%,"مقبول",E25&lt;60%,"راسب")</f>
        <v>جيد</v>
      </c>
      <c r="F26" s="56"/>
      <c r="G26" s="56"/>
      <c r="H26" s="56"/>
      <c r="I26" s="56"/>
      <c r="J26" s="57"/>
    </row>
    <row r="27" spans="1:10" ht="42" customHeight="1" x14ac:dyDescent="0.3">
      <c r="B27" s="52" t="s">
        <v>174</v>
      </c>
      <c r="C27" s="52"/>
      <c r="D27" s="52"/>
      <c r="E27" s="77" t="s">
        <v>52</v>
      </c>
      <c r="F27" s="77"/>
      <c r="G27" s="54" t="s">
        <v>59</v>
      </c>
      <c r="H27" s="54"/>
      <c r="I27" s="54"/>
      <c r="J27" s="54"/>
    </row>
    <row r="28" spans="1:10" ht="51" customHeight="1" x14ac:dyDescent="0.3">
      <c r="A28" s="5"/>
      <c r="B28" s="53"/>
      <c r="C28" s="53"/>
      <c r="D28" s="53"/>
      <c r="E28" s="78" t="s">
        <v>53</v>
      </c>
      <c r="F28" s="78"/>
      <c r="G28" s="55"/>
      <c r="H28" s="55"/>
      <c r="I28" s="55"/>
      <c r="J28" s="55"/>
    </row>
  </sheetData>
  <sheetProtection formatCells="0" formatColumns="0" formatRows="0" insertColumns="0" insertRows="0" insertHyperlinks="0" deleteColumns="0" deleteRows="0" selectLockedCells="1" sort="0" autoFilter="0" pivotTables="0"/>
  <mergeCells count="54">
    <mergeCell ref="F4:J4"/>
    <mergeCell ref="I23:J23"/>
    <mergeCell ref="E27:F27"/>
    <mergeCell ref="E28:F28"/>
    <mergeCell ref="G24:J24"/>
    <mergeCell ref="I9:J9"/>
    <mergeCell ref="B27:D28"/>
    <mergeCell ref="G27:J27"/>
    <mergeCell ref="G28:J28"/>
    <mergeCell ref="E26:J26"/>
    <mergeCell ref="B1:J1"/>
    <mergeCell ref="F2:J2"/>
    <mergeCell ref="B5:D6"/>
    <mergeCell ref="C2:D2"/>
    <mergeCell ref="C3:D3"/>
    <mergeCell ref="F3:J3"/>
    <mergeCell ref="E25:J25"/>
    <mergeCell ref="B7:D7"/>
    <mergeCell ref="E5:H5"/>
    <mergeCell ref="I5:J6"/>
    <mergeCell ref="I7:J7"/>
    <mergeCell ref="I10:J10"/>
    <mergeCell ref="I8:J8"/>
    <mergeCell ref="B24:D24"/>
    <mergeCell ref="B25:D25"/>
    <mergeCell ref="B26:D26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B22:D22"/>
    <mergeCell ref="B23:D23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6">
    <cfRule type="expression" dxfId="14" priority="57">
      <formula>$E26="راسب"</formula>
    </cfRule>
  </conditionalFormatting>
  <conditionalFormatting sqref="E26:J26">
    <cfRule type="expression" dxfId="13" priority="60">
      <formula>$E26="جيد جداً"</formula>
    </cfRule>
    <cfRule type="expression" dxfId="12" priority="59">
      <formula>$E26="جيد"</formula>
    </cfRule>
    <cfRule type="expression" dxfId="11" priority="58">
      <formula>$E26="مقبول"</formula>
    </cfRule>
    <cfRule type="expression" dxfId="10" priority="61">
      <formula>$E26="ممتاز"</formula>
    </cfRule>
  </conditionalFormatting>
  <conditionalFormatting sqref="F8:F2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7:J27">
    <cfRule type="containsText" dxfId="6" priority="15" operator="containsText" text="أدخل اسم المحكم">
      <formula>NOT(ISERROR(SEARCH("أدخل اسم المحكم",G27)))</formula>
    </cfRule>
  </conditionalFormatting>
  <conditionalFormatting sqref="H8:H23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التقييم'!$A$111:$A$153</xm:f>
          </x14:formula1>
          <xm:sqref>F8:F23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G27:J27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35" zoomScale="42" zoomScaleNormal="42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18" t="s">
        <v>177</v>
      </c>
    </row>
    <row r="30" spans="1:3" ht="20.100000000000001" customHeight="1" thickBot="1" x14ac:dyDescent="0.35">
      <c r="A30" s="2" t="s">
        <v>32</v>
      </c>
      <c r="C30" s="18" t="s">
        <v>178</v>
      </c>
    </row>
    <row r="31" spans="1:3" ht="20.100000000000001" customHeight="1" thickBot="1" x14ac:dyDescent="0.35">
      <c r="A31" s="2" t="s">
        <v>33</v>
      </c>
      <c r="C31" s="18" t="s">
        <v>179</v>
      </c>
    </row>
    <row r="32" spans="1:3" ht="20.100000000000001" customHeight="1" thickBot="1" x14ac:dyDescent="0.35">
      <c r="A32" s="2" t="s">
        <v>16</v>
      </c>
      <c r="C32" s="18"/>
    </row>
    <row r="33" spans="1:9" ht="20.100000000000001" customHeight="1" thickBot="1" x14ac:dyDescent="0.35">
      <c r="A33" s="2" t="s">
        <v>14</v>
      </c>
      <c r="C33" s="18"/>
    </row>
    <row r="34" spans="1:9" ht="20.100000000000001" customHeight="1" thickBot="1" x14ac:dyDescent="0.35">
      <c r="A34" s="2" t="s">
        <v>34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45931</v>
      </c>
    </row>
    <row r="40" spans="1:9" ht="20.100000000000001" customHeight="1" thickBot="1" x14ac:dyDescent="0.35">
      <c r="A40" s="12">
        <v>45932</v>
      </c>
    </row>
    <row r="41" spans="1:9" ht="20.100000000000001" customHeight="1" thickBot="1" x14ac:dyDescent="0.35">
      <c r="A41" s="12">
        <v>45933</v>
      </c>
    </row>
    <row r="42" spans="1:9" ht="20.100000000000001" customHeight="1" thickBot="1" x14ac:dyDescent="0.35">
      <c r="A42" s="12">
        <v>45934</v>
      </c>
    </row>
    <row r="43" spans="1:9" ht="20.100000000000001" customHeight="1" thickBot="1" x14ac:dyDescent="0.35">
      <c r="A43" s="12">
        <v>45935</v>
      </c>
    </row>
    <row r="44" spans="1:9" ht="20.100000000000001" customHeight="1" thickBot="1" x14ac:dyDescent="0.35">
      <c r="A44" s="12">
        <v>45936</v>
      </c>
    </row>
    <row r="45" spans="1:9" ht="20.100000000000001" customHeight="1" thickBot="1" x14ac:dyDescent="0.35">
      <c r="A45" s="12">
        <v>45937</v>
      </c>
    </row>
    <row r="46" spans="1:9" ht="20.100000000000001" customHeight="1" thickBot="1" x14ac:dyDescent="0.35">
      <c r="A46" s="12">
        <v>45938</v>
      </c>
    </row>
    <row r="47" spans="1:9" ht="20.100000000000001" customHeight="1" thickBot="1" x14ac:dyDescent="0.35">
      <c r="A47" s="12">
        <v>45939</v>
      </c>
    </row>
    <row r="48" spans="1:9" ht="20.100000000000001" customHeight="1" thickBot="1" x14ac:dyDescent="0.35">
      <c r="A48" s="12">
        <v>45940</v>
      </c>
    </row>
    <row r="49" spans="1:1" ht="20.100000000000001" customHeight="1" thickBot="1" x14ac:dyDescent="0.35">
      <c r="A49" s="12">
        <v>45941</v>
      </c>
    </row>
    <row r="50" spans="1:1" ht="20.100000000000001" customHeight="1" thickBot="1" x14ac:dyDescent="0.35">
      <c r="A50" s="12">
        <v>45942</v>
      </c>
    </row>
    <row r="51" spans="1:1" ht="20.100000000000001" customHeight="1" thickBot="1" x14ac:dyDescent="0.35">
      <c r="A51" s="12">
        <v>45943</v>
      </c>
    </row>
    <row r="52" spans="1:1" ht="20.100000000000001" customHeight="1" thickBot="1" x14ac:dyDescent="0.35">
      <c r="A52" s="12">
        <v>45944</v>
      </c>
    </row>
    <row r="53" spans="1:1" ht="20.100000000000001" customHeight="1" thickBot="1" x14ac:dyDescent="0.35">
      <c r="A53" s="12">
        <v>45945</v>
      </c>
    </row>
    <row r="54" spans="1:1" ht="20.100000000000001" customHeight="1" thickBot="1" x14ac:dyDescent="0.35">
      <c r="A54" s="12">
        <v>45946</v>
      </c>
    </row>
    <row r="55" spans="1:1" ht="20.100000000000001" customHeight="1" thickBot="1" x14ac:dyDescent="0.35">
      <c r="A55" s="12">
        <v>45947</v>
      </c>
    </row>
    <row r="56" spans="1:1" ht="20.100000000000001" customHeight="1" thickBot="1" x14ac:dyDescent="0.35">
      <c r="A56" s="12">
        <v>45948</v>
      </c>
    </row>
    <row r="57" spans="1:1" ht="20.100000000000001" customHeight="1" thickBot="1" x14ac:dyDescent="0.35">
      <c r="A57" s="12">
        <v>45949</v>
      </c>
    </row>
    <row r="58" spans="1:1" ht="20.100000000000001" customHeight="1" thickBot="1" x14ac:dyDescent="0.35">
      <c r="A58" s="12">
        <v>45950</v>
      </c>
    </row>
    <row r="59" spans="1:1" ht="20.100000000000001" customHeight="1" thickBot="1" x14ac:dyDescent="0.35">
      <c r="A59" s="12">
        <v>45951</v>
      </c>
    </row>
    <row r="60" spans="1:1" ht="20.100000000000001" customHeight="1" thickBot="1" x14ac:dyDescent="0.35">
      <c r="A60" s="12">
        <v>45952</v>
      </c>
    </row>
    <row r="61" spans="1:1" ht="20.100000000000001" customHeight="1" thickBot="1" x14ac:dyDescent="0.35">
      <c r="A61" s="12">
        <v>45953</v>
      </c>
    </row>
    <row r="62" spans="1:1" ht="20.100000000000001" customHeight="1" thickBot="1" x14ac:dyDescent="0.35">
      <c r="A62" s="12">
        <v>45954</v>
      </c>
    </row>
    <row r="63" spans="1:1" ht="20.100000000000001" customHeight="1" thickBot="1" x14ac:dyDescent="0.35">
      <c r="A63" s="12">
        <v>45955</v>
      </c>
    </row>
    <row r="64" spans="1:1" ht="20.100000000000001" customHeight="1" thickBot="1" x14ac:dyDescent="0.35">
      <c r="A64" s="12">
        <v>45956</v>
      </c>
    </row>
    <row r="65" spans="1:1" ht="20.100000000000001" customHeight="1" thickBot="1" x14ac:dyDescent="0.35">
      <c r="A65" s="12">
        <v>45957</v>
      </c>
    </row>
    <row r="66" spans="1:1" ht="20.100000000000001" customHeight="1" thickBot="1" x14ac:dyDescent="0.35">
      <c r="A66" s="12">
        <v>45958</v>
      </c>
    </row>
    <row r="67" spans="1:1" ht="20.100000000000001" customHeight="1" thickBot="1" x14ac:dyDescent="0.35">
      <c r="A67" s="12">
        <v>45959</v>
      </c>
    </row>
    <row r="68" spans="1:1" ht="20.100000000000001" customHeight="1" thickBot="1" x14ac:dyDescent="0.35">
      <c r="A68" s="12">
        <v>45960</v>
      </c>
    </row>
    <row r="69" spans="1:1" ht="20.100000000000001" customHeight="1" thickBot="1" x14ac:dyDescent="0.35">
      <c r="A69" s="12">
        <v>45961</v>
      </c>
    </row>
    <row r="70" spans="1:1" ht="20.100000000000001" customHeight="1" thickBot="1" x14ac:dyDescent="0.35">
      <c r="A70" s="12"/>
    </row>
    <row r="71" spans="1:1" ht="20.100000000000001" customHeight="1" thickBot="1" x14ac:dyDescent="0.35">
      <c r="A71" s="12"/>
    </row>
    <row r="72" spans="1:1" ht="20.100000000000001" customHeight="1" thickBot="1" x14ac:dyDescent="0.35">
      <c r="A72" s="12"/>
    </row>
    <row r="73" spans="1:1" ht="20.100000000000001" customHeight="1" thickBot="1" x14ac:dyDescent="0.35">
      <c r="A73" s="12"/>
    </row>
    <row r="74" spans="1:1" ht="20.100000000000001" customHeight="1" thickBot="1" x14ac:dyDescent="0.35">
      <c r="A74" s="12"/>
    </row>
    <row r="75" spans="1:1" ht="20.100000000000001" customHeight="1" thickBot="1" x14ac:dyDescent="0.35">
      <c r="A75" s="12"/>
    </row>
    <row r="76" spans="1:1" ht="20.100000000000001" customHeight="1" thickBot="1" x14ac:dyDescent="0.35">
      <c r="A76" s="12"/>
    </row>
    <row r="77" spans="1:1" ht="20.100000000000001" customHeight="1" thickBot="1" x14ac:dyDescent="0.35">
      <c r="A77" s="12"/>
    </row>
    <row r="78" spans="1:1" ht="20.100000000000001" customHeight="1" thickBot="1" x14ac:dyDescent="0.35">
      <c r="A78" s="12"/>
    </row>
    <row r="79" spans="1:1" ht="20.100000000000001" customHeight="1" thickBot="1" x14ac:dyDescent="0.35">
      <c r="A79" s="12"/>
    </row>
    <row r="80" spans="1:1" ht="20.100000000000001" customHeight="1" thickBot="1" x14ac:dyDescent="0.35">
      <c r="A80" s="12"/>
    </row>
    <row r="81" spans="1:1" ht="20.100000000000001" customHeight="1" thickBot="1" x14ac:dyDescent="0.35">
      <c r="A81" s="12"/>
    </row>
    <row r="82" spans="1:1" ht="20.100000000000001" customHeight="1" thickBot="1" x14ac:dyDescent="0.35">
      <c r="A82" s="12"/>
    </row>
    <row r="83" spans="1:1" ht="20.100000000000001" customHeight="1" thickBot="1" x14ac:dyDescent="0.35">
      <c r="A83" s="12"/>
    </row>
    <row r="84" spans="1:1" ht="20.100000000000001" customHeight="1" thickBot="1" x14ac:dyDescent="0.35">
      <c r="A84" s="12"/>
    </row>
    <row r="85" spans="1:1" ht="20.100000000000001" customHeight="1" thickBot="1" x14ac:dyDescent="0.35">
      <c r="A85" s="12"/>
    </row>
    <row r="86" spans="1:1" ht="20.100000000000001" customHeight="1" thickBot="1" x14ac:dyDescent="0.35">
      <c r="A86" s="12"/>
    </row>
    <row r="87" spans="1:1" ht="20.100000000000001" customHeight="1" thickBot="1" x14ac:dyDescent="0.35">
      <c r="A87" s="12"/>
    </row>
    <row r="88" spans="1:1" ht="20.100000000000001" customHeight="1" thickBot="1" x14ac:dyDescent="0.35">
      <c r="A88" s="12"/>
    </row>
    <row r="89" spans="1:1" ht="20.100000000000001" customHeight="1" thickBot="1" x14ac:dyDescent="0.35">
      <c r="A89" s="12"/>
    </row>
    <row r="90" spans="1:1" ht="20.100000000000001" customHeight="1" thickBot="1" x14ac:dyDescent="0.35">
      <c r="A90" s="12"/>
    </row>
    <row r="91" spans="1:1" ht="20.100000000000001" customHeight="1" thickBot="1" x14ac:dyDescent="0.35">
      <c r="A91" s="12"/>
    </row>
    <row r="92" spans="1:1" ht="20.100000000000001" customHeight="1" thickBot="1" x14ac:dyDescent="0.35">
      <c r="A92" s="12"/>
    </row>
    <row r="93" spans="1:1" ht="20.100000000000001" customHeight="1" thickBot="1" x14ac:dyDescent="0.35">
      <c r="A93" s="12"/>
    </row>
    <row r="94" spans="1:1" ht="20.100000000000001" customHeight="1" thickBot="1" x14ac:dyDescent="0.35">
      <c r="A94" s="12"/>
    </row>
    <row r="95" spans="1:1" ht="20.100000000000001" customHeight="1" thickBot="1" x14ac:dyDescent="0.35">
      <c r="A95" s="12"/>
    </row>
    <row r="96" spans="1:1" ht="20.100000000000001" customHeight="1" thickBot="1" x14ac:dyDescent="0.35">
      <c r="A96" s="12"/>
    </row>
    <row r="97" spans="1:9" ht="20.100000000000001" customHeight="1" thickBot="1" x14ac:dyDescent="0.35">
      <c r="A97" s="12"/>
    </row>
    <row r="98" spans="1:9" ht="20.100000000000001" customHeight="1" thickBot="1" x14ac:dyDescent="0.35">
      <c r="A98" s="12"/>
    </row>
    <row r="99" spans="1:9" ht="20.100000000000001" customHeight="1" thickBot="1" x14ac:dyDescent="0.35">
      <c r="A99" s="12"/>
    </row>
    <row r="100" spans="1:9" ht="20.100000000000001" customHeight="1" thickBot="1" x14ac:dyDescent="0.35">
      <c r="A100" s="12"/>
    </row>
    <row r="101" spans="1:9" ht="20.100000000000001" customHeight="1" thickBot="1" x14ac:dyDescent="0.35">
      <c r="A101" s="12"/>
    </row>
    <row r="102" spans="1:9" ht="20.100000000000001" customHeight="1" thickBot="1" x14ac:dyDescent="0.35">
      <c r="A102" s="12"/>
    </row>
    <row r="103" spans="1:9" ht="20.100000000000001" customHeight="1" thickBot="1" x14ac:dyDescent="0.35">
      <c r="A103" s="12"/>
    </row>
    <row r="104" spans="1:9" ht="20.100000000000001" customHeight="1" thickBot="1" x14ac:dyDescent="0.35">
      <c r="A104" s="12"/>
    </row>
    <row r="105" spans="1:9" ht="20.100000000000001" customHeight="1" thickBot="1" x14ac:dyDescent="0.35">
      <c r="A105" s="12"/>
    </row>
    <row r="106" spans="1:9" ht="20.100000000000001" customHeight="1" thickBot="1" x14ac:dyDescent="0.35">
      <c r="A106" s="12"/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175</v>
      </c>
    </row>
    <row r="213" spans="1:1" ht="20.100000000000001" customHeight="1" x14ac:dyDescent="0.3">
      <c r="A213" s="19" t="s">
        <v>102</v>
      </c>
    </row>
    <row r="214" spans="1:1" ht="20.100000000000001" customHeight="1" x14ac:dyDescent="0.3">
      <c r="A214" s="19" t="s">
        <v>103</v>
      </c>
    </row>
    <row r="215" spans="1:1" ht="20.100000000000001" customHeight="1" x14ac:dyDescent="0.3">
      <c r="A215" s="19" t="s">
        <v>104</v>
      </c>
    </row>
    <row r="216" spans="1:1" ht="20.100000000000001" customHeight="1" x14ac:dyDescent="0.3">
      <c r="A216" s="19" t="s">
        <v>105</v>
      </c>
    </row>
    <row r="217" spans="1:1" ht="20.100000000000001" customHeight="1" x14ac:dyDescent="0.3">
      <c r="A217" s="19" t="s">
        <v>106</v>
      </c>
    </row>
    <row r="218" spans="1:1" ht="20.100000000000001" customHeight="1" x14ac:dyDescent="0.3">
      <c r="A218" s="19" t="s">
        <v>107</v>
      </c>
    </row>
    <row r="219" spans="1:1" ht="20.100000000000001" customHeight="1" x14ac:dyDescent="0.3">
      <c r="A219" s="19" t="s">
        <v>108</v>
      </c>
    </row>
    <row r="220" spans="1:1" ht="20.100000000000001" customHeight="1" x14ac:dyDescent="0.3">
      <c r="A220" s="19" t="s">
        <v>109</v>
      </c>
    </row>
    <row r="221" spans="1:1" ht="20.100000000000001" customHeight="1" x14ac:dyDescent="0.3">
      <c r="A221" s="19" t="s">
        <v>110</v>
      </c>
    </row>
    <row r="222" spans="1:1" ht="20.100000000000001" customHeight="1" x14ac:dyDescent="0.3">
      <c r="A222" s="19" t="s">
        <v>111</v>
      </c>
    </row>
    <row r="223" spans="1:1" ht="20.100000000000001" customHeight="1" x14ac:dyDescent="0.3">
      <c r="A223" s="19" t="s">
        <v>112</v>
      </c>
    </row>
    <row r="224" spans="1:1" ht="20.100000000000001" customHeight="1" x14ac:dyDescent="0.3">
      <c r="A224" s="19" t="s">
        <v>176</v>
      </c>
    </row>
    <row r="225" spans="1:1" ht="20.100000000000001" customHeight="1" x14ac:dyDescent="0.3">
      <c r="A225" s="19" t="s">
        <v>113</v>
      </c>
    </row>
    <row r="226" spans="1:1" ht="20.100000000000001" customHeight="1" x14ac:dyDescent="0.3">
      <c r="A226" s="19" t="s">
        <v>114</v>
      </c>
    </row>
    <row r="227" spans="1:1" ht="20.100000000000001" customHeight="1" x14ac:dyDescent="0.3">
      <c r="A227" s="19" t="s">
        <v>115</v>
      </c>
    </row>
    <row r="228" spans="1:1" ht="20.100000000000001" customHeight="1" x14ac:dyDescent="0.3">
      <c r="A228" s="19" t="s">
        <v>116</v>
      </c>
    </row>
    <row r="229" spans="1:1" ht="20.100000000000001" customHeight="1" x14ac:dyDescent="0.3">
      <c r="A229" s="19" t="s">
        <v>117</v>
      </c>
    </row>
    <row r="230" spans="1:1" ht="20.100000000000001" customHeight="1" x14ac:dyDescent="0.3">
      <c r="A230" s="19" t="s">
        <v>118</v>
      </c>
    </row>
    <row r="231" spans="1:1" ht="20.100000000000001" customHeight="1" x14ac:dyDescent="0.3">
      <c r="A231" s="19" t="s">
        <v>119</v>
      </c>
    </row>
    <row r="232" spans="1:1" ht="20.100000000000001" customHeight="1" x14ac:dyDescent="0.3">
      <c r="A232" s="19" t="s">
        <v>120</v>
      </c>
    </row>
    <row r="233" spans="1:1" ht="20.100000000000001" customHeight="1" x14ac:dyDescent="0.3">
      <c r="A233" s="19" t="s">
        <v>121</v>
      </c>
    </row>
    <row r="234" spans="1:1" ht="20.100000000000001" customHeight="1" x14ac:dyDescent="0.3">
      <c r="A234" s="19" t="s">
        <v>122</v>
      </c>
    </row>
    <row r="235" spans="1:1" ht="20.100000000000001" customHeight="1" x14ac:dyDescent="0.3">
      <c r="A235" s="19" t="s">
        <v>123</v>
      </c>
    </row>
    <row r="236" spans="1:1" ht="20.100000000000001" customHeight="1" x14ac:dyDescent="0.3">
      <c r="A236" s="21" t="s">
        <v>124</v>
      </c>
    </row>
    <row r="237" spans="1:1" ht="20.100000000000001" customHeight="1" x14ac:dyDescent="0.3">
      <c r="A237" s="19" t="s">
        <v>125</v>
      </c>
    </row>
    <row r="238" spans="1:1" ht="20.100000000000001" customHeight="1" x14ac:dyDescent="0.3">
      <c r="A238" s="19" t="s">
        <v>126</v>
      </c>
    </row>
    <row r="239" spans="1:1" ht="20.100000000000001" customHeight="1" x14ac:dyDescent="0.3">
      <c r="A239" s="19" t="s">
        <v>127</v>
      </c>
    </row>
    <row r="240" spans="1:1" ht="20.100000000000001" customHeight="1" x14ac:dyDescent="0.3">
      <c r="A240" s="19" t="s">
        <v>128</v>
      </c>
    </row>
    <row r="241" spans="1:1" ht="20.100000000000001" customHeight="1" x14ac:dyDescent="0.3">
      <c r="A241" s="19" t="s">
        <v>129</v>
      </c>
    </row>
    <row r="242" spans="1:1" ht="20.100000000000001" customHeight="1" x14ac:dyDescent="0.3">
      <c r="A242" s="19" t="s">
        <v>130</v>
      </c>
    </row>
    <row r="243" spans="1:1" ht="20.100000000000001" customHeight="1" x14ac:dyDescent="0.3">
      <c r="A243" s="19" t="s">
        <v>131</v>
      </c>
    </row>
    <row r="244" spans="1:1" ht="20.100000000000001" customHeight="1" x14ac:dyDescent="0.3">
      <c r="A244" s="19" t="s">
        <v>132</v>
      </c>
    </row>
    <row r="245" spans="1:1" ht="20.100000000000001" customHeight="1" x14ac:dyDescent="0.3">
      <c r="A245" s="19" t="s">
        <v>133</v>
      </c>
    </row>
    <row r="246" spans="1:1" ht="20.100000000000001" customHeight="1" x14ac:dyDescent="0.3">
      <c r="A246" s="19" t="s">
        <v>134</v>
      </c>
    </row>
    <row r="247" spans="1:1" ht="20.100000000000001" customHeight="1" x14ac:dyDescent="0.3">
      <c r="A247" s="19" t="s">
        <v>135</v>
      </c>
    </row>
    <row r="248" spans="1:1" ht="20.100000000000001" customHeight="1" x14ac:dyDescent="0.3">
      <c r="A248" s="19" t="s">
        <v>126</v>
      </c>
    </row>
    <row r="249" spans="1:1" ht="20.100000000000001" customHeight="1" x14ac:dyDescent="0.3">
      <c r="A249" s="19" t="s">
        <v>136</v>
      </c>
    </row>
    <row r="250" spans="1:1" ht="20.100000000000001" customHeight="1" x14ac:dyDescent="0.3">
      <c r="A250" s="19" t="s">
        <v>137</v>
      </c>
    </row>
    <row r="251" spans="1:1" ht="20.100000000000001" customHeight="1" x14ac:dyDescent="0.3">
      <c r="A251" s="21" t="s">
        <v>138</v>
      </c>
    </row>
    <row r="252" spans="1:1" ht="20.100000000000001" customHeight="1" x14ac:dyDescent="0.3">
      <c r="A252" s="22" t="s">
        <v>139</v>
      </c>
    </row>
    <row r="253" spans="1:1" ht="20.100000000000001" customHeight="1" x14ac:dyDescent="0.3">
      <c r="A253" s="19" t="s">
        <v>140</v>
      </c>
    </row>
    <row r="254" spans="1:1" ht="20.100000000000001" customHeight="1" x14ac:dyDescent="0.3">
      <c r="A254" s="19" t="s">
        <v>141</v>
      </c>
    </row>
    <row r="255" spans="1:1" ht="20.100000000000001" customHeight="1" x14ac:dyDescent="0.3">
      <c r="A255" s="23" t="s">
        <v>142</v>
      </c>
    </row>
    <row r="256" spans="1:1" ht="20.100000000000001" customHeight="1" x14ac:dyDescent="0.3">
      <c r="A256" s="23" t="s">
        <v>143</v>
      </c>
    </row>
    <row r="257" spans="1:1" ht="20.100000000000001" customHeight="1" x14ac:dyDescent="0.3">
      <c r="A257" s="24" t="s">
        <v>144</v>
      </c>
    </row>
    <row r="258" spans="1:1" ht="20.100000000000001" customHeight="1" x14ac:dyDescent="0.3">
      <c r="A258" s="19" t="s">
        <v>145</v>
      </c>
    </row>
    <row r="259" spans="1:1" ht="20.100000000000001" customHeight="1" x14ac:dyDescent="0.3">
      <c r="A259" s="24" t="s">
        <v>146</v>
      </c>
    </row>
    <row r="260" spans="1:1" ht="20.100000000000001" customHeight="1" x14ac:dyDescent="0.3">
      <c r="A260" s="19" t="s">
        <v>147</v>
      </c>
    </row>
    <row r="261" spans="1:1" ht="20.100000000000001" customHeight="1" x14ac:dyDescent="0.3">
      <c r="A261" s="24" t="s">
        <v>148</v>
      </c>
    </row>
    <row r="262" spans="1:1" ht="20.100000000000001" customHeight="1" x14ac:dyDescent="0.3">
      <c r="A262" s="19" t="s">
        <v>149</v>
      </c>
    </row>
    <row r="263" spans="1:1" ht="20.100000000000001" customHeight="1" x14ac:dyDescent="0.3">
      <c r="A263" s="19" t="s">
        <v>150</v>
      </c>
    </row>
    <row r="264" spans="1:1" ht="20.100000000000001" customHeight="1" x14ac:dyDescent="0.3">
      <c r="A264" s="24" t="s">
        <v>151</v>
      </c>
    </row>
    <row r="265" spans="1:1" ht="20.100000000000001" customHeight="1" x14ac:dyDescent="0.3">
      <c r="A265" s="24" t="s">
        <v>152</v>
      </c>
    </row>
    <row r="266" spans="1:1" ht="20.100000000000001" customHeight="1" x14ac:dyDescent="0.3">
      <c r="A266" s="24" t="s">
        <v>153</v>
      </c>
    </row>
    <row r="267" spans="1:1" ht="20.100000000000001" customHeight="1" x14ac:dyDescent="0.3">
      <c r="A267" s="19" t="s">
        <v>154</v>
      </c>
    </row>
    <row r="268" spans="1:1" ht="20.100000000000001" customHeight="1" x14ac:dyDescent="0.3">
      <c r="A268" s="19" t="s">
        <v>155</v>
      </c>
    </row>
    <row r="269" spans="1:1" ht="20.100000000000001" customHeight="1" x14ac:dyDescent="0.3">
      <c r="A269" s="19" t="s">
        <v>156</v>
      </c>
    </row>
    <row r="270" spans="1:1" ht="20.100000000000001" customHeight="1" x14ac:dyDescent="0.3">
      <c r="A270" s="19" t="s">
        <v>157</v>
      </c>
    </row>
    <row r="271" spans="1:1" ht="20.100000000000001" customHeight="1" x14ac:dyDescent="0.3">
      <c r="A271" s="24" t="s">
        <v>158</v>
      </c>
    </row>
    <row r="272" spans="1:1" ht="20.100000000000001" customHeight="1" x14ac:dyDescent="0.3">
      <c r="A272" s="24" t="s">
        <v>159</v>
      </c>
    </row>
    <row r="273" spans="1:1" ht="20.100000000000001" customHeight="1" x14ac:dyDescent="0.3">
      <c r="A273" s="19" t="s">
        <v>160</v>
      </c>
    </row>
    <row r="274" spans="1:1" ht="20.100000000000001" customHeight="1" x14ac:dyDescent="0.3">
      <c r="A274" s="24" t="s">
        <v>161</v>
      </c>
    </row>
    <row r="275" spans="1:1" ht="20.100000000000001" customHeight="1" x14ac:dyDescent="0.3">
      <c r="A275" s="24" t="s">
        <v>162</v>
      </c>
    </row>
    <row r="276" spans="1:1" ht="20.100000000000001" customHeight="1" x14ac:dyDescent="0.3">
      <c r="A276" s="19" t="s">
        <v>163</v>
      </c>
    </row>
    <row r="277" spans="1:1" ht="20.100000000000001" customHeight="1" x14ac:dyDescent="0.3">
      <c r="A277" s="19" t="s">
        <v>164</v>
      </c>
    </row>
    <row r="278" spans="1:1" ht="20.100000000000001" customHeight="1" x14ac:dyDescent="0.3">
      <c r="A278" s="24" t="s">
        <v>165</v>
      </c>
    </row>
    <row r="279" spans="1:1" ht="20.100000000000001" customHeight="1" x14ac:dyDescent="0.3">
      <c r="A279" s="19" t="s">
        <v>166</v>
      </c>
    </row>
    <row r="280" spans="1:1" ht="20.100000000000001" customHeight="1" x14ac:dyDescent="0.3">
      <c r="A280" s="19" t="s">
        <v>167</v>
      </c>
    </row>
    <row r="281" spans="1:1" ht="20.100000000000001" customHeight="1" x14ac:dyDescent="0.3">
      <c r="A281" s="19" t="s">
        <v>168</v>
      </c>
    </row>
    <row r="282" spans="1:1" ht="20.100000000000001" customHeight="1" x14ac:dyDescent="0.3">
      <c r="A282" s="19" t="s">
        <v>169</v>
      </c>
    </row>
    <row r="283" spans="1:1" ht="20.100000000000001" customHeight="1" x14ac:dyDescent="0.3">
      <c r="A283" s="24" t="s">
        <v>170</v>
      </c>
    </row>
    <row r="284" spans="1:1" ht="20.100000000000001" customHeight="1" x14ac:dyDescent="0.3">
      <c r="A284" s="24" t="s">
        <v>171</v>
      </c>
    </row>
    <row r="285" spans="1:1" ht="20.100000000000001" customHeight="1" x14ac:dyDescent="0.3">
      <c r="A285" s="24" t="s">
        <v>172</v>
      </c>
    </row>
    <row r="286" spans="1:1" ht="20.100000000000001" customHeight="1" thickBot="1" x14ac:dyDescent="0.35">
      <c r="A286" s="19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2025-10-25T16:00:22Z</dcterms:modified>
</cp:coreProperties>
</file>