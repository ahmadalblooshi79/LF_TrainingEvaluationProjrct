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55A5B4C3-08BA-403D-8E0A-15C65B455A9B}"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2" l="1"/>
  <c r="H10" i="2"/>
  <c r="G11" i="2"/>
  <c r="H11" i="2"/>
  <c r="G13" i="2"/>
  <c r="H13" i="2"/>
  <c r="G14" i="2"/>
  <c r="H14" i="2"/>
  <c r="G15" i="2"/>
  <c r="H15" i="2"/>
  <c r="G16" i="2"/>
  <c r="H16" i="2"/>
  <c r="G17" i="2"/>
  <c r="H17" i="2"/>
  <c r="G18" i="2"/>
  <c r="H18" i="2"/>
  <c r="G20" i="2"/>
  <c r="H20" i="2"/>
  <c r="G21" i="2"/>
  <c r="H21" i="2"/>
  <c r="G22" i="2"/>
  <c r="H22" i="2"/>
  <c r="G23" i="2"/>
  <c r="H23" i="2"/>
  <c r="G25" i="2"/>
  <c r="H25" i="2"/>
  <c r="G27" i="2"/>
  <c r="H27" i="2"/>
  <c r="G28" i="2"/>
  <c r="H28" i="2"/>
  <c r="G29" i="2"/>
  <c r="H29" i="2"/>
  <c r="G31" i="2"/>
  <c r="H31" i="2"/>
  <c r="G32" i="2"/>
  <c r="H32" i="2"/>
  <c r="G33" i="2"/>
  <c r="H33" i="2"/>
  <c r="G34" i="2"/>
  <c r="H34" i="2"/>
  <c r="G35" i="2"/>
  <c r="H35" i="2"/>
  <c r="G37" i="2"/>
  <c r="H37" i="2"/>
  <c r="G38" i="2"/>
  <c r="H38" i="2"/>
  <c r="G40" i="2"/>
  <c r="H40" i="2"/>
  <c r="G41" i="2"/>
  <c r="H41" i="2"/>
  <c r="G42" i="2"/>
  <c r="H42" i="2"/>
  <c r="G43" i="2"/>
  <c r="H43" i="2"/>
  <c r="G44" i="2"/>
  <c r="H44" i="2"/>
  <c r="G46" i="2"/>
  <c r="H46" i="2"/>
  <c r="G47" i="2"/>
  <c r="H47" i="2"/>
  <c r="G48" i="2"/>
  <c r="H48" i="2"/>
  <c r="G49" i="2"/>
  <c r="H49" i="2"/>
  <c r="G50" i="2"/>
  <c r="H50" i="2"/>
  <c r="G51" i="2"/>
  <c r="H51" i="2"/>
  <c r="G52" i="2"/>
  <c r="H52" i="2"/>
  <c r="F53" i="2"/>
  <c r="E53" i="2"/>
  <c r="E54" i="2"/>
  <c r="E55" i="2"/>
</calcChain>
</file>

<file path=xl/sharedStrings.xml><?xml version="1.0" encoding="utf-8"?>
<sst xmlns="http://schemas.openxmlformats.org/spreadsheetml/2006/main" count="280" uniqueCount="224">
  <si>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</si>
  <si>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</si>
  <si>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</si>
  <si>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</si>
  <si>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</si>
  <si>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</si>
  <si>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</si>
  <si>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</si>
  <si>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</si>
  <si>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</si>
  <si>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</si>
  <si>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</si>
  <si>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</si>
  <si>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</si>
  <si>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</si>
  <si>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</si>
  <si>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</si>
  <si>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</si>
  <si>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</si>
  <si>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</si>
  <si>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</si>
  <si>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</si>
  <si>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</si>
  <si>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</si>
  <si>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</si>
  <si>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</si>
  <si>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</si>
  <si>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</si>
  <si>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</si>
  <si>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</si>
  <si>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</si>
  <si>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</si>
  <si>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</si>
  <si>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</si>
  <si>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</si>
  <si>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</si>
  <si>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</si>
  <si>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</si>
  <si>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</si>
  <si>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</si>
  <si>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</si>
  <si>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</si>
  <si>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</si>
  <si>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</si>
  <si>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</si>
  <si>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</si>
  <si>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</si>
  <si>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</si>
  <si>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</si>
  <si>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</si>
  <si>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</si>
  <si>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</si>
  <si>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</si>
  <si>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</si>
  <si>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</si>
  <si>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</si>
  <si>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</si>
  <si>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</si>
  <si>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</si>
  <si>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</si>
  <si>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</si>
  <si>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</si>
  <si>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</si>
  <si>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</si>
  <si>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</si>
  <si>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</si>
  <si>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</si>
  <si>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</si>
  <si>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</si>
  <si>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</si>
  <si>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</si>
  <si>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</si>
  <si>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</si>
  <si>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</si>
  <si>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</si>
  <si>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</si>
  <si>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</si>
  <si>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</si>
  <si>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</si>
  <si>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</si>
  <si>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</si>
  <si>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</si>
  <si>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</si>
  <si>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</si>
  <si>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</si>
  <si>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</si>
  <si>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</si>
  <si>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</si>
  <si>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</si>
  <si>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</si>
  <si>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</si>
  <si>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</si>
  <si>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</si>
  <si>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</si>
  <si>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</si>
  <si>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</si>
  <si>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</si>
  <si>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</si>
  <si>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</si>
  <si>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</si>
  <si>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</si>
  <si>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</si>
  <si>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</si>
  <si>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</si>
  <si>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</si>
  <si>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</si>
  <si>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</si>
  <si>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</si>
  <si>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</si>
  <si>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</si>
  <si>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</si>
  <si>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</si>
  <si>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</si>
  <si>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</si>
  <si>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</si>
  <si>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</si>
  <si>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</si>
  <si>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</si>
  <si>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</si>
  <si>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</si>
  <si>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</si>
  <si>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</si>
  <si>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</si>
  <si>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</si>
  <si>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</si>
  <si>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</si>
  <si>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</si>
  <si>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</si>
  <si>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</si>
  <si>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</si>
  <si>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</si>
  <si>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</si>
  <si>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</si>
  <si>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</si>
  <si>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</si>
  <si>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</si>
  <si>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</si>
  <si>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</si>
  <si>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</si>
  <si>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</si>
  <si>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</si>
  <si>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</si>
  <si>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</si>
  <si>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</si>
  <si>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</si>
  <si>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</si>
  <si>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</si>
  <si>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</si>
  <si>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</si>
  <si>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</si>
  <si>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</si>
  <si>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</si>
  <si>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</si>
  <si>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</si>
  <si>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</si>
  <si>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</si>
  <si>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</si>
  <si>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</si>
  <si>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</si>
  <si>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</si>
  <si>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</si>
  <si>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</si>
  <si>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</si>
  <si>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</si>
  <si>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</si>
  <si>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</si>
  <si>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</si>
  <si>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</si>
  <si>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</si>
  <si>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</si>
  <si>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</si>
  <si>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</si>
  <si>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</si>
  <si>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</si>
  <si>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</si>
  <si>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t>تقييم السرية/فريق القتال في تنفيذ الهجوم السريع - تمرين لعبات حرب مجموعة لواء الإمارات/1 (رياح الصحراء 2025/19)</t>
  </si>
  <si>
    <t>إجراءات التخطيط.</t>
  </si>
  <si>
    <r>
      <t xml:space="preserve">أ.    البدء بالتخطيط من خلال إجراءات المعركة الثمانية </t>
    </r>
    <r>
      <rPr>
        <sz val="12"/>
        <color theme="1"/>
        <rFont val="Arial"/>
        <family val="2"/>
      </rPr>
      <t>(استلام المهمة - إصدار الأمر الإنذاري - عمل خطة أولية - بدء الحركة – الاستطلاع - إكمال الخطة - إصدار الأمر – الإشراف والمراقبة)</t>
    </r>
    <r>
      <rPr>
        <sz val="12"/>
        <color rgb="FF000000"/>
        <rFont val="Arial"/>
        <family val="2"/>
      </rPr>
      <t>.</t>
    </r>
  </si>
  <si>
    <t>ب.   تنفيذ الاستطلاع من الخارطة.</t>
  </si>
  <si>
    <t>جـ.   إعداد وتطوير خطة المناورة لتشمل ما يلي:</t>
  </si>
  <si>
    <t>(1)   التجميع للواجب بما يتلاءم مع المهمة.</t>
  </si>
  <si>
    <t>(2)   استخدام أحد الفصائل للعمل كقوة استطلاع إذا لم يكن هناك استطلاع تخصصي امام السرية.</t>
  </si>
  <si>
    <t>(3)   استخدام تشكيلة الحركة التي تُمكِّن من الانفتاح بسرعة والهجوم من أي اتجاه، وأن تكون الوحدات ضمن مسافات تمكنها من إسناد بعضها البعض لتسهيل رد الفعل.</t>
  </si>
  <si>
    <t xml:space="preserve">(4)   الحصول على التماس مع العدو بأصغر قوة ممكنة والمحافظة على حماية القوة لجميع الجهات. </t>
  </si>
  <si>
    <t>(5)  المحافظة على إمكانية حشد النيران بسرعة من أي اتجاه.</t>
  </si>
  <si>
    <t xml:space="preserve">د.   مراجعة إجراءات السيطرة الموضوعة من قبل الكتيبة/ مجموعة القتال وإضافة أي إجراءات سيطرة ضرورية على مستوى السرية. </t>
  </si>
  <si>
    <t>هـ.  تنسيق ومزامنة الوظائف القتالية التالية بناءً على متغيرات المهمة:</t>
  </si>
  <si>
    <t>(1)  إسناد النيران غير المباشرة.</t>
  </si>
  <si>
    <t>(2)  الإسناد الهندسي مع خطة المناورة.</t>
  </si>
  <si>
    <t>(3)  الإسناد الإداري قبل وأثناء العملية.</t>
  </si>
  <si>
    <t>إجراءات التحضير.</t>
  </si>
  <si>
    <t>أ.   تنقيح الخطة بناءً على التحديث المستمر للمعلومات الاستخبارية.</t>
  </si>
  <si>
    <t>ب.  تنفيذ تفقدات وتفتيشات ما قبل القتال.</t>
  </si>
  <si>
    <t>جـ.  التنسيق مع الوحدات المجاورة حسب الحاجة.</t>
  </si>
  <si>
    <t>أ.   أسلوب الحركة والتشكيلات.</t>
  </si>
  <si>
    <t>ب.  الإجراءات عند التماس.</t>
  </si>
  <si>
    <t>جـ.  التعامل مع الموانع.</t>
  </si>
  <si>
    <t>د.   إجراءات التحول للهجوم عند التماس مع العدو.</t>
  </si>
  <si>
    <t>إجراءات التنفيذ.</t>
  </si>
  <si>
    <t>أ.   الرد على العدو.</t>
  </si>
  <si>
    <t>ب.  إبلاغ المستوى الأعلى بحصول التماس.</t>
  </si>
  <si>
    <t>جـ.  تطوير الموقف.</t>
  </si>
  <si>
    <t xml:space="preserve">د.  الاستطلاع من الأرض من قبل قائد السرية. </t>
  </si>
  <si>
    <t>هـ.  إرسال تقرير مفصل للمستوى الأعلى بالموقف والتوصية بعمل ممكن للمستوى الأعلى (قوات العدو ضمن إمكانيات السرية).</t>
  </si>
  <si>
    <t>أ.   يصدر قائد السرية أوامره لقادة الفصائل باستخدام الجهاز اللاسلكي موضحاً لهم المهمة ومفهوم العمليات (المناورة والنيران).</t>
  </si>
  <si>
    <t>ب.   تخصيص أحد الفصائل ليقوم بتأسيس قاعدة إسناد بالنيران (يفضل أن يكون الفصيل الذي قام بالاشتباك الأولي مع العدو).</t>
  </si>
  <si>
    <t xml:space="preserve">جـ.   تقوم قاعدة الإسناد بالنيران بإسكات العدو. </t>
  </si>
  <si>
    <t>د.   طلب النيران غير المباشرة لإسكات أو حجب العدو وتوفير ساتر لمناورة السرية.</t>
  </si>
  <si>
    <t>هـ.   المناورة بباقي فصائل السرية بشكل جريء خارج مدى النيران المباشرة للعدو واستخدام الطرق التي تؤمن التخفية والتستر.</t>
  </si>
  <si>
    <t>و.   عند وصول عناصر المناورة إلى موقع يوفر الأفضلية، يمكن تنفيذ هجوم بالنار أو الاقتحام لتدمير قوات العدو.</t>
  </si>
  <si>
    <r>
      <t>1.</t>
    </r>
    <r>
      <rPr>
        <sz val="7"/>
        <color theme="1"/>
        <rFont val="Arial"/>
        <family val="2"/>
      </rPr>
      <t xml:space="preserve"> </t>
    </r>
    <r>
      <rPr>
        <sz val="12"/>
        <color rgb="FF000000"/>
        <rFont val="Arial"/>
        <family val="2"/>
      </rPr>
      <t>تستلم السرية الأمر من المستوى الأعلى لتنفيذ التقدم للتماس وتقوم بما يلي:</t>
    </r>
  </si>
  <si>
    <r>
      <t>2.</t>
    </r>
    <r>
      <rPr>
        <sz val="7"/>
        <color rgb="FF000000"/>
        <rFont val="Arial"/>
        <family val="2"/>
      </rPr>
      <t xml:space="preserve">  </t>
    </r>
    <r>
      <rPr>
        <sz val="12"/>
        <color rgb="FF000000"/>
        <rFont val="Arial"/>
        <family val="2"/>
      </rPr>
      <t xml:space="preserve">  إصدار أمر العمليات للوحدات المرؤوسة.</t>
    </r>
  </si>
  <si>
    <r>
      <t>1.</t>
    </r>
    <r>
      <rPr>
        <sz val="7"/>
        <color theme="1"/>
        <rFont val="Arial"/>
        <family val="2"/>
      </rPr>
      <t xml:space="preserve">  </t>
    </r>
    <r>
      <rPr>
        <sz val="12"/>
        <color rgb="FF000000"/>
        <rFont val="Arial"/>
        <family val="2"/>
      </rPr>
      <t xml:space="preserve">  تقوم قيادة السرية بالإشراف على الوحدات المرؤوسة أثناء تحضيرها للتقدم للتماس.</t>
    </r>
  </si>
  <si>
    <r>
      <t>2.</t>
    </r>
    <r>
      <rPr>
        <sz val="7"/>
        <color theme="1"/>
        <rFont val="Arial"/>
        <family val="2"/>
      </rPr>
      <t xml:space="preserve">  </t>
    </r>
    <r>
      <rPr>
        <sz val="12"/>
        <color rgb="FF000000"/>
        <rFont val="Arial"/>
        <family val="2"/>
      </rPr>
      <t xml:space="preserve">  تنفذ قيادة السرية الإجراءات التالية:</t>
    </r>
  </si>
  <si>
    <r>
      <t>3.</t>
    </r>
    <r>
      <rPr>
        <sz val="7"/>
        <color theme="1"/>
        <rFont val="Arial"/>
        <family val="2"/>
      </rPr>
      <t xml:space="preserve">  </t>
    </r>
    <r>
      <rPr>
        <sz val="12"/>
        <color rgb="FF000000"/>
        <rFont val="Arial"/>
        <family val="2"/>
      </rPr>
      <t xml:space="preserve">  إجراء التجارب على تنفيذ المهمة لتشمل ما يلي:</t>
    </r>
  </si>
  <si>
    <r>
      <t>4.</t>
    </r>
    <r>
      <rPr>
        <sz val="7"/>
        <color rgb="FF000000"/>
        <rFont val="Arial"/>
        <family val="2"/>
      </rPr>
      <t xml:space="preserve">   </t>
    </r>
    <r>
      <rPr>
        <sz val="12"/>
        <color rgb="FF000000"/>
        <rFont val="Arial"/>
        <family val="2"/>
      </rPr>
      <t xml:space="preserve">  توضيع القوات لبدء الحركة حسب دورها في الخطة.</t>
    </r>
  </si>
  <si>
    <r>
      <t>1.</t>
    </r>
    <r>
      <rPr>
        <sz val="7"/>
        <color theme="1"/>
        <rFont val="Arial"/>
        <family val="2"/>
      </rPr>
      <t xml:space="preserve">  </t>
    </r>
    <r>
      <rPr>
        <sz val="12"/>
        <color rgb="FF000000"/>
        <rFont val="Arial"/>
        <family val="2"/>
      </rPr>
      <t xml:space="preserve">  الحركة من منطقة التجمع حسب أولوية الحركة والخطة الموضوعة.</t>
    </r>
  </si>
  <si>
    <r>
      <t>2.</t>
    </r>
    <r>
      <rPr>
        <sz val="7"/>
        <color rgb="FF000000"/>
        <rFont val="Arial"/>
        <family val="2"/>
      </rPr>
      <t xml:space="preserve">   </t>
    </r>
    <r>
      <rPr>
        <sz val="12"/>
        <color rgb="FF000000"/>
        <rFont val="Arial"/>
        <family val="2"/>
      </rPr>
      <t xml:space="preserve">  إرسال المعلومات للمستوى الأعلى وحسب الأوامر التعبوية المستديمة.</t>
    </r>
  </si>
  <si>
    <r>
      <t>3.</t>
    </r>
    <r>
      <rPr>
        <sz val="7"/>
        <color rgb="FF000000"/>
        <rFont val="Arial"/>
        <family val="2"/>
      </rPr>
      <t xml:space="preserve">   </t>
    </r>
    <r>
      <rPr>
        <sz val="12"/>
        <color rgb="FF000000"/>
        <rFont val="Arial"/>
        <family val="2"/>
      </rPr>
      <t xml:space="preserve">  تطبيق إجراءات العمل عند التماس مع العدو وكما يلي:</t>
    </r>
  </si>
  <si>
    <r>
      <t>4.</t>
    </r>
    <r>
      <rPr>
        <sz val="7"/>
        <color theme="1"/>
        <rFont val="Arial"/>
        <family val="2"/>
      </rPr>
      <t xml:space="preserve">  </t>
    </r>
    <r>
      <rPr>
        <sz val="12"/>
        <color rgb="FF000000"/>
        <rFont val="Arial"/>
        <family val="2"/>
      </rPr>
      <t xml:space="preserve">  تنفيذ العمل الممكن للتعامل مع قوات العدو من خلال الهجوم السريع وكما يلي:</t>
    </r>
  </si>
  <si>
    <r>
      <t>5.</t>
    </r>
    <r>
      <rPr>
        <sz val="7"/>
        <color theme="1"/>
        <rFont val="Arial"/>
        <family val="2"/>
      </rPr>
      <t xml:space="preserve">  </t>
    </r>
    <r>
      <rPr>
        <sz val="12"/>
        <color rgb="FF000000"/>
        <rFont val="Arial"/>
        <family val="2"/>
      </rPr>
      <t xml:space="preserve">  بعد تدمير قوات العدو يتم إرسال تقرير بالموقف لقيادة الكتيبة/ مجموعة القتال.</t>
    </r>
  </si>
  <si>
    <r>
      <t xml:space="preserve">ملاحظـــات: 
</t>
    </r>
    <r>
      <rPr>
        <sz val="14"/>
        <color rgb="FF000000"/>
        <rFont val="Arial"/>
        <family val="2"/>
      </rPr>
      <t>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</si>
  <si>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النقيب/ عبدالله سعيد النعيمي</t>
  </si>
  <si>
    <t>العقيد الركن/ سيف الراشدي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</si>
</sst>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10"/>
      <color theme="1"/>
      <name val="Arial"/>
      <family val="2"/>
    </font>
    <font>
      <sz val="14"/>
      <color theme="1"/>
      <name val="Arial"/>
      <family val="2"/>
    </font>
    <font>
      <sz val="7"/>
      <color theme="1"/>
      <name val="Arial"/>
      <family val="2"/>
    </font>
    <font>
      <sz val="7"/>
      <color rgb="FF000000"/>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s>
  <borders count="28">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5" fillId="0" borderId="3" xfId="0" applyFont="1" applyBorder="1" applyAlignment="1">
      <alignment vertical="center" wrapText="1"/>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13" fillId="0" borderId="23"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16" fillId="0" borderId="23" xfId="0" applyFont="1" applyBorder="1" applyAlignment="1">
      <alignment horizontal="right" vertical="center" wrapText="1" readingOrder="2"/>
    </xf>
    <xf numFmtId="0" fontId="16" fillId="0" borderId="3" xfId="0" applyFont="1" applyBorder="1" applyAlignment="1">
      <alignment horizontal="right" vertical="center" wrapText="1" readingOrder="2"/>
    </xf>
    <xf numFmtId="0" fontId="13" fillId="0" borderId="23" xfId="0" applyFont="1" applyBorder="1" applyAlignment="1">
      <alignment horizontal="right" vertical="center" wrapText="1" indent="4" readingOrder="2"/>
    </xf>
    <xf numFmtId="0" fontId="13" fillId="0" borderId="3" xfId="0" applyFont="1" applyBorder="1" applyAlignment="1">
      <alignment horizontal="right" vertical="center" wrapText="1" indent="4" readingOrder="2"/>
    </xf>
    <xf numFmtId="0" fontId="13" fillId="0" borderId="11" xfId="0" applyFont="1" applyBorder="1" applyAlignment="1">
      <alignment horizontal="right" vertical="center" wrapText="1" readingOrder="2"/>
    </xf>
    <xf numFmtId="0" fontId="13" fillId="0" borderId="12" xfId="0" applyFont="1" applyBorder="1" applyAlignment="1">
      <alignment horizontal="right" vertical="center" wrapText="1" readingOrder="2"/>
    </xf>
    <xf numFmtId="0" fontId="1" fillId="5" borderId="24" xfId="0" applyFont="1" applyFill="1" applyBorder="1" applyAlignment="1">
      <alignment horizontal="right" vertical="center" wrapText="1" readingOrder="2"/>
    </xf>
    <xf numFmtId="0" fontId="1" fillId="5" borderId="25" xfId="0" applyFont="1" applyFill="1" applyBorder="1" applyAlignment="1">
      <alignment horizontal="right" vertical="center" wrapText="1" readingOrder="2"/>
    </xf>
    <xf numFmtId="0" fontId="1" fillId="5" borderId="26" xfId="0" applyFont="1" applyFill="1" applyBorder="1" applyAlignment="1">
      <alignment horizontal="right" vertical="center" wrapText="1" readingOrder="2"/>
    </xf>
    <xf numFmtId="0" fontId="13" fillId="0" borderId="23" xfId="0" applyFont="1" applyBorder="1" applyAlignment="1">
      <alignment horizontal="right" vertical="center" wrapText="1" readingOrder="2"/>
    </xf>
    <xf numFmtId="0" fontId="13" fillId="0" borderId="3" xfId="0" applyFont="1" applyBorder="1" applyAlignment="1">
      <alignment horizontal="right" vertical="center" wrapText="1" readingOrder="2"/>
    </xf>
    <xf numFmtId="0" fontId="16" fillId="0" borderId="11" xfId="0" applyFont="1" applyBorder="1" applyAlignment="1">
      <alignment horizontal="right" vertical="center" wrapText="1" readingOrder="2"/>
    </xf>
    <xf numFmtId="0" fontId="16" fillId="0" borderId="12" xfId="0" applyFont="1" applyBorder="1" applyAlignment="1">
      <alignment horizontal="right" vertical="center" wrapText="1" readingOrder="2"/>
    </xf>
    <xf numFmtId="0" fontId="6" fillId="0" borderId="27" xfId="0" applyFont="1" applyBorder="1" applyAlignment="1" applyProtection="1">
      <alignment horizontal="center" vertical="center" wrapText="1"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customXml" Target="../ink/ink5.xml"/></Relationships>
</file>

<file path=xl/drawings/drawing1.xml><?xml version="1.0" encoding="utf-8"?>
<xdr:wsDr xmlns:xdr="http://schemas.openxmlformats.org/drawingml/2006/spreadsheetDrawing" xmlns:a="http://schemas.openxmlformats.org/drawingml/2006/main">
  <xdr:twoCellAnchor editAs="oneCell">
    <xdr:from>
      <xdr:col>6</xdr:col>
      <xdr:colOff>251385</xdr:colOff>
      <xdr:row>56</xdr:row>
      <xdr:rowOff>197220</xdr:rowOff>
    </xdr:from>
    <xdr:to>
      <xdr:col>7</xdr:col>
      <xdr:colOff>233735</xdr:colOff>
      <xdr:row>56</xdr:row>
      <xdr:rowOff>378300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2889BE7-1D77-5E78-73B8-67DFE9719F61}"/>
                </a:ext>
              </a:extLst>
            </xdr14:cNvPr>
            <xdr14:cNvContentPartPr/>
          </xdr14:nvContentPartPr>
          <xdr14:nvPr macro=""/>
          <xdr14:xfrm>
            <a:off x="10399669265" y="27819720"/>
            <a:ext cx="640440" cy="181080"/>
          </xdr14:xfrm>
        </xdr:contentPart>
      </mc:Choice>
      <mc:Fallback xmlns="">
        <xdr:pic>
          <xdr:nvPicPr>
            <xdr:cNvPr id="2" name="Ink 1">
              <a:extLst>
                <a:ext uri="{FF2B5EF4-FFF2-40B4-BE49-F238E27FC236}">
                  <a16:creationId xmlns:a16="http://schemas.microsoft.com/office/drawing/2014/main" id="{92889BE7-1D77-5E78-73B8-67DFE9719F61}"/>
                </a:ext>
              </a:extLst>
            </xdr:cNvPr>
            <xdr:cNvPicPr/>
          </xdr:nvPicPr>
          <xdr:blipFill>
            <a:blip xmlns:r="http://schemas.openxmlformats.org/officeDocument/2006/relationships" r:embed="rId2"/>
            <a:stretch>
              <a:fillRect/>
            </a:stretch>
          </xdr:blipFill>
          <xdr:spPr>
            <a:xfrm>
              <a:off x="10399663145" y="27813600"/>
              <a:ext cx="652680" cy="193320"/>
            </a:xfrm>
            <a:prstGeom prst="rect">
              <a:avLst/>
            </a:prstGeom>
          </xdr:spPr>
        </xdr:pic>
      </mc:Fallback>
    </mc:AlternateContent>
    <xdr:clientData/>
  </xdr:twoCellAnchor>
  <xdr:twoCellAnchor editAs="oneCell">
    <xdr:from>
      <xdr:col>6</xdr:col>
      <xdr:colOff>646305</xdr:colOff>
      <xdr:row>56</xdr:row>
      <xdr:rowOff>601500</xdr:rowOff>
    </xdr:from>
    <xdr:to>
      <xdr:col>7</xdr:col>
      <xdr:colOff>815</xdr:colOff>
      <xdr:row>56</xdr:row>
      <xdr:rowOff>601860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5C99CA47-B393-09A7-26FD-2C26A7639463}"/>
                </a:ext>
              </a:extLst>
            </xdr14:cNvPr>
            <xdr14:cNvContentPartPr/>
          </xdr14:nvContentPartPr>
          <xdr14:nvPr macro=""/>
          <xdr14:xfrm>
            <a:off x="10399902185" y="28224000"/>
            <a:ext cx="12600" cy="360"/>
          </xdr14:xfrm>
        </xdr:contentPart>
      </mc:Choice>
      <mc:Fallback xmlns="">
        <xdr:pic>
          <xdr:nvPicPr>
            <xdr:cNvPr id="3" name="Ink 2">
              <a:extLst>
                <a:ext uri="{FF2B5EF4-FFF2-40B4-BE49-F238E27FC236}">
                  <a16:creationId xmlns:a16="http://schemas.microsoft.com/office/drawing/2014/main" id="{5C99CA47-B393-09A7-26FD-2C26A7639463}"/>
                </a:ext>
              </a:extLst>
            </xdr:cNvPr>
            <xdr:cNvPicPr/>
          </xdr:nvPicPr>
          <xdr:blipFill>
            <a:blip xmlns:r="http://schemas.openxmlformats.org/officeDocument/2006/relationships" r:embed="rId4"/>
            <a:stretch>
              <a:fillRect/>
            </a:stretch>
          </xdr:blipFill>
          <xdr:spPr>
            <a:xfrm>
              <a:off x="10399896065" y="28217880"/>
              <a:ext cx="24840" cy="12600"/>
            </a:xfrm>
            <a:prstGeom prst="rect">
              <a:avLst/>
            </a:prstGeom>
          </xdr:spPr>
        </xdr:pic>
      </mc:Fallback>
    </mc:AlternateContent>
    <xdr:clientData/>
  </xdr:twoCellAnchor>
  <xdr:twoCellAnchor editAs="oneCell">
    <xdr:from>
      <xdr:col>7</xdr:col>
      <xdr:colOff>244535</xdr:colOff>
      <xdr:row>56</xdr:row>
      <xdr:rowOff>503220</xdr:rowOff>
    </xdr:from>
    <xdr:to>
      <xdr:col>7</xdr:col>
      <xdr:colOff>317615</xdr:colOff>
      <xdr:row>56</xdr:row>
      <xdr:rowOff>630660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4B9F6885-C46E-1C1D-DFA4-81810CC751F5}"/>
                </a:ext>
              </a:extLst>
            </xdr14:cNvPr>
            <xdr14:cNvContentPartPr/>
          </xdr14:nvContentPartPr>
          <xdr14:nvPr macro=""/>
          <xdr14:xfrm>
            <a:off x="10399585385" y="28125720"/>
            <a:ext cx="73080" cy="127440"/>
          </xdr14:xfrm>
        </xdr:contentPart>
      </mc:Choice>
      <mc:Fallback xmlns="">
        <xdr:pic>
          <xdr:nvPicPr>
            <xdr:cNvPr id="4" name="Ink 3">
              <a:extLst>
                <a:ext uri="{FF2B5EF4-FFF2-40B4-BE49-F238E27FC236}">
                  <a16:creationId xmlns:a16="http://schemas.microsoft.com/office/drawing/2014/main" id="{4B9F6885-C46E-1C1D-DFA4-81810CC751F5}"/>
                </a:ext>
              </a:extLst>
            </xdr:cNvPr>
            <xdr:cNvPicPr/>
          </xdr:nvPicPr>
          <xdr:blipFill>
            <a:blip xmlns:r="http://schemas.openxmlformats.org/officeDocument/2006/relationships" r:embed="rId6"/>
            <a:stretch>
              <a:fillRect/>
            </a:stretch>
          </xdr:blipFill>
          <xdr:spPr>
            <a:xfrm>
              <a:off x="10399579265" y="28119600"/>
              <a:ext cx="85320" cy="139680"/>
            </a:xfrm>
            <a:prstGeom prst="rect">
              <a:avLst/>
            </a:prstGeom>
          </xdr:spPr>
        </xdr:pic>
      </mc:Fallback>
    </mc:AlternateContent>
    <xdr:clientData/>
  </xdr:twoCellAnchor>
  <xdr:twoCellAnchor editAs="oneCell">
    <xdr:from>
      <xdr:col>6</xdr:col>
      <xdr:colOff>251385</xdr:colOff>
      <xdr:row>56</xdr:row>
      <xdr:rowOff>41340</xdr:rowOff>
    </xdr:from>
    <xdr:to>
      <xdr:col>8</xdr:col>
      <xdr:colOff>528924</xdr:colOff>
      <xdr:row>56</xdr:row>
      <xdr:rowOff>585300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F1BD8912-290D-72CD-902B-844B6D88BEB0}"/>
                </a:ext>
              </a:extLst>
            </xdr14:cNvPr>
            <xdr14:cNvContentPartPr/>
          </xdr14:nvContentPartPr>
          <xdr14:nvPr macro=""/>
          <xdr14:xfrm>
            <a:off x="10398715985" y="27663840"/>
            <a:ext cx="1593720" cy="543960"/>
          </xdr14:xfrm>
        </xdr:contentPart>
      </mc:Choice>
      <mc:Fallback xmlns="">
        <xdr:pic>
          <xdr:nvPicPr>
            <xdr:cNvPr id="5" name="Ink 4">
              <a:extLst>
                <a:ext uri="{FF2B5EF4-FFF2-40B4-BE49-F238E27FC236}">
                  <a16:creationId xmlns:a16="http://schemas.microsoft.com/office/drawing/2014/main" id="{F1BD8912-290D-72CD-902B-844B6D88BEB0}"/>
                </a:ext>
              </a:extLst>
            </xdr:cNvPr>
            <xdr:cNvPicPr/>
          </xdr:nvPicPr>
          <xdr:blipFill>
            <a:blip xmlns:r="http://schemas.openxmlformats.org/officeDocument/2006/relationships" r:embed="rId8"/>
            <a:stretch>
              <a:fillRect/>
            </a:stretch>
          </xdr:blipFill>
          <xdr:spPr>
            <a:xfrm>
              <a:off x="10398709865" y="27657720"/>
              <a:ext cx="1605960" cy="556200"/>
            </a:xfrm>
            <a:prstGeom prst="rect">
              <a:avLst/>
            </a:prstGeom>
          </xdr:spPr>
        </xdr:pic>
      </mc:Fallback>
    </mc:AlternateContent>
    <xdr:clientData/>
  </xdr:twoCellAnchor>
  <xdr:twoCellAnchor editAs="oneCell">
    <xdr:from>
      <xdr:col>6</xdr:col>
      <xdr:colOff>80745</xdr:colOff>
      <xdr:row>56</xdr:row>
      <xdr:rowOff>434100</xdr:rowOff>
    </xdr:from>
    <xdr:to>
      <xdr:col>6</xdr:col>
      <xdr:colOff>81105</xdr:colOff>
      <xdr:row>56</xdr:row>
      <xdr:rowOff>434460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8B3764B9-6AB1-3E80-2286-4A83F248CDB7}"/>
                </a:ext>
              </a:extLst>
            </xdr14:cNvPr>
            <xdr14:cNvContentPartPr/>
          </xdr14:nvContentPartPr>
          <xdr14:nvPr macro=""/>
          <xdr14:xfrm>
            <a:off x="10400479985" y="28056600"/>
            <a:ext cx="360" cy="360"/>
          </xdr14:xfrm>
        </xdr:contentPart>
      </mc:Choice>
      <mc:Fallback xmlns="">
        <xdr:pic>
          <xdr:nvPicPr>
            <xdr:cNvPr id="6" name="Ink 5">
              <a:extLst>
                <a:ext uri="{FF2B5EF4-FFF2-40B4-BE49-F238E27FC236}">
                  <a16:creationId xmlns:a16="http://schemas.microsoft.com/office/drawing/2014/main" id="{8B3764B9-6AB1-3E80-2286-4A83F248CDB7}"/>
                </a:ext>
              </a:extLst>
            </xdr:cNvPr>
            <xdr:cNvPicPr/>
          </xdr:nvPicPr>
          <xdr:blipFill>
            <a:blip xmlns:r="http://schemas.openxmlformats.org/officeDocument/2006/relationships" r:embed="rId10"/>
            <a:stretch>
              <a:fillRect/>
            </a:stretch>
          </xdr:blipFill>
          <xdr:spPr>
            <a:xfrm>
              <a:off x="10400473865" y="2805048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42:30.868"/>
    </inkml:context>
    <inkml:brush xml:id="br0">
      <inkml:brushProperty name="width" value="0.035" units="cm"/>
      <inkml:brushProperty name="height" value="0.035" units="cm"/>
    </inkml:brush>
  </inkml:definitions>
  <inkml:trace contextRef="#ctx0" brushRef="#br0">1236 1,'0'0,"0"0,0 0,0 0,0 0,0 0,0 0,0 0,0 0,0 0,0 0,0 0,0 0,0 0,0 0,0 0,0 0,0 0,0 0,0 0,0 0,0 0,0 0,0 0,0 0,0 0,0 0,0 0,0 0,0 0,0 0,0 0,0 0,0 0,0 0,0 0,0 0,0 16,0 0,0-8,0 0,-14 8,9-12,10 40,-5-28,0-12,0 24,-16-12,11-11,10 6,-5 5,0-11,0 6,0 5,0-11,16 6,-16 5,2-16,10 0,4 16,-11-11,7-10,1 21,-8-11,23-10,2 5,-20 0,11 0,26 0,-33 0,4 0,29-16,-33 11,3 10,13-5,-18-5,9-6,9 11,-21 0,-1 0,22-16,-21 11,-2 10,7-5,-7 0,2 0,-2 0,-30 16,-7-16,20 0,-10 16,-27 0,30-11,-14 6,-32 5,45-11,-26 6,-17 21,40-21,-5-6,-37 11,45-10,-10 5,-19 5,33-12,-3 8,-15 4,22-11,-10-10,3 21,13-11,-6-10,-7 5,13 0,-7-16,3 8,1 16,7-24,0 10,-16-4,-1-6,13 10,-5 12,-24-23,24 12,4-6,-11-5,11 11,-7 10,-18-5,20 0,3 0,-23 0,21 0,2 0,-23 0,20 0,-10 16,-13-16,23 0,5 0,-27 16,22-10,6-12,-13 6,13 0,-22 0,9 0,17 0,0-16,-15 0,10 11,10-6,-5 9,-15-12,15-2,0 11,-16 10,14-5,4-16,-32 16,20 0,-13 0,-7 0,20 0,-27 16,-10-16,31 0,-14 16,-17 0,31-11,-14 6,-1-11,22 0,-14 16,-9-16,24 0,-14 16,6-16,11 0,-7 0,-1 0,6 0,14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42:31.374"/>
    </inkml:context>
    <inkml:brush xml:id="br0">
      <inkml:brushProperty name="width" value="0.035" units="cm"/>
      <inkml:brushProperty name="height" value="0.035" units="cm"/>
    </inkml:brush>
  </inkml:definitions>
  <inkml:trace contextRef="#ctx0" brushRef="#br0">1 0,'0'0,"0"0,0 0,0 0,0 0,0 0,0 0,0 0,0 0,17 0,-15 0,12 0,-14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42:32.134"/>
    </inkml:context>
    <inkml:brush xml:id="br0">
      <inkml:brushProperty name="width" value="0.035" units="cm"/>
      <inkml:brushProperty name="height" value="0.035" units="cm"/>
    </inkml:brush>
  </inkml:definitions>
  <inkml:trace contextRef="#ctx0" brushRef="#br0">0 0,'0'0,"0"0,0 0,0 0,0 0,0 0,0 0,0 0,0 0,0 0,15 16,-13-13,-4 11,19 18,-15-27,27 22,5 37,-30-54,23 60,38 26,-56-80,-18-32</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42:33.629"/>
    </inkml:context>
    <inkml:brush xml:id="br0">
      <inkml:brushProperty name="width" value="0.035" units="cm"/>
      <inkml:brushProperty name="height" value="0.035" units="cm"/>
    </inkml:brush>
  </inkml:definitions>
  <inkml:trace contextRef="#ctx0" brushRef="#br0">2059 434,'0'0,"0"0,0 0,0 16,17 0,-15-14,-4 12,16 18,-11-27,10 22,-13 5,0-27,17 38,-3 5,-11-41,10 34,-13 8,0-41,0 32,0 9,0-43,0 36,-16 6,16-41,-31 18,15 7,16-27,-31 22,-15-11,41-14,-21 12,-21-14,40 0,-50 0,10-16,43 14,-39-12,-20-18,54 27,-29-6,-9-21,40 27,-16-38,-24 11,40 27,-17-39,8 12,13 28,-10-40,-2 11,13 28,4-38,-2 11,0 27,15-38,1 11,-14 27,27-22,4 11,-31 13,26-10,2-3,-25 13,23-10,-14 13,-11 0,27 0,1 0,-27 0,8 0,2 0,-11 0,-6 16,3 0,0-14,0 12,-14 2,12-14,-29 28,1 2,25-27,-84 54,-5 5,80-55,-97 79,-29-7,118-70,-130 74,-3 11,131-82,-126 52,-21 30,145-81,-42 19,-26-2,80-28,-49 24,-1 4,55-27,-28 6,-10 5,42-14,-7 12,-19-14,27 0,-22 16,-7 0,30-14,-8-4,1 2,34-16,23 0,64-32,-95 41,108-50,64-8,-160 56,162-62,92-25,-235 81,221-82,74-15,-287 95,252-95,36-1,-291 96,225-62,37-33,-269 96,206-81,31 1,-235 81,140-50,-13 1,-148 54,73-28,-22 6,-65 26,39-4,-4 10,-40 0,-30 16,9-16,11 0,-11 16,-16 0,22-14,-17 12,-22 18,40-27,-16 6,-25 21,41-27,-33 22,10-11,23-13,-3 26,-6-13,16-13,0 26,16-13,-13-13,-6-6</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42:34.239"/>
    </inkml:context>
    <inkml:brush xml:id="br0">
      <inkml:brushProperty name="width" value="0.035" units="cm"/>
      <inkml:brushProperty name="height" value="0.035" units="cm"/>
    </inkml:brush>
  </inkml:definitions>
  <inkml:trace contextRef="#ctx0" brushRef="#br0">0 0,'0'0,"0"0,0 0,0 0,0 0,0 0,0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7"/>
  <sheetViews>
    <sheetView rightToLeft="1" tabSelected="1" view="pageBreakPreview" topLeftCell="A49" zoomScale="130" zoomScaleNormal="100" zoomScaleSheetLayoutView="130" workbookViewId="0">
      <selection activeCell="F4" sqref="F4:J4"/>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5" t="s">
        <v>175</v>
      </c>
      <c r="C1" s="65"/>
      <c r="D1" s="65"/>
      <c r="E1" s="65"/>
      <c r="F1" s="65"/>
      <c r="G1" s="65"/>
      <c r="H1" s="65"/>
      <c r="I1" s="65"/>
      <c r="J1" s="65"/>
    </row>
    <row r="2" spans="1:10" ht="30" customHeight="1" x14ac:dyDescent="0.3">
      <c r="B2" s="9" t="s">
        <v>8</v>
      </c>
      <c r="C2" s="71" t="s">
        <v>45</v>
      </c>
      <c r="D2" s="71"/>
      <c r="E2" s="9" t="s">
        <v>7</v>
      </c>
      <c r="F2" s="66">
        <v>45914</v>
      </c>
      <c r="G2" s="66"/>
      <c r="H2" s="66"/>
      <c r="I2" s="66"/>
      <c r="J2" s="66"/>
    </row>
    <row r="3" spans="1:10" ht="30" customHeight="1" x14ac:dyDescent="0.3">
      <c r="B3" s="9" t="s">
        <v>9</v>
      </c>
      <c r="C3" s="71" t="s">
        <v>60</v>
      </c>
      <c r="D3" s="71"/>
      <c r="E3" s="9" t="s">
        <v>6</v>
      </c>
      <c r="F3" s="71" t="s">
        <v>59</v>
      </c>
      <c r="G3" s="71"/>
      <c r="H3" s="71"/>
      <c r="I3" s="71"/>
      <c r="J3" s="71"/>
    </row>
    <row r="4" spans="1:10" ht="30" customHeight="1" thickBot="1" x14ac:dyDescent="0.35">
      <c r="B4" s="6"/>
      <c r="C4" s="85" t="s">
        <v>222</v>
      </c>
      <c r="D4" s="85"/>
      <c r="E4" s="6"/>
      <c r="F4" s="85" t="s">
        <v>223</v>
      </c>
      <c r="G4" s="85"/>
      <c r="H4" s="85"/>
      <c r="I4" s="85"/>
      <c r="J4" s="85"/>
    </row>
    <row r="5" spans="1:10" ht="24.9" customHeight="1" x14ac:dyDescent="0.3">
      <c r="A5" s="8"/>
      <c r="B5" s="67" t="s">
        <v>0</v>
      </c>
      <c r="C5" s="68"/>
      <c r="D5" s="68"/>
      <c r="E5" s="59" t="s">
        <v>1</v>
      </c>
      <c r="F5" s="59"/>
      <c r="G5" s="59"/>
      <c r="H5" s="59"/>
      <c r="I5" s="59" t="s">
        <v>2</v>
      </c>
      <c r="J5" s="60"/>
    </row>
    <row r="6" spans="1:10" ht="24.9" customHeight="1" thickBot="1" x14ac:dyDescent="0.35">
      <c r="A6" s="8"/>
      <c r="B6" s="69"/>
      <c r="C6" s="70"/>
      <c r="D6" s="70"/>
      <c r="E6" s="18" t="s">
        <v>3</v>
      </c>
      <c r="F6" s="18" t="s">
        <v>4</v>
      </c>
      <c r="G6" s="18" t="s">
        <v>23</v>
      </c>
      <c r="H6" s="18" t="s">
        <v>24</v>
      </c>
      <c r="I6" s="61"/>
      <c r="J6" s="62"/>
    </row>
    <row r="7" spans="1:10" ht="24.9" customHeight="1" thickBot="1" x14ac:dyDescent="0.35">
      <c r="A7" s="8"/>
      <c r="B7" s="57" t="s">
        <v>21</v>
      </c>
      <c r="C7" s="58"/>
      <c r="D7" s="58"/>
      <c r="E7" s="26" t="s">
        <v>18</v>
      </c>
      <c r="F7" s="26" t="s">
        <v>19</v>
      </c>
      <c r="G7" s="26" t="s">
        <v>22</v>
      </c>
      <c r="H7" s="26" t="s">
        <v>20</v>
      </c>
      <c r="I7" s="63" t="s">
        <v>25</v>
      </c>
      <c r="J7" s="64"/>
    </row>
    <row r="8" spans="1:10" ht="39.9" customHeight="1" x14ac:dyDescent="0.3">
      <c r="A8" s="8"/>
      <c r="B8" s="78" t="s">
        <v>176</v>
      </c>
      <c r="C8" s="79"/>
      <c r="D8" s="79"/>
      <c r="E8" s="79"/>
      <c r="F8" s="79"/>
      <c r="G8" s="79"/>
      <c r="H8" s="79"/>
      <c r="I8" s="79"/>
      <c r="J8" s="80"/>
    </row>
    <row r="9" spans="1:10" ht="39.9" customHeight="1" x14ac:dyDescent="0.3">
      <c r="A9" s="8"/>
      <c r="B9" s="72" t="s">
        <v>210</v>
      </c>
      <c r="C9" s="73"/>
      <c r="D9" s="73"/>
      <c r="E9" s="33"/>
      <c r="F9" s="16"/>
      <c r="G9" s="28"/>
      <c r="H9" s="29"/>
      <c r="I9" s="40"/>
      <c r="J9" s="41"/>
    </row>
    <row r="10" spans="1:10" ht="59.25" customHeight="1" x14ac:dyDescent="0.3">
      <c r="A10" s="8"/>
      <c r="B10" s="53" t="s">
        <v>177</v>
      </c>
      <c r="C10" s="54"/>
      <c r="D10" s="54"/>
      <c r="E10" s="7">
        <v>5</v>
      </c>
      <c r="F10" s="16">
        <v>3.5</v>
      </c>
      <c r="G10" s="28">
        <f t="shared" ref="G10:G52" si="0">IFERROR(F10/E10,"")</f>
        <v>0.7</v>
      </c>
      <c r="H10" s="29" t="str">
        <f t="shared" ref="H10:H52" si="1">_xlfn.IFS(F10="أدخل العلامة","",F10="لا ينطبق","تم الإلغاء",G10&gt;=90%,"ممتاز",G10&gt;=80%,"جيد جداً",G10&gt;=70%,"جيد",G10&gt;=60%,"مقبول",G10&lt;60%,"راسب")</f>
        <v>جيد</v>
      </c>
      <c r="I10" s="40"/>
      <c r="J10" s="41"/>
    </row>
    <row r="11" spans="1:10" ht="39.9" customHeight="1" x14ac:dyDescent="0.3">
      <c r="A11" s="8"/>
      <c r="B11" s="53" t="s">
        <v>178</v>
      </c>
      <c r="C11" s="54"/>
      <c r="D11" s="54"/>
      <c r="E11" s="7">
        <v>5</v>
      </c>
      <c r="F11" s="16">
        <v>3.5</v>
      </c>
      <c r="G11" s="28">
        <f t="shared" si="0"/>
        <v>0.7</v>
      </c>
      <c r="H11" s="29" t="str">
        <f t="shared" si="1"/>
        <v>جيد</v>
      </c>
      <c r="I11" s="40"/>
      <c r="J11" s="41"/>
    </row>
    <row r="12" spans="1:10" ht="39.9" customHeight="1" x14ac:dyDescent="0.3">
      <c r="A12" s="8"/>
      <c r="B12" s="53" t="s">
        <v>179</v>
      </c>
      <c r="C12" s="54"/>
      <c r="D12" s="54"/>
      <c r="E12" s="33"/>
      <c r="F12" s="16"/>
      <c r="G12" s="28"/>
      <c r="H12" s="29"/>
      <c r="I12" s="40"/>
      <c r="J12" s="41"/>
    </row>
    <row r="13" spans="1:10" ht="39.9" customHeight="1" x14ac:dyDescent="0.3">
      <c r="A13" s="8"/>
      <c r="B13" s="74" t="s">
        <v>180</v>
      </c>
      <c r="C13" s="75"/>
      <c r="D13" s="75"/>
      <c r="E13" s="7">
        <v>5</v>
      </c>
      <c r="F13" s="16">
        <v>3.75</v>
      </c>
      <c r="G13" s="28">
        <f t="shared" si="0"/>
        <v>0.75</v>
      </c>
      <c r="H13" s="29" t="str">
        <f t="shared" si="1"/>
        <v>جيد</v>
      </c>
      <c r="I13" s="40"/>
      <c r="J13" s="41"/>
    </row>
    <row r="14" spans="1:10" ht="39.9" customHeight="1" x14ac:dyDescent="0.3">
      <c r="A14" s="8"/>
      <c r="B14" s="74" t="s">
        <v>181</v>
      </c>
      <c r="C14" s="75"/>
      <c r="D14" s="75"/>
      <c r="E14" s="7">
        <v>5</v>
      </c>
      <c r="F14" s="16">
        <v>4</v>
      </c>
      <c r="G14" s="28">
        <f t="shared" si="0"/>
        <v>0.8</v>
      </c>
      <c r="H14" s="29" t="str">
        <f t="shared" si="1"/>
        <v>جيد جداً</v>
      </c>
      <c r="I14" s="40"/>
      <c r="J14" s="41"/>
    </row>
    <row r="15" spans="1:10" ht="54" customHeight="1" x14ac:dyDescent="0.3">
      <c r="A15" s="8"/>
      <c r="B15" s="74" t="s">
        <v>182</v>
      </c>
      <c r="C15" s="75"/>
      <c r="D15" s="75"/>
      <c r="E15" s="7">
        <v>5</v>
      </c>
      <c r="F15" s="16">
        <v>4</v>
      </c>
      <c r="G15" s="28">
        <f t="shared" si="0"/>
        <v>0.8</v>
      </c>
      <c r="H15" s="29" t="str">
        <f t="shared" si="1"/>
        <v>جيد جداً</v>
      </c>
      <c r="I15" s="40"/>
      <c r="J15" s="41"/>
    </row>
    <row r="16" spans="1:10" ht="39.9" customHeight="1" x14ac:dyDescent="0.3">
      <c r="A16" s="8"/>
      <c r="B16" s="74" t="s">
        <v>183</v>
      </c>
      <c r="C16" s="75"/>
      <c r="D16" s="75"/>
      <c r="E16" s="7">
        <v>5</v>
      </c>
      <c r="F16" s="16">
        <v>4</v>
      </c>
      <c r="G16" s="28">
        <f t="shared" si="0"/>
        <v>0.8</v>
      </c>
      <c r="H16" s="29" t="str">
        <f t="shared" si="1"/>
        <v>جيد جداً</v>
      </c>
      <c r="I16" s="40"/>
      <c r="J16" s="41"/>
    </row>
    <row r="17" spans="1:10" ht="39.9" customHeight="1" x14ac:dyDescent="0.3">
      <c r="A17" s="8"/>
      <c r="B17" s="74" t="s">
        <v>184</v>
      </c>
      <c r="C17" s="75"/>
      <c r="D17" s="75"/>
      <c r="E17" s="7">
        <v>5</v>
      </c>
      <c r="F17" s="16">
        <v>3.5</v>
      </c>
      <c r="G17" s="28">
        <f t="shared" si="0"/>
        <v>0.7</v>
      </c>
      <c r="H17" s="29" t="str">
        <f t="shared" si="1"/>
        <v>جيد</v>
      </c>
      <c r="I17" s="40"/>
      <c r="J17" s="41"/>
    </row>
    <row r="18" spans="1:10" ht="39.9" customHeight="1" x14ac:dyDescent="0.3">
      <c r="A18" s="8"/>
      <c r="B18" s="53" t="s">
        <v>185</v>
      </c>
      <c r="C18" s="54"/>
      <c r="D18" s="54"/>
      <c r="E18" s="7">
        <v>5</v>
      </c>
      <c r="F18" s="16">
        <v>4</v>
      </c>
      <c r="G18" s="28">
        <f t="shared" si="0"/>
        <v>0.8</v>
      </c>
      <c r="H18" s="29" t="str">
        <f t="shared" si="1"/>
        <v>جيد جداً</v>
      </c>
      <c r="I18" s="40"/>
      <c r="J18" s="41"/>
    </row>
    <row r="19" spans="1:10" ht="39.9" customHeight="1" x14ac:dyDescent="0.3">
      <c r="A19" s="8"/>
      <c r="B19" s="53" t="s">
        <v>186</v>
      </c>
      <c r="C19" s="54"/>
      <c r="D19" s="54"/>
      <c r="E19" s="33"/>
      <c r="F19" s="16"/>
      <c r="G19" s="28"/>
      <c r="H19" s="29"/>
      <c r="I19" s="40"/>
      <c r="J19" s="41"/>
    </row>
    <row r="20" spans="1:10" ht="39.9" customHeight="1" x14ac:dyDescent="0.3">
      <c r="A20" s="8"/>
      <c r="B20" s="74" t="s">
        <v>187</v>
      </c>
      <c r="C20" s="75"/>
      <c r="D20" s="75"/>
      <c r="E20" s="7">
        <v>5</v>
      </c>
      <c r="F20" s="16">
        <v>3.25</v>
      </c>
      <c r="G20" s="28">
        <f t="shared" si="0"/>
        <v>0.65</v>
      </c>
      <c r="H20" s="29" t="str">
        <f t="shared" si="1"/>
        <v>مقبول</v>
      </c>
      <c r="I20" s="40"/>
      <c r="J20" s="41"/>
    </row>
    <row r="21" spans="1:10" ht="39.9" customHeight="1" x14ac:dyDescent="0.3">
      <c r="A21" s="8"/>
      <c r="B21" s="74" t="s">
        <v>188</v>
      </c>
      <c r="C21" s="75"/>
      <c r="D21" s="75"/>
      <c r="E21" s="7">
        <v>5</v>
      </c>
      <c r="F21" s="16">
        <v>3.25</v>
      </c>
      <c r="G21" s="28">
        <f t="shared" si="0"/>
        <v>0.65</v>
      </c>
      <c r="H21" s="29" t="str">
        <f t="shared" si="1"/>
        <v>مقبول</v>
      </c>
      <c r="I21" s="40"/>
      <c r="J21" s="41"/>
    </row>
    <row r="22" spans="1:10" ht="39.9" customHeight="1" x14ac:dyDescent="0.3">
      <c r="A22" s="8"/>
      <c r="B22" s="74" t="s">
        <v>189</v>
      </c>
      <c r="C22" s="75"/>
      <c r="D22" s="75"/>
      <c r="E22" s="7">
        <v>5</v>
      </c>
      <c r="F22" s="16">
        <v>3.5</v>
      </c>
      <c r="G22" s="28">
        <f t="shared" si="0"/>
        <v>0.7</v>
      </c>
      <c r="H22" s="29" t="str">
        <f t="shared" si="1"/>
        <v>جيد</v>
      </c>
      <c r="I22" s="40"/>
      <c r="J22" s="41"/>
    </row>
    <row r="23" spans="1:10" ht="39.9" customHeight="1" thickBot="1" x14ac:dyDescent="0.35">
      <c r="A23" s="8"/>
      <c r="B23" s="76" t="s">
        <v>211</v>
      </c>
      <c r="C23" s="77"/>
      <c r="D23" s="77"/>
      <c r="E23" s="30">
        <v>5</v>
      </c>
      <c r="F23" s="17">
        <v>3.5</v>
      </c>
      <c r="G23" s="31">
        <f t="shared" si="0"/>
        <v>0.7</v>
      </c>
      <c r="H23" s="32" t="str">
        <f t="shared" si="1"/>
        <v>جيد</v>
      </c>
      <c r="I23" s="42"/>
      <c r="J23" s="43"/>
    </row>
    <row r="24" spans="1:10" ht="39.9" customHeight="1" x14ac:dyDescent="0.3">
      <c r="A24" s="8"/>
      <c r="B24" s="78" t="s">
        <v>190</v>
      </c>
      <c r="C24" s="79"/>
      <c r="D24" s="79"/>
      <c r="E24" s="79"/>
      <c r="F24" s="79"/>
      <c r="G24" s="79"/>
      <c r="H24" s="79"/>
      <c r="I24" s="79"/>
      <c r="J24" s="80"/>
    </row>
    <row r="25" spans="1:10" ht="39.9" customHeight="1" x14ac:dyDescent="0.3">
      <c r="A25" s="8"/>
      <c r="B25" s="72" t="s">
        <v>212</v>
      </c>
      <c r="C25" s="73"/>
      <c r="D25" s="73"/>
      <c r="E25" s="7">
        <v>5</v>
      </c>
      <c r="F25" s="16">
        <v>3.75</v>
      </c>
      <c r="G25" s="28">
        <f t="shared" si="0"/>
        <v>0.75</v>
      </c>
      <c r="H25" s="29" t="str">
        <f t="shared" si="1"/>
        <v>جيد</v>
      </c>
      <c r="I25" s="40"/>
      <c r="J25" s="41"/>
    </row>
    <row r="26" spans="1:10" ht="39.9" customHeight="1" x14ac:dyDescent="0.3">
      <c r="A26" s="8"/>
      <c r="B26" s="72" t="s">
        <v>213</v>
      </c>
      <c r="C26" s="73"/>
      <c r="D26" s="73"/>
      <c r="E26" s="33"/>
      <c r="F26" s="16"/>
      <c r="G26" s="28"/>
      <c r="H26" s="29"/>
      <c r="I26" s="40"/>
      <c r="J26" s="41"/>
    </row>
    <row r="27" spans="1:10" ht="39.9" customHeight="1" x14ac:dyDescent="0.3">
      <c r="A27" s="8"/>
      <c r="B27" s="53" t="s">
        <v>191</v>
      </c>
      <c r="C27" s="54"/>
      <c r="D27" s="54"/>
      <c r="E27" s="7">
        <v>5</v>
      </c>
      <c r="F27" s="16">
        <v>3.75</v>
      </c>
      <c r="G27" s="28">
        <f t="shared" si="0"/>
        <v>0.75</v>
      </c>
      <c r="H27" s="29" t="str">
        <f t="shared" si="1"/>
        <v>جيد</v>
      </c>
      <c r="I27" s="40"/>
      <c r="J27" s="41"/>
    </row>
    <row r="28" spans="1:10" ht="39.9" customHeight="1" x14ac:dyDescent="0.3">
      <c r="A28" s="8"/>
      <c r="B28" s="53" t="s">
        <v>192</v>
      </c>
      <c r="C28" s="54"/>
      <c r="D28" s="54"/>
      <c r="E28" s="7">
        <v>5</v>
      </c>
      <c r="F28" s="16">
        <v>3.75</v>
      </c>
      <c r="G28" s="28">
        <f t="shared" si="0"/>
        <v>0.75</v>
      </c>
      <c r="H28" s="29" t="str">
        <f t="shared" si="1"/>
        <v>جيد</v>
      </c>
      <c r="I28" s="40"/>
      <c r="J28" s="41"/>
    </row>
    <row r="29" spans="1:10" ht="39.9" customHeight="1" x14ac:dyDescent="0.3">
      <c r="A29" s="8"/>
      <c r="B29" s="53" t="s">
        <v>193</v>
      </c>
      <c r="C29" s="54"/>
      <c r="D29" s="54"/>
      <c r="E29" s="7">
        <v>5</v>
      </c>
      <c r="F29" s="16">
        <v>3.75</v>
      </c>
      <c r="G29" s="28">
        <f t="shared" si="0"/>
        <v>0.75</v>
      </c>
      <c r="H29" s="29" t="str">
        <f t="shared" si="1"/>
        <v>جيد</v>
      </c>
      <c r="I29" s="40"/>
      <c r="J29" s="41"/>
    </row>
    <row r="30" spans="1:10" ht="39.9" customHeight="1" x14ac:dyDescent="0.3">
      <c r="A30" s="8"/>
      <c r="B30" s="72" t="s">
        <v>214</v>
      </c>
      <c r="C30" s="73"/>
      <c r="D30" s="73"/>
      <c r="E30" s="33"/>
      <c r="F30" s="16"/>
      <c r="G30" s="28"/>
      <c r="H30" s="29"/>
      <c r="I30" s="40"/>
      <c r="J30" s="41"/>
    </row>
    <row r="31" spans="1:10" ht="39.9" customHeight="1" x14ac:dyDescent="0.3">
      <c r="A31" s="8"/>
      <c r="B31" s="53" t="s">
        <v>194</v>
      </c>
      <c r="C31" s="54"/>
      <c r="D31" s="54"/>
      <c r="E31" s="7">
        <v>5</v>
      </c>
      <c r="F31" s="16">
        <v>4.25</v>
      </c>
      <c r="G31" s="28">
        <f t="shared" si="0"/>
        <v>0.85</v>
      </c>
      <c r="H31" s="29" t="str">
        <f t="shared" si="1"/>
        <v>جيد جداً</v>
      </c>
      <c r="I31" s="40"/>
      <c r="J31" s="41"/>
    </row>
    <row r="32" spans="1:10" ht="39.9" customHeight="1" x14ac:dyDescent="0.3">
      <c r="A32" s="8"/>
      <c r="B32" s="53" t="s">
        <v>195</v>
      </c>
      <c r="C32" s="54"/>
      <c r="D32" s="54"/>
      <c r="E32" s="7">
        <v>5</v>
      </c>
      <c r="F32" s="16">
        <v>4.25</v>
      </c>
      <c r="G32" s="28">
        <f t="shared" si="0"/>
        <v>0.85</v>
      </c>
      <c r="H32" s="29" t="str">
        <f t="shared" si="1"/>
        <v>جيد جداً</v>
      </c>
      <c r="I32" s="40"/>
      <c r="J32" s="41"/>
    </row>
    <row r="33" spans="1:10" ht="39.9" customHeight="1" x14ac:dyDescent="0.3">
      <c r="A33" s="8"/>
      <c r="B33" s="53" t="s">
        <v>196</v>
      </c>
      <c r="C33" s="54"/>
      <c r="D33" s="54"/>
      <c r="E33" s="7">
        <v>5</v>
      </c>
      <c r="F33" s="16">
        <v>3.75</v>
      </c>
      <c r="G33" s="28">
        <f t="shared" si="0"/>
        <v>0.75</v>
      </c>
      <c r="H33" s="29" t="str">
        <f t="shared" si="1"/>
        <v>جيد</v>
      </c>
      <c r="I33" s="40"/>
      <c r="J33" s="41"/>
    </row>
    <row r="34" spans="1:10" ht="39.9" customHeight="1" x14ac:dyDescent="0.3">
      <c r="A34" s="8"/>
      <c r="B34" s="53" t="s">
        <v>197</v>
      </c>
      <c r="C34" s="54"/>
      <c r="D34" s="54"/>
      <c r="E34" s="7">
        <v>5</v>
      </c>
      <c r="F34" s="16">
        <v>4</v>
      </c>
      <c r="G34" s="28">
        <f t="shared" si="0"/>
        <v>0.8</v>
      </c>
      <c r="H34" s="29" t="str">
        <f t="shared" si="1"/>
        <v>جيد جداً</v>
      </c>
      <c r="I34" s="40"/>
      <c r="J34" s="41"/>
    </row>
    <row r="35" spans="1:10" ht="39.9" customHeight="1" thickBot="1" x14ac:dyDescent="0.35">
      <c r="A35" s="8"/>
      <c r="B35" s="76" t="s">
        <v>215</v>
      </c>
      <c r="C35" s="77"/>
      <c r="D35" s="77"/>
      <c r="E35" s="30">
        <v>5</v>
      </c>
      <c r="F35" s="17">
        <v>3.75</v>
      </c>
      <c r="G35" s="31">
        <f t="shared" si="0"/>
        <v>0.75</v>
      </c>
      <c r="H35" s="32" t="str">
        <f t="shared" si="1"/>
        <v>جيد</v>
      </c>
      <c r="I35" s="42"/>
      <c r="J35" s="43"/>
    </row>
    <row r="36" spans="1:10" ht="39.9" customHeight="1" x14ac:dyDescent="0.3">
      <c r="A36" s="8"/>
      <c r="B36" s="78" t="s">
        <v>198</v>
      </c>
      <c r="C36" s="79"/>
      <c r="D36" s="79"/>
      <c r="E36" s="79"/>
      <c r="F36" s="79"/>
      <c r="G36" s="79"/>
      <c r="H36" s="79"/>
      <c r="I36" s="79"/>
      <c r="J36" s="80"/>
    </row>
    <row r="37" spans="1:10" ht="39.9" customHeight="1" x14ac:dyDescent="0.3">
      <c r="A37" s="8"/>
      <c r="B37" s="72" t="s">
        <v>216</v>
      </c>
      <c r="C37" s="73"/>
      <c r="D37" s="73"/>
      <c r="E37" s="7">
        <v>5</v>
      </c>
      <c r="F37" s="16">
        <v>3.75</v>
      </c>
      <c r="G37" s="28">
        <f t="shared" si="0"/>
        <v>0.75</v>
      </c>
      <c r="H37" s="29" t="str">
        <f t="shared" si="1"/>
        <v>جيد</v>
      </c>
      <c r="I37" s="40"/>
      <c r="J37" s="41"/>
    </row>
    <row r="38" spans="1:10" ht="39.9" customHeight="1" x14ac:dyDescent="0.3">
      <c r="A38" s="8"/>
      <c r="B38" s="81" t="s">
        <v>217</v>
      </c>
      <c r="C38" s="82"/>
      <c r="D38" s="82"/>
      <c r="E38" s="7">
        <v>5</v>
      </c>
      <c r="F38" s="16">
        <v>3.75</v>
      </c>
      <c r="G38" s="28">
        <f t="shared" si="0"/>
        <v>0.75</v>
      </c>
      <c r="H38" s="29" t="str">
        <f t="shared" si="1"/>
        <v>جيد</v>
      </c>
      <c r="I38" s="40"/>
      <c r="J38" s="41"/>
    </row>
    <row r="39" spans="1:10" ht="39.9" customHeight="1" x14ac:dyDescent="0.3">
      <c r="A39" s="8"/>
      <c r="B39" s="81" t="s">
        <v>218</v>
      </c>
      <c r="C39" s="82"/>
      <c r="D39" s="82"/>
      <c r="E39" s="33"/>
      <c r="F39" s="16"/>
      <c r="G39" s="28"/>
      <c r="H39" s="29"/>
      <c r="I39" s="40"/>
      <c r="J39" s="41"/>
    </row>
    <row r="40" spans="1:10" ht="39.9" customHeight="1" x14ac:dyDescent="0.3">
      <c r="A40" s="8"/>
      <c r="B40" s="53" t="s">
        <v>199</v>
      </c>
      <c r="C40" s="54"/>
      <c r="D40" s="54"/>
      <c r="E40" s="7">
        <v>5</v>
      </c>
      <c r="F40" s="16">
        <v>3.75</v>
      </c>
      <c r="G40" s="28">
        <f t="shared" si="0"/>
        <v>0.75</v>
      </c>
      <c r="H40" s="29" t="str">
        <f t="shared" si="1"/>
        <v>جيد</v>
      </c>
      <c r="I40" s="40"/>
      <c r="J40" s="41"/>
    </row>
    <row r="41" spans="1:10" ht="39.9" customHeight="1" x14ac:dyDescent="0.3">
      <c r="A41" s="8"/>
      <c r="B41" s="53" t="s">
        <v>200</v>
      </c>
      <c r="C41" s="54"/>
      <c r="D41" s="54"/>
      <c r="E41" s="7">
        <v>5</v>
      </c>
      <c r="F41" s="16">
        <v>3.75</v>
      </c>
      <c r="G41" s="28">
        <f t="shared" si="0"/>
        <v>0.75</v>
      </c>
      <c r="H41" s="29" t="str">
        <f t="shared" si="1"/>
        <v>جيد</v>
      </c>
      <c r="I41" s="40"/>
      <c r="J41" s="41"/>
    </row>
    <row r="42" spans="1:10" ht="39.9" customHeight="1" x14ac:dyDescent="0.3">
      <c r="A42" s="8"/>
      <c r="B42" s="53" t="s">
        <v>201</v>
      </c>
      <c r="C42" s="54"/>
      <c r="D42" s="54"/>
      <c r="E42" s="7">
        <v>5</v>
      </c>
      <c r="F42" s="16">
        <v>3.75</v>
      </c>
      <c r="G42" s="28">
        <f t="shared" si="0"/>
        <v>0.75</v>
      </c>
      <c r="H42" s="29" t="str">
        <f t="shared" si="1"/>
        <v>جيد</v>
      </c>
      <c r="I42" s="40"/>
      <c r="J42" s="41"/>
    </row>
    <row r="43" spans="1:10" ht="39.9" customHeight="1" x14ac:dyDescent="0.3">
      <c r="A43" s="8"/>
      <c r="B43" s="53" t="s">
        <v>202</v>
      </c>
      <c r="C43" s="54"/>
      <c r="D43" s="54"/>
      <c r="E43" s="7">
        <v>5</v>
      </c>
      <c r="F43" s="16">
        <v>3.75</v>
      </c>
      <c r="G43" s="28">
        <f t="shared" si="0"/>
        <v>0.75</v>
      </c>
      <c r="H43" s="29" t="str">
        <f t="shared" si="1"/>
        <v>جيد</v>
      </c>
      <c r="I43" s="40"/>
      <c r="J43" s="41"/>
    </row>
    <row r="44" spans="1:10" ht="39.9" customHeight="1" x14ac:dyDescent="0.3">
      <c r="A44" s="8"/>
      <c r="B44" s="53" t="s">
        <v>203</v>
      </c>
      <c r="C44" s="54"/>
      <c r="D44" s="54"/>
      <c r="E44" s="7">
        <v>5</v>
      </c>
      <c r="F44" s="16">
        <v>3.75</v>
      </c>
      <c r="G44" s="28">
        <f t="shared" si="0"/>
        <v>0.75</v>
      </c>
      <c r="H44" s="29" t="str">
        <f t="shared" si="1"/>
        <v>جيد</v>
      </c>
      <c r="I44" s="40"/>
      <c r="J44" s="41"/>
    </row>
    <row r="45" spans="1:10" ht="39.9" customHeight="1" x14ac:dyDescent="0.3">
      <c r="A45" s="8"/>
      <c r="B45" s="72" t="s">
        <v>219</v>
      </c>
      <c r="C45" s="73"/>
      <c r="D45" s="73"/>
      <c r="E45" s="7"/>
      <c r="F45" s="16"/>
      <c r="G45" s="28"/>
      <c r="H45" s="29"/>
      <c r="I45" s="40"/>
      <c r="J45" s="41"/>
    </row>
    <row r="46" spans="1:10" ht="39.9" customHeight="1" x14ac:dyDescent="0.3">
      <c r="A46" s="8"/>
      <c r="B46" s="53" t="s">
        <v>204</v>
      </c>
      <c r="C46" s="54"/>
      <c r="D46" s="54"/>
      <c r="E46" s="7">
        <v>5</v>
      </c>
      <c r="F46" s="16">
        <v>3.75</v>
      </c>
      <c r="G46" s="28">
        <f t="shared" si="0"/>
        <v>0.75</v>
      </c>
      <c r="H46" s="29" t="str">
        <f t="shared" si="1"/>
        <v>جيد</v>
      </c>
      <c r="I46" s="40"/>
      <c r="J46" s="41"/>
    </row>
    <row r="47" spans="1:10" ht="39.9" customHeight="1" x14ac:dyDescent="0.3">
      <c r="A47" s="8"/>
      <c r="B47" s="53" t="s">
        <v>205</v>
      </c>
      <c r="C47" s="54"/>
      <c r="D47" s="54"/>
      <c r="E47" s="7">
        <v>5</v>
      </c>
      <c r="F47" s="16">
        <v>3.75</v>
      </c>
      <c r="G47" s="28">
        <f t="shared" si="0"/>
        <v>0.75</v>
      </c>
      <c r="H47" s="29" t="str">
        <f t="shared" si="1"/>
        <v>جيد</v>
      </c>
      <c r="I47" s="40"/>
      <c r="J47" s="41"/>
    </row>
    <row r="48" spans="1:10" ht="39.9" customHeight="1" x14ac:dyDescent="0.3">
      <c r="A48" s="8"/>
      <c r="B48" s="53" t="s">
        <v>206</v>
      </c>
      <c r="C48" s="54"/>
      <c r="D48" s="54"/>
      <c r="E48" s="7">
        <v>5</v>
      </c>
      <c r="F48" s="16">
        <v>3.75</v>
      </c>
      <c r="G48" s="28">
        <f t="shared" si="0"/>
        <v>0.75</v>
      </c>
      <c r="H48" s="29" t="str">
        <f t="shared" si="1"/>
        <v>جيد</v>
      </c>
      <c r="I48" s="40"/>
      <c r="J48" s="41"/>
    </row>
    <row r="49" spans="1:10" ht="39.9" customHeight="1" x14ac:dyDescent="0.3">
      <c r="A49" s="8"/>
      <c r="B49" s="53" t="s">
        <v>207</v>
      </c>
      <c r="C49" s="54"/>
      <c r="D49" s="54"/>
      <c r="E49" s="7">
        <v>5</v>
      </c>
      <c r="F49" s="16">
        <v>3.75</v>
      </c>
      <c r="G49" s="28">
        <f t="shared" si="0"/>
        <v>0.75</v>
      </c>
      <c r="H49" s="29" t="str">
        <f t="shared" si="1"/>
        <v>جيد</v>
      </c>
      <c r="I49" s="40"/>
      <c r="J49" s="41"/>
    </row>
    <row r="50" spans="1:10" ht="39.9" customHeight="1" x14ac:dyDescent="0.3">
      <c r="A50" s="8"/>
      <c r="B50" s="53" t="s">
        <v>208</v>
      </c>
      <c r="C50" s="54"/>
      <c r="D50" s="54"/>
      <c r="E50" s="7">
        <v>5</v>
      </c>
      <c r="F50" s="16">
        <v>3.75</v>
      </c>
      <c r="G50" s="28">
        <f t="shared" si="0"/>
        <v>0.75</v>
      </c>
      <c r="H50" s="29" t="str">
        <f t="shared" si="1"/>
        <v>جيد</v>
      </c>
      <c r="I50" s="40"/>
      <c r="J50" s="41"/>
    </row>
    <row r="51" spans="1:10" ht="39.9" customHeight="1" x14ac:dyDescent="0.3">
      <c r="A51" s="8"/>
      <c r="B51" s="53" t="s">
        <v>209</v>
      </c>
      <c r="C51" s="54"/>
      <c r="D51" s="54"/>
      <c r="E51" s="7">
        <v>5</v>
      </c>
      <c r="F51" s="16">
        <v>3.75</v>
      </c>
      <c r="G51" s="28">
        <f t="shared" si="0"/>
        <v>0.75</v>
      </c>
      <c r="H51" s="29" t="str">
        <f t="shared" si="1"/>
        <v>جيد</v>
      </c>
      <c r="I51" s="40"/>
      <c r="J51" s="41"/>
    </row>
    <row r="52" spans="1:10" ht="39.9" customHeight="1" thickBot="1" x14ac:dyDescent="0.35">
      <c r="A52" s="8"/>
      <c r="B52" s="83" t="s">
        <v>220</v>
      </c>
      <c r="C52" s="84"/>
      <c r="D52" s="84"/>
      <c r="E52" s="30">
        <v>5</v>
      </c>
      <c r="F52" s="17">
        <v>3.75</v>
      </c>
      <c r="G52" s="31">
        <f t="shared" si="0"/>
        <v>0.75</v>
      </c>
      <c r="H52" s="32" t="str">
        <f t="shared" si="1"/>
        <v>جيد</v>
      </c>
      <c r="I52" s="42"/>
      <c r="J52" s="43"/>
    </row>
    <row r="53" spans="1:10" ht="30" customHeight="1" thickBot="1" x14ac:dyDescent="0.35">
      <c r="A53" s="4"/>
      <c r="B53" s="44" t="s">
        <v>5</v>
      </c>
      <c r="C53" s="45"/>
      <c r="D53" s="45"/>
      <c r="E53" s="27">
        <f>SUM(E8:E52)</f>
        <v>175</v>
      </c>
      <c r="F53" s="27">
        <f>SUM(F8:F52)</f>
        <v>131.25</v>
      </c>
      <c r="G53" s="50"/>
      <c r="H53" s="51"/>
      <c r="I53" s="51"/>
      <c r="J53" s="52"/>
    </row>
    <row r="54" spans="1:10" ht="30" customHeight="1" thickBot="1" x14ac:dyDescent="0.35">
      <c r="A54" s="4"/>
      <c r="B54" s="46" t="s">
        <v>54</v>
      </c>
      <c r="C54" s="47"/>
      <c r="D54" s="47"/>
      <c r="E54" s="55">
        <f>F53/E53/100*100</f>
        <v>0.75</v>
      </c>
      <c r="F54" s="55"/>
      <c r="G54" s="55"/>
      <c r="H54" s="55"/>
      <c r="I54" s="55"/>
      <c r="J54" s="56"/>
    </row>
    <row r="55" spans="1:10" ht="30" customHeight="1" thickBot="1" x14ac:dyDescent="0.35">
      <c r="A55" s="4"/>
      <c r="B55" s="46" t="s">
        <v>55</v>
      </c>
      <c r="C55" s="47"/>
      <c r="D55" s="47"/>
      <c r="E55" s="38" t="str">
        <f>_xlfn.IFS(E54&gt;=90%,"ممتاز",E54&gt;=80%,"جيد جداً",E54&gt;=70%,"جيد",E54&gt;=60%,"مقبول",E54&lt;60%,"راسب")</f>
        <v>جيد</v>
      </c>
      <c r="F55" s="38"/>
      <c r="G55" s="38"/>
      <c r="H55" s="38"/>
      <c r="I55" s="38"/>
      <c r="J55" s="39"/>
    </row>
    <row r="56" spans="1:10" ht="42" customHeight="1" x14ac:dyDescent="0.3">
      <c r="B56" s="34" t="s">
        <v>221</v>
      </c>
      <c r="C56" s="34"/>
      <c r="D56" s="34"/>
      <c r="E56" s="48" t="s">
        <v>52</v>
      </c>
      <c r="F56" s="48"/>
      <c r="G56" s="36" t="s">
        <v>59</v>
      </c>
      <c r="H56" s="36"/>
      <c r="I56" s="36"/>
      <c r="J56" s="36"/>
    </row>
    <row r="57" spans="1:10" ht="51" customHeight="1" x14ac:dyDescent="0.3">
      <c r="A57" s="5"/>
      <c r="B57" s="35"/>
      <c r="C57" s="35"/>
      <c r="D57" s="35"/>
      <c r="E57" s="49" t="s">
        <v>53</v>
      </c>
      <c r="F57" s="49"/>
      <c r="G57" s="37"/>
      <c r="H57" s="37"/>
      <c r="I57" s="37"/>
      <c r="J57" s="37"/>
    </row>
  </sheetData>
  <sheetProtection formatCells="0" formatColumns="0" formatRows="0" insertColumns="0" insertRows="0" insertHyperlinks="0" deleteColumns="0" deleteRows="0" selectLockedCells="1" sort="0" autoFilter="0" pivotTables="0"/>
  <mergeCells count="110">
    <mergeCell ref="C4:D4"/>
    <mergeCell ref="F4:J4"/>
    <mergeCell ref="B49:D49"/>
    <mergeCell ref="B50:D50"/>
    <mergeCell ref="B51:D51"/>
    <mergeCell ref="B52:D52"/>
    <mergeCell ref="B41:D41"/>
    <mergeCell ref="B42:D42"/>
    <mergeCell ref="B43:D43"/>
    <mergeCell ref="B36:J36"/>
    <mergeCell ref="B44:D44"/>
    <mergeCell ref="B45:D45"/>
    <mergeCell ref="B46:D46"/>
    <mergeCell ref="B47:D47"/>
    <mergeCell ref="B48:D48"/>
    <mergeCell ref="B30:D30"/>
    <mergeCell ref="B31:D31"/>
    <mergeCell ref="B32:D32"/>
    <mergeCell ref="B33:D33"/>
    <mergeCell ref="B34:D34"/>
    <mergeCell ref="B35:D35"/>
    <mergeCell ref="B37:D37"/>
    <mergeCell ref="B38:D38"/>
    <mergeCell ref="B39:D39"/>
    <mergeCell ref="I22:J22"/>
    <mergeCell ref="I23:J23"/>
    <mergeCell ref="I25:J25"/>
    <mergeCell ref="B8:J8"/>
    <mergeCell ref="I9:J9"/>
    <mergeCell ref="I14:J14"/>
    <mergeCell ref="I15:J15"/>
    <mergeCell ref="I16:J16"/>
    <mergeCell ref="B17:D17"/>
    <mergeCell ref="B18:D18"/>
    <mergeCell ref="B19:D19"/>
    <mergeCell ref="B20:D20"/>
    <mergeCell ref="I17:J17"/>
    <mergeCell ref="I18:J18"/>
    <mergeCell ref="B1:J1"/>
    <mergeCell ref="F2:J2"/>
    <mergeCell ref="B5:D6"/>
    <mergeCell ref="C2:D2"/>
    <mergeCell ref="C3:D3"/>
    <mergeCell ref="F3:J3"/>
    <mergeCell ref="I29:J29"/>
    <mergeCell ref="B9:D9"/>
    <mergeCell ref="B10:D10"/>
    <mergeCell ref="B11:D11"/>
    <mergeCell ref="B12:D12"/>
    <mergeCell ref="B13:D13"/>
    <mergeCell ref="B14:D14"/>
    <mergeCell ref="B15:D15"/>
    <mergeCell ref="B16:D16"/>
    <mergeCell ref="B21:D21"/>
    <mergeCell ref="B22:D22"/>
    <mergeCell ref="B23:D23"/>
    <mergeCell ref="B25:D25"/>
    <mergeCell ref="B24:J24"/>
    <mergeCell ref="B26:D26"/>
    <mergeCell ref="B27:D27"/>
    <mergeCell ref="B28:D28"/>
    <mergeCell ref="B29:D29"/>
    <mergeCell ref="E54:J54"/>
    <mergeCell ref="B7:D7"/>
    <mergeCell ref="I38:J38"/>
    <mergeCell ref="I39:J39"/>
    <mergeCell ref="I30:J30"/>
    <mergeCell ref="I31:J31"/>
    <mergeCell ref="E5:H5"/>
    <mergeCell ref="I37:J37"/>
    <mergeCell ref="I5:J6"/>
    <mergeCell ref="I7:J7"/>
    <mergeCell ref="I10:J10"/>
    <mergeCell ref="I32:J32"/>
    <mergeCell ref="I33:J33"/>
    <mergeCell ref="I34:J34"/>
    <mergeCell ref="I35:J35"/>
    <mergeCell ref="I11:J11"/>
    <mergeCell ref="I12:J12"/>
    <mergeCell ref="I13:J13"/>
    <mergeCell ref="I26:J26"/>
    <mergeCell ref="I27:J27"/>
    <mergeCell ref="I28:J28"/>
    <mergeCell ref="I19:J19"/>
    <mergeCell ref="I20:J20"/>
    <mergeCell ref="I21:J21"/>
    <mergeCell ref="B56:D57"/>
    <mergeCell ref="G56:J56"/>
    <mergeCell ref="G57:J57"/>
    <mergeCell ref="E55:J55"/>
    <mergeCell ref="I40:J40"/>
    <mergeCell ref="I41:J41"/>
    <mergeCell ref="I42:J42"/>
    <mergeCell ref="I43:J43"/>
    <mergeCell ref="I44:J44"/>
    <mergeCell ref="I49:J49"/>
    <mergeCell ref="I50:J50"/>
    <mergeCell ref="I51:J51"/>
    <mergeCell ref="I52:J52"/>
    <mergeCell ref="B53:D53"/>
    <mergeCell ref="B54:D54"/>
    <mergeCell ref="B55:D55"/>
    <mergeCell ref="E56:F56"/>
    <mergeCell ref="E57:F57"/>
    <mergeCell ref="G53:J53"/>
    <mergeCell ref="I45:J45"/>
    <mergeCell ref="I46:J46"/>
    <mergeCell ref="I47:J47"/>
    <mergeCell ref="I48:J48"/>
    <mergeCell ref="B40:D40"/>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55">
    <cfRule type="expression" dxfId="21" priority="57">
      <formula>$E55="راسب"</formula>
    </cfRule>
  </conditionalFormatting>
  <conditionalFormatting sqref="E55:J55">
    <cfRule type="expression" dxfId="20" priority="60">
      <formula>$E55="جيد جداً"</formula>
    </cfRule>
    <cfRule type="expression" dxfId="19" priority="59">
      <formula>$E55="جيد"</formula>
    </cfRule>
    <cfRule type="expression" dxfId="18" priority="58">
      <formula>$E55="مقبول"</formula>
    </cfRule>
    <cfRule type="expression" dxfId="17" priority="61">
      <formula>$E55="ممتاز"</formula>
    </cfRule>
  </conditionalFormatting>
  <conditionalFormatting sqref="F9:F23">
    <cfRule type="containsText" dxfId="16" priority="4" operator="containsText" text="أدخل العلامة">
      <formula>NOT(ISERROR(SEARCH("أدخل العلامة",F9)))</formula>
    </cfRule>
  </conditionalFormatting>
  <conditionalFormatting sqref="F25:F35 F37:F52">
    <cfRule type="containsText" dxfId="15" priority="14" operator="containsText" text="أدخل العلامة">
      <formula>NOT(ISERROR(SEARCH("أدخل العلامة",F25)))</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56:J56">
    <cfRule type="containsText" dxfId="12" priority="15" operator="containsText" text="أدخل اسم المحكم">
      <formula>NOT(ISERROR(SEARCH("أدخل اسم المحكم",G56)))</formula>
    </cfRule>
  </conditionalFormatting>
  <conditionalFormatting sqref="H9:H23">
    <cfRule type="containsText" dxfId="11" priority="10" operator="containsText" text="راسب">
      <formula>NOT(ISERROR(SEARCH("راسب",H9)))</formula>
    </cfRule>
    <cfRule type="containsText" dxfId="10" priority="9" operator="containsText" text="مقبول">
      <formula>NOT(ISERROR(SEARCH("مقبول",H9)))</formula>
    </cfRule>
    <cfRule type="containsText" dxfId="9" priority="8" operator="containsText" text="جيد">
      <formula>NOT(ISERROR(SEARCH("جيد",H9)))</formula>
    </cfRule>
    <cfRule type="containsText" dxfId="8" priority="7" operator="containsText" text="جيد جداً">
      <formula>NOT(ISERROR(SEARCH("جيد جداً",H9)))</formula>
    </cfRule>
    <cfRule type="containsText" dxfId="7" priority="6" operator="containsText" text="ممتاز">
      <formula>NOT(ISERROR(SEARCH("ممتاز",H9)))</formula>
    </cfRule>
    <cfRule type="containsText" dxfId="6" priority="5" operator="containsText" text="أدخل العلامة">
      <formula>NOT(ISERROR(SEARCH("أدخل العلامة",H9)))</formula>
    </cfRule>
  </conditionalFormatting>
  <conditionalFormatting sqref="H25:H35 H37:H52">
    <cfRule type="containsText" dxfId="5" priority="38" operator="containsText" text="أدخل العلامة">
      <formula>NOT(ISERROR(SEARCH("أدخل العلامة",H25)))</formula>
    </cfRule>
    <cfRule type="containsText" dxfId="4" priority="39" operator="containsText" text="ممتاز">
      <formula>NOT(ISERROR(SEARCH("ممتاز",H25)))</formula>
    </cfRule>
    <cfRule type="containsText" dxfId="3" priority="40" operator="containsText" text="جيد جداً">
      <formula>NOT(ISERROR(SEARCH("جيد جداً",H25)))</formula>
    </cfRule>
    <cfRule type="containsText" dxfId="2" priority="41" operator="containsText" text="جيد">
      <formula>NOT(ISERROR(SEARCH("جيد",H25)))</formula>
    </cfRule>
    <cfRule type="containsText" dxfId="1" priority="42" operator="containsText" text="مقبول">
      <formula>NOT(ISERROR(SEARCH("مقبول",H25)))</formula>
    </cfRule>
    <cfRule type="containsText" dxfId="0" priority="43" operator="containsText" text="راسب">
      <formula>NOT(ISERROR(SEARCH("راسب",H25)))</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F46:F52 F40:F44 F37:F38 F31:F35 F27:F29 F25 F20:F23 F13:F18 F10:F11</xm:sqref>
        </x14:dataValidation>
        <x14:dataValidation type="list" allowBlank="1" showInputMessage="1" showErrorMessage="1" xr:uid="{AE50457C-7424-4A4C-907B-8DC6AA09E7A3}">
          <x14:formula1>
            <xm:f>'بيانات التقييم'!$A$198:$A$285</xm:f>
          </x14:formula1>
          <xm:sqref>G56:J56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5"/>
    </row>
    <row r="36" spans="1:9" s="14" customFormat="1" ht="20.100000000000001" customHeight="1" x14ac:dyDescent="0.3">
      <c r="A36" s="12"/>
      <c r="B36" s="13"/>
      <c r="C36" s="13"/>
      <c r="D36" s="13"/>
      <c r="E36" s="13"/>
      <c r="F36" s="13"/>
      <c r="G36" s="13"/>
      <c r="H36" s="13"/>
      <c r="I36" s="13"/>
    </row>
    <row r="37" spans="1:9" ht="20.100000000000001" customHeight="1" thickBot="1" x14ac:dyDescent="0.35"/>
    <row r="38" spans="1:9" ht="20.100000000000001" customHeight="1" thickBot="1" x14ac:dyDescent="0.35">
      <c r="A38" s="2" t="s">
        <v>56</v>
      </c>
    </row>
    <row r="39" spans="1:9" ht="20.100000000000001" customHeight="1" thickBot="1" x14ac:dyDescent="0.35">
      <c r="A39" s="10">
        <v>45901</v>
      </c>
    </row>
    <row r="40" spans="1:9" ht="20.100000000000001" customHeight="1" thickBot="1" x14ac:dyDescent="0.35">
      <c r="A40" s="10">
        <v>45902</v>
      </c>
    </row>
    <row r="41" spans="1:9" ht="20.100000000000001" customHeight="1" thickBot="1" x14ac:dyDescent="0.35">
      <c r="A41" s="10">
        <v>45903</v>
      </c>
    </row>
    <row r="42" spans="1:9" ht="20.100000000000001" customHeight="1" thickBot="1" x14ac:dyDescent="0.35">
      <c r="A42" s="10">
        <v>45904</v>
      </c>
    </row>
    <row r="43" spans="1:9" ht="20.100000000000001" customHeight="1" thickBot="1" x14ac:dyDescent="0.35">
      <c r="A43" s="10">
        <v>45905</v>
      </c>
    </row>
    <row r="44" spans="1:9" ht="20.100000000000001" customHeight="1" thickBot="1" x14ac:dyDescent="0.35">
      <c r="A44" s="10">
        <v>45906</v>
      </c>
    </row>
    <row r="45" spans="1:9" ht="20.100000000000001" customHeight="1" thickBot="1" x14ac:dyDescent="0.35">
      <c r="A45" s="10">
        <v>45907</v>
      </c>
    </row>
    <row r="46" spans="1:9" ht="20.100000000000001" customHeight="1" thickBot="1" x14ac:dyDescent="0.35">
      <c r="A46" s="10">
        <v>45908</v>
      </c>
    </row>
    <row r="47" spans="1:9" ht="20.100000000000001" customHeight="1" thickBot="1" x14ac:dyDescent="0.35">
      <c r="A47" s="10">
        <v>45909</v>
      </c>
    </row>
    <row r="48" spans="1:9" ht="20.100000000000001" customHeight="1" thickBot="1" x14ac:dyDescent="0.35">
      <c r="A48" s="10">
        <v>45910</v>
      </c>
    </row>
    <row r="49" spans="1:1" ht="20.100000000000001" customHeight="1" thickBot="1" x14ac:dyDescent="0.35">
      <c r="A49" s="10">
        <v>45911</v>
      </c>
    </row>
    <row r="50" spans="1:1" ht="20.100000000000001" customHeight="1" thickBot="1" x14ac:dyDescent="0.35">
      <c r="A50" s="10">
        <v>45912</v>
      </c>
    </row>
    <row r="51" spans="1:1" ht="20.100000000000001" customHeight="1" thickBot="1" x14ac:dyDescent="0.35">
      <c r="A51" s="10">
        <v>45913</v>
      </c>
    </row>
    <row r="52" spans="1:1" ht="20.100000000000001" customHeight="1" thickBot="1" x14ac:dyDescent="0.35">
      <c r="A52" s="10">
        <v>45914</v>
      </c>
    </row>
    <row r="53" spans="1:1" ht="20.100000000000001" customHeight="1" thickBot="1" x14ac:dyDescent="0.35">
      <c r="A53" s="10">
        <v>45915</v>
      </c>
    </row>
    <row r="54" spans="1:1" ht="20.100000000000001" customHeight="1" thickBot="1" x14ac:dyDescent="0.35">
      <c r="A54" s="10">
        <v>45916</v>
      </c>
    </row>
    <row r="55" spans="1:1" ht="20.100000000000001" customHeight="1" thickBot="1" x14ac:dyDescent="0.35">
      <c r="A55" s="10">
        <v>45917</v>
      </c>
    </row>
    <row r="56" spans="1:1" ht="20.100000000000001" customHeight="1" thickBot="1" x14ac:dyDescent="0.35">
      <c r="A56" s="10">
        <v>45918</v>
      </c>
    </row>
    <row r="57" spans="1:1" ht="20.100000000000001" customHeight="1" thickBot="1" x14ac:dyDescent="0.35">
      <c r="A57" s="10">
        <v>45919</v>
      </c>
    </row>
    <row r="58" spans="1:1" ht="20.100000000000001" customHeight="1" thickBot="1" x14ac:dyDescent="0.35">
      <c r="A58" s="10">
        <v>45920</v>
      </c>
    </row>
    <row r="59" spans="1:1" ht="20.100000000000001" customHeight="1" thickBot="1" x14ac:dyDescent="0.35">
      <c r="A59" s="10">
        <v>45921</v>
      </c>
    </row>
    <row r="60" spans="1:1" ht="20.100000000000001" customHeight="1" thickBot="1" x14ac:dyDescent="0.35">
      <c r="A60" s="10">
        <v>45922</v>
      </c>
    </row>
    <row r="61" spans="1:1" ht="20.100000000000001" customHeight="1" thickBot="1" x14ac:dyDescent="0.35">
      <c r="A61" s="10">
        <v>45923</v>
      </c>
    </row>
    <row r="62" spans="1:1" ht="20.100000000000001" customHeight="1" thickBot="1" x14ac:dyDescent="0.35">
      <c r="A62" s="10">
        <v>45924</v>
      </c>
    </row>
    <row r="63" spans="1:1" ht="20.100000000000001" customHeight="1" thickBot="1" x14ac:dyDescent="0.35">
      <c r="A63" s="10">
        <v>45925</v>
      </c>
    </row>
    <row r="64" spans="1:1" ht="20.100000000000001" customHeight="1" thickBot="1" x14ac:dyDescent="0.35">
      <c r="A64" s="10">
        <v>45926</v>
      </c>
    </row>
    <row r="65" spans="1:1" ht="20.100000000000001" customHeight="1" thickBot="1" x14ac:dyDescent="0.35">
      <c r="A65" s="10">
        <v>45927</v>
      </c>
    </row>
    <row r="66" spans="1:1" ht="20.100000000000001" customHeight="1" thickBot="1" x14ac:dyDescent="0.35">
      <c r="A66" s="10">
        <v>45928</v>
      </c>
    </row>
    <row r="67" spans="1:1" ht="20.100000000000001" customHeight="1" thickBot="1" x14ac:dyDescent="0.35">
      <c r="A67" s="10">
        <v>45929</v>
      </c>
    </row>
    <row r="68" spans="1:1" ht="20.100000000000001" customHeight="1" thickBot="1" x14ac:dyDescent="0.35">
      <c r="A68" s="10">
        <v>45930</v>
      </c>
    </row>
    <row r="69" spans="1:1" ht="20.100000000000001" customHeight="1" thickBot="1" x14ac:dyDescent="0.35">
      <c r="A69" s="10">
        <v>45931</v>
      </c>
    </row>
    <row r="70" spans="1:1" ht="20.100000000000001" customHeight="1" thickBot="1" x14ac:dyDescent="0.35">
      <c r="A70" s="10">
        <v>45932</v>
      </c>
    </row>
    <row r="71" spans="1:1" ht="20.100000000000001" customHeight="1" thickBot="1" x14ac:dyDescent="0.35">
      <c r="A71" s="10">
        <v>45933</v>
      </c>
    </row>
    <row r="72" spans="1:1" ht="20.100000000000001" customHeight="1" thickBot="1" x14ac:dyDescent="0.35">
      <c r="A72" s="10">
        <v>45934</v>
      </c>
    </row>
    <row r="73" spans="1:1" ht="20.100000000000001" customHeight="1" thickBot="1" x14ac:dyDescent="0.35">
      <c r="A73" s="10">
        <v>45935</v>
      </c>
    </row>
    <row r="74" spans="1:1" ht="20.100000000000001" customHeight="1" thickBot="1" x14ac:dyDescent="0.35">
      <c r="A74" s="10">
        <v>45936</v>
      </c>
    </row>
    <row r="75" spans="1:1" ht="20.100000000000001" customHeight="1" thickBot="1" x14ac:dyDescent="0.35">
      <c r="A75" s="10">
        <v>45937</v>
      </c>
    </row>
    <row r="76" spans="1:1" ht="20.100000000000001" customHeight="1" thickBot="1" x14ac:dyDescent="0.35">
      <c r="A76" s="10">
        <v>45938</v>
      </c>
    </row>
    <row r="77" spans="1:1" ht="20.100000000000001" customHeight="1" thickBot="1" x14ac:dyDescent="0.35">
      <c r="A77" s="10">
        <v>45939</v>
      </c>
    </row>
    <row r="78" spans="1:1" ht="20.100000000000001" customHeight="1" thickBot="1" x14ac:dyDescent="0.35">
      <c r="A78" s="10">
        <v>45940</v>
      </c>
    </row>
    <row r="79" spans="1:1" ht="20.100000000000001" customHeight="1" thickBot="1" x14ac:dyDescent="0.35">
      <c r="A79" s="10">
        <v>45941</v>
      </c>
    </row>
    <row r="80" spans="1:1" ht="20.100000000000001" customHeight="1" thickBot="1" x14ac:dyDescent="0.35">
      <c r="A80" s="10">
        <v>45942</v>
      </c>
    </row>
    <row r="81" spans="1:1" ht="20.100000000000001" customHeight="1" thickBot="1" x14ac:dyDescent="0.35">
      <c r="A81" s="10">
        <v>45943</v>
      </c>
    </row>
    <row r="82" spans="1:1" ht="20.100000000000001" customHeight="1" thickBot="1" x14ac:dyDescent="0.35">
      <c r="A82" s="10">
        <v>45944</v>
      </c>
    </row>
    <row r="83" spans="1:1" ht="20.100000000000001" customHeight="1" thickBot="1" x14ac:dyDescent="0.35">
      <c r="A83" s="10">
        <v>45945</v>
      </c>
    </row>
    <row r="84" spans="1:1" ht="20.100000000000001" customHeight="1" thickBot="1" x14ac:dyDescent="0.35">
      <c r="A84" s="10">
        <v>45946</v>
      </c>
    </row>
    <row r="85" spans="1:1" ht="20.100000000000001" customHeight="1" thickBot="1" x14ac:dyDescent="0.35">
      <c r="A85" s="10">
        <v>45947</v>
      </c>
    </row>
    <row r="86" spans="1:1" ht="20.100000000000001" customHeight="1" thickBot="1" x14ac:dyDescent="0.35">
      <c r="A86" s="10">
        <v>45948</v>
      </c>
    </row>
    <row r="87" spans="1:1" ht="20.100000000000001" customHeight="1" thickBot="1" x14ac:dyDescent="0.35">
      <c r="A87" s="10">
        <v>45949</v>
      </c>
    </row>
    <row r="88" spans="1:1" ht="20.100000000000001" customHeight="1" thickBot="1" x14ac:dyDescent="0.35">
      <c r="A88" s="10">
        <v>45950</v>
      </c>
    </row>
    <row r="89" spans="1:1" ht="20.100000000000001" customHeight="1" thickBot="1" x14ac:dyDescent="0.35">
      <c r="A89" s="10">
        <v>45951</v>
      </c>
    </row>
    <row r="90" spans="1:1" ht="20.100000000000001" customHeight="1" thickBot="1" x14ac:dyDescent="0.35">
      <c r="A90" s="10">
        <v>45952</v>
      </c>
    </row>
    <row r="91" spans="1:1" ht="20.100000000000001" customHeight="1" thickBot="1" x14ac:dyDescent="0.35">
      <c r="A91" s="10">
        <v>45953</v>
      </c>
    </row>
    <row r="92" spans="1:1" ht="20.100000000000001" customHeight="1" thickBot="1" x14ac:dyDescent="0.35">
      <c r="A92" s="10">
        <v>45954</v>
      </c>
    </row>
    <row r="93" spans="1:1" ht="20.100000000000001" customHeight="1" thickBot="1" x14ac:dyDescent="0.35">
      <c r="A93" s="10">
        <v>45955</v>
      </c>
    </row>
    <row r="94" spans="1:1" ht="20.100000000000001" customHeight="1" thickBot="1" x14ac:dyDescent="0.35">
      <c r="A94" s="10">
        <v>45956</v>
      </c>
    </row>
    <row r="95" spans="1:1" ht="20.100000000000001" customHeight="1" thickBot="1" x14ac:dyDescent="0.35">
      <c r="A95" s="10">
        <v>45957</v>
      </c>
    </row>
    <row r="96" spans="1:1" ht="20.100000000000001" customHeight="1" thickBot="1" x14ac:dyDescent="0.35">
      <c r="A96" s="10">
        <v>45958</v>
      </c>
    </row>
    <row r="97" spans="1:9" ht="20.100000000000001" customHeight="1" thickBot="1" x14ac:dyDescent="0.35">
      <c r="A97" s="10">
        <v>45959</v>
      </c>
    </row>
    <row r="98" spans="1:9" ht="20.100000000000001" customHeight="1" thickBot="1" x14ac:dyDescent="0.35">
      <c r="A98" s="10">
        <v>45960</v>
      </c>
    </row>
    <row r="99" spans="1:9" ht="20.100000000000001" customHeight="1" thickBot="1" x14ac:dyDescent="0.35">
      <c r="A99" s="10">
        <v>45961</v>
      </c>
    </row>
    <row r="100" spans="1:9" ht="20.100000000000001" customHeight="1" thickBot="1" x14ac:dyDescent="0.35">
      <c r="A100" s="10">
        <v>45962</v>
      </c>
    </row>
    <row r="101" spans="1:9" ht="20.100000000000001" customHeight="1" thickBot="1" x14ac:dyDescent="0.35">
      <c r="A101" s="10">
        <v>45963</v>
      </c>
    </row>
    <row r="102" spans="1:9" ht="20.100000000000001" customHeight="1" thickBot="1" x14ac:dyDescent="0.35">
      <c r="A102" s="10">
        <v>45964</v>
      </c>
    </row>
    <row r="103" spans="1:9" ht="20.100000000000001" customHeight="1" thickBot="1" x14ac:dyDescent="0.35">
      <c r="A103" s="10">
        <v>45965</v>
      </c>
    </row>
    <row r="104" spans="1:9" ht="20.100000000000001" customHeight="1" thickBot="1" x14ac:dyDescent="0.35">
      <c r="A104" s="10">
        <v>45966</v>
      </c>
    </row>
    <row r="105" spans="1:9" ht="20.100000000000001" customHeight="1" thickBot="1" x14ac:dyDescent="0.35">
      <c r="A105" s="10">
        <v>45967</v>
      </c>
    </row>
    <row r="106" spans="1:9" ht="20.100000000000001" customHeight="1" thickBot="1" x14ac:dyDescent="0.35">
      <c r="A106" s="10">
        <v>45968</v>
      </c>
    </row>
    <row r="107" spans="1:9" ht="20.100000000000001" customHeight="1" x14ac:dyDescent="0.3">
      <c r="A107" s="11"/>
    </row>
    <row r="108" spans="1:9" ht="20.100000000000001" customHeight="1" x14ac:dyDescent="0.3">
      <c r="A108" s="11"/>
    </row>
    <row r="109" spans="1:9" s="14" customFormat="1" ht="20.100000000000001" customHeight="1" x14ac:dyDescent="0.3">
      <c r="A109" s="12"/>
      <c r="B109" s="13"/>
      <c r="C109" s="13"/>
      <c r="D109" s="13"/>
      <c r="E109" s="13"/>
      <c r="F109" s="13"/>
      <c r="G109" s="13"/>
      <c r="H109" s="13"/>
      <c r="I109" s="13"/>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5" t="s">
        <v>145</v>
      </c>
    </row>
    <row r="257" spans="1:1" ht="20.100000000000001" customHeight="1" x14ac:dyDescent="0.3">
      <c r="A257" s="20" t="s">
        <v>146</v>
      </c>
    </row>
    <row r="258" spans="1:1" ht="20.100000000000001" customHeight="1" x14ac:dyDescent="0.3">
      <c r="A258" s="25" t="s">
        <v>147</v>
      </c>
    </row>
    <row r="259" spans="1:1" ht="20.100000000000001" customHeight="1" x14ac:dyDescent="0.3">
      <c r="A259" s="20" t="s">
        <v>148</v>
      </c>
    </row>
    <row r="260" spans="1:1" ht="20.100000000000001" customHeight="1" x14ac:dyDescent="0.3">
      <c r="A260" s="25"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5" t="s">
        <v>152</v>
      </c>
    </row>
    <row r="264" spans="1:1" ht="20.100000000000001" customHeight="1" x14ac:dyDescent="0.3">
      <c r="A264" s="25" t="s">
        <v>153</v>
      </c>
    </row>
    <row r="265" spans="1:1" ht="20.100000000000001" customHeight="1" x14ac:dyDescent="0.3">
      <c r="A265" s="25"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5" t="s">
        <v>159</v>
      </c>
    </row>
    <row r="271" spans="1:1" ht="20.100000000000001" customHeight="1" x14ac:dyDescent="0.3">
      <c r="A271" s="25" t="s">
        <v>160</v>
      </c>
    </row>
    <row r="272" spans="1:1" ht="20.100000000000001" customHeight="1" x14ac:dyDescent="0.3">
      <c r="A272" s="20" t="s">
        <v>161</v>
      </c>
    </row>
    <row r="273" spans="1:1" ht="20.100000000000001" customHeight="1" x14ac:dyDescent="0.3">
      <c r="A273" s="25" t="s">
        <v>162</v>
      </c>
    </row>
    <row r="274" spans="1:1" ht="20.100000000000001" customHeight="1" x14ac:dyDescent="0.3">
      <c r="A274" s="25"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5"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5" t="s">
        <v>171</v>
      </c>
    </row>
    <row r="283" spans="1:1" ht="20.100000000000001" customHeight="1" x14ac:dyDescent="0.3">
      <c r="A283" s="25" t="s">
        <v>172</v>
      </c>
    </row>
    <row r="284" spans="1:1" ht="20.100000000000001" customHeight="1" x14ac:dyDescent="0.3">
      <c r="A284" s="25"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2025-10-15T20:13:08Z</dcterms:modified>
</cp:coreProperties>
</file>