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D4BD401-8933-CA4C-894C-068773E7F2B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<sst xmlns="http://schemas.openxmlformats.org/spreadsheetml/2006/main" count="274" uniqueCount="218">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</sst>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641265</xdr:colOff>
      <xdr:row>52</xdr:row>
      <xdr:rowOff>169067</xdr:rowOff>
    </xdr:from>
    <xdr:to>
      <xdr:col>7</xdr:col>
      <xdr:colOff>615695</xdr:colOff>
      <xdr:row>52</xdr:row>
      <xdr:rowOff>437987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98406B0-5DB2-9D5F-1828-5DAF33E4BEE1}"/>
                </a:ext>
              </a:extLst>
            </xdr14:cNvPr>
            <xdr14:cNvContentPartPr/>
          </xdr14:nvContentPartPr>
          <xdr14:nvPr macro=""/>
          <xdr14:xfrm>
            <a:off x="10399287305" y="26844840"/>
            <a:ext cx="632520" cy="268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98406B0-5DB2-9D5F-1828-5DAF33E4BE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81185" y="26838720"/>
              <a:ext cx="64476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570695</xdr:colOff>
      <xdr:row>52</xdr:row>
      <xdr:rowOff>93467</xdr:rowOff>
    </xdr:from>
    <xdr:to>
      <xdr:col>9</xdr:col>
      <xdr:colOff>435314</xdr:colOff>
      <xdr:row>52</xdr:row>
      <xdr:rowOff>378227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B0100A8-C894-1F02-C888-01F38D0570B7}"/>
                </a:ext>
              </a:extLst>
            </xdr14:cNvPr>
            <xdr14:cNvContentPartPr/>
          </xdr14:nvContentPartPr>
          <xdr14:nvPr macro=""/>
          <xdr14:xfrm>
            <a:off x="10398151505" y="26769240"/>
            <a:ext cx="1180800" cy="284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B0100A8-C894-1F02-C888-01F38D0570B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45385" y="26763120"/>
              <a:ext cx="1193040" cy="29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9:42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1228 736 7009,'0'0'0,"7"0"2256,-5 0-759,1 0 63,-3 0-1560,0 0 1600,2 0-199,-2 0-57,0 0-216,0 0-1128,0 0 929,0 0-121,0 1-24,0-1-72,0 0-712,0 1 664,0-1-80,0 2-240,0-1 272,0-1-616,0 2 393,0-2 47,3 1-120,-1-1-88,-2 0-232,0 0 264,0 1 16,0-1 128,0 0-240,0 0-168,0 2 328,0-2-808,0 0 848,0 0-168,0 0-200,0 0 56,-5 0 928,5 0-752,0 0 224,0 0-456,0 0 152,0 0 113,0-3-265,0 0 160,0 3-160,0-4 408,0 0-456,0-1 168,0-6-256,0 11 136,-2-3-8,2-8 80,-5 7-40,0-9 112,5 13-144,-2-5 0,-1-7-88,-4 7 88,5-7-40,2 12 40,0-5 72,0-10-16,-8 3 96,4 8-88,4 4-64,-10-17 152,10 13-48,-2-12-136,-3 5 232,5 11-200,-5-4 80,3-14 160,-3 6-24,-7-1-128,12 13-88,0-14 144,-5-1-128,3 0 168,-3-2 16,5 17-200,-15-19 168,13 1 72,-10-2-136,9 3-40,3 17-64,-2-20 32,-3 3-64,0 0-48,5 1 64,0 16 16,-4-14-56,1 3 88,-2 6 200,5-9-232,0 14 0,0-3 48,-2-1 16,-3-7 40,3 11-176,2 0 72,0-5 120,0 1-120,0 0-16,0 0 128,0 4-112,0-3-80,0 0 48,0 0-264,0 3 328,0 0-32,0-3 192,0 0-224,0 3 96,0-3-224,0 3 160,0 0-144,0-2 48,0 2-40,5 0 200,-5 0-64,2 0-208,3-3 208,9 3 16,-7 0 32,-7 0-48,17-3 0,-2 3 48,4-3-80,0 0-32,-19 3 64,15-3-16,6 1-16,-4-1 80,10-2-112,-27 5 64,28-4 112,-4 0 0,1 0-24,-4-8 24,-21 12-112,22-3-80,-3-1 48,5-9 32,-5 11-8,-19 2 8,22-5-96,-3-9 80,5 11-184,-4-8 152,-20 11 48,16-4 168,4-12-216,-6 5 16,0 6-24,-14 5 56,20-12-32,-6 9 0,1-9 200,-1 9-168,-14 3 0,14-4-168,1 0 184,2-7-16,-12 11 0,-5 0 0,12-5 48,-10 1-24,3 0-8,0 1-104,-5 3 88,12-3-112,-10 0 8,0 0-104,1 3 88,-3 0 120,0-2 64,0 2-176,0 0-72,0 0 168,0 0 16,0 0-168,0 0 48,-3 0 120,3 0-104,0 0 104,-2 1-128,-3 0 96,3 1-40,-1-1-32,3-1 104,-12 3-48,8 1-136,-11 1 160,13-1-8,2-4 32,-20 4 0,6 8 16,0-8-96,-6 9 48,20-13 32,-16 11-40,-1 2 160,-3 0-152,-4-1 0,24-12 32,-21 13-88,-3 0 40,2 0 96,0 1-136,22-14 88,-21 13-16,-3 1-72,0 0 40,2 2 64,22-16-16,-24 15 32,5 0-80,-3-1 64,3-1-32,19-13 16,-22 11-72,8 2-24,-5 0 8,2-1-72,17-12 160,-12 12-16,-5-1-32,2 1 80,1-1 56,14-11-88,-14 11 32,-1-5-48,1 8 80,-1-8-80,15-6 16,-9 11-32,1-6 32,-4-1-88,8 1 88,4-5 0,-5 5 72,-7-1-40,9 0-16,-2-1 0,5-3-16,-12 3-96,10-2 96,0 1 32,-10-1 72,12-1-104,-3 2 72,-2-2 48,-9 0-24,9 0-24,5 0-72,-14-3 16,9 0 16,-12 0-8,15-1 8,2 4-32,-17-4 136,12-8-152,-14 9 168,14-9-48,5 12-104,-12-5 136,0-9-24,-3 3-144,3-1 104,12 12-72,-12-12 16,-4-1 112,1-1-72,-2 1 8,17 13-64,-21-14-16,1 1 88,-1-1 40,2-2-64,19 16-48,-22-14 120,5-1-104,0 1 72,0-1 56,17 15-144,-14-16 88,0 2-8,-1 0-112,1-1 112,14 15-80,-15-12-48,13-3 168,-13 0-8,3-1 0,12 16-112,-4-16 104,-8 2-72,9 3 176,-2 7-288,5 4 80,-4-5 136,-1-6-120,0 11 16,0-3 48,5 3-80,0-3 0,0 3 0,-5 0-64,5 0 144,0 0-80,0 0-48,0 0 64,0 0-144,0 0 56,0 0 304,0 0-496,0 0 200,3 0 112,-1 0-224,-2 0 176,2 3-48,6 1 80,1 9-32,-4-2 64,-5-11-64,12 13 48,-5 3-144,5 0 96,0 1 80,-12-17-80,5 17-16,7-2 112,-7 0-192,10-1 96,-15-14 0,4 14-32,11 0-56,-3 2 144,-5-1-256,-7-15 200,14 16-32,-9 0 64,10-2-32,-11-1-136,-4-13 136,15 14-64,-10-3 64,0 2 0,7-2-184,-12-11 184,4 6 24,8 10-24,-4-11-72,1 8 456,-9-13-384,3 3 0,4 1-104,-2 1 104,-1-1-16,-4-4 16,5 3-48,-2 1 32,-3-1-16,0-2-32,0-1 64,0 2-40,0-1 8,0 1-64,0-1-72,0-1 168,0 0-32,0 1 0,0-1 96,0 0-96,0 0 32,-5 2-48,-10-1-24,11 2-96,-8 1 216,12-4-48,-15 5-144,1 0 240,-3 1-112,2-2 16,15-4 0,-16 5 104,-1-1-8,2-1 24,-4-1-88,19-2-32,-17 3 104,-2 0-72,2-1-104,-2-1 312,19-1-240,-19 1 48,-1 2-152,4 0 88,-6 0 320,22-3-304,-17 3-152,0 1 136,0 0 112,3-2-440,14-2 344,-5 3-56,-9-2 56,14-1-32,-3 0-184,3 0 216,-4 0 72,-1 0 40,5 0-24,0-3-56,0 3-32,2-4 96,1 0-144,1-9-104,8 10 352,-12 3-200,3-11-64,9 6-40,-7-6 144,7 7-144,-12 4 104,5-5 0,7-7 48,-12 9 24,2-1-8,-2 4-64,0-5 120,0 1-120,2 1-8,-2 0-104,0 3 112,0 0-64,0-3-40,0 3-16,-2-2 176,2 2-56,-12 0 0,7-3 48,-14 0 32,7 0-112,12 3 32,-12 0-16,-5-3 32,0 3-64,0 0-16,17 0 64,-21-3-32,1 3 112,1 0 40,-2-2-160,21 2 40,-20 0 72,1-3-128,2 3 8,-2-3 112,19 3-64,-12-3-48,0-1 80,-3 0-32,3-1 16,12 5-16,-12-4-16,10 0-32,-12-1 120,11 1-112,3 4 40,-2-4 72,-3 0-72,0-1 32,5 3 0,0 2-32,0-3-16,-5 0 16,5 3-64,0-3 64,0 3 0,0-3-40,-2 0 8,0 3-120,2-2-248,0 2 400,-3-3-776,1 0-513,-3 0-519,-7 0-520,12 3 2328,-12-3-2817,7 0-760,-14 3-2000,2 0-2497,17 0 8074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9:43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2122 594 18675,'0'0'0,"0"5"513,0-1-369,2 0 8,-2-4-152,5 6 224,0-3-24,0-2-16,11 2 64,-16-3-248,5 1 248,14 2 96,1 0 80,-1 0 80,-19-3-504,24 4 536,2 0 40,6 1 41,-1-1-65,-31-4-552,38 4 560,1 1 0,-1-3-88,3 1-80,-41-3-392,41 2 488,-2-1-80,-1-1-16,-2 0-96,-36 0-296,39 0 176,2-3-72,-5-1 17,2-10 7,-38 14-128,39-3 104,2-11 80,-3 1-152,1 0 96,-39 13-128,40-16 64,-4-1 128,1-1-8,-6 1-80,-31 17-104,31-17 200,-4-2-200,-3 1 224,-3-1-8,-21 19-216,20-17 104,-4 0 32,-1 0-304,-1 0 248,-14 17-80,3-18-80,1-1 344,1 2 88,-5-1-192,0 18-160,3-16 304,-3 0-160,0-1 16,-3 2-152,3 15-8,-14-17 192,9 0-160,-17-2-16,8 2-80,14 17 64,-17-18-144,0 0-40,-2-1 184,-5-1 128,24 20-128,-29-19-128,0 2 80,0 1-184,-7 4-32,36 12 264,-33-13 0,-8 9-136,-3-11 40,6 13 32,38 2 64,-46-5-88,-2 1 104,0 1 24,-5 3-224,53 0 184,-55 0-288,-3 3-32,-2 3 200,0 5 256,60-11-136,-63 4 256,1 11 128,4-10-232,-7 11 176,65-16-328,-63 11-16,3 2 16,-2 1-128,-1-1 24,63-13 104,-60 14 104,0-1-88,0 0-56,-5 3 160,65-16-120,-65 15-64,2 4 224,1 1 120,-3 1-472,65-21 192,-63 23 208,-1 1-120,-6 3 72,-2 1 56,72-28-216,-77 30-64,2-2-168,-2-1 120,7 2 240,70-29-128,-38 13-360,-10 4 208,2 0-32,-7 3-176,53-20 360,-53 20 280,-5 4-328,1-1-104,-8 1 32,65-24 120,-65 25-368,5-1-152,0 2-272,-1-2-449,61-24 1241,-62 23-1536,-5 3-1473,31-14-3680,-8 3-4057,44-15 10746,0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C39" zoomScale="130" zoomScaleNormal="100" zoomScaleSheetLayoutView="130" workbookViewId="0">
      <selection activeCell="G53" sqref="G53:J5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6" t="s">
        <v>217</v>
      </c>
      <c r="C1" s="76"/>
      <c r="D1" s="76"/>
      <c r="E1" s="76"/>
      <c r="F1" s="76"/>
      <c r="G1" s="76"/>
      <c r="H1" s="76"/>
      <c r="I1" s="76"/>
      <c r="J1" s="76"/>
    </row>
    <row r="2" spans="1:10" ht="30" customHeight="1" x14ac:dyDescent="0.2">
      <c r="B2" s="12" t="s">
        <v>8</v>
      </c>
      <c r="C2" s="82" t="s">
        <v>45</v>
      </c>
      <c r="D2" s="82"/>
      <c r="E2" s="12" t="s">
        <v>7</v>
      </c>
      <c r="F2" s="77">
        <v>45955</v>
      </c>
      <c r="G2" s="77"/>
      <c r="H2" s="77"/>
      <c r="I2" s="77"/>
      <c r="J2" s="77"/>
    </row>
    <row r="3" spans="1:10" ht="30" customHeight="1" x14ac:dyDescent="0.2">
      <c r="B3" s="12" t="s">
        <v>9</v>
      </c>
      <c r="C3" s="82" t="s">
        <v>87</v>
      </c>
      <c r="D3" s="82"/>
      <c r="E3" s="12" t="s">
        <v>6</v>
      </c>
      <c r="F3" s="82" t="s">
        <v>104</v>
      </c>
      <c r="G3" s="82"/>
      <c r="H3" s="82"/>
      <c r="I3" s="82"/>
      <c r="J3" s="8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8" t="s">
        <v>0</v>
      </c>
      <c r="C5" s="79"/>
      <c r="D5" s="79"/>
      <c r="E5" s="87" t="s">
        <v>1</v>
      </c>
      <c r="F5" s="87"/>
      <c r="G5" s="87"/>
      <c r="H5" s="87"/>
      <c r="I5" s="87" t="s">
        <v>2</v>
      </c>
      <c r="J5" s="88"/>
    </row>
    <row r="6" spans="1:10" ht="24.95" customHeight="1" thickBot="1" x14ac:dyDescent="0.25">
      <c r="A6" s="10"/>
      <c r="B6" s="80"/>
      <c r="C6" s="81"/>
      <c r="D6" s="81"/>
      <c r="E6" s="11" t="s">
        <v>3</v>
      </c>
      <c r="F6" s="11" t="s">
        <v>4</v>
      </c>
      <c r="G6" s="11" t="s">
        <v>23</v>
      </c>
      <c r="H6" s="11" t="s">
        <v>24</v>
      </c>
      <c r="I6" s="89"/>
      <c r="J6" s="90"/>
    </row>
    <row r="7" spans="1:10" ht="24.95" customHeight="1" thickBot="1" x14ac:dyDescent="0.25">
      <c r="A7" s="10"/>
      <c r="B7" s="85" t="s">
        <v>21</v>
      </c>
      <c r="C7" s="86"/>
      <c r="D7" s="86"/>
      <c r="E7" s="28" t="s">
        <v>18</v>
      </c>
      <c r="F7" s="28" t="s">
        <v>19</v>
      </c>
      <c r="G7" s="28" t="s">
        <v>22</v>
      </c>
      <c r="H7" s="28" t="s">
        <v>20</v>
      </c>
      <c r="I7" s="91" t="s">
        <v>25</v>
      </c>
      <c r="J7" s="92"/>
    </row>
    <row r="8" spans="1:10" ht="39.950000000000003" customHeight="1" x14ac:dyDescent="0.2">
      <c r="A8" s="10"/>
      <c r="B8" s="49" t="s">
        <v>176</v>
      </c>
      <c r="C8" s="50"/>
      <c r="D8" s="50"/>
      <c r="E8" s="38"/>
      <c r="F8" s="32"/>
      <c r="G8" s="33"/>
      <c r="H8" s="34"/>
      <c r="I8" s="57"/>
      <c r="J8" s="58"/>
    </row>
    <row r="9" spans="1:10" ht="39.950000000000003" customHeight="1" x14ac:dyDescent="0.2">
      <c r="A9" s="10"/>
      <c r="B9" s="47" t="s">
        <v>177</v>
      </c>
      <c r="C9" s="48"/>
      <c r="D9" s="48"/>
      <c r="E9" s="9"/>
      <c r="F9" s="26"/>
      <c r="G9" s="30"/>
      <c r="H9" s="31"/>
      <c r="I9" s="53"/>
      <c r="J9" s="54"/>
    </row>
    <row r="10" spans="1:10" ht="39.950000000000003" customHeight="1" x14ac:dyDescent="0.2">
      <c r="A10" s="10"/>
      <c r="B10" s="43" t="s">
        <v>192</v>
      </c>
      <c r="C10" s="44"/>
      <c r="D10" s="44"/>
      <c r="E10" s="39"/>
      <c r="F10" s="26"/>
      <c r="G10" s="30"/>
      <c r="H10" s="31"/>
      <c r="I10" s="53"/>
      <c r="J10" s="54"/>
    </row>
    <row r="11" spans="1:10" ht="58.5" customHeight="1" x14ac:dyDescent="0.2">
      <c r="A11" s="10"/>
      <c r="B11" s="41" t="s">
        <v>193</v>
      </c>
      <c r="C11" s="42"/>
      <c r="D11" s="42"/>
      <c r="E11" s="9">
        <v>5</v>
      </c>
      <c r="F11" s="26">
        <v>3.75</v>
      </c>
      <c r="G11" s="30">
        <f t="shared" ref="G11:G48" si="0">IFERROR(F11/E11,"")</f>
        <v>0.75</v>
      </c>
      <c r="H11" s="31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3"/>
      <c r="J11" s="54"/>
    </row>
    <row r="12" spans="1:10" ht="39.950000000000003" customHeight="1" x14ac:dyDescent="0.2">
      <c r="A12" s="10"/>
      <c r="B12" s="41" t="s">
        <v>194</v>
      </c>
      <c r="C12" s="42"/>
      <c r="D12" s="42"/>
      <c r="E12" s="39"/>
      <c r="F12" s="26"/>
      <c r="G12" s="30"/>
      <c r="H12" s="31"/>
      <c r="I12" s="53"/>
      <c r="J12" s="54"/>
    </row>
    <row r="13" spans="1:10" ht="39.950000000000003" customHeight="1" x14ac:dyDescent="0.2">
      <c r="A13" s="10"/>
      <c r="B13" s="51" t="s">
        <v>195</v>
      </c>
      <c r="C13" s="52"/>
      <c r="D13" s="52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3"/>
      <c r="J13" s="54"/>
    </row>
    <row r="14" spans="1:10" ht="39.950000000000003" customHeight="1" x14ac:dyDescent="0.2">
      <c r="A14" s="10"/>
      <c r="B14" s="51" t="s">
        <v>196</v>
      </c>
      <c r="C14" s="52"/>
      <c r="D14" s="52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3"/>
      <c r="J14" s="54"/>
    </row>
    <row r="15" spans="1:10" ht="39.950000000000003" customHeight="1" x14ac:dyDescent="0.2">
      <c r="A15" s="10"/>
      <c r="B15" s="51" t="s">
        <v>178</v>
      </c>
      <c r="C15" s="52"/>
      <c r="D15" s="52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53"/>
      <c r="J15" s="54"/>
    </row>
    <row r="16" spans="1:10" ht="39.950000000000003" customHeight="1" x14ac:dyDescent="0.2">
      <c r="A16" s="10"/>
      <c r="B16" s="51" t="s">
        <v>179</v>
      </c>
      <c r="C16" s="52"/>
      <c r="D16" s="52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3"/>
      <c r="J16" s="54"/>
    </row>
    <row r="17" spans="1:10" ht="39.950000000000003" customHeight="1" x14ac:dyDescent="0.2">
      <c r="A17" s="10"/>
      <c r="B17" s="51" t="s">
        <v>180</v>
      </c>
      <c r="C17" s="52"/>
      <c r="D17" s="52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53"/>
      <c r="J17" s="54"/>
    </row>
    <row r="18" spans="1:10" ht="39.950000000000003" customHeight="1" x14ac:dyDescent="0.2">
      <c r="A18" s="10"/>
      <c r="B18" s="51" t="s">
        <v>181</v>
      </c>
      <c r="C18" s="52"/>
      <c r="D18" s="52"/>
      <c r="E18" s="9"/>
      <c r="F18" s="26"/>
      <c r="G18" s="30"/>
      <c r="H18" s="31"/>
      <c r="I18" s="53"/>
      <c r="J18" s="54"/>
    </row>
    <row r="19" spans="1:10" ht="39.950000000000003" customHeight="1" x14ac:dyDescent="0.2">
      <c r="A19" s="10"/>
      <c r="B19" s="41" t="s">
        <v>182</v>
      </c>
      <c r="C19" s="42"/>
      <c r="D19" s="42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3"/>
      <c r="J19" s="54"/>
    </row>
    <row r="20" spans="1:10" ht="60" customHeight="1" thickBot="1" x14ac:dyDescent="0.25">
      <c r="A20" s="10"/>
      <c r="B20" s="45" t="s">
        <v>197</v>
      </c>
      <c r="C20" s="46"/>
      <c r="D20" s="46"/>
      <c r="E20" s="40">
        <v>5</v>
      </c>
      <c r="F20" s="27">
        <v>3.75</v>
      </c>
      <c r="G20" s="36">
        <f t="shared" si="0"/>
        <v>0.75</v>
      </c>
      <c r="H20" s="37" t="str">
        <f t="shared" si="1"/>
        <v>جيد</v>
      </c>
      <c r="I20" s="55"/>
      <c r="J20" s="56"/>
    </row>
    <row r="21" spans="1:10" ht="39.950000000000003" customHeight="1" x14ac:dyDescent="0.2">
      <c r="A21" s="10"/>
      <c r="B21" s="49" t="s">
        <v>183</v>
      </c>
      <c r="C21" s="50"/>
      <c r="D21" s="50"/>
      <c r="E21" s="38"/>
      <c r="F21" s="32"/>
      <c r="G21" s="33"/>
      <c r="H21" s="34"/>
      <c r="I21" s="57"/>
      <c r="J21" s="58"/>
    </row>
    <row r="22" spans="1:10" ht="60" customHeight="1" x14ac:dyDescent="0.2">
      <c r="A22" s="10"/>
      <c r="B22" s="47" t="s">
        <v>184</v>
      </c>
      <c r="C22" s="48"/>
      <c r="D22" s="48"/>
      <c r="E22" s="9"/>
      <c r="F22" s="26"/>
      <c r="G22" s="30"/>
      <c r="H22" s="31"/>
      <c r="I22" s="53"/>
      <c r="J22" s="54"/>
    </row>
    <row r="23" spans="1:10" ht="39.950000000000003" customHeight="1" x14ac:dyDescent="0.2">
      <c r="A23" s="10"/>
      <c r="B23" s="47" t="s">
        <v>198</v>
      </c>
      <c r="C23" s="48"/>
      <c r="D23" s="48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3"/>
      <c r="J23" s="54"/>
    </row>
    <row r="24" spans="1:10" ht="39.950000000000003" customHeight="1" x14ac:dyDescent="0.2">
      <c r="A24" s="10"/>
      <c r="B24" s="47" t="s">
        <v>199</v>
      </c>
      <c r="C24" s="48"/>
      <c r="D24" s="48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53"/>
      <c r="J24" s="54"/>
    </row>
    <row r="25" spans="1:10" ht="39.950000000000003" customHeight="1" x14ac:dyDescent="0.2">
      <c r="A25" s="10"/>
      <c r="B25" s="47" t="s">
        <v>200</v>
      </c>
      <c r="C25" s="48"/>
      <c r="D25" s="48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53"/>
      <c r="J25" s="54"/>
    </row>
    <row r="26" spans="1:10" ht="39.950000000000003" customHeight="1" x14ac:dyDescent="0.2">
      <c r="A26" s="10"/>
      <c r="B26" s="43" t="s">
        <v>201</v>
      </c>
      <c r="C26" s="44"/>
      <c r="D26" s="44"/>
      <c r="E26" s="39"/>
      <c r="F26" s="26"/>
      <c r="G26" s="30"/>
      <c r="H26" s="31"/>
      <c r="I26" s="53"/>
      <c r="J26" s="54"/>
    </row>
    <row r="27" spans="1:10" ht="39.950000000000003" customHeight="1" x14ac:dyDescent="0.2">
      <c r="A27" s="10"/>
      <c r="B27" s="41" t="s">
        <v>185</v>
      </c>
      <c r="C27" s="42"/>
      <c r="D27" s="42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53"/>
      <c r="J27" s="54"/>
    </row>
    <row r="28" spans="1:10" ht="39.950000000000003" customHeight="1" x14ac:dyDescent="0.2">
      <c r="A28" s="10"/>
      <c r="B28" s="41" t="s">
        <v>186</v>
      </c>
      <c r="C28" s="42"/>
      <c r="D28" s="42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3"/>
      <c r="J28" s="54"/>
    </row>
    <row r="29" spans="1:10" ht="39.950000000000003" customHeight="1" x14ac:dyDescent="0.2">
      <c r="A29" s="10"/>
      <c r="B29" s="41" t="s">
        <v>187</v>
      </c>
      <c r="C29" s="42"/>
      <c r="D29" s="42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53"/>
      <c r="J29" s="54"/>
    </row>
    <row r="30" spans="1:10" ht="39.950000000000003" customHeight="1" x14ac:dyDescent="0.2">
      <c r="A30" s="10"/>
      <c r="B30" s="41" t="s">
        <v>188</v>
      </c>
      <c r="C30" s="42"/>
      <c r="D30" s="42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53"/>
      <c r="J30" s="54"/>
    </row>
    <row r="31" spans="1:10" ht="39.950000000000003" customHeight="1" x14ac:dyDescent="0.2">
      <c r="A31" s="10"/>
      <c r="B31" s="41" t="s">
        <v>189</v>
      </c>
      <c r="C31" s="42"/>
      <c r="D31" s="42"/>
      <c r="E31" s="9"/>
      <c r="F31" s="26"/>
      <c r="G31" s="30"/>
      <c r="H31" s="31"/>
      <c r="I31" s="53"/>
      <c r="J31" s="54"/>
    </row>
    <row r="32" spans="1:10" ht="39.950000000000003" customHeight="1" x14ac:dyDescent="0.2">
      <c r="A32" s="10"/>
      <c r="B32" s="41" t="s">
        <v>190</v>
      </c>
      <c r="C32" s="42"/>
      <c r="D32" s="42"/>
      <c r="E32" s="9"/>
      <c r="F32" s="26"/>
      <c r="G32" s="30"/>
      <c r="H32" s="31"/>
      <c r="I32" s="53"/>
      <c r="J32" s="54"/>
    </row>
    <row r="33" spans="1:10" ht="39.950000000000003" customHeight="1" x14ac:dyDescent="0.2">
      <c r="A33" s="10"/>
      <c r="B33" s="43" t="s">
        <v>202</v>
      </c>
      <c r="C33" s="44"/>
      <c r="D33" s="44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3"/>
      <c r="J33" s="54"/>
    </row>
    <row r="34" spans="1:10" ht="39.950000000000003" customHeight="1" thickBot="1" x14ac:dyDescent="0.25">
      <c r="A34" s="10"/>
      <c r="B34" s="45" t="s">
        <v>203</v>
      </c>
      <c r="C34" s="46"/>
      <c r="D34" s="46"/>
      <c r="E34" s="35">
        <v>5</v>
      </c>
      <c r="F34" s="27">
        <v>3.5</v>
      </c>
      <c r="G34" s="36">
        <f t="shared" si="0"/>
        <v>0.7</v>
      </c>
      <c r="H34" s="37" t="str">
        <f t="shared" si="1"/>
        <v>جيد</v>
      </c>
      <c r="I34" s="55"/>
      <c r="J34" s="56"/>
    </row>
    <row r="35" spans="1:10" ht="39.950000000000003" customHeight="1" x14ac:dyDescent="0.2">
      <c r="A35" s="10"/>
      <c r="B35" s="49" t="s">
        <v>191</v>
      </c>
      <c r="C35" s="50"/>
      <c r="D35" s="50"/>
      <c r="E35" s="38"/>
      <c r="F35" s="32"/>
      <c r="G35" s="33"/>
      <c r="H35" s="34"/>
      <c r="I35" s="57"/>
      <c r="J35" s="58"/>
    </row>
    <row r="36" spans="1:10" ht="39.950000000000003" customHeight="1" x14ac:dyDescent="0.2">
      <c r="A36" s="10"/>
      <c r="B36" s="47" t="s">
        <v>204</v>
      </c>
      <c r="C36" s="48"/>
      <c r="D36" s="48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3"/>
      <c r="J36" s="54"/>
    </row>
    <row r="37" spans="1:10" ht="60" customHeight="1" x14ac:dyDescent="0.2">
      <c r="A37" s="10"/>
      <c r="B37" s="47" t="s">
        <v>205</v>
      </c>
      <c r="C37" s="48"/>
      <c r="D37" s="48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3"/>
      <c r="J37" s="54"/>
    </row>
    <row r="38" spans="1:10" ht="39.950000000000003" customHeight="1" x14ac:dyDescent="0.2">
      <c r="A38" s="10"/>
      <c r="B38" s="47" t="s">
        <v>206</v>
      </c>
      <c r="C38" s="48"/>
      <c r="D38" s="48"/>
      <c r="E38" s="9">
        <v>5</v>
      </c>
      <c r="F38" s="26">
        <v>3.5</v>
      </c>
      <c r="G38" s="30">
        <f t="shared" si="0"/>
        <v>0.7</v>
      </c>
      <c r="H38" s="31" t="str">
        <f t="shared" si="1"/>
        <v>جيد</v>
      </c>
      <c r="I38" s="53"/>
      <c r="J38" s="54"/>
    </row>
    <row r="39" spans="1:10" ht="60" customHeight="1" x14ac:dyDescent="0.2">
      <c r="A39" s="10"/>
      <c r="B39" s="47" t="s">
        <v>207</v>
      </c>
      <c r="C39" s="48"/>
      <c r="D39" s="48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3"/>
      <c r="J39" s="54"/>
    </row>
    <row r="40" spans="1:10" ht="60" customHeight="1" x14ac:dyDescent="0.2">
      <c r="A40" s="10"/>
      <c r="B40" s="47" t="s">
        <v>208</v>
      </c>
      <c r="C40" s="48"/>
      <c r="D40" s="48"/>
      <c r="E40" s="9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53"/>
      <c r="J40" s="54"/>
    </row>
    <row r="41" spans="1:10" ht="39.950000000000003" customHeight="1" x14ac:dyDescent="0.2">
      <c r="A41" s="10"/>
      <c r="B41" s="47" t="s">
        <v>209</v>
      </c>
      <c r="C41" s="48"/>
      <c r="D41" s="48"/>
      <c r="E41" s="9">
        <v>5</v>
      </c>
      <c r="F41" s="26">
        <v>3.5</v>
      </c>
      <c r="G41" s="30">
        <f t="shared" si="0"/>
        <v>0.7</v>
      </c>
      <c r="H41" s="31" t="str">
        <f t="shared" si="1"/>
        <v>جيد</v>
      </c>
      <c r="I41" s="53"/>
      <c r="J41" s="54"/>
    </row>
    <row r="42" spans="1:10" ht="39.950000000000003" customHeight="1" x14ac:dyDescent="0.2">
      <c r="A42" s="10"/>
      <c r="B42" s="47" t="s">
        <v>210</v>
      </c>
      <c r="C42" s="48"/>
      <c r="D42" s="48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3"/>
      <c r="J42" s="54"/>
    </row>
    <row r="43" spans="1:10" ht="39.950000000000003" customHeight="1" x14ac:dyDescent="0.2">
      <c r="A43" s="10"/>
      <c r="B43" s="47" t="s">
        <v>211</v>
      </c>
      <c r="C43" s="48"/>
      <c r="D43" s="48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53"/>
      <c r="J43" s="54"/>
    </row>
    <row r="44" spans="1:10" ht="39.950000000000003" customHeight="1" x14ac:dyDescent="0.2">
      <c r="A44" s="10"/>
      <c r="B44" s="47" t="s">
        <v>212</v>
      </c>
      <c r="C44" s="48"/>
      <c r="D44" s="48"/>
      <c r="E44" s="9">
        <v>5</v>
      </c>
      <c r="F44" s="26">
        <v>3.5</v>
      </c>
      <c r="G44" s="30">
        <f t="shared" si="0"/>
        <v>0.7</v>
      </c>
      <c r="H44" s="31" t="str">
        <f t="shared" si="1"/>
        <v>جيد</v>
      </c>
      <c r="I44" s="53"/>
      <c r="J44" s="54"/>
    </row>
    <row r="45" spans="1:10" ht="39.950000000000003" customHeight="1" x14ac:dyDescent="0.2">
      <c r="A45" s="10"/>
      <c r="B45" s="47" t="s">
        <v>213</v>
      </c>
      <c r="C45" s="48"/>
      <c r="D45" s="48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53"/>
      <c r="J45" s="54"/>
    </row>
    <row r="46" spans="1:10" ht="39.950000000000003" customHeight="1" x14ac:dyDescent="0.2">
      <c r="A46" s="10"/>
      <c r="B46" s="47" t="s">
        <v>214</v>
      </c>
      <c r="C46" s="48"/>
      <c r="D46" s="48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53"/>
      <c r="J46" s="54"/>
    </row>
    <row r="47" spans="1:10" ht="39.950000000000003" customHeight="1" x14ac:dyDescent="0.2">
      <c r="A47" s="10"/>
      <c r="B47" s="47" t="s">
        <v>215</v>
      </c>
      <c r="C47" s="48"/>
      <c r="D47" s="48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3"/>
      <c r="J47" s="54"/>
    </row>
    <row r="48" spans="1:10" ht="39.950000000000003" customHeight="1" thickBot="1" x14ac:dyDescent="0.25">
      <c r="A48" s="10"/>
      <c r="B48" s="74" t="s">
        <v>216</v>
      </c>
      <c r="C48" s="75"/>
      <c r="D48" s="75"/>
      <c r="E48" s="35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55"/>
      <c r="J48" s="56"/>
    </row>
    <row r="49" spans="1:10" ht="30" customHeight="1" thickBot="1" x14ac:dyDescent="0.25">
      <c r="A49" s="4"/>
      <c r="B49" s="59" t="s">
        <v>5</v>
      </c>
      <c r="C49" s="60"/>
      <c r="D49" s="60"/>
      <c r="E49" s="29">
        <f>SUM(E8:E48)</f>
        <v>150</v>
      </c>
      <c r="F49" s="29">
        <f>SUM(F8:F48)</f>
        <v>108.75</v>
      </c>
      <c r="G49" s="71"/>
      <c r="H49" s="72"/>
      <c r="I49" s="72"/>
      <c r="J49" s="73"/>
    </row>
    <row r="50" spans="1:10" ht="30" customHeight="1" thickBot="1" x14ac:dyDescent="0.25">
      <c r="A50" s="4"/>
      <c r="B50" s="61" t="s">
        <v>54</v>
      </c>
      <c r="C50" s="62"/>
      <c r="D50" s="62"/>
      <c r="E50" s="83">
        <f>F49/E49/100*100</f>
        <v>0.72499999999999998</v>
      </c>
      <c r="F50" s="83"/>
      <c r="G50" s="83"/>
      <c r="H50" s="83"/>
      <c r="I50" s="83"/>
      <c r="J50" s="84"/>
    </row>
    <row r="51" spans="1:10" ht="30" customHeight="1" thickBot="1" x14ac:dyDescent="0.25">
      <c r="A51" s="4"/>
      <c r="B51" s="61" t="s">
        <v>55</v>
      </c>
      <c r="C51" s="62"/>
      <c r="D51" s="62"/>
      <c r="E51" s="67" t="str">
        <f>_xlfn.IFS(E50&gt;=90%,"ممتاز",E50&gt;=80%,"جيد جداً",E50&gt;=70%,"جيد",E50&gt;=60%,"مقبول",E50&lt;60%,"راسب")</f>
        <v>جيد</v>
      </c>
      <c r="F51" s="67"/>
      <c r="G51" s="67"/>
      <c r="H51" s="67"/>
      <c r="I51" s="67"/>
      <c r="J51" s="68"/>
    </row>
    <row r="52" spans="1:10" ht="42" customHeight="1" x14ac:dyDescent="0.2">
      <c r="B52" s="63" t="s">
        <v>175</v>
      </c>
      <c r="C52" s="63"/>
      <c r="D52" s="63"/>
      <c r="E52" s="69" t="s">
        <v>52</v>
      </c>
      <c r="F52" s="69"/>
      <c r="G52" s="65" t="s">
        <v>104</v>
      </c>
      <c r="H52" s="65"/>
      <c r="I52" s="65"/>
      <c r="J52" s="65"/>
    </row>
    <row r="53" spans="1:10" ht="51" customHeight="1" x14ac:dyDescent="0.2">
      <c r="A53" s="5"/>
      <c r="B53" s="64"/>
      <c r="C53" s="64"/>
      <c r="D53" s="64"/>
      <c r="E53" s="70" t="s">
        <v>53</v>
      </c>
      <c r="F53" s="70"/>
      <c r="G53" s="66"/>
      <c r="H53" s="66"/>
      <c r="I53" s="66"/>
      <c r="J53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58">
      <formula>$E51="مقبول"</formula>
    </cfRule>
    <cfRule type="expression" dxfId="12" priority="59">
      <formula>$E51="جيد"</formula>
    </cfRule>
    <cfRule type="expression" dxfId="11" priority="60">
      <formula>$E51="جيد جداً"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2025-10-22T03:41:18Z</dcterms:modified>
</cp:coreProperties>
</file>