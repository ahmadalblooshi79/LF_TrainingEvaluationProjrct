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663F337-F731-264B-B607-FF985D04F62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4" i="2"/>
  <c r="H34" i="2"/>
  <c r="G35" i="2"/>
  <c r="H35" i="2"/>
  <c r="G36" i="2"/>
  <c r="H36" i="2"/>
  <c r="F37" i="2"/>
  <c r="E37" i="2"/>
  <c r="E38" i="2"/>
  <c r="E39" i="2"/>
</calcChain>
</file>

<file path=xl/sharedStrings.xml><?xml version="1.0" encoding="utf-8"?>
<sst xmlns="http://schemas.openxmlformats.org/spreadsheetml/2006/main" count="300" uniqueCount="225">
  <si>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</si>
  <si>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</si>
  <si>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</si>
  <si>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</si>
  <si>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</si>
  <si>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</si>
  <si>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</si>
  <si>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</si>
  <si>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</si>
  <si>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</si>
  <si>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</si>
  <si>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</si>
  <si>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</si>
  <si>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</si>
  <si>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</si>
  <si>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</si>
  <si>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</si>
  <si>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</si>
  <si>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</si>
  <si>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</si>
  <si>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</si>
  <si>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</si>
  <si>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</si>
  <si>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</si>
  <si>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</si>
  <si>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</si>
  <si>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</si>
  <si>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</si>
  <si>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</si>
  <si>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</si>
  <si>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</si>
  <si>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</si>
  <si>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</si>
  <si>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</si>
  <si>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</si>
  <si>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</si>
  <si>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</si>
  <si>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</si>
  <si>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</si>
  <si>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</si>
  <si>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</si>
  <si>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</si>
  <si>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</si>
  <si>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</si>
  <si>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</si>
  <si>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</si>
  <si>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</si>
  <si>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</si>
  <si>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</si>
  <si>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</si>
  <si>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</si>
  <si>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</si>
  <si>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</si>
  <si>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</si>
  <si>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</si>
  <si>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</si>
  <si>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</si>
  <si>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</si>
  <si>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</si>
  <si>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</si>
  <si>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</si>
  <si>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</si>
  <si>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</si>
  <si>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</si>
  <si>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</si>
  <si>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</si>
  <si>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</si>
  <si>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</si>
  <si>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</si>
  <si>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</si>
  <si>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</si>
  <si>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</si>
  <si>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</si>
  <si>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</si>
  <si>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</si>
  <si>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</si>
  <si>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</si>
  <si>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</si>
  <si>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</si>
  <si>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</si>
  <si>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</si>
  <si>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</si>
  <si>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</si>
  <si>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</si>
  <si>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</si>
  <si>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</si>
  <si>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</si>
  <si>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</si>
  <si>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</si>
  <si>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</si>
  <si>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</si>
  <si>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</si>
  <si>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</si>
  <si>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</si>
  <si>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</si>
  <si>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</si>
  <si>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</si>
  <si>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</si>
  <si>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</si>
  <si>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</si>
  <si>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</si>
  <si>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</si>
  <si>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</si>
  <si>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</si>
  <si>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</si>
  <si>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</si>
  <si>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</si>
  <si>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</si>
  <si>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</si>
  <si>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</si>
  <si>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</si>
  <si>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</si>
  <si>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</si>
  <si>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</si>
  <si>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</si>
  <si>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</si>
  <si>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</si>
  <si>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</si>
  <si>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</si>
  <si>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</si>
  <si>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</si>
  <si>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</si>
  <si>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</si>
  <si>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</si>
  <si>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</si>
  <si>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</si>
  <si>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</si>
  <si>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</si>
  <si>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</si>
  <si>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</si>
  <si>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</si>
  <si>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</si>
  <si>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</si>
  <si>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</si>
  <si>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</si>
  <si>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</si>
  <si>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</si>
  <si>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</si>
  <si>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</si>
  <si>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</si>
  <si>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</si>
  <si>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</si>
  <si>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</si>
  <si>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</si>
  <si>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</si>
  <si>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</si>
  <si>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</si>
  <si>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</si>
  <si>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</si>
  <si>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</si>
  <si>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</si>
  <si>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</si>
  <si>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</si>
  <si>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</si>
  <si>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</si>
  <si>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</si>
  <si>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</si>
  <si>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</si>
  <si>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</si>
  <si>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</si>
  <si>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</si>
  <si>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</si>
  <si>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</si>
  <si>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</si>
  <si>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</si>
  <si>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</si>
  <si>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</si>
  <si>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</si>
  <si>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</si>
  <si>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</si>
  <si>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</si>
  <si>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</si>
  <si>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</si>
  <si>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</si>
  <si>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</si>
  <si>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</si>
  <si>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مرحلتي التخطيط والتحضير.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</si>
  <si>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قيام ضابط الإسناد الناري بتحضير وتنسيق خطة الإسناد وفقرة النيران في مفهوم العمليات وفقرة الإسناد الناري في أمر عمليات مجموعة اللواء من خلال ما يلي:</t>
    </r>
  </si>
  <si>
    <t>أ. التخطيط المبكر والمستمر.</t>
  </si>
  <si>
    <t>ب. استغلال جميع معلومات الاستهداف المتوفرة.</t>
  </si>
  <si>
    <t>جـ. التخطيط باعتبار توفر جميع مصادر الإسناد الناري.</t>
  </si>
  <si>
    <t>د. تحديد أولوية مهاجمة الهدف.</t>
  </si>
  <si>
    <t>هـ. حل أي تضارب أو تكرار في الاهداف.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</si>
  <si>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أسس ضابط الإسناد الناري عمليات تخطيط الاسناد الناري وكما يلي:</t>
    </r>
  </si>
  <si>
    <t>أ. تنظيم قدرات وعنصر تنسيق الاسناد الناري في مركز القيادة الرئيسي لمجموعة اللواء، والقيادة التعبوية ومراكز القيادة الخلفية حسب ما هو مطلوب أو متوفر.</t>
  </si>
  <si>
    <t>ب. تأسيس وإدامة الاتصالات (الرقمية / الصوتية).</t>
  </si>
  <si>
    <t>جـ. التأكد من بدء العمل بأنظمة التشغيل الرقمية وربطها بطريقة صحيحة مع الجهات التالية:</t>
  </si>
  <si>
    <t>(1) قيادة موقع مجموعة اللواء وقيادة موقع عناصر الإسناد.</t>
  </si>
  <si>
    <t>(2) قيادات مواقع الاستخبارات للقيادة الاعلى، والوحدات المرؤوسة، والمجاورة.</t>
  </si>
  <si>
    <t>(3) مراكز قيادات عناصر الإسناد الناري في القيادة الأعلى، والوحدات المرؤوسة، والمجاورة.</t>
  </si>
  <si>
    <t>(4) وحدات مدفعية التعزيز المجاورة ووحدات المدفعية المُعًززًة.</t>
  </si>
  <si>
    <t>مرحلة التنفيذ.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</si>
  <si>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ضابط الإسناد الناري بتوجيه وتنسيق عملية تحضير الفقرات الفرعية لخطة الاسناد الناري للمناورة بحيث تشمل (الحرب الكيميائية - الإسناد الجوي القريب - مدفعية الميدان - تعليمات التنسيق - الدفاع الجوي - الطيران المشترك).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</si>
  <si>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دعم خطة الإسناد الناري لقصد القائد وكل من اولويات النيران وخطة المناورة ومبادئ الإسناد الناري وتغطية الفجوات في خطط النار للوحدات المرؤوسة.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</si>
  <si>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ودمج جميع مصادر الإسناد الناري.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</si>
  <si>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مجموعات الأهداف والاهداف المطلوب مشاغلتها على مراحل.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</si>
  <si>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أرسال قوائم الأهداف ومخطط تنفيذ نيران الإسناد الى الوحدات المرؤوسة لتضمينها في خطط النار.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</si>
  <si>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فقرة النيران في مفهوم العمليات لتضمينها في خطة العمليات أو أمر العمليات.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</si>
  <si>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خطة أو ملحق الإسناد الناري من خلال القيام بما يلي:</t>
    </r>
  </si>
  <si>
    <t>أ. دمج خطة الاسناد الناري.</t>
  </si>
  <si>
    <t>ب. تحضير فقرة النيران أو ملحق الاسناد الناري.</t>
  </si>
  <si>
    <t>جـ. توزيع خطة أو ملحق الإسناد الناري كجزء من أمر العمليات أو خطة العمليات.</t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</si>
  <si>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قام ضابط الإسناد الناري/ عنصر الإسناد الناري بتوجيه وتنسيق تحضيرات فقرة الاسناد الناري او ملحق الاسناد الناري في امر العمليات او خطة العمليات.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</si>
  <si>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معالم خطة الرماية، التنظيم للقتال، الشفافات، وتعليمات التنسيق (الاستثناءات، أساليب الهجوم، اختيار وحدات الرمي، المناطق، وعوامل التأثير على الخطة).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</si>
  <si>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مساعدة قائد مجموعة اللواء أو ركن العمليات في وضع أولوية مشاغلة الأهداف.</t>
    </r>
  </si>
  <si>
    <t>إجمالـي العلامـــــــات</t>
  </si>
  <si>
    <t>النسبـــــة المئويـــــة</t>
  </si>
  <si>
    <t>التقديـــــر العـــــــام</t>
  </si>
  <si>
    <t>.....</t>
  </si>
  <si>
    <t>%</t>
  </si>
  <si>
    <t>إجراءات التخطيط والتحضير.</t>
  </si>
  <si>
    <t>إجراءات التنفيذ.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</si>
  <si>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قيام ضابط الإسناد الناري بتحضير وتنسيق خطة الإسناد وفقرة النيران في مفهوم العمليات وفقرة الإسناد الناري في أمر عمليات مجموعة اللواء من خلال ما يلي: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</si>
  <si>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أسس ضابط الإسناد الناري عمليات تخطيط الاسناد الناري وكما يلي:</t>
    </r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</si>
  <si>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ضابط الإسناد الناري بتوجيه وتنسيق عملية تحضير الفقرات الفرعية لخطة الاسناد الناري للمناورة بحيث تشمل (الحرب الكيميائية - الإسناد الجوي القريب - مدفعية الميدان - تعليمات التنسيق - الدفاع الجوي - الطيران المشترك).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</si>
  <si>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دعم خطة الإسناد الناري لقصد القائد وكل من اولويات النيران وخطة المناورة ومبادئ الإسناد الناري وتغطية الفجوات في خطط النار للوحدات المرؤوسة.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</si>
  <si>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ودمج جميع مصادر الإسناد الناري.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</si>
  <si>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مجموعات الأهداف والاهداف المطلوب مشاغلتها على مراحل.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</si>
  <si>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أرسال قوائم الأهداف ومخطط تنفيذ نيران الإسناد الى الوحدات المرؤوسة لتضمينها في خطط النار.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</si>
  <si>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فقرة النيران في مفهوم العمليات لتضمينها في خطة العمليات أو أمر العمليات.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</si>
  <si>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تحضير خطة أو ملحق الإسناد الناري من خلال القيام بما يلي: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</si>
  <si>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قام ضابط الإسناد الناري/ عنصر الإسناد الناري بتوجيه وتنسيق تحضيرات فقرة الاسناد الناري او ملحق الاسناد الناري في امر العمليات او خطة العمليات.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</si>
  <si>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معالم خطة الرماية، التنظيم للقتال، الشفافات، وتعليمات التنسيق (الاستثناءات، أساليب الهجوم، اختيار وحدات الرمي، المناطق، وعوامل التأثير على الخطة).</t>
    </r>
  </si>
  <si>
    <r>
      <t>10.</t>
    </r>
    <r>
      <rPr>
        <sz val="12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مساعدة قائد مجموعة اللواء أو ركن العمليات في وضع أولوية مشاغلة الأهداف.</t>
    </r>
  </si>
  <si>
    <t>تقييم تخطيط الاسناد الناري لمجموعة اللواء –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</si>
</sst>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thick">
        <color indexed="64"/>
      </right>
      <top/>
      <bottom style="dotted">
        <color indexed="64"/>
      </bottom>
      <diagonal/>
    </border>
    <border>
      <left style="dotted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5" borderId="15" xfId="0" applyFont="1" applyFill="1" applyBorder="1" applyAlignment="1">
      <alignment horizontal="right" vertical="center" wrapText="1" readingOrder="2"/>
    </xf>
    <xf numFmtId="0" fontId="14" fillId="0" borderId="17" xfId="0" applyFont="1" applyBorder="1" applyAlignment="1">
      <alignment horizontal="right" vertical="center" wrapText="1" readingOrder="2"/>
    </xf>
    <xf numFmtId="0" fontId="16" fillId="0" borderId="17" xfId="0" applyFont="1" applyBorder="1" applyAlignment="1">
      <alignment horizontal="right" vertical="center" wrapText="1" readingOrder="2"/>
    </xf>
    <xf numFmtId="0" fontId="14" fillId="0" borderId="18" xfId="0" applyFont="1" applyBorder="1" applyAlignment="1">
      <alignment horizontal="right" vertical="center" wrapText="1" readingOrder="2"/>
    </xf>
    <xf numFmtId="0" fontId="2" fillId="5" borderId="19" xfId="0" applyFont="1" applyFill="1" applyBorder="1" applyAlignment="1">
      <alignment horizontal="right" vertical="center" wrapText="1" readingOrder="2"/>
    </xf>
    <xf numFmtId="0" fontId="2" fillId="5" borderId="2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2" fillId="5" borderId="23" xfId="0" applyFont="1" applyFill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13" fillId="0" borderId="16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13" fillId="0" borderId="26" xfId="0" applyFont="1" applyBorder="1" applyAlignment="1">
      <alignment horizontal="center" vertical="center" wrapText="1" readingOrder="2"/>
    </xf>
    <xf numFmtId="0" fontId="1" fillId="6" borderId="21" xfId="0" applyFont="1" applyFill="1" applyBorder="1" applyAlignment="1">
      <alignment vertical="center" wrapText="1" readingOrder="2"/>
    </xf>
    <xf numFmtId="0" fontId="1" fillId="6" borderId="28" xfId="0" applyFont="1" applyFill="1" applyBorder="1" applyAlignment="1">
      <alignment vertical="center" wrapText="1" readingOrder="2"/>
    </xf>
    <xf numFmtId="0" fontId="1" fillId="6" borderId="22" xfId="0" applyFont="1" applyFill="1" applyBorder="1" applyAlignment="1">
      <alignment vertical="center" wrapText="1" readingOrder="2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2" fillId="0" borderId="37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38" xfId="0" applyFont="1" applyBorder="1" applyAlignment="1">
      <alignment horizontal="center" vertical="center" wrapText="1" readingOrder="2"/>
    </xf>
    <xf numFmtId="0" fontId="2" fillId="0" borderId="27" xfId="0" applyFont="1" applyBorder="1" applyAlignment="1">
      <alignment horizontal="center" vertical="center" wrapText="1" readingOrder="2"/>
    </xf>
    <xf numFmtId="0" fontId="2" fillId="0" borderId="39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35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7" borderId="41" xfId="0" applyFont="1" applyFill="1" applyBorder="1" applyAlignment="1">
      <alignment vertical="center" wrapText="1" readingOrder="2"/>
    </xf>
    <xf numFmtId="0" fontId="1" fillId="7" borderId="1" xfId="0" applyFont="1" applyFill="1" applyBorder="1" applyAlignment="1">
      <alignment vertical="center" wrapText="1" readingOrder="2"/>
    </xf>
    <xf numFmtId="0" fontId="1" fillId="7" borderId="42" xfId="0" applyFont="1" applyFill="1" applyBorder="1" applyAlignment="1">
      <alignment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33" xfId="0" applyFont="1" applyFill="1" applyBorder="1" applyAlignment="1" applyProtection="1">
      <alignment horizontal="center" vertical="center" wrapText="1" readingOrder="2"/>
      <protection locked="0"/>
    </xf>
    <xf numFmtId="0" fontId="7" fillId="4" borderId="34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6" xfId="0" applyFont="1" applyFill="1" applyBorder="1" applyAlignment="1" applyProtection="1">
      <alignment horizontal="center" vertical="center" wrapText="1" readingOrder="2"/>
      <protection locked="0"/>
    </xf>
    <xf numFmtId="0" fontId="6" fillId="4" borderId="37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40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40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11" xfId="0" applyFont="1" applyBorder="1" applyAlignment="1">
      <alignment horizontal="right" vertical="center" wrapText="1" indent="4" readingOrder="2"/>
    </xf>
    <xf numFmtId="0" fontId="14" fillId="0" borderId="12" xfId="0" applyFont="1" applyBorder="1" applyAlignment="1">
      <alignment horizontal="right" vertical="center" wrapText="1" indent="4" readingOrder="2"/>
    </xf>
    <xf numFmtId="0" fontId="13" fillId="0" borderId="29" xfId="0" applyFont="1" applyBorder="1" applyAlignment="1">
      <alignment horizontal="center" vertical="center" wrapText="1" readingOrder="2"/>
    </xf>
    <xf numFmtId="0" fontId="13" fillId="0" borderId="30" xfId="0" applyFont="1" applyBorder="1" applyAlignment="1">
      <alignment horizontal="center" vertical="center" wrapText="1" readingOrder="2"/>
    </xf>
    <xf numFmtId="0" fontId="13" fillId="0" borderId="31" xfId="0" applyFont="1" applyBorder="1" applyAlignment="1">
      <alignment horizontal="center" vertical="center" wrapText="1" readingOrder="2"/>
    </xf>
    <xf numFmtId="0" fontId="13" fillId="0" borderId="3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623277</xdr:colOff>
      <xdr:row>40</xdr:row>
      <xdr:rowOff>162678</xdr:rowOff>
    </xdr:from>
    <xdr:to>
      <xdr:col>9</xdr:col>
      <xdr:colOff>289874</xdr:colOff>
      <xdr:row>40</xdr:row>
      <xdr:rowOff>492798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6B5BB4F-D309-39BC-0328-FB32F569E84A}"/>
                </a:ext>
              </a:extLst>
            </xdr14:cNvPr>
            <xdr14:cNvContentPartPr/>
          </xdr14:nvContentPartPr>
          <xdr14:nvPr macro=""/>
          <xdr14:xfrm>
            <a:off x="10398296945" y="18306360"/>
            <a:ext cx="2298960" cy="330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6B5BB4F-D309-39BC-0328-FB32F569E8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88305" y="18297360"/>
              <a:ext cx="2316600" cy="347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9T16:30:16.5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6257 546,'0'0,"-16"0,11 5,-6 6,-21-11,22 0,-76 16,-42-16,106 0,-117 16,-85 0,180-13,-169 26,-75-13,231-13,-223 10,-121 3,358-14,-299 12,-43 18,348-29,-311 10,-36 3,350-15,-301 14,-2 1,306-14,-243 12,-30 2,274-14,-197 12,19 2,186-14,-117 12,27 2,100-14,-40-4,-12 18,57-14,-2-4,25 2,-15 0,94 0,65 0,-141 0,171-16,50 0,-213 15,251-46,75 15,-313 28,321-40,120-4,-428 43,375-54,53 11,-425 42,369-53,24 11,-392 42,303-36,9-6,-322 42,226-20,-16-6,-225 28,112-8,-47-4,-86 14,9 4,-84-2,57 0,-162 0,-55 16,194-14,-229 12,-126 2,325-13,-313 26,-124-13,428-14,-423 44,-69-14,480-27,-384 38,-32-10,425-29,-337 40,-72-12,407-27,-253 38,6 5,275-41,-132 18,34-9,121-13,-34 26,41-13,13-13,54-6,77 3,-108 0,184-32,85 0,-245 27,265-54,60-5,-313 54,288-44,89-43,-369 83,289-52,48-30,-339 81,229-50,-18 1,-234 54,98-28,-25 5,-95 29,14-24,-63 12,28 14,-120-12,-101 14,194 0,-226 16,-96 0,302-13,-283 10,-67 19,341-27,-281 39,-43 4,326-41,-205 50,-42-9,259-41,-116 50,50-9,95-41,-14 18,46 23,-12-41,123 18,82 8,-178-29,181-8,141 4,-299 0,263-17,85-15,-338 27,259-22,15-5,-285 27,153-38,-29 27,-150 14,92-28,-22 30,-81 0,18 0,-33 16,0-13,17 10,-34 19,15-27,-12 38,14-43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1"/>
  <sheetViews>
    <sheetView rightToLeft="1" tabSelected="1" view="pageBreakPreview" zoomScale="130" zoomScaleNormal="100" zoomScaleSheetLayoutView="130" workbookViewId="0">
      <selection activeCell="F14" sqref="F1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85" t="s">
        <v>224</v>
      </c>
      <c r="C1" s="85"/>
      <c r="D1" s="85"/>
      <c r="E1" s="85"/>
      <c r="F1" s="85"/>
      <c r="G1" s="85"/>
      <c r="H1" s="85"/>
      <c r="I1" s="85"/>
      <c r="J1" s="85"/>
    </row>
    <row r="2" spans="1:10" ht="30" customHeight="1" x14ac:dyDescent="0.2">
      <c r="B2" s="13" t="s">
        <v>8</v>
      </c>
      <c r="C2" s="91" t="s">
        <v>48</v>
      </c>
      <c r="D2" s="91"/>
      <c r="E2" s="13" t="s">
        <v>7</v>
      </c>
      <c r="F2" s="86">
        <v>45950</v>
      </c>
      <c r="G2" s="86"/>
      <c r="H2" s="86"/>
      <c r="I2" s="86"/>
      <c r="J2" s="86"/>
    </row>
    <row r="3" spans="1:10" ht="30" customHeight="1" x14ac:dyDescent="0.2">
      <c r="B3" s="13" t="s">
        <v>9</v>
      </c>
      <c r="C3" s="91" t="s">
        <v>69</v>
      </c>
      <c r="D3" s="91"/>
      <c r="E3" s="13" t="s">
        <v>6</v>
      </c>
      <c r="F3" s="91" t="s">
        <v>98</v>
      </c>
      <c r="G3" s="91"/>
      <c r="H3" s="91"/>
      <c r="I3" s="91"/>
      <c r="J3" s="9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87" t="s">
        <v>0</v>
      </c>
      <c r="C5" s="88"/>
      <c r="D5" s="88"/>
      <c r="E5" s="96" t="s">
        <v>1</v>
      </c>
      <c r="F5" s="96"/>
      <c r="G5" s="96"/>
      <c r="H5" s="96"/>
      <c r="I5" s="96" t="s">
        <v>2</v>
      </c>
      <c r="J5" s="97"/>
    </row>
    <row r="6" spans="1:10" ht="24.95" customHeight="1" thickBot="1" x14ac:dyDescent="0.25">
      <c r="A6" s="11"/>
      <c r="B6" s="89"/>
      <c r="C6" s="90"/>
      <c r="D6" s="90"/>
      <c r="E6" s="12" t="s">
        <v>3</v>
      </c>
      <c r="F6" s="12" t="s">
        <v>4</v>
      </c>
      <c r="G6" s="12" t="s">
        <v>23</v>
      </c>
      <c r="H6" s="12" t="s">
        <v>24</v>
      </c>
      <c r="I6" s="98"/>
      <c r="J6" s="99"/>
    </row>
    <row r="7" spans="1:10" ht="24.95" customHeight="1" thickBot="1" x14ac:dyDescent="0.25">
      <c r="A7" s="11"/>
      <c r="B7" s="94" t="s">
        <v>21</v>
      </c>
      <c r="C7" s="95"/>
      <c r="D7" s="95"/>
      <c r="E7" s="44" t="s">
        <v>18</v>
      </c>
      <c r="F7" s="44" t="s">
        <v>19</v>
      </c>
      <c r="G7" s="44" t="s">
        <v>22</v>
      </c>
      <c r="H7" s="44" t="s">
        <v>20</v>
      </c>
      <c r="I7" s="66" t="s">
        <v>25</v>
      </c>
      <c r="J7" s="67"/>
    </row>
    <row r="8" spans="1:10" ht="30" customHeight="1" thickBot="1" x14ac:dyDescent="0.25">
      <c r="A8" s="11"/>
      <c r="B8" s="74" t="s">
        <v>210</v>
      </c>
      <c r="C8" s="75"/>
      <c r="D8" s="75"/>
      <c r="E8" s="75"/>
      <c r="F8" s="75"/>
      <c r="G8" s="75"/>
      <c r="H8" s="75"/>
      <c r="I8" s="75"/>
      <c r="J8" s="76"/>
    </row>
    <row r="9" spans="1:10" ht="50.1" customHeight="1" x14ac:dyDescent="0.2">
      <c r="A9" s="11"/>
      <c r="B9" s="106" t="s">
        <v>212</v>
      </c>
      <c r="C9" s="107"/>
      <c r="D9" s="107"/>
      <c r="E9" s="51"/>
      <c r="F9" s="52"/>
      <c r="G9" s="53"/>
      <c r="H9" s="54"/>
      <c r="I9" s="64"/>
      <c r="J9" s="65"/>
    </row>
    <row r="10" spans="1:10" ht="30" customHeight="1" x14ac:dyDescent="0.2">
      <c r="A10" s="11"/>
      <c r="B10" s="108" t="s">
        <v>178</v>
      </c>
      <c r="C10" s="109"/>
      <c r="D10" s="109"/>
      <c r="E10" s="9">
        <v>5</v>
      </c>
      <c r="F10" s="27">
        <v>4.25</v>
      </c>
      <c r="G10" s="46">
        <f t="shared" ref="G10:G36" si="0">IFERROR(F10/E10,"")</f>
        <v>0.85</v>
      </c>
      <c r="H10" s="47" t="str">
        <f t="shared" ref="H10:H3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68"/>
      <c r="J10" s="69"/>
    </row>
    <row r="11" spans="1:10" ht="30" customHeight="1" x14ac:dyDescent="0.2">
      <c r="A11" s="11"/>
      <c r="B11" s="108" t="s">
        <v>179</v>
      </c>
      <c r="C11" s="109"/>
      <c r="D11" s="109"/>
      <c r="E11" s="9">
        <v>5</v>
      </c>
      <c r="F11" s="57">
        <v>4</v>
      </c>
      <c r="G11" s="46">
        <f t="shared" si="0"/>
        <v>0.8</v>
      </c>
      <c r="H11" s="47" t="str">
        <f t="shared" si="1"/>
        <v>جيد جداً</v>
      </c>
      <c r="I11" s="68"/>
      <c r="J11" s="69"/>
    </row>
    <row r="12" spans="1:10" ht="30" customHeight="1" x14ac:dyDescent="0.2">
      <c r="A12" s="11"/>
      <c r="B12" s="108" t="s">
        <v>180</v>
      </c>
      <c r="C12" s="109"/>
      <c r="D12" s="109"/>
      <c r="E12" s="9">
        <v>5</v>
      </c>
      <c r="F12" s="57">
        <v>3.5</v>
      </c>
      <c r="G12" s="46">
        <f t="shared" si="0"/>
        <v>0.7</v>
      </c>
      <c r="H12" s="47" t="str">
        <f t="shared" si="1"/>
        <v>جيد</v>
      </c>
      <c r="I12" s="68"/>
      <c r="J12" s="69"/>
    </row>
    <row r="13" spans="1:10" ht="30" customHeight="1" x14ac:dyDescent="0.2">
      <c r="A13" s="11"/>
      <c r="B13" s="108" t="s">
        <v>181</v>
      </c>
      <c r="C13" s="109"/>
      <c r="D13" s="109"/>
      <c r="E13" s="9">
        <v>5</v>
      </c>
      <c r="F13" s="57">
        <v>3.75</v>
      </c>
      <c r="G13" s="46">
        <f t="shared" si="0"/>
        <v>0.75</v>
      </c>
      <c r="H13" s="47" t="str">
        <f t="shared" si="1"/>
        <v>جيد</v>
      </c>
      <c r="I13" s="68"/>
      <c r="J13" s="69"/>
    </row>
    <row r="14" spans="1:10" ht="30" customHeight="1" thickBot="1" x14ac:dyDescent="0.25">
      <c r="A14" s="11"/>
      <c r="B14" s="104" t="s">
        <v>182</v>
      </c>
      <c r="C14" s="105"/>
      <c r="D14" s="105"/>
      <c r="E14" s="48">
        <v>5</v>
      </c>
      <c r="F14" s="57">
        <v>3.5</v>
      </c>
      <c r="G14" s="49">
        <f t="shared" si="0"/>
        <v>0.7</v>
      </c>
      <c r="H14" s="50" t="str">
        <f t="shared" si="1"/>
        <v>جيد</v>
      </c>
      <c r="I14" s="72"/>
      <c r="J14" s="73"/>
    </row>
    <row r="15" spans="1:10" ht="30" customHeight="1" x14ac:dyDescent="0.2">
      <c r="A15" s="11"/>
      <c r="B15" s="106" t="s">
        <v>213</v>
      </c>
      <c r="C15" s="107"/>
      <c r="D15" s="107"/>
      <c r="E15" s="51"/>
      <c r="F15" s="52"/>
      <c r="G15" s="53"/>
      <c r="H15" s="54"/>
      <c r="I15" s="64"/>
      <c r="J15" s="65"/>
    </row>
    <row r="16" spans="1:10" ht="50.1" customHeight="1" x14ac:dyDescent="0.2">
      <c r="A16" s="11"/>
      <c r="B16" s="108" t="s">
        <v>184</v>
      </c>
      <c r="C16" s="109"/>
      <c r="D16" s="109"/>
      <c r="E16" s="9">
        <v>5</v>
      </c>
      <c r="F16" s="27">
        <v>4</v>
      </c>
      <c r="G16" s="46">
        <f t="shared" si="0"/>
        <v>0.8</v>
      </c>
      <c r="H16" s="47" t="str">
        <f t="shared" si="1"/>
        <v>جيد جداً</v>
      </c>
      <c r="I16" s="68"/>
      <c r="J16" s="69"/>
    </row>
    <row r="17" spans="1:10" ht="30" customHeight="1" x14ac:dyDescent="0.2">
      <c r="A17" s="11"/>
      <c r="B17" s="108" t="s">
        <v>185</v>
      </c>
      <c r="C17" s="109"/>
      <c r="D17" s="109"/>
      <c r="E17" s="9">
        <v>5</v>
      </c>
      <c r="F17" s="57">
        <v>4</v>
      </c>
      <c r="G17" s="46">
        <f t="shared" si="0"/>
        <v>0.8</v>
      </c>
      <c r="H17" s="47" t="str">
        <f t="shared" si="1"/>
        <v>جيد جداً</v>
      </c>
      <c r="I17" s="68"/>
      <c r="J17" s="69"/>
    </row>
    <row r="18" spans="1:10" ht="39.950000000000003" customHeight="1" x14ac:dyDescent="0.2">
      <c r="A18" s="11"/>
      <c r="B18" s="108" t="s">
        <v>186</v>
      </c>
      <c r="C18" s="109"/>
      <c r="D18" s="109"/>
      <c r="E18" s="9"/>
      <c r="F18" s="27"/>
      <c r="G18" s="46"/>
      <c r="H18" s="47"/>
      <c r="I18" s="68"/>
      <c r="J18" s="69"/>
    </row>
    <row r="19" spans="1:10" ht="30" customHeight="1" x14ac:dyDescent="0.2">
      <c r="A19" s="11"/>
      <c r="B19" s="110" t="s">
        <v>187</v>
      </c>
      <c r="C19" s="111"/>
      <c r="D19" s="111"/>
      <c r="E19" s="9">
        <v>5</v>
      </c>
      <c r="F19" s="27">
        <v>4</v>
      </c>
      <c r="G19" s="46">
        <f t="shared" si="0"/>
        <v>0.8</v>
      </c>
      <c r="H19" s="47" t="str">
        <f t="shared" si="1"/>
        <v>جيد جداً</v>
      </c>
      <c r="I19" s="68"/>
      <c r="J19" s="69"/>
    </row>
    <row r="20" spans="1:10" ht="39.950000000000003" customHeight="1" x14ac:dyDescent="0.2">
      <c r="A20" s="11"/>
      <c r="B20" s="110" t="s">
        <v>188</v>
      </c>
      <c r="C20" s="111"/>
      <c r="D20" s="111"/>
      <c r="E20" s="9">
        <v>5</v>
      </c>
      <c r="F20" s="57">
        <v>3.5</v>
      </c>
      <c r="G20" s="46">
        <f t="shared" si="0"/>
        <v>0.7</v>
      </c>
      <c r="H20" s="47" t="str">
        <f t="shared" si="1"/>
        <v>جيد</v>
      </c>
      <c r="I20" s="68"/>
      <c r="J20" s="69"/>
    </row>
    <row r="21" spans="1:10" ht="39.950000000000003" customHeight="1" x14ac:dyDescent="0.2">
      <c r="A21" s="11"/>
      <c r="B21" s="110" t="s">
        <v>189</v>
      </c>
      <c r="C21" s="111"/>
      <c r="D21" s="111"/>
      <c r="E21" s="9">
        <v>5</v>
      </c>
      <c r="F21" s="57">
        <v>3.5</v>
      </c>
      <c r="G21" s="46">
        <f t="shared" si="0"/>
        <v>0.7</v>
      </c>
      <c r="H21" s="47" t="str">
        <f t="shared" si="1"/>
        <v>جيد</v>
      </c>
      <c r="I21" s="68"/>
      <c r="J21" s="69"/>
    </row>
    <row r="22" spans="1:10" ht="30" customHeight="1" thickBot="1" x14ac:dyDescent="0.25">
      <c r="A22" s="11"/>
      <c r="B22" s="112" t="s">
        <v>190</v>
      </c>
      <c r="C22" s="113"/>
      <c r="D22" s="113"/>
      <c r="E22" s="48">
        <v>5</v>
      </c>
      <c r="F22" s="57">
        <v>4</v>
      </c>
      <c r="G22" s="49">
        <f t="shared" si="0"/>
        <v>0.8</v>
      </c>
      <c r="H22" s="50" t="str">
        <f t="shared" si="1"/>
        <v>جيد جداً</v>
      </c>
      <c r="I22" s="72"/>
      <c r="J22" s="73"/>
    </row>
    <row r="23" spans="1:10" ht="30" customHeight="1" thickBot="1" x14ac:dyDescent="0.25">
      <c r="A23" s="11"/>
      <c r="B23" s="74" t="s">
        <v>211</v>
      </c>
      <c r="C23" s="75"/>
      <c r="D23" s="75"/>
      <c r="E23" s="75"/>
      <c r="F23" s="75"/>
      <c r="G23" s="75"/>
      <c r="H23" s="75"/>
      <c r="I23" s="75"/>
      <c r="J23" s="76"/>
    </row>
    <row r="24" spans="1:10" ht="69" customHeight="1" thickBot="1" x14ac:dyDescent="0.25">
      <c r="A24" s="11"/>
      <c r="B24" s="77" t="s">
        <v>214</v>
      </c>
      <c r="C24" s="78"/>
      <c r="D24" s="78"/>
      <c r="E24" s="10">
        <v>5</v>
      </c>
      <c r="F24" s="55">
        <v>4.5</v>
      </c>
      <c r="G24" s="56">
        <f t="shared" si="0"/>
        <v>0.9</v>
      </c>
      <c r="H24" s="28" t="str">
        <f t="shared" si="1"/>
        <v>ممتاز</v>
      </c>
      <c r="I24" s="70"/>
      <c r="J24" s="71"/>
    </row>
    <row r="25" spans="1:10" ht="50.1" customHeight="1" thickBot="1" x14ac:dyDescent="0.25">
      <c r="A25" s="11"/>
      <c r="B25" s="77" t="s">
        <v>215</v>
      </c>
      <c r="C25" s="78"/>
      <c r="D25" s="78"/>
      <c r="E25" s="10">
        <v>5</v>
      </c>
      <c r="F25" s="58">
        <v>4</v>
      </c>
      <c r="G25" s="56">
        <f t="shared" si="0"/>
        <v>0.8</v>
      </c>
      <c r="H25" s="28" t="str">
        <f t="shared" si="1"/>
        <v>جيد جداً</v>
      </c>
      <c r="I25" s="70"/>
      <c r="J25" s="71"/>
    </row>
    <row r="26" spans="1:10" ht="30" customHeight="1" thickBot="1" x14ac:dyDescent="0.25">
      <c r="A26" s="11"/>
      <c r="B26" s="77" t="s">
        <v>216</v>
      </c>
      <c r="C26" s="78"/>
      <c r="D26" s="78"/>
      <c r="E26" s="10">
        <v>5</v>
      </c>
      <c r="F26" s="58">
        <v>4</v>
      </c>
      <c r="G26" s="56">
        <f t="shared" si="0"/>
        <v>0.8</v>
      </c>
      <c r="H26" s="28" t="str">
        <f t="shared" si="1"/>
        <v>جيد جداً</v>
      </c>
      <c r="I26" s="70"/>
      <c r="J26" s="71"/>
    </row>
    <row r="27" spans="1:10" ht="39.950000000000003" customHeight="1" thickBot="1" x14ac:dyDescent="0.25">
      <c r="A27" s="11"/>
      <c r="B27" s="77" t="s">
        <v>217</v>
      </c>
      <c r="C27" s="78"/>
      <c r="D27" s="78"/>
      <c r="E27" s="10">
        <v>5</v>
      </c>
      <c r="F27" s="58">
        <v>3.75</v>
      </c>
      <c r="G27" s="56">
        <f t="shared" si="0"/>
        <v>0.75</v>
      </c>
      <c r="H27" s="28" t="str">
        <f t="shared" si="1"/>
        <v>جيد</v>
      </c>
      <c r="I27" s="70"/>
      <c r="J27" s="71"/>
    </row>
    <row r="28" spans="1:10" ht="39.950000000000003" customHeight="1" thickBot="1" x14ac:dyDescent="0.25">
      <c r="A28" s="11"/>
      <c r="B28" s="77" t="s">
        <v>218</v>
      </c>
      <c r="C28" s="78"/>
      <c r="D28" s="78"/>
      <c r="E28" s="10">
        <v>5</v>
      </c>
      <c r="F28" s="58">
        <v>3.5</v>
      </c>
      <c r="G28" s="56">
        <f t="shared" si="0"/>
        <v>0.7</v>
      </c>
      <c r="H28" s="28" t="str">
        <f t="shared" si="1"/>
        <v>جيد</v>
      </c>
      <c r="I28" s="70"/>
      <c r="J28" s="71"/>
    </row>
    <row r="29" spans="1:10" ht="39.950000000000003" customHeight="1" thickBot="1" x14ac:dyDescent="0.25">
      <c r="A29" s="11"/>
      <c r="B29" s="77" t="s">
        <v>219</v>
      </c>
      <c r="C29" s="78"/>
      <c r="D29" s="78"/>
      <c r="E29" s="10">
        <v>5</v>
      </c>
      <c r="F29" s="58">
        <v>4</v>
      </c>
      <c r="G29" s="56">
        <f t="shared" si="0"/>
        <v>0.8</v>
      </c>
      <c r="H29" s="28" t="str">
        <f t="shared" si="1"/>
        <v>جيد جداً</v>
      </c>
      <c r="I29" s="70"/>
      <c r="J29" s="71"/>
    </row>
    <row r="30" spans="1:10" ht="30" customHeight="1" x14ac:dyDescent="0.2">
      <c r="A30" s="11"/>
      <c r="B30" s="106" t="s">
        <v>220</v>
      </c>
      <c r="C30" s="107"/>
      <c r="D30" s="107"/>
      <c r="E30" s="51"/>
      <c r="F30" s="52"/>
      <c r="G30" s="53"/>
      <c r="H30" s="54"/>
      <c r="I30" s="64"/>
      <c r="J30" s="65"/>
    </row>
    <row r="31" spans="1:10" ht="30" customHeight="1" x14ac:dyDescent="0.2">
      <c r="A31" s="11"/>
      <c r="B31" s="108" t="s">
        <v>199</v>
      </c>
      <c r="C31" s="109"/>
      <c r="D31" s="109"/>
      <c r="E31" s="9">
        <v>5</v>
      </c>
      <c r="F31" s="27">
        <v>4</v>
      </c>
      <c r="G31" s="46">
        <f t="shared" si="0"/>
        <v>0.8</v>
      </c>
      <c r="H31" s="47" t="str">
        <f t="shared" si="1"/>
        <v>جيد جداً</v>
      </c>
      <c r="I31" s="68"/>
      <c r="J31" s="69"/>
    </row>
    <row r="32" spans="1:10" ht="30" customHeight="1" x14ac:dyDescent="0.2">
      <c r="A32" s="11"/>
      <c r="B32" s="108" t="s">
        <v>200</v>
      </c>
      <c r="C32" s="109"/>
      <c r="D32" s="109"/>
      <c r="E32" s="9">
        <v>5</v>
      </c>
      <c r="F32" s="57">
        <v>3.75</v>
      </c>
      <c r="G32" s="46">
        <f t="shared" si="0"/>
        <v>0.75</v>
      </c>
      <c r="H32" s="47" t="str">
        <f t="shared" si="1"/>
        <v>جيد</v>
      </c>
      <c r="I32" s="68"/>
      <c r="J32" s="69"/>
    </row>
    <row r="33" spans="1:10" ht="39.950000000000003" customHeight="1" thickBot="1" x14ac:dyDescent="0.25">
      <c r="A33" s="11"/>
      <c r="B33" s="104" t="s">
        <v>201</v>
      </c>
      <c r="C33" s="105"/>
      <c r="D33" s="105"/>
      <c r="E33" s="48">
        <v>5</v>
      </c>
      <c r="F33" s="57">
        <v>3.5</v>
      </c>
      <c r="G33" s="49">
        <f t="shared" si="0"/>
        <v>0.7</v>
      </c>
      <c r="H33" s="50" t="str">
        <f t="shared" si="1"/>
        <v>جيد</v>
      </c>
      <c r="I33" s="72"/>
      <c r="J33" s="73"/>
    </row>
    <row r="34" spans="1:10" ht="50.1" customHeight="1" thickBot="1" x14ac:dyDescent="0.25">
      <c r="A34" s="11"/>
      <c r="B34" s="77" t="s">
        <v>221</v>
      </c>
      <c r="C34" s="78"/>
      <c r="D34" s="78"/>
      <c r="E34" s="10">
        <v>5</v>
      </c>
      <c r="F34" s="57">
        <v>4</v>
      </c>
      <c r="G34" s="56">
        <f t="shared" si="0"/>
        <v>0.8</v>
      </c>
      <c r="H34" s="28" t="str">
        <f t="shared" si="1"/>
        <v>جيد جداً</v>
      </c>
      <c r="I34" s="70"/>
      <c r="J34" s="71"/>
    </row>
    <row r="35" spans="1:10" ht="50.1" customHeight="1" thickBot="1" x14ac:dyDescent="0.25">
      <c r="A35" s="11"/>
      <c r="B35" s="77" t="s">
        <v>222</v>
      </c>
      <c r="C35" s="78"/>
      <c r="D35" s="78"/>
      <c r="E35" s="10">
        <v>5</v>
      </c>
      <c r="F35" s="57">
        <v>3.5</v>
      </c>
      <c r="G35" s="56">
        <f t="shared" si="0"/>
        <v>0.7</v>
      </c>
      <c r="H35" s="28" t="str">
        <f t="shared" si="1"/>
        <v>جيد</v>
      </c>
      <c r="I35" s="70"/>
      <c r="J35" s="71"/>
    </row>
    <row r="36" spans="1:10" ht="39.950000000000003" customHeight="1" thickBot="1" x14ac:dyDescent="0.25">
      <c r="A36" s="11"/>
      <c r="B36" s="77" t="s">
        <v>223</v>
      </c>
      <c r="C36" s="78"/>
      <c r="D36" s="78"/>
      <c r="E36" s="10">
        <v>5</v>
      </c>
      <c r="F36" s="57">
        <v>3.5</v>
      </c>
      <c r="G36" s="56">
        <f t="shared" si="0"/>
        <v>0.7</v>
      </c>
      <c r="H36" s="28" t="str">
        <f t="shared" si="1"/>
        <v>جيد</v>
      </c>
      <c r="I36" s="70"/>
      <c r="J36" s="71"/>
    </row>
    <row r="37" spans="1:10" ht="30" customHeight="1" thickBot="1" x14ac:dyDescent="0.25">
      <c r="A37" s="4"/>
      <c r="B37" s="102" t="s">
        <v>5</v>
      </c>
      <c r="C37" s="103"/>
      <c r="D37" s="103"/>
      <c r="E37" s="45">
        <f>SUM(E8:E36)</f>
        <v>115</v>
      </c>
      <c r="F37" s="45">
        <f>SUM(F8:F36)</f>
        <v>88</v>
      </c>
      <c r="G37" s="61"/>
      <c r="H37" s="62"/>
      <c r="I37" s="62"/>
      <c r="J37" s="63"/>
    </row>
    <row r="38" spans="1:10" ht="30" customHeight="1" thickBot="1" x14ac:dyDescent="0.25">
      <c r="A38" s="4"/>
      <c r="B38" s="100" t="s">
        <v>54</v>
      </c>
      <c r="C38" s="101"/>
      <c r="D38" s="101"/>
      <c r="E38" s="92">
        <f>F37/E37/100*100</f>
        <v>0.76521739130434785</v>
      </c>
      <c r="F38" s="92"/>
      <c r="G38" s="92"/>
      <c r="H38" s="92"/>
      <c r="I38" s="92"/>
      <c r="J38" s="93"/>
    </row>
    <row r="39" spans="1:10" ht="30" customHeight="1" thickBot="1" x14ac:dyDescent="0.25">
      <c r="A39" s="4"/>
      <c r="B39" s="100" t="s">
        <v>55</v>
      </c>
      <c r="C39" s="101"/>
      <c r="D39" s="101"/>
      <c r="E39" s="83" t="str">
        <f>_xlfn.IFS(E38&gt;=90%,"ممتاز",E38&gt;=80%,"جيد جداً",E38&gt;=70%,"جيد",E38&gt;=60%,"مقبول",E38&lt;60%,"راسب")</f>
        <v>جيد</v>
      </c>
      <c r="F39" s="83"/>
      <c r="G39" s="83"/>
      <c r="H39" s="83"/>
      <c r="I39" s="83"/>
      <c r="J39" s="84"/>
    </row>
    <row r="40" spans="1:10" ht="42" customHeight="1" x14ac:dyDescent="0.2">
      <c r="B40" s="79" t="s">
        <v>62</v>
      </c>
      <c r="C40" s="79"/>
      <c r="D40" s="79"/>
      <c r="E40" s="59" t="s">
        <v>52</v>
      </c>
      <c r="F40" s="59"/>
      <c r="G40" s="81" t="s">
        <v>98</v>
      </c>
      <c r="H40" s="81"/>
      <c r="I40" s="81"/>
      <c r="J40" s="81"/>
    </row>
    <row r="41" spans="1:10" ht="51" customHeight="1" x14ac:dyDescent="0.2">
      <c r="A41" s="5"/>
      <c r="B41" s="80"/>
      <c r="C41" s="80"/>
      <c r="D41" s="80"/>
      <c r="E41" s="60" t="s">
        <v>53</v>
      </c>
      <c r="F41" s="60"/>
      <c r="G41" s="82"/>
      <c r="H41" s="82"/>
      <c r="I41" s="82"/>
      <c r="J41" s="8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7">
    <mergeCell ref="B32:D32"/>
    <mergeCell ref="B33:D33"/>
    <mergeCell ref="B34:D34"/>
    <mergeCell ref="B9:D9"/>
    <mergeCell ref="B10:D10"/>
    <mergeCell ref="B11:D11"/>
    <mergeCell ref="B12:D12"/>
    <mergeCell ref="B13:D13"/>
    <mergeCell ref="B17:D17"/>
    <mergeCell ref="B18:D18"/>
    <mergeCell ref="B19:D19"/>
    <mergeCell ref="B30:D30"/>
    <mergeCell ref="B31:D31"/>
    <mergeCell ref="B37:D37"/>
    <mergeCell ref="B38:D38"/>
    <mergeCell ref="B14:D14"/>
    <mergeCell ref="B15:D15"/>
    <mergeCell ref="B16:D16"/>
    <mergeCell ref="B20:D20"/>
    <mergeCell ref="B21:D21"/>
    <mergeCell ref="B22:D22"/>
    <mergeCell ref="B24:D24"/>
    <mergeCell ref="B25:D25"/>
    <mergeCell ref="B35:D35"/>
    <mergeCell ref="B36:D36"/>
    <mergeCell ref="B23:J23"/>
    <mergeCell ref="B26:D26"/>
    <mergeCell ref="B27:D27"/>
    <mergeCell ref="B28:D28"/>
    <mergeCell ref="B39:D3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I24:J24"/>
    <mergeCell ref="I25:J25"/>
    <mergeCell ref="I26:J26"/>
    <mergeCell ref="I27:J27"/>
    <mergeCell ref="B40:D41"/>
    <mergeCell ref="G40:J40"/>
    <mergeCell ref="G41:J41"/>
    <mergeCell ref="E39:J39"/>
    <mergeCell ref="B1:J1"/>
    <mergeCell ref="F2:J2"/>
    <mergeCell ref="B5:D6"/>
    <mergeCell ref="C2:D2"/>
    <mergeCell ref="C3:D3"/>
    <mergeCell ref="F3:J3"/>
    <mergeCell ref="E38:J38"/>
    <mergeCell ref="B7:D7"/>
    <mergeCell ref="I30:J30"/>
    <mergeCell ref="I31:J31"/>
    <mergeCell ref="E5:H5"/>
    <mergeCell ref="I5:J6"/>
    <mergeCell ref="E40:F40"/>
    <mergeCell ref="E41:F41"/>
    <mergeCell ref="G37:J37"/>
    <mergeCell ref="I9:J9"/>
    <mergeCell ref="I7:J7"/>
    <mergeCell ref="I10:J10"/>
    <mergeCell ref="I19:J19"/>
    <mergeCell ref="I20:J20"/>
    <mergeCell ref="I21:J21"/>
    <mergeCell ref="I34:J34"/>
    <mergeCell ref="I35:J35"/>
    <mergeCell ref="I36:J36"/>
    <mergeCell ref="I32:J32"/>
    <mergeCell ref="I33:J33"/>
    <mergeCell ref="B8:J8"/>
    <mergeCell ref="B29:D2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9">
    <cfRule type="expression" dxfId="21" priority="57">
      <formula>$E39="راسب"</formula>
    </cfRule>
  </conditionalFormatting>
  <conditionalFormatting sqref="E39:J39">
    <cfRule type="expression" dxfId="20" priority="60">
      <formula>$E39="جيد جداً"</formula>
    </cfRule>
    <cfRule type="expression" dxfId="19" priority="59">
      <formula>$E39="جيد"</formula>
    </cfRule>
    <cfRule type="expression" dxfId="18" priority="58">
      <formula>$E39="مقبول"</formula>
    </cfRule>
    <cfRule type="expression" dxfId="17" priority="61">
      <formula>$E39="ممتاز"</formula>
    </cfRule>
  </conditionalFormatting>
  <conditionalFormatting sqref="F9:F22">
    <cfRule type="containsText" dxfId="16" priority="4" operator="containsText" text="أدخل العلامة">
      <formula>NOT(ISERROR(SEARCH("أدخل العلامة",F9)))</formula>
    </cfRule>
  </conditionalFormatting>
  <conditionalFormatting sqref="F24:F36">
    <cfRule type="containsText" dxfId="15" priority="14" operator="containsText" text="أدخل العلامة">
      <formula>NOT(ISERROR(SEARCH("أدخل العلامة",F24)))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0:J40">
    <cfRule type="containsText" dxfId="12" priority="15" operator="containsText" text="أدخل اسم المحكم">
      <formula>NOT(ISERROR(SEARCH("أدخل اسم المحكم",G40)))</formula>
    </cfRule>
  </conditionalFormatting>
  <conditionalFormatting sqref="H9:H22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4:H36">
    <cfRule type="containsText" dxfId="5" priority="38" operator="containsText" text="أدخل العلامة">
      <formula>NOT(ISERROR(SEARCH("أدخل العلامة",H24)))</formula>
    </cfRule>
    <cfRule type="containsText" dxfId="4" priority="39" operator="containsText" text="ممتاز">
      <formula>NOT(ISERROR(SEARCH("ممتاز",H24)))</formula>
    </cfRule>
    <cfRule type="containsText" dxfId="3" priority="40" operator="containsText" text="جيد جداً">
      <formula>NOT(ISERROR(SEARCH("جيد جداً",H24)))</formula>
    </cfRule>
    <cfRule type="containsText" dxfId="2" priority="41" operator="containsText" text="جيد">
      <formula>NOT(ISERROR(SEARCH("جيد",H24)))</formula>
    </cfRule>
    <cfRule type="containsText" dxfId="1" priority="42" operator="containsText" text="مقبول">
      <formula>NOT(ISERROR(SEARCH("مقبول",H24)))</formula>
    </cfRule>
    <cfRule type="containsText" dxfId="0" priority="43" operator="containsText" text="راسب">
      <formula>NOT(ISERROR(SEARCH("راسب",H24)))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F31:F36 F24:F29 F19:F22 F16:F17 F10:F14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G40:J40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63</v>
      </c>
    </row>
    <row r="3" spans="1:3" ht="20.100000000000001" customHeight="1" thickBot="1" x14ac:dyDescent="0.3">
      <c r="A3" s="2" t="s">
        <v>26</v>
      </c>
      <c r="C3" s="20" t="s">
        <v>64</v>
      </c>
    </row>
    <row r="4" spans="1:3" ht="20.100000000000001" customHeight="1" thickBot="1" x14ac:dyDescent="0.3">
      <c r="A4" s="2" t="s">
        <v>36</v>
      </c>
      <c r="C4" s="20" t="s">
        <v>65</v>
      </c>
    </row>
    <row r="5" spans="1:3" ht="20.100000000000001" customHeight="1" thickBot="1" x14ac:dyDescent="0.3">
      <c r="A5" s="2" t="s">
        <v>37</v>
      </c>
      <c r="C5" s="20" t="s">
        <v>66</v>
      </c>
    </row>
    <row r="6" spans="1:3" ht="20.100000000000001" customHeight="1" thickBot="1" x14ac:dyDescent="0.3">
      <c r="A6" s="2" t="s">
        <v>38</v>
      </c>
      <c r="C6" s="20" t="s">
        <v>67</v>
      </c>
    </row>
    <row r="7" spans="1:3" ht="20.100000000000001" customHeight="1" thickBot="1" x14ac:dyDescent="0.3">
      <c r="A7" s="2" t="s">
        <v>39</v>
      </c>
      <c r="C7" s="20" t="s">
        <v>68</v>
      </c>
    </row>
    <row r="8" spans="1:3" ht="20.100000000000001" customHeight="1" thickBot="1" x14ac:dyDescent="0.3">
      <c r="A8" s="2" t="s">
        <v>40</v>
      </c>
      <c r="C8" s="20" t="s">
        <v>69</v>
      </c>
    </row>
    <row r="9" spans="1:3" ht="20.100000000000001" customHeight="1" thickBot="1" x14ac:dyDescent="0.3">
      <c r="A9" s="2" t="s">
        <v>41</v>
      </c>
      <c r="C9" s="20" t="s">
        <v>70</v>
      </c>
    </row>
    <row r="10" spans="1:3" ht="20.100000000000001" customHeight="1" thickBot="1" x14ac:dyDescent="0.3">
      <c r="A10" s="2" t="s">
        <v>42</v>
      </c>
      <c r="C10" s="20" t="s">
        <v>71</v>
      </c>
    </row>
    <row r="11" spans="1:3" ht="20.100000000000001" customHeight="1" thickBot="1" x14ac:dyDescent="0.3">
      <c r="A11" s="2" t="s">
        <v>43</v>
      </c>
      <c r="C11" s="20" t="s">
        <v>72</v>
      </c>
    </row>
    <row r="12" spans="1:3" ht="20.100000000000001" customHeight="1" thickBot="1" x14ac:dyDescent="0.3">
      <c r="A12" s="2" t="s">
        <v>44</v>
      </c>
      <c r="C12" s="20" t="s">
        <v>73</v>
      </c>
    </row>
    <row r="13" spans="1:3" ht="20.100000000000001" customHeight="1" thickBot="1" x14ac:dyDescent="0.3">
      <c r="A13" s="2" t="s">
        <v>45</v>
      </c>
      <c r="C13" s="20" t="s">
        <v>74</v>
      </c>
    </row>
    <row r="14" spans="1:3" ht="20.100000000000001" customHeight="1" thickBot="1" x14ac:dyDescent="0.3">
      <c r="A14" s="2" t="s">
        <v>46</v>
      </c>
      <c r="C14" s="20" t="s">
        <v>75</v>
      </c>
    </row>
    <row r="15" spans="1:3" ht="20.100000000000001" customHeight="1" thickBot="1" x14ac:dyDescent="0.3">
      <c r="A15" s="2" t="s">
        <v>47</v>
      </c>
      <c r="C15" s="20" t="s">
        <v>76</v>
      </c>
    </row>
    <row r="16" spans="1:3" ht="20.100000000000001" customHeight="1" thickBot="1" x14ac:dyDescent="0.3">
      <c r="A16" s="2" t="s">
        <v>10</v>
      </c>
      <c r="C16" s="20" t="s">
        <v>77</v>
      </c>
    </row>
    <row r="17" spans="1:3" ht="20.100000000000001" customHeight="1" thickBot="1" x14ac:dyDescent="0.3">
      <c r="A17" s="2" t="s">
        <v>27</v>
      </c>
      <c r="C17" s="20" t="s">
        <v>78</v>
      </c>
    </row>
    <row r="18" spans="1:3" ht="20.100000000000001" customHeight="1" thickBot="1" x14ac:dyDescent="0.3">
      <c r="A18" s="2" t="s">
        <v>48</v>
      </c>
      <c r="C18" s="20" t="s">
        <v>79</v>
      </c>
    </row>
    <row r="19" spans="1:3" ht="20.100000000000001" customHeight="1" thickBot="1" x14ac:dyDescent="0.3">
      <c r="A19" s="2" t="s">
        <v>49</v>
      </c>
      <c r="C19" s="20" t="s">
        <v>80</v>
      </c>
    </row>
    <row r="20" spans="1:3" ht="20.100000000000001" customHeight="1" thickBot="1" x14ac:dyDescent="0.3">
      <c r="A20" s="2" t="s">
        <v>50</v>
      </c>
      <c r="C20" s="20" t="s">
        <v>81</v>
      </c>
    </row>
    <row r="21" spans="1:3" ht="20.100000000000001" customHeight="1" thickBot="1" x14ac:dyDescent="0.3">
      <c r="A21" s="2" t="s">
        <v>51</v>
      </c>
      <c r="C21" s="20" t="s">
        <v>82</v>
      </c>
    </row>
    <row r="22" spans="1:3" ht="20.100000000000001" customHeight="1" thickBot="1" x14ac:dyDescent="0.3">
      <c r="A22" s="2" t="s">
        <v>11</v>
      </c>
      <c r="C22" s="20" t="s">
        <v>83</v>
      </c>
    </row>
    <row r="23" spans="1:3" ht="20.100000000000001" customHeight="1" thickBot="1" x14ac:dyDescent="0.3">
      <c r="A23" s="2" t="s">
        <v>12</v>
      </c>
      <c r="C23" s="20" t="s">
        <v>84</v>
      </c>
    </row>
    <row r="24" spans="1:3" ht="20.100000000000001" customHeight="1" thickBot="1" x14ac:dyDescent="0.3">
      <c r="A24" s="2" t="s">
        <v>15</v>
      </c>
      <c r="C24" s="20" t="s">
        <v>85</v>
      </c>
    </row>
    <row r="25" spans="1:3" ht="20.100000000000001" customHeight="1" thickBot="1" x14ac:dyDescent="0.3">
      <c r="A25" s="2" t="s">
        <v>28</v>
      </c>
      <c r="C25" s="20" t="s">
        <v>86</v>
      </c>
    </row>
    <row r="26" spans="1:3" ht="20.100000000000001" customHeight="1" thickBot="1" x14ac:dyDescent="0.3">
      <c r="A26" s="2" t="s">
        <v>29</v>
      </c>
      <c r="C26" s="20" t="s">
        <v>87</v>
      </c>
    </row>
    <row r="27" spans="1:3" ht="20.100000000000001" customHeight="1" thickBot="1" x14ac:dyDescent="0.3">
      <c r="A27" s="2" t="s">
        <v>13</v>
      </c>
      <c r="C27" s="20" t="s">
        <v>88</v>
      </c>
    </row>
    <row r="28" spans="1:3" ht="20.100000000000001" customHeight="1" thickBot="1" x14ac:dyDescent="0.3">
      <c r="A28" s="2" t="s">
        <v>30</v>
      </c>
      <c r="C28" s="20" t="s">
        <v>89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90</v>
      </c>
    </row>
    <row r="200" spans="1:1" ht="20.100000000000001" customHeight="1" x14ac:dyDescent="0.2">
      <c r="A200" s="21" t="s">
        <v>91</v>
      </c>
    </row>
    <row r="201" spans="1:1" ht="20.100000000000001" customHeight="1" x14ac:dyDescent="0.2">
      <c r="A201" s="21" t="s">
        <v>92</v>
      </c>
    </row>
    <row r="202" spans="1:1" ht="20.100000000000001" customHeight="1" x14ac:dyDescent="0.2">
      <c r="A202" s="21" t="s">
        <v>93</v>
      </c>
    </row>
    <row r="203" spans="1:1" ht="20.100000000000001" customHeight="1" x14ac:dyDescent="0.2">
      <c r="A203" s="21" t="s">
        <v>94</v>
      </c>
    </row>
    <row r="204" spans="1:1" ht="20.100000000000001" customHeight="1" x14ac:dyDescent="0.2">
      <c r="A204" s="21" t="s">
        <v>95</v>
      </c>
    </row>
    <row r="205" spans="1:1" ht="20.100000000000001" customHeight="1" x14ac:dyDescent="0.2">
      <c r="A205" s="21" t="s">
        <v>96</v>
      </c>
    </row>
    <row r="206" spans="1:1" ht="20.100000000000001" customHeight="1" x14ac:dyDescent="0.2">
      <c r="A206" s="21" t="s">
        <v>97</v>
      </c>
    </row>
    <row r="207" spans="1:1" ht="20.100000000000001" customHeight="1" x14ac:dyDescent="0.2">
      <c r="A207" s="21" t="s">
        <v>98</v>
      </c>
    </row>
    <row r="208" spans="1:1" ht="20.100000000000001" customHeight="1" x14ac:dyDescent="0.2">
      <c r="A208" s="22" t="s">
        <v>99</v>
      </c>
    </row>
    <row r="209" spans="1:1" ht="20.100000000000001" customHeight="1" x14ac:dyDescent="0.2">
      <c r="A209" s="22" t="s">
        <v>100</v>
      </c>
    </row>
    <row r="210" spans="1:1" ht="20.100000000000001" customHeight="1" x14ac:dyDescent="0.2">
      <c r="A210" s="21" t="s">
        <v>101</v>
      </c>
    </row>
    <row r="211" spans="1:1" ht="20.100000000000001" customHeight="1" x14ac:dyDescent="0.2">
      <c r="A211" s="21" t="s">
        <v>102</v>
      </c>
    </row>
    <row r="212" spans="1:1" ht="20.100000000000001" customHeight="1" x14ac:dyDescent="0.2">
      <c r="A212" s="21" t="s">
        <v>103</v>
      </c>
    </row>
    <row r="213" spans="1:1" ht="20.100000000000001" customHeight="1" x14ac:dyDescent="0.2">
      <c r="A213" s="21" t="s">
        <v>104</v>
      </c>
    </row>
    <row r="214" spans="1:1" ht="20.100000000000001" customHeight="1" x14ac:dyDescent="0.2">
      <c r="A214" s="21" t="s">
        <v>105</v>
      </c>
    </row>
    <row r="215" spans="1:1" ht="20.100000000000001" customHeight="1" x14ac:dyDescent="0.2">
      <c r="A215" s="21" t="s">
        <v>106</v>
      </c>
    </row>
    <row r="216" spans="1:1" ht="20.100000000000001" customHeight="1" x14ac:dyDescent="0.2">
      <c r="A216" s="21" t="s">
        <v>107</v>
      </c>
    </row>
    <row r="217" spans="1:1" ht="20.100000000000001" customHeight="1" x14ac:dyDescent="0.2">
      <c r="A217" s="21" t="s">
        <v>108</v>
      </c>
    </row>
    <row r="218" spans="1:1" ht="20.100000000000001" customHeight="1" x14ac:dyDescent="0.2">
      <c r="A218" s="21" t="s">
        <v>109</v>
      </c>
    </row>
    <row r="219" spans="1:1" ht="20.100000000000001" customHeight="1" x14ac:dyDescent="0.2">
      <c r="A219" s="21" t="s">
        <v>110</v>
      </c>
    </row>
    <row r="220" spans="1:1" ht="20.100000000000001" customHeight="1" x14ac:dyDescent="0.2">
      <c r="A220" s="21" t="s">
        <v>111</v>
      </c>
    </row>
    <row r="221" spans="1:1" ht="20.100000000000001" customHeight="1" x14ac:dyDescent="0.2">
      <c r="A221" s="21" t="s">
        <v>112</v>
      </c>
    </row>
    <row r="222" spans="1:1" ht="20.100000000000001" customHeight="1" x14ac:dyDescent="0.2">
      <c r="A222" s="21" t="s">
        <v>113</v>
      </c>
    </row>
    <row r="223" spans="1:1" ht="20.100000000000001" customHeight="1" x14ac:dyDescent="0.2">
      <c r="A223" s="21" t="s">
        <v>114</v>
      </c>
    </row>
    <row r="224" spans="1:1" ht="20.100000000000001" customHeight="1" x14ac:dyDescent="0.2">
      <c r="A224" s="21" t="s">
        <v>115</v>
      </c>
    </row>
    <row r="225" spans="1:1" ht="20.100000000000001" customHeight="1" x14ac:dyDescent="0.2">
      <c r="A225" s="21" t="s">
        <v>116</v>
      </c>
    </row>
    <row r="226" spans="1:1" ht="20.100000000000001" customHeight="1" x14ac:dyDescent="0.2">
      <c r="A226" s="21" t="s">
        <v>117</v>
      </c>
    </row>
    <row r="227" spans="1:1" ht="20.100000000000001" customHeight="1" x14ac:dyDescent="0.2">
      <c r="A227" s="21" t="s">
        <v>118</v>
      </c>
    </row>
    <row r="228" spans="1:1" ht="20.100000000000001" customHeight="1" x14ac:dyDescent="0.2">
      <c r="A228" s="21" t="s">
        <v>119</v>
      </c>
    </row>
    <row r="229" spans="1:1" ht="20.100000000000001" customHeight="1" x14ac:dyDescent="0.2">
      <c r="A229" s="21" t="s">
        <v>120</v>
      </c>
    </row>
    <row r="230" spans="1:1" ht="20.100000000000001" customHeight="1" x14ac:dyDescent="0.2">
      <c r="A230" s="21" t="s">
        <v>121</v>
      </c>
    </row>
    <row r="231" spans="1:1" ht="20.100000000000001" customHeight="1" x14ac:dyDescent="0.2">
      <c r="A231" s="21" t="s">
        <v>122</v>
      </c>
    </row>
    <row r="232" spans="1:1" ht="20.100000000000001" customHeight="1" x14ac:dyDescent="0.2">
      <c r="A232" s="21" t="s">
        <v>123</v>
      </c>
    </row>
    <row r="233" spans="1:1" ht="20.100000000000001" customHeight="1" x14ac:dyDescent="0.2">
      <c r="A233" s="21" t="s">
        <v>124</v>
      </c>
    </row>
    <row r="234" spans="1:1" ht="20.100000000000001" customHeight="1" x14ac:dyDescent="0.2">
      <c r="A234" s="21" t="s">
        <v>125</v>
      </c>
    </row>
    <row r="235" spans="1:1" ht="20.100000000000001" customHeight="1" x14ac:dyDescent="0.2">
      <c r="A235" s="23" t="s">
        <v>126</v>
      </c>
    </row>
    <row r="236" spans="1:1" ht="20.100000000000001" customHeight="1" x14ac:dyDescent="0.2">
      <c r="A236" s="21" t="s">
        <v>127</v>
      </c>
    </row>
    <row r="237" spans="1:1" ht="20.100000000000001" customHeight="1" x14ac:dyDescent="0.2">
      <c r="A237" s="21" t="s">
        <v>128</v>
      </c>
    </row>
    <row r="238" spans="1:1" ht="20.100000000000001" customHeight="1" x14ac:dyDescent="0.2">
      <c r="A238" s="21" t="s">
        <v>129</v>
      </c>
    </row>
    <row r="239" spans="1:1" ht="20.100000000000001" customHeight="1" x14ac:dyDescent="0.2">
      <c r="A239" s="21" t="s">
        <v>130</v>
      </c>
    </row>
    <row r="240" spans="1:1" ht="20.100000000000001" customHeight="1" x14ac:dyDescent="0.2">
      <c r="A240" s="21" t="s">
        <v>131</v>
      </c>
    </row>
    <row r="241" spans="1:1" ht="20.100000000000001" customHeight="1" x14ac:dyDescent="0.2">
      <c r="A241" s="21" t="s">
        <v>132</v>
      </c>
    </row>
    <row r="242" spans="1:1" ht="20.100000000000001" customHeight="1" x14ac:dyDescent="0.2">
      <c r="A242" s="21" t="s">
        <v>133</v>
      </c>
    </row>
    <row r="243" spans="1:1" ht="20.100000000000001" customHeight="1" x14ac:dyDescent="0.2">
      <c r="A243" s="21" t="s">
        <v>134</v>
      </c>
    </row>
    <row r="244" spans="1:1" ht="20.100000000000001" customHeight="1" x14ac:dyDescent="0.2">
      <c r="A244" s="21" t="s">
        <v>135</v>
      </c>
    </row>
    <row r="245" spans="1:1" ht="20.100000000000001" customHeight="1" x14ac:dyDescent="0.2">
      <c r="A245" s="21" t="s">
        <v>136</v>
      </c>
    </row>
    <row r="246" spans="1:1" ht="20.100000000000001" customHeight="1" x14ac:dyDescent="0.2">
      <c r="A246" s="21" t="s">
        <v>137</v>
      </c>
    </row>
    <row r="247" spans="1:1" ht="20.100000000000001" customHeight="1" x14ac:dyDescent="0.2">
      <c r="A247" s="21" t="s">
        <v>128</v>
      </c>
    </row>
    <row r="248" spans="1:1" ht="20.100000000000001" customHeight="1" x14ac:dyDescent="0.2">
      <c r="A248" s="21" t="s">
        <v>138</v>
      </c>
    </row>
    <row r="249" spans="1:1" ht="20.100000000000001" customHeight="1" x14ac:dyDescent="0.2">
      <c r="A249" s="21" t="s">
        <v>139</v>
      </c>
    </row>
    <row r="250" spans="1:1" ht="20.100000000000001" customHeight="1" x14ac:dyDescent="0.2">
      <c r="A250" s="23" t="s">
        <v>140</v>
      </c>
    </row>
    <row r="251" spans="1:1" ht="20.100000000000001" customHeight="1" x14ac:dyDescent="0.2">
      <c r="A251" s="24" t="s">
        <v>141</v>
      </c>
    </row>
    <row r="252" spans="1:1" ht="20.100000000000001" customHeight="1" x14ac:dyDescent="0.2">
      <c r="A252" s="21" t="s">
        <v>142</v>
      </c>
    </row>
    <row r="253" spans="1:1" ht="20.100000000000001" customHeight="1" x14ac:dyDescent="0.2">
      <c r="A253" s="21" t="s">
        <v>143</v>
      </c>
    </row>
    <row r="254" spans="1:1" ht="20.100000000000001" customHeight="1" x14ac:dyDescent="0.2">
      <c r="A254" s="25" t="s">
        <v>144</v>
      </c>
    </row>
    <row r="255" spans="1:1" ht="20.100000000000001" customHeight="1" x14ac:dyDescent="0.2">
      <c r="A255" s="25" t="s">
        <v>145</v>
      </c>
    </row>
    <row r="256" spans="1:1" ht="20.100000000000001" customHeight="1" x14ac:dyDescent="0.2">
      <c r="A256" s="26" t="s">
        <v>146</v>
      </c>
    </row>
    <row r="257" spans="1:1" ht="20.100000000000001" customHeight="1" x14ac:dyDescent="0.2">
      <c r="A257" s="21" t="s">
        <v>147</v>
      </c>
    </row>
    <row r="258" spans="1:1" ht="20.100000000000001" customHeight="1" x14ac:dyDescent="0.2">
      <c r="A258" s="26" t="s">
        <v>148</v>
      </c>
    </row>
    <row r="259" spans="1:1" ht="20.100000000000001" customHeight="1" x14ac:dyDescent="0.2">
      <c r="A259" s="21" t="s">
        <v>149</v>
      </c>
    </row>
    <row r="260" spans="1:1" ht="20.100000000000001" customHeight="1" x14ac:dyDescent="0.2">
      <c r="A260" s="26" t="s">
        <v>150</v>
      </c>
    </row>
    <row r="261" spans="1:1" ht="20.100000000000001" customHeight="1" x14ac:dyDescent="0.2">
      <c r="A261" s="21" t="s">
        <v>151</v>
      </c>
    </row>
    <row r="262" spans="1:1" ht="20.100000000000001" customHeight="1" x14ac:dyDescent="0.2">
      <c r="A262" s="21" t="s">
        <v>152</v>
      </c>
    </row>
    <row r="263" spans="1:1" ht="20.100000000000001" customHeight="1" x14ac:dyDescent="0.2">
      <c r="A263" s="26" t="s">
        <v>153</v>
      </c>
    </row>
    <row r="264" spans="1:1" ht="20.100000000000001" customHeight="1" x14ac:dyDescent="0.2">
      <c r="A264" s="26" t="s">
        <v>154</v>
      </c>
    </row>
    <row r="265" spans="1:1" ht="20.100000000000001" customHeight="1" x14ac:dyDescent="0.2">
      <c r="A265" s="26" t="s">
        <v>155</v>
      </c>
    </row>
    <row r="266" spans="1:1" ht="20.100000000000001" customHeight="1" x14ac:dyDescent="0.2">
      <c r="A266" s="21" t="s">
        <v>156</v>
      </c>
    </row>
    <row r="267" spans="1:1" ht="20.100000000000001" customHeight="1" x14ac:dyDescent="0.2">
      <c r="A267" s="21" t="s">
        <v>157</v>
      </c>
    </row>
    <row r="268" spans="1:1" ht="20.100000000000001" customHeight="1" x14ac:dyDescent="0.2">
      <c r="A268" s="21" t="s">
        <v>158</v>
      </c>
    </row>
    <row r="269" spans="1:1" ht="20.100000000000001" customHeight="1" x14ac:dyDescent="0.2">
      <c r="A269" s="21" t="s">
        <v>159</v>
      </c>
    </row>
    <row r="270" spans="1:1" ht="20.100000000000001" customHeight="1" x14ac:dyDescent="0.2">
      <c r="A270" s="26" t="s">
        <v>160</v>
      </c>
    </row>
    <row r="271" spans="1:1" ht="20.100000000000001" customHeight="1" x14ac:dyDescent="0.2">
      <c r="A271" s="26" t="s">
        <v>161</v>
      </c>
    </row>
    <row r="272" spans="1:1" ht="20.100000000000001" customHeight="1" x14ac:dyDescent="0.2">
      <c r="A272" s="21" t="s">
        <v>162</v>
      </c>
    </row>
    <row r="273" spans="1:1" ht="20.100000000000001" customHeight="1" x14ac:dyDescent="0.2">
      <c r="A273" s="26" t="s">
        <v>163</v>
      </c>
    </row>
    <row r="274" spans="1:1" ht="20.100000000000001" customHeight="1" x14ac:dyDescent="0.2">
      <c r="A274" s="26" t="s">
        <v>164</v>
      </c>
    </row>
    <row r="275" spans="1:1" ht="20.100000000000001" customHeight="1" x14ac:dyDescent="0.2">
      <c r="A275" s="21" t="s">
        <v>165</v>
      </c>
    </row>
    <row r="276" spans="1:1" ht="20.100000000000001" customHeight="1" x14ac:dyDescent="0.2">
      <c r="A276" s="21" t="s">
        <v>166</v>
      </c>
    </row>
    <row r="277" spans="1:1" ht="20.100000000000001" customHeight="1" x14ac:dyDescent="0.2">
      <c r="A277" s="26" t="s">
        <v>167</v>
      </c>
    </row>
    <row r="278" spans="1:1" ht="20.100000000000001" customHeight="1" x14ac:dyDescent="0.2">
      <c r="A278" s="21" t="s">
        <v>168</v>
      </c>
    </row>
    <row r="279" spans="1:1" ht="20.100000000000001" customHeight="1" x14ac:dyDescent="0.2">
      <c r="A279" s="21" t="s">
        <v>169</v>
      </c>
    </row>
    <row r="280" spans="1:1" ht="20.100000000000001" customHeight="1" x14ac:dyDescent="0.2">
      <c r="A280" s="21" t="s">
        <v>170</v>
      </c>
    </row>
    <row r="281" spans="1:1" ht="20.100000000000001" customHeight="1" x14ac:dyDescent="0.2">
      <c r="A281" s="21" t="s">
        <v>171</v>
      </c>
    </row>
    <row r="282" spans="1:1" ht="20.100000000000001" customHeight="1" x14ac:dyDescent="0.2">
      <c r="A282" s="26" t="s">
        <v>172</v>
      </c>
    </row>
    <row r="283" spans="1:1" ht="20.100000000000001" customHeight="1" x14ac:dyDescent="0.2">
      <c r="A283" s="26" t="s">
        <v>173</v>
      </c>
    </row>
    <row r="284" spans="1:1" ht="20.100000000000001" customHeight="1" x14ac:dyDescent="0.2">
      <c r="A284" s="26" t="s">
        <v>174</v>
      </c>
    </row>
    <row r="285" spans="1:1" ht="20.100000000000001" customHeight="1" thickBot="1" x14ac:dyDescent="0.25">
      <c r="A285" s="21" t="s">
        <v>175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:D34"/>
  <sheetViews>
    <sheetView rightToLeft="1" topLeftCell="A13" workbookViewId="0">
      <selection activeCell="B2" sqref="A2:B30"/>
    </sheetView>
  </sheetViews>
  <sheetFormatPr defaultRowHeight="15" x14ac:dyDescent="0.2"/>
  <cols>
    <col min="1" max="1" width="53.26953125" style="35" customWidth="1"/>
  </cols>
  <sheetData>
    <row r="1" spans="1:4" ht="16.5" thickTop="1" thickBot="1" x14ac:dyDescent="0.25">
      <c r="A1" s="29" t="s">
        <v>21</v>
      </c>
      <c r="B1" s="36" t="s">
        <v>18</v>
      </c>
      <c r="C1" s="36" t="s">
        <v>19</v>
      </c>
      <c r="D1" s="36" t="s">
        <v>22</v>
      </c>
    </row>
    <row r="2" spans="1:4" ht="15.75" thickTop="1" x14ac:dyDescent="0.2">
      <c r="A2" s="41" t="s">
        <v>176</v>
      </c>
      <c r="B2" s="42"/>
      <c r="C2" s="42"/>
      <c r="D2" s="43"/>
    </row>
    <row r="3" spans="1:4" ht="45" x14ac:dyDescent="0.2">
      <c r="A3" s="30" t="s">
        <v>177</v>
      </c>
      <c r="B3" s="37"/>
      <c r="C3" s="37"/>
      <c r="D3" s="38"/>
    </row>
    <row r="4" spans="1:4" x14ac:dyDescent="0.2">
      <c r="A4" s="30" t="s">
        <v>178</v>
      </c>
      <c r="B4" s="37">
        <v>5</v>
      </c>
      <c r="C4" s="37"/>
      <c r="D4" s="38"/>
    </row>
    <row r="5" spans="1:4" x14ac:dyDescent="0.2">
      <c r="A5" s="30" t="s">
        <v>179</v>
      </c>
      <c r="B5" s="37">
        <v>5</v>
      </c>
      <c r="C5" s="37"/>
      <c r="D5" s="38"/>
    </row>
    <row r="6" spans="1:4" x14ac:dyDescent="0.2">
      <c r="A6" s="30" t="s">
        <v>180</v>
      </c>
      <c r="B6" s="37">
        <v>5</v>
      </c>
      <c r="C6" s="37"/>
      <c r="D6" s="38"/>
    </row>
    <row r="7" spans="1:4" x14ac:dyDescent="0.2">
      <c r="A7" s="30" t="s">
        <v>181</v>
      </c>
      <c r="B7" s="37">
        <v>5</v>
      </c>
      <c r="C7" s="37"/>
      <c r="D7" s="38"/>
    </row>
    <row r="8" spans="1:4" x14ac:dyDescent="0.2">
      <c r="A8" s="30" t="s">
        <v>182</v>
      </c>
      <c r="B8" s="37">
        <v>5</v>
      </c>
      <c r="C8" s="37"/>
      <c r="D8" s="38"/>
    </row>
    <row r="9" spans="1:4" ht="17.25" x14ac:dyDescent="0.2">
      <c r="A9" s="30" t="s">
        <v>183</v>
      </c>
      <c r="B9" s="37"/>
      <c r="C9" s="37"/>
      <c r="D9" s="38"/>
    </row>
    <row r="10" spans="1:4" ht="42.75" x14ac:dyDescent="0.2">
      <c r="A10" s="30" t="s">
        <v>184</v>
      </c>
      <c r="B10" s="37">
        <v>5</v>
      </c>
      <c r="C10" s="37"/>
      <c r="D10" s="38"/>
    </row>
    <row r="11" spans="1:4" x14ac:dyDescent="0.2">
      <c r="A11" s="30" t="s">
        <v>185</v>
      </c>
      <c r="B11" s="37">
        <v>5</v>
      </c>
      <c r="C11" s="37"/>
      <c r="D11" s="38"/>
    </row>
    <row r="12" spans="1:4" ht="29.25" x14ac:dyDescent="0.2">
      <c r="A12" s="30" t="s">
        <v>186</v>
      </c>
      <c r="B12" s="37"/>
      <c r="C12" s="37"/>
      <c r="D12" s="38"/>
    </row>
    <row r="13" spans="1:4" x14ac:dyDescent="0.2">
      <c r="A13" s="30" t="s">
        <v>187</v>
      </c>
      <c r="B13" s="37">
        <v>5</v>
      </c>
      <c r="C13" s="37"/>
      <c r="D13" s="38"/>
    </row>
    <row r="14" spans="1:4" ht="29.25" x14ac:dyDescent="0.2">
      <c r="A14" s="30" t="s">
        <v>188</v>
      </c>
      <c r="B14" s="37">
        <v>5</v>
      </c>
      <c r="C14" s="37"/>
      <c r="D14" s="38"/>
    </row>
    <row r="15" spans="1:4" ht="24.75" x14ac:dyDescent="0.2">
      <c r="A15" s="31" t="s">
        <v>189</v>
      </c>
      <c r="B15" s="37">
        <v>5</v>
      </c>
      <c r="C15" s="37"/>
      <c r="D15" s="38"/>
    </row>
    <row r="16" spans="1:4" ht="15.75" thickBot="1" x14ac:dyDescent="0.25">
      <c r="A16" s="32" t="s">
        <v>190</v>
      </c>
      <c r="B16" s="39">
        <v>5</v>
      </c>
      <c r="C16" s="39"/>
      <c r="D16" s="40"/>
    </row>
    <row r="17" spans="1:4" ht="15.75" thickTop="1" x14ac:dyDescent="0.2">
      <c r="A17" s="41" t="s">
        <v>191</v>
      </c>
      <c r="B17" s="42"/>
      <c r="C17" s="42"/>
      <c r="D17" s="43"/>
    </row>
    <row r="18" spans="1:4" ht="59.25" x14ac:dyDescent="0.2">
      <c r="A18" s="30" t="s">
        <v>192</v>
      </c>
      <c r="B18" s="37">
        <v>5</v>
      </c>
      <c r="C18" s="37"/>
      <c r="D18" s="38"/>
    </row>
    <row r="19" spans="1:4" ht="45" x14ac:dyDescent="0.2">
      <c r="A19" s="30" t="s">
        <v>193</v>
      </c>
      <c r="B19" s="37">
        <v>5</v>
      </c>
      <c r="C19" s="37"/>
      <c r="D19" s="38"/>
    </row>
    <row r="20" spans="1:4" ht="17.25" x14ac:dyDescent="0.2">
      <c r="A20" s="30" t="s">
        <v>194</v>
      </c>
      <c r="B20" s="37">
        <v>5</v>
      </c>
      <c r="C20" s="37"/>
      <c r="D20" s="38"/>
    </row>
    <row r="21" spans="1:4" ht="31.5" x14ac:dyDescent="0.2">
      <c r="A21" s="30" t="s">
        <v>195</v>
      </c>
      <c r="B21" s="37">
        <v>5</v>
      </c>
      <c r="C21" s="37"/>
      <c r="D21" s="38"/>
    </row>
    <row r="22" spans="1:4" ht="31.5" x14ac:dyDescent="0.2">
      <c r="A22" s="30" t="s">
        <v>196</v>
      </c>
      <c r="B22" s="37">
        <v>5</v>
      </c>
      <c r="C22" s="37"/>
      <c r="D22" s="38"/>
    </row>
    <row r="23" spans="1:4" ht="31.5" x14ac:dyDescent="0.2">
      <c r="A23" s="30" t="s">
        <v>197</v>
      </c>
      <c r="B23" s="37">
        <v>5</v>
      </c>
      <c r="C23" s="37"/>
      <c r="D23" s="38"/>
    </row>
    <row r="24" spans="1:4" ht="17.25" x14ac:dyDescent="0.2">
      <c r="A24" s="30" t="s">
        <v>198</v>
      </c>
      <c r="B24" s="37"/>
      <c r="C24" s="37"/>
      <c r="D24" s="38"/>
    </row>
    <row r="25" spans="1:4" x14ac:dyDescent="0.2">
      <c r="A25" s="30" t="s">
        <v>199</v>
      </c>
      <c r="B25" s="37">
        <v>5</v>
      </c>
      <c r="C25" s="37"/>
      <c r="D25" s="38"/>
    </row>
    <row r="26" spans="1:4" x14ac:dyDescent="0.2">
      <c r="A26" s="30" t="s">
        <v>200</v>
      </c>
      <c r="B26" s="37">
        <v>5</v>
      </c>
      <c r="C26" s="37"/>
      <c r="D26" s="38"/>
    </row>
    <row r="27" spans="1:4" ht="29.25" x14ac:dyDescent="0.2">
      <c r="A27" s="30" t="s">
        <v>201</v>
      </c>
      <c r="B27" s="37">
        <v>5</v>
      </c>
      <c r="C27" s="37"/>
      <c r="D27" s="38"/>
    </row>
    <row r="28" spans="1:4" ht="45" x14ac:dyDescent="0.2">
      <c r="A28" s="30" t="s">
        <v>202</v>
      </c>
      <c r="B28" s="37">
        <v>5</v>
      </c>
      <c r="C28" s="37"/>
      <c r="D28" s="38"/>
    </row>
    <row r="29" spans="1:4" ht="45" x14ac:dyDescent="0.2">
      <c r="A29" s="30" t="s">
        <v>203</v>
      </c>
      <c r="B29" s="37">
        <v>5</v>
      </c>
      <c r="C29" s="37"/>
      <c r="D29" s="38"/>
    </row>
    <row r="30" spans="1:4" ht="31.5" x14ac:dyDescent="0.2">
      <c r="A30" s="30" t="s">
        <v>204</v>
      </c>
      <c r="B30" s="37">
        <v>5</v>
      </c>
      <c r="C30" s="37"/>
      <c r="D30" s="38"/>
    </row>
    <row r="31" spans="1:4" ht="15.75" thickBot="1" x14ac:dyDescent="0.25">
      <c r="A31" s="33" t="s">
        <v>205</v>
      </c>
      <c r="B31" s="39" t="s">
        <v>208</v>
      </c>
      <c r="C31" s="39"/>
      <c r="D31" s="40"/>
    </row>
    <row r="32" spans="1:4" ht="16.5" thickTop="1" thickBot="1" x14ac:dyDescent="0.25">
      <c r="A32" s="34" t="s">
        <v>206</v>
      </c>
      <c r="B32" s="114" t="s">
        <v>209</v>
      </c>
      <c r="C32" s="115"/>
      <c r="D32" s="115"/>
    </row>
    <row r="33" spans="1:4" ht="15.75" thickBot="1" x14ac:dyDescent="0.25">
      <c r="A33" s="33" t="s">
        <v>207</v>
      </c>
      <c r="B33" s="116"/>
      <c r="C33" s="117"/>
      <c r="D33" s="117"/>
    </row>
    <row r="34" spans="1:4" ht="15.75" thickTop="1" x14ac:dyDescent="0.2"/>
  </sheetData>
  <mergeCells count="2">
    <mergeCell ref="B32:D32"/>
    <mergeCell ref="B33:D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2025-10-19T15:45:16Z</dcterms:modified>
</cp:coreProperties>
</file>