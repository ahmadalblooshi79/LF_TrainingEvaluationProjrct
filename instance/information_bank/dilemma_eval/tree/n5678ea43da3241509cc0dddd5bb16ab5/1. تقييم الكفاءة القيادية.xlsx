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456664A-462E-404F-8794-43B28E41E4F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2" i="2"/>
  <c r="H12" i="2"/>
  <c r="G13" i="2"/>
  <c r="H13" i="2" s="1"/>
  <c r="G14" i="2"/>
  <c r="H14" i="2" s="1"/>
  <c r="G15" i="2"/>
  <c r="H15" i="2" s="1"/>
  <c r="G16" i="2"/>
  <c r="H16" i="2"/>
  <c r="G17" i="2"/>
  <c r="H17" i="2"/>
  <c r="G8" i="2"/>
  <c r="H8" i="2" s="1"/>
  <c r="F18" i="2"/>
  <c r="E19" i="2" s="1"/>
  <c r="E20" i="2" s="1"/>
  <c r="E18" i="2"/>
</calcChain>
</file>

<file path=xl/sharedStrings.xml><?xml version="1.0" encoding="utf-8"?>
<sst xmlns="http://schemas.openxmlformats.org/spreadsheetml/2006/main" count="114" uniqueCount="112">
  <si>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</si>
  <si>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</si>
  <si>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</si>
  <si>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</si>
  <si>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</si>
  <si>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</si>
  <si>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</si>
  <si>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</si>
  <si>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</si>
  <si>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</si>
  <si>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</si>
  <si>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</si>
  <si>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</si>
  <si>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</si>
  <si>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</si>
  <si>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</si>
  <si>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</si>
  <si>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</si>
  <si>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</si>
  <si>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</si>
  <si>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</si>
  <si>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</si>
  <si>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</si>
  <si>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</si>
  <si>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</si>
  <si>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</si>
  <si>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</si>
  <si>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</si>
  <si>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</si>
  <si>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</si>
  <si>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</si>
  <si>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</si>
  <si>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</si>
  <si>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</si>
  <si>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</si>
  <si>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</si>
  <si>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</si>
  <si>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</si>
  <si>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</si>
  <si>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</si>
  <si>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</si>
  <si>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</si>
  <si>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</si>
  <si>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</si>
  <si>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</si>
  <si>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</si>
  <si>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</si>
  <si>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</si>
  <si>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</si>
  <si>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</si>
  <si>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</si>
  <si>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</si>
  <si>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</si>
  <si>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</si>
  <si>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</si>
  <si>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</si>
  <si>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</si>
  <si>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</si>
  <si>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</si>
  <si>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</si>
  <si>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</si>
  <si>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</si>
  <si>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</si>
  <si>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</si>
  <si>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</si>
  <si>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</si>
  <si>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</si>
  <si>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</si>
  <si>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</si>
  <si>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</si>
  <si>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</si>
  <si>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</si>
  <si>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</si>
  <si>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</si>
  <si>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</si>
  <si>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</si>
  <si>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</si>
  <si>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</si>
  <si>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</si>
  <si>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</si>
  <si>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</si>
  <si>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</si>
  <si>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</si>
  <si>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</si>
  <si>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</si>
  <si>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</si>
  <si>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</si>
  <si>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</si>
  <si>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</si>
  <si>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</si>
  <si>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</si>
  <si>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</si>
  <si>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</si>
  <si>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</si>
  <si>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</si>
  <si>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</si>
  <si>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</si>
  <si>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</si>
  <si>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rPr>
        <b/>
        <sz val="14"/>
        <color rgb="FF000000"/>
        <rFont val="Arial"/>
        <family val="2"/>
      </rPr>
      <t>تقييم الكفاءة القيادية للقادة الأصاغر (سرية مشاة راجلة)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</si>
  <si>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بالنفس.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</si>
  <si>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الصوت.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</si>
  <si>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إليه.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</si>
  <si>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مرؤوسيه.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</si>
  <si>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والمخاطرة.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</si>
  <si>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(المرونة).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</si>
  <si>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والجرأة.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</si>
  <si>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الشخصية.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</si>
  <si>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المرؤوسين.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</si>
  <si>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والتحمل.</t>
    </r>
  </si>
  <si>
    <t>أدخل ا سم المحكم</t>
  </si>
  <si>
    <t>الرائد/ محمد عبدالرحمن الطنيجي</t>
  </si>
  <si>
    <t>عقيد ركن / حميد محمد عبيد الدرعي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</si>
</sst>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316523</xdr:colOff>
      <xdr:row>21</xdr:row>
      <xdr:rowOff>76197</xdr:rowOff>
    </xdr:from>
    <xdr:to>
      <xdr:col>8</xdr:col>
      <xdr:colOff>617180</xdr:colOff>
      <xdr:row>21</xdr:row>
      <xdr:rowOff>391197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73F6FB3-9ACD-4C47-93E1-E0BE898192BE}"/>
                </a:ext>
              </a:extLst>
            </xdr14:cNvPr>
            <xdr14:cNvContentPartPr/>
          </xdr14:nvContentPartPr>
          <xdr14:nvPr macro=""/>
          <xdr14:xfrm>
            <a:off x="10078649897" y="8212012"/>
            <a:ext cx="939564" cy="315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BF02EB5-95EA-C686-D147-747D54CDBC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35661" y="25450200"/>
              <a:ext cx="972720" cy="33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183426</xdr:colOff>
      <xdr:row>21</xdr:row>
      <xdr:rowOff>187568</xdr:rowOff>
    </xdr:from>
    <xdr:to>
      <xdr:col>9</xdr:col>
      <xdr:colOff>265526</xdr:colOff>
      <xdr:row>21</xdr:row>
      <xdr:rowOff>560528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DCB6008-07AE-4612-A67E-3B62DE5DBD94}"/>
                </a:ext>
              </a:extLst>
            </xdr14:cNvPr>
            <xdr14:cNvContentPartPr/>
          </xdr14:nvContentPartPr>
          <xdr14:nvPr macro=""/>
          <xdr14:xfrm>
            <a:off x="10078362643" y="8323383"/>
            <a:ext cx="721008" cy="372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0BA0B55-B622-5821-734E-F85882344F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3501" y="25553520"/>
              <a:ext cx="769680" cy="390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16:29:30.2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1931 649 5945,'0'0'0,"-4"-2"1712,0-8-888,-6 6-464,8-5-176,2 9-184,-2-1 56,0-3-24,0 2-56,0-1 16,1 2 80,1 0-88,0 1 16,0-1-8,0-1 32,0 1-112,0 1 136,0-1-32,0 0-16,0 1 0,0-1 16,0-1-8,0 1 32,0 0-64,0-1 48,0 0-24,0 2 0,0-2 32,0 0 64,0-1-23,3 2 23,-3-1-40,2-1-8,-2 3-48,2-2 32,-2-1 32,3 1-32,-1 0-64,0 0 8,2 0-64,-4 2 88,10-2-56,-10-1 8,9 1 104,-5-1-80,9 1 0,-2 0 48,-11 2-24,11-3-96,1 1 64,0-1 24,2 2 8,0-1-8,3 0 16,-17 2-8,17-2-41,1 1 33,0 0 0,0 0 8,1 0-8,1-1 8,-20 2 0,21-1 0,-1 0-24,2 0 32,-1 0 0,2 1-24,0 0 32,-23 0-16,23 0-24,-2 0 0,1 0-8,-1 0-16,0 0 0,-1 2-8,-20-2 56,20 2-40,1 1-56,-2-1 64,0 1 0,-1-1 0,0 0 56,-18-2-24,16 4-16,-1-1-16,0 7 16,-1-8 0,-1 1 0,-2 0 0,-11-3 16,11 10-24,-8-8-8,8 2-40,-8 7-32,0-9-96,1 2-96,-4-4 296,3 9-344,-3-6-40,0 0 40,0 1 56,-1 6 48,-2-8 72,3-2 168,-10 4-104,5 6 56,-9-7 8,2 0 8,-1 7 8,-3-8 0,16-2 24,-17 4-16,0 7 16,-2-9-16,0 2 8,-1 5 0,-1-9-24,21 0 32,-21 4-64,-1-2-64,2 1-88,-3-1-88,0-2-96,1 0-25,22 0 425,-23-1-424,-1-3 32,0 1 88,-1-1 80,1-5 88,1 5 80,23 4 56,-22-5-24,2-6 16,-2 8 16,3-7 8,-1 7 0,1-2 16,19 5-32,-19-5 48,-1 1 32,1 0 40,0 0 48,0 0 40,0 3 8,19 1-216,-20-1 216,2 0-64,0 0-32,-2 1-16,1 0-40,-4 0 0,23 0-64,-21 3 40,-3 0 8,0 0-16,0 1-16,-4-1 32,3 7-24,25-10-24,-29 2 32,3 8 9,-2-8-25,0 2 16,0 0-40,-2-1 32,30-3-24,-30 4 32,1-2-24,0 1 16,1-3-8,0 0-8,1 0 0,27 0-8,-28 0 72,-1-2-16,1 1 8,-1-2 16,0-1-16,0-6 56,29 10-120,-28-3 88,-1-7 88,0 1 16,2-1 8,0-1 88,2-1-24,25 12-264,-25-13 352,2-1-40,1-2-32,1 0-32,0-1-152,2-1 80,19 18-176,-18-21 32,1 1 16,1 1 24,1-1-104,1 1 104,1 1-48,13 18-24,-12-18 64,1 2-16,1 0 0,1 0 0,4 2 8,-7-2-72,12 16 16,-2-14-120,-2-2-40,0 2-152,3 0-16,1-1-16,0 1 88,0 14 256,3-13-264,7-2 0,-6 2 40,9-1-112,-9 1 112,10 2-32,-14 11 256,12-10-200,1 1 64,2 4-56,3-8 144,0 8-40,3-8 39,-21 13 49,22-5-96,1-7-40,2 7 40,2-6 8,2 8 56,2-8-64,-31 11 96,33-4-48,0 0-40,2-1 0,-2 0 88,5 0-48,-2 2-8,-36 3 56,38-3-88,-1 2-40,-1 0 24,1 0-24,1 1-24,0 0 64,-38 0 88,39 0-80,1 0 32,-3 2 48,1 0-48,-2 2 40,0 0 8,-36-4 0,36 3-8,-1 1 16,0 7-8,-2-9 24,0 2-64,-1 6 40,-32-10 0,31 4-32,-1 7-16,-4-8 80,0 9-40,-1-2-16,-4-7 32,-21-3-8,23 15-40,-3-12 64,-3 11-56,-2-11 64,-2 13-16,-1-5-24,-12-11 8,9 10 48,2 1-64,-8 0 104,0-1-80,1-7 32,-2 12 8,-2-15-48,3 9 8,-3 1 136,-3-1 24,-6 1 48,-1 1 16,-2-1 0,12-10-232,-13 12 224,-6 2 40,-4-2-15,-1 1-49,-1 0 16,-2-1 0,27-12-216,-28 13 264,-5-1 96,-2 3-56,-2-1-40,-1 1-32,-2 0-48,40-15-184,-40 15 240,-3 1 64,-2 2-80,0-1-40,-3 1-24,-1-1-96,49-17-64,-53 15 128,0 2-8,-2 0-24,0-1-8,-1 1-16,-3 0 32,59-17-104,-59 16 128,0 0 32,0 0-24,0 1-32,-1-2-31,2 1-25,58-16-48,-60 17 88,1-3-16,1 2-8,2-3-8,3 1-24,4-2 16,49-12-48,-47 11 32,3 0 16,2-8-24,2 9 16,4-9 8,2 6-16,34-9-32,-32 3 16,4-1-112,0 0-152,3 1-289,2-3-311,1 0-240,22 0 1088,-19 2-1184,1-2 80,1 0 167,2-1 289,2-3 272,1 0 168,12 4 208,-11-11-80,6 6-2200,5 5 2280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16:29:38.2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2002 5 10090,'0'0'0,"-11"-1"3624,1-2-2927,10 3-697,-14-1 264,-2 1-136,-1 0-48,-1 4-72,-4 10 16,-1-3-16,23-11-8,-25 12 64,-1 2-8,0 0 8,-3 0-8,-1 2-64,-3-1 16,33-15-8,-37 18 64,0-1-64,0 0 32,-2 2-32,2-1-40,-3-1 48,40-17-8,-40 16 8,-1-1 16,1-2-56,2 0-8,1-2-112,4 0-64,33-11 216,-31 9-448,1-5-81,2 8-119,2-10-184,6 2-8,0-1-184,20-3 1024,-14 4-1177,1-2-103,3-2-48,5 0 48,-6 0 183,9 0 385,2 0 712,-4-1-456,1-2 256,0-1 152,2 0 0,1 1 32,0-1-16,0 4 32,0-3 0,2-1-8,2 0 16,0 2 8,4 1 0,-5 0 24,-3 1-40,2-2 24,0 2 16,-2 0-32,0 0 8,0 0 40,0 0-16,0 0-40,0 3 24,0-1 16,-1 2-8,-2-1 72,-7 8 64,7-8 56,3-3-224,-13 3 216,5 8-8,-5-9-24,0 8-8,0-8 97,1 8-25,12-10-248,-16 2 264,3 2 16,-2 6-24,-2-8 80,1 2-32,-1-1-8,17-3-296,-17 4 296,1 5-96,-1-9-8,-1 3-48,-2-1 8,1 0-48,19-2-104,-18 0 136,1 3 16,1-3-96,-4 0 80,1 0-80,0 0-32,19 0-24,-17 0 72,1-1-72,0-1 64,3 1 64,-2 0-88,2 0-8,13 1-32,-13-1 8,-1 0-72,0-1 72,-3 1 24,3 1-8,1 0-8,13 0-16,-15 0 0,2 0-24,-2 0-16,1 3 88,0-3-56,-2 2-8,16-2 16,-14 2 16,-2 1-48,0 0 72,1 1 32,0-1-24,-1 1-32,16-4-16,-15 4 8,0-1 16,-1 1-32,1-1 64,0 0-8,0 0-40,15-3-8,-15 3 88,-1-1-48,2 1 32,0-1 0,0-2-8,3 2 25,11-2-89,-11 0 96,0 0-32,2 0 96,0 0-32,-2-1-8,2-1 48,9 2-168,-9-4 80,4 1 0,-5-7-40,6 6 8,-6-6-40,7 5-8,3 5 0,-5-13-16,1 2-40,0 0-80,1-1-8,0-1-72,2 0-16,1 13 232,-1-13-200,1-2 7,0 1 17,2-1 40,2 1-8,0 0 0,-4 14 144,9-13-128,-5 1 8,8 0 0,-9 0 0,12 1 8,-5 0-16,-10 11 128,11-5-112,-2-6 48,4 8-40,-4-1 8,3 1 16,-1 1-40,-11 2 120,11-1-88,0 1 8,-1 0 8,0 3 24,-1 9 0,-5-9 16,-4-3 32,13 16-16,-11-2 0,8 1 8,-8 0-16,2 3 0,5 1-16,-9-19 40,0 21-56,2 1 24,0 0-32,-2 2 8,3 0-8,-3 1-16,0-25 80,0 26-64,0 1-8,0 0 0,-2 1 16,0 1 0,0 1 24,2-30 32,-3 30-16,2 0 0,-1 2 24,0 2-8,1-2 8,1-1 32,0-31-40,0 30 24,4-1 8,7-3 0,-2-1 0,5-2 56,1-1 48,-15-22-136,21 20 224,1-1 120,4-1 72,2-2 16,6-4 8,2-3-56,-36-9-384,42 4 320,1 0-32,4-1-47,3 0-57,4-3-32,3 0-64,-57 0-88,58-3 72,1-6-16,3 5-24,0-9-16,6 2-32,2-2 8,-70 13 8,73-16 8,2-2 16,3 2-56,1-2-104,2 0-320,0 0-737,-81 18 1193,81-18-1896,0 0 152,1 0 415,-1 0-1631,-81 18 2960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topLeftCell="A11" zoomScale="130" zoomScaleNormal="100" zoomScaleSheetLayoutView="130" workbookViewId="0">
      <selection activeCell="F14" sqref="F1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98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1" t="s">
        <v>8</v>
      </c>
      <c r="C2" s="55" t="s">
        <v>40</v>
      </c>
      <c r="D2" s="55"/>
      <c r="E2" s="11" t="s">
        <v>7</v>
      </c>
      <c r="F2" s="50">
        <v>45943</v>
      </c>
      <c r="G2" s="50"/>
      <c r="H2" s="50"/>
      <c r="I2" s="50"/>
      <c r="J2" s="50"/>
    </row>
    <row r="3" spans="1:10" ht="30" customHeight="1" x14ac:dyDescent="0.3">
      <c r="B3" s="11" t="s">
        <v>9</v>
      </c>
      <c r="C3" s="55" t="s">
        <v>59</v>
      </c>
      <c r="D3" s="55"/>
      <c r="E3" s="11" t="s">
        <v>6</v>
      </c>
      <c r="F3" s="55" t="s">
        <v>109</v>
      </c>
      <c r="G3" s="55"/>
      <c r="H3" s="55"/>
      <c r="I3" s="55"/>
      <c r="J3" s="55"/>
    </row>
    <row r="4" spans="1:10" ht="30" customHeight="1" thickBot="1" x14ac:dyDescent="0.35">
      <c r="B4" s="6"/>
      <c r="C4" s="72" t="s">
        <v>110</v>
      </c>
      <c r="D4" s="72"/>
      <c r="E4" s="6"/>
      <c r="F4" s="72" t="s">
        <v>111</v>
      </c>
      <c r="G4" s="72"/>
      <c r="H4" s="72"/>
      <c r="I4" s="72"/>
      <c r="J4" s="72"/>
    </row>
    <row r="5" spans="1:10" ht="24.9" customHeight="1" x14ac:dyDescent="0.3">
      <c r="A5" s="9"/>
      <c r="B5" s="51" t="s">
        <v>0</v>
      </c>
      <c r="C5" s="52"/>
      <c r="D5" s="52"/>
      <c r="E5" s="60" t="s">
        <v>1</v>
      </c>
      <c r="F5" s="60"/>
      <c r="G5" s="60"/>
      <c r="H5" s="60"/>
      <c r="I5" s="60" t="s">
        <v>2</v>
      </c>
      <c r="J5" s="61"/>
    </row>
    <row r="6" spans="1:10" ht="24.9" customHeight="1" thickBot="1" x14ac:dyDescent="0.35">
      <c r="A6" s="9"/>
      <c r="B6" s="53"/>
      <c r="C6" s="54"/>
      <c r="D6" s="54"/>
      <c r="E6" s="10" t="s">
        <v>3</v>
      </c>
      <c r="F6" s="10" t="s">
        <v>4</v>
      </c>
      <c r="G6" s="10" t="s">
        <v>23</v>
      </c>
      <c r="H6" s="10" t="s">
        <v>24</v>
      </c>
      <c r="I6" s="62"/>
      <c r="J6" s="63"/>
    </row>
    <row r="7" spans="1:10" ht="24.9" customHeight="1" thickBot="1" x14ac:dyDescent="0.35">
      <c r="A7" s="9"/>
      <c r="B7" s="58" t="s">
        <v>21</v>
      </c>
      <c r="C7" s="59"/>
      <c r="D7" s="59"/>
      <c r="E7" s="20" t="s">
        <v>18</v>
      </c>
      <c r="F7" s="20" t="s">
        <v>19</v>
      </c>
      <c r="G7" s="20" t="s">
        <v>22</v>
      </c>
      <c r="H7" s="20" t="s">
        <v>20</v>
      </c>
      <c r="I7" s="64" t="s">
        <v>25</v>
      </c>
      <c r="J7" s="65"/>
    </row>
    <row r="8" spans="1:10" ht="30" customHeight="1" x14ac:dyDescent="0.3">
      <c r="A8" s="9"/>
      <c r="B8" s="70" t="s">
        <v>99</v>
      </c>
      <c r="C8" s="71"/>
      <c r="D8" s="71"/>
      <c r="E8" s="23">
        <v>5</v>
      </c>
      <c r="F8" s="24">
        <v>4</v>
      </c>
      <c r="G8" s="25">
        <f>IFERROR(F8/E8,"")</f>
        <v>0.8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6"/>
      <c r="J8" s="37"/>
    </row>
    <row r="9" spans="1:10" ht="30" customHeight="1" x14ac:dyDescent="0.3">
      <c r="A9" s="9"/>
      <c r="B9" s="68" t="s">
        <v>100</v>
      </c>
      <c r="C9" s="69"/>
      <c r="D9" s="69"/>
      <c r="E9" s="7">
        <v>5</v>
      </c>
      <c r="F9" s="18">
        <v>3.5</v>
      </c>
      <c r="G9" s="21">
        <f>IFERROR(F9/E9,"")</f>
        <v>0.7</v>
      </c>
      <c r="H9" s="2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1"/>
    </row>
    <row r="10" spans="1:10" ht="30" customHeight="1" x14ac:dyDescent="0.3">
      <c r="A10" s="9"/>
      <c r="B10" s="68" t="s">
        <v>101</v>
      </c>
      <c r="C10" s="69"/>
      <c r="D10" s="69"/>
      <c r="E10" s="7">
        <v>5</v>
      </c>
      <c r="F10" s="18">
        <v>4</v>
      </c>
      <c r="G10" s="21">
        <f t="shared" ref="G10:G17" si="0">IFERROR(F10/E10,"")</f>
        <v>0.8</v>
      </c>
      <c r="H10" s="22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0"/>
      <c r="J10" s="41"/>
    </row>
    <row r="11" spans="1:10" ht="30" customHeight="1" x14ac:dyDescent="0.3">
      <c r="A11" s="9"/>
      <c r="B11" s="68" t="s">
        <v>102</v>
      </c>
      <c r="C11" s="69"/>
      <c r="D11" s="69"/>
      <c r="E11" s="7">
        <v>5</v>
      </c>
      <c r="F11" s="18">
        <v>3.75</v>
      </c>
      <c r="G11" s="21">
        <f t="shared" si="0"/>
        <v>0.75</v>
      </c>
      <c r="H11" s="22" t="str">
        <f t="shared" si="1"/>
        <v>جيد</v>
      </c>
      <c r="I11" s="40"/>
      <c r="J11" s="41"/>
    </row>
    <row r="12" spans="1:10" ht="30" customHeight="1" x14ac:dyDescent="0.3">
      <c r="A12" s="9"/>
      <c r="B12" s="68" t="s">
        <v>103</v>
      </c>
      <c r="C12" s="69"/>
      <c r="D12" s="69"/>
      <c r="E12" s="7">
        <v>5</v>
      </c>
      <c r="F12" s="18">
        <v>3.75</v>
      </c>
      <c r="G12" s="21">
        <f t="shared" si="0"/>
        <v>0.75</v>
      </c>
      <c r="H12" s="22" t="str">
        <f t="shared" si="1"/>
        <v>جيد</v>
      </c>
      <c r="I12" s="40"/>
      <c r="J12" s="41"/>
    </row>
    <row r="13" spans="1:10" ht="30" customHeight="1" x14ac:dyDescent="0.3">
      <c r="A13" s="9"/>
      <c r="B13" s="68" t="s">
        <v>104</v>
      </c>
      <c r="C13" s="69"/>
      <c r="D13" s="69"/>
      <c r="E13" s="7">
        <v>5</v>
      </c>
      <c r="F13" s="18">
        <v>3.75</v>
      </c>
      <c r="G13" s="21">
        <f t="shared" si="0"/>
        <v>0.75</v>
      </c>
      <c r="H13" s="22" t="str">
        <f t="shared" si="1"/>
        <v>جيد</v>
      </c>
      <c r="I13" s="40"/>
      <c r="J13" s="41"/>
    </row>
    <row r="14" spans="1:10" ht="30" customHeight="1" x14ac:dyDescent="0.3">
      <c r="A14" s="9"/>
      <c r="B14" s="68" t="s">
        <v>105</v>
      </c>
      <c r="C14" s="69"/>
      <c r="D14" s="69"/>
      <c r="E14" s="7">
        <v>5</v>
      </c>
      <c r="F14" s="18">
        <v>3.5</v>
      </c>
      <c r="G14" s="21">
        <f t="shared" si="0"/>
        <v>0.7</v>
      </c>
      <c r="H14" s="22" t="str">
        <f t="shared" si="1"/>
        <v>جيد</v>
      </c>
      <c r="I14" s="40"/>
      <c r="J14" s="41"/>
    </row>
    <row r="15" spans="1:10" ht="30" customHeight="1" x14ac:dyDescent="0.3">
      <c r="A15" s="9"/>
      <c r="B15" s="68" t="s">
        <v>106</v>
      </c>
      <c r="C15" s="69"/>
      <c r="D15" s="69"/>
      <c r="E15" s="7">
        <v>5</v>
      </c>
      <c r="F15" s="18">
        <v>3.75</v>
      </c>
      <c r="G15" s="21">
        <f t="shared" si="0"/>
        <v>0.75</v>
      </c>
      <c r="H15" s="22" t="str">
        <f t="shared" si="1"/>
        <v>جيد</v>
      </c>
      <c r="I15" s="40"/>
      <c r="J15" s="41"/>
    </row>
    <row r="16" spans="1:10" ht="30" customHeight="1" x14ac:dyDescent="0.3">
      <c r="A16" s="9"/>
      <c r="B16" s="68" t="s">
        <v>107</v>
      </c>
      <c r="C16" s="69"/>
      <c r="D16" s="69"/>
      <c r="E16" s="7">
        <v>5</v>
      </c>
      <c r="F16" s="18">
        <v>4</v>
      </c>
      <c r="G16" s="21">
        <f t="shared" si="0"/>
        <v>0.8</v>
      </c>
      <c r="H16" s="22" t="str">
        <f t="shared" si="1"/>
        <v>جيد جداً</v>
      </c>
      <c r="I16" s="40"/>
      <c r="J16" s="41"/>
    </row>
    <row r="17" spans="1:10" ht="30" customHeight="1" thickBot="1" x14ac:dyDescent="0.35">
      <c r="A17" s="9"/>
      <c r="B17" s="66" t="s">
        <v>108</v>
      </c>
      <c r="C17" s="67"/>
      <c r="D17" s="67"/>
      <c r="E17" s="27">
        <v>5</v>
      </c>
      <c r="F17" s="19">
        <v>4</v>
      </c>
      <c r="G17" s="28">
        <f t="shared" si="0"/>
        <v>0.8</v>
      </c>
      <c r="H17" s="29" t="str">
        <f t="shared" si="1"/>
        <v>جيد جداً</v>
      </c>
      <c r="I17" s="42"/>
      <c r="J17" s="43"/>
    </row>
    <row r="18" spans="1:10" ht="30" customHeight="1" thickBot="1" x14ac:dyDescent="0.35">
      <c r="A18" s="4"/>
      <c r="B18" s="38" t="s">
        <v>5</v>
      </c>
      <c r="C18" s="39"/>
      <c r="D18" s="39"/>
      <c r="E18" s="8">
        <f>SUM(E8:E17)</f>
        <v>50</v>
      </c>
      <c r="F18" s="8">
        <f>SUM(F8:F17)</f>
        <v>38</v>
      </c>
      <c r="G18" s="46"/>
      <c r="H18" s="47"/>
      <c r="I18" s="47"/>
      <c r="J18" s="48"/>
    </row>
    <row r="19" spans="1:10" ht="30" customHeight="1" thickBot="1" x14ac:dyDescent="0.35">
      <c r="A19" s="4"/>
      <c r="B19" s="38" t="s">
        <v>54</v>
      </c>
      <c r="C19" s="39"/>
      <c r="D19" s="39"/>
      <c r="E19" s="56">
        <f>F18/E18/100*100</f>
        <v>0.76</v>
      </c>
      <c r="F19" s="56"/>
      <c r="G19" s="56"/>
      <c r="H19" s="56"/>
      <c r="I19" s="56"/>
      <c r="J19" s="57"/>
    </row>
    <row r="20" spans="1:10" ht="30" customHeight="1" thickBot="1" x14ac:dyDescent="0.35">
      <c r="A20" s="4"/>
      <c r="B20" s="38" t="s">
        <v>55</v>
      </c>
      <c r="C20" s="39"/>
      <c r="D20" s="39"/>
      <c r="E20" s="34" t="str">
        <f>_xlfn.IFS(E19&gt;=90%,"ممتاز",E19&gt;=80%,"جيد جداً",E19&gt;=70%,"جيد",E19&gt;=60%,"مقبول",E19&lt;60%,"راسب")</f>
        <v>جيد</v>
      </c>
      <c r="F20" s="34"/>
      <c r="G20" s="34"/>
      <c r="H20" s="34"/>
      <c r="I20" s="34"/>
      <c r="J20" s="35"/>
    </row>
    <row r="21" spans="1:10" ht="42" customHeight="1" x14ac:dyDescent="0.3">
      <c r="B21" s="30" t="s">
        <v>61</v>
      </c>
      <c r="C21" s="30"/>
      <c r="D21" s="30"/>
      <c r="E21" s="44" t="s">
        <v>52</v>
      </c>
      <c r="F21" s="44"/>
      <c r="G21" s="32" t="s">
        <v>58</v>
      </c>
      <c r="H21" s="32"/>
      <c r="I21" s="32"/>
      <c r="J21" s="32"/>
    </row>
    <row r="22" spans="1:10" ht="51" customHeight="1" x14ac:dyDescent="0.3">
      <c r="A22" s="5"/>
      <c r="B22" s="31"/>
      <c r="C22" s="31"/>
      <c r="D22" s="31"/>
      <c r="E22" s="45" t="s">
        <v>53</v>
      </c>
      <c r="F22" s="45"/>
      <c r="G22" s="33"/>
      <c r="H22" s="33"/>
      <c r="I22" s="33"/>
      <c r="J22" s="33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C4:D4"/>
    <mergeCell ref="F4:J4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60">
      <formula>$E20="جيد جداً"</formula>
    </cfRule>
    <cfRule type="expression" dxfId="12" priority="59">
      <formula>$E20="جيد"</formula>
    </cfRule>
    <cfRule type="expression" dxfId="11" priority="58">
      <formula>$E20="مقبول"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7"/>
    </row>
    <row r="72" spans="1:8" s="16" customFormat="1" ht="20.100000000000001" customHeight="1" x14ac:dyDescent="0.3">
      <c r="A72" s="14"/>
      <c r="B72" s="15"/>
      <c r="C72" s="15"/>
      <c r="D72" s="15"/>
      <c r="E72" s="15"/>
      <c r="F72" s="15"/>
      <c r="G72" s="15"/>
      <c r="H72" s="15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2">
        <v>45931</v>
      </c>
    </row>
    <row r="76" spans="1:8" ht="20.100000000000001" customHeight="1" thickBot="1" x14ac:dyDescent="0.35">
      <c r="A76" s="12">
        <v>45932</v>
      </c>
    </row>
    <row r="77" spans="1:8" ht="20.100000000000001" customHeight="1" thickBot="1" x14ac:dyDescent="0.35">
      <c r="A77" s="12">
        <v>45933</v>
      </c>
    </row>
    <row r="78" spans="1:8" ht="20.100000000000001" customHeight="1" thickBot="1" x14ac:dyDescent="0.35">
      <c r="A78" s="12">
        <v>45934</v>
      </c>
    </row>
    <row r="79" spans="1:8" ht="20.100000000000001" customHeight="1" thickBot="1" x14ac:dyDescent="0.35">
      <c r="A79" s="12">
        <v>45935</v>
      </c>
    </row>
    <row r="80" spans="1:8" ht="20.100000000000001" customHeight="1" thickBot="1" x14ac:dyDescent="0.35">
      <c r="A80" s="12">
        <v>45936</v>
      </c>
    </row>
    <row r="81" spans="1:1" ht="20.100000000000001" customHeight="1" thickBot="1" x14ac:dyDescent="0.35">
      <c r="A81" s="12">
        <v>45937</v>
      </c>
    </row>
    <row r="82" spans="1:1" ht="20.100000000000001" customHeight="1" thickBot="1" x14ac:dyDescent="0.35">
      <c r="A82" s="12">
        <v>45938</v>
      </c>
    </row>
    <row r="83" spans="1:1" ht="20.100000000000001" customHeight="1" thickBot="1" x14ac:dyDescent="0.35">
      <c r="A83" s="12">
        <v>45939</v>
      </c>
    </row>
    <row r="84" spans="1:1" ht="20.100000000000001" customHeight="1" thickBot="1" x14ac:dyDescent="0.35">
      <c r="A84" s="12">
        <v>45940</v>
      </c>
    </row>
    <row r="85" spans="1:1" ht="20.100000000000001" customHeight="1" thickBot="1" x14ac:dyDescent="0.35">
      <c r="A85" s="12">
        <v>45941</v>
      </c>
    </row>
    <row r="86" spans="1:1" ht="20.100000000000001" customHeight="1" thickBot="1" x14ac:dyDescent="0.35">
      <c r="A86" s="12">
        <v>45942</v>
      </c>
    </row>
    <row r="87" spans="1:1" ht="20.100000000000001" customHeight="1" thickBot="1" x14ac:dyDescent="0.35">
      <c r="A87" s="12">
        <v>45943</v>
      </c>
    </row>
    <row r="88" spans="1:1" ht="20.100000000000001" customHeight="1" thickBot="1" x14ac:dyDescent="0.35">
      <c r="A88" s="12">
        <v>45944</v>
      </c>
    </row>
    <row r="89" spans="1:1" ht="20.100000000000001" customHeight="1" thickBot="1" x14ac:dyDescent="0.35">
      <c r="A89" s="12">
        <v>45945</v>
      </c>
    </row>
    <row r="90" spans="1:1" ht="20.100000000000001" customHeight="1" thickBot="1" x14ac:dyDescent="0.35">
      <c r="A90" s="12">
        <v>45946</v>
      </c>
    </row>
    <row r="91" spans="1:1" ht="20.100000000000001" customHeight="1" thickBot="1" x14ac:dyDescent="0.35">
      <c r="A91" s="12">
        <v>45947</v>
      </c>
    </row>
    <row r="92" spans="1:1" ht="20.100000000000001" customHeight="1" thickBot="1" x14ac:dyDescent="0.35">
      <c r="A92" s="12">
        <v>45948</v>
      </c>
    </row>
    <row r="93" spans="1:1" ht="20.100000000000001" customHeight="1" thickBot="1" x14ac:dyDescent="0.35">
      <c r="A93" s="12">
        <v>45949</v>
      </c>
    </row>
    <row r="94" spans="1:1" ht="20.100000000000001" customHeight="1" thickBot="1" x14ac:dyDescent="0.35">
      <c r="A94" s="12">
        <v>45950</v>
      </c>
    </row>
    <row r="95" spans="1:1" ht="20.100000000000001" customHeight="1" thickBot="1" x14ac:dyDescent="0.35">
      <c r="A95" s="12">
        <v>45951</v>
      </c>
    </row>
    <row r="96" spans="1:1" ht="20.100000000000001" customHeight="1" thickBot="1" x14ac:dyDescent="0.35">
      <c r="A96" s="12">
        <v>45952</v>
      </c>
    </row>
    <row r="97" spans="1:8" ht="20.100000000000001" customHeight="1" thickBot="1" x14ac:dyDescent="0.35">
      <c r="A97" s="12">
        <v>45953</v>
      </c>
    </row>
    <row r="98" spans="1:8" ht="20.100000000000001" customHeight="1" thickBot="1" x14ac:dyDescent="0.35">
      <c r="A98" s="12">
        <v>45954</v>
      </c>
    </row>
    <row r="99" spans="1:8" ht="20.100000000000001" customHeight="1" thickBot="1" x14ac:dyDescent="0.35">
      <c r="A99" s="12">
        <v>45955</v>
      </c>
    </row>
    <row r="100" spans="1:8" ht="20.100000000000001" customHeight="1" thickBot="1" x14ac:dyDescent="0.35">
      <c r="A100" s="12">
        <v>45956</v>
      </c>
    </row>
    <row r="101" spans="1:8" ht="20.100000000000001" customHeight="1" thickBot="1" x14ac:dyDescent="0.35">
      <c r="A101" s="12">
        <v>45957</v>
      </c>
    </row>
    <row r="102" spans="1:8" ht="20.100000000000001" customHeight="1" thickBot="1" x14ac:dyDescent="0.35">
      <c r="A102" s="12">
        <v>45958</v>
      </c>
    </row>
    <row r="103" spans="1:8" ht="20.100000000000001" customHeight="1" thickBot="1" x14ac:dyDescent="0.35">
      <c r="A103" s="12">
        <v>45959</v>
      </c>
    </row>
    <row r="104" spans="1:8" ht="20.100000000000001" customHeight="1" thickBot="1" x14ac:dyDescent="0.35">
      <c r="A104" s="12">
        <v>45960</v>
      </c>
    </row>
    <row r="105" spans="1:8" ht="20.100000000000001" customHeight="1" thickBot="1" x14ac:dyDescent="0.35">
      <c r="A105" s="12">
        <v>45961</v>
      </c>
    </row>
    <row r="106" spans="1:8" ht="20.100000000000001" customHeight="1" x14ac:dyDescent="0.3">
      <c r="A106" s="13"/>
    </row>
    <row r="107" spans="1:8" ht="20.100000000000001" customHeight="1" x14ac:dyDescent="0.3">
      <c r="A107" s="13"/>
    </row>
    <row r="108" spans="1:8" s="16" customFormat="1" ht="20.100000000000001" customHeight="1" x14ac:dyDescent="0.3">
      <c r="A108" s="14"/>
      <c r="B108" s="15"/>
      <c r="C108" s="15"/>
      <c r="D108" s="15"/>
      <c r="E108" s="15"/>
      <c r="F108" s="15"/>
      <c r="G108" s="15"/>
      <c r="H108" s="15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2025-10-15T17:39:07Z</dcterms:modified>
</cp:coreProperties>
</file>