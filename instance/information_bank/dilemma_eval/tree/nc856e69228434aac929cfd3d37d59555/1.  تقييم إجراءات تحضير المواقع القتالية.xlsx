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4FB833A2-A57B-804C-B092-134DD3F918A8}"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التقييم'!$A$1:$J$26</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c r="G18" i="2"/>
  <c r="H18" i="2"/>
  <c r="G19" i="2"/>
  <c r="H19" i="2"/>
  <c r="G20" i="2"/>
  <c r="H20" i="2"/>
  <c r="G21" i="2"/>
  <c r="H21" i="2"/>
  <c r="F22" i="2"/>
  <c r="E22" i="2"/>
  <c r="E23" i="2"/>
  <c r="E24" i="2"/>
</calcChain>
</file>

<file path=xl/sharedStrings.xml><?xml version="1.0" encoding="utf-8"?>
<sst xmlns="http://schemas.openxmlformats.org/spreadsheetml/2006/main" count="253" uniqueCount="197">
  <si>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</si>
  <si>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</si>
  <si>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</si>
  <si>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</si>
  <si>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</si>
  <si>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</si>
  <si>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</si>
  <si>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</si>
  <si>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</si>
  <si>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</si>
  <si>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</si>
  <si>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</si>
  <si>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</si>
  <si>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</si>
  <si>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</si>
  <si>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</si>
  <si>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</si>
  <si>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</si>
  <si>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</si>
  <si>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</si>
  <si>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</si>
  <si>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</si>
  <si>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</si>
  <si>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</si>
  <si>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</si>
  <si>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</si>
  <si>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</si>
  <si>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</si>
  <si>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</si>
  <si>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</si>
  <si>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</si>
  <si>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</si>
  <si>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</si>
  <si>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</si>
  <si>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</si>
  <si>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</si>
  <si>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</si>
  <si>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</si>
  <si>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</si>
  <si>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</si>
  <si>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</si>
  <si>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</si>
  <si>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</si>
  <si>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</si>
  <si>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</si>
  <si>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</si>
  <si>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</si>
  <si>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</si>
  <si>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</si>
  <si>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</si>
  <si>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</si>
  <si>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</si>
  <si>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</si>
  <si>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</si>
  <si>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</si>
  <si>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</si>
  <si>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</si>
  <si>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</si>
  <si>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</si>
  <si>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</si>
  <si>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</si>
  <si>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</si>
  <si>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</si>
  <si>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</si>
  <si>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</si>
  <si>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</si>
  <si>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</si>
  <si>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</si>
  <si>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</si>
  <si>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</si>
  <si>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</si>
  <si>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</si>
  <si>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</si>
  <si>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</si>
  <si>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</si>
  <si>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</si>
  <si>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</si>
  <si>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</si>
  <si>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</si>
  <si>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</si>
  <si>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</si>
  <si>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</si>
  <si>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</si>
  <si>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</si>
  <si>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</si>
  <si>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</si>
  <si>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</si>
  <si>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</si>
  <si>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</si>
  <si>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</si>
  <si>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</si>
  <si>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</si>
  <si>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</si>
  <si>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</si>
  <si>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</si>
  <si>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</si>
  <si>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</si>
  <si>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</si>
  <si>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</si>
  <si>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</si>
  <si>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</si>
  <si>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</si>
  <si>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</si>
  <si>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</si>
  <si>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</si>
  <si>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</si>
  <si>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</si>
  <si>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</si>
  <si>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</si>
  <si>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</si>
  <si>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</si>
  <si>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</si>
  <si>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</si>
  <si>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</si>
  <si>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</si>
  <si>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</si>
  <si>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</si>
  <si>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</si>
  <si>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</si>
  <si>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</si>
  <si>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</si>
  <si>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</si>
  <si>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</si>
  <si>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</si>
  <si>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</si>
  <si>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</si>
  <si>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</si>
  <si>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</si>
  <si>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</si>
  <si>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</si>
  <si>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</si>
  <si>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</si>
  <si>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</si>
  <si>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</si>
  <si>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</si>
  <si>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</si>
  <si>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</si>
  <si>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</si>
  <si>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</si>
  <si>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</si>
  <si>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</si>
  <si>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</si>
  <si>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</si>
  <si>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</si>
  <si>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</si>
  <si>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</si>
  <si>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</si>
  <si>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</si>
  <si>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</si>
  <si>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</si>
  <si>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</si>
  <si>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</si>
  <si>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</si>
  <si>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</si>
  <si>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</si>
  <si>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</si>
  <si>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</si>
  <si>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</si>
  <si>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</si>
  <si>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</si>
  <si>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</si>
  <si>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</si>
  <si>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</si>
  <si>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</si>
  <si>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</si>
  <si>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</si>
  <si>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</si>
  <si>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</si>
  <si>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</si>
  <si>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</si>
  <si>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</si>
  <si>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</si>
  <si>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</si>
  <si>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</si>
  <si>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</si>
  <si>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</si>
  <si>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</si>
  <si>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</si>
  <si>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</si>
  <si>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</si>
  <si>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r>
      <rPr>
        <b/>
        <sz val="14"/>
        <color rgb="FF000000"/>
        <rFont val="Arial"/>
        <family val="2"/>
      </rPr>
      <t>تقييم سرية الدفاع الجوي في تحضير المواقع القتالية</t>
    </r>
    <r>
      <rPr>
        <b/>
        <u/>
        <sz val="14"/>
        <color rgb="FF000000"/>
        <rFont val="Arial"/>
        <family val="2"/>
      </rPr>
      <t xml:space="preserve">
تمرين جاهزية مجموعة لواء الإمارات/1 (جندي الصحراء 2025/20)</t>
    </r>
  </si>
  <si>
    <r>
      <t>1.</t>
    </r>
    <r>
      <rPr>
        <sz val="7"/>
        <color theme="1"/>
        <rFont val="Times New Roman"/>
        <family val="1"/>
      </rPr>
      <t xml:space="preserve">        </t>
    </r>
    <r>
      <rPr>
        <b/>
        <u/>
        <sz val="12"/>
        <color theme="1"/>
        <rFont val="Arial"/>
        <family val="2"/>
      </rPr>
      <t>انتخاب مواقع قتال رئيسية تحقق الأسس التالية</t>
    </r>
    <r>
      <rPr>
        <sz val="12"/>
        <color theme="1"/>
        <rFont val="Arial"/>
        <family val="2"/>
      </rPr>
      <t>:</t>
    </r>
  </si>
  <si>
    <r>
      <t xml:space="preserve">أ.    </t>
    </r>
    <r>
      <rPr>
        <u/>
        <sz val="12"/>
        <color rgb="FF000000"/>
        <rFont val="Arial"/>
        <family val="2"/>
      </rPr>
      <t>الدفاع الدائري</t>
    </r>
    <r>
      <rPr>
        <sz val="12"/>
        <color rgb="FF000000"/>
        <rFont val="Arial"/>
        <family val="2"/>
      </rPr>
      <t>. من خلال انتشار أسلحة الدفاع الجوي في المواقع القتالية لتأمين الحماية ضد هجمات العدو من جميع الاتجاهات والتغلب على النقص في الأسلحة أو تحديدات التغطية من خلال التركيز على اتجاه محتمل معين لهجوم العدو.</t>
    </r>
  </si>
  <si>
    <r>
      <t xml:space="preserve">ب.  </t>
    </r>
    <r>
      <rPr>
        <u/>
        <sz val="12"/>
        <color rgb="FF000000"/>
        <rFont val="Arial"/>
        <family val="2"/>
      </rPr>
      <t>التغطية الجيدة</t>
    </r>
    <r>
      <rPr>
        <sz val="12"/>
        <color rgb="FF000000"/>
        <rFont val="Arial"/>
        <family val="2"/>
      </rPr>
      <t>. من خلال تركيز نيران أسلحة الدفاع الجوي في اتجاه مقتربات العدو المحتملة وضمن حدود الهدف المطلوب حمايته.</t>
    </r>
  </si>
  <si>
    <r>
      <t xml:space="preserve">جـ.  </t>
    </r>
    <r>
      <rPr>
        <u/>
        <sz val="12"/>
        <color rgb="FF000000"/>
        <rFont val="Arial"/>
        <family val="2"/>
      </rPr>
      <t>تحقيق الإسناد المتبادل</t>
    </r>
    <r>
      <rPr>
        <sz val="12"/>
        <color rgb="FF000000"/>
        <rFont val="Arial"/>
        <family val="2"/>
      </rPr>
      <t>. بوضع أسلحة الدفاع الجوي بحيث تكون كل وحدة قادرة على إطلاق النيران بفاعلية داخل المنطقة الميتة لوحدة نيران أخرى مجاورة.</t>
    </r>
  </si>
  <si>
    <r>
      <t xml:space="preserve">د.   </t>
    </r>
    <r>
      <rPr>
        <u/>
        <sz val="12"/>
        <color rgb="FF000000"/>
        <rFont val="Arial"/>
        <family val="2"/>
      </rPr>
      <t>تقاطع أقواس النيران</t>
    </r>
    <r>
      <rPr>
        <sz val="12"/>
        <color rgb="FF000000"/>
        <rFont val="Arial"/>
        <family val="2"/>
      </rPr>
      <t>. وتوزيع الأسلحة في مواقع تسمح بتقاطع نيرانها في حدود أقصى مسافة مؤثرة لها لتغطية الثغرات بينهما.</t>
    </r>
  </si>
  <si>
    <r>
      <t xml:space="preserve">هـ.  </t>
    </r>
    <r>
      <rPr>
        <u/>
        <sz val="12"/>
        <color rgb="FF000000"/>
        <rFont val="Arial"/>
        <family val="2"/>
      </rPr>
      <t>الاشتباك المبكر</t>
    </r>
    <r>
      <rPr>
        <sz val="12"/>
        <color rgb="FF000000"/>
        <rFont val="Arial"/>
        <family val="2"/>
      </rPr>
      <t>. من خلال توضيع أسلحة الدفاع الجوي باتجاه مقتربات العدو الجوي بحيث يتم الاشتباك على أبعد مسافة ممكنة وقبل الخط المتوقع لإطلاق التهديد الجوي المعادي.</t>
    </r>
  </si>
  <si>
    <r>
      <t xml:space="preserve">و.   </t>
    </r>
    <r>
      <rPr>
        <u/>
        <sz val="12"/>
        <color rgb="FF000000"/>
        <rFont val="Arial"/>
        <family val="2"/>
      </rPr>
      <t>الدفاع في العمق</t>
    </r>
    <r>
      <rPr>
        <sz val="12"/>
        <color rgb="FF000000"/>
        <rFont val="Arial"/>
        <family val="2"/>
      </rPr>
      <t>. يتحقق الدفاع في العمق عن طريق وضع أسلحة الدفاع الجوي بالأسلوب الذي يجعل طائرات التهديد تواجه كثافة متزايدة من النيران وهي تقترب من أحد الأهداف المدافع عنها.</t>
    </r>
  </si>
  <si>
    <r>
      <t>2.</t>
    </r>
    <r>
      <rPr>
        <sz val="7"/>
        <color theme="1"/>
        <rFont val="Times New Roman"/>
        <family val="1"/>
      </rPr>
      <t xml:space="preserve">        </t>
    </r>
    <r>
      <rPr>
        <sz val="12"/>
        <color theme="1"/>
        <rFont val="Arial"/>
        <family val="2"/>
      </rPr>
      <t>انتخاب مواقع تبادلية تتوفر فيها نفس متطلبات المواقع الرئيسة وعلى مسافات متقاربة لاختصار وقت ومدة التحرك عند الانتقال من موقع إلى آخر.</t>
    </r>
  </si>
  <si>
    <r>
      <t>3.</t>
    </r>
    <r>
      <rPr>
        <sz val="7"/>
        <color theme="1"/>
        <rFont val="Times New Roman"/>
        <family val="1"/>
      </rPr>
      <t xml:space="preserve">        </t>
    </r>
    <r>
      <rPr>
        <sz val="12"/>
        <color theme="1"/>
        <rFont val="Arial"/>
        <family val="2"/>
      </rPr>
      <t>وضع ساتر للمعدات القتالية (يتم من قبل هندسة الميدان).</t>
    </r>
  </si>
  <si>
    <r>
      <t>4.</t>
    </r>
    <r>
      <rPr>
        <sz val="7"/>
        <color theme="1"/>
        <rFont val="Times New Roman"/>
        <family val="1"/>
      </rPr>
      <t xml:space="preserve">        </t>
    </r>
    <r>
      <rPr>
        <sz val="12"/>
        <color theme="1"/>
        <rFont val="Arial"/>
        <family val="2"/>
      </rPr>
      <t>توزيع وحدات الدفاع الجوي حسب أولويات الحماية لمجموعة اللواء والواجهة الدفاعية وطبيعة الأرض.</t>
    </r>
  </si>
  <si>
    <r>
      <t>5.</t>
    </r>
    <r>
      <rPr>
        <sz val="7"/>
        <color theme="1"/>
        <rFont val="Times New Roman"/>
        <family val="1"/>
      </rPr>
      <t xml:space="preserve">        </t>
    </r>
    <r>
      <rPr>
        <sz val="12"/>
        <color theme="1"/>
        <rFont val="Arial"/>
        <family val="2"/>
      </rPr>
      <t>التأكد من إدامة الاتصال الداخلي بين العربات القتالية.</t>
    </r>
  </si>
  <si>
    <r>
      <t>6.</t>
    </r>
    <r>
      <rPr>
        <sz val="7"/>
        <color theme="1"/>
        <rFont val="Times New Roman"/>
        <family val="1"/>
      </rPr>
      <t xml:space="preserve">        </t>
    </r>
    <r>
      <rPr>
        <sz val="12"/>
        <color theme="1"/>
        <rFont val="Arial"/>
        <family val="2"/>
      </rPr>
      <t>ادامة التواصل مع خلية الحماية والاستخبارات.</t>
    </r>
  </si>
  <si>
    <r>
      <t>7.</t>
    </r>
    <r>
      <rPr>
        <sz val="7"/>
        <color theme="1"/>
        <rFont val="Times New Roman"/>
        <family val="1"/>
      </rPr>
      <t xml:space="preserve">        </t>
    </r>
    <r>
      <rPr>
        <sz val="12"/>
        <color theme="1"/>
        <rFont val="Arial"/>
        <family val="2"/>
      </rPr>
      <t>تحديد اتجاهات الهجوم الجوي المحتملة من خلال تقارير الاستخبارات وتركيز العدد الأكبر من وسائل الدفاع الجوي في الاتجاه المحتمل للهجوم الجوي أو للإنزال.</t>
    </r>
  </si>
  <si>
    <r>
      <t>8.</t>
    </r>
    <r>
      <rPr>
        <sz val="7"/>
        <color theme="1"/>
        <rFont val="Times New Roman"/>
        <family val="1"/>
      </rPr>
      <t xml:space="preserve">        </t>
    </r>
    <r>
      <rPr>
        <sz val="12"/>
        <color theme="1"/>
        <rFont val="Arial"/>
        <family val="2"/>
      </rPr>
      <t>استطلاع وكشف العدو الجوي وإنذار القوات عنه بوسائل الاستطلاع البصرية والإلكترونية المتوفرة وحسب إمكانيات الأسلحة.</t>
    </r>
  </si>
  <si>
    <t>رائد حمد الشامسي</t>
  </si>
  <si>
    <t>نقيب سلطان حسن الطنيجي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</si>
</sst>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2"/>
      <color theme="1"/>
      <name val="Arial"/>
      <family val="2"/>
    </font>
    <font>
      <sz val="7"/>
      <color theme="1"/>
      <name val="Times New Roman"/>
      <family val="1"/>
    </font>
    <font>
      <b/>
      <u/>
      <sz val="12"/>
      <color theme="1"/>
      <name val="Arial"/>
      <family val="2"/>
    </font>
    <font>
      <u/>
      <sz val="12"/>
      <color rgb="FF000000"/>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FFFFF"/>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4">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4"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5" borderId="4" xfId="0" applyFont="1" applyFill="1" applyBorder="1" applyAlignment="1">
      <alignment horizontal="center" vertical="center" wrapText="1" readingOrder="2"/>
    </xf>
    <xf numFmtId="0" fontId="3" fillId="5" borderId="3" xfId="0" applyFont="1" applyFill="1" applyBorder="1" applyAlignment="1">
      <alignment horizontal="center" vertical="center" wrapText="1" readingOrder="2"/>
    </xf>
    <xf numFmtId="0" fontId="3" fillId="5" borderId="12" xfId="0" applyFont="1" applyFill="1" applyBorder="1" applyAlignment="1">
      <alignment horizontal="center" vertical="center" wrapText="1" readingOrder="2"/>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6" fillId="0" borderId="15"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2" fillId="0" borderId="23" xfId="0" applyFont="1" applyBorder="1" applyAlignment="1">
      <alignment horizontal="center" vertical="center" wrapText="1" readingOrder="2"/>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12" fillId="5" borderId="24" xfId="0" applyFont="1" applyFill="1" applyBorder="1" applyAlignment="1">
      <alignment horizontal="right" vertical="center" wrapText="1" indent="2" readingOrder="2"/>
    </xf>
    <xf numFmtId="0" fontId="12" fillId="5" borderId="3" xfId="0" applyFont="1" applyFill="1" applyBorder="1" applyAlignment="1">
      <alignment horizontal="right" vertical="center" wrapText="1" indent="2" readingOrder="2"/>
    </xf>
    <xf numFmtId="0" fontId="13" fillId="5" borderId="24" xfId="0" applyFont="1" applyFill="1" applyBorder="1" applyAlignment="1">
      <alignment horizontal="right" vertical="center" wrapText="1" readingOrder="2"/>
    </xf>
    <xf numFmtId="0" fontId="13" fillId="5" borderId="3" xfId="0" applyFont="1" applyFill="1" applyBorder="1" applyAlignment="1">
      <alignment horizontal="right" vertical="center" wrapText="1" readingOrder="2"/>
    </xf>
    <xf numFmtId="0" fontId="13" fillId="5" borderId="5" xfId="0" applyFont="1" applyFill="1" applyBorder="1" applyAlignment="1">
      <alignment horizontal="right" vertical="center" wrapText="1" readingOrder="2"/>
    </xf>
    <xf numFmtId="0" fontId="13" fillId="5" borderId="4" xfId="0" applyFont="1" applyFill="1" applyBorder="1" applyAlignment="1">
      <alignment horizontal="right" vertical="center" wrapText="1" readingOrder="2"/>
    </xf>
    <xf numFmtId="0" fontId="13" fillId="5" borderId="11" xfId="0" applyFont="1" applyFill="1" applyBorder="1" applyAlignment="1">
      <alignment horizontal="right" vertical="center" wrapText="1" readingOrder="2"/>
    </xf>
    <xf numFmtId="0" fontId="13" fillId="5" borderId="12" xfId="0" applyFont="1" applyFill="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3" Type="http://schemas.openxmlformats.org/officeDocument/2006/relationships/customXml" Target="../ink/ink2.xml" /><Relationship Id="rId2" Type="http://schemas.openxmlformats.org/officeDocument/2006/relationships/image" Target="../media/image1.png" /><Relationship Id="rId1" Type="http://schemas.openxmlformats.org/officeDocument/2006/relationships/customXml" Target="../ink/ink1.xml" /><Relationship Id="rId6" Type="http://schemas.openxmlformats.org/officeDocument/2006/relationships/image" Target="../media/image3.png" /><Relationship Id="rId5" Type="http://schemas.openxmlformats.org/officeDocument/2006/relationships/customXml" Target="../ink/ink3.xml" /><Relationship Id="rId4"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6</xdr:col>
      <xdr:colOff>422241</xdr:colOff>
      <xdr:row>25</xdr:row>
      <xdr:rowOff>23831</xdr:rowOff>
    </xdr:from>
    <xdr:to>
      <xdr:col>8</xdr:col>
      <xdr:colOff>75057</xdr:colOff>
      <xdr:row>25</xdr:row>
      <xdr:rowOff>434231</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3249FD24-2BE6-9AD0-C2E8-4644163230AE}"/>
                </a:ext>
              </a:extLst>
            </xdr14:cNvPr>
            <xdr14:cNvContentPartPr/>
          </xdr14:nvContentPartPr>
          <xdr14:nvPr macro=""/>
          <xdr14:xfrm>
            <a:off x="10426967912" y="12987000"/>
            <a:ext cx="966960" cy="410400"/>
          </xdr14:xfrm>
        </xdr:contentPart>
      </mc:Choice>
      <mc:Fallback>
        <xdr:pic>
          <xdr:nvPicPr>
            <xdr:cNvPr id="2" name="Ink 1">
              <a:extLst>
                <a:ext uri="{FF2B5EF4-FFF2-40B4-BE49-F238E27FC236}">
                  <a16:creationId xmlns:a16="http://schemas.microsoft.com/office/drawing/2014/main" id="{3249FD24-2BE6-9AD0-C2E8-4644163230AE}"/>
                </a:ext>
              </a:extLst>
            </xdr:cNvPr>
            <xdr:cNvPicPr/>
          </xdr:nvPicPr>
          <xdr:blipFill>
            <a:blip xmlns:r="http://schemas.openxmlformats.org/officeDocument/2006/relationships" r:embed="rId2"/>
            <a:stretch>
              <a:fillRect/>
            </a:stretch>
          </xdr:blipFill>
          <xdr:spPr>
            <a:xfrm>
              <a:off x="10426961792" y="12980880"/>
              <a:ext cx="979200" cy="422640"/>
            </a:xfrm>
            <a:prstGeom prst="rect">
              <a:avLst/>
            </a:prstGeom>
          </xdr:spPr>
        </xdr:pic>
      </mc:Fallback>
    </mc:AlternateContent>
    <xdr:clientData/>
  </xdr:twoCellAnchor>
  <xdr:twoCellAnchor editAs="oneCell">
    <xdr:from>
      <xdr:col>6</xdr:col>
      <xdr:colOff>478761</xdr:colOff>
      <xdr:row>25</xdr:row>
      <xdr:rowOff>36431</xdr:rowOff>
    </xdr:from>
    <xdr:to>
      <xdr:col>6</xdr:col>
      <xdr:colOff>571641</xdr:colOff>
      <xdr:row>25</xdr:row>
      <xdr:rowOff>123551</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23DEB3C2-02B6-D19C-5CD2-305927204180}"/>
                </a:ext>
              </a:extLst>
            </xdr14:cNvPr>
            <xdr14:cNvContentPartPr/>
          </xdr14:nvContentPartPr>
          <xdr14:nvPr macro=""/>
          <xdr14:xfrm>
            <a:off x="10427785472" y="12999600"/>
            <a:ext cx="92880" cy="87120"/>
          </xdr14:xfrm>
        </xdr:contentPart>
      </mc:Choice>
      <mc:Fallback>
        <xdr:pic>
          <xdr:nvPicPr>
            <xdr:cNvPr id="3" name="Ink 2">
              <a:extLst>
                <a:ext uri="{FF2B5EF4-FFF2-40B4-BE49-F238E27FC236}">
                  <a16:creationId xmlns:a16="http://schemas.microsoft.com/office/drawing/2014/main" id="{23DEB3C2-02B6-D19C-5CD2-305927204180}"/>
                </a:ext>
              </a:extLst>
            </xdr:cNvPr>
            <xdr:cNvPicPr/>
          </xdr:nvPicPr>
          <xdr:blipFill>
            <a:blip xmlns:r="http://schemas.openxmlformats.org/officeDocument/2006/relationships" r:embed="rId4"/>
            <a:stretch>
              <a:fillRect/>
            </a:stretch>
          </xdr:blipFill>
          <xdr:spPr>
            <a:xfrm>
              <a:off x="10427779352" y="12993480"/>
              <a:ext cx="105120" cy="99360"/>
            </a:xfrm>
            <a:prstGeom prst="rect">
              <a:avLst/>
            </a:prstGeom>
          </xdr:spPr>
        </xdr:pic>
      </mc:Fallback>
    </mc:AlternateContent>
    <xdr:clientData/>
  </xdr:twoCellAnchor>
  <xdr:twoCellAnchor editAs="oneCell">
    <xdr:from>
      <xdr:col>7</xdr:col>
      <xdr:colOff>110769</xdr:colOff>
      <xdr:row>25</xdr:row>
      <xdr:rowOff>22391</xdr:rowOff>
    </xdr:from>
    <xdr:to>
      <xdr:col>9</xdr:col>
      <xdr:colOff>981824</xdr:colOff>
      <xdr:row>25</xdr:row>
      <xdr:rowOff>592631</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4" name="Ink 3">
              <a:extLst>
                <a:ext uri="{FF2B5EF4-FFF2-40B4-BE49-F238E27FC236}">
                  <a16:creationId xmlns:a16="http://schemas.microsoft.com/office/drawing/2014/main" id="{2D4A7211-6A30-C71D-4964-AE2EAEAAFA44}"/>
                </a:ext>
              </a:extLst>
            </xdr14:cNvPr>
            <xdr14:cNvContentPartPr/>
          </xdr14:nvContentPartPr>
          <xdr14:nvPr macro=""/>
          <xdr14:xfrm>
            <a:off x="10425404072" y="12985560"/>
            <a:ext cx="2185200" cy="570240"/>
          </xdr14:xfrm>
        </xdr:contentPart>
      </mc:Choice>
      <mc:Fallback>
        <xdr:pic>
          <xdr:nvPicPr>
            <xdr:cNvPr id="4" name="Ink 3">
              <a:extLst>
                <a:ext uri="{FF2B5EF4-FFF2-40B4-BE49-F238E27FC236}">
                  <a16:creationId xmlns:a16="http://schemas.microsoft.com/office/drawing/2014/main" id="{2D4A7211-6A30-C71D-4964-AE2EAEAAFA44}"/>
                </a:ext>
              </a:extLst>
            </xdr:cNvPr>
            <xdr:cNvPicPr/>
          </xdr:nvPicPr>
          <xdr:blipFill>
            <a:blip xmlns:r="http://schemas.openxmlformats.org/officeDocument/2006/relationships" r:embed="rId6"/>
            <a:stretch>
              <a:fillRect/>
            </a:stretch>
          </xdr:blipFill>
          <xdr:spPr>
            <a:xfrm>
              <a:off x="10425397952" y="12979440"/>
              <a:ext cx="2197440" cy="5824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5:43:01.589"/>
    </inkml:context>
    <inkml:brush xml:id="br0">
      <inkml:brushProperty name="width" value="0.035" units="cm"/>
      <inkml:brushProperty name="height" value="0.035" units="cm"/>
    </inkml:brush>
  </inkml:definitions>
  <inkml:trace contextRef="#ctx0" brushRef="#br0">2206 695 8,'0'0'0,"-2"-1"0,2 1 0,0-2 0,0 1 8,0-3 0,19 3 0,-19 1-8,19-1-16,-2 0 32,-3-1-8,3 1 8,-17 1-16,12-1 32,8 1-24,-4 0 8,4 0 8,-20 0-24,19 0 24,-5 0 8,-2 0 0,0 0-32,-12 0 0,5 0 0,14 0 0,-7-3 0,3 0 16,-15 3-16,14-4 8,-2 0 0,3 0 8,-3 2-16,-12 2 0,12-3 16,-3 2-8,-4 0 8,2 0 0,-7 1-16,5 0 24,-2 0 16,1 0-8,9 0 8,-13 0-40,0 0 40,12 0-8,-10-2 8,5 1 32,-7 1-72,12-1 80,-9-2 0,9-1 16,-10 1 32,-2 3-128,5-10 264,2 6 1128,-7-6 953,5 0 695,-5 10-3040,2-10 3385,1-1-2193,-3-3-736,2-3-144,-2 17-312,5-16 272,-3-3-112,3 2-304,-2 2-80,-3 15 224,4-13-352,-1 3-144,6 6 136,-6 1 40,-3 3 320,0-3-376,0 2-264,0 1-496,0 0-841,0 0 1977,-3 10-1936,1-6 471,-3 16 569,-12 0 680,17-20 216,-19 26 40,-3 3 32,-4 2-48,2 2-8,24-33-16,-22 33 16,1-3 0,1-3-8,4-2-8,16-25 0,-17 22 24,2-4 40,3-1 16,7-5 72,5-12-152,-14 10 168,12-6 8,-10 6 72,7-10-32,5 0-216,-7 3 201,4-1-33,-2-2 64,5 0-48,0 0-184,-2 0-40,-3-1-152,5-3-280,-5-6 23,5 10 449,-2-11-280,2-2 296,0-2 360,-3-2 169,3 17-545,0-19 632,-2-2 32,2-1-152,0 0 72,0 22-584,0-24 672,0 1 8,0 3 121,0 3-49,0 17-752,0-13 720,0 2-144,0 6-184,0-7-208,0 12-184,0-3-16,0-1-128,0 0-80,0 3-120,0 1 344,0-1-456,0 1-144,0 0-168,-5 2 39,5-2 729,-2 4-560,-3 7 160,-9 2 232,4 2 80,10-15 88,-14 19-104,-3 3-72,0 1-112,-2 1 0,19-24 288,-17 22-312,-2 0 48,4-4 120,1-1 64,14-17 80,-12 12 0,-3-2 120,8-7 16,2 0 96,5-3-232,-9 4 344,6-1 72,-2-3 136,1 0 80,4 0-632,-3 0 712,1 0 49,-1-3-9,1-1-56,2 4-696,-2-10 504,2 7-200,0-10-112,0 2-160,0 11-32,0-14-8,2 0 0,0 0-24,1 1 72,-3 13-40,2-13 136,1 3 104,-1 6 152,-2 1 88,0 3-480,0-4 424,-2 3-103,2 1-193,-3 0-248,3 0 120,-2 0-256,-1 3-33,-1 9-15,-8-1 104,12-11 200,-5 12-104,-10 5 24,3-2 48,0 0-24,12-15 56,-12 16-80,0-2 16,5-2-8,-5-1 32,12-11 40,-2 10 16,-11-8-8,11 2 48,-3-2 96,5-2-152,-2 0 288,-1 0 80,1 0 57,0 0 39,2 0-464,-5-2 416,2-3-8,-1-5-56,1 5-40,3 5-312,-2-12 304,-3 7-56,5-8 0,-2 0-64,2 13-184,0-11 152,0-2 24,0-1-16,0 2 8,0 12-168,2-14 48,0 0-32,1 2-48,-3 7 64,0 5-32,2-10 136,-2 8 24,0 1 96,-2 0-88,2 1-168,0 0 48,0 0-160,-5 0-80,0 11-64,5-11 256,-14 13-208,-1 4 96,-2 3 8,-4 4 32,21-24 72,-19 25-72,-1 2 24,-4-3 16,3 1-48,21-25 80,-20 21-40,1-2 8,2-3 24,1-3 16,16-13-8,-15 10 24,5-8 48,1 1 32,-6-1 72,15-2-176,-2 0 256,-12-1 40,4-4 24,3-8 65,7 13-385,-12-12 352,7-2 16,-5-4 16,5 0 16,5 18-400,-2-23 384,0-1-56,2-2-40,0-4-120,0 30-168,2-32 136,12-3-40,-11 1 88,11-1 0,-14 35-184,3-34 248,9 3 24,-10 1-32,1 4-8,-3 26-232,4-22 296,-1 5 41,-3 3-65,0 4 8,0 10-280,-3-5 104,3-5-48,-2 7-56,0 0-24,2 3 24,0-3-72,-3 2 32,3 0-16,0-1 32,0 2 24,0 0-40,0-1-8,0 1 96,0 0-48,0 0 8,0 0-48,0 0-96,-2 0-56,2 0 192,-5 0-216,3 10-1,-3 4 97,-10 7-32,15-21 152,-17 29-56,-4 6 56,-3 2-40,-3 3 32,27-40 8,-31 42-16,-3 4 0,-2 0 32,0 3-32,36-49 16,-41 46-24,3 2-16,-3-4-24,-5-2-16,46-42 80,-48 41-96,5-6-8,-3-4 24,8-6 56,38-25 24,-44 21-32,3-4 24,1-5-48,-6 1-72,46-13 128,-46 10-184,-4-8 8,-1 1 64,3-3 16,48 0 96,-53-1 16,5-9 88,7 0 104,5-3 72,36 13-280,-31-16 232,0-1-32,4-3-160,-2-1-24,29 21-16,-26-21-40,2-4-40,2 0-24,5-4-16,17 29 120,-14-32-120,4-3-64,5 0 0,3-2 0,2 37 184,0-38-256,5 0 24,12 1-16,-5 0 8,-12 37 240,21-36-152,-2 2 40,8 1 48,2 2 64,-29 31 0,33-33-40,1 2 40,0 2 8,4 4 48,-38 25-56,39-19 128,-6 4 8,4 5-8,-4 6-40,-33 4-88,31-2 88,-4 1 16,-3 1-40,-5 3 80,-19-3-144,17 11 8,2-1-8,-4 1 56,-3 1-96,-12-12 40,5 17 120,9 0-48,-12 3 8,3 3 0,-5-23-80,0 21 24,-5 3-40,-9 0 88,-8 5-72,22-29 0,-26 31 24,-15 2 0,-10 3-64,-4 2 64,55-38-24,-65 39 32,-2-2-8,0 1 16,2-3-16,65-35-24,-61 33-16,6-5 88,9 0-112,6-2-144,40-26 184,-39 25-840,5-2-824,6-3-609,6-2-648,22-18 2921,-22 15-3056,3-4-377,2-7 817,5 7 759,12-11 1857,-12 0-1096,2 0 728,6-1 96,1-14 120,3 15 152,-5-23-160,10-7 32,10-8 0,-1-7 48,-14 45 80,24-46-64,0-3 8,0 0 24,0 4 8,-24 45 24,17-44-24,0 1 0,0 6 0,-3 0 24,-14 37 0,15-34 0,-10 3 32,-3 2-8,0 3 8,-2 26-32,3-25 48,2 3 16,-5 4 48,4 3 64,-4 15-176,3-19 2448,-3 0 1905,0-2 1768,-3-4 1529,-9 1-6378,8-3-640,-1 2-199,2 0-9,3 25-424,-7-24 264,7 1-112,-5-4-96,3 1-96,2 26 40,-5-26-16,3 0 16,-10 6 16,9 4 8,3 16-24,-5-11 104,3 10-160,2-2-96,-2 3 24,2 0 128,-3 0-368,3 11 104,0 3 72,0 9-24,0-23 216,0 26-81,0 4-39,0 2-128,0-1-16,0-31 264,0 32-264,0 0 64,0 0 96,0 0 104,0-32 0,0 30 0,5 3-16,7 0-32,-2 4-280,-10-37 328,12 37-880,5 0-1208,7-3-3114,9-3-79,-33-31 5281,48 25-3921,5-6 1593,7-7 1632,3-9 472,-63-3 224,60 0-176,3-3 8,-1-10 8,3-1 24,-65 14 136,63-20-104,-6-4 16,-4-6-32,0-7 56,-53 37 64,56-42-104,-56 42 104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5:43:02.087"/>
    </inkml:context>
    <inkml:brush xml:id="br0">
      <inkml:brushProperty name="width" value="0.035" units="cm"/>
      <inkml:brushProperty name="height" value="0.035" units="cm"/>
    </inkml:brush>
  </inkml:definitions>
  <inkml:trace contextRef="#ctx0" brushRef="#br0">248 43 72,'0'0'0,"2"34"104,1-9-32,-3-25-72,4 29 24,-4-9 16,0-8-32,-9-8 0,9-4-8,-15 14 8,1-10 8,-3 7-16,0-7-8,17-4 8,-17 15 8,-4-5-8,2-7 24,2 7-24,17-10 0,-17 0-8,0 3 8,0-3-24,5-1 24,12 1 0,-12-10-24,0 0 8,2-3 0,8-2 8,2 15 8,-12-17-8,12-4-8,2 0-32,10-4 24,-12 25 24,13-26-88,11-1 40,-5 0 8,5-1 40,-24 28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5:43:03.303"/>
    </inkml:context>
    <inkml:brush xml:id="br0">
      <inkml:brushProperty name="width" value="0.035" units="cm"/>
      <inkml:brushProperty name="height" value="0.035" units="cm"/>
    </inkml:brush>
  </inkml:definitions>
  <inkml:trace contextRef="#ctx0" brushRef="#br0">5590 488 40,'0'0'0,"-12"25"48,0-1-16,-2 4-8,14-28-24,-12 24 40,0-6 0,0 1-8,-5 1 8,17-20-40,-14 22 64,-6-1 24,1 0 48,-7-1 56,26-20-192,-27 13 2344,1-11 1897,-8-3 1696,0-14 1337,34 15-7274,-41-16 976,3-1-784,4 0-128,1 1 0,33 16-64,-34-17 16,-2 1-56,-3 0-192,-2-1-104,41 17 336,-40-17-528,-1 0-200,-3 2-64,-1 2 63,45 13 729,-41-15-632,0 0 280,7 1 176,8 1-24,26 13 200,-19-12-632,16-2-840,-2-2-1337,10-5-480,-5 21 3289,29-26-2904,7-4 911,15-3 1025,9-3 568,-60 36 400,67-36-104,5 1 56,8-1 24,1 4 88,-81 32-64,82-28 584,2 4 672,-2 4 849,0 3 1008,-82 17-3113,84-15 3056,-2 0-447,-5 2-649,-7 3-768,-70 10-1192,65-4 841,-8 1-289,-6 1-216,-10 2-96,-41 0-240,29 4 168,-8 7-40,-6-7 0,-15 12 8,0-16-136,2 12 160,-4 1 32,-18 5 16,-13 5-80,33-23-128,-44 28 80,-18 5-120,-13 2-40,-14 4 56,89-39 24,-103 40-96,-13 2 56,-13 2 32,-13 4-48,142-48 56,-149 52-72,-10 3-8,-10 1-32,1 0-16,168-56 128,-178 56-104,5 1 40,-3-1 8,-7-1 112,183-55-56,-175 54 64,7-2-40,14-6 0,4-5-8,150-41-16,-144 38 24,7-5-64,7-5 32,10-2 40,120-26-32,-113 21 40,12-5 88,2-3 16,15-10-40,84-3-104,-79 10 112,6-10-8,13 0-8,3 0-24,57 0-72,-44-5 96,6-7 32,9 1 16,5-4 32,24 15-176,-15-18 144,6-2-80,6-3 16,1-2-80,2 25 0,0-29 64,5-1 32,9-4 40,1-2 24,-15 36-160,19-39 160,3-1 0,2-1 9,-3-2 15,-21 43-184,24-40 128,-2-1-8,-3 0-64,-4 5 80,-15 36-136,14-35 72,-4 2-8,-5 4 32,4 4-104,-9 25 8,3-21-16,1 7-40,-1 10-56,2 1-88,-5 3 200,0-2-184,2 2-8,3 13 16,-5 10 87,0-23 89,0 33-56,-15 16 24,-1 12 64,-11 9-16,27-70-16,-29 78-152,-9 6 32,-3 2 24,0 1-48,41-87 144,-43 86-56,2-5-24,-5-10-40,3-11 80,43-60 40,-39 53 0,-2-9 16,3-7 32,-3-5 64,41-32-112,-46 24 168,1-8 24,1-12 8,-1-2-47,45-2-153,-48-1 176,-1-17 0,-4-4-16,1-7 32,52 29-192,-53-34 40,0-4 144,2-2 8,1 1 152,50 39-344,-53-37 552,0 2 80,0 2-24,0 5 72,53 28-680,-55-25 560,2 7-207,0 5 7,-5 11-288,58 2-72,-60 0-40,0 11 8,-3 6-24,1 10-40,62-27 96,-65 32-312,10 3-465,-3 3-1063,10 3-3249,48-41 5089,-41 38-8042,10-2 2105,7-8 2096,9-12 2265,15-16 1576,-5 3-224,0-3 0,5-11 72,5-7 40,-5 18 112,17-21-120,2-6 16,-4-4 16,-15 31 88</inkml:trace>
  <inkml:trace contextRef="#ctx0" brushRef="#br0" timeOffset="1">554 462 3528,'0'0'0,"-20"44"5914,-8-10 3071,-6 3 1666,34-37-10651,-34 13-208,29 2 840,10 11-1656,24 16-4178,-29-42 5202,41 41-9081,0-6 1943,-5-20 2481,-10-26 2897,-26 11 1760,5-32-352,-5-11 80,0 43 272</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26"/>
  <sheetViews>
    <sheetView rightToLeft="1" tabSelected="1" view="pageBreakPreview" topLeftCell="D21" zoomScale="130" zoomScaleNormal="100" zoomScaleSheetLayoutView="130" workbookViewId="0">
      <selection activeCell="G26" sqref="G26:J26"/>
    </sheetView>
  </sheetViews>
  <sheetFormatPr defaultColWidth="9.01171875" defaultRowHeight="15"/>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c r="B1" s="57" t="s">
        <v>180</v>
      </c>
      <c r="C1" s="57"/>
      <c r="D1" s="57"/>
      <c r="E1" s="57"/>
      <c r="F1" s="57"/>
      <c r="G1" s="57"/>
      <c r="H1" s="57"/>
      <c r="I1" s="57"/>
      <c r="J1" s="57"/>
    </row>
    <row r="2" spans="1:10" ht="30" customHeight="1">
      <c r="B2" s="9" t="s">
        <v>8</v>
      </c>
      <c r="C2" s="63" t="s">
        <v>29</v>
      </c>
      <c r="D2" s="63"/>
      <c r="E2" s="9" t="s">
        <v>7</v>
      </c>
      <c r="F2" s="58">
        <v>45952</v>
      </c>
      <c r="G2" s="58"/>
      <c r="H2" s="58"/>
      <c r="I2" s="58"/>
      <c r="J2" s="58"/>
    </row>
    <row r="3" spans="1:10" ht="30" customHeight="1">
      <c r="B3" s="9" t="s">
        <v>9</v>
      </c>
      <c r="C3" s="63" t="s">
        <v>60</v>
      </c>
      <c r="D3" s="63"/>
      <c r="E3" s="9" t="s">
        <v>6</v>
      </c>
      <c r="F3" s="63" t="s">
        <v>59</v>
      </c>
      <c r="G3" s="63"/>
      <c r="H3" s="63"/>
      <c r="I3" s="63"/>
      <c r="J3" s="63"/>
    </row>
    <row r="4" spans="1:10" ht="30" customHeight="1" thickBot="1">
      <c r="B4" s="6"/>
      <c r="C4" s="37" t="s">
        <v>195</v>
      </c>
      <c r="D4" s="37"/>
      <c r="E4" s="6"/>
      <c r="F4" s="37" t="s">
        <v>196</v>
      </c>
      <c r="G4" s="37"/>
      <c r="H4" s="37"/>
      <c r="I4" s="37"/>
      <c r="J4" s="37"/>
    </row>
    <row r="5" spans="1:10" ht="24.95" customHeight="1">
      <c r="A5" s="7"/>
      <c r="B5" s="59" t="s">
        <v>0</v>
      </c>
      <c r="C5" s="60"/>
      <c r="D5" s="60"/>
      <c r="E5" s="68" t="s">
        <v>1</v>
      </c>
      <c r="F5" s="68"/>
      <c r="G5" s="68"/>
      <c r="H5" s="68"/>
      <c r="I5" s="68" t="s">
        <v>2</v>
      </c>
      <c r="J5" s="69"/>
    </row>
    <row r="6" spans="1:10" ht="24.95" customHeight="1" thickBot="1">
      <c r="A6" s="7"/>
      <c r="B6" s="61"/>
      <c r="C6" s="62"/>
      <c r="D6" s="62"/>
      <c r="E6" s="8" t="s">
        <v>3</v>
      </c>
      <c r="F6" s="8" t="s">
        <v>4</v>
      </c>
      <c r="G6" s="8" t="s">
        <v>23</v>
      </c>
      <c r="H6" s="8" t="s">
        <v>24</v>
      </c>
      <c r="I6" s="70"/>
      <c r="J6" s="71"/>
    </row>
    <row r="7" spans="1:10" ht="24.95" customHeight="1" thickBot="1">
      <c r="A7" s="7"/>
      <c r="B7" s="66" t="s">
        <v>21</v>
      </c>
      <c r="C7" s="67"/>
      <c r="D7" s="67"/>
      <c r="E7" s="28" t="s">
        <v>18</v>
      </c>
      <c r="F7" s="28" t="s">
        <v>19</v>
      </c>
      <c r="G7" s="28" t="s">
        <v>22</v>
      </c>
      <c r="H7" s="28" t="s">
        <v>20</v>
      </c>
      <c r="I7" s="72" t="s">
        <v>25</v>
      </c>
      <c r="J7" s="73"/>
    </row>
    <row r="8" spans="1:10" ht="39.950000000000003" customHeight="1">
      <c r="A8" s="7"/>
      <c r="B8" s="80" t="s">
        <v>181</v>
      </c>
      <c r="C8" s="81"/>
      <c r="D8" s="81"/>
      <c r="E8" s="25"/>
      <c r="F8" s="32"/>
      <c r="G8" s="33"/>
      <c r="H8" s="34"/>
      <c r="I8" s="38"/>
      <c r="J8" s="39"/>
    </row>
    <row r="9" spans="1:10" ht="60" customHeight="1">
      <c r="A9" s="7"/>
      <c r="B9" s="76" t="s">
        <v>182</v>
      </c>
      <c r="C9" s="77"/>
      <c r="D9" s="77"/>
      <c r="E9" s="26">
        <v>5</v>
      </c>
      <c r="F9" s="23">
        <v>3.75</v>
      </c>
      <c r="G9" s="30">
        <f>IFERROR(F9/E9,"")</f>
        <v>0.75</v>
      </c>
      <c r="H9" s="31" t="str">
        <f>_xlfn.IFS(F9="أدخل العلامة","",F9="لا ينطبق","تم الإلغاء",G9&gt;=90%,"ممتاز",G9&gt;=80%,"جيد جداً",G9&gt;=70%,"جيد",G9&gt;=60%,"مقبول",G9&lt;60%,"راسب")</f>
        <v>جيد</v>
      </c>
      <c r="I9" s="42"/>
      <c r="J9" s="43"/>
    </row>
    <row r="10" spans="1:10" ht="39.950000000000003" customHeight="1">
      <c r="A10" s="7"/>
      <c r="B10" s="76" t="s">
        <v>183</v>
      </c>
      <c r="C10" s="77"/>
      <c r="D10" s="77"/>
      <c r="E10" s="26">
        <v>5</v>
      </c>
      <c r="F10" s="23">
        <v>4</v>
      </c>
      <c r="G10" s="30">
        <f t="shared" ref="G10:G21" si="0">IFERROR(F10/E10,"")</f>
        <v>0.8</v>
      </c>
      <c r="H10" s="31" t="str">
        <f t="shared" ref="H10:H21" si="1">_xlfn.IFS(F10="أدخل العلامة","",F10="لا ينطبق","تم الإلغاء",G10&gt;=90%,"ممتاز",G10&gt;=80%,"جيد جداً",G10&gt;=70%,"جيد",G10&gt;=60%,"مقبول",G10&lt;60%,"راسب")</f>
        <v>جيد جداً</v>
      </c>
      <c r="I10" s="42"/>
      <c r="J10" s="43"/>
    </row>
    <row r="11" spans="1:10" ht="60" customHeight="1">
      <c r="A11" s="7"/>
      <c r="B11" s="76" t="s">
        <v>184</v>
      </c>
      <c r="C11" s="77"/>
      <c r="D11" s="77"/>
      <c r="E11" s="26">
        <v>5</v>
      </c>
      <c r="F11" s="23">
        <v>4</v>
      </c>
      <c r="G11" s="30">
        <f t="shared" si="0"/>
        <v>0.8</v>
      </c>
      <c r="H11" s="31" t="str">
        <f t="shared" si="1"/>
        <v>جيد جداً</v>
      </c>
      <c r="I11" s="42"/>
      <c r="J11" s="43"/>
    </row>
    <row r="12" spans="1:10" ht="39.950000000000003" customHeight="1">
      <c r="A12" s="7"/>
      <c r="B12" s="76" t="s">
        <v>185</v>
      </c>
      <c r="C12" s="77"/>
      <c r="D12" s="77"/>
      <c r="E12" s="26">
        <v>5</v>
      </c>
      <c r="F12" s="23">
        <v>3.75</v>
      </c>
      <c r="G12" s="30">
        <f t="shared" si="0"/>
        <v>0.75</v>
      </c>
      <c r="H12" s="31" t="str">
        <f t="shared" si="1"/>
        <v>جيد</v>
      </c>
      <c r="I12" s="42"/>
      <c r="J12" s="43"/>
    </row>
    <row r="13" spans="1:10" ht="60" customHeight="1">
      <c r="A13" s="7"/>
      <c r="B13" s="76" t="s">
        <v>186</v>
      </c>
      <c r="C13" s="77"/>
      <c r="D13" s="77"/>
      <c r="E13" s="26">
        <v>5</v>
      </c>
      <c r="F13" s="23">
        <v>3.75</v>
      </c>
      <c r="G13" s="30">
        <f t="shared" si="0"/>
        <v>0.75</v>
      </c>
      <c r="H13" s="31" t="str">
        <f t="shared" si="1"/>
        <v>جيد</v>
      </c>
      <c r="I13" s="42"/>
      <c r="J13" s="43"/>
    </row>
    <row r="14" spans="1:10" ht="60" customHeight="1">
      <c r="A14" s="7"/>
      <c r="B14" s="76" t="s">
        <v>187</v>
      </c>
      <c r="C14" s="77"/>
      <c r="D14" s="77"/>
      <c r="E14" s="26">
        <v>5</v>
      </c>
      <c r="F14" s="23">
        <v>3.75</v>
      </c>
      <c r="G14" s="30">
        <f t="shared" si="0"/>
        <v>0.75</v>
      </c>
      <c r="H14" s="31" t="str">
        <f t="shared" si="1"/>
        <v>جيد</v>
      </c>
      <c r="I14" s="42"/>
      <c r="J14" s="43"/>
    </row>
    <row r="15" spans="1:10" ht="39.950000000000003" customHeight="1">
      <c r="A15" s="7"/>
      <c r="B15" s="78" t="s">
        <v>188</v>
      </c>
      <c r="C15" s="79"/>
      <c r="D15" s="79"/>
      <c r="E15" s="26">
        <v>5</v>
      </c>
      <c r="F15" s="23">
        <v>3.75</v>
      </c>
      <c r="G15" s="30">
        <f t="shared" si="0"/>
        <v>0.75</v>
      </c>
      <c r="H15" s="31" t="str">
        <f t="shared" si="1"/>
        <v>جيد</v>
      </c>
      <c r="I15" s="42"/>
      <c r="J15" s="43"/>
    </row>
    <row r="16" spans="1:10" ht="39.950000000000003" customHeight="1">
      <c r="A16" s="7"/>
      <c r="B16" s="78" t="s">
        <v>189</v>
      </c>
      <c r="C16" s="79"/>
      <c r="D16" s="79"/>
      <c r="E16" s="26">
        <v>5</v>
      </c>
      <c r="F16" s="23">
        <v>3.75</v>
      </c>
      <c r="G16" s="30">
        <f t="shared" si="0"/>
        <v>0.75</v>
      </c>
      <c r="H16" s="31" t="str">
        <f t="shared" si="1"/>
        <v>جيد</v>
      </c>
      <c r="I16" s="42"/>
      <c r="J16" s="43"/>
    </row>
    <row r="17" spans="1:10" ht="39.950000000000003" customHeight="1">
      <c r="A17" s="7"/>
      <c r="B17" s="78" t="s">
        <v>190</v>
      </c>
      <c r="C17" s="79"/>
      <c r="D17" s="79"/>
      <c r="E17" s="26">
        <v>5</v>
      </c>
      <c r="F17" s="23">
        <v>3.75</v>
      </c>
      <c r="G17" s="30">
        <f t="shared" si="0"/>
        <v>0.75</v>
      </c>
      <c r="H17" s="31" t="str">
        <f t="shared" si="1"/>
        <v>جيد</v>
      </c>
      <c r="I17" s="42"/>
      <c r="J17" s="43"/>
    </row>
    <row r="18" spans="1:10" ht="39.950000000000003" customHeight="1">
      <c r="A18" s="7"/>
      <c r="B18" s="78" t="s">
        <v>191</v>
      </c>
      <c r="C18" s="79"/>
      <c r="D18" s="79"/>
      <c r="E18" s="26">
        <v>5</v>
      </c>
      <c r="F18" s="23">
        <v>3.75</v>
      </c>
      <c r="G18" s="30">
        <f t="shared" si="0"/>
        <v>0.75</v>
      </c>
      <c r="H18" s="31" t="str">
        <f t="shared" si="1"/>
        <v>جيد</v>
      </c>
      <c r="I18" s="42"/>
      <c r="J18" s="43"/>
    </row>
    <row r="19" spans="1:10" ht="39.950000000000003" customHeight="1">
      <c r="A19" s="7"/>
      <c r="B19" s="78" t="s">
        <v>192</v>
      </c>
      <c r="C19" s="79"/>
      <c r="D19" s="79"/>
      <c r="E19" s="26">
        <v>5</v>
      </c>
      <c r="F19" s="23">
        <v>3.75</v>
      </c>
      <c r="G19" s="30">
        <f t="shared" si="0"/>
        <v>0.75</v>
      </c>
      <c r="H19" s="31" t="str">
        <f t="shared" si="1"/>
        <v>جيد</v>
      </c>
      <c r="I19" s="42"/>
      <c r="J19" s="43"/>
    </row>
    <row r="20" spans="1:10" ht="60" customHeight="1">
      <c r="A20" s="7"/>
      <c r="B20" s="78" t="s">
        <v>193</v>
      </c>
      <c r="C20" s="79"/>
      <c r="D20" s="79"/>
      <c r="E20" s="26">
        <v>5</v>
      </c>
      <c r="F20" s="23">
        <v>4</v>
      </c>
      <c r="G20" s="30">
        <f t="shared" si="0"/>
        <v>0.8</v>
      </c>
      <c r="H20" s="31" t="str">
        <f t="shared" si="1"/>
        <v>جيد جداً</v>
      </c>
      <c r="I20" s="42"/>
      <c r="J20" s="43"/>
    </row>
    <row r="21" spans="1:10" ht="60" customHeight="1" thickBot="1">
      <c r="A21" s="7"/>
      <c r="B21" s="82" t="s">
        <v>194</v>
      </c>
      <c r="C21" s="83"/>
      <c r="D21" s="83"/>
      <c r="E21" s="27">
        <v>5</v>
      </c>
      <c r="F21" s="24">
        <v>3.75</v>
      </c>
      <c r="G21" s="35">
        <f t="shared" si="0"/>
        <v>0.75</v>
      </c>
      <c r="H21" s="36" t="str">
        <f t="shared" si="1"/>
        <v>جيد</v>
      </c>
      <c r="I21" s="44"/>
      <c r="J21" s="45"/>
    </row>
    <row r="22" spans="1:10" ht="30" customHeight="1" thickBot="1">
      <c r="A22" s="4"/>
      <c r="B22" s="40" t="s">
        <v>5</v>
      </c>
      <c r="C22" s="41"/>
      <c r="D22" s="41"/>
      <c r="E22" s="29">
        <f>SUM(E8:E21)</f>
        <v>65</v>
      </c>
      <c r="F22" s="29">
        <f>SUM(F8:F21)</f>
        <v>49.5</v>
      </c>
      <c r="G22" s="54"/>
      <c r="H22" s="55"/>
      <c r="I22" s="55"/>
      <c r="J22" s="56"/>
    </row>
    <row r="23" spans="1:10" ht="30" customHeight="1" thickBot="1">
      <c r="A23" s="4"/>
      <c r="B23" s="50" t="s">
        <v>54</v>
      </c>
      <c r="C23" s="51"/>
      <c r="D23" s="51"/>
      <c r="E23" s="64">
        <f>F22/E22/100*100</f>
        <v>0.7615384615384615</v>
      </c>
      <c r="F23" s="64"/>
      <c r="G23" s="64"/>
      <c r="H23" s="64"/>
      <c r="I23" s="64"/>
      <c r="J23" s="65"/>
    </row>
    <row r="24" spans="1:10" ht="30" customHeight="1" thickBot="1">
      <c r="A24" s="4"/>
      <c r="B24" s="50" t="s">
        <v>55</v>
      </c>
      <c r="C24" s="51"/>
      <c r="D24" s="51"/>
      <c r="E24" s="48" t="str">
        <f>_xlfn.IFS(E23&gt;=90%,"ممتاز",E23&gt;=80%,"جيد جداً",E23&gt;=70%,"جيد",E23&gt;=60%,"مقبول",E23&lt;60%,"راسب")</f>
        <v>جيد</v>
      </c>
      <c r="F24" s="48"/>
      <c r="G24" s="48"/>
      <c r="H24" s="48"/>
      <c r="I24" s="48"/>
      <c r="J24" s="49"/>
    </row>
    <row r="25" spans="1:10" ht="42" customHeight="1">
      <c r="B25" s="74" t="s">
        <v>174</v>
      </c>
      <c r="C25" s="74"/>
      <c r="D25" s="74"/>
      <c r="E25" s="52" t="s">
        <v>52</v>
      </c>
      <c r="F25" s="52"/>
      <c r="G25" s="46" t="s">
        <v>59</v>
      </c>
      <c r="H25" s="46"/>
      <c r="I25" s="46"/>
      <c r="J25" s="46"/>
    </row>
    <row r="26" spans="1:10" ht="51" customHeight="1">
      <c r="A26" s="5"/>
      <c r="B26" s="75"/>
      <c r="C26" s="75"/>
      <c r="D26" s="75"/>
      <c r="E26" s="53" t="s">
        <v>53</v>
      </c>
      <c r="F26" s="53"/>
      <c r="G26" s="47"/>
      <c r="H26" s="47"/>
      <c r="I26" s="47"/>
      <c r="J26" s="47"/>
    </row>
  </sheetData>
  <sheetProtection sheet="1" formatCells="0" formatColumns="0" formatRows="0" insertColumns="0" insertRows="0" insertHyperlinks="0" deleteColumns="0" deleteRows="0" selectLockedCells="1" sort="0" autoFilter="0" pivotTables="0"/>
  <mergeCells count="51">
    <mergeCell ref="B17:D17"/>
    <mergeCell ref="B18:D18"/>
    <mergeCell ref="B19:D19"/>
    <mergeCell ref="B20:D20"/>
    <mergeCell ref="B21:D21"/>
    <mergeCell ref="B8:D8"/>
    <mergeCell ref="B9:D9"/>
    <mergeCell ref="B10:D10"/>
    <mergeCell ref="B11:D11"/>
    <mergeCell ref="B12:D12"/>
    <mergeCell ref="B16:D16"/>
    <mergeCell ref="I9:J9"/>
    <mergeCell ref="I11:J11"/>
    <mergeCell ref="I12:J12"/>
    <mergeCell ref="I13:J13"/>
    <mergeCell ref="I14:J14"/>
    <mergeCell ref="I15:J15"/>
    <mergeCell ref="I16:J16"/>
    <mergeCell ref="B1:J1"/>
    <mergeCell ref="F2:J2"/>
    <mergeCell ref="B5:D6"/>
    <mergeCell ref="C2:D2"/>
    <mergeCell ref="C3:D3"/>
    <mergeCell ref="F3:J3"/>
    <mergeCell ref="E5:H5"/>
    <mergeCell ref="I5:J6"/>
    <mergeCell ref="G25:J25"/>
    <mergeCell ref="G26:J26"/>
    <mergeCell ref="E24:J24"/>
    <mergeCell ref="B23:D23"/>
    <mergeCell ref="B24:D24"/>
    <mergeCell ref="E25:F25"/>
    <mergeCell ref="E26:F26"/>
    <mergeCell ref="E23:J23"/>
    <mergeCell ref="B25:D26"/>
    <mergeCell ref="F4:J4"/>
    <mergeCell ref="C4:D4"/>
    <mergeCell ref="I8:J8"/>
    <mergeCell ref="B22:D22"/>
    <mergeCell ref="I17:J17"/>
    <mergeCell ref="I18:J18"/>
    <mergeCell ref="I19:J19"/>
    <mergeCell ref="I20:J20"/>
    <mergeCell ref="I21:J21"/>
    <mergeCell ref="G22:J22"/>
    <mergeCell ref="B7:D7"/>
    <mergeCell ref="I7:J7"/>
    <mergeCell ref="I10:J10"/>
    <mergeCell ref="B13:D13"/>
    <mergeCell ref="B14:D14"/>
    <mergeCell ref="B15:D15"/>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24">
    <cfRule type="expression" dxfId="14" priority="57">
      <formula>$E24="راسب"</formula>
    </cfRule>
  </conditionalFormatting>
  <conditionalFormatting sqref="E24:J24">
    <cfRule type="expression" dxfId="13" priority="58">
      <formula>$E24="مقبول"</formula>
    </cfRule>
    <cfRule type="expression" dxfId="12" priority="59">
      <formula>$E24="جيد"</formula>
    </cfRule>
    <cfRule type="expression" dxfId="11" priority="60">
      <formula>$E24="جيد جداً"</formula>
    </cfRule>
    <cfRule type="expression" dxfId="10" priority="61">
      <formula>$E24="ممتاز"</formula>
    </cfRule>
  </conditionalFormatting>
  <conditionalFormatting sqref="F8:F21">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25:J25">
    <cfRule type="containsText" dxfId="6" priority="15" operator="containsText" text="أدخل اسم المحكم">
      <formula>NOT(ISERROR(SEARCH("أدخل اسم المحكم",G25)))</formula>
    </cfRule>
  </conditionalFormatting>
  <conditionalFormatting sqref="H8:H21">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F9:F21</xm:sqref>
        </x14:dataValidation>
        <x14:dataValidation type="list" allowBlank="1" showInputMessage="1" showErrorMessage="1" xr:uid="{BD8CB5A2-5F32-4EAD-A63C-382D3B90B847}">
          <x14:formula1>
            <xm:f>'بيانات التقييم'!$A$198:$A$286</xm:f>
          </x14:formula1>
          <xm:sqref>G25:J25 F3:J3</xm:sqref>
        </x14:dataValidation>
        <x14:dataValidation type="list" allowBlank="1" showInputMessage="1" showErrorMessage="1" xr:uid="{132078BB-599D-4F0E-87F8-5A950BE5625D}">
          <x14:formula1>
            <xm:f>'بيانات التقييم'!$C$1:$C$31</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cols>
    <col min="1" max="1" width="42.5078125" style="1" customWidth="1"/>
    <col min="2" max="2" width="24.88671875" style="1" customWidth="1"/>
    <col min="3" max="3" width="59.86328125" style="1" customWidth="1"/>
    <col min="4" max="9" width="9.01171875" style="1"/>
  </cols>
  <sheetData>
    <row r="1" spans="1:3" ht="20.100000000000001" customHeight="1" thickBot="1">
      <c r="A1" s="2" t="s">
        <v>57</v>
      </c>
      <c r="C1" s="2" t="s">
        <v>60</v>
      </c>
    </row>
    <row r="2" spans="1:3" ht="20.100000000000001" customHeight="1" thickBot="1">
      <c r="A2" s="2" t="s">
        <v>35</v>
      </c>
      <c r="C2" s="16" t="s">
        <v>62</v>
      </c>
    </row>
    <row r="3" spans="1:3" ht="20.100000000000001" customHeight="1" thickBot="1">
      <c r="A3" s="2" t="s">
        <v>26</v>
      </c>
      <c r="C3" s="16" t="s">
        <v>63</v>
      </c>
    </row>
    <row r="4" spans="1:3" ht="20.100000000000001" customHeight="1" thickBot="1">
      <c r="A4" s="2" t="s">
        <v>36</v>
      </c>
      <c r="C4" s="16" t="s">
        <v>64</v>
      </c>
    </row>
    <row r="5" spans="1:3" ht="20.100000000000001" customHeight="1" thickBot="1">
      <c r="A5" s="2" t="s">
        <v>37</v>
      </c>
      <c r="C5" s="16" t="s">
        <v>65</v>
      </c>
    </row>
    <row r="6" spans="1:3" ht="20.100000000000001" customHeight="1" thickBot="1">
      <c r="A6" s="2" t="s">
        <v>38</v>
      </c>
      <c r="C6" s="16" t="s">
        <v>66</v>
      </c>
    </row>
    <row r="7" spans="1:3" ht="20.100000000000001" customHeight="1" thickBot="1">
      <c r="A7" s="2" t="s">
        <v>39</v>
      </c>
      <c r="C7" s="16" t="s">
        <v>67</v>
      </c>
    </row>
    <row r="8" spans="1:3" ht="20.100000000000001" customHeight="1" thickBot="1">
      <c r="A8" s="2" t="s">
        <v>40</v>
      </c>
      <c r="C8" s="16" t="s">
        <v>68</v>
      </c>
    </row>
    <row r="9" spans="1:3" ht="20.100000000000001" customHeight="1" thickBot="1">
      <c r="A9" s="2" t="s">
        <v>41</v>
      </c>
      <c r="C9" s="16" t="s">
        <v>69</v>
      </c>
    </row>
    <row r="10" spans="1:3" ht="20.100000000000001" customHeight="1" thickBot="1">
      <c r="A10" s="2" t="s">
        <v>42</v>
      </c>
      <c r="C10" s="16" t="s">
        <v>70</v>
      </c>
    </row>
    <row r="11" spans="1:3" ht="20.100000000000001" customHeight="1" thickBot="1">
      <c r="A11" s="2" t="s">
        <v>43</v>
      </c>
      <c r="C11" s="16" t="s">
        <v>71</v>
      </c>
    </row>
    <row r="12" spans="1:3" ht="20.100000000000001" customHeight="1" thickBot="1">
      <c r="A12" s="2" t="s">
        <v>44</v>
      </c>
      <c r="C12" s="16" t="s">
        <v>72</v>
      </c>
    </row>
    <row r="13" spans="1:3" ht="20.100000000000001" customHeight="1" thickBot="1">
      <c r="A13" s="2" t="s">
        <v>45</v>
      </c>
      <c r="C13" s="16" t="s">
        <v>73</v>
      </c>
    </row>
    <row r="14" spans="1:3" ht="20.100000000000001" customHeight="1" thickBot="1">
      <c r="A14" s="2" t="s">
        <v>46</v>
      </c>
      <c r="C14" s="16" t="s">
        <v>74</v>
      </c>
    </row>
    <row r="15" spans="1:3" ht="20.100000000000001" customHeight="1" thickBot="1">
      <c r="A15" s="2" t="s">
        <v>47</v>
      </c>
      <c r="C15" s="16" t="s">
        <v>75</v>
      </c>
    </row>
    <row r="16" spans="1:3" ht="20.100000000000001" customHeight="1" thickBot="1">
      <c r="A16" s="2" t="s">
        <v>10</v>
      </c>
      <c r="C16" s="16" t="s">
        <v>76</v>
      </c>
    </row>
    <row r="17" spans="1:3" ht="20.100000000000001" customHeight="1" thickBot="1">
      <c r="A17" s="2" t="s">
        <v>27</v>
      </c>
      <c r="C17" s="16" t="s">
        <v>77</v>
      </c>
    </row>
    <row r="18" spans="1:3" ht="20.100000000000001" customHeight="1" thickBot="1">
      <c r="A18" s="2" t="s">
        <v>48</v>
      </c>
      <c r="C18" s="16" t="s">
        <v>78</v>
      </c>
    </row>
    <row r="19" spans="1:3" ht="20.100000000000001" customHeight="1" thickBot="1">
      <c r="A19" s="2" t="s">
        <v>49</v>
      </c>
      <c r="C19" s="16" t="s">
        <v>79</v>
      </c>
    </row>
    <row r="20" spans="1:3" ht="20.100000000000001" customHeight="1" thickBot="1">
      <c r="A20" s="2" t="s">
        <v>50</v>
      </c>
      <c r="C20" s="16" t="s">
        <v>80</v>
      </c>
    </row>
    <row r="21" spans="1:3" ht="20.100000000000001" customHeight="1" thickBot="1">
      <c r="A21" s="2" t="s">
        <v>51</v>
      </c>
      <c r="C21" s="16" t="s">
        <v>81</v>
      </c>
    </row>
    <row r="22" spans="1:3" ht="20.100000000000001" customHeight="1" thickBot="1">
      <c r="A22" s="2" t="s">
        <v>11</v>
      </c>
      <c r="C22" s="16" t="s">
        <v>82</v>
      </c>
    </row>
    <row r="23" spans="1:3" ht="20.100000000000001" customHeight="1" thickBot="1">
      <c r="A23" s="2" t="s">
        <v>12</v>
      </c>
      <c r="C23" s="16" t="s">
        <v>83</v>
      </c>
    </row>
    <row r="24" spans="1:3" ht="20.100000000000001" customHeight="1" thickBot="1">
      <c r="A24" s="2" t="s">
        <v>15</v>
      </c>
      <c r="C24" s="16" t="s">
        <v>84</v>
      </c>
    </row>
    <row r="25" spans="1:3" ht="20.100000000000001" customHeight="1" thickBot="1">
      <c r="A25" s="2" t="s">
        <v>28</v>
      </c>
      <c r="C25" s="16" t="s">
        <v>85</v>
      </c>
    </row>
    <row r="26" spans="1:3" ht="20.100000000000001" customHeight="1" thickBot="1">
      <c r="A26" s="2" t="s">
        <v>29</v>
      </c>
      <c r="C26" s="16" t="s">
        <v>86</v>
      </c>
    </row>
    <row r="27" spans="1:3" ht="20.100000000000001" customHeight="1" thickBot="1">
      <c r="A27" s="2" t="s">
        <v>13</v>
      </c>
      <c r="C27" s="16" t="s">
        <v>87</v>
      </c>
    </row>
    <row r="28" spans="1:3" ht="20.100000000000001" customHeight="1" thickBot="1">
      <c r="A28" s="2" t="s">
        <v>30</v>
      </c>
      <c r="C28" s="16" t="s">
        <v>88</v>
      </c>
    </row>
    <row r="29" spans="1:3" ht="20.100000000000001" customHeight="1" thickBot="1">
      <c r="A29" s="2" t="s">
        <v>31</v>
      </c>
      <c r="C29" s="16" t="s">
        <v>177</v>
      </c>
    </row>
    <row r="30" spans="1:3" ht="20.100000000000001" customHeight="1" thickBot="1">
      <c r="A30" s="2" t="s">
        <v>32</v>
      </c>
      <c r="C30" s="16" t="s">
        <v>178</v>
      </c>
    </row>
    <row r="31" spans="1:3" ht="20.100000000000001" customHeight="1" thickBot="1">
      <c r="A31" s="2" t="s">
        <v>33</v>
      </c>
      <c r="C31" s="16" t="s">
        <v>179</v>
      </c>
    </row>
    <row r="32" spans="1:3" ht="20.100000000000001" customHeight="1" thickBot="1">
      <c r="A32" s="2" t="s">
        <v>16</v>
      </c>
      <c r="C32" s="16"/>
    </row>
    <row r="33" spans="1:9" ht="20.100000000000001" customHeight="1" thickBot="1">
      <c r="A33" s="2" t="s">
        <v>14</v>
      </c>
      <c r="C33" s="16"/>
    </row>
    <row r="34" spans="1:9" ht="20.100000000000001" customHeight="1" thickBot="1">
      <c r="A34" s="2" t="s">
        <v>34</v>
      </c>
      <c r="C34" s="16"/>
    </row>
    <row r="35" spans="1:9" ht="20.100000000000001" customHeight="1">
      <c r="A35" s="15"/>
    </row>
    <row r="36" spans="1:9" s="14" customFormat="1" ht="20.100000000000001" customHeight="1">
      <c r="A36" s="12"/>
      <c r="B36" s="13"/>
      <c r="C36" s="13"/>
      <c r="D36" s="13"/>
      <c r="E36" s="13"/>
      <c r="F36" s="13"/>
      <c r="G36" s="13"/>
      <c r="H36" s="13"/>
      <c r="I36" s="13"/>
    </row>
    <row r="37" spans="1:9" ht="20.100000000000001" customHeight="1" thickBot="1"/>
    <row r="38" spans="1:9" ht="20.100000000000001" customHeight="1" thickBot="1">
      <c r="A38" s="2" t="s">
        <v>56</v>
      </c>
    </row>
    <row r="39" spans="1:9" ht="20.100000000000001" customHeight="1" thickBot="1">
      <c r="A39" s="10">
        <v>45931</v>
      </c>
    </row>
    <row r="40" spans="1:9" ht="20.100000000000001" customHeight="1" thickBot="1">
      <c r="A40" s="10">
        <v>45932</v>
      </c>
    </row>
    <row r="41" spans="1:9" ht="20.100000000000001" customHeight="1" thickBot="1">
      <c r="A41" s="10">
        <v>45933</v>
      </c>
    </row>
    <row r="42" spans="1:9" ht="20.100000000000001" customHeight="1" thickBot="1">
      <c r="A42" s="10">
        <v>45934</v>
      </c>
    </row>
    <row r="43" spans="1:9" ht="20.100000000000001" customHeight="1" thickBot="1">
      <c r="A43" s="10">
        <v>45935</v>
      </c>
    </row>
    <row r="44" spans="1:9" ht="20.100000000000001" customHeight="1" thickBot="1">
      <c r="A44" s="10">
        <v>45936</v>
      </c>
    </row>
    <row r="45" spans="1:9" ht="20.100000000000001" customHeight="1" thickBot="1">
      <c r="A45" s="10">
        <v>45937</v>
      </c>
    </row>
    <row r="46" spans="1:9" ht="20.100000000000001" customHeight="1" thickBot="1">
      <c r="A46" s="10">
        <v>45938</v>
      </c>
    </row>
    <row r="47" spans="1:9" ht="20.100000000000001" customHeight="1" thickBot="1">
      <c r="A47" s="10">
        <v>45939</v>
      </c>
    </row>
    <row r="48" spans="1:9" ht="20.100000000000001" customHeight="1" thickBot="1">
      <c r="A48" s="10">
        <v>45940</v>
      </c>
    </row>
    <row r="49" spans="1:1" ht="20.100000000000001" customHeight="1" thickBot="1">
      <c r="A49" s="10">
        <v>45941</v>
      </c>
    </row>
    <row r="50" spans="1:1" ht="20.100000000000001" customHeight="1" thickBot="1">
      <c r="A50" s="10">
        <v>45942</v>
      </c>
    </row>
    <row r="51" spans="1:1" ht="20.100000000000001" customHeight="1" thickBot="1">
      <c r="A51" s="10">
        <v>45943</v>
      </c>
    </row>
    <row r="52" spans="1:1" ht="20.100000000000001" customHeight="1" thickBot="1">
      <c r="A52" s="10">
        <v>45944</v>
      </c>
    </row>
    <row r="53" spans="1:1" ht="20.100000000000001" customHeight="1" thickBot="1">
      <c r="A53" s="10">
        <v>45945</v>
      </c>
    </row>
    <row r="54" spans="1:1" ht="20.100000000000001" customHeight="1" thickBot="1">
      <c r="A54" s="10">
        <v>45946</v>
      </c>
    </row>
    <row r="55" spans="1:1" ht="20.100000000000001" customHeight="1" thickBot="1">
      <c r="A55" s="10">
        <v>45947</v>
      </c>
    </row>
    <row r="56" spans="1:1" ht="20.100000000000001" customHeight="1" thickBot="1">
      <c r="A56" s="10">
        <v>45948</v>
      </c>
    </row>
    <row r="57" spans="1:1" ht="20.100000000000001" customHeight="1" thickBot="1">
      <c r="A57" s="10">
        <v>45949</v>
      </c>
    </row>
    <row r="58" spans="1:1" ht="20.100000000000001" customHeight="1" thickBot="1">
      <c r="A58" s="10">
        <v>45950</v>
      </c>
    </row>
    <row r="59" spans="1:1" ht="20.100000000000001" customHeight="1" thickBot="1">
      <c r="A59" s="10">
        <v>45951</v>
      </c>
    </row>
    <row r="60" spans="1:1" ht="20.100000000000001" customHeight="1" thickBot="1">
      <c r="A60" s="10">
        <v>45952</v>
      </c>
    </row>
    <row r="61" spans="1:1" ht="20.100000000000001" customHeight="1" thickBot="1">
      <c r="A61" s="10">
        <v>45953</v>
      </c>
    </row>
    <row r="62" spans="1:1" ht="20.100000000000001" customHeight="1" thickBot="1">
      <c r="A62" s="10">
        <v>45954</v>
      </c>
    </row>
    <row r="63" spans="1:1" ht="20.100000000000001" customHeight="1" thickBot="1">
      <c r="A63" s="10">
        <v>45955</v>
      </c>
    </row>
    <row r="64" spans="1:1" ht="20.100000000000001" customHeight="1" thickBot="1">
      <c r="A64" s="10">
        <v>45956</v>
      </c>
    </row>
    <row r="65" spans="1:1" ht="20.100000000000001" customHeight="1" thickBot="1">
      <c r="A65" s="10">
        <v>45957</v>
      </c>
    </row>
    <row r="66" spans="1:1" ht="20.100000000000001" customHeight="1" thickBot="1">
      <c r="A66" s="10">
        <v>45958</v>
      </c>
    </row>
    <row r="67" spans="1:1" ht="20.100000000000001" customHeight="1" thickBot="1">
      <c r="A67" s="10">
        <v>45959</v>
      </c>
    </row>
    <row r="68" spans="1:1" ht="20.100000000000001" customHeight="1" thickBot="1">
      <c r="A68" s="10">
        <v>45960</v>
      </c>
    </row>
    <row r="69" spans="1:1" ht="20.100000000000001" customHeight="1" thickBot="1">
      <c r="A69" s="10">
        <v>45961</v>
      </c>
    </row>
    <row r="70" spans="1:1" ht="20.100000000000001" customHeight="1" thickBot="1">
      <c r="A70" s="10"/>
    </row>
    <row r="71" spans="1:1" ht="20.100000000000001" customHeight="1" thickBot="1">
      <c r="A71" s="10"/>
    </row>
    <row r="72" spans="1:1" ht="20.100000000000001" customHeight="1" thickBot="1">
      <c r="A72" s="10"/>
    </row>
    <row r="73" spans="1:1" ht="20.100000000000001" customHeight="1" thickBot="1">
      <c r="A73" s="10"/>
    </row>
    <row r="74" spans="1:1" ht="20.100000000000001" customHeight="1" thickBot="1">
      <c r="A74" s="10"/>
    </row>
    <row r="75" spans="1:1" ht="20.100000000000001" customHeight="1" thickBot="1">
      <c r="A75" s="10"/>
    </row>
    <row r="76" spans="1:1" ht="20.100000000000001" customHeight="1" thickBot="1">
      <c r="A76" s="10"/>
    </row>
    <row r="77" spans="1:1" ht="20.100000000000001" customHeight="1" thickBot="1">
      <c r="A77" s="10"/>
    </row>
    <row r="78" spans="1:1" ht="20.100000000000001" customHeight="1" thickBot="1">
      <c r="A78" s="10"/>
    </row>
    <row r="79" spans="1:1" ht="20.100000000000001" customHeight="1" thickBot="1">
      <c r="A79" s="10"/>
    </row>
    <row r="80" spans="1:1" ht="20.100000000000001" customHeight="1" thickBot="1">
      <c r="A80" s="10"/>
    </row>
    <row r="81" spans="1:1" ht="20.100000000000001" customHeight="1" thickBot="1">
      <c r="A81" s="10"/>
    </row>
    <row r="82" spans="1:1" ht="20.100000000000001" customHeight="1" thickBot="1">
      <c r="A82" s="10"/>
    </row>
    <row r="83" spans="1:1" ht="20.100000000000001" customHeight="1" thickBot="1">
      <c r="A83" s="10"/>
    </row>
    <row r="84" spans="1:1" ht="20.100000000000001" customHeight="1" thickBot="1">
      <c r="A84" s="10"/>
    </row>
    <row r="85" spans="1:1" ht="20.100000000000001" customHeight="1" thickBot="1">
      <c r="A85" s="10"/>
    </row>
    <row r="86" spans="1:1" ht="20.100000000000001" customHeight="1" thickBot="1">
      <c r="A86" s="10"/>
    </row>
    <row r="87" spans="1:1" ht="20.100000000000001" customHeight="1" thickBot="1">
      <c r="A87" s="10"/>
    </row>
    <row r="88" spans="1:1" ht="20.100000000000001" customHeight="1" thickBot="1">
      <c r="A88" s="10"/>
    </row>
    <row r="89" spans="1:1" ht="20.100000000000001" customHeight="1" thickBot="1">
      <c r="A89" s="10"/>
    </row>
    <row r="90" spans="1:1" ht="20.100000000000001" customHeight="1" thickBot="1">
      <c r="A90" s="10"/>
    </row>
    <row r="91" spans="1:1" ht="20.100000000000001" customHeight="1" thickBot="1">
      <c r="A91" s="10"/>
    </row>
    <row r="92" spans="1:1" ht="20.100000000000001" customHeight="1" thickBot="1">
      <c r="A92" s="10"/>
    </row>
    <row r="93" spans="1:1" ht="20.100000000000001" customHeight="1" thickBot="1">
      <c r="A93" s="10"/>
    </row>
    <row r="94" spans="1:1" ht="20.100000000000001" customHeight="1" thickBot="1">
      <c r="A94" s="10"/>
    </row>
    <row r="95" spans="1:1" ht="20.100000000000001" customHeight="1" thickBot="1">
      <c r="A95" s="10"/>
    </row>
    <row r="96" spans="1:1" ht="20.100000000000001" customHeight="1" thickBot="1">
      <c r="A96" s="10"/>
    </row>
    <row r="97" spans="1:9" ht="20.100000000000001" customHeight="1" thickBot="1">
      <c r="A97" s="10"/>
    </row>
    <row r="98" spans="1:9" ht="20.100000000000001" customHeight="1" thickBot="1">
      <c r="A98" s="10"/>
    </row>
    <row r="99" spans="1:9" ht="20.100000000000001" customHeight="1" thickBot="1">
      <c r="A99" s="10"/>
    </row>
    <row r="100" spans="1:9" ht="20.100000000000001" customHeight="1" thickBot="1">
      <c r="A100" s="10"/>
    </row>
    <row r="101" spans="1:9" ht="20.100000000000001" customHeight="1" thickBot="1">
      <c r="A101" s="10"/>
    </row>
    <row r="102" spans="1:9" ht="20.100000000000001" customHeight="1" thickBot="1">
      <c r="A102" s="10"/>
    </row>
    <row r="103" spans="1:9" ht="20.100000000000001" customHeight="1" thickBot="1">
      <c r="A103" s="10"/>
    </row>
    <row r="104" spans="1:9" ht="20.100000000000001" customHeight="1" thickBot="1">
      <c r="A104" s="10"/>
    </row>
    <row r="105" spans="1:9" ht="20.100000000000001" customHeight="1" thickBot="1">
      <c r="A105" s="10"/>
    </row>
    <row r="106" spans="1:9" ht="20.100000000000001" customHeight="1" thickBot="1">
      <c r="A106" s="10"/>
    </row>
    <row r="107" spans="1:9" ht="20.100000000000001" customHeight="1">
      <c r="A107" s="11"/>
    </row>
    <row r="108" spans="1:9" ht="20.100000000000001" customHeight="1">
      <c r="A108" s="11"/>
    </row>
    <row r="109" spans="1:9" s="14" customFormat="1" ht="20.100000000000001" customHeight="1">
      <c r="A109" s="12"/>
      <c r="B109" s="13"/>
      <c r="C109" s="13"/>
      <c r="D109" s="13"/>
      <c r="E109" s="13"/>
      <c r="F109" s="13"/>
      <c r="G109" s="13"/>
      <c r="H109" s="13"/>
      <c r="I109" s="13"/>
    </row>
    <row r="110" spans="1:9" ht="20.100000000000001" customHeight="1" thickBot="1"/>
    <row r="111" spans="1:9" ht="20.100000000000001" customHeight="1" thickBot="1">
      <c r="A111" s="2" t="s">
        <v>61</v>
      </c>
    </row>
    <row r="112" spans="1:9" ht="20.100000000000001" customHeight="1" thickBot="1">
      <c r="A112" s="2" t="s">
        <v>17</v>
      </c>
    </row>
    <row r="113" spans="1:1" ht="20.100000000000001" customHeight="1" thickBot="1">
      <c r="A113" s="2">
        <v>0</v>
      </c>
    </row>
    <row r="114" spans="1:1" ht="20.100000000000001" customHeight="1" thickBot="1">
      <c r="A114" s="2">
        <v>0.25</v>
      </c>
    </row>
    <row r="115" spans="1:1" ht="20.100000000000001" customHeight="1" thickBot="1">
      <c r="A115" s="2">
        <v>0.5</v>
      </c>
    </row>
    <row r="116" spans="1:1" ht="20.100000000000001" customHeight="1" thickBot="1">
      <c r="A116" s="2">
        <v>0.75</v>
      </c>
    </row>
    <row r="117" spans="1:1" ht="20.100000000000001" customHeight="1" thickBot="1">
      <c r="A117" s="2">
        <v>1</v>
      </c>
    </row>
    <row r="118" spans="1:1" ht="20.100000000000001" customHeight="1" thickBot="1">
      <c r="A118" s="2">
        <v>1.25</v>
      </c>
    </row>
    <row r="119" spans="1:1" ht="20.100000000000001" customHeight="1" thickBot="1">
      <c r="A119" s="2">
        <v>1.5</v>
      </c>
    </row>
    <row r="120" spans="1:1" ht="20.100000000000001" customHeight="1" thickBot="1">
      <c r="A120" s="2">
        <v>1.75</v>
      </c>
    </row>
    <row r="121" spans="1:1" ht="20.100000000000001" customHeight="1" thickBot="1">
      <c r="A121" s="2">
        <v>2</v>
      </c>
    </row>
    <row r="122" spans="1:1" ht="20.100000000000001" customHeight="1" thickBot="1">
      <c r="A122" s="2">
        <v>2.25</v>
      </c>
    </row>
    <row r="123" spans="1:1" ht="20.100000000000001" customHeight="1" thickBot="1">
      <c r="A123" s="2">
        <v>2.5</v>
      </c>
    </row>
    <row r="124" spans="1:1" ht="20.100000000000001" customHeight="1" thickBot="1">
      <c r="A124" s="2">
        <v>2.75</v>
      </c>
    </row>
    <row r="125" spans="1:1" ht="20.100000000000001" customHeight="1" thickBot="1">
      <c r="A125" s="2">
        <v>3</v>
      </c>
    </row>
    <row r="126" spans="1:1" ht="20.100000000000001" customHeight="1" thickBot="1">
      <c r="A126" s="2">
        <v>3.25</v>
      </c>
    </row>
    <row r="127" spans="1:1" ht="20.100000000000001" customHeight="1" thickBot="1">
      <c r="A127" s="2">
        <v>3.5</v>
      </c>
    </row>
    <row r="128" spans="1:1" ht="20.100000000000001" customHeight="1" thickBot="1">
      <c r="A128" s="2">
        <v>3.75</v>
      </c>
    </row>
    <row r="129" spans="1:1" ht="20.100000000000001" customHeight="1" thickBot="1">
      <c r="A129" s="2">
        <v>4</v>
      </c>
    </row>
    <row r="130" spans="1:1" ht="20.100000000000001" customHeight="1" thickBot="1">
      <c r="A130" s="2">
        <v>4.25</v>
      </c>
    </row>
    <row r="131" spans="1:1" ht="20.100000000000001" customHeight="1" thickBot="1">
      <c r="A131" s="2">
        <v>4.5</v>
      </c>
    </row>
    <row r="132" spans="1:1" ht="20.100000000000001" customHeight="1" thickBot="1">
      <c r="A132" s="2">
        <v>4.75</v>
      </c>
    </row>
    <row r="133" spans="1:1" ht="20.100000000000001" customHeight="1" thickBot="1">
      <c r="A133" s="2">
        <v>5</v>
      </c>
    </row>
    <row r="134" spans="1:1" ht="20.100000000000001" customHeight="1" thickBot="1">
      <c r="A134" s="2">
        <v>5.25</v>
      </c>
    </row>
    <row r="135" spans="1:1" ht="20.100000000000001" customHeight="1" thickBot="1">
      <c r="A135" s="2">
        <v>5.5</v>
      </c>
    </row>
    <row r="136" spans="1:1" ht="20.100000000000001" customHeight="1" thickBot="1">
      <c r="A136" s="2">
        <v>5.75</v>
      </c>
    </row>
    <row r="137" spans="1:1" ht="20.100000000000001" customHeight="1" thickBot="1">
      <c r="A137" s="2">
        <v>6</v>
      </c>
    </row>
    <row r="138" spans="1:1" ht="20.100000000000001" customHeight="1" thickBot="1">
      <c r="A138" s="2">
        <v>6.25</v>
      </c>
    </row>
    <row r="139" spans="1:1" ht="20.100000000000001" customHeight="1" thickBot="1">
      <c r="A139" s="2">
        <v>6.5</v>
      </c>
    </row>
    <row r="140" spans="1:1" ht="20.100000000000001" customHeight="1" thickBot="1">
      <c r="A140" s="2">
        <v>6.75</v>
      </c>
    </row>
    <row r="141" spans="1:1" ht="20.100000000000001" customHeight="1" thickBot="1">
      <c r="A141" s="2">
        <v>7</v>
      </c>
    </row>
    <row r="142" spans="1:1" ht="20.100000000000001" customHeight="1" thickBot="1">
      <c r="A142" s="2">
        <v>7.25</v>
      </c>
    </row>
    <row r="143" spans="1:1" ht="20.100000000000001" customHeight="1" thickBot="1">
      <c r="A143" s="2">
        <v>7.5</v>
      </c>
    </row>
    <row r="144" spans="1:1" ht="20.100000000000001" customHeight="1" thickBot="1">
      <c r="A144" s="2">
        <v>7.75</v>
      </c>
    </row>
    <row r="145" spans="1:1" ht="20.100000000000001" customHeight="1" thickBot="1">
      <c r="A145" s="2">
        <v>8</v>
      </c>
    </row>
    <row r="146" spans="1:1" ht="20.100000000000001" customHeight="1" thickBot="1">
      <c r="A146" s="2">
        <v>8.25</v>
      </c>
    </row>
    <row r="147" spans="1:1" ht="20.100000000000001" customHeight="1" thickBot="1">
      <c r="A147" s="2">
        <v>8.5</v>
      </c>
    </row>
    <row r="148" spans="1:1" ht="20.100000000000001" customHeight="1" thickBot="1">
      <c r="A148" s="2">
        <v>8.75</v>
      </c>
    </row>
    <row r="149" spans="1:1" ht="20.100000000000001" customHeight="1" thickBot="1">
      <c r="A149" s="2">
        <v>9</v>
      </c>
    </row>
    <row r="150" spans="1:1" ht="20.100000000000001" customHeight="1" thickBot="1">
      <c r="A150" s="2">
        <v>9.25</v>
      </c>
    </row>
    <row r="151" spans="1:1" ht="20.100000000000001" customHeight="1" thickBot="1">
      <c r="A151" s="2">
        <v>9.5</v>
      </c>
    </row>
    <row r="152" spans="1:1" ht="20.100000000000001" customHeight="1" thickBot="1">
      <c r="A152" s="2">
        <v>9.75</v>
      </c>
    </row>
    <row r="153" spans="1:1" ht="20.100000000000001" customHeight="1" thickBot="1">
      <c r="A153" s="2">
        <v>10</v>
      </c>
    </row>
    <row r="154" spans="1:1" ht="20.100000000000001" customHeight="1" thickBot="1">
      <c r="A154" s="2">
        <v>10.25</v>
      </c>
    </row>
    <row r="155" spans="1:1" ht="20.100000000000001" customHeight="1" thickBot="1">
      <c r="A155" s="2">
        <v>10.5</v>
      </c>
    </row>
    <row r="156" spans="1:1" ht="20.100000000000001" customHeight="1" thickBot="1">
      <c r="A156" s="2">
        <v>10.75</v>
      </c>
    </row>
    <row r="157" spans="1:1" ht="20.100000000000001" customHeight="1" thickBot="1">
      <c r="A157" s="2">
        <v>11</v>
      </c>
    </row>
    <row r="158" spans="1:1" ht="20.100000000000001" customHeight="1" thickBot="1">
      <c r="A158" s="2">
        <v>11.25</v>
      </c>
    </row>
    <row r="159" spans="1:1" ht="20.100000000000001" customHeight="1" thickBot="1">
      <c r="A159" s="2">
        <v>11.5</v>
      </c>
    </row>
    <row r="160" spans="1:1" ht="20.100000000000001" customHeight="1" thickBot="1">
      <c r="A160" s="2">
        <v>11.75</v>
      </c>
    </row>
    <row r="161" spans="1:1" ht="20.100000000000001" customHeight="1" thickBot="1">
      <c r="A161" s="2">
        <v>12</v>
      </c>
    </row>
    <row r="162" spans="1:1" ht="20.100000000000001" customHeight="1" thickBot="1">
      <c r="A162" s="2">
        <v>12.25</v>
      </c>
    </row>
    <row r="163" spans="1:1" ht="20.100000000000001" customHeight="1" thickBot="1">
      <c r="A163" s="2">
        <v>12.5</v>
      </c>
    </row>
    <row r="164" spans="1:1" ht="20.100000000000001" customHeight="1" thickBot="1">
      <c r="A164" s="2">
        <v>12.75</v>
      </c>
    </row>
    <row r="165" spans="1:1" ht="20.100000000000001" customHeight="1" thickBot="1">
      <c r="A165" s="2">
        <v>13</v>
      </c>
    </row>
    <row r="166" spans="1:1" ht="20.100000000000001" customHeight="1" thickBot="1">
      <c r="A166" s="2">
        <v>13.25</v>
      </c>
    </row>
    <row r="167" spans="1:1" ht="20.100000000000001" customHeight="1" thickBot="1">
      <c r="A167" s="2">
        <v>13.5</v>
      </c>
    </row>
    <row r="168" spans="1:1" ht="20.100000000000001" customHeight="1" thickBot="1">
      <c r="A168" s="2">
        <v>13.75</v>
      </c>
    </row>
    <row r="169" spans="1:1" ht="20.100000000000001" customHeight="1" thickBot="1">
      <c r="A169" s="2">
        <v>14</v>
      </c>
    </row>
    <row r="170" spans="1:1" ht="20.100000000000001" customHeight="1" thickBot="1">
      <c r="A170" s="2">
        <v>14.25</v>
      </c>
    </row>
    <row r="171" spans="1:1" ht="20.100000000000001" customHeight="1" thickBot="1">
      <c r="A171" s="2">
        <v>14.5</v>
      </c>
    </row>
    <row r="172" spans="1:1" ht="20.100000000000001" customHeight="1" thickBot="1">
      <c r="A172" s="2">
        <v>14.75</v>
      </c>
    </row>
    <row r="173" spans="1:1" ht="20.100000000000001" customHeight="1" thickBot="1">
      <c r="A173" s="2">
        <v>15</v>
      </c>
    </row>
    <row r="174" spans="1:1" ht="20.100000000000001" customHeight="1" thickBot="1">
      <c r="A174" s="2">
        <v>15.25</v>
      </c>
    </row>
    <row r="175" spans="1:1" ht="20.100000000000001" customHeight="1" thickBot="1">
      <c r="A175" s="2">
        <v>15.5</v>
      </c>
    </row>
    <row r="176" spans="1:1" ht="20.100000000000001" customHeight="1" thickBot="1">
      <c r="A176" s="2">
        <v>15.75</v>
      </c>
    </row>
    <row r="177" spans="1:1" ht="20.100000000000001" customHeight="1" thickBot="1">
      <c r="A177" s="2">
        <v>16</v>
      </c>
    </row>
    <row r="178" spans="1:1" ht="20.100000000000001" customHeight="1" thickBot="1">
      <c r="A178" s="2">
        <v>16.25</v>
      </c>
    </row>
    <row r="179" spans="1:1" ht="20.100000000000001" customHeight="1" thickBot="1">
      <c r="A179" s="2">
        <v>16.5</v>
      </c>
    </row>
    <row r="180" spans="1:1" ht="20.100000000000001" customHeight="1" thickBot="1">
      <c r="A180" s="2">
        <v>16.75</v>
      </c>
    </row>
    <row r="181" spans="1:1" ht="20.100000000000001" customHeight="1" thickBot="1">
      <c r="A181" s="2">
        <v>17</v>
      </c>
    </row>
    <row r="182" spans="1:1" ht="20.100000000000001" customHeight="1" thickBot="1">
      <c r="A182" s="2">
        <v>17.25</v>
      </c>
    </row>
    <row r="183" spans="1:1" ht="20.100000000000001" customHeight="1" thickBot="1">
      <c r="A183" s="2">
        <v>17.5</v>
      </c>
    </row>
    <row r="184" spans="1:1" ht="20.100000000000001" customHeight="1" thickBot="1">
      <c r="A184" s="2">
        <v>17.75</v>
      </c>
    </row>
    <row r="185" spans="1:1" ht="20.100000000000001" customHeight="1" thickBot="1">
      <c r="A185" s="2">
        <v>18</v>
      </c>
    </row>
    <row r="186" spans="1:1" ht="20.100000000000001" customHeight="1" thickBot="1">
      <c r="A186" s="2">
        <v>18.25</v>
      </c>
    </row>
    <row r="187" spans="1:1" ht="20.100000000000001" customHeight="1" thickBot="1">
      <c r="A187" s="2">
        <v>18.5</v>
      </c>
    </row>
    <row r="188" spans="1:1" ht="20.100000000000001" customHeight="1" thickBot="1">
      <c r="A188" s="2">
        <v>18.75</v>
      </c>
    </row>
    <row r="189" spans="1:1" ht="20.100000000000001" customHeight="1" thickBot="1">
      <c r="A189" s="2">
        <v>19</v>
      </c>
    </row>
    <row r="190" spans="1:1" ht="20.100000000000001" customHeight="1" thickBot="1">
      <c r="A190" s="2">
        <v>19.25</v>
      </c>
    </row>
    <row r="191" spans="1:1" ht="20.100000000000001" customHeight="1" thickBot="1">
      <c r="A191" s="2">
        <v>19.5</v>
      </c>
    </row>
    <row r="192" spans="1:1" ht="20.100000000000001" customHeight="1" thickBot="1">
      <c r="A192" s="2">
        <v>19.75</v>
      </c>
    </row>
    <row r="193" spans="1:1" ht="20.100000000000001" customHeight="1" thickBot="1">
      <c r="A193" s="2">
        <v>20</v>
      </c>
    </row>
    <row r="197" spans="1:1" ht="20.100000000000001" customHeight="1" thickBot="1"/>
    <row r="198" spans="1:1" ht="20.100000000000001" customHeight="1" thickBot="1">
      <c r="A198" s="2" t="s">
        <v>59</v>
      </c>
    </row>
    <row r="199" spans="1:1" ht="20.100000000000001" customHeight="1">
      <c r="A199" s="17" t="s">
        <v>89</v>
      </c>
    </row>
    <row r="200" spans="1:1" ht="20.100000000000001" customHeight="1">
      <c r="A200" s="17" t="s">
        <v>90</v>
      </c>
    </row>
    <row r="201" spans="1:1" ht="20.100000000000001" customHeight="1">
      <c r="A201" s="17" t="s">
        <v>91</v>
      </c>
    </row>
    <row r="202" spans="1:1" ht="20.100000000000001" customHeight="1">
      <c r="A202" s="17" t="s">
        <v>92</v>
      </c>
    </row>
    <row r="203" spans="1:1" ht="20.100000000000001" customHeight="1">
      <c r="A203" s="17" t="s">
        <v>93</v>
      </c>
    </row>
    <row r="204" spans="1:1" ht="20.100000000000001" customHeight="1">
      <c r="A204" s="17" t="s">
        <v>94</v>
      </c>
    </row>
    <row r="205" spans="1:1" ht="20.100000000000001" customHeight="1">
      <c r="A205" s="17" t="s">
        <v>95</v>
      </c>
    </row>
    <row r="206" spans="1:1" ht="20.100000000000001" customHeight="1">
      <c r="A206" s="17" t="s">
        <v>96</v>
      </c>
    </row>
    <row r="207" spans="1:1" ht="20.100000000000001" customHeight="1">
      <c r="A207" s="17" t="s">
        <v>97</v>
      </c>
    </row>
    <row r="208" spans="1:1" ht="20.100000000000001" customHeight="1">
      <c r="A208" s="18" t="s">
        <v>98</v>
      </c>
    </row>
    <row r="209" spans="1:1" ht="20.100000000000001" customHeight="1">
      <c r="A209" s="18" t="s">
        <v>99</v>
      </c>
    </row>
    <row r="210" spans="1:1" ht="20.100000000000001" customHeight="1">
      <c r="A210" s="17" t="s">
        <v>100</v>
      </c>
    </row>
    <row r="211" spans="1:1" ht="20.100000000000001" customHeight="1">
      <c r="A211" s="17" t="s">
        <v>101</v>
      </c>
    </row>
    <row r="212" spans="1:1" ht="20.100000000000001" customHeight="1">
      <c r="A212" s="17" t="s">
        <v>175</v>
      </c>
    </row>
    <row r="213" spans="1:1" ht="20.100000000000001" customHeight="1">
      <c r="A213" s="17" t="s">
        <v>102</v>
      </c>
    </row>
    <row r="214" spans="1:1" ht="20.100000000000001" customHeight="1">
      <c r="A214" s="17" t="s">
        <v>103</v>
      </c>
    </row>
    <row r="215" spans="1:1" ht="20.100000000000001" customHeight="1">
      <c r="A215" s="17" t="s">
        <v>104</v>
      </c>
    </row>
    <row r="216" spans="1:1" ht="20.100000000000001" customHeight="1">
      <c r="A216" s="17" t="s">
        <v>105</v>
      </c>
    </row>
    <row r="217" spans="1:1" ht="20.100000000000001" customHeight="1">
      <c r="A217" s="17" t="s">
        <v>106</v>
      </c>
    </row>
    <row r="218" spans="1:1" ht="20.100000000000001" customHeight="1">
      <c r="A218" s="17" t="s">
        <v>107</v>
      </c>
    </row>
    <row r="219" spans="1:1" ht="20.100000000000001" customHeight="1">
      <c r="A219" s="17" t="s">
        <v>108</v>
      </c>
    </row>
    <row r="220" spans="1:1" ht="20.100000000000001" customHeight="1">
      <c r="A220" s="17" t="s">
        <v>109</v>
      </c>
    </row>
    <row r="221" spans="1:1" ht="20.100000000000001" customHeight="1">
      <c r="A221" s="17" t="s">
        <v>110</v>
      </c>
    </row>
    <row r="222" spans="1:1" ht="20.100000000000001" customHeight="1">
      <c r="A222" s="17" t="s">
        <v>111</v>
      </c>
    </row>
    <row r="223" spans="1:1" ht="20.100000000000001" customHeight="1">
      <c r="A223" s="17" t="s">
        <v>112</v>
      </c>
    </row>
    <row r="224" spans="1:1" ht="20.100000000000001" customHeight="1">
      <c r="A224" s="17" t="s">
        <v>176</v>
      </c>
    </row>
    <row r="225" spans="1:1" ht="20.100000000000001" customHeight="1">
      <c r="A225" s="17" t="s">
        <v>113</v>
      </c>
    </row>
    <row r="226" spans="1:1" ht="20.100000000000001" customHeight="1">
      <c r="A226" s="17" t="s">
        <v>114</v>
      </c>
    </row>
    <row r="227" spans="1:1" ht="20.100000000000001" customHeight="1">
      <c r="A227" s="17" t="s">
        <v>115</v>
      </c>
    </row>
    <row r="228" spans="1:1" ht="20.100000000000001" customHeight="1">
      <c r="A228" s="17" t="s">
        <v>116</v>
      </c>
    </row>
    <row r="229" spans="1:1" ht="20.100000000000001" customHeight="1">
      <c r="A229" s="17" t="s">
        <v>117</v>
      </c>
    </row>
    <row r="230" spans="1:1" ht="20.100000000000001" customHeight="1">
      <c r="A230" s="17" t="s">
        <v>118</v>
      </c>
    </row>
    <row r="231" spans="1:1" ht="20.100000000000001" customHeight="1">
      <c r="A231" s="17" t="s">
        <v>119</v>
      </c>
    </row>
    <row r="232" spans="1:1" ht="20.100000000000001" customHeight="1">
      <c r="A232" s="17" t="s">
        <v>120</v>
      </c>
    </row>
    <row r="233" spans="1:1" ht="20.100000000000001" customHeight="1">
      <c r="A233" s="17" t="s">
        <v>121</v>
      </c>
    </row>
    <row r="234" spans="1:1" ht="20.100000000000001" customHeight="1">
      <c r="A234" s="17" t="s">
        <v>122</v>
      </c>
    </row>
    <row r="235" spans="1:1" ht="20.100000000000001" customHeight="1">
      <c r="A235" s="17" t="s">
        <v>123</v>
      </c>
    </row>
    <row r="236" spans="1:1" ht="20.100000000000001" customHeight="1">
      <c r="A236" s="19" t="s">
        <v>124</v>
      </c>
    </row>
    <row r="237" spans="1:1" ht="20.100000000000001" customHeight="1">
      <c r="A237" s="17" t="s">
        <v>125</v>
      </c>
    </row>
    <row r="238" spans="1:1" ht="20.100000000000001" customHeight="1">
      <c r="A238" s="17" t="s">
        <v>126</v>
      </c>
    </row>
    <row r="239" spans="1:1" ht="20.100000000000001" customHeight="1">
      <c r="A239" s="17" t="s">
        <v>127</v>
      </c>
    </row>
    <row r="240" spans="1:1" ht="20.100000000000001" customHeight="1">
      <c r="A240" s="17" t="s">
        <v>128</v>
      </c>
    </row>
    <row r="241" spans="1:1" ht="20.100000000000001" customHeight="1">
      <c r="A241" s="17" t="s">
        <v>129</v>
      </c>
    </row>
    <row r="242" spans="1:1" ht="20.100000000000001" customHeight="1">
      <c r="A242" s="17" t="s">
        <v>130</v>
      </c>
    </row>
    <row r="243" spans="1:1" ht="20.100000000000001" customHeight="1">
      <c r="A243" s="17" t="s">
        <v>131</v>
      </c>
    </row>
    <row r="244" spans="1:1" ht="20.100000000000001" customHeight="1">
      <c r="A244" s="17" t="s">
        <v>132</v>
      </c>
    </row>
    <row r="245" spans="1:1" ht="20.100000000000001" customHeight="1">
      <c r="A245" s="17" t="s">
        <v>133</v>
      </c>
    </row>
    <row r="246" spans="1:1" ht="20.100000000000001" customHeight="1">
      <c r="A246" s="17" t="s">
        <v>134</v>
      </c>
    </row>
    <row r="247" spans="1:1" ht="20.100000000000001" customHeight="1">
      <c r="A247" s="17" t="s">
        <v>135</v>
      </c>
    </row>
    <row r="248" spans="1:1" ht="20.100000000000001" customHeight="1">
      <c r="A248" s="17" t="s">
        <v>126</v>
      </c>
    </row>
    <row r="249" spans="1:1" ht="20.100000000000001" customHeight="1">
      <c r="A249" s="17" t="s">
        <v>136</v>
      </c>
    </row>
    <row r="250" spans="1:1" ht="20.100000000000001" customHeight="1">
      <c r="A250" s="17" t="s">
        <v>137</v>
      </c>
    </row>
    <row r="251" spans="1:1" ht="20.100000000000001" customHeight="1">
      <c r="A251" s="19" t="s">
        <v>138</v>
      </c>
    </row>
    <row r="252" spans="1:1" ht="20.100000000000001" customHeight="1">
      <c r="A252" s="20" t="s">
        <v>139</v>
      </c>
    </row>
    <row r="253" spans="1:1" ht="20.100000000000001" customHeight="1">
      <c r="A253" s="17" t="s">
        <v>140</v>
      </c>
    </row>
    <row r="254" spans="1:1" ht="20.100000000000001" customHeight="1">
      <c r="A254" s="17" t="s">
        <v>141</v>
      </c>
    </row>
    <row r="255" spans="1:1" ht="20.100000000000001" customHeight="1">
      <c r="A255" s="21" t="s">
        <v>142</v>
      </c>
    </row>
    <row r="256" spans="1:1" ht="20.100000000000001" customHeight="1">
      <c r="A256" s="21" t="s">
        <v>143</v>
      </c>
    </row>
    <row r="257" spans="1:1" ht="20.100000000000001" customHeight="1">
      <c r="A257" s="22" t="s">
        <v>144</v>
      </c>
    </row>
    <row r="258" spans="1:1" ht="20.100000000000001" customHeight="1">
      <c r="A258" s="17" t="s">
        <v>145</v>
      </c>
    </row>
    <row r="259" spans="1:1" ht="20.100000000000001" customHeight="1">
      <c r="A259" s="22" t="s">
        <v>146</v>
      </c>
    </row>
    <row r="260" spans="1:1" ht="20.100000000000001" customHeight="1">
      <c r="A260" s="17" t="s">
        <v>147</v>
      </c>
    </row>
    <row r="261" spans="1:1" ht="20.100000000000001" customHeight="1">
      <c r="A261" s="22" t="s">
        <v>148</v>
      </c>
    </row>
    <row r="262" spans="1:1" ht="20.100000000000001" customHeight="1">
      <c r="A262" s="17" t="s">
        <v>149</v>
      </c>
    </row>
    <row r="263" spans="1:1" ht="20.100000000000001" customHeight="1">
      <c r="A263" s="17" t="s">
        <v>150</v>
      </c>
    </row>
    <row r="264" spans="1:1" ht="20.100000000000001" customHeight="1">
      <c r="A264" s="22" t="s">
        <v>151</v>
      </c>
    </row>
    <row r="265" spans="1:1" ht="20.100000000000001" customHeight="1">
      <c r="A265" s="22" t="s">
        <v>152</v>
      </c>
    </row>
    <row r="266" spans="1:1" ht="20.100000000000001" customHeight="1">
      <c r="A266" s="22" t="s">
        <v>153</v>
      </c>
    </row>
    <row r="267" spans="1:1" ht="20.100000000000001" customHeight="1">
      <c r="A267" s="17" t="s">
        <v>154</v>
      </c>
    </row>
    <row r="268" spans="1:1" ht="20.100000000000001" customHeight="1">
      <c r="A268" s="17" t="s">
        <v>155</v>
      </c>
    </row>
    <row r="269" spans="1:1" ht="20.100000000000001" customHeight="1">
      <c r="A269" s="17" t="s">
        <v>156</v>
      </c>
    </row>
    <row r="270" spans="1:1" ht="20.100000000000001" customHeight="1">
      <c r="A270" s="17" t="s">
        <v>157</v>
      </c>
    </row>
    <row r="271" spans="1:1" ht="20.100000000000001" customHeight="1">
      <c r="A271" s="22" t="s">
        <v>158</v>
      </c>
    </row>
    <row r="272" spans="1:1" ht="20.100000000000001" customHeight="1">
      <c r="A272" s="22" t="s">
        <v>159</v>
      </c>
    </row>
    <row r="273" spans="1:1" ht="20.100000000000001" customHeight="1">
      <c r="A273" s="17" t="s">
        <v>160</v>
      </c>
    </row>
    <row r="274" spans="1:1" ht="20.100000000000001" customHeight="1">
      <c r="A274" s="22" t="s">
        <v>161</v>
      </c>
    </row>
    <row r="275" spans="1:1" ht="20.100000000000001" customHeight="1">
      <c r="A275" s="22" t="s">
        <v>162</v>
      </c>
    </row>
    <row r="276" spans="1:1" ht="20.100000000000001" customHeight="1">
      <c r="A276" s="17" t="s">
        <v>163</v>
      </c>
    </row>
    <row r="277" spans="1:1" ht="20.100000000000001" customHeight="1">
      <c r="A277" s="17" t="s">
        <v>164</v>
      </c>
    </row>
    <row r="278" spans="1:1" ht="20.100000000000001" customHeight="1">
      <c r="A278" s="22" t="s">
        <v>165</v>
      </c>
    </row>
    <row r="279" spans="1:1" ht="20.100000000000001" customHeight="1">
      <c r="A279" s="17" t="s">
        <v>166</v>
      </c>
    </row>
    <row r="280" spans="1:1" ht="20.100000000000001" customHeight="1">
      <c r="A280" s="17" t="s">
        <v>167</v>
      </c>
    </row>
    <row r="281" spans="1:1" ht="20.100000000000001" customHeight="1">
      <c r="A281" s="17" t="s">
        <v>168</v>
      </c>
    </row>
    <row r="282" spans="1:1" ht="20.100000000000001" customHeight="1">
      <c r="A282" s="17" t="s">
        <v>169</v>
      </c>
    </row>
    <row r="283" spans="1:1" ht="20.100000000000001" customHeight="1">
      <c r="A283" s="22" t="s">
        <v>170</v>
      </c>
    </row>
    <row r="284" spans="1:1" ht="20.100000000000001" customHeight="1">
      <c r="A284" s="22" t="s">
        <v>171</v>
      </c>
    </row>
    <row r="285" spans="1:1" ht="20.100000000000001" customHeight="1">
      <c r="A285" s="22" t="s">
        <v>172</v>
      </c>
    </row>
    <row r="286" spans="1:1" ht="20.100000000000001" customHeight="1" thickBot="1">
      <c r="A286" s="17" t="s">
        <v>173</v>
      </c>
    </row>
    <row r="287" spans="1:1" ht="20.100000000000001" customHeight="1" thickBot="1">
      <c r="A287" s="2" t="s">
        <v>58</v>
      </c>
    </row>
    <row r="288" spans="1:1" ht="20.100000000000001" customHeight="1" thickBot="1">
      <c r="A288" s="2" t="s">
        <v>58</v>
      </c>
    </row>
    <row r="289" spans="1:1" ht="20.100000000000001" customHeight="1" thickBot="1">
      <c r="A289" s="2" t="s">
        <v>58</v>
      </c>
    </row>
    <row r="290" spans="1:1" ht="20.100000000000001" customHeight="1" thickBot="1">
      <c r="A290" s="2" t="s">
        <v>58</v>
      </c>
    </row>
    <row r="291" spans="1:1" ht="20.100000000000001" customHeight="1" thickBot="1">
      <c r="A291" s="2" t="s">
        <v>58</v>
      </c>
    </row>
    <row r="292" spans="1:1" ht="20.100000000000001" customHeight="1" thickBot="1">
      <c r="A292" s="2" t="s">
        <v>58</v>
      </c>
    </row>
    <row r="293" spans="1:1" ht="20.100000000000001" customHeight="1" thickBot="1">
      <c r="A293" s="2" t="s">
        <v>58</v>
      </c>
    </row>
    <row r="294" spans="1:1" ht="20.100000000000001" customHeight="1" thickBot="1">
      <c r="A294" s="2" t="s">
        <v>58</v>
      </c>
    </row>
    <row r="295" spans="1:1" ht="20.100000000000001" customHeight="1" thickBot="1">
      <c r="A295" s="2" t="s">
        <v>58</v>
      </c>
    </row>
    <row r="296" spans="1:1" ht="20.100000000000001" customHeight="1" thickBot="1">
      <c r="A296" s="2" t="s">
        <v>58</v>
      </c>
    </row>
    <row r="297" spans="1:1" ht="20.100000000000001" customHeight="1" thickBot="1">
      <c r="A297" s="2" t="s">
        <v>58</v>
      </c>
    </row>
    <row r="298" spans="1:1" ht="20.100000000000001" customHeight="1" thickBot="1">
      <c r="A298" s="2" t="s">
        <v>58</v>
      </c>
    </row>
    <row r="299" spans="1:1" ht="20.100000000000001" customHeight="1" thickBot="1">
      <c r="A299" s="2" t="s">
        <v>58</v>
      </c>
    </row>
    <row r="300" spans="1:1" ht="20.100000000000001" customHeight="1" thickBot="1">
      <c r="A300" s="2" t="s">
        <v>58</v>
      </c>
    </row>
    <row r="301" spans="1:1" ht="20.100000000000001" customHeight="1" thickBot="1">
      <c r="A301" s="2" t="s">
        <v>58</v>
      </c>
    </row>
    <row r="302" spans="1:1" ht="20.100000000000001" customHeight="1" thickBot="1">
      <c r="A302" s="2" t="s">
        <v>58</v>
      </c>
    </row>
    <row r="303" spans="1:1" ht="20.100000000000001" customHeight="1" thickBot="1">
      <c r="A303" s="2" t="s">
        <v>58</v>
      </c>
    </row>
    <row r="304" spans="1:1" ht="20.100000000000001" customHeight="1" thickBot="1">
      <c r="A304" s="2" t="s">
        <v>58</v>
      </c>
    </row>
    <row r="305" spans="1:1" ht="20.100000000000001" customHeight="1" thickBot="1">
      <c r="A305" s="2" t="s">
        <v>58</v>
      </c>
    </row>
    <row r="306" spans="1:1" ht="20.100000000000001" customHeight="1" thickBot="1">
      <c r="A306" s="2" t="s">
        <v>58</v>
      </c>
    </row>
    <row r="307" spans="1:1" ht="20.100000000000001" customHeight="1" thickBot="1">
      <c r="A307" s="2" t="s">
        <v>58</v>
      </c>
    </row>
    <row r="308" spans="1:1" ht="20.100000000000001" customHeight="1" thickBot="1">
      <c r="A308" s="2" t="s">
        <v>58</v>
      </c>
    </row>
    <row r="309" spans="1:1" ht="20.100000000000001" customHeight="1" thickBot="1">
      <c r="A309" s="2" t="s">
        <v>58</v>
      </c>
    </row>
    <row r="310" spans="1:1" ht="20.100000000000001" customHeight="1" thickBot="1">
      <c r="A310" s="2" t="s">
        <v>58</v>
      </c>
    </row>
    <row r="311" spans="1:1" ht="20.100000000000001" customHeight="1" thickBot="1">
      <c r="A311" s="2" t="s">
        <v>58</v>
      </c>
    </row>
    <row r="312" spans="1:1" ht="20.100000000000001" customHeight="1" thickBot="1">
      <c r="A312" s="2" t="s">
        <v>58</v>
      </c>
    </row>
    <row r="313" spans="1:1" ht="20.100000000000001" customHeight="1" thickBot="1">
      <c r="A313" s="2" t="s">
        <v>58</v>
      </c>
    </row>
    <row r="314" spans="1:1" ht="20.100000000000001" customHeight="1" thickBot="1">
      <c r="A314" s="2" t="s">
        <v>58</v>
      </c>
    </row>
    <row r="315" spans="1:1" ht="20.100000000000001" customHeight="1" thickBot="1">
      <c r="A315" s="2" t="s">
        <v>58</v>
      </c>
    </row>
    <row r="316" spans="1:1" ht="20.100000000000001" customHeight="1" thickBot="1">
      <c r="A316" s="2" t="s">
        <v>58</v>
      </c>
    </row>
    <row r="317" spans="1:1" ht="20.100000000000001" customHeight="1" thickBot="1">
      <c r="A317" s="2" t="s">
        <v>58</v>
      </c>
    </row>
    <row r="318" spans="1:1" ht="20.100000000000001" customHeight="1" thickBot="1">
      <c r="A318" s="2" t="s">
        <v>58</v>
      </c>
    </row>
    <row r="319" spans="1:1" ht="20.100000000000001" customHeight="1" thickBot="1">
      <c r="A319" s="2" t="s">
        <v>58</v>
      </c>
    </row>
    <row r="320" spans="1:1" ht="20.100000000000001" customHeight="1" thickBot="1">
      <c r="A320" s="2" t="s">
        <v>58</v>
      </c>
    </row>
    <row r="321" spans="1:1" ht="20.100000000000001" customHeight="1" thickBot="1">
      <c r="A321" s="2" t="s">
        <v>58</v>
      </c>
    </row>
    <row r="322" spans="1:1" ht="20.100000000000001" customHeight="1" thickBot="1">
      <c r="A322" s="2" t="s">
        <v>58</v>
      </c>
    </row>
    <row r="323" spans="1:1" ht="20.100000000000001" customHeight="1" thickBot="1">
      <c r="A323" s="2" t="s">
        <v>58</v>
      </c>
    </row>
    <row r="324" spans="1:1" ht="20.100000000000001" customHeight="1" thickBot="1">
      <c r="A324" s="2" t="s">
        <v>58</v>
      </c>
    </row>
    <row r="325" spans="1:1" ht="20.100000000000001" customHeight="1" thickBot="1">
      <c r="A325" s="2" t="s">
        <v>58</v>
      </c>
    </row>
    <row r="326" spans="1:1" ht="20.100000000000001" customHeight="1" thickBot="1">
      <c r="A326" s="2" t="s">
        <v>58</v>
      </c>
    </row>
    <row r="327" spans="1:1" ht="20.100000000000001" customHeight="1" thickBot="1">
      <c r="A327" s="2" t="s">
        <v>58</v>
      </c>
    </row>
    <row r="328" spans="1:1" ht="20.100000000000001" customHeight="1" thickBot="1">
      <c r="A328" s="2" t="s">
        <v>58</v>
      </c>
    </row>
    <row r="329" spans="1:1" ht="20.100000000000001" customHeight="1" thickBot="1">
      <c r="A329" s="2" t="s">
        <v>58</v>
      </c>
    </row>
    <row r="330" spans="1:1" ht="20.100000000000001" customHeight="1" thickBot="1">
      <c r="A330" s="2" t="s">
        <v>58</v>
      </c>
    </row>
    <row r="331" spans="1:1" ht="20.100000000000001" customHeight="1" thickBot="1">
      <c r="A331" s="2" t="s">
        <v>58</v>
      </c>
    </row>
    <row r="332" spans="1:1" ht="20.100000000000001" customHeight="1" thickBot="1">
      <c r="A332" s="2" t="s">
        <v>58</v>
      </c>
    </row>
    <row r="333" spans="1:1" ht="20.100000000000001" customHeight="1" thickBot="1">
      <c r="A333" s="2" t="s">
        <v>58</v>
      </c>
    </row>
    <row r="334" spans="1:1" ht="20.100000000000001" customHeight="1" thickBot="1">
      <c r="A334" s="2" t="s">
        <v>58</v>
      </c>
    </row>
    <row r="335" spans="1:1" ht="20.100000000000001" customHeight="1" thickBot="1">
      <c r="A335" s="2" t="s">
        <v>58</v>
      </c>
    </row>
    <row r="336" spans="1:1" ht="20.100000000000001" customHeight="1" thickBot="1">
      <c r="A336" s="2" t="s">
        <v>58</v>
      </c>
    </row>
    <row r="337" spans="1:1" ht="20.100000000000001" customHeight="1" thickBot="1">
      <c r="A337" s="2" t="s">
        <v>58</v>
      </c>
    </row>
    <row r="338" spans="1:1" ht="20.100000000000001" customHeight="1" thickBot="1">
      <c r="A338"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2025-10-21T09:27:53Z</dcterms:modified>
</cp:coreProperties>
</file>