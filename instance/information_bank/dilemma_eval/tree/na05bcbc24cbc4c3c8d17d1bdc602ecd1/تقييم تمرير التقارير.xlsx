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F0BDA497-B4C1-A940-9566-8AE26C692A3E}"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<sst xmlns="http://schemas.openxmlformats.org/spreadsheetml/2006/main" count="258" uniqueCount="202">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</sst>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6</xdr:col>
      <xdr:colOff>311628</xdr:colOff>
      <xdr:row>35</xdr:row>
      <xdr:rowOff>464105</xdr:rowOff>
    </xdr:from>
    <xdr:to>
      <xdr:col>8</xdr:col>
      <xdr:colOff>141327</xdr:colOff>
      <xdr:row>36</xdr:row>
      <xdr:rowOff>644015</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A33E5CEC-6E40-0D25-BBC1-FFF3FC797359}"/>
                </a:ext>
              </a:extLst>
            </xdr14:cNvPr>
            <xdr14:cNvContentPartPr/>
          </xdr14:nvContentPartPr>
          <xdr14:nvPr macro=""/>
          <xdr14:xfrm>
            <a:off x="10399103582" y="18232560"/>
            <a:ext cx="1145880" cy="711000"/>
          </xdr14:xfrm>
        </xdr:contentPart>
      </mc:Choice>
      <mc:Fallback>
        <xdr:pic>
          <xdr:nvPicPr>
            <xdr:cNvPr id="2" name="Ink 1">
              <a:extLst>
                <a:ext uri="{FF2B5EF4-FFF2-40B4-BE49-F238E27FC236}">
                  <a16:creationId xmlns:a16="http://schemas.microsoft.com/office/drawing/2014/main" id="{A33E5CEC-6E40-0D25-BBC1-FFF3FC797359}"/>
                </a:ext>
              </a:extLst>
            </xdr:cNvPr>
            <xdr:cNvPicPr/>
          </xdr:nvPicPr>
          <xdr:blipFill>
            <a:blip xmlns:r="http://schemas.openxmlformats.org/officeDocument/2006/relationships" r:embed="rId2"/>
            <a:stretch>
              <a:fillRect/>
            </a:stretch>
          </xdr:blipFill>
          <xdr:spPr>
            <a:xfrm>
              <a:off x="10399097462" y="18226440"/>
              <a:ext cx="1158120" cy="7232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8:27:50.334"/>
    </inkml:context>
    <inkml:brush xml:id="br0">
      <inkml:brushProperty name="width" value="0.035" units="cm"/>
      <inkml:brushProperty name="height" value="0.035" units="cm"/>
    </inkml:brush>
  </inkml:definitions>
  <inkml:trace contextRef="#ctx0" brushRef="#br0">3010 1038 11802,'0'0'0,"-5"-1"2000,5 1-2000,-3-3 793,-9 0-377,12 2-144,-2-2-72,2 3-200,0-2 104,-2 1 0,2 1-48,0 0-32,0 0-24,-3 0 96,1 0-8,-1 4-40,1 8-48,2-12 0,-5 4-88,-12 14-8,8 2 48,-6 5 8,15-25 40,-24 28-104,3 5 32,-6 4 16,1 1-8,26-38 64,-32 43 8,1 1 8,0 0 16,-5-3 32,36-41-64,-29 37 112,0-4 56,3-5 0,2-2 8,24-26-176,-22 22 216,3-2-48,2-4 64,2-3-40,15-13-192,-14 4 160,7 0 32,-8 1 16,15-3-48,0-2-160,-2 0 160,-1-1-128,1-5-112,2-7-32,0 13 112,0-11-152,5-3-32,-3-5 56,10-3 32,-12 22 96,5-26-88,14-1 16,-7 0 24,0 1 16,-12 26 32,12-22-48,-9 3 40,14 6-16,-13 9-40,-4 4 64,0-4-40,0 2 56,0 2 40,0 0 72,0 0-128,0 5 144,-4 9-24,-11-10-40,3 18-8,12-22-72,-17 17 8,-4 4-16,1 2 48,-4 1 8,24-24-48,-21 24 64,-6-3-8,3 1-24,0-5 16,24-17-48,-21 15 16,1-2 40,6-9-32,2 8-80,12-12 56,-3 0 8,-4 3-32,5-3-32,-3 0-48,5 0 104,-2 0-248,2-2-168,0-1-96,0-1-32,0 4 544,0-4-552,0 0 88,4-1 112,-1 0 104,-3 5 248,2-5-129,3 3 105,-5-1 32,0 1 105,0 2-113,0-1 200,0 1 88,-2 0 104,-1 3 8,3-3-400,-2 3 376,-5-1-88,-5 3-120,7 7-136,5-12-32,-19 5 48,4 13-48,-2-4 48,-4 3-16,21-17-32,-20 17 24,-4 1 56,3-1 0,-3-2 136,24-15-216,-22 16 232,0-3 32,3-9 88,2 9 24,17-13-376,-12 0 464,0 0-15,10 0-17,-3-5-152,5 5-280,-5-15 96,3-4-8,2-6-136,0-15-16,0 40 64,12-50 0,0-11-32,7-9-48,8-8 96,-27 78-16,31-86-128,2-10 104,6-5 24,-3-2-8,-36 103 8,43-103 24,1 2-96,-3 9 48,-1 7 8,-40 85 16,39-79 24,-8 15-8,0 12-32,-4 9 16,-27 43 0,14-30 16,1 10 16,-10 8-8,-1 9 40,-4 3-64,3-2 40,-3 2 48,-3 5-80,-9 12-32,12-17 24,-12 20-64,-7 12-32,-7 15 56,-8 13-16,34-60 56,-36 70 0,-5 8-88,-2 4 64,-1 2 72,44-84-48,-48 85 8,0-1 104,-2-1 40,-3-1-56,53-82-96,-51 80 272,3-3-16,-5-2 32,5-3 32,48-72-320,-53 70 216,5-9 24,7-7-32,0-8-48,41-46-160,-33 35 144,4-8-56,5-5-8,7-8 0,17-14-80,-15 4 64,11 0-40,1-4-8,-2 0-120,5 0 104,-2-1-280,2-3 104,0-11-256,2 1 112,-2 14 320,15-20-136,-3-2-128,0-6 168,2-1-16,-14 29 112,15-33-112,4 2 48,-5-1-48,1 4 80,-15 28 32,17-26-88,0 4 24,-3 0 24,3 7-96,-17 15 136,12-15-144,-7 11-120,7-1 112,-12 0 16,0 5 136,0-1-88,0 1 176,0 0-64,0 0 16,0 0-40,-5 3 8,0 1-80,-5 0-40,6 0 31,4-4 81,-15 5-72,1 8 72,-1-11 8,1 10-32,14-12 24,-15 3 72,3 1-104,8 0 80,-11-1 57,15-3-105,-5 3 64,-7-3 32,10 3 16,-3-3 8,5 0-120,-5 0 24,1 0 112,1 2-112,-2-2-8,5 0-16,0 0-24,-2 0-40,2 3-120,-5 0 112,5-3 72,-5 3-16,3 1-56,-10 12 160,5-2-32,7-14-56,-17 20 16,0 1 8,0 4 24,-5-3-64,22-22 16,-16 22 88,-6-4-88,8-2 136,-6-2 64,20-14-200,-14 11 64,-3-6 280,3 7-96,2-9 32,12-3-280,-5 3 400,-7 0-184,7-3-48,0 0 64,5 0-232,-5 0 216,1 0 8,1 0 16,1-3-32,2 3-208,0-4 120,0-8-120,-5 7 64,2-12-112,3 17 48,-2-22 0,2-6-40,0-6-16,5-9 56,-5 43 0,14-48 144,1-6-64,4-9-40,3-6-48,-22 69 8,26-79 8,3-4 72,7-7 16,0-5-56,-36 95-40,36-98-144,5-3 112,-2-4 72,1-1-80,-40 106 40,37-105-64,-1 1 88,0 3-24,0 10 72,-36 91-72,26-76 80,1 19-72,-10 20-96,-15 18 152,-2 19-64,7-2 240,-7 2-104,-2 2-16,-13 17-104,15-19-16,-14 28 0,-10 19-24,-7 21 24,-6 21-72,37-89 72,-43 103-120,-3 17-16,1 12 40,-6 10 48,51-142 48,-57 145-152,-4-3 112,-1-7 56,-5-10-32,67-125 16,-63 110 40,3-11 40,0-13-120,2-12 136,58-74-96,-53 65 56,-2-10 128,4-8 64,8-7 49,43-40-297,-41 34 464,7-7-312,6-7-32,6-6-88,22-14-32,-15 3 56,8 0 0,2-3-48,1-1-112,4 1 104,0-13-360,0-3 96,4-8-32,8-9 95,-12 33 201,12-38-152,10-5 16,-3 1 40,5-1 8,-24 43 88,24-41-96,1 0 16,-1 2 64,-3 5-8,-21 34 24,22-30-24,-5 6-16,-3 4-56,1 5 32,-15 15 64,9-12-24,-4 8 8,-3-2 40,1 2-8,-3 4-16,5-1 24,-5-1 48,0 1 16,-3 1 8,3 0-96,-5 0 80,3 0-56,-10 0-8,7 3-32,5-3 16,-19 2-24,2 3-8,-2 6 24,-5-8 8,24-3 0,-29 14 24,-2-10 16,-1 15-24,-1-6 32,33-13-48,-39 14 56,3 0 24,-2 2 16,-8-1-32,46-15-64,-46 19 120,1-1-120,-4 4 48,1-3 33,48-19-81,-50 19 24,2 1 56,2-2 0,0 1 16,46-19-96,-41 18 96,3-1 32,-1-1 16,6-2-88,33-14-56,-27 13 96,1 0-40,7-9-56,2 10 32,17-14-32,-3 5-56,-1-1-80,4 7-72,4-7-8,-4-4 216,24 15-168,3-3 31,11 3 97,18-1 137,-56-14-97,69 4 24,18-4 104,21-4 32,15-22-40,-123 26-120,137-35 192,15-12-80,11-10-16,15-8-120,-178 65 24,190-71-32,0-5 120,-5-5-24,3-1 48,-188 82-112,178-88 152,-2-3-56,-10-2-24,-17-2 24,-149 95-96,132-94 40,-9 0-96,-15 3-24,-22 6-8,-86 85 88,70-75-152,-24 9 88,-20 14 128,-23 9 136,-3 43-200,0-34 344,-24 6 40,-20 5-176,-18 1-64,62 22-144,-79-14-160,-20 9 376,-14 2 40,-22 6-168,135-3-88,-154 21 488,-17 9-472,-11 11 112,-8 10 312,190-51-440,-207 63 248,-5 12 72,-4 10-39,-1 6-129,217-91-152,-195 90 72,22-11 32,29-10 64,28-12-232,116-57 64,-84 44-40,26-10-352,27-7-721,22-7-367,9-20 1480,0 15-2128,16-1-577,18-1-392,9-10-744,-43-3 3841,56 4-7849,-56-4 7849</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D25" zoomScale="130" zoomScaleNormal="100" zoomScaleSheetLayoutView="130" workbookViewId="0">
      <selection activeCell="G36" sqref="G36:J36"/>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60" t="s">
        <v>201</v>
      </c>
      <c r="C1" s="60"/>
      <c r="D1" s="60"/>
      <c r="E1" s="60"/>
      <c r="F1" s="60"/>
      <c r="G1" s="60"/>
      <c r="H1" s="60"/>
      <c r="I1" s="60"/>
      <c r="J1" s="60"/>
    </row>
    <row r="2" spans="1:10" ht="30" customHeight="1" x14ac:dyDescent="0.2">
      <c r="B2" s="13" t="s">
        <v>8</v>
      </c>
      <c r="C2" s="66" t="s">
        <v>39</v>
      </c>
      <c r="D2" s="66"/>
      <c r="E2" s="13" t="s">
        <v>7</v>
      </c>
      <c r="F2" s="61">
        <v>45957</v>
      </c>
      <c r="G2" s="61"/>
      <c r="H2" s="61"/>
      <c r="I2" s="61"/>
      <c r="J2" s="61"/>
    </row>
    <row r="3" spans="1:10" ht="30" customHeight="1" x14ac:dyDescent="0.2">
      <c r="B3" s="13" t="s">
        <v>9</v>
      </c>
      <c r="C3" s="66" t="s">
        <v>80</v>
      </c>
      <c r="D3" s="66"/>
      <c r="E3" s="13" t="s">
        <v>6</v>
      </c>
      <c r="F3" s="66" t="s">
        <v>142</v>
      </c>
      <c r="G3" s="66"/>
      <c r="H3" s="66"/>
      <c r="I3" s="66"/>
      <c r="J3" s="66"/>
    </row>
    <row r="4" spans="1:10" ht="30" customHeight="1" thickBot="1" x14ac:dyDescent="0.25">
      <c r="B4" s="6"/>
      <c r="C4" s="7"/>
      <c r="D4" s="7"/>
      <c r="E4" s="6"/>
      <c r="F4" s="7"/>
      <c r="G4" s="7"/>
      <c r="H4" s="8"/>
      <c r="I4" s="7"/>
      <c r="J4" s="7"/>
    </row>
    <row r="5" spans="1:10" ht="24.95" customHeight="1" x14ac:dyDescent="0.2">
      <c r="A5" s="11"/>
      <c r="B5" s="62" t="s">
        <v>0</v>
      </c>
      <c r="C5" s="63"/>
      <c r="D5" s="63"/>
      <c r="E5" s="71" t="s">
        <v>1</v>
      </c>
      <c r="F5" s="71"/>
      <c r="G5" s="71"/>
      <c r="H5" s="71"/>
      <c r="I5" s="71" t="s">
        <v>2</v>
      </c>
      <c r="J5" s="72"/>
    </row>
    <row r="6" spans="1:10" ht="24.95" customHeight="1" thickBot="1" x14ac:dyDescent="0.25">
      <c r="A6" s="11"/>
      <c r="B6" s="64"/>
      <c r="C6" s="65"/>
      <c r="D6" s="65"/>
      <c r="E6" s="12" t="s">
        <v>3</v>
      </c>
      <c r="F6" s="12" t="s">
        <v>4</v>
      </c>
      <c r="G6" s="12" t="s">
        <v>23</v>
      </c>
      <c r="H6" s="12" t="s">
        <v>24</v>
      </c>
      <c r="I6" s="73"/>
      <c r="J6" s="74"/>
    </row>
    <row r="7" spans="1:10" ht="24.95" customHeight="1" thickBot="1" x14ac:dyDescent="0.25">
      <c r="A7" s="11"/>
      <c r="B7" s="69" t="s">
        <v>21</v>
      </c>
      <c r="C7" s="70"/>
      <c r="D7" s="70"/>
      <c r="E7" s="30" t="s">
        <v>18</v>
      </c>
      <c r="F7" s="30" t="s">
        <v>19</v>
      </c>
      <c r="G7" s="30" t="s">
        <v>22</v>
      </c>
      <c r="H7" s="30" t="s">
        <v>20</v>
      </c>
      <c r="I7" s="50" t="s">
        <v>25</v>
      </c>
      <c r="J7" s="51"/>
    </row>
    <row r="8" spans="1:10" ht="39.950000000000003" customHeight="1" thickBot="1" x14ac:dyDescent="0.25">
      <c r="A8" s="11"/>
      <c r="B8" s="89" t="s">
        <v>195</v>
      </c>
      <c r="C8" s="90"/>
      <c r="D8" s="90"/>
      <c r="E8" s="10">
        <v>5</v>
      </c>
      <c r="F8" s="41">
        <v>3.75</v>
      </c>
      <c r="G8" s="42">
        <f>IFERROR(F8/E8,"")</f>
        <v>0.75</v>
      </c>
      <c r="H8" s="28" t="str">
        <f>_xlfn.IFS(F8="أدخل العلامة","",F8="لا ينطبق","تم الإلغاء",G8&gt;=90%,"ممتاز",G8&gt;=80%,"جيد جداً",G8&gt;=70%,"جيد",G8&gt;=60%,"مقبول",G8&lt;60%,"راسب")</f>
        <v>جيد</v>
      </c>
      <c r="I8" s="48"/>
      <c r="J8" s="49"/>
    </row>
    <row r="9" spans="1:10" ht="39.950000000000003" customHeight="1" thickBot="1" x14ac:dyDescent="0.25">
      <c r="A9" s="11"/>
      <c r="B9" s="91" t="s">
        <v>196</v>
      </c>
      <c r="C9" s="92"/>
      <c r="D9" s="92"/>
      <c r="E9" s="10">
        <v>5</v>
      </c>
      <c r="F9" s="41">
        <v>3.5</v>
      </c>
      <c r="G9" s="42">
        <f>IFERROR(F9/E9,"")</f>
        <v>0.7</v>
      </c>
      <c r="H9" s="28" t="str">
        <f>_xlfn.IFS(F9="أدخل العلامة","",F9="لا ينطبق","تم الإلغاء",G9&gt;=90%,"ممتاز",G9&gt;=80%,"جيد جداً",G9&gt;=70%,"جيد",G9&gt;=60%,"مقبول",G9&lt;60%,"راسب")</f>
        <v>جيد</v>
      </c>
      <c r="I9" s="48"/>
      <c r="J9" s="49"/>
    </row>
    <row r="10" spans="1:10" ht="39.950000000000003" customHeight="1" thickBot="1" x14ac:dyDescent="0.25">
      <c r="A10" s="11"/>
      <c r="B10" s="91" t="s">
        <v>197</v>
      </c>
      <c r="C10" s="92"/>
      <c r="D10" s="9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48"/>
      <c r="J10" s="49"/>
    </row>
    <row r="11" spans="1:10" ht="39.950000000000003" customHeight="1" x14ac:dyDescent="0.2">
      <c r="A11" s="11"/>
      <c r="B11" s="93" t="s">
        <v>198</v>
      </c>
      <c r="C11" s="94"/>
      <c r="D11" s="94"/>
      <c r="E11" s="40"/>
      <c r="F11" s="34"/>
      <c r="G11" s="35"/>
      <c r="H11" s="36"/>
      <c r="I11" s="79"/>
      <c r="J11" s="80"/>
    </row>
    <row r="12" spans="1:10" ht="39.950000000000003" customHeight="1" x14ac:dyDescent="0.2">
      <c r="A12" s="11"/>
      <c r="B12" s="83" t="s">
        <v>176</v>
      </c>
      <c r="C12" s="84"/>
      <c r="D12" s="84"/>
      <c r="E12" s="9">
        <v>5</v>
      </c>
      <c r="F12" s="27">
        <v>3.75</v>
      </c>
      <c r="G12" s="32">
        <f t="shared" si="0"/>
        <v>0.75</v>
      </c>
      <c r="H12" s="33" t="str">
        <f t="shared" si="1"/>
        <v>جيد</v>
      </c>
      <c r="I12" s="52"/>
      <c r="J12" s="53"/>
    </row>
    <row r="13" spans="1:10" ht="54.95" customHeight="1" x14ac:dyDescent="0.2">
      <c r="A13" s="11"/>
      <c r="B13" s="83" t="s">
        <v>177</v>
      </c>
      <c r="C13" s="84"/>
      <c r="D13" s="84"/>
      <c r="E13" s="9">
        <v>5</v>
      </c>
      <c r="F13" s="27">
        <v>3.75</v>
      </c>
      <c r="G13" s="32">
        <f t="shared" si="0"/>
        <v>0.75</v>
      </c>
      <c r="H13" s="33" t="str">
        <f t="shared" si="1"/>
        <v>جيد</v>
      </c>
      <c r="I13" s="52"/>
      <c r="J13" s="53"/>
    </row>
    <row r="14" spans="1:10" ht="71.25" customHeight="1" x14ac:dyDescent="0.2">
      <c r="A14" s="11"/>
      <c r="B14" s="83" t="s">
        <v>178</v>
      </c>
      <c r="C14" s="84"/>
      <c r="D14" s="84"/>
      <c r="E14" s="9">
        <v>5</v>
      </c>
      <c r="F14" s="27">
        <v>3.75</v>
      </c>
      <c r="G14" s="32">
        <f t="shared" si="0"/>
        <v>0.75</v>
      </c>
      <c r="H14" s="33" t="str">
        <f t="shared" si="1"/>
        <v>جيد</v>
      </c>
      <c r="I14" s="52"/>
      <c r="J14" s="53"/>
    </row>
    <row r="15" spans="1:10" ht="39.950000000000003" customHeight="1" x14ac:dyDescent="0.2">
      <c r="A15" s="11"/>
      <c r="B15" s="83" t="s">
        <v>179</v>
      </c>
      <c r="C15" s="84"/>
      <c r="D15" s="84"/>
      <c r="E15" s="9">
        <v>5</v>
      </c>
      <c r="F15" s="27">
        <v>3.5</v>
      </c>
      <c r="G15" s="32">
        <f t="shared" si="0"/>
        <v>0.7</v>
      </c>
      <c r="H15" s="33" t="str">
        <f t="shared" si="1"/>
        <v>جيد</v>
      </c>
      <c r="I15" s="52"/>
      <c r="J15" s="53"/>
    </row>
    <row r="16" spans="1:10" ht="68.25" customHeight="1" x14ac:dyDescent="0.2">
      <c r="A16" s="11"/>
      <c r="B16" s="83" t="s">
        <v>180</v>
      </c>
      <c r="C16" s="84"/>
      <c r="D16" s="84"/>
      <c r="E16" s="9">
        <v>5</v>
      </c>
      <c r="F16" s="27">
        <v>3.75</v>
      </c>
      <c r="G16" s="32">
        <f t="shared" si="0"/>
        <v>0.75</v>
      </c>
      <c r="H16" s="33" t="str">
        <f t="shared" si="1"/>
        <v>جيد</v>
      </c>
      <c r="I16" s="52"/>
      <c r="J16" s="53"/>
    </row>
    <row r="17" spans="1:10" ht="65.099999999999994" customHeight="1" thickBot="1" x14ac:dyDescent="0.25">
      <c r="A17" s="11"/>
      <c r="B17" s="85" t="s">
        <v>181</v>
      </c>
      <c r="C17" s="86"/>
      <c r="D17" s="86"/>
      <c r="E17" s="37">
        <v>5</v>
      </c>
      <c r="F17" s="29">
        <v>3.75</v>
      </c>
      <c r="G17" s="38">
        <f t="shared" si="0"/>
        <v>0.75</v>
      </c>
      <c r="H17" s="39" t="str">
        <f t="shared" si="1"/>
        <v>جيد</v>
      </c>
      <c r="I17" s="81"/>
      <c r="J17" s="82"/>
    </row>
    <row r="18" spans="1:10" ht="39.950000000000003" customHeight="1" x14ac:dyDescent="0.2">
      <c r="A18" s="11"/>
      <c r="B18" s="87" t="s">
        <v>199</v>
      </c>
      <c r="C18" s="88"/>
      <c r="D18" s="88"/>
      <c r="E18" s="40"/>
      <c r="F18" s="34"/>
      <c r="G18" s="35"/>
      <c r="H18" s="36"/>
      <c r="I18" s="79"/>
      <c r="J18" s="80"/>
    </row>
    <row r="19" spans="1:10" ht="39.950000000000003" customHeight="1" x14ac:dyDescent="0.2">
      <c r="A19" s="11"/>
      <c r="B19" s="83" t="s">
        <v>182</v>
      </c>
      <c r="C19" s="84"/>
      <c r="D19" s="84"/>
      <c r="E19" s="9">
        <v>5</v>
      </c>
      <c r="F19" s="27">
        <v>3.75</v>
      </c>
      <c r="G19" s="32">
        <f t="shared" si="0"/>
        <v>0.75</v>
      </c>
      <c r="H19" s="33" t="str">
        <f t="shared" si="1"/>
        <v>جيد</v>
      </c>
      <c r="I19" s="52"/>
      <c r="J19" s="53"/>
    </row>
    <row r="20" spans="1:10" ht="39.950000000000003" customHeight="1" x14ac:dyDescent="0.2">
      <c r="A20" s="11"/>
      <c r="B20" s="83" t="s">
        <v>183</v>
      </c>
      <c r="C20" s="84"/>
      <c r="D20" s="84"/>
      <c r="E20" s="9">
        <v>5</v>
      </c>
      <c r="F20" s="27">
        <v>3.75</v>
      </c>
      <c r="G20" s="32">
        <f t="shared" si="0"/>
        <v>0.75</v>
      </c>
      <c r="H20" s="33" t="str">
        <f t="shared" si="1"/>
        <v>جيد</v>
      </c>
      <c r="I20" s="52"/>
      <c r="J20" s="53"/>
    </row>
    <row r="21" spans="1:10" ht="39.950000000000003" customHeight="1" x14ac:dyDescent="0.2">
      <c r="A21" s="11"/>
      <c r="B21" s="83" t="s">
        <v>184</v>
      </c>
      <c r="C21" s="84"/>
      <c r="D21" s="84"/>
      <c r="E21" s="9">
        <v>5</v>
      </c>
      <c r="F21" s="27">
        <v>3.75</v>
      </c>
      <c r="G21" s="32">
        <f t="shared" si="0"/>
        <v>0.75</v>
      </c>
      <c r="H21" s="33" t="str">
        <f t="shared" si="1"/>
        <v>جيد</v>
      </c>
      <c r="I21" s="52"/>
      <c r="J21" s="53"/>
    </row>
    <row r="22" spans="1:10" ht="39.950000000000003" customHeight="1" x14ac:dyDescent="0.2">
      <c r="A22" s="11"/>
      <c r="B22" s="83" t="s">
        <v>185</v>
      </c>
      <c r="C22" s="84"/>
      <c r="D22" s="84"/>
      <c r="E22" s="9">
        <v>5</v>
      </c>
      <c r="F22" s="27">
        <v>3.75</v>
      </c>
      <c r="G22" s="32">
        <f t="shared" si="0"/>
        <v>0.75</v>
      </c>
      <c r="H22" s="33" t="str">
        <f t="shared" si="1"/>
        <v>جيد</v>
      </c>
      <c r="I22" s="52"/>
      <c r="J22" s="53"/>
    </row>
    <row r="23" spans="1:10" ht="39.950000000000003" customHeight="1" x14ac:dyDescent="0.2">
      <c r="A23" s="11"/>
      <c r="B23" s="83" t="s">
        <v>186</v>
      </c>
      <c r="C23" s="84"/>
      <c r="D23" s="84"/>
      <c r="E23" s="9">
        <v>5</v>
      </c>
      <c r="F23" s="27">
        <v>3.75</v>
      </c>
      <c r="G23" s="32">
        <f t="shared" si="0"/>
        <v>0.75</v>
      </c>
      <c r="H23" s="33" t="str">
        <f t="shared" si="1"/>
        <v>جيد</v>
      </c>
      <c r="I23" s="52"/>
      <c r="J23" s="53"/>
    </row>
    <row r="24" spans="1:10" ht="39.950000000000003" customHeight="1" x14ac:dyDescent="0.2">
      <c r="A24" s="11"/>
      <c r="B24" s="83" t="s">
        <v>187</v>
      </c>
      <c r="C24" s="84"/>
      <c r="D24" s="84"/>
      <c r="E24" s="9">
        <v>5</v>
      </c>
      <c r="F24" s="27">
        <v>3.5</v>
      </c>
      <c r="G24" s="32">
        <f t="shared" si="0"/>
        <v>0.7</v>
      </c>
      <c r="H24" s="33" t="str">
        <f t="shared" si="1"/>
        <v>جيد</v>
      </c>
      <c r="I24" s="52"/>
      <c r="J24" s="53"/>
    </row>
    <row r="25" spans="1:10" ht="39.950000000000003" customHeight="1" x14ac:dyDescent="0.2">
      <c r="A25" s="11"/>
      <c r="B25" s="83" t="s">
        <v>188</v>
      </c>
      <c r="C25" s="84"/>
      <c r="D25" s="84"/>
      <c r="E25" s="9">
        <v>5</v>
      </c>
      <c r="F25" s="27">
        <v>3.75</v>
      </c>
      <c r="G25" s="32">
        <f t="shared" si="0"/>
        <v>0.75</v>
      </c>
      <c r="H25" s="33" t="str">
        <f t="shared" si="1"/>
        <v>جيد</v>
      </c>
      <c r="I25" s="52"/>
      <c r="J25" s="53"/>
    </row>
    <row r="26" spans="1:10" ht="39.950000000000003" customHeight="1" thickBot="1" x14ac:dyDescent="0.25">
      <c r="A26" s="11"/>
      <c r="B26" s="85" t="s">
        <v>189</v>
      </c>
      <c r="C26" s="86"/>
      <c r="D26" s="86"/>
      <c r="E26" s="37">
        <v>5</v>
      </c>
      <c r="F26" s="29">
        <v>3.75</v>
      </c>
      <c r="G26" s="38">
        <f t="shared" si="0"/>
        <v>0.75</v>
      </c>
      <c r="H26" s="39" t="str">
        <f t="shared" si="1"/>
        <v>جيد</v>
      </c>
      <c r="I26" s="81"/>
      <c r="J26" s="82"/>
    </row>
    <row r="27" spans="1:10" ht="39.950000000000003" customHeight="1" x14ac:dyDescent="0.2">
      <c r="A27" s="11"/>
      <c r="B27" s="93" t="s">
        <v>200</v>
      </c>
      <c r="C27" s="94"/>
      <c r="D27" s="94"/>
      <c r="E27" s="40"/>
      <c r="F27" s="34"/>
      <c r="G27" s="35"/>
      <c r="H27" s="36"/>
      <c r="I27" s="79"/>
      <c r="J27" s="80"/>
    </row>
    <row r="28" spans="1:10" ht="39.950000000000003" customHeight="1" x14ac:dyDescent="0.2">
      <c r="A28" s="11"/>
      <c r="B28" s="83" t="s">
        <v>190</v>
      </c>
      <c r="C28" s="84"/>
      <c r="D28" s="84"/>
      <c r="E28" s="9">
        <v>5</v>
      </c>
      <c r="F28" s="27">
        <v>3.5</v>
      </c>
      <c r="G28" s="32">
        <f t="shared" si="0"/>
        <v>0.7</v>
      </c>
      <c r="H28" s="33" t="str">
        <f t="shared" si="1"/>
        <v>جيد</v>
      </c>
      <c r="I28" s="52"/>
      <c r="J28" s="53"/>
    </row>
    <row r="29" spans="1:10" ht="39.950000000000003" customHeight="1" x14ac:dyDescent="0.2">
      <c r="A29" s="11"/>
      <c r="B29" s="83" t="s">
        <v>191</v>
      </c>
      <c r="C29" s="84"/>
      <c r="D29" s="84"/>
      <c r="E29" s="9">
        <v>5</v>
      </c>
      <c r="F29" s="27">
        <v>3.75</v>
      </c>
      <c r="G29" s="32">
        <f t="shared" si="0"/>
        <v>0.75</v>
      </c>
      <c r="H29" s="33" t="str">
        <f t="shared" si="1"/>
        <v>جيد</v>
      </c>
      <c r="I29" s="52"/>
      <c r="J29" s="53"/>
    </row>
    <row r="30" spans="1:10" ht="39.950000000000003" customHeight="1" x14ac:dyDescent="0.2">
      <c r="A30" s="11"/>
      <c r="B30" s="83" t="s">
        <v>192</v>
      </c>
      <c r="C30" s="84"/>
      <c r="D30" s="84"/>
      <c r="E30" s="9">
        <v>5</v>
      </c>
      <c r="F30" s="27">
        <v>3.75</v>
      </c>
      <c r="G30" s="32">
        <f t="shared" si="0"/>
        <v>0.75</v>
      </c>
      <c r="H30" s="33" t="str">
        <f t="shared" si="1"/>
        <v>جيد</v>
      </c>
      <c r="I30" s="52"/>
      <c r="J30" s="53"/>
    </row>
    <row r="31" spans="1:10" ht="39.950000000000003" customHeight="1" x14ac:dyDescent="0.2">
      <c r="A31" s="11"/>
      <c r="B31" s="83" t="s">
        <v>193</v>
      </c>
      <c r="C31" s="84"/>
      <c r="D31" s="84"/>
      <c r="E31" s="9">
        <v>5</v>
      </c>
      <c r="F31" s="27">
        <v>3.75</v>
      </c>
      <c r="G31" s="32">
        <f t="shared" si="0"/>
        <v>0.75</v>
      </c>
      <c r="H31" s="33" t="str">
        <f t="shared" si="1"/>
        <v>جيد</v>
      </c>
      <c r="I31" s="52"/>
      <c r="J31" s="53"/>
    </row>
    <row r="32" spans="1:10" ht="39.950000000000003" customHeight="1" thickBot="1" x14ac:dyDescent="0.25">
      <c r="A32" s="11"/>
      <c r="B32" s="85" t="s">
        <v>194</v>
      </c>
      <c r="C32" s="86"/>
      <c r="D32" s="86"/>
      <c r="E32" s="37">
        <v>5</v>
      </c>
      <c r="F32" s="29">
        <v>3.75</v>
      </c>
      <c r="G32" s="38">
        <f t="shared" si="0"/>
        <v>0.75</v>
      </c>
      <c r="H32" s="39" t="str">
        <f t="shared" si="1"/>
        <v>جيد</v>
      </c>
      <c r="I32" s="81"/>
      <c r="J32" s="82"/>
    </row>
    <row r="33" spans="1:10" ht="30" customHeight="1" thickBot="1" x14ac:dyDescent="0.25">
      <c r="A33" s="4"/>
      <c r="B33" s="75" t="s">
        <v>5</v>
      </c>
      <c r="C33" s="76"/>
      <c r="D33" s="76"/>
      <c r="E33" s="31">
        <f>SUM(E8:E32)</f>
        <v>110</v>
      </c>
      <c r="F33" s="31">
        <f>SUM(F8:F32)</f>
        <v>81.5</v>
      </c>
      <c r="G33" s="45"/>
      <c r="H33" s="46"/>
      <c r="I33" s="46"/>
      <c r="J33" s="47"/>
    </row>
    <row r="34" spans="1:10" ht="30" customHeight="1" thickBot="1" x14ac:dyDescent="0.25">
      <c r="A34" s="4"/>
      <c r="B34" s="77" t="s">
        <v>54</v>
      </c>
      <c r="C34" s="78"/>
      <c r="D34" s="78"/>
      <c r="E34" s="67">
        <f>F33/E33/100*100</f>
        <v>0.74090909090909096</v>
      </c>
      <c r="F34" s="67"/>
      <c r="G34" s="67"/>
      <c r="H34" s="67"/>
      <c r="I34" s="67"/>
      <c r="J34" s="68"/>
    </row>
    <row r="35" spans="1:10" ht="30" customHeight="1" thickBot="1" x14ac:dyDescent="0.25">
      <c r="A35" s="4"/>
      <c r="B35" s="77" t="s">
        <v>55</v>
      </c>
      <c r="C35" s="78"/>
      <c r="D35" s="78"/>
      <c r="E35" s="58" t="str">
        <f>_xlfn.IFS(E34&gt;=90%,"ممتاز",E34&gt;=80%,"جيد جداً",E34&gt;=70%,"جيد",E34&gt;=60%,"مقبول",E34&lt;60%,"راسب")</f>
        <v>جيد</v>
      </c>
      <c r="F35" s="58"/>
      <c r="G35" s="58"/>
      <c r="H35" s="58"/>
      <c r="I35" s="58"/>
      <c r="J35" s="59"/>
    </row>
    <row r="36" spans="1:10" ht="42" customHeight="1" x14ac:dyDescent="0.2">
      <c r="B36" s="54" t="s">
        <v>175</v>
      </c>
      <c r="C36" s="54"/>
      <c r="D36" s="54"/>
      <c r="E36" s="43" t="s">
        <v>52</v>
      </c>
      <c r="F36" s="43"/>
      <c r="G36" s="56" t="s">
        <v>142</v>
      </c>
      <c r="H36" s="56"/>
      <c r="I36" s="56"/>
      <c r="J36" s="56"/>
    </row>
    <row r="37" spans="1:10" ht="51" customHeight="1" x14ac:dyDescent="0.2">
      <c r="A37" s="5"/>
      <c r="B37" s="55"/>
      <c r="C37" s="55"/>
      <c r="D37" s="55"/>
      <c r="E37" s="44" t="s">
        <v>53</v>
      </c>
      <c r="F37" s="44"/>
      <c r="G37" s="57"/>
      <c r="H37" s="57"/>
      <c r="I37" s="57"/>
      <c r="J37" s="57"/>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2025-10-22T03:36:33Z</dcterms:modified>
</cp:coreProperties>
</file>