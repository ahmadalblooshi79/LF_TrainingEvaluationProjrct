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6E6717E-1B3C-D54E-9F2B-E8CB0C08790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1" i="2"/>
  <c r="H41" i="2"/>
  <c r="G42" i="2"/>
  <c r="H42" i="2"/>
  <c r="G43" i="2"/>
  <c r="H43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<sst xmlns="http://schemas.openxmlformats.org/spreadsheetml/2006/main" count="280" uniqueCount="224">
  <si>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</si>
  <si>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</si>
  <si>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</si>
  <si>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</si>
  <si>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</si>
  <si>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</si>
  <si>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</si>
  <si>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</si>
  <si>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</si>
  <si>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</si>
  <si>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</si>
  <si>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</si>
  <si>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</si>
  <si>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</si>
  <si>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</si>
  <si>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</si>
  <si>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</si>
  <si>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</si>
  <si>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</si>
  <si>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</si>
  <si>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</si>
  <si>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</si>
  <si>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</si>
  <si>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</si>
  <si>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</si>
  <si>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</si>
  <si>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</si>
  <si>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</si>
  <si>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</si>
  <si>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</si>
  <si>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</si>
  <si>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</si>
  <si>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</si>
  <si>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</si>
  <si>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</si>
  <si>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</si>
  <si>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</si>
  <si>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</si>
  <si>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</si>
  <si>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</si>
  <si>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</si>
  <si>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</si>
  <si>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</si>
  <si>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</si>
  <si>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</si>
  <si>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</si>
  <si>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</si>
  <si>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</si>
  <si>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</si>
  <si>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</si>
  <si>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</si>
  <si>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</si>
  <si>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</si>
  <si>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</si>
  <si>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</si>
  <si>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</si>
  <si>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</si>
  <si>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</si>
  <si>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</si>
  <si>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</si>
  <si>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</si>
  <si>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</si>
  <si>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</si>
  <si>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</si>
  <si>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</si>
  <si>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</si>
  <si>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</si>
  <si>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</si>
  <si>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</si>
  <si>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</si>
  <si>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</si>
  <si>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</si>
  <si>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</si>
  <si>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</si>
  <si>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</si>
  <si>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</si>
  <si>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</si>
  <si>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</si>
  <si>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</si>
  <si>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</si>
  <si>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</si>
  <si>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</si>
  <si>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</si>
  <si>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</si>
  <si>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</si>
  <si>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</si>
  <si>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</si>
  <si>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</si>
  <si>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</si>
  <si>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</si>
  <si>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</si>
  <si>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</si>
  <si>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</si>
  <si>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</si>
  <si>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</si>
  <si>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</si>
  <si>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</si>
  <si>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</si>
  <si>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</si>
  <si>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</si>
  <si>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</si>
  <si>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</si>
  <si>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</si>
  <si>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</si>
  <si>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</si>
  <si>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</si>
  <si>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</si>
  <si>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</si>
  <si>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</si>
  <si>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</si>
  <si>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</si>
  <si>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</si>
  <si>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</si>
  <si>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</si>
  <si>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</si>
  <si>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</si>
  <si>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</si>
  <si>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</si>
  <si>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</si>
  <si>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</si>
  <si>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</si>
  <si>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</si>
  <si>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</si>
  <si>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</si>
  <si>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</si>
  <si>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</si>
  <si>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</si>
  <si>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</si>
  <si>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</si>
  <si>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</si>
  <si>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</si>
  <si>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</si>
  <si>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</si>
  <si>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</si>
  <si>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</si>
  <si>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</si>
  <si>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</si>
  <si>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</si>
  <si>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</si>
  <si>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</si>
  <si>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</si>
  <si>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</si>
  <si>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</si>
  <si>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</si>
  <si>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</si>
  <si>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</si>
  <si>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</si>
  <si>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</si>
  <si>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</si>
  <si>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</si>
  <si>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</si>
  <si>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</si>
  <si>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</si>
  <si>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</si>
  <si>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</si>
  <si>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</si>
  <si>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</si>
  <si>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</si>
  <si>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</si>
  <si>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</si>
  <si>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</si>
  <si>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</si>
  <si>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</si>
  <si>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</si>
  <si>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</si>
  <si>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</si>
  <si>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</si>
  <si>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</si>
  <si>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</si>
  <si>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</si>
  <si>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</si>
  <si>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</si>
  <si>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</si>
  <si>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</si>
  <si>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</si>
  <si>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</si>
  <si>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</si>
  <si>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</si>
  <si>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</si>
  <si>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</si>
  <si>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rgb="FF000000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</si>
  <si>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</si>
  <si>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سور المعسكر.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</si>
  <si>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مخازن الأسلحة والذخيرة والأرزاق.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</si>
  <si>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السكن والنوادي (ضباط، ضباط صف، أفراد) وتجهيزها بالأثاث والمهمات الضرورية.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</si>
  <si>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مكاتب قيادة الوحدة.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</si>
  <si>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مكتب المخابرة.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</si>
  <si>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مواقف للآليات (مقاتلة، إدارية، وقود).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</si>
  <si>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ميدان للوحدة مع سارية العلم (علم الوحدة، علم الوحدة الأم).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</si>
  <si>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بوابة مع حراسة (التقيد بالذخائر المخصصة للحراسة).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</si>
  <si>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</si>
  <si>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وجـود وصلاحية ورشـة الإصلاح وتجهيزها بالوسائل اللازمة (فريـق إصـلاح، آليـة إنقـاذ وقطـع غيار).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</si>
  <si>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خيمة للمحاضرات مزودة بمساعدات التدريب.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</si>
  <si>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</si>
  <si>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توفر مسجد مجهز للصلاة (الفرش، مصاحف، مكبر صوت، السعة مقارنة بالموجود).</t>
    </r>
  </si>
  <si>
    <t>القوى البشرية والآليـات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</si>
  <si>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</si>
  <si>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</si>
  <si>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</si>
  <si>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</si>
  <si>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للآليات (أ، ب).</t>
    </r>
  </si>
  <si>
    <t>الأسلحــة والذخائــر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</si>
  <si>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العمليات حسب مقياس الذخائر وتعليمات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</si>
  <si>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</si>
  <si>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</si>
  <si>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</si>
  <si>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</si>
  <si>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</si>
  <si>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</si>
  <si>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</si>
  <si>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</si>
  <si>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</si>
  <si>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</si>
  <si>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</si>
  <si>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</si>
  <si>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</si>
  <si>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t>مساعدات التدريب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</si>
  <si>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</si>
  <si>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</si>
  <si>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الإيضاح.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</si>
  <si>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وثائق وتعليمات التمرين.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</si>
  <si>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التعليمات التنظيمية للمعسكر.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</si>
  <si>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الدفاع والحراسة و خطة الحريق.</t>
    </r>
  </si>
  <si>
    <t>تقييم معسكرات التدريب الخارجية لوحدات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</si>
</sst>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630143</xdr:colOff>
      <xdr:row>53</xdr:row>
      <xdr:rowOff>519316</xdr:rowOff>
    </xdr:from>
    <xdr:to>
      <xdr:col>9</xdr:col>
      <xdr:colOff>76429</xdr:colOff>
      <xdr:row>54</xdr:row>
      <xdr:rowOff>471196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FCF342D-EF41-1E58-9423-15D3B882F67E}"/>
                </a:ext>
              </a:extLst>
            </xdr14:cNvPr>
            <xdr14:cNvContentPartPr/>
          </xdr14:nvContentPartPr>
          <xdr14:nvPr macro=""/>
          <xdr14:xfrm>
            <a:off x="10436317135" y="22506480"/>
            <a:ext cx="1420560" cy="4852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FCF342D-EF41-1E58-9423-15D3B882F6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8495" y="22497840"/>
              <a:ext cx="1438200" cy="502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8:34:50.8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3946 963,'0'0,"0"0,0 0,0 0,0 0,0 0,0 0,0 0,0 0,0 0,0 0,0 0,0 0,0 0,-39 19,1 19,35-35,-71 33,21 3,29-20,-92 38,70-30,-4 4,-46 8,62-26,10 12,-34-6,53-17,-9 16,-5-18,19 0,0 0,0 0,0 0,0 0,0 0,0 0,0-20,0 15,19-9,0-5,-19 18,0-17,17 0,-14 16,16-17,-12 13,-14-7,7 10,-19 6,-1 16,-16-19,15 0,-56 19,45-11,-13 4,-52 7,69-13,-21-12,-8 25,54-18,-33-2,-2 1,38 0,-15 0,10 0,25 0,18-19,20 0,-53 17,48-16,24-1,-77 19,77-19,-41 19,-15 0,18-19,-22 10,-15 18,8-9,-39-20,-125-18,142 35,-169-33,-88-2,269 38,-289-39,27 15,120 10,-281-24,296 30,-54-4,-108 12,191 0,4 0,-60-19,142 18,-34 2,27-1,19 0,135 0,96-38,-137 22,100 12,172-34,-243 25,177-13,201-12,-468 35,338-33,-47 18,-302 17,286-18,-226 19,9 0,25 0,-80 0,-34 0,17 0,-230 38,-116 20,327-58,-385 58,48-21,154-16,-413 36,341-32,-106-11,-120 5,322-13,-29 7,-4-13,178 0,-49-19,44 19,19 0,77-58,72-28,-67 38,168-106,-144 81,38-28,164-72,-202 114,115-36,10-1,-212 89,77-5,-23-6,-69 17,16 20,-1-1,0 2,0 19,-11-27,81 72,26 51,-105-125,115 114,29 69,-154-192,192 171,-55-47,-62-58,156 68,-128-75,-33-4,-70-56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B43" zoomScale="130" zoomScaleNormal="100" zoomScaleSheetLayoutView="130" workbookViewId="0">
      <selection activeCell="G54" sqref="G54:J5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0" t="s">
        <v>223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2">
      <c r="B2" s="12" t="s">
        <v>8</v>
      </c>
      <c r="C2" s="46" t="s">
        <v>38</v>
      </c>
      <c r="D2" s="46"/>
      <c r="E2" s="12" t="s">
        <v>7</v>
      </c>
      <c r="F2" s="41">
        <v>45938</v>
      </c>
      <c r="G2" s="41"/>
      <c r="H2" s="41"/>
      <c r="I2" s="41"/>
      <c r="J2" s="41"/>
    </row>
    <row r="3" spans="1:10" ht="30" customHeight="1" x14ac:dyDescent="0.2">
      <c r="B3" s="12" t="s">
        <v>9</v>
      </c>
      <c r="C3" s="46" t="s">
        <v>177</v>
      </c>
      <c r="D3" s="46"/>
      <c r="E3" s="12" t="s">
        <v>6</v>
      </c>
      <c r="F3" s="46" t="s">
        <v>129</v>
      </c>
      <c r="G3" s="46"/>
      <c r="H3" s="46"/>
      <c r="I3" s="46"/>
      <c r="J3" s="4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2" t="s">
        <v>0</v>
      </c>
      <c r="C5" s="43"/>
      <c r="D5" s="43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 x14ac:dyDescent="0.2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5" customHeight="1" thickBot="1" x14ac:dyDescent="0.25">
      <c r="A7" s="10"/>
      <c r="B7" s="49" t="s">
        <v>21</v>
      </c>
      <c r="C7" s="50"/>
      <c r="D7" s="50"/>
      <c r="E7" s="31" t="s">
        <v>18</v>
      </c>
      <c r="F7" s="31" t="s">
        <v>19</v>
      </c>
      <c r="G7" s="31" t="s">
        <v>22</v>
      </c>
      <c r="H7" s="31" t="s">
        <v>20</v>
      </c>
      <c r="I7" s="59" t="s">
        <v>25</v>
      </c>
      <c r="J7" s="60"/>
    </row>
    <row r="8" spans="1:10" ht="30" customHeight="1" x14ac:dyDescent="0.2">
      <c r="A8" s="10"/>
      <c r="B8" s="82" t="s">
        <v>180</v>
      </c>
      <c r="C8" s="83"/>
      <c r="D8" s="83"/>
      <c r="E8" s="28"/>
      <c r="F8" s="35"/>
      <c r="G8" s="36"/>
      <c r="H8" s="37"/>
      <c r="I8" s="61"/>
      <c r="J8" s="62"/>
    </row>
    <row r="9" spans="1:10" ht="39.950000000000003" customHeight="1" x14ac:dyDescent="0.2">
      <c r="A9" s="10"/>
      <c r="B9" s="74" t="s">
        <v>181</v>
      </c>
      <c r="C9" s="75"/>
      <c r="D9" s="75"/>
      <c r="E9" s="9">
        <v>10</v>
      </c>
      <c r="F9" s="26">
        <v>7.5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1"/>
      <c r="J9" s="52"/>
    </row>
    <row r="10" spans="1:10" ht="30" customHeight="1" x14ac:dyDescent="0.2">
      <c r="A10" s="10"/>
      <c r="B10" s="74" t="s">
        <v>182</v>
      </c>
      <c r="C10" s="75"/>
      <c r="D10" s="75"/>
      <c r="E10" s="9">
        <v>5</v>
      </c>
      <c r="F10" s="26">
        <v>3.5</v>
      </c>
      <c r="G10" s="33">
        <f t="shared" ref="G10:G50" si="0">IFERROR(F10/E10,"")</f>
        <v>0.7</v>
      </c>
      <c r="H10" s="3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</v>
      </c>
      <c r="I10" s="51"/>
      <c r="J10" s="52"/>
    </row>
    <row r="11" spans="1:10" ht="30" customHeight="1" x14ac:dyDescent="0.2">
      <c r="A11" s="10"/>
      <c r="B11" s="74" t="s">
        <v>183</v>
      </c>
      <c r="C11" s="75"/>
      <c r="D11" s="75"/>
      <c r="E11" s="9">
        <v>10</v>
      </c>
      <c r="F11" s="26">
        <v>7.25</v>
      </c>
      <c r="G11" s="33">
        <f t="shared" si="0"/>
        <v>0.72499999999999998</v>
      </c>
      <c r="H11" s="34" t="str">
        <f t="shared" si="1"/>
        <v>جيد</v>
      </c>
      <c r="I11" s="51"/>
      <c r="J11" s="52"/>
    </row>
    <row r="12" spans="1:10" ht="39.950000000000003" customHeight="1" x14ac:dyDescent="0.2">
      <c r="A12" s="10"/>
      <c r="B12" s="74" t="s">
        <v>184</v>
      </c>
      <c r="C12" s="75"/>
      <c r="D12" s="75"/>
      <c r="E12" s="9">
        <v>8</v>
      </c>
      <c r="F12" s="26">
        <v>6.25</v>
      </c>
      <c r="G12" s="33">
        <f t="shared" si="0"/>
        <v>0.78125</v>
      </c>
      <c r="H12" s="34" t="str">
        <f t="shared" si="1"/>
        <v>جيد</v>
      </c>
      <c r="I12" s="51"/>
      <c r="J12" s="52"/>
    </row>
    <row r="13" spans="1:10" ht="30" customHeight="1" x14ac:dyDescent="0.2">
      <c r="A13" s="10"/>
      <c r="B13" s="74" t="s">
        <v>185</v>
      </c>
      <c r="C13" s="75"/>
      <c r="D13" s="75"/>
      <c r="E13" s="9">
        <v>5</v>
      </c>
      <c r="F13" s="26">
        <v>3.5</v>
      </c>
      <c r="G13" s="33">
        <f t="shared" si="0"/>
        <v>0.7</v>
      </c>
      <c r="H13" s="34" t="str">
        <f t="shared" si="1"/>
        <v>جيد</v>
      </c>
      <c r="I13" s="51"/>
      <c r="J13" s="52"/>
    </row>
    <row r="14" spans="1:10" ht="30" customHeight="1" x14ac:dyDescent="0.2">
      <c r="A14" s="10"/>
      <c r="B14" s="74" t="s">
        <v>186</v>
      </c>
      <c r="C14" s="75"/>
      <c r="D14" s="75"/>
      <c r="E14" s="9">
        <v>6</v>
      </c>
      <c r="F14" s="26">
        <v>4.25</v>
      </c>
      <c r="G14" s="33">
        <f t="shared" si="0"/>
        <v>0.70833333333333337</v>
      </c>
      <c r="H14" s="34" t="str">
        <f t="shared" si="1"/>
        <v>جيد</v>
      </c>
      <c r="I14" s="51"/>
      <c r="J14" s="52"/>
    </row>
    <row r="15" spans="1:10" ht="30" customHeight="1" x14ac:dyDescent="0.2">
      <c r="A15" s="10"/>
      <c r="B15" s="74" t="s">
        <v>187</v>
      </c>
      <c r="C15" s="75"/>
      <c r="D15" s="75"/>
      <c r="E15" s="9">
        <v>5</v>
      </c>
      <c r="F15" s="26">
        <v>3.5</v>
      </c>
      <c r="G15" s="33">
        <f t="shared" si="0"/>
        <v>0.7</v>
      </c>
      <c r="H15" s="34" t="str">
        <f t="shared" si="1"/>
        <v>جيد</v>
      </c>
      <c r="I15" s="51"/>
      <c r="J15" s="52"/>
    </row>
    <row r="16" spans="1:10" ht="30" customHeight="1" x14ac:dyDescent="0.2">
      <c r="A16" s="10"/>
      <c r="B16" s="74" t="s">
        <v>188</v>
      </c>
      <c r="C16" s="75"/>
      <c r="D16" s="75"/>
      <c r="E16" s="9">
        <v>5</v>
      </c>
      <c r="F16" s="26">
        <v>4.25</v>
      </c>
      <c r="G16" s="33">
        <f t="shared" si="0"/>
        <v>0.85</v>
      </c>
      <c r="H16" s="34" t="str">
        <f t="shared" si="1"/>
        <v>جيد جداً</v>
      </c>
      <c r="I16" s="51"/>
      <c r="J16" s="52"/>
    </row>
    <row r="17" spans="1:10" ht="30" customHeight="1" x14ac:dyDescent="0.2">
      <c r="A17" s="10"/>
      <c r="B17" s="74" t="s">
        <v>189</v>
      </c>
      <c r="C17" s="75"/>
      <c r="D17" s="75"/>
      <c r="E17" s="9">
        <v>6</v>
      </c>
      <c r="F17" s="26">
        <v>4.75</v>
      </c>
      <c r="G17" s="33">
        <f t="shared" si="0"/>
        <v>0.79166666666666663</v>
      </c>
      <c r="H17" s="34" t="str">
        <f t="shared" si="1"/>
        <v>جيد</v>
      </c>
      <c r="I17" s="51"/>
      <c r="J17" s="52"/>
    </row>
    <row r="18" spans="1:10" ht="39.950000000000003" customHeight="1" x14ac:dyDescent="0.2">
      <c r="A18" s="10"/>
      <c r="B18" s="74" t="s">
        <v>190</v>
      </c>
      <c r="C18" s="75"/>
      <c r="D18" s="75"/>
      <c r="E18" s="9">
        <v>8</v>
      </c>
      <c r="F18" s="26">
        <v>6</v>
      </c>
      <c r="G18" s="33">
        <f t="shared" si="0"/>
        <v>0.75</v>
      </c>
      <c r="H18" s="34" t="str">
        <f t="shared" si="1"/>
        <v>جيد</v>
      </c>
      <c r="I18" s="51"/>
      <c r="J18" s="52"/>
    </row>
    <row r="19" spans="1:10" ht="39.950000000000003" customHeight="1" x14ac:dyDescent="0.2">
      <c r="A19" s="10"/>
      <c r="B19" s="74" t="s">
        <v>191</v>
      </c>
      <c r="C19" s="75"/>
      <c r="D19" s="75"/>
      <c r="E19" s="9">
        <v>8</v>
      </c>
      <c r="F19" s="26">
        <v>6.25</v>
      </c>
      <c r="G19" s="33">
        <f t="shared" si="0"/>
        <v>0.78125</v>
      </c>
      <c r="H19" s="34" t="str">
        <f t="shared" si="1"/>
        <v>جيد</v>
      </c>
      <c r="I19" s="51"/>
      <c r="J19" s="52"/>
    </row>
    <row r="20" spans="1:10" ht="30" customHeight="1" x14ac:dyDescent="0.2">
      <c r="A20" s="10"/>
      <c r="B20" s="74" t="s">
        <v>192</v>
      </c>
      <c r="C20" s="75"/>
      <c r="D20" s="75"/>
      <c r="E20" s="9">
        <v>5</v>
      </c>
      <c r="F20" s="26">
        <v>3.75</v>
      </c>
      <c r="G20" s="33">
        <f t="shared" si="0"/>
        <v>0.75</v>
      </c>
      <c r="H20" s="34" t="str">
        <f t="shared" si="1"/>
        <v>جيد</v>
      </c>
      <c r="I20" s="51"/>
      <c r="J20" s="52"/>
    </row>
    <row r="21" spans="1:10" ht="30" customHeight="1" x14ac:dyDescent="0.2">
      <c r="A21" s="10"/>
      <c r="B21" s="74" t="s">
        <v>193</v>
      </c>
      <c r="C21" s="75"/>
      <c r="D21" s="75"/>
      <c r="E21" s="9">
        <v>5</v>
      </c>
      <c r="F21" s="26">
        <v>3.5</v>
      </c>
      <c r="G21" s="33">
        <f t="shared" si="0"/>
        <v>0.7</v>
      </c>
      <c r="H21" s="34" t="str">
        <f t="shared" si="1"/>
        <v>جيد</v>
      </c>
      <c r="I21" s="51"/>
      <c r="J21" s="52"/>
    </row>
    <row r="22" spans="1:10" ht="39.950000000000003" customHeight="1" thickBot="1" x14ac:dyDescent="0.25">
      <c r="A22" s="10"/>
      <c r="B22" s="76" t="s">
        <v>194</v>
      </c>
      <c r="C22" s="77"/>
      <c r="D22" s="77"/>
      <c r="E22" s="29">
        <v>5</v>
      </c>
      <c r="F22" s="27">
        <v>3.75</v>
      </c>
      <c r="G22" s="38">
        <f t="shared" si="0"/>
        <v>0.75</v>
      </c>
      <c r="H22" s="39" t="str">
        <f t="shared" si="1"/>
        <v>جيد</v>
      </c>
      <c r="I22" s="53"/>
      <c r="J22" s="54"/>
    </row>
    <row r="23" spans="1:10" ht="30" customHeight="1" x14ac:dyDescent="0.2">
      <c r="A23" s="10"/>
      <c r="B23" s="82" t="s">
        <v>195</v>
      </c>
      <c r="C23" s="83"/>
      <c r="D23" s="83"/>
      <c r="E23" s="28"/>
      <c r="F23" s="35"/>
      <c r="G23" s="36"/>
      <c r="H23" s="37"/>
      <c r="I23" s="61"/>
      <c r="J23" s="62"/>
    </row>
    <row r="24" spans="1:10" ht="39.950000000000003" customHeight="1" x14ac:dyDescent="0.2">
      <c r="A24" s="10"/>
      <c r="B24" s="74" t="s">
        <v>196</v>
      </c>
      <c r="C24" s="75"/>
      <c r="D24" s="75"/>
      <c r="E24" s="9">
        <v>8</v>
      </c>
      <c r="F24" s="26">
        <v>6</v>
      </c>
      <c r="G24" s="33">
        <f t="shared" si="0"/>
        <v>0.75</v>
      </c>
      <c r="H24" s="34" t="str">
        <f t="shared" si="1"/>
        <v>جيد</v>
      </c>
      <c r="I24" s="51"/>
      <c r="J24" s="52"/>
    </row>
    <row r="25" spans="1:10" ht="30" customHeight="1" x14ac:dyDescent="0.2">
      <c r="A25" s="10"/>
      <c r="B25" s="74" t="s">
        <v>197</v>
      </c>
      <c r="C25" s="75"/>
      <c r="D25" s="75"/>
      <c r="E25" s="9">
        <v>7</v>
      </c>
      <c r="F25" s="26">
        <v>6</v>
      </c>
      <c r="G25" s="33">
        <f t="shared" si="0"/>
        <v>0.8571428571428571</v>
      </c>
      <c r="H25" s="34" t="str">
        <f t="shared" si="1"/>
        <v>جيد جداً</v>
      </c>
      <c r="I25" s="51"/>
      <c r="J25" s="52"/>
    </row>
    <row r="26" spans="1:10" ht="39.950000000000003" customHeight="1" x14ac:dyDescent="0.2">
      <c r="A26" s="10"/>
      <c r="B26" s="74" t="s">
        <v>198</v>
      </c>
      <c r="C26" s="75"/>
      <c r="D26" s="75"/>
      <c r="E26" s="9">
        <v>8</v>
      </c>
      <c r="F26" s="26">
        <v>6.25</v>
      </c>
      <c r="G26" s="33">
        <f t="shared" si="0"/>
        <v>0.78125</v>
      </c>
      <c r="H26" s="34" t="str">
        <f t="shared" si="1"/>
        <v>جيد</v>
      </c>
      <c r="I26" s="51"/>
      <c r="J26" s="52"/>
    </row>
    <row r="27" spans="1:10" ht="30" customHeight="1" x14ac:dyDescent="0.2">
      <c r="A27" s="10"/>
      <c r="B27" s="74" t="s">
        <v>199</v>
      </c>
      <c r="C27" s="75"/>
      <c r="D27" s="75"/>
      <c r="E27" s="9">
        <v>8</v>
      </c>
      <c r="F27" s="26">
        <v>6.75</v>
      </c>
      <c r="G27" s="33">
        <f t="shared" si="0"/>
        <v>0.84375</v>
      </c>
      <c r="H27" s="34" t="str">
        <f t="shared" si="1"/>
        <v>جيد جداً</v>
      </c>
      <c r="I27" s="51"/>
      <c r="J27" s="52"/>
    </row>
    <row r="28" spans="1:10" ht="30" customHeight="1" thickBot="1" x14ac:dyDescent="0.25">
      <c r="A28" s="10"/>
      <c r="B28" s="76" t="s">
        <v>200</v>
      </c>
      <c r="C28" s="77"/>
      <c r="D28" s="77"/>
      <c r="E28" s="29">
        <v>8</v>
      </c>
      <c r="F28" s="27">
        <v>6.25</v>
      </c>
      <c r="G28" s="38">
        <f t="shared" si="0"/>
        <v>0.78125</v>
      </c>
      <c r="H28" s="39" t="str">
        <f t="shared" si="1"/>
        <v>جيد</v>
      </c>
      <c r="I28" s="53"/>
      <c r="J28" s="54"/>
    </row>
    <row r="29" spans="1:10" ht="30" customHeight="1" x14ac:dyDescent="0.2">
      <c r="A29" s="10"/>
      <c r="B29" s="82" t="s">
        <v>201</v>
      </c>
      <c r="C29" s="83"/>
      <c r="D29" s="83"/>
      <c r="E29" s="28"/>
      <c r="F29" s="35"/>
      <c r="G29" s="36"/>
      <c r="H29" s="37"/>
      <c r="I29" s="61"/>
      <c r="J29" s="62"/>
    </row>
    <row r="30" spans="1:10" ht="39.950000000000003" customHeight="1" x14ac:dyDescent="0.2">
      <c r="A30" s="10"/>
      <c r="B30" s="74" t="s">
        <v>202</v>
      </c>
      <c r="C30" s="75"/>
      <c r="D30" s="75"/>
      <c r="E30" s="9">
        <v>10</v>
      </c>
      <c r="F30" s="26">
        <v>7.75</v>
      </c>
      <c r="G30" s="33">
        <f t="shared" si="0"/>
        <v>0.77500000000000002</v>
      </c>
      <c r="H30" s="34" t="str">
        <f t="shared" si="1"/>
        <v>جيد</v>
      </c>
      <c r="I30" s="51"/>
      <c r="J30" s="52"/>
    </row>
    <row r="31" spans="1:10" ht="30" customHeight="1" x14ac:dyDescent="0.2">
      <c r="A31" s="10"/>
      <c r="B31" s="74" t="s">
        <v>203</v>
      </c>
      <c r="C31" s="75"/>
      <c r="D31" s="75"/>
      <c r="E31" s="9">
        <v>10</v>
      </c>
      <c r="F31" s="26">
        <v>7.5</v>
      </c>
      <c r="G31" s="33">
        <f t="shared" si="0"/>
        <v>0.75</v>
      </c>
      <c r="H31" s="34" t="str">
        <f t="shared" si="1"/>
        <v>جيد</v>
      </c>
      <c r="I31" s="51"/>
      <c r="J31" s="52"/>
    </row>
    <row r="32" spans="1:10" ht="30" customHeight="1" thickBot="1" x14ac:dyDescent="0.25">
      <c r="A32" s="10"/>
      <c r="B32" s="76" t="s">
        <v>204</v>
      </c>
      <c r="C32" s="77"/>
      <c r="D32" s="77"/>
      <c r="E32" s="29">
        <v>10</v>
      </c>
      <c r="F32" s="27">
        <v>7.75</v>
      </c>
      <c r="G32" s="38">
        <f t="shared" si="0"/>
        <v>0.77500000000000002</v>
      </c>
      <c r="H32" s="39" t="str">
        <f t="shared" si="1"/>
        <v>جيد</v>
      </c>
      <c r="I32" s="53"/>
      <c r="J32" s="54"/>
    </row>
    <row r="33" spans="1:10" ht="39.950000000000003" customHeight="1" x14ac:dyDescent="0.2">
      <c r="A33" s="10"/>
      <c r="B33" s="82" t="s">
        <v>205</v>
      </c>
      <c r="C33" s="83"/>
      <c r="D33" s="83"/>
      <c r="E33" s="28"/>
      <c r="F33" s="35"/>
      <c r="G33" s="36"/>
      <c r="H33" s="37"/>
      <c r="I33" s="61"/>
      <c r="J33" s="62"/>
    </row>
    <row r="34" spans="1:10" ht="30" customHeight="1" x14ac:dyDescent="0.2">
      <c r="A34" s="10"/>
      <c r="B34" s="74" t="s">
        <v>206</v>
      </c>
      <c r="C34" s="75"/>
      <c r="D34" s="75"/>
      <c r="E34" s="9">
        <v>5</v>
      </c>
      <c r="F34" s="26">
        <v>3.5</v>
      </c>
      <c r="G34" s="33">
        <f t="shared" si="0"/>
        <v>0.7</v>
      </c>
      <c r="H34" s="34" t="str">
        <f t="shared" si="1"/>
        <v>جيد</v>
      </c>
      <c r="I34" s="51"/>
      <c r="J34" s="52"/>
    </row>
    <row r="35" spans="1:10" ht="30" customHeight="1" x14ac:dyDescent="0.2">
      <c r="A35" s="10"/>
      <c r="B35" s="74" t="s">
        <v>207</v>
      </c>
      <c r="C35" s="75"/>
      <c r="D35" s="75"/>
      <c r="E35" s="9">
        <v>5</v>
      </c>
      <c r="F35" s="26">
        <v>3.5</v>
      </c>
      <c r="G35" s="33">
        <f t="shared" si="0"/>
        <v>0.7</v>
      </c>
      <c r="H35" s="34" t="str">
        <f t="shared" si="1"/>
        <v>جيد</v>
      </c>
      <c r="I35" s="51"/>
      <c r="J35" s="52"/>
    </row>
    <row r="36" spans="1:10" ht="39.950000000000003" customHeight="1" x14ac:dyDescent="0.2">
      <c r="A36" s="10"/>
      <c r="B36" s="74" t="s">
        <v>208</v>
      </c>
      <c r="C36" s="75"/>
      <c r="D36" s="75"/>
      <c r="E36" s="9">
        <v>5</v>
      </c>
      <c r="F36" s="26">
        <v>3.75</v>
      </c>
      <c r="G36" s="33">
        <f t="shared" si="0"/>
        <v>0.75</v>
      </c>
      <c r="H36" s="34" t="str">
        <f t="shared" si="1"/>
        <v>جيد</v>
      </c>
      <c r="I36" s="51"/>
      <c r="J36" s="52"/>
    </row>
    <row r="37" spans="1:10" ht="52.5" customHeight="1" x14ac:dyDescent="0.2">
      <c r="A37" s="10"/>
      <c r="B37" s="74" t="s">
        <v>209</v>
      </c>
      <c r="C37" s="75"/>
      <c r="D37" s="75"/>
      <c r="E37" s="9">
        <v>5</v>
      </c>
      <c r="F37" s="26">
        <v>3.5</v>
      </c>
      <c r="G37" s="33">
        <f t="shared" si="0"/>
        <v>0.7</v>
      </c>
      <c r="H37" s="34" t="str">
        <f t="shared" si="1"/>
        <v>جيد</v>
      </c>
      <c r="I37" s="51"/>
      <c r="J37" s="52"/>
    </row>
    <row r="38" spans="1:10" ht="39.950000000000003" customHeight="1" x14ac:dyDescent="0.2">
      <c r="A38" s="10"/>
      <c r="B38" s="74" t="s">
        <v>210</v>
      </c>
      <c r="C38" s="75"/>
      <c r="D38" s="75"/>
      <c r="E38" s="9">
        <v>5</v>
      </c>
      <c r="F38" s="26">
        <v>3.5</v>
      </c>
      <c r="G38" s="33">
        <f t="shared" si="0"/>
        <v>0.7</v>
      </c>
      <c r="H38" s="34" t="str">
        <f t="shared" si="1"/>
        <v>جيد</v>
      </c>
      <c r="I38" s="51"/>
      <c r="J38" s="52"/>
    </row>
    <row r="39" spans="1:10" ht="30" customHeight="1" thickBot="1" x14ac:dyDescent="0.25">
      <c r="A39" s="10"/>
      <c r="B39" s="76" t="s">
        <v>211</v>
      </c>
      <c r="C39" s="77"/>
      <c r="D39" s="77"/>
      <c r="E39" s="29">
        <v>5</v>
      </c>
      <c r="F39" s="27">
        <v>3.25</v>
      </c>
      <c r="G39" s="38">
        <f t="shared" si="0"/>
        <v>0.65</v>
      </c>
      <c r="H39" s="39" t="str">
        <f t="shared" si="1"/>
        <v>مقبول</v>
      </c>
      <c r="I39" s="53"/>
      <c r="J39" s="54"/>
    </row>
    <row r="40" spans="1:10" ht="30" customHeight="1" x14ac:dyDescent="0.2">
      <c r="A40" s="10"/>
      <c r="B40" s="82" t="s">
        <v>212</v>
      </c>
      <c r="C40" s="83"/>
      <c r="D40" s="83"/>
      <c r="E40" s="28"/>
      <c r="F40" s="35"/>
      <c r="G40" s="36"/>
      <c r="H40" s="37"/>
      <c r="I40" s="61"/>
      <c r="J40" s="62"/>
    </row>
    <row r="41" spans="1:10" ht="30" customHeight="1" x14ac:dyDescent="0.2">
      <c r="A41" s="10"/>
      <c r="B41" s="74" t="s">
        <v>213</v>
      </c>
      <c r="C41" s="75"/>
      <c r="D41" s="75"/>
      <c r="E41" s="9">
        <v>5</v>
      </c>
      <c r="F41" s="26">
        <v>4</v>
      </c>
      <c r="G41" s="33">
        <f t="shared" si="0"/>
        <v>0.8</v>
      </c>
      <c r="H41" s="34" t="str">
        <f t="shared" si="1"/>
        <v>جيد جداً</v>
      </c>
      <c r="I41" s="51"/>
      <c r="J41" s="52"/>
    </row>
    <row r="42" spans="1:10" ht="39.950000000000003" customHeight="1" x14ac:dyDescent="0.2">
      <c r="A42" s="10"/>
      <c r="B42" s="74" t="s">
        <v>214</v>
      </c>
      <c r="C42" s="75"/>
      <c r="D42" s="75"/>
      <c r="E42" s="9">
        <v>5</v>
      </c>
      <c r="F42" s="26">
        <v>3.75</v>
      </c>
      <c r="G42" s="33">
        <f t="shared" si="0"/>
        <v>0.75</v>
      </c>
      <c r="H42" s="34" t="str">
        <f t="shared" si="1"/>
        <v>جيد</v>
      </c>
      <c r="I42" s="51"/>
      <c r="J42" s="52"/>
    </row>
    <row r="43" spans="1:10" ht="30" customHeight="1" thickBot="1" x14ac:dyDescent="0.25">
      <c r="A43" s="10"/>
      <c r="B43" s="76" t="s">
        <v>215</v>
      </c>
      <c r="C43" s="77"/>
      <c r="D43" s="77"/>
      <c r="E43" s="29">
        <v>5</v>
      </c>
      <c r="F43" s="27">
        <v>3.75</v>
      </c>
      <c r="G43" s="38">
        <f t="shared" si="0"/>
        <v>0.75</v>
      </c>
      <c r="H43" s="39" t="str">
        <f t="shared" si="1"/>
        <v>جيد</v>
      </c>
      <c r="I43" s="53"/>
      <c r="J43" s="54"/>
    </row>
    <row r="44" spans="1:10" ht="30" customHeight="1" x14ac:dyDescent="0.2">
      <c r="A44" s="10"/>
      <c r="B44" s="82" t="s">
        <v>216</v>
      </c>
      <c r="C44" s="83"/>
      <c r="D44" s="83"/>
      <c r="E44" s="30"/>
      <c r="F44" s="35"/>
      <c r="G44" s="36"/>
      <c r="H44" s="37"/>
      <c r="I44" s="61"/>
      <c r="J44" s="62"/>
    </row>
    <row r="45" spans="1:10" ht="30" customHeight="1" x14ac:dyDescent="0.2">
      <c r="A45" s="10"/>
      <c r="B45" s="74" t="s">
        <v>217</v>
      </c>
      <c r="C45" s="75"/>
      <c r="D45" s="75"/>
      <c r="E45" s="9">
        <v>5</v>
      </c>
      <c r="F45" s="26">
        <v>3.5</v>
      </c>
      <c r="G45" s="33">
        <f t="shared" si="0"/>
        <v>0.7</v>
      </c>
      <c r="H45" s="34" t="str">
        <f t="shared" si="1"/>
        <v>جيد</v>
      </c>
      <c r="I45" s="51"/>
      <c r="J45" s="52"/>
    </row>
    <row r="46" spans="1:10" ht="30" customHeight="1" x14ac:dyDescent="0.2">
      <c r="A46" s="10"/>
      <c r="B46" s="74" t="s">
        <v>218</v>
      </c>
      <c r="C46" s="75"/>
      <c r="D46" s="75"/>
      <c r="E46" s="9">
        <v>5</v>
      </c>
      <c r="F46" s="26">
        <v>3.5</v>
      </c>
      <c r="G46" s="33">
        <f t="shared" si="0"/>
        <v>0.7</v>
      </c>
      <c r="H46" s="34" t="str">
        <f t="shared" si="1"/>
        <v>جيد</v>
      </c>
      <c r="I46" s="51"/>
      <c r="J46" s="52"/>
    </row>
    <row r="47" spans="1:10" ht="30" customHeight="1" x14ac:dyDescent="0.2">
      <c r="A47" s="10"/>
      <c r="B47" s="74" t="s">
        <v>219</v>
      </c>
      <c r="C47" s="75"/>
      <c r="D47" s="75"/>
      <c r="E47" s="9">
        <v>5</v>
      </c>
      <c r="F47" s="26">
        <v>3.75</v>
      </c>
      <c r="G47" s="33">
        <f t="shared" si="0"/>
        <v>0.75</v>
      </c>
      <c r="H47" s="34" t="str">
        <f t="shared" si="1"/>
        <v>جيد</v>
      </c>
      <c r="I47" s="51"/>
      <c r="J47" s="52"/>
    </row>
    <row r="48" spans="1:10" ht="30" customHeight="1" x14ac:dyDescent="0.2">
      <c r="A48" s="10"/>
      <c r="B48" s="74" t="s">
        <v>220</v>
      </c>
      <c r="C48" s="75"/>
      <c r="D48" s="75"/>
      <c r="E48" s="9">
        <v>5</v>
      </c>
      <c r="F48" s="26">
        <v>3.5</v>
      </c>
      <c r="G48" s="33">
        <f t="shared" si="0"/>
        <v>0.7</v>
      </c>
      <c r="H48" s="34" t="str">
        <f t="shared" si="1"/>
        <v>جيد</v>
      </c>
      <c r="I48" s="51"/>
      <c r="J48" s="52"/>
    </row>
    <row r="49" spans="1:10" ht="30" customHeight="1" x14ac:dyDescent="0.2">
      <c r="A49" s="10"/>
      <c r="B49" s="74" t="s">
        <v>221</v>
      </c>
      <c r="C49" s="75"/>
      <c r="D49" s="75"/>
      <c r="E49" s="9">
        <v>5</v>
      </c>
      <c r="F49" s="26">
        <v>3.5</v>
      </c>
      <c r="G49" s="33">
        <f t="shared" si="0"/>
        <v>0.7</v>
      </c>
      <c r="H49" s="34" t="str">
        <f t="shared" si="1"/>
        <v>جيد</v>
      </c>
      <c r="I49" s="51"/>
      <c r="J49" s="52"/>
    </row>
    <row r="50" spans="1:10" ht="30" customHeight="1" thickBot="1" x14ac:dyDescent="0.25">
      <c r="A50" s="10"/>
      <c r="B50" s="76" t="s">
        <v>222</v>
      </c>
      <c r="C50" s="77"/>
      <c r="D50" s="77"/>
      <c r="E50" s="29">
        <v>10</v>
      </c>
      <c r="F50" s="27">
        <v>8.25</v>
      </c>
      <c r="G50" s="38">
        <f t="shared" si="0"/>
        <v>0.82499999999999996</v>
      </c>
      <c r="H50" s="39" t="str">
        <f t="shared" si="1"/>
        <v>جيد جداً</v>
      </c>
      <c r="I50" s="53"/>
      <c r="J50" s="54"/>
    </row>
    <row r="51" spans="1:10" ht="30" customHeight="1" thickBot="1" x14ac:dyDescent="0.25">
      <c r="A51" s="4"/>
      <c r="B51" s="78" t="s">
        <v>5</v>
      </c>
      <c r="C51" s="79"/>
      <c r="D51" s="79"/>
      <c r="E51" s="32">
        <f>SUM(E8:E50)</f>
        <v>240</v>
      </c>
      <c r="F51" s="32">
        <f>SUM(F8:F50)</f>
        <v>180.75</v>
      </c>
      <c r="G51" s="71"/>
      <c r="H51" s="72"/>
      <c r="I51" s="72"/>
      <c r="J51" s="73"/>
    </row>
    <row r="52" spans="1:10" ht="30" customHeight="1" thickBot="1" x14ac:dyDescent="0.25">
      <c r="A52" s="4"/>
      <c r="B52" s="80" t="s">
        <v>54</v>
      </c>
      <c r="C52" s="81"/>
      <c r="D52" s="81"/>
      <c r="E52" s="47">
        <f>F51/E51/100*100</f>
        <v>0.75312500000000004</v>
      </c>
      <c r="F52" s="47"/>
      <c r="G52" s="47"/>
      <c r="H52" s="47"/>
      <c r="I52" s="47"/>
      <c r="J52" s="48"/>
    </row>
    <row r="53" spans="1:10" ht="30" customHeight="1" thickBot="1" x14ac:dyDescent="0.25">
      <c r="A53" s="4"/>
      <c r="B53" s="80" t="s">
        <v>55</v>
      </c>
      <c r="C53" s="81"/>
      <c r="D53" s="81"/>
      <c r="E53" s="67" t="str">
        <f>_xlfn.IFS(E52&gt;=90%,"ممتاز",E52&gt;=80%,"جيد جداً",E52&gt;=70%,"جيد",E52&gt;=60%,"مقبول",E52&lt;60%,"راسب")</f>
        <v>جيد</v>
      </c>
      <c r="F53" s="67"/>
      <c r="G53" s="67"/>
      <c r="H53" s="67"/>
      <c r="I53" s="67"/>
      <c r="J53" s="68"/>
    </row>
    <row r="54" spans="1:10" ht="42" customHeight="1" x14ac:dyDescent="0.2">
      <c r="B54" s="63" t="s">
        <v>174</v>
      </c>
      <c r="C54" s="63"/>
      <c r="D54" s="63"/>
      <c r="E54" s="69" t="s">
        <v>52</v>
      </c>
      <c r="F54" s="69"/>
      <c r="G54" s="65" t="s">
        <v>129</v>
      </c>
      <c r="H54" s="65"/>
      <c r="I54" s="65"/>
      <c r="J54" s="65"/>
    </row>
    <row r="55" spans="1:10" ht="51" customHeight="1" x14ac:dyDescent="0.2">
      <c r="A55" s="5"/>
      <c r="B55" s="64"/>
      <c r="C55" s="64"/>
      <c r="D55" s="64"/>
      <c r="E55" s="70" t="s">
        <v>53</v>
      </c>
      <c r="F55" s="70"/>
      <c r="G55" s="66"/>
      <c r="H55" s="66"/>
      <c r="I55" s="66"/>
      <c r="J55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7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1:D51"/>
    <mergeCell ref="B52:D52"/>
    <mergeCell ref="B53:D5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E55:F55"/>
    <mergeCell ref="G51:J51"/>
    <mergeCell ref="B46:D46"/>
    <mergeCell ref="B47:D47"/>
    <mergeCell ref="B48:D48"/>
    <mergeCell ref="B49:D49"/>
    <mergeCell ref="B50:D50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14" priority="57">
      <formula>$E53="راسب"</formula>
    </cfRule>
  </conditionalFormatting>
  <conditionalFormatting sqref="E53:J53">
    <cfRule type="expression" dxfId="13" priority="58">
      <formula>$E53="مقبول"</formula>
    </cfRule>
    <cfRule type="expression" dxfId="12" priority="59">
      <formula>$E53="جيد"</formula>
    </cfRule>
    <cfRule type="expression" dxfId="11" priority="60">
      <formula>$E53="جيد جداً"</formula>
    </cfRule>
    <cfRule type="expression" dxfId="10" priority="61">
      <formula>$E53="ممتاز"</formula>
    </cfRule>
  </conditionalFormatting>
  <conditionalFormatting sqref="F8:F5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6" priority="15" operator="containsText" text="أدخل اسم المحكم">
      <formula>NOT(ISERROR(SEARCH("أدخل اسم المحكم",G54)))</formula>
    </cfRule>
  </conditionalFormatting>
  <conditionalFormatting sqref="H8:H5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 F41:F43 F34:F39 F45:F49 F15:F16 F20:F22 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852B454-6D5D-4C33-9175-D7259D3C738D}">
          <x14:formula1>
            <xm:f>'بيانات التقييم'!$A$111:$A$153</xm:f>
          </x14:formula1>
          <xm:sqref>F9 F11 F30 F31 F32 F50</xm:sqref>
        </x14:dataValidation>
        <x14:dataValidation type="list" allowBlank="1" showInputMessage="1" showErrorMessage="1" xr:uid="{82A2A182-0965-4C61-A9F0-3A98764AF07E}">
          <x14:formula1>
            <xm:f>'بيانات التقييم'!$A$111:$A$145</xm:f>
          </x14:formula1>
          <xm:sqref>F12 F18 F19 F24 F26:F28</xm:sqref>
        </x14:dataValidation>
        <x14:dataValidation type="list" allowBlank="1" showInputMessage="1" showErrorMessage="1" xr:uid="{19037988-FC9F-40EA-8210-A979C2DA42BA}">
          <x14:formula1>
            <xm:f>'بيانات التقييم'!$A$111:$A$137</xm:f>
          </x14:formula1>
          <xm:sqref>F14 F17</xm:sqref>
        </x14:dataValidation>
        <x14:dataValidation type="list" allowBlank="1" showInputMessage="1" showErrorMessage="1" xr:uid="{69F002C2-061D-4B07-BEB4-294B39B24212}">
          <x14:formula1>
            <xm:f>'بيانات التقييم'!$A$111:$A$141</xm:f>
          </x14:formula1>
          <xm:sqref>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5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40440EA8-9573-4763-AAB4-821F38B5F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2025-09-22T05:51:08Z</dcterms:modified>
</cp:coreProperties>
</file>