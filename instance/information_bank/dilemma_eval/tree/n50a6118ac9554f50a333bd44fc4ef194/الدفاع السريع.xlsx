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080DC67-0664-2E43-87A7-FEAE5DE8BB2E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<sst xmlns="http://schemas.openxmlformats.org/spreadsheetml/2006/main" count="263" uniqueCount="207">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</sst>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373425</xdr:colOff>
      <xdr:row>35</xdr:row>
      <xdr:rowOff>93640</xdr:rowOff>
    </xdr:from>
    <xdr:to>
      <xdr:col>9</xdr:col>
      <xdr:colOff>296714</xdr:colOff>
      <xdr:row>39</xdr:row>
      <xdr:rowOff>84743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DA0253F-F25C-C824-519A-A277B246B470}"/>
                </a:ext>
              </a:extLst>
            </xdr14:cNvPr>
            <xdr14:cNvContentPartPr/>
          </xdr14:nvContentPartPr>
          <xdr14:nvPr macro=""/>
          <xdr14:xfrm>
            <a:off x="10398290105" y="16730640"/>
            <a:ext cx="1897560" cy="1740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0253F-F25C-C824-519A-A277B246B4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81105" y="16721640"/>
              <a:ext cx="1915200" cy="1757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40:18.1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3615 4688 17707,'0'0'0,"-2"-3"2073,2-1-1081,-5 1-448,5 3-544,0 0 296,0-2-152,0 2 40,0-3-16,0 3-168,0 0 120,0 0-72,0 0-8,0 0-8,0 0-272,0 0 488,0 0-152,-2-3-56,-1 0-24,3 3-16,-5-4 72,1-8-16,-1 8 0,-7-13 104,12 17-160,-3-13 120,1-2 80,-3-2 169,-9-2-89,14 19-280,0-21 472,-12-3-72,7-3-56,-12 0 40,17 27-384,-10-27 296,-2-2-16,-4 1-96,13-4 8,3 32-192,-17-28 232,3 0-136,4-2 48,-2 1 0,12 29-144,-5-28 48,-9-1 64,9 1 112,-12 0-112,17 28-112,-4-27 136,-11-2 8,10 2-96,-12 2 40,17 25-88,-4-28 56,-11 1-96,10 0-64,-9-1 0,14 28 104,-5-30-176,-7-1 144,7-2 80,3-1-136,2 34 88,-5-33 72,-7 2-56,10 0 0,-3 2 168,5 29-184,-10-28 240,10 1-31,-7 3-105,7 1 160,0 23-264,-5-18 48,0 1 192,3 1 0,2 3-224,0 13-16,0-11 136,-5 6-240,3-9-456,-3 11 664,3-8-88,2 11-16,0-3 96,-5-1 536,5 0-696,0-8 48,0 12 16,-5 0 104,5-4-224,0 0 80,0 1 56,0 3-16,0-3 24,0 0 24,0 3-64,0 0 0,0 0 16,0-3-40,0 3 48,0 0 72,0 0-96,0 0 16,2 0-72,3 0-24,0 0 56,7 0-96,-12 0 136,10 0 56,4 0-88,3 0-72,2 0 152,-19 0-48,22 0-48,-1 0 136,1 0-40,9 0 32,-31 0-80,29 0 8,5 0-8,12 0 112,-6-4-160,-40 4 48,44-13 16,1 2 0,-6-2-136,14-2 88,-53 15 32,55-19-152,5-2 304,5-3-152,3-2 120,-68 26-120,69-27 104,6-1-56,4-4 120,5 1-128,-84 31-40,87-31 160,-5 1-256,-3 0 112,1 0 88,-80 30-104,77-28-16,-3 1-136,-2 1 128,0 3-8,-72 23 32,68-19-16,-8 4 216,0 4-144,-9 8-192,-51 3 136,43-3-32,-7 3 128,-10 2-160,-6 10 48,-20-12 16,9 12 32,-4 2-136,-5 5 40,-5 3 32,5-22 32,-26 26 16,-8 4-120,-9 2 104,-12 4 104,55-36-104,-68 40-32,-4 2 32,-7 2 0,-6 3 0,85-47 0,-91 50 0,2 1 152,-7 5 0,-10 2-272,106-58 120,-108 61 64,-10 2-16,0 1-144,3 1 64,115-65 32,-118 67-32,0 0 128,0-2-216,0-2 120,118-63 0,-118 59-80,0-2-160,10 0 208,-2-2 80,110-55-48,-97 53-32,4 1-120,6-4 256,8-5-88,79-45-16,-77 42 120,7-6 16,7-4-88,8-5-32,55-27-16,-43 23 64,-1-5 24,11-2-72,6-2-320,27-14 304,-19 11-32,7-7 96,7 1-80,3-2 336,2-3-320,0 1 32,0-1-128,0 0 128,12-3 72,-12 3-104,12-11-16,7 7 16,8-18 0,4-2 0,-31 24 0,36-27-40,7-4-24,3-6 80,2-2-264,-48 39 248,53-42-120,5-2-16,2-2 120,-5-1 128,-55 47-112,58-47 120,0 2 16,4-2-152,-2 6-32,-60 41 48,56-40-32,1 6 80,-9 4-48,-7 6 0,-41 24 0,36-19 96,-4 7-56,-13 9 88,-5-2-24,-14 5-104,3 0 16,-1 0 0,-7 5 24,5-5-40,-14 14 32,-5 3-168,-13 6 88,-4 2-136,36-25 184,-41 30-152,-9 1 152,-3 4-72,0 2 160,53-37-88,-58 36 16,1 3 168,-1 2-168,-5-1-104,63-40 88,-67 41-16,0 2-152,-6-3 120,8-1 184,65-39-136,-64 37 120,3-5-24,11-7-24,2-6-208,48-19 136,-36 12-136,7-7 88,10-2 8,4-3 64,15 0-24,-5-3 96,1-10-48,4-3-80,2-5 48,-2 21-16,17-28-80,12-7 64,4-3 16,1-5-224,-34 43 224,43-42 72,5-1 64,-2 0 16,7 1 128,-53 42-280,53-40 56,-3 0-72,1 5 8,-8 3 80,-43 32-72,39-28-64,-6 5 128,-4 5 16,-5 5 24,-24 13-104,17-4 136,-12-1-136,0 5-24,-3 0 8,-2 0 16,3 0-32,-3 2-96,-8 4 104,-6 8-24,14-14 48,-14 13 16,-6 4 40,-1 1-56,-6 5-40,27-23 40,-26 23-32,-6 1 136,4 0-72,-4 0 80,32-24-112,-29 21 136,5 2-120,-4-4-32,8-4-64,20-15 80,-17 13-16,1-7-88,4 5 136,9-9 0,3-2-32,-5 1-48,3 0 104,2-1 24,0 0 0,0 0-80,0-4 88,0-7 24,5 6 8,0-13-24,-5 18-96,14-14 64,-9 0-32,7 1-80,-7 0 80,-5 13-32,12-11 0,-5 6-96,3-10 32,-6 12-104,-4 3 168,12-13-16,-12 9 16,12-8 48,-4 10 0,-8 2-48,16-5-96,-4-6 192,-7 8-144,7-1 184,-12 4-136,8-4 112,-6 1-128,3 3 80,0 0-96,-5 0 32,0-3 0,0 3-96,0 0 144,-3 0-80,3 0 32,-2 0-32,2 0 96,0 1-64,-5-1 32,5 0-32,0 0 96,0 0 104,-2 0-168,2 0 152,0 0-184,0 0 128,0 0-80,0 0 32,0 0 40,0 0-496,0 0 864,0 0-440,0 0 208,0 0-240,0 0-824,0 0 1728,0 0-760,0 0-80,0 0 32,0 0-1384,0 0 2609,0-3-1337,0 1 0,0 2 0,0-3 0,0 0 0,-5-1 0,0-8 0,5 12 0,-2-3 0,-15-9 0,12 9 0,-17-10 0,22 13 0,-17-3 0,-9-8 0,-8 8 0,-4 0 0,38 3 0,-48-4 0,-10 1 0,-5 0 0,-6 0-241,69 3 241,-80-4-224,-2 1 192,-9-1 224,-3-7 0,94 11-192,-108-5 80,-3-9-144,-11 0-64,-8-6-368,130 20 496,-123-26-376,-7-8 16,-2-6 328,5-6 152,127 46-120,-130-57-32,-3-6-120,71 25-920,-13-13 736,75 51 336,-67-59 112,-10-15 176,10-9 752,-6-24-400,73 107-640,-55-119 128,-3-26-336,25-15 152,23-15 8,10 175 48,10-190 152,31-10-104,91-196 64,48 44-144,-180 352 32,210-296-80,1 69 272,6 38-744,14 14 768,-231 175-216,240-155 96,20 18 208,4 21 305,3 23-609,-267 93 0,265-69 0,-10 30 0,-2 35 0,-13 10 0,-240-6 0,224 48 0,-20 19 0,-21 20-49,-17 16 65,-166-103-16,152 120-112,-23 13 16,-25 17-176,-27 17 128,-77-167 144,50 181-64,-26 10 48,-24 13 128,-26 15-288,26-219 176,-65 230-112,-19 12 144,-32 4-864,-30 3 528,146-249 304,-166 249-280,-20-4-320,-13-6 720,-15-6-696,214-233 576,-229 222-960,-11-14 71,-3-12-143,-3-21-520,246-175 1552,-238 160-2793,0-20-2360,-2-17-6073,240-123 11226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24" zoomScale="130" zoomScaleNormal="100" zoomScaleSheetLayoutView="130" workbookViewId="0">
      <selection activeCell="G38" sqref="G38:J3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4" t="s">
        <v>206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2">
      <c r="B2" s="12" t="s">
        <v>8</v>
      </c>
      <c r="C2" s="60" t="s">
        <v>37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 x14ac:dyDescent="0.2">
      <c r="B3" s="12" t="s">
        <v>9</v>
      </c>
      <c r="C3" s="60" t="s">
        <v>77</v>
      </c>
      <c r="D3" s="60"/>
      <c r="E3" s="12" t="s">
        <v>6</v>
      </c>
      <c r="F3" s="60" t="s">
        <v>101</v>
      </c>
      <c r="G3" s="60"/>
      <c r="H3" s="60"/>
      <c r="I3" s="60"/>
      <c r="J3" s="6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 x14ac:dyDescent="0.2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5" customHeight="1" thickBot="1" x14ac:dyDescent="0.25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50000000000003" customHeight="1" x14ac:dyDescent="0.2">
      <c r="A8" s="10"/>
      <c r="B8" s="45" t="s">
        <v>180</v>
      </c>
      <c r="C8" s="46"/>
      <c r="D8" s="46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9"/>
      <c r="J8" s="80"/>
    </row>
    <row r="9" spans="1:10" ht="39.950000000000003" customHeight="1" x14ac:dyDescent="0.2">
      <c r="A9" s="10"/>
      <c r="B9" s="43" t="s">
        <v>181</v>
      </c>
      <c r="C9" s="44"/>
      <c r="D9" s="44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9.950000000000003" customHeight="1" x14ac:dyDescent="0.2">
      <c r="A10" s="10"/>
      <c r="B10" s="43" t="s">
        <v>182</v>
      </c>
      <c r="C10" s="44"/>
      <c r="D10" s="44"/>
      <c r="E10" s="9">
        <v>5</v>
      </c>
      <c r="F10" s="26">
        <v>3.5</v>
      </c>
      <c r="G10" s="30">
        <f t="shared" ref="G10:G33" si="0">IFERROR(F10/E10,"")</f>
        <v>0.7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9.950000000000003" customHeight="1" x14ac:dyDescent="0.2">
      <c r="A11" s="10"/>
      <c r="B11" s="43" t="s">
        <v>183</v>
      </c>
      <c r="C11" s="44"/>
      <c r="D11" s="44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7"/>
      <c r="J11" s="48"/>
    </row>
    <row r="12" spans="1:10" ht="39.950000000000003" customHeight="1" x14ac:dyDescent="0.2">
      <c r="A12" s="10"/>
      <c r="B12" s="43" t="s">
        <v>184</v>
      </c>
      <c r="C12" s="44"/>
      <c r="D12" s="44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7"/>
      <c r="J12" s="48"/>
    </row>
    <row r="13" spans="1:10" ht="39.950000000000003" customHeight="1" x14ac:dyDescent="0.2">
      <c r="A13" s="10"/>
      <c r="B13" s="43" t="s">
        <v>185</v>
      </c>
      <c r="C13" s="44"/>
      <c r="D13" s="44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7"/>
      <c r="J13" s="48"/>
    </row>
    <row r="14" spans="1:10" ht="39.950000000000003" customHeight="1" x14ac:dyDescent="0.2">
      <c r="A14" s="10"/>
      <c r="B14" s="43" t="s">
        <v>186</v>
      </c>
      <c r="C14" s="44"/>
      <c r="D14" s="44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7"/>
      <c r="J14" s="48"/>
    </row>
    <row r="15" spans="1:10" ht="39.950000000000003" customHeight="1" x14ac:dyDescent="0.2">
      <c r="A15" s="10"/>
      <c r="B15" s="43" t="s">
        <v>187</v>
      </c>
      <c r="C15" s="44"/>
      <c r="D15" s="44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7"/>
      <c r="J15" s="48"/>
    </row>
    <row r="16" spans="1:10" ht="39.950000000000003" customHeight="1" x14ac:dyDescent="0.2">
      <c r="A16" s="10"/>
      <c r="B16" s="43" t="s">
        <v>188</v>
      </c>
      <c r="C16" s="44"/>
      <c r="D16" s="44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7"/>
      <c r="J16" s="48"/>
    </row>
    <row r="17" spans="1:10" ht="39.950000000000003" customHeight="1" x14ac:dyDescent="0.2">
      <c r="A17" s="10"/>
      <c r="B17" s="43" t="s">
        <v>189</v>
      </c>
      <c r="C17" s="44"/>
      <c r="D17" s="44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7"/>
      <c r="J17" s="48"/>
    </row>
    <row r="18" spans="1:10" ht="39.950000000000003" customHeight="1" x14ac:dyDescent="0.2">
      <c r="A18" s="10"/>
      <c r="B18" s="43" t="s">
        <v>190</v>
      </c>
      <c r="C18" s="44"/>
      <c r="D18" s="44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7"/>
      <c r="J18" s="48"/>
    </row>
    <row r="19" spans="1:10" ht="39.950000000000003" customHeight="1" x14ac:dyDescent="0.2">
      <c r="A19" s="10"/>
      <c r="B19" s="43" t="s">
        <v>191</v>
      </c>
      <c r="C19" s="44"/>
      <c r="D19" s="44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7"/>
      <c r="J19" s="48"/>
    </row>
    <row r="20" spans="1:10" ht="39.950000000000003" customHeight="1" x14ac:dyDescent="0.2">
      <c r="A20" s="10"/>
      <c r="B20" s="43" t="s">
        <v>192</v>
      </c>
      <c r="C20" s="44"/>
      <c r="D20" s="44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7"/>
      <c r="J20" s="48"/>
    </row>
    <row r="21" spans="1:10" ht="39.950000000000003" customHeight="1" x14ac:dyDescent="0.2">
      <c r="A21" s="10"/>
      <c r="B21" s="39" t="s">
        <v>193</v>
      </c>
      <c r="C21" s="40"/>
      <c r="D21" s="4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7"/>
      <c r="J21" s="48"/>
    </row>
    <row r="22" spans="1:10" ht="39.950000000000003" customHeight="1" x14ac:dyDescent="0.2">
      <c r="A22" s="10"/>
      <c r="B22" s="39" t="s">
        <v>194</v>
      </c>
      <c r="C22" s="40"/>
      <c r="D22" s="40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7"/>
      <c r="J22" s="48"/>
    </row>
    <row r="23" spans="1:10" ht="39.950000000000003" customHeight="1" x14ac:dyDescent="0.2">
      <c r="A23" s="10"/>
      <c r="B23" s="39" t="s">
        <v>195</v>
      </c>
      <c r="C23" s="40"/>
      <c r="D23" s="40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7"/>
      <c r="J23" s="48"/>
    </row>
    <row r="24" spans="1:10" ht="39.950000000000003" customHeight="1" x14ac:dyDescent="0.2">
      <c r="A24" s="10"/>
      <c r="B24" s="39" t="s">
        <v>196</v>
      </c>
      <c r="C24" s="40"/>
      <c r="D24" s="40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7"/>
      <c r="J24" s="48"/>
    </row>
    <row r="25" spans="1:10" ht="39.950000000000003" customHeight="1" x14ac:dyDescent="0.2">
      <c r="A25" s="10"/>
      <c r="B25" s="39" t="s">
        <v>197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7"/>
      <c r="J25" s="48"/>
    </row>
    <row r="26" spans="1:10" ht="39.950000000000003" customHeight="1" x14ac:dyDescent="0.2">
      <c r="A26" s="10"/>
      <c r="B26" s="39" t="s">
        <v>198</v>
      </c>
      <c r="C26" s="40"/>
      <c r="D26" s="40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7"/>
      <c r="J26" s="48"/>
    </row>
    <row r="27" spans="1:10" ht="39.950000000000003" customHeight="1" x14ac:dyDescent="0.2">
      <c r="A27" s="10"/>
      <c r="B27" s="39" t="s">
        <v>199</v>
      </c>
      <c r="C27" s="40"/>
      <c r="D27" s="40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7"/>
      <c r="J27" s="48"/>
    </row>
    <row r="28" spans="1:10" ht="39.950000000000003" customHeight="1" x14ac:dyDescent="0.2">
      <c r="A28" s="10"/>
      <c r="B28" s="39" t="s">
        <v>200</v>
      </c>
      <c r="C28" s="40"/>
      <c r="D28" s="40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7"/>
      <c r="J28" s="48"/>
    </row>
    <row r="29" spans="1:10" ht="39.950000000000003" customHeight="1" x14ac:dyDescent="0.2">
      <c r="A29" s="10"/>
      <c r="B29" s="39" t="s">
        <v>201</v>
      </c>
      <c r="C29" s="40"/>
      <c r="D29" s="40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7"/>
      <c r="J29" s="48"/>
    </row>
    <row r="30" spans="1:10" ht="39.950000000000003" customHeight="1" x14ac:dyDescent="0.2">
      <c r="A30" s="10"/>
      <c r="B30" s="39" t="s">
        <v>202</v>
      </c>
      <c r="C30" s="40"/>
      <c r="D30" s="40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7"/>
      <c r="J30" s="48"/>
    </row>
    <row r="31" spans="1:10" ht="39.950000000000003" customHeight="1" x14ac:dyDescent="0.2">
      <c r="A31" s="10"/>
      <c r="B31" s="39" t="s">
        <v>203</v>
      </c>
      <c r="C31" s="40"/>
      <c r="D31" s="40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47"/>
      <c r="J31" s="48"/>
    </row>
    <row r="32" spans="1:10" ht="39.950000000000003" customHeight="1" x14ac:dyDescent="0.2">
      <c r="A32" s="10"/>
      <c r="B32" s="39" t="s">
        <v>204</v>
      </c>
      <c r="C32" s="40"/>
      <c r="D32" s="40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7"/>
      <c r="J32" s="48"/>
    </row>
    <row r="33" spans="1:10" ht="39.950000000000003" customHeight="1" thickBot="1" x14ac:dyDescent="0.25">
      <c r="A33" s="10"/>
      <c r="B33" s="41" t="s">
        <v>205</v>
      </c>
      <c r="C33" s="42"/>
      <c r="D33" s="42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77"/>
      <c r="J33" s="78"/>
    </row>
    <row r="34" spans="1:10" ht="30" customHeight="1" thickBot="1" x14ac:dyDescent="0.25">
      <c r="A34" s="4"/>
      <c r="B34" s="81" t="s">
        <v>5</v>
      </c>
      <c r="C34" s="82"/>
      <c r="D34" s="82"/>
      <c r="E34" s="29">
        <f>SUM(E8:E33)</f>
        <v>130</v>
      </c>
      <c r="F34" s="29">
        <f>SUM(F8:F33)</f>
        <v>93.5</v>
      </c>
      <c r="G34" s="51"/>
      <c r="H34" s="52"/>
      <c r="I34" s="52"/>
      <c r="J34" s="53"/>
    </row>
    <row r="35" spans="1:10" ht="30" customHeight="1" thickBot="1" x14ac:dyDescent="0.25">
      <c r="A35" s="4"/>
      <c r="B35" s="83" t="s">
        <v>54</v>
      </c>
      <c r="C35" s="84"/>
      <c r="D35" s="84"/>
      <c r="E35" s="61">
        <f>F34/E34/100*100</f>
        <v>0.71923076923076923</v>
      </c>
      <c r="F35" s="61"/>
      <c r="G35" s="61"/>
      <c r="H35" s="61"/>
      <c r="I35" s="61"/>
      <c r="J35" s="62"/>
    </row>
    <row r="36" spans="1:10" ht="30" customHeight="1" thickBot="1" x14ac:dyDescent="0.25">
      <c r="A36" s="4"/>
      <c r="B36" s="83" t="s">
        <v>55</v>
      </c>
      <c r="C36" s="84"/>
      <c r="D36" s="84"/>
      <c r="E36" s="75" t="str">
        <f>_xlfn.IFS(E35&gt;=90%,"ممتاز",E35&gt;=80%,"جيد جداً",E35&gt;=70%,"جيد",E35&gt;=60%,"مقبول",E35&lt;60%,"راسب")</f>
        <v>جيد</v>
      </c>
      <c r="F36" s="75"/>
      <c r="G36" s="75"/>
      <c r="H36" s="75"/>
      <c r="I36" s="75"/>
      <c r="J36" s="76"/>
    </row>
    <row r="37" spans="1:10" ht="42" customHeight="1" x14ac:dyDescent="0.2">
      <c r="B37" s="71" t="s">
        <v>174</v>
      </c>
      <c r="C37" s="71"/>
      <c r="D37" s="71"/>
      <c r="E37" s="49" t="s">
        <v>52</v>
      </c>
      <c r="F37" s="49"/>
      <c r="G37" s="73" t="s">
        <v>101</v>
      </c>
      <c r="H37" s="73"/>
      <c r="I37" s="73"/>
      <c r="J37" s="73"/>
    </row>
    <row r="38" spans="1:10" ht="51" customHeight="1" x14ac:dyDescent="0.2">
      <c r="A38" s="5"/>
      <c r="B38" s="72"/>
      <c r="C38" s="72"/>
      <c r="D38" s="72"/>
      <c r="E38" s="50" t="s">
        <v>53</v>
      </c>
      <c r="F38" s="50"/>
      <c r="G38" s="74"/>
      <c r="H38" s="74"/>
      <c r="I38" s="74"/>
      <c r="J3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5:D25"/>
    <mergeCell ref="B27:D27"/>
    <mergeCell ref="B26:D26"/>
    <mergeCell ref="B17:D17"/>
    <mergeCell ref="B8:D8"/>
    <mergeCell ref="B33:D33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8:D28"/>
    <mergeCell ref="B29:D29"/>
    <mergeCell ref="B30:D30"/>
    <mergeCell ref="B31:D31"/>
    <mergeCell ref="B32:D3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