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411585F-A21A-5248-A794-D52C3D88CEEA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6" i="2"/>
  <c r="H26" i="2"/>
  <c r="G27" i="2"/>
  <c r="H27" i="2"/>
  <c r="G29" i="2"/>
  <c r="H29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<sst xmlns="http://schemas.openxmlformats.org/spreadsheetml/2006/main" count="265" uniqueCount="208">
  <si>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</si>
  <si>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</si>
  <si>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</si>
  <si>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</si>
  <si>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</si>
  <si>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</si>
  <si>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</si>
  <si>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</si>
  <si>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</si>
  <si>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</si>
  <si>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</si>
  <si>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</si>
  <si>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</si>
  <si>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</si>
  <si>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</si>
  <si>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</si>
  <si>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</si>
  <si>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</si>
  <si>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</si>
  <si>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</si>
  <si>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</si>
  <si>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</si>
  <si>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</si>
  <si>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</si>
  <si>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</si>
  <si>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</si>
  <si>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</si>
  <si>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</si>
  <si>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</si>
  <si>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</si>
  <si>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</si>
  <si>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</si>
  <si>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</si>
  <si>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</si>
  <si>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</si>
  <si>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</si>
  <si>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</si>
  <si>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</si>
  <si>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</si>
  <si>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</si>
  <si>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</si>
  <si>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</si>
  <si>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</si>
  <si>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</si>
  <si>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</si>
  <si>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</si>
  <si>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</si>
  <si>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</si>
  <si>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</si>
  <si>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</si>
  <si>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</si>
  <si>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</si>
  <si>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</si>
  <si>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</si>
  <si>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</si>
  <si>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</si>
  <si>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</si>
  <si>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</si>
  <si>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</si>
  <si>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</si>
  <si>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</si>
  <si>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</si>
  <si>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</si>
  <si>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</si>
  <si>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</si>
  <si>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</si>
  <si>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</si>
  <si>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</si>
  <si>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</si>
  <si>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</si>
  <si>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</si>
  <si>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</si>
  <si>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</si>
  <si>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</si>
  <si>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</si>
  <si>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</si>
  <si>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</si>
  <si>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</si>
  <si>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</si>
  <si>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</si>
  <si>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</si>
  <si>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</si>
  <si>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</si>
  <si>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</si>
  <si>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</si>
  <si>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</si>
  <si>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</si>
  <si>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</si>
  <si>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</si>
  <si>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</si>
  <si>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</si>
  <si>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</si>
  <si>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</si>
  <si>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</si>
  <si>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</si>
  <si>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</si>
  <si>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</si>
  <si>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</si>
  <si>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</si>
  <si>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</si>
  <si>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</si>
  <si>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</si>
  <si>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</si>
  <si>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</si>
  <si>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</si>
  <si>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</si>
  <si>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</si>
  <si>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</si>
  <si>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</si>
  <si>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</si>
  <si>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</si>
  <si>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</si>
  <si>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</si>
  <si>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</si>
  <si>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</si>
  <si>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</si>
  <si>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</si>
  <si>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</si>
  <si>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</si>
  <si>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</si>
  <si>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</si>
  <si>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</si>
  <si>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</si>
  <si>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</si>
  <si>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</si>
  <si>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</si>
  <si>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</si>
  <si>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</si>
  <si>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</si>
  <si>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</si>
  <si>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</si>
  <si>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</si>
  <si>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</si>
  <si>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</si>
  <si>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</si>
  <si>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</si>
  <si>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</si>
  <si>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</si>
  <si>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</si>
  <si>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</si>
  <si>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</si>
  <si>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</si>
  <si>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</si>
  <si>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</si>
  <si>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</si>
  <si>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</si>
  <si>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</si>
  <si>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</si>
  <si>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</si>
  <si>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</si>
  <si>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</si>
  <si>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</si>
  <si>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</si>
  <si>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</si>
  <si>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</si>
  <si>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</si>
  <si>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</si>
  <si>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</si>
  <si>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</si>
  <si>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</si>
  <si>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</si>
  <si>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</si>
  <si>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</si>
  <si>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</si>
  <si>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</si>
  <si>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</si>
  <si>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</si>
  <si>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</si>
  <si>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</si>
  <si>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</si>
  <si>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</si>
  <si>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</si>
  <si>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</si>
  <si>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</si>
  <si>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</si>
  <si>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</si>
  <si>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</si>
  <si>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</si>
  <si>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</si>
  <si>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</si>
  <si>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السرية الطبية في التنقل التعبوي من منطقة الحشد إلى منطقة التجمع التعبوية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</si>
  <si>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تهيئه وتحضير القوة للحركة وإصدار امر التنقل.</t>
  </si>
  <si>
    <r>
      <t>1.</t>
    </r>
    <r>
      <rPr>
        <b/>
        <sz val="12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التخطيط</t>
    </r>
  </si>
  <si>
    <t>أ.   ينفذ قائد السرية الطبية إجراءات قيادة اللواء.</t>
  </si>
  <si>
    <t>ب. توفر خطة الاخلاء الطبي.</t>
  </si>
  <si>
    <r>
      <t>2.</t>
    </r>
    <r>
      <rPr>
        <sz val="12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أمر التنقل</t>
    </r>
  </si>
  <si>
    <t>أ.   خط المسير التعبوي ونقاط التفقد.</t>
  </si>
  <si>
    <t>ب. خط المسير البديل.</t>
  </si>
  <si>
    <t>جـ. موقع نقطة التجمع عند الوصول.</t>
  </si>
  <si>
    <t>د.  توقيتات الحركة.</t>
  </si>
  <si>
    <t>هـ. تنظيم القافلة.</t>
  </si>
  <si>
    <t>و.  سرعة القافلة.</t>
  </si>
  <si>
    <t>ز. المسافات الفاصلة بين الآليات.</t>
  </si>
  <si>
    <t>ح. الإمداد / التوقف للاستراحة.</t>
  </si>
  <si>
    <r>
      <t>3.</t>
    </r>
    <r>
      <rPr>
        <b/>
        <sz val="12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الجسم الرئيسي للقافلة</t>
    </r>
  </si>
  <si>
    <t>أ.   تجهيز الأفراد والمعدات للحركة وتفقدات ما قبل القتال من قبل ضباط الصف.</t>
  </si>
  <si>
    <t>ب. الأوامر والخرائط والشفافات وتدريب الوحدة عليها.</t>
  </si>
  <si>
    <t>جـ. تفقد أجهزة اللاسلكي.</t>
  </si>
  <si>
    <t>د.  الحركة لمنطقة الاستعداد.</t>
  </si>
  <si>
    <t>هـ. استكمال الطاقم الطبي المؤهل بالنسبة لعدد آليات الاسعاف</t>
  </si>
  <si>
    <t>و.  توفر الأسلحة الشخصية والخوذة والبيكات</t>
  </si>
  <si>
    <r>
      <t>تنفيذ التنقل التعبوي</t>
    </r>
    <r>
      <rPr>
        <b/>
        <sz val="12"/>
        <color rgb="FF000000"/>
        <rFont val="Arial"/>
        <family val="2"/>
      </rPr>
      <t>.</t>
    </r>
  </si>
  <si>
    <r>
      <t>1.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عبور نقطة البدء على التوقيت المحدد.</t>
    </r>
  </si>
  <si>
    <r>
      <t>2.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المناظير الليلية.</t>
    </r>
  </si>
  <si>
    <r>
      <t>3.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الحفاظ على السرعة المحددة.</t>
    </r>
  </si>
  <si>
    <r>
      <t>4.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الحفاظ على المسافات الفاصلة.</t>
    </r>
  </si>
  <si>
    <r>
      <t>5.</t>
    </r>
    <r>
      <rPr>
        <sz val="12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تمركز القائد مناسب لتحقيق أفضل سيطرة على الوحدة.</t>
    </r>
  </si>
  <si>
    <t xml:space="preserve">رائد طبيب علي النقبي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</si>
</sst>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3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451154</xdr:colOff>
      <xdr:row>37</xdr:row>
      <xdr:rowOff>154853</xdr:rowOff>
    </xdr:from>
    <xdr:to>
      <xdr:col>9</xdr:col>
      <xdr:colOff>572114</xdr:colOff>
      <xdr:row>37</xdr:row>
      <xdr:rowOff>520973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E94E789-9A43-0C9E-E763-74EDDD2E0D5E}"/>
                </a:ext>
              </a:extLst>
            </xdr14:cNvPr>
            <xdr14:cNvContentPartPr/>
          </xdr14:nvContentPartPr>
          <xdr14:nvPr macro=""/>
          <xdr14:xfrm>
            <a:off x="10398014705" y="14500080"/>
            <a:ext cx="120960" cy="3661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E94E789-9A43-0C9E-E763-74EDDD2E0D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05705" y="14491080"/>
              <a:ext cx="138600" cy="38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596985</xdr:colOff>
      <xdr:row>37</xdr:row>
      <xdr:rowOff>49013</xdr:rowOff>
    </xdr:from>
    <xdr:to>
      <xdr:col>9</xdr:col>
      <xdr:colOff>779114</xdr:colOff>
      <xdr:row>37</xdr:row>
      <xdr:rowOff>535373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F8B2330-40BE-0C68-F0F9-A1F2EA655263}"/>
                </a:ext>
              </a:extLst>
            </xdr14:cNvPr>
            <xdr14:cNvContentPartPr/>
          </xdr14:nvContentPartPr>
          <xdr14:nvPr macro=""/>
          <xdr14:xfrm>
            <a:off x="10397807705" y="14394240"/>
            <a:ext cx="2156400" cy="486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F8B2330-40BE-0C68-F0F9-A1F2EA65526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798705" y="14385240"/>
              <a:ext cx="2174040" cy="50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14:07:25.8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 15547,'0'0'0,"0"0"0,0-1 1072,5-1-472,-3 1-216,-2 0-112,0 1-272,3-2 176,-1 2-112,1-1 16,1-1-64,-4 2-16,3 0-88,-1 0 80,1 0-128,-1 0-24,-2 0 160,5 3-88,0 1 32,-1 11 8,8-3-32,-12-12 80,0 15-56,5 3-16,-2 4 48,2 2 128,-5-24-104,12 28 96,-8 3-16,6 3 24,-10-34-104,2 40-256,20 40 8,-5 1 64,0 0-64,0-6 280,-17-75-32,14 70 0,-2-9 8,2-10 16,1-11-8,-15-40-16,12 36 88,0-2-40,0-6 32,0-1 0,-12-27-80,12 24 80,-2-2 0,-6-4-32,11-4 16,-15-14-64,2 13 8,3-9-64,7 8-304,-12-12-944,0 0 1304,3 0-2393,-3 0-1263,0-5-2434,0 5 6090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14:07:28.1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248 455 22316,'0'0'0,"-5"-6"1769,3 1-1657,2 5-112,-3-12-56,1 8-32,0-2-416,-6-6-129,8 12 633,0-5-1072,-2-9-184,2 8-56,0-11 159,0 17 1153,0-13-760,2-1 200,15-1 448,-7-1 80,-10 16 32,17-16 8,2 2 64,5 1-72,2 1 40,-26 12-40,32-12 96,4 1-176,43-9 24,3 4-24,-82 16 80,87-4-136,-3 3 192,-2 3 24,-6 18-24,-76-20-56,75 22 88,-15 6-64,3 2-32,-3 4 16,-60-34-8,55 37-80,-2 1 72,2 4-32,-6 0-40,-49-42 80,45 46-88,-4 1-80,-5-2-56,-9 2 96,-27-47 128,21 48-168,-4 1-8,-14 0-56,-3 0-48,0-49 280,-5 48-208,-12-1 48,-5 1 144,-7-1-16,29-47 32,-33 47 24,-6-4 96,-4-2 96,-5-4 64,48-37-280,-51 34 368,-4-5 120,2-4 24,-7-5 56,60-20-568,-63 13 560,1-10-120,33 0 105,-7-3-33,36 0-512,-31 0 512,-5-5-40,-1-6-152,4 0-64,33 11-256,-34-16 304,-2-1-32,2-4-48,3-2 8,31 23-232,-26-27-16,-1-2-48,8-2-24,2-2-8,17 33 96,-12-34-40,7-1 16,3-2 120,2 0-240,0 37 144,31-73-208,15 9 112,14 7-120,15 9 176,-75 48 40,79-38 64,3 8 0,2 9-32,-5 6 64,-79 15-96,75-4 104,2 0-24,0 4 0,0 3-104,-77-3 24,74 14-56,8 6-152,48 21 8,-24 5 16,-106-46 184,77 44-216,-27-9 192,-9 4-40,-5 0 0,-36-39 64,32 42-64,-8-3-8,-5 0-48,-5-5 24,-14-34 96,3 33-112,1-4-64,-4-3 24,-2-2 56,2-24 96,-5 21-152,-9-2 128,-1-3 48,3-4 56,12-12-80,-12 5 168,-7 7 0,0-12-32,0 0-16,19 0-120,-20-2 192,-4-13 0,0-2 24,0-7-120,24 24-96,-29-30-48,8-7-184,1-8-216,6-6-16,14 51 464,-2-54-368,2 1 240,4 3 216,13 3 72,-17 47-160,19-44 152,3 6-104,0 1-24,2 3 48,-24 34-72,29-29 128,0 8-32,2 5 56,-2 12-16,-29 4-136,33-1 136,1 1 56,5 4-128,-3 17-24,-36-21-40,36 22-40,-3 6-24,-4 5 56,0 2 16,-29-35-8,24 37 24,-5 0-48,-4 2-16,2-2 32,-17-37 8,9 34-80,-4-2 184,7-3 32,-12-2-104,0-27-32,0 23 112,5-3-112,-3-3-48,-2-5 112,0-12-64,0 5 48,0 7 96,0-12 72,0 3-24,0-3-192,5 0 224,-5 0 8,0 0-24,0 0 56,0 0-264,0-1 104,0-3-304,0-12-712,-2 0-1136,2 16 2048,-3-24-4961,3-14-1961,0-6 785,0 44 6137</inkml:trace>
  <inkml:trace contextRef="#ctx0" brushRef="#br0" timeOffset="1">2685 47 26749,'0'0'0,"-5"-21"1729,0 8-1649,5 13-80,-12-13-104,12 13-136,-7 4-33,7 15 25,0-19 248,-3 24-176,3 9 72,0 9-160,15 8 80,-15-50 184,12 57 0,5 6-376,2 0 272,0 6-24,-19-69 128,17 69-176,-5 1 168,5-3-136,-5-5 56,-12-62 88,12 59-96,5-10 152,-5-6 96,2-2-136,-14-41-16,15 37-72,-1-3 64,0-1-24,3-5 72,-17-28-40,15 28 32,4-4-48,-5-2-80,6 0 176,-20-22-80,21 20 160,-1-5-136,1 1-32,-2-3-64,-19-13 72,22 4-128,-3 10 128,-2-11-32,-2-3-112,-15 0 144,16 0-448,-1 0 16,-3-6-152,5-8-224,-17 14 808,14-16-873,3-3-399,0-7-224,2-8-393,-19 34 1889,22-40-2264,2-10-201,-3-5-263,3-8 135,-24 63 2593,20-72-2192,1-8 223,-4-6-39,5-3 632,-22 89 1376,0 0 0</inkml:trace>
  <inkml:trace contextRef="#ctx0" brushRef="#br0" timeOffset="2">3505 346 10826,'0'0'0,"55"-91"3401,-21 48-1649,-10 16-808,-24 27-944,22-16 728,-8 5-16,-4 5 65,-6-5 47,-4 11-824,10-3 824,-10-1 16,5-1-56,0 3-64,-5 2-720,0-2 609,2 1-169,-2-1-152,2 2-248,-2 0-40,0 0 0,0 12-80,0 1-8,-2 8 88,2-21 0,0 31-48,-2 12 32,2 9-64,0 9-72,0-61 152,2 69-88,10 6 24,-10 5 104,10 1 16,-12-81-56,8 78 0,13-8 24,-4-6-32,2-8 48,-19-56-40,24 50 80,1-3-8,6-7-24,5-3 8,-36-37-56,41 32 96,0-5 32,-5-4 8,5-4-8,-41-19-128,43 14 112,-5-10 0,8-1 0,0-3-72,0-4-24,4-15-56,-2 1-48,5-4 104,-53 22-16,55-25-56,-4-4 96,11-2 0,-1-3-80,-61 34 40,65-35-24,-1-2-24,1 1 48,3 1-8,-68 35 8,67-35 8,0 3-48,6-1-16,-4 0 32,-69 33 24,70-31-72,0 0 112,-5 1-56,0 1 88,-65 29-72,60-25 112,-2 2-96,-1 6 0,-9 1-120,-48 16 104,49-12-24,-4 6 40,-1-8 64,-4 9 104,-40 5-184,34-5 0,-7-1 96,-6 2-96,-2 0-80,-19 4 80,15-3 80,-10 1-120,-3 1 80,1-1-8,-3 2-32,0 0 80,0 0 120,0-1-232,-3 0 120,3 1-88,-19-2-168,-3-1 0,-11 2 96,-16 0-96,49 1 168,-57-2-32,-11 2 24,-9 0-40,-7 0 48,84 0 0,-96 0-192,-7 0 0,-10 3-8,-10 0 272,123-3-72,-132 3 56,-10 1-112,-12 10 112,-7-10-264,161-4 208,-178 19 16,-5-3 8,-2 3-8,-10 1-16,195-20 0,-188 20 56,-2-1 56,0-2-72,2 0 16,188-17-56,-185 17-56,5-3-96,4 0 168,10-2-16,166-12 0,-158 4-32,6 9 112,77-13 24,-16 3 56,91-3-160,-87 2 144,-16 3-120,4-2-88,-9 1-48,108-4 112,-101 4-48,-12 0 8,12 8-16,2-12-8,99 0 64,-89 4-200,51-1 368,-5 0-16,2-1-56,41-2-96,-39 3 240,1 0-280,-3 0 80,5 0-24,36-3-16,-36 0 80,2 3-32,0 0-8,3-3-56,31 0 16,-26 2-56,2 1 40,-3-3-24,3 0 16,24 0 24,-19 3 24,-3-3-8,8 3 8,2-3 160,12 0-184,-12 0 144,5 0-120,-5 0 136,7 0-192,5 0 32,-3 0-88,-4 0 152,5 0-248,-6 0 136,8 0 48,-4 0 48,-4 0-104,-4 0 152,10 3 0,2-3-96,-2 0 32,-6 0-48,-4 3-24,8-3-120,4 0 160,-10 2-80,5-2 80,-9 3-112,6-3 136,8 0-24,-12 3 48,8 0-24,-13 0-24,14 0-72,3-3 72,-14 2-8,7 1-8,-8 0 152,6 0-120,9-3-16,-12 4-56,0-1-96,0 1-88,0 1 328,12-5-88,-15 4-128,3 0 280,2 0 6625,-2 1-6577,12-5-200,-2 4-6441,-12 0 6185,9 1 104,-7-3-112,12-2 264,-5 3-104,3 0 136,-10 0-200,9 0 56,3-3 112,-5 0 6049,1 3-13395,-1-3 4170,5 2-3586,0-2 6762,-3 0-8145,3 0 8145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G37" sqref="G37:J3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1" t="s">
        <v>180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2">
      <c r="B2" s="10" t="s">
        <v>8</v>
      </c>
      <c r="C2" s="67" t="s">
        <v>31</v>
      </c>
      <c r="D2" s="67"/>
      <c r="E2" s="10" t="s">
        <v>7</v>
      </c>
      <c r="F2" s="62" t="s">
        <v>56</v>
      </c>
      <c r="G2" s="62"/>
      <c r="H2" s="62"/>
      <c r="I2" s="62"/>
      <c r="J2" s="62"/>
    </row>
    <row r="3" spans="1:10" ht="30" customHeight="1" x14ac:dyDescent="0.2">
      <c r="B3" s="10" t="s">
        <v>9</v>
      </c>
      <c r="C3" s="67" t="s">
        <v>60</v>
      </c>
      <c r="D3" s="67"/>
      <c r="E3" s="10" t="s">
        <v>6</v>
      </c>
      <c r="F3" s="67" t="s">
        <v>138</v>
      </c>
      <c r="G3" s="67"/>
      <c r="H3" s="67"/>
      <c r="I3" s="67"/>
      <c r="J3" s="67"/>
    </row>
    <row r="4" spans="1:10" ht="30" customHeight="1" thickBot="1" x14ac:dyDescent="0.25">
      <c r="B4" s="6"/>
      <c r="C4" s="45" t="s">
        <v>207</v>
      </c>
      <c r="D4" s="45"/>
      <c r="E4" s="6"/>
      <c r="F4" s="45"/>
      <c r="G4" s="45"/>
      <c r="H4" s="45"/>
      <c r="I4" s="45"/>
      <c r="J4" s="45"/>
    </row>
    <row r="5" spans="1:10" ht="24.95" customHeight="1" x14ac:dyDescent="0.2">
      <c r="A5" s="8"/>
      <c r="B5" s="63" t="s">
        <v>0</v>
      </c>
      <c r="C5" s="64"/>
      <c r="D5" s="64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25">
      <c r="A6" s="8"/>
      <c r="B6" s="65"/>
      <c r="C6" s="66"/>
      <c r="D6" s="66"/>
      <c r="E6" s="9" t="s">
        <v>3</v>
      </c>
      <c r="F6" s="9" t="s">
        <v>4</v>
      </c>
      <c r="G6" s="9" t="s">
        <v>23</v>
      </c>
      <c r="H6" s="9" t="s">
        <v>24</v>
      </c>
      <c r="I6" s="74"/>
      <c r="J6" s="75"/>
    </row>
    <row r="7" spans="1:10" ht="24.95" customHeight="1" thickBot="1" x14ac:dyDescent="0.25">
      <c r="A7" s="8"/>
      <c r="B7" s="70" t="s">
        <v>21</v>
      </c>
      <c r="C7" s="71"/>
      <c r="D7" s="71"/>
      <c r="E7" s="30" t="s">
        <v>18</v>
      </c>
      <c r="F7" s="30" t="s">
        <v>19</v>
      </c>
      <c r="G7" s="30" t="s">
        <v>22</v>
      </c>
      <c r="H7" s="30" t="s">
        <v>20</v>
      </c>
      <c r="I7" s="76" t="s">
        <v>25</v>
      </c>
      <c r="J7" s="77"/>
    </row>
    <row r="8" spans="1:10" ht="30" customHeight="1" x14ac:dyDescent="0.2">
      <c r="A8" s="8"/>
      <c r="B8" s="80" t="s">
        <v>181</v>
      </c>
      <c r="C8" s="81"/>
      <c r="D8" s="81"/>
      <c r="E8" s="26"/>
      <c r="F8" s="34"/>
      <c r="G8" s="35"/>
      <c r="H8" s="36"/>
      <c r="I8" s="46"/>
      <c r="J8" s="47"/>
    </row>
    <row r="9" spans="1:10" ht="30" customHeight="1" x14ac:dyDescent="0.2">
      <c r="A9" s="8"/>
      <c r="B9" s="82" t="s">
        <v>182</v>
      </c>
      <c r="C9" s="83"/>
      <c r="D9" s="83"/>
      <c r="E9" s="7"/>
      <c r="F9" s="24"/>
      <c r="G9" s="32"/>
      <c r="H9" s="33"/>
      <c r="I9" s="41"/>
      <c r="J9" s="42"/>
    </row>
    <row r="10" spans="1:10" ht="30" customHeight="1" x14ac:dyDescent="0.2">
      <c r="A10" s="8"/>
      <c r="B10" s="78" t="s">
        <v>183</v>
      </c>
      <c r="C10" s="79"/>
      <c r="D10" s="79"/>
      <c r="E10" s="7">
        <v>5</v>
      </c>
      <c r="F10" s="24">
        <v>3.75</v>
      </c>
      <c r="G10" s="32">
        <f t="shared" ref="G10:G33" si="0">IFERROR(F10/E10,"")</f>
        <v>0.75</v>
      </c>
      <c r="H10" s="33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0" customHeight="1" thickBot="1" x14ac:dyDescent="0.25">
      <c r="A11" s="8"/>
      <c r="B11" s="84" t="s">
        <v>184</v>
      </c>
      <c r="C11" s="85"/>
      <c r="D11" s="85"/>
      <c r="E11" s="27">
        <v>5</v>
      </c>
      <c r="F11" s="25">
        <v>3.75</v>
      </c>
      <c r="G11" s="37">
        <f t="shared" si="0"/>
        <v>0.75</v>
      </c>
      <c r="H11" s="38" t="str">
        <f t="shared" si="1"/>
        <v>جيد</v>
      </c>
      <c r="I11" s="43"/>
      <c r="J11" s="44"/>
    </row>
    <row r="12" spans="1:10" ht="30" customHeight="1" x14ac:dyDescent="0.2">
      <c r="A12" s="8"/>
      <c r="B12" s="86" t="s">
        <v>185</v>
      </c>
      <c r="C12" s="87"/>
      <c r="D12" s="87"/>
      <c r="E12" s="28"/>
      <c r="F12" s="34"/>
      <c r="G12" s="35"/>
      <c r="H12" s="36"/>
      <c r="I12" s="46"/>
      <c r="J12" s="47"/>
    </row>
    <row r="13" spans="1:10" ht="30" customHeight="1" x14ac:dyDescent="0.2">
      <c r="A13" s="8"/>
      <c r="B13" s="78" t="s">
        <v>186</v>
      </c>
      <c r="C13" s="79"/>
      <c r="D13" s="79"/>
      <c r="E13" s="7">
        <v>5</v>
      </c>
      <c r="F13" s="24">
        <v>3.75</v>
      </c>
      <c r="G13" s="32">
        <f t="shared" si="0"/>
        <v>0.75</v>
      </c>
      <c r="H13" s="33" t="str">
        <f t="shared" si="1"/>
        <v>جيد</v>
      </c>
      <c r="I13" s="41"/>
      <c r="J13" s="42"/>
    </row>
    <row r="14" spans="1:10" ht="30" customHeight="1" x14ac:dyDescent="0.2">
      <c r="A14" s="8"/>
      <c r="B14" s="78" t="s">
        <v>187</v>
      </c>
      <c r="C14" s="79"/>
      <c r="D14" s="79"/>
      <c r="E14" s="7">
        <v>5</v>
      </c>
      <c r="F14" s="24">
        <v>3.75</v>
      </c>
      <c r="G14" s="32">
        <f t="shared" si="0"/>
        <v>0.75</v>
      </c>
      <c r="H14" s="33" t="str">
        <f t="shared" si="1"/>
        <v>جيد</v>
      </c>
      <c r="I14" s="41"/>
      <c r="J14" s="42"/>
    </row>
    <row r="15" spans="1:10" ht="30" customHeight="1" x14ac:dyDescent="0.2">
      <c r="A15" s="8"/>
      <c r="B15" s="78" t="s">
        <v>188</v>
      </c>
      <c r="C15" s="79"/>
      <c r="D15" s="79"/>
      <c r="E15" s="7">
        <v>5</v>
      </c>
      <c r="F15" s="24">
        <v>3.75</v>
      </c>
      <c r="G15" s="32">
        <f t="shared" si="0"/>
        <v>0.75</v>
      </c>
      <c r="H15" s="33" t="str">
        <f t="shared" si="1"/>
        <v>جيد</v>
      </c>
      <c r="I15" s="41"/>
      <c r="J15" s="42"/>
    </row>
    <row r="16" spans="1:10" ht="30" customHeight="1" x14ac:dyDescent="0.2">
      <c r="A16" s="8"/>
      <c r="B16" s="78" t="s">
        <v>189</v>
      </c>
      <c r="C16" s="79"/>
      <c r="D16" s="79"/>
      <c r="E16" s="7">
        <v>5</v>
      </c>
      <c r="F16" s="24">
        <v>3.75</v>
      </c>
      <c r="G16" s="32">
        <f t="shared" si="0"/>
        <v>0.75</v>
      </c>
      <c r="H16" s="33" t="str">
        <f t="shared" si="1"/>
        <v>جيد</v>
      </c>
      <c r="I16" s="41"/>
      <c r="J16" s="42"/>
    </row>
    <row r="17" spans="1:10" ht="30" customHeight="1" x14ac:dyDescent="0.2">
      <c r="A17" s="8"/>
      <c r="B17" s="78" t="s">
        <v>190</v>
      </c>
      <c r="C17" s="79"/>
      <c r="D17" s="79"/>
      <c r="E17" s="7">
        <v>5</v>
      </c>
      <c r="F17" s="24">
        <v>3.75</v>
      </c>
      <c r="G17" s="32">
        <f t="shared" si="0"/>
        <v>0.75</v>
      </c>
      <c r="H17" s="33" t="str">
        <f t="shared" si="1"/>
        <v>جيد</v>
      </c>
      <c r="I17" s="41"/>
      <c r="J17" s="42"/>
    </row>
    <row r="18" spans="1:10" ht="30" customHeight="1" x14ac:dyDescent="0.2">
      <c r="A18" s="8"/>
      <c r="B18" s="78" t="s">
        <v>191</v>
      </c>
      <c r="C18" s="79"/>
      <c r="D18" s="79"/>
      <c r="E18" s="7">
        <v>5</v>
      </c>
      <c r="F18" s="24">
        <v>3.75</v>
      </c>
      <c r="G18" s="32">
        <f t="shared" si="0"/>
        <v>0.75</v>
      </c>
      <c r="H18" s="33" t="str">
        <f t="shared" si="1"/>
        <v>جيد</v>
      </c>
      <c r="I18" s="41"/>
      <c r="J18" s="42"/>
    </row>
    <row r="19" spans="1:10" ht="30" customHeight="1" x14ac:dyDescent="0.2">
      <c r="A19" s="8"/>
      <c r="B19" s="78" t="s">
        <v>192</v>
      </c>
      <c r="C19" s="79"/>
      <c r="D19" s="79"/>
      <c r="E19" s="7">
        <v>5</v>
      </c>
      <c r="F19" s="24">
        <v>3.75</v>
      </c>
      <c r="G19" s="32">
        <f t="shared" si="0"/>
        <v>0.75</v>
      </c>
      <c r="H19" s="33" t="str">
        <f t="shared" si="1"/>
        <v>جيد</v>
      </c>
      <c r="I19" s="41"/>
      <c r="J19" s="42"/>
    </row>
    <row r="20" spans="1:10" ht="30" customHeight="1" thickBot="1" x14ac:dyDescent="0.25">
      <c r="A20" s="8"/>
      <c r="B20" s="84" t="s">
        <v>193</v>
      </c>
      <c r="C20" s="85"/>
      <c r="D20" s="85"/>
      <c r="E20" s="27">
        <v>5</v>
      </c>
      <c r="F20" s="25">
        <v>3.75</v>
      </c>
      <c r="G20" s="37">
        <f t="shared" si="0"/>
        <v>0.75</v>
      </c>
      <c r="H20" s="38" t="str">
        <f t="shared" si="1"/>
        <v>جيد</v>
      </c>
      <c r="I20" s="43"/>
      <c r="J20" s="44"/>
    </row>
    <row r="21" spans="1:10" ht="30" customHeight="1" x14ac:dyDescent="0.2">
      <c r="A21" s="8"/>
      <c r="B21" s="92" t="s">
        <v>194</v>
      </c>
      <c r="C21" s="93"/>
      <c r="D21" s="93"/>
      <c r="E21" s="28"/>
      <c r="F21" s="34"/>
      <c r="G21" s="35"/>
      <c r="H21" s="36"/>
      <c r="I21" s="46"/>
      <c r="J21" s="47"/>
    </row>
    <row r="22" spans="1:10" ht="37.5" customHeight="1" x14ac:dyDescent="0.2">
      <c r="A22" s="8"/>
      <c r="B22" s="78" t="s">
        <v>195</v>
      </c>
      <c r="C22" s="79"/>
      <c r="D22" s="79"/>
      <c r="E22" s="7">
        <v>5</v>
      </c>
      <c r="F22" s="24">
        <v>3.75</v>
      </c>
      <c r="G22" s="32">
        <f t="shared" si="0"/>
        <v>0.75</v>
      </c>
      <c r="H22" s="33" t="str">
        <f t="shared" si="1"/>
        <v>جيد</v>
      </c>
      <c r="I22" s="41"/>
      <c r="J22" s="42"/>
    </row>
    <row r="23" spans="1:10" ht="30" customHeight="1" x14ac:dyDescent="0.2">
      <c r="A23" s="8"/>
      <c r="B23" s="78" t="s">
        <v>196</v>
      </c>
      <c r="C23" s="79"/>
      <c r="D23" s="79"/>
      <c r="E23" s="7">
        <v>5</v>
      </c>
      <c r="F23" s="24">
        <v>3.75</v>
      </c>
      <c r="G23" s="32">
        <f t="shared" si="0"/>
        <v>0.75</v>
      </c>
      <c r="H23" s="33" t="str">
        <f t="shared" si="1"/>
        <v>جيد</v>
      </c>
      <c r="I23" s="41"/>
      <c r="J23" s="42"/>
    </row>
    <row r="24" spans="1:10" ht="30" customHeight="1" x14ac:dyDescent="0.2">
      <c r="A24" s="8"/>
      <c r="B24" s="78" t="s">
        <v>197</v>
      </c>
      <c r="C24" s="79"/>
      <c r="D24" s="79"/>
      <c r="E24" s="7">
        <v>5</v>
      </c>
      <c r="F24" s="24">
        <v>3.75</v>
      </c>
      <c r="G24" s="32">
        <f t="shared" si="0"/>
        <v>0.75</v>
      </c>
      <c r="H24" s="33" t="str">
        <f t="shared" si="1"/>
        <v>جيد</v>
      </c>
      <c r="I24" s="41"/>
      <c r="J24" s="42"/>
    </row>
    <row r="25" spans="1:10" ht="30" customHeight="1" x14ac:dyDescent="0.2">
      <c r="A25" s="8"/>
      <c r="B25" s="78" t="s">
        <v>198</v>
      </c>
      <c r="C25" s="79"/>
      <c r="D25" s="79"/>
      <c r="E25" s="7">
        <v>5</v>
      </c>
      <c r="F25" s="24">
        <v>3.75</v>
      </c>
      <c r="G25" s="32">
        <f t="shared" si="0"/>
        <v>0.75</v>
      </c>
      <c r="H25" s="33" t="str">
        <f t="shared" si="1"/>
        <v>جيد</v>
      </c>
      <c r="I25" s="41"/>
      <c r="J25" s="42"/>
    </row>
    <row r="26" spans="1:10" ht="30" customHeight="1" x14ac:dyDescent="0.2">
      <c r="A26" s="8"/>
      <c r="B26" s="78" t="s">
        <v>199</v>
      </c>
      <c r="C26" s="79"/>
      <c r="D26" s="79"/>
      <c r="E26" s="7">
        <v>5</v>
      </c>
      <c r="F26" s="24">
        <v>3.75</v>
      </c>
      <c r="G26" s="32">
        <f t="shared" si="0"/>
        <v>0.75</v>
      </c>
      <c r="H26" s="33" t="str">
        <f t="shared" si="1"/>
        <v>جيد</v>
      </c>
      <c r="I26" s="41"/>
      <c r="J26" s="42"/>
    </row>
    <row r="27" spans="1:10" ht="30" customHeight="1" thickBot="1" x14ac:dyDescent="0.25">
      <c r="A27" s="8"/>
      <c r="B27" s="84" t="s">
        <v>200</v>
      </c>
      <c r="C27" s="85"/>
      <c r="D27" s="85"/>
      <c r="E27" s="29">
        <v>5</v>
      </c>
      <c r="F27" s="25">
        <v>3.75</v>
      </c>
      <c r="G27" s="37">
        <f t="shared" si="0"/>
        <v>0.75</v>
      </c>
      <c r="H27" s="38" t="str">
        <f t="shared" si="1"/>
        <v>جيد</v>
      </c>
      <c r="I27" s="43"/>
      <c r="J27" s="44"/>
    </row>
    <row r="28" spans="1:10" ht="30" customHeight="1" x14ac:dyDescent="0.2">
      <c r="A28" s="8"/>
      <c r="B28" s="80" t="s">
        <v>201</v>
      </c>
      <c r="C28" s="81"/>
      <c r="D28" s="81"/>
      <c r="E28" s="26"/>
      <c r="F28" s="34"/>
      <c r="G28" s="35"/>
      <c r="H28" s="36"/>
      <c r="I28" s="46"/>
      <c r="J28" s="47"/>
    </row>
    <row r="29" spans="1:10" ht="30" customHeight="1" x14ac:dyDescent="0.2">
      <c r="A29" s="8"/>
      <c r="B29" s="88" t="s">
        <v>202</v>
      </c>
      <c r="C29" s="89"/>
      <c r="D29" s="89"/>
      <c r="E29" s="7">
        <v>5</v>
      </c>
      <c r="F29" s="24">
        <v>3.75</v>
      </c>
      <c r="G29" s="32">
        <f t="shared" si="0"/>
        <v>0.75</v>
      </c>
      <c r="H29" s="33" t="str">
        <f t="shared" si="1"/>
        <v>جيد</v>
      </c>
      <c r="I29" s="41"/>
      <c r="J29" s="42"/>
    </row>
    <row r="30" spans="1:10" ht="30" customHeight="1" x14ac:dyDescent="0.2">
      <c r="A30" s="8"/>
      <c r="B30" s="88" t="s">
        <v>203</v>
      </c>
      <c r="C30" s="89"/>
      <c r="D30" s="89"/>
      <c r="E30" s="7">
        <v>5</v>
      </c>
      <c r="F30" s="24">
        <v>3.75</v>
      </c>
      <c r="G30" s="32">
        <f t="shared" si="0"/>
        <v>0.75</v>
      </c>
      <c r="H30" s="33" t="str">
        <f t="shared" si="1"/>
        <v>جيد</v>
      </c>
      <c r="I30" s="41"/>
      <c r="J30" s="42"/>
    </row>
    <row r="31" spans="1:10" ht="30" customHeight="1" x14ac:dyDescent="0.2">
      <c r="A31" s="8"/>
      <c r="B31" s="88" t="s">
        <v>204</v>
      </c>
      <c r="C31" s="89"/>
      <c r="D31" s="89"/>
      <c r="E31" s="7">
        <v>5</v>
      </c>
      <c r="F31" s="24">
        <v>3.75</v>
      </c>
      <c r="G31" s="32">
        <f t="shared" si="0"/>
        <v>0.75</v>
      </c>
      <c r="H31" s="33" t="str">
        <f t="shared" si="1"/>
        <v>جيد</v>
      </c>
      <c r="I31" s="41"/>
      <c r="J31" s="42"/>
    </row>
    <row r="32" spans="1:10" ht="30" customHeight="1" x14ac:dyDescent="0.2">
      <c r="A32" s="8"/>
      <c r="B32" s="88" t="s">
        <v>205</v>
      </c>
      <c r="C32" s="89"/>
      <c r="D32" s="89"/>
      <c r="E32" s="7">
        <v>5</v>
      </c>
      <c r="F32" s="24">
        <v>3.75</v>
      </c>
      <c r="G32" s="32">
        <f t="shared" si="0"/>
        <v>0.75</v>
      </c>
      <c r="H32" s="33" t="str">
        <f t="shared" si="1"/>
        <v>جيد</v>
      </c>
      <c r="I32" s="41"/>
      <c r="J32" s="42"/>
    </row>
    <row r="33" spans="1:10" ht="30" customHeight="1" thickBot="1" x14ac:dyDescent="0.25">
      <c r="A33" s="8"/>
      <c r="B33" s="90" t="s">
        <v>206</v>
      </c>
      <c r="C33" s="91"/>
      <c r="D33" s="91"/>
      <c r="E33" s="27">
        <v>5</v>
      </c>
      <c r="F33" s="25">
        <v>3.75</v>
      </c>
      <c r="G33" s="37">
        <f t="shared" si="0"/>
        <v>0.75</v>
      </c>
      <c r="H33" s="38" t="str">
        <f t="shared" si="1"/>
        <v>جيد</v>
      </c>
      <c r="I33" s="43"/>
      <c r="J33" s="44"/>
    </row>
    <row r="34" spans="1:10" ht="30" customHeight="1" thickBot="1" x14ac:dyDescent="0.25">
      <c r="A34" s="4"/>
      <c r="B34" s="39" t="s">
        <v>5</v>
      </c>
      <c r="C34" s="40"/>
      <c r="D34" s="40"/>
      <c r="E34" s="31">
        <f>SUM(E8:E33)</f>
        <v>105</v>
      </c>
      <c r="F34" s="31">
        <f>SUM(F8:F33)</f>
        <v>78.75</v>
      </c>
      <c r="G34" s="58"/>
      <c r="H34" s="59"/>
      <c r="I34" s="59"/>
      <c r="J34" s="60"/>
    </row>
    <row r="35" spans="1:10" ht="30" customHeight="1" thickBot="1" x14ac:dyDescent="0.25">
      <c r="A35" s="4"/>
      <c r="B35" s="54" t="s">
        <v>54</v>
      </c>
      <c r="C35" s="55"/>
      <c r="D35" s="55"/>
      <c r="E35" s="68">
        <f>F34/E34/100*100</f>
        <v>0.75</v>
      </c>
      <c r="F35" s="68"/>
      <c r="G35" s="68"/>
      <c r="H35" s="68"/>
      <c r="I35" s="68"/>
      <c r="J35" s="69"/>
    </row>
    <row r="36" spans="1:10" ht="30" customHeight="1" thickBot="1" x14ac:dyDescent="0.25">
      <c r="A36" s="4"/>
      <c r="B36" s="54" t="s">
        <v>55</v>
      </c>
      <c r="C36" s="55"/>
      <c r="D36" s="55"/>
      <c r="E36" s="52" t="str">
        <f>_xlfn.IFS(E35&gt;=90%,"ممتاز",E35&gt;=80%,"جيد جداً",E35&gt;=70%,"جيد",E35&gt;=60%,"مقبول",E35&lt;60%,"راسب")</f>
        <v>جيد</v>
      </c>
      <c r="F36" s="52"/>
      <c r="G36" s="52"/>
      <c r="H36" s="52"/>
      <c r="I36" s="52"/>
      <c r="J36" s="53"/>
    </row>
    <row r="37" spans="1:10" ht="42" customHeight="1" x14ac:dyDescent="0.2">
      <c r="B37" s="48" t="s">
        <v>174</v>
      </c>
      <c r="C37" s="48"/>
      <c r="D37" s="48"/>
      <c r="E37" s="56" t="s">
        <v>52</v>
      </c>
      <c r="F37" s="56"/>
      <c r="G37" s="50" t="s">
        <v>138</v>
      </c>
      <c r="H37" s="50"/>
      <c r="I37" s="50"/>
      <c r="J37" s="50"/>
    </row>
    <row r="38" spans="1:10" ht="51" customHeight="1" x14ac:dyDescent="0.2">
      <c r="A38" s="5"/>
      <c r="B38" s="49"/>
      <c r="C38" s="49"/>
      <c r="D38" s="49"/>
      <c r="E38" s="57" t="s">
        <v>53</v>
      </c>
      <c r="F38" s="57"/>
      <c r="G38" s="51"/>
      <c r="H38" s="51"/>
      <c r="I38" s="51"/>
      <c r="J38" s="5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5">
    <mergeCell ref="B27:D27"/>
    <mergeCell ref="B28:D28"/>
    <mergeCell ref="B29:D29"/>
    <mergeCell ref="B30:D30"/>
    <mergeCell ref="B22:D22"/>
    <mergeCell ref="B23:D23"/>
    <mergeCell ref="B24:D24"/>
    <mergeCell ref="B25:D25"/>
    <mergeCell ref="B26:D26"/>
    <mergeCell ref="B17:D17"/>
    <mergeCell ref="B18:D18"/>
    <mergeCell ref="B19:D19"/>
    <mergeCell ref="B20:D20"/>
    <mergeCell ref="B21:D21"/>
    <mergeCell ref="I15:J15"/>
    <mergeCell ref="I16:J16"/>
    <mergeCell ref="B8:D8"/>
    <mergeCell ref="B9:D9"/>
    <mergeCell ref="B10:D10"/>
    <mergeCell ref="B11:D11"/>
    <mergeCell ref="B12:D12"/>
    <mergeCell ref="B7:D7"/>
    <mergeCell ref="I30:J30"/>
    <mergeCell ref="I31:J31"/>
    <mergeCell ref="E5:H5"/>
    <mergeCell ref="I5:J6"/>
    <mergeCell ref="I7:J7"/>
    <mergeCell ref="B13:D13"/>
    <mergeCell ref="B14:D14"/>
    <mergeCell ref="B15:D15"/>
    <mergeCell ref="B16:D16"/>
    <mergeCell ref="I9:J9"/>
    <mergeCell ref="I10:J10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I23:J23"/>
    <mergeCell ref="I24:J24"/>
    <mergeCell ref="I25:J25"/>
    <mergeCell ref="B37:D38"/>
    <mergeCell ref="G37:J37"/>
    <mergeCell ref="G38:J38"/>
    <mergeCell ref="E36:J36"/>
    <mergeCell ref="B35:D35"/>
    <mergeCell ref="B36:D36"/>
    <mergeCell ref="E37:F37"/>
    <mergeCell ref="E38:F38"/>
    <mergeCell ref="G34:J34"/>
    <mergeCell ref="E35:J35"/>
    <mergeCell ref="B31:D31"/>
    <mergeCell ref="B32:D32"/>
    <mergeCell ref="B33:D33"/>
    <mergeCell ref="B34:D34"/>
    <mergeCell ref="I26:J26"/>
    <mergeCell ref="I27:J27"/>
    <mergeCell ref="F4:J4"/>
    <mergeCell ref="C4:D4"/>
    <mergeCell ref="I32:J32"/>
    <mergeCell ref="I33:J33"/>
    <mergeCell ref="I8:J8"/>
    <mergeCell ref="I17:J17"/>
    <mergeCell ref="I18:J18"/>
    <mergeCell ref="I28:J28"/>
    <mergeCell ref="I29:J29"/>
    <mergeCell ref="I19:J19"/>
    <mergeCell ref="I20:J20"/>
    <mergeCell ref="I21:J21"/>
    <mergeCell ref="I22:J2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F29:F33 F22:F27 F13:F20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2025-10-21T12:02:05Z</dcterms:modified>
</cp:coreProperties>
</file>