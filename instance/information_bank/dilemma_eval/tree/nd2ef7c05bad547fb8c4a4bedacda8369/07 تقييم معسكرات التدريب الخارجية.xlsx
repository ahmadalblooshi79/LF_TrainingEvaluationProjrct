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EFC77C3A-F53E-448E-85E5-E49671CE06F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4" i="2"/>
  <c r="H24" i="2"/>
  <c r="G25" i="2"/>
  <c r="H25" i="2"/>
  <c r="G26" i="2"/>
  <c r="H26" i="2"/>
  <c r="G27" i="2"/>
  <c r="H27" i="2"/>
  <c r="G28" i="2"/>
  <c r="H28" i="2"/>
  <c r="G30" i="2"/>
  <c r="H30" i="2"/>
  <c r="G31" i="2"/>
  <c r="H31" i="2"/>
  <c r="G32" i="2"/>
  <c r="H32" i="2"/>
  <c r="G34" i="2"/>
  <c r="H34" i="2"/>
  <c r="G35" i="2"/>
  <c r="H35" i="2"/>
  <c r="G36" i="2"/>
  <c r="H36" i="2"/>
  <c r="G37" i="2"/>
  <c r="H37" i="2"/>
  <c r="G38" i="2"/>
  <c r="H38" i="2"/>
  <c r="G39" i="2"/>
  <c r="H39" i="2"/>
  <c r="G41" i="2"/>
  <c r="H41" i="2"/>
  <c r="G42" i="2"/>
  <c r="H42" i="2"/>
  <c r="G43" i="2"/>
  <c r="H43" i="2"/>
  <c r="G45" i="2"/>
  <c r="H45" i="2"/>
  <c r="G46" i="2"/>
  <c r="H46" i="2"/>
  <c r="G47" i="2"/>
  <c r="H47" i="2"/>
  <c r="G48" i="2"/>
  <c r="H48" i="2"/>
  <c r="G49" i="2"/>
  <c r="H49" i="2"/>
  <c r="G50" i="2"/>
  <c r="H50" i="2"/>
  <c r="F51" i="2"/>
  <c r="E51" i="2"/>
  <c r="E52" i="2"/>
  <c r="E53" i="2"/>
</calcChain>
</file>

<file path=xl/sharedStrings.xml><?xml version="1.0" encoding="utf-8"?>
<sst xmlns="http://schemas.openxmlformats.org/spreadsheetml/2006/main" count="280" uniqueCount="224">
  <si>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</si>
  <si>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</si>
  <si>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</si>
  <si>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</si>
  <si>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</si>
  <si>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</si>
  <si>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</si>
  <si>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</si>
  <si>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</si>
  <si>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</si>
  <si>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</si>
  <si>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</si>
  <si>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</si>
  <si>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</si>
  <si>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</si>
  <si>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</si>
  <si>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</si>
  <si>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</si>
  <si>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</si>
  <si>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</si>
  <si>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</si>
  <si>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</si>
  <si>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</si>
  <si>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</si>
  <si>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</si>
  <si>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</si>
  <si>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</si>
  <si>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</si>
  <si>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</si>
  <si>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</si>
  <si>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</si>
  <si>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</si>
  <si>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</si>
  <si>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</si>
  <si>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</si>
  <si>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</si>
  <si>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</si>
  <si>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</si>
  <si>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</si>
  <si>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</si>
  <si>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</si>
  <si>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</si>
  <si>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</si>
  <si>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</si>
  <si>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</si>
  <si>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</si>
  <si>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</si>
  <si>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</si>
  <si>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</si>
  <si>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</si>
  <si>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</si>
  <si>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</si>
  <si>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</si>
  <si>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</si>
  <si>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</si>
  <si>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</si>
  <si>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</si>
  <si>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</si>
  <si>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</si>
  <si>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</si>
  <si>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</si>
  <si>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</si>
  <si>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</si>
  <si>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</si>
  <si>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</si>
  <si>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</si>
  <si>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</si>
  <si>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</si>
  <si>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</si>
  <si>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</si>
  <si>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</si>
  <si>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</si>
  <si>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</si>
  <si>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</si>
  <si>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</si>
  <si>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</si>
  <si>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</si>
  <si>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</si>
  <si>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</si>
  <si>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</si>
  <si>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</si>
  <si>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</si>
  <si>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</si>
  <si>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</si>
  <si>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</si>
  <si>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</si>
  <si>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</si>
  <si>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</si>
  <si>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</si>
  <si>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</si>
  <si>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</si>
  <si>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</si>
  <si>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</si>
  <si>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</si>
  <si>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</si>
  <si>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</si>
  <si>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</si>
  <si>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</si>
  <si>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</si>
  <si>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</si>
  <si>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</si>
  <si>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</si>
  <si>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</si>
  <si>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</si>
  <si>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</si>
  <si>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</si>
  <si>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</si>
  <si>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</si>
  <si>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</si>
  <si>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</si>
  <si>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</si>
  <si>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</si>
  <si>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</si>
  <si>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</si>
  <si>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</si>
  <si>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</si>
  <si>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</si>
  <si>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</si>
  <si>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</si>
  <si>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</si>
  <si>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</si>
  <si>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</si>
  <si>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</si>
  <si>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</si>
  <si>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</si>
  <si>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</si>
  <si>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</si>
  <si>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</si>
  <si>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</si>
  <si>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</si>
  <si>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</si>
  <si>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</si>
  <si>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</si>
  <si>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</si>
  <si>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</si>
  <si>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</si>
  <si>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</si>
  <si>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</si>
  <si>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</si>
  <si>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</si>
  <si>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</si>
  <si>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</si>
  <si>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</si>
  <si>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</si>
  <si>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</si>
  <si>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</si>
  <si>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</si>
  <si>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</si>
  <si>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</si>
  <si>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</si>
  <si>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</si>
  <si>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</si>
  <si>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</si>
  <si>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</si>
  <si>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</si>
  <si>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</si>
  <si>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</si>
  <si>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</si>
  <si>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</si>
  <si>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</si>
  <si>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</si>
  <si>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</si>
  <si>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</si>
  <si>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</si>
  <si>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</si>
  <si>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</si>
  <si>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</si>
  <si>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</si>
  <si>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</si>
  <si>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</si>
  <si>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</si>
  <si>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</si>
  <si>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</si>
  <si>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</si>
  <si>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</si>
  <si>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</si>
  <si>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</si>
  <si>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</si>
  <si>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</si>
  <si>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</si>
  <si>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الشؤون الإدارية</t>
    </r>
    <r>
      <rPr>
        <b/>
        <sz val="12"/>
        <color rgb="FF000000"/>
        <rFont val="Arial"/>
        <family val="2"/>
      </rPr>
      <t xml:space="preserve"> (يتم التأكد من التالي) :</t>
    </r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</si>
  <si>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المظهر العام للمعسكر من حيث (نصب الخيام، النظافة، مداخل ومخارج الطرق واللوحات الإرشادية للمعسكر).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</si>
  <si>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وصلاحية سور المعسكر.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</si>
  <si>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وصلاحية مخازن الأسلحة والذخيرة والأرزاق.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</si>
  <si>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السكن والنوادي (ضباط، ضباط صف، أفراد) وتجهيزها بالأثاث والمهمات الضرورية.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</si>
  <si>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مكاتب قيادة الوحدة.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</si>
  <si>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مكتب المخابرة.</t>
    </r>
  </si>
  <si>
    <r>
      <t>7.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مواقف للآليات (مقاتلة، إدارية، وقود).</t>
    </r>
  </si>
  <si>
    <r>
      <t>8.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ميدان للوحدة مع سارية العلم (علم الوحدة، علم الوحدة الأم).</t>
    </r>
  </si>
  <si>
    <r>
      <t>9.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بوابة مع حراسة (التقيد بالذخائر المخصصة للحراسة).</t>
    </r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</si>
  <si>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وجـود وصلاحية العيادة والإسعاف والأدوية والتأكد من وجود طبيب وممرض / ممرضة.</t>
    </r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</si>
  <si>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وجـود وصلاحية ورشـة الإصلاح وتجهيزها بالوسائل اللازمة (فريـق إصـلاح، آليـة إنقـاذ وقطـع غيار).</t>
    </r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</si>
  <si>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توفر خيمة للمحاضرات مزودة بمساعدات التدريب.</t>
    </r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</si>
  <si>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وجود نظــام للتخلــص مـن النفايــات والمخلـفـات (الطبية والعضوية).</t>
    </r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</si>
  <si>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توفر مسجد مجهز للصلاة (الفرش، مصاحف، مكبر صوت، السعة مقارنة بالموجود).</t>
    </r>
  </si>
  <si>
    <t>القوى البشرية والآليـات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</si>
  <si>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نسبة الاستكمال من القوى البشرية وتشمل (المرتب، الموجود، المدربين، الموجود اليومي).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</si>
  <si>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استكمال التخصصات للمرتب.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</si>
  <si>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استكمال التخصصات الأخرى الملحقة والمعينة (الإسناد الناري والإداري).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</si>
  <si>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نسبـة استكمال الآليات والمعدات الموجودة على المرتب.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</si>
  <si>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الحالة الفنية للآليات (أ، ب).</t>
    </r>
  </si>
  <si>
    <t>الأسلحــة والذخائــر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</si>
  <si>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ذخيرة العمليات حسب مقياس الذخائر وتعليمات رفع حالات الاستعداد القتالي.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</si>
  <si>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ذخيرة التدريب حسب المقياس.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</si>
  <si>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الحالة الفنية للذخائر.</t>
    </r>
  </si>
  <si>
    <t>مواقف الآليات (أثناء معسكرات التدريب الخارجية / عندما تكون محملة بالذخائر والوقود)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</si>
  <si>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الإنارة في منطقة مواقف الآليات.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</si>
  <si>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وسيلة الاتصال.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</si>
  <si>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وصلاحية طفايات الحريق ووجود بطاقة الصلاحية عليها بمواقف الآليات.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</si>
  <si>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جميع أفراد الحراسة في مكان مناوبتهم وارتدائهم اللباس المقرر للحراسات ووجود أسلحتهم الشخصية والذخيرة المقررة ومدى إلمامهم باستخدام أسلحتهم الشخصية.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</si>
  <si>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معرفة فرد الحراسة لعدد الآليات المتواجدة بالمواقف وعدم السماح بخروج أي آلية إلا بأوامر من ضابط الخفر شخصياً.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</si>
  <si>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التقيد بالنظافة العامة في مواقف الآليات.</t>
    </r>
  </si>
  <si>
    <t>التدريب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</si>
  <si>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تعليمات وخطة التدريب.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</si>
  <si>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تطابق خطة وتعليمات التدريب الخارجي مع خطة التدريب / الزمنية الشهرية للمستوى الأعلى.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</si>
  <si>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برامج التدريب ومدى تطابقها مع خطة التدريب الشهرية.</t>
    </r>
  </si>
  <si>
    <t>مساعدات التدريب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</si>
  <si>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وملائمة مناطق التدريب مع برنامج التدريب.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</si>
  <si>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النماذج والمجسمات.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</si>
  <si>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وسائل الإيضاح.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</si>
  <si>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وثائق وتعليمات التمرين.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</si>
  <si>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التعليمات التنظيمية للمعسكر.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</si>
  <si>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خطة الدفاع والحراسة و خطة الحريق.</t>
    </r>
  </si>
  <si>
    <t>تقييم معسكرات التدريب الخارجية لوحدات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</si>
</sst>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4" fillId="0" borderId="4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2.xml"/><Relationship Id="rId4" Type="http://schemas.openxmlformats.org/officeDocument/2006/relationships/image" Target="../media/image2.png"/><Relationship Id="rId9" Type="http://schemas.openxmlformats.org/officeDocument/2006/relationships/customXml" Target="../ink/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508425</xdr:colOff>
      <xdr:row>53</xdr:row>
      <xdr:rowOff>201323</xdr:rowOff>
    </xdr:from>
    <xdr:to>
      <xdr:col>6</xdr:col>
      <xdr:colOff>522825</xdr:colOff>
      <xdr:row>53</xdr:row>
      <xdr:rowOff>210323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ACE7023-D5BA-0E74-D59B-9F94BB4E4231}"/>
                </a:ext>
              </a:extLst>
            </xdr14:cNvPr>
            <xdr14:cNvContentPartPr/>
          </xdr14:nvContentPartPr>
          <xdr14:nvPr macro=""/>
          <xdr14:xfrm>
            <a:off x="10400038265" y="22206960"/>
            <a:ext cx="14400" cy="90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ACE7023-D5BA-0E74-D59B-9F94BB4E423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029265" y="22198320"/>
              <a:ext cx="3204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93784</xdr:colOff>
      <xdr:row>54</xdr:row>
      <xdr:rowOff>93784</xdr:rowOff>
    </xdr:from>
    <xdr:to>
      <xdr:col>8</xdr:col>
      <xdr:colOff>431813</xdr:colOff>
      <xdr:row>54</xdr:row>
      <xdr:rowOff>522904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CDA0440F-1E40-4F0F-9103-5F1C68AF6F9B}"/>
                </a:ext>
              </a:extLst>
            </xdr14:cNvPr>
            <xdr14:cNvContentPartPr/>
          </xdr14:nvContentPartPr>
          <xdr14:nvPr macro=""/>
          <xdr14:xfrm>
            <a:off x="10078835264" y="22561061"/>
            <a:ext cx="976936" cy="4291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702150B-5B60-AA72-6ECF-D101525FCE80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8766025" y="22057560"/>
              <a:ext cx="1013760" cy="44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584212</xdr:colOff>
      <xdr:row>54</xdr:row>
      <xdr:rowOff>41030</xdr:rowOff>
    </xdr:from>
    <xdr:to>
      <xdr:col>7</xdr:col>
      <xdr:colOff>509320</xdr:colOff>
      <xdr:row>54</xdr:row>
      <xdr:rowOff>320750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02ED4A82-B942-452C-B235-B0FA970FA179}"/>
                </a:ext>
              </a:extLst>
            </xdr14:cNvPr>
            <xdr14:cNvContentPartPr/>
          </xdr14:nvContentPartPr>
          <xdr14:nvPr macro=""/>
          <xdr14:xfrm>
            <a:off x="10079396664" y="22508307"/>
            <a:ext cx="564016" cy="27972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CE5F93D-F7B7-E6D4-E651-1F304284EBE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9127825" y="22109760"/>
              <a:ext cx="600840" cy="297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5:57:07.26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39 25 17235,'0'0'0,"-15"-3"3769,11-1-3041,-11-2-616,15 6-112,-2-4-168,-1 1-104,3 2-296,0 1 104,0 0 464,0 0-488,0 0-32,0 0-96,0-2-585,0 2 1201,0 0-2016,0 0-1113,0 0-880,0-1-872,0 1 4881,0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19:22:47.88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1760 189 3040,'0'0'0,"21"-24"1144,-21 24-1144,22-23 737,6-5 15,-9 4-16,-7 5-72,-12 19-664,5-16 648,8 2 24,-11 1-48,1 8 89,-3 5-713,0-12 864,0 10 8,0-1 80,0 0-64,0 3-888,-3-2 785,1 1-265,-11 1-248,5 0-224,8 0-48,-14 3-144,-5 8-16,0 2 112,-5 3-96,24-16 144,-30 18-160,4 3 80,-7 4-105,3 3 145,30-28 40,-39 31-88,2 5 8,-3 1-24,-5 3-24,45-40 128,-47 44-104,-5 1-16,-2 5 16,-5 1 16,59-51 88,-64 53-80,-3 2 32,-3-1-8,-1 0 48,71-54 8,-69 54-88,6-5 32,-1-1 32,1-1-72,63-47 96,-60 42 16,4 0-32,6-3-24,3-3 72,47-36-32,-45 31-8,13-2-32,-2-7-120,4-2-248,30-20 408,-22 17-760,-1-4-592,4-1-529,3-10-55,16-2 1936,-12 3-1481,10-3 545,2 0 448,0-1-24,0 1 512,2-4-840,10-14-608,-12 18 1448</inkml:trace>
  <inkml:trace contextRef="#ctx0" brushRef="#br0" timeOffset="1">977 381 976,'0'0'0,"45"-47"1104,-1 6-328,3-7-240,-47 48-536,40-42 472,-13 11 40,-10 4 129,-2 6 111,-15 21-752,15-17 824,-13 4 176,1 9 128,-3-1 73,0 5-1201,0-1 1232,-5-1-352,-5 2-528,-6 0-352,16 0 0,-17 5-376,-4 12 24,-5-2 160,-5 10 40,31-25 152,-33 27-24,-4 5-16,-3 4 40,-3 2-24,43-38 24,-45 40-56,-2 1 24,-5 2 8,3 1-24,49-44 48,-50 43 16,1 1 0,1-3 0,6 0 40,42-41-56,-45 38 24,7-1-40,3-2-48,0-3 72,35-32-8,-34 32-32,4-5-48,0-2-96,6-5-112,24-20 288,-21 17-320,6-6-48,1-6 40,9-1-233,5-4 561,-2 3-840,-1-3-80,3 0 8,0-2 80,0 2 832,0-11-680,12 0 135,0-6 97,0-3 192,-12 20 256,14-24-96,3-2 56,2-1 40,2 0-8,-21 27 8,21-29 0,-5 4 16,1-1 16,0 2 48,-17 24-80,12-24 136,-10 3 32,12 1 56,-10 4 48,-4 16-272,3-16 304,-1 2 49,-2 3 39,0 5 16,0 6-408,-2-13 424,-1 9-40,-1 0-72,-12-7-104,16 11-208,-12-3 72,0-2-128,-8 1-80,0 3-136,20 1 272,-29 0-232,4 0 88,-11 3 104,8-1 328,28-2-288,-33 5 512,2-2 216,3-1 240,0 1 169,28-3-1137,-27 0 1184,3 0-40,6 0-96,-1-3-199,19 3-849,-12-4 704,1 0-104,4 0-104,2-2-56,5 6-440,-5-6 376,5 2-104,0 3-144,0-2-160,0 3 32,12-5-128,0-7 24,4-1 48,10-1 56,-26 14 0,33-16-56,2-1 32,10 1-32,5-1 40,-50 17 16,58-17-56,2 3 24,6-2 32,5 4-80,-71 12 80,75-13 0,3 0 32,12 9-40,-1-1 8,-89 5 0,94-1 8,3 1-16,-3 0 8,6 3 0,-100-3 0,97 3-16,0 1 0,-6 0-48,-1 8 64,-90-12 0,96 2-32,-3 1-8,1 2 40,1-5-176,-95 0 176,89 0-8,0-5-40,-8-9-128,-1 1-272,-80 13 448,74-14-1128,-2 0-689,-3-2-847,2-1-193,-71 17 2857,68-21-2320,-2-1-1289,-66 22 3609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19:22:54.79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1566 69 8297,'0'0'0,"0"-1"936,0 1-936,0 0 129,0 0-218,0 0-55,0 0 32,0 0 112,0 0-88,0 0-16,-2 0-32,-1 0-40,3 0 176,-4 0-240,4 0-16,-5 0 0,5 0 32,0 0 224,-4 0-192,2 0 56,-1 0 48,3 0 64,0 0 24,-5 0-8,1 0 0,4 0-8,-3 0-8,3 0 24,-2 3-24,-4-3-8,6 2-8,-3-2-32,3 0 72,0 0-56,-2 3 8,-3-3 48,2 0 32,3 0-32,0 0 80,0 0 16,0 0-8,0 0-104,0 0 16,0 0-136,0-1-40,-2-1-64,2 1 48,0 1 192,0-4-104,0 1 64,0-1 88,0 1 104,0 3-152,0-3 240,0 0 88,0 0-16,0 0 40,0 3-352,0-1 304,0 0-16,0 1-24,0 0-144,0 0-120,0 0 48,0 0-112,0 0-112,0 0-8,0 0 560,0 0-1000,0 0 352,0 0-8,0 2-8,0-2 288,0 0-280,0 3-40,0-3-8,0 3 72,0-3 256,0 3-224,0 0 120,0-3 112,-2 4 40,2-4-48,-3 4 112,3 1 48,-5 6 24,1-8-24,4-3-160,-7 4 168,5 0-24,-5 8-56,4-9 8,3-3-96,-4 4 64,-1 0-56,3 0 16,2-1-32,0-3 8,0 0-16,-2 0 16,2 0-8,0 0 48,0 0-40,0 0 80,0 0 40,2 0 0,0-1-24,-2 1-96,0-2 120,2-2-16,1 0 16,1 0 56,-4 4-176,0-6 112,5-5 136,2 6-8,-4 1 0,-3 4-240,4-4 312,0-2-48,-1 2-7,-1 0-33,-2 4-224,5-3 176,-5 1-48,0 2 8,0 0-120,0 0-16,0 0-8,2 0-88,-2 0-24,0 0 160,0 0-40,0 0-96,0 0 32,0 0-16,0 0-24,0 0 448,0 3-760,0 0 336,0 0-49,3 0-95,-3-3 224,0 2-160,0 3 64,0-1 16,0 7 40,0-11 40,0 3-8,0 2 32,0 9 24,0-11 0,0-3-48,-3 12 80,3-7-32,-2 10 56,-3-3 96,5-12-200,-5 11 121,3-7 7,-2 12 32,-1-5 40,5-11-200,-12 5 288,8 9 48,-1-10-32,3 9-40,2-13-264,-7 4 256,-2 10-32,1-9-8,-3 7-96,11-12-120,-5 3 144,-7 9 16,5-10-8,-4 11 8,11-13-160,-7 3 208,-6 1-96,1 8 88,-3-9-8,15-3-192,-11 4 152,-6 0-8,4 0-64,1-1-56,12-3-24,-16 4 40,-1-1-40,1 0-8,-2 0-64,18-3 72,-19 0-32,-2 0 56,-2 0 0,1-1 168,22 1-192,-18-5 208,2-8 73,0 2 7,4-2-48,12 13-240,-14-15 136,7-1-256,-2-1-56,4-1-160,5 18 336,-2-19-305,-5 2 129,4-2 72,1 2 80,2 17 24,0-15 0,0-1-16,2 1-16,1-1 0,-3 16 32,5-13-48,8 0-24,-11 2 8,13 5-104,-15 6 168,5-13-168,15 9-16,-6 0 8,5 1 56,-19 3 120,18-1-80,-1-1 48,4 1-8,2-1 32,-23 2 8,23 0-32,-2-1-24,3 0-8,-4-1-48,-20 2 112,19-1-80,2-2 40,2-1 48,-5 1 64,-18 3-72,17-5-8,-1 1 24,-2 1-16,-4 1 0,-10 2 0,4-5 40,8 2-24,-12 2 0,0 1-8,0 0-8,0 0 56,0 0 152,0 0 0,0 0 64,0 0-1016,0 0 1752,0 0-896,-2 0-32,-3 3-112,5-3 32,-3 4-80,-8 0-8,6 9-8,-11-9 64,16-4 32,-14 16-88,0-3 8,-4-2 112,-1 2-96,19-13 64,-19 13-8,3 0 80,-3-2-144,3 2 88,16-13-16,-16 11 56,-1 1-48,-3-1 16,3 0 0,17-11-24,-18 13 16,-3 0-32,2 0 56,-4-1 16,23-12-56,-26 13 72,3 0-32,2 1 88,0 0 24,21-14-152,-21 13 48,1 1 56,-2-1-104,4 0-24,18-13 24,-21 11 80,2 2 88,-2-1-112,3-1 17,18-11-73,-24 13 104,1-2-24,0 1 8,0 0-24,23-12-64,-24 13 72,1-2-72,0 2 112,-3 0 48,26-13-160,-30 13 96,4 1-16,-6-1-8,4 1-88,28-14 16,-30 13 24,-3 2-16,3 1 24,-3-2-32,33-14 0,-35 17 48,2-1-16,-1 1 0,-1 0 40,35-17-72,-35 16 80,0-1 48,0-3-16,7-1 0,28-11-112,-28 12 80,5-8-24,2 9-24,5-11 8,16-2-40,-19 5 32,5-1-8,9 0 8,-8 1-32,13-5 0,-8 4 0,0-1 24,5-1-160,1 1-80,2-3 216,-5 0-440,3 3-496,-1-3-1089,3 0-783,0 0 2808,0 0-2729,3 0 648,9-1 945,-4-2 368,-8 3 768,15-4-1272,1-11-24,-16 15 1296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5"/>
  <sheetViews>
    <sheetView rightToLeft="1" tabSelected="1" view="pageBreakPreview" topLeftCell="A46" zoomScale="130" zoomScaleNormal="100" zoomScaleSheetLayoutView="130" workbookViewId="0">
      <selection activeCell="B54" sqref="B54:D55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0" t="s">
        <v>223</v>
      </c>
      <c r="C1" s="40"/>
      <c r="D1" s="40"/>
      <c r="E1" s="40"/>
      <c r="F1" s="40"/>
      <c r="G1" s="40"/>
      <c r="H1" s="40"/>
      <c r="I1" s="40"/>
      <c r="J1" s="40"/>
    </row>
    <row r="2" spans="1:10" ht="30" customHeight="1" x14ac:dyDescent="0.3">
      <c r="B2" s="12" t="s">
        <v>8</v>
      </c>
      <c r="C2" s="46" t="s">
        <v>44</v>
      </c>
      <c r="D2" s="46"/>
      <c r="E2" s="12" t="s">
        <v>7</v>
      </c>
      <c r="F2" s="41">
        <v>45908</v>
      </c>
      <c r="G2" s="41"/>
      <c r="H2" s="41"/>
      <c r="I2" s="41"/>
      <c r="J2" s="41"/>
    </row>
    <row r="3" spans="1:10" ht="30" customHeight="1" x14ac:dyDescent="0.3">
      <c r="B3" s="12" t="s">
        <v>9</v>
      </c>
      <c r="C3" s="46" t="s">
        <v>85</v>
      </c>
      <c r="D3" s="46"/>
      <c r="E3" s="12" t="s">
        <v>6</v>
      </c>
      <c r="F3" s="46" t="s">
        <v>100</v>
      </c>
      <c r="G3" s="46"/>
      <c r="H3" s="46"/>
      <c r="I3" s="46"/>
      <c r="J3" s="46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42" t="s">
        <v>0</v>
      </c>
      <c r="C5" s="43"/>
      <c r="D5" s="43"/>
      <c r="E5" s="55" t="s">
        <v>1</v>
      </c>
      <c r="F5" s="55"/>
      <c r="G5" s="55"/>
      <c r="H5" s="55"/>
      <c r="I5" s="55" t="s">
        <v>2</v>
      </c>
      <c r="J5" s="56"/>
    </row>
    <row r="6" spans="1:10" ht="24.9" customHeight="1" thickBot="1" x14ac:dyDescent="0.35">
      <c r="A6" s="10"/>
      <c r="B6" s="44"/>
      <c r="C6" s="45"/>
      <c r="D6" s="45"/>
      <c r="E6" s="11" t="s">
        <v>3</v>
      </c>
      <c r="F6" s="11" t="s">
        <v>4</v>
      </c>
      <c r="G6" s="11" t="s">
        <v>23</v>
      </c>
      <c r="H6" s="11" t="s">
        <v>24</v>
      </c>
      <c r="I6" s="57"/>
      <c r="J6" s="58"/>
    </row>
    <row r="7" spans="1:10" ht="24.9" customHeight="1" thickBot="1" x14ac:dyDescent="0.35">
      <c r="A7" s="10"/>
      <c r="B7" s="49" t="s">
        <v>21</v>
      </c>
      <c r="C7" s="50"/>
      <c r="D7" s="50"/>
      <c r="E7" s="31" t="s">
        <v>18</v>
      </c>
      <c r="F7" s="31" t="s">
        <v>19</v>
      </c>
      <c r="G7" s="31" t="s">
        <v>22</v>
      </c>
      <c r="H7" s="31" t="s">
        <v>20</v>
      </c>
      <c r="I7" s="59" t="s">
        <v>25</v>
      </c>
      <c r="J7" s="60"/>
    </row>
    <row r="8" spans="1:10" ht="30" customHeight="1" x14ac:dyDescent="0.3">
      <c r="A8" s="10"/>
      <c r="B8" s="82" t="s">
        <v>180</v>
      </c>
      <c r="C8" s="83"/>
      <c r="D8" s="83"/>
      <c r="E8" s="28"/>
      <c r="F8" s="35"/>
      <c r="G8" s="36"/>
      <c r="H8" s="37"/>
      <c r="I8" s="61"/>
      <c r="J8" s="62"/>
    </row>
    <row r="9" spans="1:10" ht="39.9" customHeight="1" x14ac:dyDescent="0.3">
      <c r="A9" s="10"/>
      <c r="B9" s="74" t="s">
        <v>181</v>
      </c>
      <c r="C9" s="75"/>
      <c r="D9" s="75"/>
      <c r="E9" s="9">
        <v>10</v>
      </c>
      <c r="F9" s="26">
        <v>8</v>
      </c>
      <c r="G9" s="33">
        <f>IFERROR(F9/E9,"")</f>
        <v>0.8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1"/>
      <c r="J9" s="52"/>
    </row>
    <row r="10" spans="1:10" ht="30" customHeight="1" x14ac:dyDescent="0.3">
      <c r="A10" s="10"/>
      <c r="B10" s="74" t="s">
        <v>182</v>
      </c>
      <c r="C10" s="75"/>
      <c r="D10" s="75"/>
      <c r="E10" s="9">
        <v>5</v>
      </c>
      <c r="F10" s="26">
        <v>3.75</v>
      </c>
      <c r="G10" s="33">
        <f t="shared" ref="G10:G50" si="0">IFERROR(F10/E10,"")</f>
        <v>0.75</v>
      </c>
      <c r="H10" s="34" t="str">
        <f t="shared" ref="H10:H50" si="1">_xlfn.IFS(F10="أدخل العلامة","",F10="لا ينطبق","تم الإلغاء",G10&gt;=90%,"ممتاز",G10&gt;=80%,"جيد جداً",G10&gt;=70%,"جيد",G10&gt;=60%,"مقبول",G10&lt;60%,"راسب")</f>
        <v>جيد</v>
      </c>
      <c r="I10" s="51"/>
      <c r="J10" s="52"/>
    </row>
    <row r="11" spans="1:10" ht="30" customHeight="1" x14ac:dyDescent="0.3">
      <c r="A11" s="10"/>
      <c r="B11" s="74" t="s">
        <v>183</v>
      </c>
      <c r="C11" s="75"/>
      <c r="D11" s="75"/>
      <c r="E11" s="9">
        <v>10</v>
      </c>
      <c r="F11" s="26">
        <v>7.75</v>
      </c>
      <c r="G11" s="33">
        <f t="shared" si="0"/>
        <v>0.77500000000000002</v>
      </c>
      <c r="H11" s="34" t="str">
        <f t="shared" si="1"/>
        <v>جيد</v>
      </c>
      <c r="I11" s="51"/>
      <c r="J11" s="52"/>
    </row>
    <row r="12" spans="1:10" ht="39.9" customHeight="1" x14ac:dyDescent="0.3">
      <c r="A12" s="10"/>
      <c r="B12" s="74" t="s">
        <v>184</v>
      </c>
      <c r="C12" s="75"/>
      <c r="D12" s="75"/>
      <c r="E12" s="9">
        <v>8</v>
      </c>
      <c r="F12" s="26">
        <v>5.75</v>
      </c>
      <c r="G12" s="33">
        <f t="shared" si="0"/>
        <v>0.71875</v>
      </c>
      <c r="H12" s="34" t="str">
        <f t="shared" si="1"/>
        <v>جيد</v>
      </c>
      <c r="I12" s="51"/>
      <c r="J12" s="52"/>
    </row>
    <row r="13" spans="1:10" ht="30" customHeight="1" x14ac:dyDescent="0.3">
      <c r="A13" s="10"/>
      <c r="B13" s="74" t="s">
        <v>185</v>
      </c>
      <c r="C13" s="75"/>
      <c r="D13" s="75"/>
      <c r="E13" s="9">
        <v>5</v>
      </c>
      <c r="F13" s="26">
        <v>3.5</v>
      </c>
      <c r="G13" s="33">
        <f t="shared" si="0"/>
        <v>0.7</v>
      </c>
      <c r="H13" s="34" t="str">
        <f t="shared" si="1"/>
        <v>جيد</v>
      </c>
      <c r="I13" s="51"/>
      <c r="J13" s="52"/>
    </row>
    <row r="14" spans="1:10" ht="30" customHeight="1" x14ac:dyDescent="0.3">
      <c r="A14" s="10"/>
      <c r="B14" s="74" t="s">
        <v>186</v>
      </c>
      <c r="C14" s="75"/>
      <c r="D14" s="75"/>
      <c r="E14" s="9">
        <v>6</v>
      </c>
      <c r="F14" s="26">
        <v>4.75</v>
      </c>
      <c r="G14" s="33">
        <f t="shared" si="0"/>
        <v>0.79166666666666663</v>
      </c>
      <c r="H14" s="34" t="str">
        <f t="shared" si="1"/>
        <v>جيد</v>
      </c>
      <c r="I14" s="51"/>
      <c r="J14" s="52"/>
    </row>
    <row r="15" spans="1:10" ht="30" customHeight="1" x14ac:dyDescent="0.3">
      <c r="A15" s="10"/>
      <c r="B15" s="74" t="s">
        <v>187</v>
      </c>
      <c r="C15" s="75"/>
      <c r="D15" s="75"/>
      <c r="E15" s="9">
        <v>5</v>
      </c>
      <c r="F15" s="26">
        <v>3.75</v>
      </c>
      <c r="G15" s="33">
        <f t="shared" si="0"/>
        <v>0.75</v>
      </c>
      <c r="H15" s="34" t="str">
        <f t="shared" si="1"/>
        <v>جيد</v>
      </c>
      <c r="I15" s="51"/>
      <c r="J15" s="52"/>
    </row>
    <row r="16" spans="1:10" ht="30" customHeight="1" x14ac:dyDescent="0.3">
      <c r="A16" s="10"/>
      <c r="B16" s="74" t="s">
        <v>188</v>
      </c>
      <c r="C16" s="75"/>
      <c r="D16" s="75"/>
      <c r="E16" s="9">
        <v>5</v>
      </c>
      <c r="F16" s="26">
        <v>5</v>
      </c>
      <c r="G16" s="33">
        <f t="shared" si="0"/>
        <v>1</v>
      </c>
      <c r="H16" s="34" t="str">
        <f t="shared" si="1"/>
        <v>ممتاز</v>
      </c>
      <c r="I16" s="51"/>
      <c r="J16" s="52"/>
    </row>
    <row r="17" spans="1:10" ht="30" customHeight="1" x14ac:dyDescent="0.3">
      <c r="A17" s="10"/>
      <c r="B17" s="74" t="s">
        <v>189</v>
      </c>
      <c r="C17" s="75"/>
      <c r="D17" s="75"/>
      <c r="E17" s="9">
        <v>6</v>
      </c>
      <c r="F17" s="26">
        <v>5.5</v>
      </c>
      <c r="G17" s="33">
        <f t="shared" si="0"/>
        <v>0.91666666666666663</v>
      </c>
      <c r="H17" s="34" t="str">
        <f t="shared" si="1"/>
        <v>ممتاز</v>
      </c>
      <c r="I17" s="51"/>
      <c r="J17" s="52"/>
    </row>
    <row r="18" spans="1:10" ht="39.9" customHeight="1" x14ac:dyDescent="0.3">
      <c r="A18" s="10"/>
      <c r="B18" s="74" t="s">
        <v>190</v>
      </c>
      <c r="C18" s="75"/>
      <c r="D18" s="75"/>
      <c r="E18" s="9">
        <v>8</v>
      </c>
      <c r="F18" s="26">
        <v>6.75</v>
      </c>
      <c r="G18" s="33">
        <f t="shared" si="0"/>
        <v>0.84375</v>
      </c>
      <c r="H18" s="34" t="str">
        <f t="shared" si="1"/>
        <v>جيد جداً</v>
      </c>
      <c r="I18" s="51"/>
      <c r="J18" s="52"/>
    </row>
    <row r="19" spans="1:10" ht="39.9" customHeight="1" x14ac:dyDescent="0.3">
      <c r="A19" s="10"/>
      <c r="B19" s="74" t="s">
        <v>191</v>
      </c>
      <c r="C19" s="75"/>
      <c r="D19" s="75"/>
      <c r="E19" s="9">
        <v>8</v>
      </c>
      <c r="F19" s="26">
        <v>6.25</v>
      </c>
      <c r="G19" s="33">
        <f t="shared" si="0"/>
        <v>0.78125</v>
      </c>
      <c r="H19" s="34" t="str">
        <f t="shared" si="1"/>
        <v>جيد</v>
      </c>
      <c r="I19" s="51"/>
      <c r="J19" s="52"/>
    </row>
    <row r="20" spans="1:10" ht="30" customHeight="1" x14ac:dyDescent="0.3">
      <c r="A20" s="10"/>
      <c r="B20" s="74" t="s">
        <v>192</v>
      </c>
      <c r="C20" s="75"/>
      <c r="D20" s="75"/>
      <c r="E20" s="9">
        <v>5</v>
      </c>
      <c r="F20" s="26">
        <v>3.75</v>
      </c>
      <c r="G20" s="33">
        <f t="shared" si="0"/>
        <v>0.75</v>
      </c>
      <c r="H20" s="34" t="str">
        <f t="shared" si="1"/>
        <v>جيد</v>
      </c>
      <c r="I20" s="51"/>
      <c r="J20" s="52"/>
    </row>
    <row r="21" spans="1:10" ht="30" customHeight="1" x14ac:dyDescent="0.3">
      <c r="A21" s="10"/>
      <c r="B21" s="74" t="s">
        <v>193</v>
      </c>
      <c r="C21" s="75"/>
      <c r="D21" s="75"/>
      <c r="E21" s="9">
        <v>5</v>
      </c>
      <c r="F21" s="26">
        <v>4.75</v>
      </c>
      <c r="G21" s="33">
        <f t="shared" si="0"/>
        <v>0.95</v>
      </c>
      <c r="H21" s="34" t="str">
        <f t="shared" si="1"/>
        <v>ممتاز</v>
      </c>
      <c r="I21" s="51"/>
      <c r="J21" s="52"/>
    </row>
    <row r="22" spans="1:10" ht="39.9" customHeight="1" thickBot="1" x14ac:dyDescent="0.35">
      <c r="A22" s="10"/>
      <c r="B22" s="76" t="s">
        <v>194</v>
      </c>
      <c r="C22" s="77"/>
      <c r="D22" s="77"/>
      <c r="E22" s="29">
        <v>5</v>
      </c>
      <c r="F22" s="27">
        <v>4</v>
      </c>
      <c r="G22" s="38">
        <f t="shared" si="0"/>
        <v>0.8</v>
      </c>
      <c r="H22" s="39" t="str">
        <f t="shared" si="1"/>
        <v>جيد جداً</v>
      </c>
      <c r="I22" s="53"/>
      <c r="J22" s="54"/>
    </row>
    <row r="23" spans="1:10" ht="30" customHeight="1" x14ac:dyDescent="0.3">
      <c r="A23" s="10"/>
      <c r="B23" s="82" t="s">
        <v>195</v>
      </c>
      <c r="C23" s="83"/>
      <c r="D23" s="83"/>
      <c r="E23" s="28"/>
      <c r="F23" s="35"/>
      <c r="G23" s="36"/>
      <c r="H23" s="37"/>
      <c r="I23" s="61"/>
      <c r="J23" s="62"/>
    </row>
    <row r="24" spans="1:10" ht="39.9" customHeight="1" x14ac:dyDescent="0.3">
      <c r="A24" s="10"/>
      <c r="B24" s="74" t="s">
        <v>196</v>
      </c>
      <c r="C24" s="75"/>
      <c r="D24" s="75"/>
      <c r="E24" s="9">
        <v>8</v>
      </c>
      <c r="F24" s="26">
        <v>5.75</v>
      </c>
      <c r="G24" s="33">
        <f t="shared" si="0"/>
        <v>0.71875</v>
      </c>
      <c r="H24" s="34" t="str">
        <f t="shared" si="1"/>
        <v>جيد</v>
      </c>
      <c r="I24" s="51"/>
      <c r="J24" s="52"/>
    </row>
    <row r="25" spans="1:10" ht="30" customHeight="1" x14ac:dyDescent="0.3">
      <c r="A25" s="10"/>
      <c r="B25" s="74" t="s">
        <v>197</v>
      </c>
      <c r="C25" s="75"/>
      <c r="D25" s="75"/>
      <c r="E25" s="9">
        <v>7</v>
      </c>
      <c r="F25" s="26">
        <v>5.75</v>
      </c>
      <c r="G25" s="33">
        <f t="shared" si="0"/>
        <v>0.8214285714285714</v>
      </c>
      <c r="H25" s="34" t="str">
        <f t="shared" si="1"/>
        <v>جيد جداً</v>
      </c>
      <c r="I25" s="51"/>
      <c r="J25" s="52"/>
    </row>
    <row r="26" spans="1:10" ht="39.9" customHeight="1" x14ac:dyDescent="0.3">
      <c r="A26" s="10"/>
      <c r="B26" s="74" t="s">
        <v>198</v>
      </c>
      <c r="C26" s="75"/>
      <c r="D26" s="75"/>
      <c r="E26" s="9">
        <v>8</v>
      </c>
      <c r="F26" s="26">
        <v>5.75</v>
      </c>
      <c r="G26" s="33">
        <f t="shared" si="0"/>
        <v>0.71875</v>
      </c>
      <c r="H26" s="34" t="str">
        <f t="shared" si="1"/>
        <v>جيد</v>
      </c>
      <c r="I26" s="51"/>
      <c r="J26" s="52"/>
    </row>
    <row r="27" spans="1:10" ht="30" customHeight="1" x14ac:dyDescent="0.3">
      <c r="A27" s="10"/>
      <c r="B27" s="74" t="s">
        <v>199</v>
      </c>
      <c r="C27" s="75"/>
      <c r="D27" s="75"/>
      <c r="E27" s="9">
        <v>8</v>
      </c>
      <c r="F27" s="26">
        <v>5.75</v>
      </c>
      <c r="G27" s="33">
        <f t="shared" si="0"/>
        <v>0.71875</v>
      </c>
      <c r="H27" s="34" t="str">
        <f t="shared" si="1"/>
        <v>جيد</v>
      </c>
      <c r="I27" s="51"/>
      <c r="J27" s="52"/>
    </row>
    <row r="28" spans="1:10" ht="30" customHeight="1" thickBot="1" x14ac:dyDescent="0.35">
      <c r="A28" s="10"/>
      <c r="B28" s="76" t="s">
        <v>200</v>
      </c>
      <c r="C28" s="77"/>
      <c r="D28" s="77"/>
      <c r="E28" s="29">
        <v>8</v>
      </c>
      <c r="F28" s="27">
        <v>6.25</v>
      </c>
      <c r="G28" s="38">
        <f t="shared" si="0"/>
        <v>0.78125</v>
      </c>
      <c r="H28" s="39" t="str">
        <f t="shared" si="1"/>
        <v>جيد</v>
      </c>
      <c r="I28" s="53"/>
      <c r="J28" s="54"/>
    </row>
    <row r="29" spans="1:10" ht="30" customHeight="1" x14ac:dyDescent="0.3">
      <c r="A29" s="10"/>
      <c r="B29" s="82" t="s">
        <v>201</v>
      </c>
      <c r="C29" s="83"/>
      <c r="D29" s="83"/>
      <c r="E29" s="28"/>
      <c r="F29" s="35"/>
      <c r="G29" s="36"/>
      <c r="H29" s="37"/>
      <c r="I29" s="61"/>
      <c r="J29" s="62"/>
    </row>
    <row r="30" spans="1:10" ht="39.9" customHeight="1" x14ac:dyDescent="0.3">
      <c r="A30" s="10"/>
      <c r="B30" s="74" t="s">
        <v>202</v>
      </c>
      <c r="C30" s="75"/>
      <c r="D30" s="75"/>
      <c r="E30" s="9">
        <v>10</v>
      </c>
      <c r="F30" s="26">
        <v>7.75</v>
      </c>
      <c r="G30" s="33">
        <f t="shared" si="0"/>
        <v>0.77500000000000002</v>
      </c>
      <c r="H30" s="34" t="str">
        <f t="shared" si="1"/>
        <v>جيد</v>
      </c>
      <c r="I30" s="51"/>
      <c r="J30" s="52"/>
    </row>
    <row r="31" spans="1:10" ht="30" customHeight="1" x14ac:dyDescent="0.3">
      <c r="A31" s="10"/>
      <c r="B31" s="74" t="s">
        <v>203</v>
      </c>
      <c r="C31" s="75"/>
      <c r="D31" s="75"/>
      <c r="E31" s="9">
        <v>10</v>
      </c>
      <c r="F31" s="26">
        <v>8.75</v>
      </c>
      <c r="G31" s="33">
        <f t="shared" si="0"/>
        <v>0.875</v>
      </c>
      <c r="H31" s="34" t="str">
        <f t="shared" si="1"/>
        <v>جيد جداً</v>
      </c>
      <c r="I31" s="51"/>
      <c r="J31" s="52"/>
    </row>
    <row r="32" spans="1:10" ht="30" customHeight="1" thickBot="1" x14ac:dyDescent="0.35">
      <c r="A32" s="10"/>
      <c r="B32" s="76" t="s">
        <v>204</v>
      </c>
      <c r="C32" s="77"/>
      <c r="D32" s="77"/>
      <c r="E32" s="29">
        <v>10</v>
      </c>
      <c r="F32" s="27">
        <v>8.75</v>
      </c>
      <c r="G32" s="38">
        <f t="shared" si="0"/>
        <v>0.875</v>
      </c>
      <c r="H32" s="39" t="str">
        <f t="shared" si="1"/>
        <v>جيد جداً</v>
      </c>
      <c r="I32" s="53"/>
      <c r="J32" s="54"/>
    </row>
    <row r="33" spans="1:10" ht="39.9" customHeight="1" x14ac:dyDescent="0.3">
      <c r="A33" s="10"/>
      <c r="B33" s="82" t="s">
        <v>205</v>
      </c>
      <c r="C33" s="83"/>
      <c r="D33" s="83"/>
      <c r="E33" s="28"/>
      <c r="F33" s="35"/>
      <c r="G33" s="36"/>
      <c r="H33" s="37"/>
      <c r="I33" s="61"/>
      <c r="J33" s="62"/>
    </row>
    <row r="34" spans="1:10" ht="30" customHeight="1" x14ac:dyDescent="0.3">
      <c r="A34" s="10"/>
      <c r="B34" s="74" t="s">
        <v>206</v>
      </c>
      <c r="C34" s="75"/>
      <c r="D34" s="75"/>
      <c r="E34" s="9">
        <v>5</v>
      </c>
      <c r="F34" s="26">
        <v>3.75</v>
      </c>
      <c r="G34" s="33">
        <f t="shared" si="0"/>
        <v>0.75</v>
      </c>
      <c r="H34" s="34" t="str">
        <f t="shared" si="1"/>
        <v>جيد</v>
      </c>
      <c r="I34" s="51"/>
      <c r="J34" s="52"/>
    </row>
    <row r="35" spans="1:10" ht="30" customHeight="1" x14ac:dyDescent="0.3">
      <c r="A35" s="10"/>
      <c r="B35" s="74" t="s">
        <v>207</v>
      </c>
      <c r="C35" s="75"/>
      <c r="D35" s="75"/>
      <c r="E35" s="9">
        <v>5</v>
      </c>
      <c r="F35" s="26">
        <v>4.25</v>
      </c>
      <c r="G35" s="33">
        <f t="shared" si="0"/>
        <v>0.85</v>
      </c>
      <c r="H35" s="34" t="str">
        <f t="shared" si="1"/>
        <v>جيد جداً</v>
      </c>
      <c r="I35" s="51"/>
      <c r="J35" s="52"/>
    </row>
    <row r="36" spans="1:10" ht="39.9" customHeight="1" x14ac:dyDescent="0.3">
      <c r="A36" s="10"/>
      <c r="B36" s="74" t="s">
        <v>208</v>
      </c>
      <c r="C36" s="75"/>
      <c r="D36" s="75"/>
      <c r="E36" s="9">
        <v>5</v>
      </c>
      <c r="F36" s="26">
        <v>4.25</v>
      </c>
      <c r="G36" s="33">
        <f t="shared" si="0"/>
        <v>0.85</v>
      </c>
      <c r="H36" s="34" t="str">
        <f t="shared" si="1"/>
        <v>جيد جداً</v>
      </c>
      <c r="I36" s="51"/>
      <c r="J36" s="52"/>
    </row>
    <row r="37" spans="1:10" ht="52.5" customHeight="1" x14ac:dyDescent="0.3">
      <c r="A37" s="10"/>
      <c r="B37" s="74" t="s">
        <v>209</v>
      </c>
      <c r="C37" s="75"/>
      <c r="D37" s="75"/>
      <c r="E37" s="9">
        <v>5</v>
      </c>
      <c r="F37" s="26">
        <v>4</v>
      </c>
      <c r="G37" s="33">
        <f t="shared" si="0"/>
        <v>0.8</v>
      </c>
      <c r="H37" s="34" t="str">
        <f t="shared" si="1"/>
        <v>جيد جداً</v>
      </c>
      <c r="I37" s="51"/>
      <c r="J37" s="52"/>
    </row>
    <row r="38" spans="1:10" ht="39.9" customHeight="1" x14ac:dyDescent="0.3">
      <c r="A38" s="10"/>
      <c r="B38" s="74" t="s">
        <v>210</v>
      </c>
      <c r="C38" s="75"/>
      <c r="D38" s="75"/>
      <c r="E38" s="9">
        <v>5</v>
      </c>
      <c r="F38" s="26">
        <v>4</v>
      </c>
      <c r="G38" s="33">
        <f t="shared" si="0"/>
        <v>0.8</v>
      </c>
      <c r="H38" s="34" t="str">
        <f t="shared" si="1"/>
        <v>جيد جداً</v>
      </c>
      <c r="I38" s="51"/>
      <c r="J38" s="52"/>
    </row>
    <row r="39" spans="1:10" ht="30" customHeight="1" thickBot="1" x14ac:dyDescent="0.35">
      <c r="A39" s="10"/>
      <c r="B39" s="76" t="s">
        <v>211</v>
      </c>
      <c r="C39" s="77"/>
      <c r="D39" s="77"/>
      <c r="E39" s="29">
        <v>5</v>
      </c>
      <c r="F39" s="27">
        <v>4.25</v>
      </c>
      <c r="G39" s="38">
        <f t="shared" si="0"/>
        <v>0.85</v>
      </c>
      <c r="H39" s="39" t="str">
        <f t="shared" si="1"/>
        <v>جيد جداً</v>
      </c>
      <c r="I39" s="53"/>
      <c r="J39" s="54"/>
    </row>
    <row r="40" spans="1:10" ht="30" customHeight="1" x14ac:dyDescent="0.3">
      <c r="A40" s="10"/>
      <c r="B40" s="82" t="s">
        <v>212</v>
      </c>
      <c r="C40" s="83"/>
      <c r="D40" s="83"/>
      <c r="E40" s="28"/>
      <c r="F40" s="35"/>
      <c r="G40" s="36"/>
      <c r="H40" s="37"/>
      <c r="I40" s="61"/>
      <c r="J40" s="62"/>
    </row>
    <row r="41" spans="1:10" ht="30" customHeight="1" x14ac:dyDescent="0.3">
      <c r="A41" s="10"/>
      <c r="B41" s="74" t="s">
        <v>213</v>
      </c>
      <c r="C41" s="75"/>
      <c r="D41" s="75"/>
      <c r="E41" s="9">
        <v>5</v>
      </c>
      <c r="F41" s="26">
        <v>4.25</v>
      </c>
      <c r="G41" s="33">
        <f t="shared" si="0"/>
        <v>0.85</v>
      </c>
      <c r="H41" s="34" t="str">
        <f t="shared" si="1"/>
        <v>جيد جداً</v>
      </c>
      <c r="I41" s="51"/>
      <c r="J41" s="52"/>
    </row>
    <row r="42" spans="1:10" ht="39.9" customHeight="1" x14ac:dyDescent="0.3">
      <c r="A42" s="10"/>
      <c r="B42" s="74" t="s">
        <v>214</v>
      </c>
      <c r="C42" s="75"/>
      <c r="D42" s="75"/>
      <c r="E42" s="9">
        <v>5</v>
      </c>
      <c r="F42" s="26">
        <v>3.75</v>
      </c>
      <c r="G42" s="33">
        <f t="shared" si="0"/>
        <v>0.75</v>
      </c>
      <c r="H42" s="34" t="str">
        <f t="shared" si="1"/>
        <v>جيد</v>
      </c>
      <c r="I42" s="51"/>
      <c r="J42" s="52"/>
    </row>
    <row r="43" spans="1:10" ht="30" customHeight="1" thickBot="1" x14ac:dyDescent="0.35">
      <c r="A43" s="10"/>
      <c r="B43" s="76" t="s">
        <v>215</v>
      </c>
      <c r="C43" s="77"/>
      <c r="D43" s="77"/>
      <c r="E43" s="29">
        <v>5</v>
      </c>
      <c r="F43" s="27">
        <v>4.25</v>
      </c>
      <c r="G43" s="38">
        <f t="shared" si="0"/>
        <v>0.85</v>
      </c>
      <c r="H43" s="39" t="str">
        <f t="shared" si="1"/>
        <v>جيد جداً</v>
      </c>
      <c r="I43" s="53"/>
      <c r="J43" s="54"/>
    </row>
    <row r="44" spans="1:10" ht="30" customHeight="1" x14ac:dyDescent="0.3">
      <c r="A44" s="10"/>
      <c r="B44" s="82" t="s">
        <v>216</v>
      </c>
      <c r="C44" s="83"/>
      <c r="D44" s="83"/>
      <c r="E44" s="30"/>
      <c r="F44" s="35"/>
      <c r="G44" s="36"/>
      <c r="H44" s="37"/>
      <c r="I44" s="61"/>
      <c r="J44" s="62"/>
    </row>
    <row r="45" spans="1:10" ht="30" customHeight="1" x14ac:dyDescent="0.3">
      <c r="A45" s="10"/>
      <c r="B45" s="74" t="s">
        <v>217</v>
      </c>
      <c r="C45" s="75"/>
      <c r="D45" s="75"/>
      <c r="E45" s="9">
        <v>5</v>
      </c>
      <c r="F45" s="26">
        <v>4</v>
      </c>
      <c r="G45" s="33">
        <f t="shared" si="0"/>
        <v>0.8</v>
      </c>
      <c r="H45" s="34" t="str">
        <f t="shared" si="1"/>
        <v>جيد جداً</v>
      </c>
      <c r="I45" s="51"/>
      <c r="J45" s="52"/>
    </row>
    <row r="46" spans="1:10" ht="30" customHeight="1" x14ac:dyDescent="0.3">
      <c r="A46" s="10"/>
      <c r="B46" s="74" t="s">
        <v>218</v>
      </c>
      <c r="C46" s="75"/>
      <c r="D46" s="75"/>
      <c r="E46" s="9">
        <v>5</v>
      </c>
      <c r="F46" s="26">
        <v>4</v>
      </c>
      <c r="G46" s="33">
        <f t="shared" si="0"/>
        <v>0.8</v>
      </c>
      <c r="H46" s="34" t="str">
        <f t="shared" si="1"/>
        <v>جيد جداً</v>
      </c>
      <c r="I46" s="51"/>
      <c r="J46" s="52"/>
    </row>
    <row r="47" spans="1:10" ht="30" customHeight="1" x14ac:dyDescent="0.3">
      <c r="A47" s="10"/>
      <c r="B47" s="74" t="s">
        <v>219</v>
      </c>
      <c r="C47" s="75"/>
      <c r="D47" s="75"/>
      <c r="E47" s="9">
        <v>5</v>
      </c>
      <c r="F47" s="26">
        <v>3.75</v>
      </c>
      <c r="G47" s="33">
        <f t="shared" si="0"/>
        <v>0.75</v>
      </c>
      <c r="H47" s="34" t="str">
        <f t="shared" si="1"/>
        <v>جيد</v>
      </c>
      <c r="I47" s="51"/>
      <c r="J47" s="52"/>
    </row>
    <row r="48" spans="1:10" ht="30" customHeight="1" x14ac:dyDescent="0.3">
      <c r="A48" s="10"/>
      <c r="B48" s="74" t="s">
        <v>220</v>
      </c>
      <c r="C48" s="75"/>
      <c r="D48" s="75"/>
      <c r="E48" s="9">
        <v>5</v>
      </c>
      <c r="F48" s="26">
        <v>3.75</v>
      </c>
      <c r="G48" s="33">
        <f t="shared" si="0"/>
        <v>0.75</v>
      </c>
      <c r="H48" s="34" t="str">
        <f t="shared" si="1"/>
        <v>جيد</v>
      </c>
      <c r="I48" s="51"/>
      <c r="J48" s="52"/>
    </row>
    <row r="49" spans="1:10" ht="30" customHeight="1" x14ac:dyDescent="0.3">
      <c r="A49" s="10"/>
      <c r="B49" s="74" t="s">
        <v>221</v>
      </c>
      <c r="C49" s="75"/>
      <c r="D49" s="75"/>
      <c r="E49" s="9">
        <v>5</v>
      </c>
      <c r="F49" s="26">
        <v>4</v>
      </c>
      <c r="G49" s="33">
        <f t="shared" si="0"/>
        <v>0.8</v>
      </c>
      <c r="H49" s="34" t="str">
        <f t="shared" si="1"/>
        <v>جيد جداً</v>
      </c>
      <c r="I49" s="51"/>
      <c r="J49" s="52"/>
    </row>
    <row r="50" spans="1:10" ht="30" customHeight="1" thickBot="1" x14ac:dyDescent="0.35">
      <c r="A50" s="10"/>
      <c r="B50" s="76" t="s">
        <v>222</v>
      </c>
      <c r="C50" s="77"/>
      <c r="D50" s="77"/>
      <c r="E50" s="29">
        <v>10</v>
      </c>
      <c r="F50" s="27">
        <v>8</v>
      </c>
      <c r="G50" s="38">
        <f t="shared" si="0"/>
        <v>0.8</v>
      </c>
      <c r="H50" s="39" t="str">
        <f t="shared" si="1"/>
        <v>جيد جداً</v>
      </c>
      <c r="I50" s="53"/>
      <c r="J50" s="54"/>
    </row>
    <row r="51" spans="1:10" ht="30" customHeight="1" thickBot="1" x14ac:dyDescent="0.35">
      <c r="A51" s="4"/>
      <c r="B51" s="78" t="s">
        <v>5</v>
      </c>
      <c r="C51" s="79"/>
      <c r="D51" s="79"/>
      <c r="E51" s="32">
        <f>SUM(E8:E50)</f>
        <v>240</v>
      </c>
      <c r="F51" s="32">
        <f>SUM(F8:F50)</f>
        <v>192</v>
      </c>
      <c r="G51" s="71"/>
      <c r="H51" s="72"/>
      <c r="I51" s="72"/>
      <c r="J51" s="73"/>
    </row>
    <row r="52" spans="1:10" ht="30" customHeight="1" thickBot="1" x14ac:dyDescent="0.35">
      <c r="A52" s="4"/>
      <c r="B52" s="80" t="s">
        <v>54</v>
      </c>
      <c r="C52" s="81"/>
      <c r="D52" s="81"/>
      <c r="E52" s="47">
        <f>F51/E51/100*100</f>
        <v>0.8</v>
      </c>
      <c r="F52" s="47"/>
      <c r="G52" s="47"/>
      <c r="H52" s="47"/>
      <c r="I52" s="47"/>
      <c r="J52" s="48"/>
    </row>
    <row r="53" spans="1:10" ht="30" customHeight="1" thickBot="1" x14ac:dyDescent="0.35">
      <c r="A53" s="4"/>
      <c r="B53" s="80" t="s">
        <v>55</v>
      </c>
      <c r="C53" s="81"/>
      <c r="D53" s="81"/>
      <c r="E53" s="67" t="str">
        <f>_xlfn.IFS(E52&gt;=90%,"ممتاز",E52&gt;=80%,"جيد جداً",E52&gt;=70%,"جيد",E52&gt;=60%,"مقبول",E52&lt;60%,"راسب")</f>
        <v>جيد جداً</v>
      </c>
      <c r="F53" s="67"/>
      <c r="G53" s="67"/>
      <c r="H53" s="67"/>
      <c r="I53" s="67"/>
      <c r="J53" s="68"/>
    </row>
    <row r="54" spans="1:10" ht="42" customHeight="1" x14ac:dyDescent="0.3">
      <c r="B54" s="63" t="s">
        <v>174</v>
      </c>
      <c r="C54" s="63"/>
      <c r="D54" s="63"/>
      <c r="E54" s="69" t="s">
        <v>52</v>
      </c>
      <c r="F54" s="69"/>
      <c r="G54" s="65" t="s">
        <v>100</v>
      </c>
      <c r="H54" s="65"/>
      <c r="I54" s="65"/>
      <c r="J54" s="65"/>
    </row>
    <row r="55" spans="1:10" ht="51" customHeight="1" x14ac:dyDescent="0.3">
      <c r="A55" s="5"/>
      <c r="B55" s="64"/>
      <c r="C55" s="64"/>
      <c r="D55" s="64"/>
      <c r="E55" s="70" t="s">
        <v>53</v>
      </c>
      <c r="F55" s="70"/>
      <c r="G55" s="66"/>
      <c r="H55" s="66"/>
      <c r="I55" s="66"/>
      <c r="J55" s="6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7">
    <mergeCell ref="B28:D28"/>
    <mergeCell ref="B29:D29"/>
    <mergeCell ref="B30:D30"/>
    <mergeCell ref="B31:D31"/>
    <mergeCell ref="B32:D32"/>
    <mergeCell ref="B33:D33"/>
    <mergeCell ref="B34:D34"/>
    <mergeCell ref="B44:D44"/>
    <mergeCell ref="B45:D45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I32:J32"/>
    <mergeCell ref="I33:J33"/>
    <mergeCell ref="I34:J34"/>
    <mergeCell ref="I35:J35"/>
    <mergeCell ref="I36:J36"/>
    <mergeCell ref="I8:J8"/>
    <mergeCell ref="B51:D51"/>
    <mergeCell ref="B52:D52"/>
    <mergeCell ref="B53:D53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54:D55"/>
    <mergeCell ref="G54:J54"/>
    <mergeCell ref="G55:J55"/>
    <mergeCell ref="E53:J53"/>
    <mergeCell ref="I40:J40"/>
    <mergeCell ref="I41:J41"/>
    <mergeCell ref="I42:J42"/>
    <mergeCell ref="I43:J43"/>
    <mergeCell ref="I44:J44"/>
    <mergeCell ref="I49:J49"/>
    <mergeCell ref="I50:J50"/>
    <mergeCell ref="I45:J45"/>
    <mergeCell ref="I46:J46"/>
    <mergeCell ref="I47:J47"/>
    <mergeCell ref="I48:J48"/>
    <mergeCell ref="E54:F54"/>
    <mergeCell ref="E55:F55"/>
    <mergeCell ref="G51:J51"/>
    <mergeCell ref="B46:D46"/>
    <mergeCell ref="B47:D47"/>
    <mergeCell ref="B48:D48"/>
    <mergeCell ref="B49:D49"/>
    <mergeCell ref="B50:D50"/>
    <mergeCell ref="B1:J1"/>
    <mergeCell ref="F2:J2"/>
    <mergeCell ref="B5:D6"/>
    <mergeCell ref="C2:D2"/>
    <mergeCell ref="C3:D3"/>
    <mergeCell ref="F3:J3"/>
    <mergeCell ref="E52:J52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3">
    <cfRule type="expression" dxfId="14" priority="57">
      <formula>$E53="راسب"</formula>
    </cfRule>
  </conditionalFormatting>
  <conditionalFormatting sqref="E53:J53">
    <cfRule type="expression" dxfId="13" priority="58">
      <formula>$E53="مقبول"</formula>
    </cfRule>
    <cfRule type="expression" dxfId="12" priority="59">
      <formula>$E53="جيد"</formula>
    </cfRule>
    <cfRule type="expression" dxfId="11" priority="60">
      <formula>$E53="جيد جداً"</formula>
    </cfRule>
    <cfRule type="expression" dxfId="10" priority="61">
      <formula>$E53="ممتاز"</formula>
    </cfRule>
  </conditionalFormatting>
  <conditionalFormatting sqref="F8:F50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54:J54">
    <cfRule type="containsText" dxfId="6" priority="15" operator="containsText" text="أدخل اسم المحكم">
      <formula>NOT(ISERROR(SEARCH("أدخل اسم المحكم",G54)))</formula>
    </cfRule>
  </conditionalFormatting>
  <conditionalFormatting sqref="H8:H50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F10 F41:F43 F34:F39 F45:F49 F15:F16 F20:F22 F13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G54:J54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F852B454-6D5D-4C33-9175-D7259D3C738D}">
          <x14:formula1>
            <xm:f>'بيانات التقييم'!$A$111:$A$153</xm:f>
          </x14:formula1>
          <xm:sqref>F9 F11 F30 F31 F32 F50</xm:sqref>
        </x14:dataValidation>
        <x14:dataValidation type="list" allowBlank="1" showInputMessage="1" showErrorMessage="1" xr:uid="{82A2A182-0965-4C61-A9F0-3A98764AF07E}">
          <x14:formula1>
            <xm:f>'بيانات التقييم'!$A$111:$A$145</xm:f>
          </x14:formula1>
          <xm:sqref>F12 F18 F19 F24 F26:F28</xm:sqref>
        </x14:dataValidation>
        <x14:dataValidation type="list" allowBlank="1" showInputMessage="1" showErrorMessage="1" xr:uid="{19037988-FC9F-40EA-8210-A979C2DA42BA}">
          <x14:formula1>
            <xm:f>'بيانات التقييم'!$A$111:$A$137</xm:f>
          </x14:formula1>
          <xm:sqref>F14 F17</xm:sqref>
        </x14:dataValidation>
        <x14:dataValidation type="list" allowBlank="1" showInputMessage="1" showErrorMessage="1" xr:uid="{69F002C2-061D-4B07-BEB4-294B39B24212}">
          <x14:formula1>
            <xm:f>'بيانات التقييم'!$A$111:$A$141</xm:f>
          </x14:formula1>
          <xm:sqref>F25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5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440EA8-9573-4763-AAB4-821F38B5F9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2025-10-08T19:23:22Z</dcterms:modified>
</cp:coreProperties>
</file>