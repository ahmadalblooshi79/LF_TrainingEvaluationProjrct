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6D389E6-D12D-A344-AC8E-BFF6DA8F045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<sst xmlns="http://schemas.openxmlformats.org/spreadsheetml/2006/main" count="263" uniqueCount="207">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</sst>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1074079</xdr:colOff>
      <xdr:row>51</xdr:row>
      <xdr:rowOff>23903</xdr:rowOff>
    </xdr:from>
    <xdr:to>
      <xdr:col>3</xdr:col>
      <xdr:colOff>1074439</xdr:colOff>
      <xdr:row>51</xdr:row>
      <xdr:rowOff>151343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14:cNvPr>
            <xdr14:cNvContentPartPr/>
          </xdr14:nvContentPartPr>
          <xdr14:nvPr macro=""/>
          <xdr14:xfrm>
            <a:off x="10402794425" y="20696040"/>
            <a:ext cx="360" cy="127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788305" y="20689920"/>
              <a:ext cx="12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431385</xdr:colOff>
      <xdr:row>37</xdr:row>
      <xdr:rowOff>188108</xdr:rowOff>
    </xdr:from>
    <xdr:to>
      <xdr:col>7</xdr:col>
      <xdr:colOff>411935</xdr:colOff>
      <xdr:row>37</xdr:row>
      <xdr:rowOff>446228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14:cNvPr>
            <xdr14:cNvContentPartPr/>
          </xdr14:nvContentPartPr>
          <xdr14:nvPr macro=""/>
          <xdr14:xfrm>
            <a:off x="10399491065" y="17737200"/>
            <a:ext cx="638640" cy="258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84945" y="17731080"/>
              <a:ext cx="6508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271175</xdr:colOff>
      <xdr:row>37</xdr:row>
      <xdr:rowOff>134828</xdr:rowOff>
    </xdr:from>
    <xdr:to>
      <xdr:col>9</xdr:col>
      <xdr:colOff>212834</xdr:colOff>
      <xdr:row>37</xdr:row>
      <xdr:rowOff>512468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14:cNvPr>
            <xdr14:cNvContentPartPr/>
          </xdr14:nvContentPartPr>
          <xdr14:nvPr macro=""/>
          <xdr14:xfrm>
            <a:off x="10398373985" y="17683920"/>
            <a:ext cx="1257840" cy="3776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67865" y="17677800"/>
              <a:ext cx="1270080" cy="38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7:55:12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1,'0'16,"0"0,0-1,0 2,0 15,0-17,0 2,0 15,0-9,0 2,0 24,0-26,0 2,0 7,0-16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1395 707 7889,'0'0'0,"0"3"4249,0-3-4249,-2 3 1200,-1-1-287,3 0-25,-4-2-192,4 0-696,0 0 640,0 0-240,0-3-112,0 0-72,0 3-216,0-3 168,-3-1-16,3 0 0,0-8 160,0 12-312,-5-2 368,3-3 201,-3-6 87,5 8 32,0 3-688,0-4 688,-5-10-64,3 9-64,0-9-80,2 14-480,-3-11 432,-2-1-119,1 1-97,-8-3-16,12 14-200,-3-16 184,1 1-48,-10-3 0,9 1-96,3 17-40,-12-17 0,10 0 56,-13-1 40,13-1-152,2 19 56,-12-20 72,12-1-40,-7 1 8,-8-1 16,15 21-56,-2-21 56,-10 1-48,12 0-64,-5 4 184,5 16-128,-5-16-16,3 5 48,-3 7 8,3-12-56,2 16 16,0-3 56,0-8-56,0 8-8,-5-1 16,5 4-8,0-4-8,0 1 32,0 0-8,0 0-112,0 3 96,0-3 0,0 0-72,0 1 72,0 2-16,0 0 16,5-3-96,0 3 96,4 0-32,-4-3 80,-5 3-48,14 0 56,-6 0-16,6-3-24,-12 0 24,-2 3-40,20-3 16,-8 1-32,2-1-16,8 0 64,-22 3-32,17 0-56,2-3 24,-5-1 64,8 1 8,-22 3-40,14-4 72,3-1-48,2 1-8,-2 0 72,-17 4-88,20-13-32,-4 10 88,-1-1-16,-1-9-96,-14 13 56,17-3 48,0-1 8,0-10-88,0 11 64,-17 3-32,16-13 24,-1 10 32,2-9 32,-3 9-48,-14 3-40,15-12 56,-3 9-88,-8-1 104,13-7-88,-17 11 16,5-3 32,7-1-32,-7-1-16,2 1 48,-7 4-32,2-4 24,3 1 8,0 0-8,-5 0-24,0 3 0,5 0 0,-5 0-24,0 0-32,0 0 40,0 0 16,0 0-16,0 0-64,0 0 48,-2 2-48,2-2 80,0 4-56,-3 0 56,-2 2-48,0 5 24,5-11 24,-12 5-32,10 7 32,-12-7 16,6 6 40,8-11-56,-14 4-16,9 11 8,-14-11-8,7 11 16,12-15 0,-12 6 24,-7 10 24,2-5-96,-2 3 8,19-14 40,-17 15 128,-5 2-128,0-2 0,3 2-128,19-17 128,-21 17-184,-1-1 128,3 0 128,-1-1 72,20-15-144,-14 13 56,-3 0-56,5-2-72,2 1 32,10-12 40,-4 11-48,-11-5 80,13 8-72,-13-10-16,15-4 56,-4 13-16,-11-9 96,13 8-120,-13-8 72,15-4-32,-9 11 0,4-6-48,-10-1 120,13 7-72,2-11 0,-12 2 72,5 2-72,-5 0 40,9-1-24,3-3-16,-12 1 0,10 1-32,-12-1 48,9-1 152,5 0-168,-5 0 16,-10 0 96,11-3-56,-8-1-40,12 4-16,-5-4 72,-7 0 24,9-9 16,-11 10-80,14 3-32,-12-11 96,0 6-168,-3-10 64,1 3 32,14 12-24,-14-11 16,-6-3-48,4-2 8,-1 0 120,17 16-96,-17-17 48,2 0 120,-1 0-128,-1-1 8,17 18-48,-15-19-104,1 1 88,2-2 64,-5 3-208,17 17 160,-12-17 72,-2 1-112,2 3 120,0 1-32,12 12-48,-3-12 40,-16 8-40,14-9-96,-7 10 104,12 3-8,0-4-80,-5 0 88,0 0-8,3-1 88,2 5-88,-2-3 72,-3 1-56,2-1-200,1 0 96,2 3 88,-2 0-32,-3 0 8,5 0 112,0 0-232,0 0 144,0 0-144,0 0-24,0 0 184,2 1-80,-2-1 64,5 5-56,0 6 48,4 0-80,-1 1 120,-8-12-32,12 12 0,0 1 0,-10 1-56,15 1 24,-17-15 32,12 15 96,0 1-40,-2 0 120,-3-2-112,-7-14-64,12 14 0,-7 0 48,7-1 64,-8-2-56,-4-11-56,12 12 16,-7-1 40,0-7-40,2 9-32,-7-13 16,3 4 32,-1 2-96,3 6-104,-3-8 224,3 9 16,0-9-16,-3 2-40,1 5-56,-3-11 40,2 4 0,1 0 40,-1 2 72,-2-2-128,0-4 16,0 5 72,0-1-128,0 0 40,0 0 80,0-4-64,-5 6-120,0-2 176,3 2 32,-10 0-144,12-6 56,-5 5 32,-7 1 32,7 0-128,-7 0 192,12-6-128,-12 5 96,0 1-112,0 0 8,-2 5-56,14-11 64,-19 4-56,2 8 32,-5-8 32,0 7 56,22-11-64,-16 5-16,-6-1-16,3 0 32,2-3 56,17-1-56,-17 2 16,10-2-56,-5-3 40,7-8-184,5 11 184,-5-5-216,3-12 144,2 6-184,0 0-48,0 11 304,0-12-256,7 8-24,7-13 112,-11 13 184,-3 4-16,14-15-152,-7 13 152,8-10-56,-3 9 56,-12 3 0,5-2-64,7-1 32,-10 0-32,1 3 48,-3 0 16,2 0 152,-2 0-192,0 0 176,-5 0-64,5 0-72,-5 1 208,-9 2-200,2 1 64,-3 1-48,15-5-24,-21 11-160,2-7 184,-3 9-96,-2-7 64,24-6 8,-27 15 160,6-3-48,-6-7-24,3 11 96,24-16-184,-26 6 80,2 7 88,-3-9 88,3 2-176,24-6-80,-21 4 176,6-1-32,-2-2-80,0-1 8,17 0-72,-12-3 160,-2-1-88,2 0-88,0-11 88,12 15-72,-12-2-16,0-11-24,7 9 72,-9-8-64,14 12 32,-15-4-56,6-7 80,4 8 8,-12 0 40,17 3-72,-12-3 40,-3 3-24,-1 0-16,-4 0-88,20 0 88,-21 1-144,-6 2 32,8 2-232,-5-1-1040,24-4 1384,-24 4-3201,-7 9-6841,4-12 1536,27-1 8506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5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2290 633 13266,'0'0'0,"17"2"520,5 2 9,-22-4-529,26 4 784,5-1 160,1-2-104,1 4-120,-33-5-720,34 2 568,2 1-48,5 2-39,0-4-57,-41-1-424,43 1 544,5 1 40,0-2 80,5 0 40,-53 0-704,53 0 688,-2-4-136,-1-8 89,3 8-201,-53 4-440,48-14 304,-2 2-8,-3-2-184,-2-2 80,-41 16-192,43-18 112,-4-5 8,-3-1 16,-2-1-104,-34 25-32,26-29 168,-2 2-208,-2-1 136,-3 1-120,-19 27 24,19-29 112,-2 1 72,-12 1-144,14-2 64,-19 29-104,0-28 32,5-1 184,0 0-64,-5-1 232,0 30-384,0-27 168,-5 0-16,-12 3 64,3 1-144,14 23-72,-17-20 192,-7 4-192,2 4-24,-4 9 8,26 3 16,-31-5-48,-10 3 8,-3 2-64,-4 0 160,48 0-56,-50 4-112,2 0 136,-5 9-40,-5-9-8,58-4 24,-55 16 24,-3-5-32,-2 2 120,-5 3-136,65-16 24,-63 15 56,1 2 32,-6 0-32,1 0 8,67-17-64,-67 20 89,-5 0 31,-1 2-120,1-3 56,72-19-56,-70 22 0,-2-2-160,-2 4-169,-6 1 241,80-25 88,-79 29 32,-3 4 96,-4 1 273,4 3-337,82-37-64,-94 38 40,5 0 40,-5 4-40,-2-3 24,96-39-64,-96 42-88,0 2-128,4-2 128,-4 0 32,96-42 56,-99 41 40,-2-1-80,-4-2 7,-9 0-87,114-38 120,-60 19-248,-14 2-1032,-3 0-1584,-24 5-5714,101-26 8578,-104 24-10499,104-24 10499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G38" sqref="G38:J3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3" t="s">
        <v>206</v>
      </c>
      <c r="C1" s="63"/>
      <c r="D1" s="63"/>
      <c r="E1" s="63"/>
      <c r="F1" s="63"/>
      <c r="G1" s="63"/>
      <c r="H1" s="63"/>
      <c r="I1" s="63"/>
      <c r="J1" s="63"/>
    </row>
    <row r="2" spans="1:10" ht="30" customHeight="1">
      <c r="B2" s="12" t="s">
        <v>8</v>
      </c>
      <c r="C2" s="69" t="s">
        <v>45</v>
      </c>
      <c r="D2" s="69"/>
      <c r="E2" s="12" t="s">
        <v>7</v>
      </c>
      <c r="F2" s="64">
        <v>45955</v>
      </c>
      <c r="G2" s="64"/>
      <c r="H2" s="64"/>
      <c r="I2" s="64"/>
      <c r="J2" s="64"/>
    </row>
    <row r="3" spans="1:10" ht="30" customHeight="1">
      <c r="B3" s="12" t="s">
        <v>9</v>
      </c>
      <c r="C3" s="69" t="s">
        <v>87</v>
      </c>
      <c r="D3" s="69"/>
      <c r="E3" s="12" t="s">
        <v>6</v>
      </c>
      <c r="F3" s="69" t="s">
        <v>104</v>
      </c>
      <c r="G3" s="69"/>
      <c r="H3" s="69"/>
      <c r="I3" s="69"/>
      <c r="J3" s="69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5" customHeight="1" thickBot="1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39.950000000000003" customHeight="1">
      <c r="A8" s="10"/>
      <c r="B8" s="81" t="s">
        <v>180</v>
      </c>
      <c r="C8" s="82"/>
      <c r="D8" s="82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1"/>
      <c r="J8" s="62"/>
    </row>
    <row r="9" spans="1:10" ht="39.950000000000003" customHeight="1">
      <c r="A9" s="10"/>
      <c r="B9" s="79" t="s">
        <v>181</v>
      </c>
      <c r="C9" s="80"/>
      <c r="D9" s="80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>
      <c r="A10" s="10"/>
      <c r="B10" s="79" t="s">
        <v>182</v>
      </c>
      <c r="C10" s="80"/>
      <c r="D10" s="80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>
      <c r="A11" s="10"/>
      <c r="B11" s="79" t="s">
        <v>183</v>
      </c>
      <c r="C11" s="80"/>
      <c r="D11" s="8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50000000000003" customHeight="1">
      <c r="A12" s="10"/>
      <c r="B12" s="79" t="s">
        <v>184</v>
      </c>
      <c r="C12" s="80"/>
      <c r="D12" s="8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50000000000003" customHeight="1">
      <c r="A13" s="10"/>
      <c r="B13" s="79" t="s">
        <v>185</v>
      </c>
      <c r="C13" s="80"/>
      <c r="D13" s="8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50000000000003" customHeight="1">
      <c r="A14" s="10"/>
      <c r="B14" s="79" t="s">
        <v>186</v>
      </c>
      <c r="C14" s="80"/>
      <c r="D14" s="8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50000000000003" customHeight="1">
      <c r="A15" s="10"/>
      <c r="B15" s="79" t="s">
        <v>187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50000000000003" customHeight="1">
      <c r="A16" s="10"/>
      <c r="B16" s="79" t="s">
        <v>188</v>
      </c>
      <c r="C16" s="80"/>
      <c r="D16" s="8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50000000000003" customHeight="1">
      <c r="A17" s="10"/>
      <c r="B17" s="79" t="s">
        <v>189</v>
      </c>
      <c r="C17" s="80"/>
      <c r="D17" s="8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50000000000003" customHeight="1">
      <c r="A18" s="10"/>
      <c r="B18" s="79" t="s">
        <v>190</v>
      </c>
      <c r="C18" s="80"/>
      <c r="D18" s="8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50000000000003" customHeight="1">
      <c r="A19" s="10"/>
      <c r="B19" s="79" t="s">
        <v>191</v>
      </c>
      <c r="C19" s="80"/>
      <c r="D19" s="80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5"/>
      <c r="J19" s="46"/>
    </row>
    <row r="20" spans="1:10" ht="39.950000000000003" customHeight="1">
      <c r="A20" s="10"/>
      <c r="B20" s="79" t="s">
        <v>192</v>
      </c>
      <c r="C20" s="80"/>
      <c r="D20" s="80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5"/>
      <c r="J20" s="46"/>
    </row>
    <row r="21" spans="1:10" ht="39.950000000000003" customHeight="1">
      <c r="A21" s="10"/>
      <c r="B21" s="77" t="s">
        <v>193</v>
      </c>
      <c r="C21" s="78"/>
      <c r="D21" s="7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50000000000003" customHeight="1">
      <c r="A22" s="10"/>
      <c r="B22" s="77" t="s">
        <v>194</v>
      </c>
      <c r="C22" s="78"/>
      <c r="D22" s="78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50000000000003" customHeight="1">
      <c r="A23" s="10"/>
      <c r="B23" s="77" t="s">
        <v>195</v>
      </c>
      <c r="C23" s="78"/>
      <c r="D23" s="7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50000000000003" customHeight="1">
      <c r="A24" s="10"/>
      <c r="B24" s="77" t="s">
        <v>196</v>
      </c>
      <c r="C24" s="78"/>
      <c r="D24" s="78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5"/>
      <c r="J24" s="46"/>
    </row>
    <row r="25" spans="1:10" ht="39.950000000000003" customHeight="1">
      <c r="A25" s="10"/>
      <c r="B25" s="77" t="s">
        <v>197</v>
      </c>
      <c r="C25" s="78"/>
      <c r="D25" s="78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50000000000003" customHeight="1">
      <c r="A26" s="10"/>
      <c r="B26" s="77" t="s">
        <v>198</v>
      </c>
      <c r="C26" s="78"/>
      <c r="D26" s="78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5"/>
      <c r="J26" s="46"/>
    </row>
    <row r="27" spans="1:10" ht="39.950000000000003" customHeight="1">
      <c r="A27" s="10"/>
      <c r="B27" s="77" t="s">
        <v>199</v>
      </c>
      <c r="C27" s="78"/>
      <c r="D27" s="78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50000000000003" customHeight="1">
      <c r="A28" s="10"/>
      <c r="B28" s="77" t="s">
        <v>200</v>
      </c>
      <c r="C28" s="78"/>
      <c r="D28" s="7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5"/>
      <c r="J28" s="46"/>
    </row>
    <row r="29" spans="1:10" ht="39.950000000000003" customHeight="1">
      <c r="A29" s="10"/>
      <c r="B29" s="77" t="s">
        <v>201</v>
      </c>
      <c r="C29" s="78"/>
      <c r="D29" s="78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50000000000003" customHeight="1">
      <c r="A30" s="10"/>
      <c r="B30" s="77" t="s">
        <v>202</v>
      </c>
      <c r="C30" s="78"/>
      <c r="D30" s="78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50000000000003" customHeight="1">
      <c r="A31" s="10"/>
      <c r="B31" s="77" t="s">
        <v>203</v>
      </c>
      <c r="C31" s="78"/>
      <c r="D31" s="7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50000000000003" customHeight="1">
      <c r="A32" s="10"/>
      <c r="B32" s="77" t="s">
        <v>204</v>
      </c>
      <c r="C32" s="78"/>
      <c r="D32" s="78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9.950000000000003" customHeight="1" thickBot="1">
      <c r="A33" s="10"/>
      <c r="B33" s="83" t="s">
        <v>205</v>
      </c>
      <c r="C33" s="84"/>
      <c r="D33" s="84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47"/>
      <c r="J33" s="48"/>
    </row>
    <row r="34" spans="1:10" ht="30" customHeight="1" thickBot="1">
      <c r="A34" s="4"/>
      <c r="B34" s="49" t="s">
        <v>5</v>
      </c>
      <c r="C34" s="50"/>
      <c r="D34" s="50"/>
      <c r="E34" s="29">
        <f>SUM(E8:E33)</f>
        <v>130</v>
      </c>
      <c r="F34" s="29">
        <f>SUM(F8:F33)</f>
        <v>94.5</v>
      </c>
      <c r="G34" s="72"/>
      <c r="H34" s="73"/>
      <c r="I34" s="73"/>
      <c r="J34" s="74"/>
    </row>
    <row r="35" spans="1:10" ht="30" customHeight="1" thickBot="1">
      <c r="A35" s="4"/>
      <c r="B35" s="51" t="s">
        <v>54</v>
      </c>
      <c r="C35" s="52"/>
      <c r="D35" s="52"/>
      <c r="E35" s="75">
        <f>F34/E34/100*100</f>
        <v>0.72692307692307689</v>
      </c>
      <c r="F35" s="75"/>
      <c r="G35" s="75"/>
      <c r="H35" s="75"/>
      <c r="I35" s="75"/>
      <c r="J35" s="76"/>
    </row>
    <row r="36" spans="1:10" ht="30" customHeight="1" thickBot="1">
      <c r="A36" s="4"/>
      <c r="B36" s="51" t="s">
        <v>55</v>
      </c>
      <c r="C36" s="52"/>
      <c r="D36" s="52"/>
      <c r="E36" s="43" t="str">
        <f>_xlfn.IFS(E35&gt;=90%,"ممتاز",E35&gt;=80%,"جيد جداً",E35&gt;=70%,"جيد",E35&gt;=60%,"مقبول",E35&lt;60%,"راسب")</f>
        <v>جيد</v>
      </c>
      <c r="F36" s="43"/>
      <c r="G36" s="43"/>
      <c r="H36" s="43"/>
      <c r="I36" s="43"/>
      <c r="J36" s="44"/>
    </row>
    <row r="37" spans="1:10" ht="42" customHeight="1">
      <c r="B37" s="39" t="s">
        <v>174</v>
      </c>
      <c r="C37" s="39"/>
      <c r="D37" s="39"/>
      <c r="E37" s="70" t="s">
        <v>52</v>
      </c>
      <c r="F37" s="70"/>
      <c r="G37" s="41" t="s">
        <v>104</v>
      </c>
      <c r="H37" s="41"/>
      <c r="I37" s="41"/>
      <c r="J37" s="41"/>
    </row>
    <row r="38" spans="1:10" ht="51" customHeight="1">
      <c r="A38" s="5"/>
      <c r="B38" s="40"/>
      <c r="C38" s="40"/>
      <c r="D38" s="40"/>
      <c r="E38" s="71" t="s">
        <v>53</v>
      </c>
      <c r="F38" s="71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