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1167B15-32FF-48C7-945A-65368C6B07A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<sst xmlns="http://schemas.openxmlformats.org/spreadsheetml/2006/main" count="269" uniqueCount="213">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</sst>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269790</xdr:colOff>
      <xdr:row>42</xdr:row>
      <xdr:rowOff>465898</xdr:rowOff>
    </xdr:from>
    <xdr:to>
      <xdr:col>8</xdr:col>
      <xdr:colOff>124103</xdr:colOff>
      <xdr:row>43</xdr:row>
      <xdr:rowOff>463411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3970120-523B-2565-CE05-845C11FCA1B6}"/>
                </a:ext>
              </a:extLst>
            </xdr14:cNvPr>
            <xdr14:cNvContentPartPr/>
          </xdr14:nvContentPartPr>
          <xdr14:nvPr macro=""/>
          <xdr14:xfrm>
            <a:off x="10399116955" y="16985520"/>
            <a:ext cx="1162800" cy="526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3970120-523B-2565-CE05-845C11FCA1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07955" y="16976520"/>
              <a:ext cx="1180440" cy="544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3:41.7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2389 1377 112,'-70'2'0,"60"-2"264,-3-1 584,-4 0 792,17 1-1640,-144-38 2497,128 32 519,-2 2-743,0-6-489,18 10-1784,-206-97 1721,183 86-201,-5-1-208,-3-4-200,31 16-1112,-296-154 1065,259 136 39,-2-3-200,-2 1-232,41 20-672,-337-158 384,295 140-216,0-1-72,2 1 32,40 18-128,-317-126 16,276 109 24,3-1 16,3 4-88,35 14 32,-232-119 56,202 107-32,5 0-8,0 0 24,25 12-40,-122-97-104,105 85 112,3-2 8,6 1-72,8 13 56,-14-77-24,11 68-136,3 0-64,0 7-40,0 2 264,93-44-232,-85 41-8,5-5 88,4 5 8,-17 3 144,220-46-112,-195 44 48,6-5-16,2 4 16,-33 3 64,342-46-48,-302 43-32,4-4 40,3 5 40,-47 2 0,440-14 0,-386 12 0,2-1 0,1 2-32,-57 1 32,464 10-104,-407-10 112,0 3 8,0 4 0,-57-7-16,398 57 24,-346-48-80,-5-7 72,-6 8-32,-41-10 16,232 22 16,-203-14-16,-4-7-40,-4 6 64,-21-7-24,98 28 40,-83-26 0,-6 5-24,-6-5-8,-3-2-8,19 55 24,-19-47 8,0-5 0,-1 9 32,1-12-64,-134 125 104,118-111 48,-3 2-48,-9 3-88,28-19-16,-321 166 0,283-145-64,-5 2 72,-6 0 8,49-23-16,-520 214-80,457-189 16,-7 2-136,-1-3-48,71-24 248,-550 157-304,479-136-168,6-1-328,1-4 15,64-16 785,-429 86-632,374-74 120,5-3 520,3 0 16,47-9-24,-232 46 40,199-43 40,12 4-72,8-5-8,13-2 0,21 14-136,-21-12-120,3 0-64,8-1 192,-11-1 128,187 5 48,-165-5 168,5-1 96,6-3-96,-33 4-216,369-85 216,-326 76-88,5-1-16,5-2 8,-53 12-120,479-127 128,-420 112 32,2 0-32,3-2-8,-64 17-120,477-130 72,-415 114-24,-5 0-24,-6 4 0,-51 12-24,318-60 24,-276 52-8,-5 1 88,-9 4 17,-28 3-121,102-32 328,-88 30 328,-5 0 248,-9-1 192,0 3-1096,-46-11 1016,43 9-247,-7-1-305,-4 0-248,14 3-216,-276-21-64,247 19 24,-12 2-72,-8 4-24,49-4 136,-508 99-40,444-88-88,-2 0-16,-1 3-65,67-14 209,-514 127-176,450-110-104,2-2 96,5 1 64,57-16 120,-326 111-136,283-97 48,9 1-232,7-1-176,27-14 496,-127 116-672,111-102-248,3-1-288,4-1-265,9-12 1473,-1 84-2168,1-72-1641,0-1-1024,1-1-216,-1-10 5049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C1" zoomScale="130" zoomScaleNormal="100" zoomScaleSheetLayoutView="130" workbookViewId="0">
      <selection activeCell="F2" sqref="F2:J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3" t="s">
        <v>212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3">
      <c r="B2" s="12" t="s">
        <v>8</v>
      </c>
      <c r="C2" s="69" t="s">
        <v>41</v>
      </c>
      <c r="D2" s="69"/>
      <c r="E2" s="12" t="s">
        <v>7</v>
      </c>
      <c r="F2" s="64">
        <v>45929</v>
      </c>
      <c r="G2" s="64"/>
      <c r="H2" s="64"/>
      <c r="I2" s="64"/>
      <c r="J2" s="64"/>
    </row>
    <row r="3" spans="1:10" ht="30" customHeight="1" x14ac:dyDescent="0.3">
      <c r="B3" s="12" t="s">
        <v>9</v>
      </c>
      <c r="C3" s="69" t="s">
        <v>82</v>
      </c>
      <c r="D3" s="69"/>
      <c r="E3" s="12" t="s">
        <v>6</v>
      </c>
      <c r="F3" s="69" t="s">
        <v>130</v>
      </c>
      <c r="G3" s="69"/>
      <c r="H3" s="69"/>
      <c r="I3" s="69"/>
      <c r="J3" s="6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5" t="s">
        <v>0</v>
      </c>
      <c r="C5" s="66"/>
      <c r="D5" s="66"/>
      <c r="E5" s="87" t="s">
        <v>1</v>
      </c>
      <c r="F5" s="87"/>
      <c r="G5" s="87"/>
      <c r="H5" s="87"/>
      <c r="I5" s="87" t="s">
        <v>2</v>
      </c>
      <c r="J5" s="88"/>
    </row>
    <row r="6" spans="1:10" ht="24.9" customHeight="1" thickBot="1" x14ac:dyDescent="0.35">
      <c r="A6" s="10"/>
      <c r="B6" s="67"/>
      <c r="C6" s="68"/>
      <c r="D6" s="68"/>
      <c r="E6" s="11" t="s">
        <v>3</v>
      </c>
      <c r="F6" s="11" t="s">
        <v>4</v>
      </c>
      <c r="G6" s="11" t="s">
        <v>23</v>
      </c>
      <c r="H6" s="11" t="s">
        <v>24</v>
      </c>
      <c r="I6" s="89"/>
      <c r="J6" s="90"/>
    </row>
    <row r="7" spans="1:10" ht="24.9" customHeight="1" thickBot="1" x14ac:dyDescent="0.35">
      <c r="A7" s="10"/>
      <c r="B7" s="57" t="s">
        <v>21</v>
      </c>
      <c r="C7" s="58"/>
      <c r="D7" s="58"/>
      <c r="E7" s="32" t="s">
        <v>18</v>
      </c>
      <c r="F7" s="32" t="s">
        <v>19</v>
      </c>
      <c r="G7" s="32" t="s">
        <v>22</v>
      </c>
      <c r="H7" s="32" t="s">
        <v>20</v>
      </c>
      <c r="I7" s="91" t="s">
        <v>25</v>
      </c>
      <c r="J7" s="92"/>
    </row>
    <row r="8" spans="1:10" ht="30" customHeight="1" x14ac:dyDescent="0.3">
      <c r="A8" s="10"/>
      <c r="B8" s="51" t="s">
        <v>180</v>
      </c>
      <c r="C8" s="52"/>
      <c r="D8" s="52"/>
      <c r="E8" s="30"/>
      <c r="F8" s="36"/>
      <c r="G8" s="37"/>
      <c r="H8" s="38"/>
      <c r="I8" s="55"/>
      <c r="J8" s="56"/>
    </row>
    <row r="9" spans="1:10" ht="30" customHeight="1" x14ac:dyDescent="0.3">
      <c r="A9" s="10"/>
      <c r="B9" s="53" t="s">
        <v>181</v>
      </c>
      <c r="C9" s="54"/>
      <c r="D9" s="54"/>
      <c r="E9" s="28">
        <v>5</v>
      </c>
      <c r="F9" s="26">
        <v>3.5</v>
      </c>
      <c r="G9" s="34">
        <f>IFERROR(F9/E9,"")</f>
        <v>0.7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9"/>
      <c r="J9" s="60"/>
    </row>
    <row r="10" spans="1:10" ht="30" customHeight="1" x14ac:dyDescent="0.3">
      <c r="A10" s="10"/>
      <c r="B10" s="53" t="s">
        <v>182</v>
      </c>
      <c r="C10" s="54"/>
      <c r="D10" s="54"/>
      <c r="E10" s="28">
        <v>6</v>
      </c>
      <c r="F10" s="41">
        <v>4.25</v>
      </c>
      <c r="G10" s="34">
        <f t="shared" ref="G10:G39" si="0">IFERROR(F10/E10,"")</f>
        <v>0.70833333333333337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</v>
      </c>
      <c r="I10" s="59"/>
      <c r="J10" s="60"/>
    </row>
    <row r="11" spans="1:10" ht="30" customHeight="1" x14ac:dyDescent="0.3">
      <c r="A11" s="10"/>
      <c r="B11" s="53" t="s">
        <v>183</v>
      </c>
      <c r="C11" s="54"/>
      <c r="D11" s="54"/>
      <c r="E11" s="28">
        <v>6</v>
      </c>
      <c r="F11" s="41">
        <v>4.25</v>
      </c>
      <c r="G11" s="34">
        <f t="shared" si="0"/>
        <v>0.70833333333333337</v>
      </c>
      <c r="H11" s="35" t="str">
        <f t="shared" si="1"/>
        <v>جيد</v>
      </c>
      <c r="I11" s="59"/>
      <c r="J11" s="60"/>
    </row>
    <row r="12" spans="1:10" ht="30" customHeight="1" thickBot="1" x14ac:dyDescent="0.35">
      <c r="A12" s="10"/>
      <c r="B12" s="49" t="s">
        <v>184</v>
      </c>
      <c r="C12" s="50"/>
      <c r="D12" s="50"/>
      <c r="E12" s="29">
        <v>5</v>
      </c>
      <c r="F12" s="41">
        <v>3.5</v>
      </c>
      <c r="G12" s="39">
        <f t="shared" si="0"/>
        <v>0.7</v>
      </c>
      <c r="H12" s="40" t="str">
        <f t="shared" si="1"/>
        <v>جيد</v>
      </c>
      <c r="I12" s="61"/>
      <c r="J12" s="62"/>
    </row>
    <row r="13" spans="1:10" ht="30" customHeight="1" x14ac:dyDescent="0.3">
      <c r="A13" s="10"/>
      <c r="B13" s="51" t="s">
        <v>185</v>
      </c>
      <c r="C13" s="52"/>
      <c r="D13" s="52"/>
      <c r="E13" s="30"/>
      <c r="F13" s="36"/>
      <c r="G13" s="37"/>
      <c r="H13" s="38"/>
      <c r="I13" s="55"/>
      <c r="J13" s="56"/>
    </row>
    <row r="14" spans="1:10" ht="30" customHeight="1" x14ac:dyDescent="0.3">
      <c r="A14" s="10"/>
      <c r="B14" s="53" t="s">
        <v>186</v>
      </c>
      <c r="C14" s="54"/>
      <c r="D14" s="54"/>
      <c r="E14" s="9">
        <v>8</v>
      </c>
      <c r="F14" s="26">
        <v>5.75</v>
      </c>
      <c r="G14" s="34">
        <f t="shared" si="0"/>
        <v>0.71875</v>
      </c>
      <c r="H14" s="35" t="str">
        <f t="shared" si="1"/>
        <v>جيد</v>
      </c>
      <c r="I14" s="59"/>
      <c r="J14" s="60"/>
    </row>
    <row r="15" spans="1:10" ht="30" customHeight="1" x14ac:dyDescent="0.3">
      <c r="A15" s="10"/>
      <c r="B15" s="53" t="s">
        <v>187</v>
      </c>
      <c r="C15" s="54"/>
      <c r="D15" s="54"/>
      <c r="E15" s="9">
        <v>8</v>
      </c>
      <c r="F15" s="26">
        <v>5.75</v>
      </c>
      <c r="G15" s="34">
        <f t="shared" si="0"/>
        <v>0.71875</v>
      </c>
      <c r="H15" s="35" t="str">
        <f t="shared" si="1"/>
        <v>جيد</v>
      </c>
      <c r="I15" s="59"/>
      <c r="J15" s="60"/>
    </row>
    <row r="16" spans="1:10" ht="30" customHeight="1" x14ac:dyDescent="0.3">
      <c r="A16" s="10"/>
      <c r="B16" s="53" t="s">
        <v>188</v>
      </c>
      <c r="C16" s="54"/>
      <c r="D16" s="54"/>
      <c r="E16" s="9">
        <v>5</v>
      </c>
      <c r="F16" s="26">
        <v>3.5</v>
      </c>
      <c r="G16" s="34">
        <f t="shared" si="0"/>
        <v>0.7</v>
      </c>
      <c r="H16" s="35" t="str">
        <f t="shared" si="1"/>
        <v>جيد</v>
      </c>
      <c r="I16" s="59"/>
      <c r="J16" s="60"/>
    </row>
    <row r="17" spans="1:10" ht="30" customHeight="1" thickBot="1" x14ac:dyDescent="0.35">
      <c r="A17" s="10"/>
      <c r="B17" s="49" t="s">
        <v>189</v>
      </c>
      <c r="C17" s="50"/>
      <c r="D17" s="50"/>
      <c r="E17" s="31">
        <v>6</v>
      </c>
      <c r="F17" s="27">
        <v>4.25</v>
      </c>
      <c r="G17" s="39">
        <f t="shared" si="0"/>
        <v>0.70833333333333337</v>
      </c>
      <c r="H17" s="40" t="str">
        <f t="shared" si="1"/>
        <v>جيد</v>
      </c>
      <c r="I17" s="61"/>
      <c r="J17" s="62"/>
    </row>
    <row r="18" spans="1:10" ht="30" customHeight="1" thickBot="1" x14ac:dyDescent="0.35">
      <c r="A18" s="10"/>
      <c r="B18" s="51" t="s">
        <v>190</v>
      </c>
      <c r="C18" s="52"/>
      <c r="D18" s="52"/>
      <c r="E18" s="30"/>
      <c r="F18" s="42"/>
      <c r="G18" s="37"/>
      <c r="H18" s="38"/>
      <c r="I18" s="55"/>
      <c r="J18" s="56"/>
    </row>
    <row r="19" spans="1:10" ht="30" customHeight="1" thickBot="1" x14ac:dyDescent="0.35">
      <c r="A19" s="10"/>
      <c r="B19" s="53" t="s">
        <v>191</v>
      </c>
      <c r="C19" s="54"/>
      <c r="D19" s="54"/>
      <c r="E19" s="28">
        <v>6</v>
      </c>
      <c r="F19" s="42">
        <v>4.25</v>
      </c>
      <c r="G19" s="34">
        <f t="shared" si="0"/>
        <v>0.70833333333333337</v>
      </c>
      <c r="H19" s="35" t="str">
        <f t="shared" si="1"/>
        <v>جيد</v>
      </c>
      <c r="I19" s="59"/>
      <c r="J19" s="60"/>
    </row>
    <row r="20" spans="1:10" ht="30" customHeight="1" thickBot="1" x14ac:dyDescent="0.35">
      <c r="A20" s="10"/>
      <c r="B20" s="53" t="s">
        <v>192</v>
      </c>
      <c r="C20" s="54"/>
      <c r="D20" s="54"/>
      <c r="E20" s="28">
        <v>6</v>
      </c>
      <c r="F20" s="42">
        <v>4.25</v>
      </c>
      <c r="G20" s="34">
        <f t="shared" si="0"/>
        <v>0.70833333333333337</v>
      </c>
      <c r="H20" s="35" t="str">
        <f t="shared" si="1"/>
        <v>جيد</v>
      </c>
      <c r="I20" s="59"/>
      <c r="J20" s="60"/>
    </row>
    <row r="21" spans="1:10" ht="30" customHeight="1" thickBot="1" x14ac:dyDescent="0.35">
      <c r="A21" s="10"/>
      <c r="B21" s="53" t="s">
        <v>193</v>
      </c>
      <c r="C21" s="54"/>
      <c r="D21" s="54"/>
      <c r="E21" s="28">
        <v>6</v>
      </c>
      <c r="F21" s="42">
        <v>4.25</v>
      </c>
      <c r="G21" s="34">
        <f t="shared" si="0"/>
        <v>0.70833333333333337</v>
      </c>
      <c r="H21" s="35" t="str">
        <f t="shared" si="1"/>
        <v>جيد</v>
      </c>
      <c r="I21" s="59"/>
      <c r="J21" s="60"/>
    </row>
    <row r="22" spans="1:10" ht="39.9" customHeight="1" thickBot="1" x14ac:dyDescent="0.35">
      <c r="A22" s="10"/>
      <c r="B22" s="53" t="s">
        <v>194</v>
      </c>
      <c r="C22" s="54"/>
      <c r="D22" s="54"/>
      <c r="E22" s="28">
        <v>6</v>
      </c>
      <c r="F22" s="42">
        <v>4.25</v>
      </c>
      <c r="G22" s="34">
        <f t="shared" si="0"/>
        <v>0.70833333333333337</v>
      </c>
      <c r="H22" s="35" t="str">
        <f t="shared" si="1"/>
        <v>جيد</v>
      </c>
      <c r="I22" s="59"/>
      <c r="J22" s="60"/>
    </row>
    <row r="23" spans="1:10" ht="30" customHeight="1" thickBot="1" x14ac:dyDescent="0.35">
      <c r="A23" s="10"/>
      <c r="B23" s="49" t="s">
        <v>195</v>
      </c>
      <c r="C23" s="50"/>
      <c r="D23" s="50"/>
      <c r="E23" s="29">
        <v>6</v>
      </c>
      <c r="F23" s="42">
        <v>4.25</v>
      </c>
      <c r="G23" s="39">
        <f t="shared" si="0"/>
        <v>0.70833333333333337</v>
      </c>
      <c r="H23" s="40" t="str">
        <f t="shared" si="1"/>
        <v>جيد</v>
      </c>
      <c r="I23" s="61"/>
      <c r="J23" s="62"/>
    </row>
    <row r="24" spans="1:10" ht="30" customHeight="1" thickBot="1" x14ac:dyDescent="0.35">
      <c r="A24" s="10"/>
      <c r="B24" s="51" t="s">
        <v>196</v>
      </c>
      <c r="C24" s="52"/>
      <c r="D24" s="52"/>
      <c r="E24" s="30"/>
      <c r="F24" s="42"/>
      <c r="G24" s="37"/>
      <c r="H24" s="38"/>
      <c r="I24" s="55"/>
      <c r="J24" s="56"/>
    </row>
    <row r="25" spans="1:10" ht="39.9" customHeight="1" thickBot="1" x14ac:dyDescent="0.35">
      <c r="A25" s="10"/>
      <c r="B25" s="45" t="s">
        <v>197</v>
      </c>
      <c r="C25" s="46"/>
      <c r="D25" s="46"/>
      <c r="E25" s="28">
        <v>5</v>
      </c>
      <c r="F25" s="42">
        <v>3.5</v>
      </c>
      <c r="G25" s="34">
        <f t="shared" si="0"/>
        <v>0.7</v>
      </c>
      <c r="H25" s="35" t="str">
        <f t="shared" si="1"/>
        <v>جيد</v>
      </c>
      <c r="I25" s="59"/>
      <c r="J25" s="60"/>
    </row>
    <row r="26" spans="1:10" ht="39.9" customHeight="1" thickBot="1" x14ac:dyDescent="0.35">
      <c r="A26" s="10"/>
      <c r="B26" s="45" t="s">
        <v>198</v>
      </c>
      <c r="C26" s="46"/>
      <c r="D26" s="46"/>
      <c r="E26" s="28">
        <v>5</v>
      </c>
      <c r="F26" s="42">
        <v>3.5</v>
      </c>
      <c r="G26" s="34">
        <f t="shared" si="0"/>
        <v>0.7</v>
      </c>
      <c r="H26" s="35" t="str">
        <f t="shared" si="1"/>
        <v>جيد</v>
      </c>
      <c r="I26" s="59"/>
      <c r="J26" s="60"/>
    </row>
    <row r="27" spans="1:10" ht="30" customHeight="1" thickBot="1" x14ac:dyDescent="0.35">
      <c r="A27" s="10"/>
      <c r="B27" s="45" t="s">
        <v>199</v>
      </c>
      <c r="C27" s="46"/>
      <c r="D27" s="46"/>
      <c r="E27" s="28">
        <v>5</v>
      </c>
      <c r="F27" s="42">
        <v>3.5</v>
      </c>
      <c r="G27" s="34">
        <f t="shared" si="0"/>
        <v>0.7</v>
      </c>
      <c r="H27" s="35" t="str">
        <f t="shared" si="1"/>
        <v>جيد</v>
      </c>
      <c r="I27" s="59"/>
      <c r="J27" s="60"/>
    </row>
    <row r="28" spans="1:10" ht="30" customHeight="1" thickBot="1" x14ac:dyDescent="0.35">
      <c r="A28" s="10"/>
      <c r="B28" s="45" t="s">
        <v>200</v>
      </c>
      <c r="C28" s="46"/>
      <c r="D28" s="46"/>
      <c r="E28" s="28">
        <v>5</v>
      </c>
      <c r="F28" s="42">
        <v>3.5</v>
      </c>
      <c r="G28" s="34">
        <f t="shared" si="0"/>
        <v>0.7</v>
      </c>
      <c r="H28" s="35" t="str">
        <f t="shared" si="1"/>
        <v>جيد</v>
      </c>
      <c r="I28" s="59"/>
      <c r="J28" s="60"/>
    </row>
    <row r="29" spans="1:10" ht="30" customHeight="1" thickBot="1" x14ac:dyDescent="0.35">
      <c r="A29" s="10"/>
      <c r="B29" s="45" t="s">
        <v>201</v>
      </c>
      <c r="C29" s="46"/>
      <c r="D29" s="46"/>
      <c r="E29" s="28">
        <v>5</v>
      </c>
      <c r="F29" s="42">
        <v>3.5</v>
      </c>
      <c r="G29" s="34">
        <f t="shared" si="0"/>
        <v>0.7</v>
      </c>
      <c r="H29" s="35" t="str">
        <f t="shared" si="1"/>
        <v>جيد</v>
      </c>
      <c r="I29" s="59"/>
      <c r="J29" s="60"/>
    </row>
    <row r="30" spans="1:10" ht="30" customHeight="1" thickBot="1" x14ac:dyDescent="0.35">
      <c r="A30" s="10"/>
      <c r="B30" s="45" t="s">
        <v>202</v>
      </c>
      <c r="C30" s="46"/>
      <c r="D30" s="46"/>
      <c r="E30" s="28">
        <v>5</v>
      </c>
      <c r="F30" s="42">
        <v>3.5</v>
      </c>
      <c r="G30" s="34">
        <f t="shared" si="0"/>
        <v>0.7</v>
      </c>
      <c r="H30" s="35" t="str">
        <f t="shared" si="1"/>
        <v>جيد</v>
      </c>
      <c r="I30" s="59"/>
      <c r="J30" s="60"/>
    </row>
    <row r="31" spans="1:10" ht="30" customHeight="1" thickBot="1" x14ac:dyDescent="0.35">
      <c r="A31" s="10"/>
      <c r="B31" s="45" t="s">
        <v>203</v>
      </c>
      <c r="C31" s="46"/>
      <c r="D31" s="46"/>
      <c r="E31" s="28">
        <v>5</v>
      </c>
      <c r="F31" s="42">
        <v>3.5</v>
      </c>
      <c r="G31" s="34">
        <f t="shared" si="0"/>
        <v>0.7</v>
      </c>
      <c r="H31" s="35" t="str">
        <f t="shared" si="1"/>
        <v>جيد</v>
      </c>
      <c r="I31" s="59"/>
      <c r="J31" s="60"/>
    </row>
    <row r="32" spans="1:10" ht="30" customHeight="1" thickBot="1" x14ac:dyDescent="0.35">
      <c r="A32" s="10"/>
      <c r="B32" s="45" t="s">
        <v>204</v>
      </c>
      <c r="C32" s="46"/>
      <c r="D32" s="46"/>
      <c r="E32" s="28">
        <v>5</v>
      </c>
      <c r="F32" s="42">
        <v>3.5</v>
      </c>
      <c r="G32" s="34">
        <f t="shared" si="0"/>
        <v>0.7</v>
      </c>
      <c r="H32" s="35" t="str">
        <f t="shared" si="1"/>
        <v>جيد</v>
      </c>
      <c r="I32" s="59"/>
      <c r="J32" s="60"/>
    </row>
    <row r="33" spans="1:10" ht="30" customHeight="1" thickBot="1" x14ac:dyDescent="0.35">
      <c r="A33" s="10"/>
      <c r="B33" s="45" t="s">
        <v>205</v>
      </c>
      <c r="C33" s="46"/>
      <c r="D33" s="46"/>
      <c r="E33" s="28">
        <v>5</v>
      </c>
      <c r="F33" s="42">
        <v>3.5</v>
      </c>
      <c r="G33" s="34">
        <f t="shared" si="0"/>
        <v>0.7</v>
      </c>
      <c r="H33" s="35" t="str">
        <f t="shared" si="1"/>
        <v>جيد</v>
      </c>
      <c r="I33" s="59"/>
      <c r="J33" s="60"/>
    </row>
    <row r="34" spans="1:10" ht="30" customHeight="1" thickBot="1" x14ac:dyDescent="0.35">
      <c r="A34" s="10"/>
      <c r="B34" s="49" t="s">
        <v>206</v>
      </c>
      <c r="C34" s="50"/>
      <c r="D34" s="50"/>
      <c r="E34" s="29">
        <v>5</v>
      </c>
      <c r="F34" s="42">
        <v>3.5</v>
      </c>
      <c r="G34" s="39">
        <f t="shared" si="0"/>
        <v>0.7</v>
      </c>
      <c r="H34" s="40" t="str">
        <f t="shared" si="1"/>
        <v>جيد</v>
      </c>
      <c r="I34" s="61"/>
      <c r="J34" s="62"/>
    </row>
    <row r="35" spans="1:10" ht="30" customHeight="1" thickBot="1" x14ac:dyDescent="0.35">
      <c r="A35" s="10"/>
      <c r="B35" s="43" t="s">
        <v>207</v>
      </c>
      <c r="C35" s="44"/>
      <c r="D35" s="44"/>
      <c r="E35" s="30"/>
      <c r="F35" s="42"/>
      <c r="G35" s="37"/>
      <c r="H35" s="38"/>
      <c r="I35" s="55"/>
      <c r="J35" s="56"/>
    </row>
    <row r="36" spans="1:10" ht="30" customHeight="1" thickBot="1" x14ac:dyDescent="0.35">
      <c r="A36" s="10"/>
      <c r="B36" s="45" t="s">
        <v>208</v>
      </c>
      <c r="C36" s="46"/>
      <c r="D36" s="46"/>
      <c r="E36" s="9">
        <v>6</v>
      </c>
      <c r="F36" s="42">
        <v>4.25</v>
      </c>
      <c r="G36" s="34">
        <f t="shared" si="0"/>
        <v>0.70833333333333337</v>
      </c>
      <c r="H36" s="35" t="str">
        <f t="shared" si="1"/>
        <v>جيد</v>
      </c>
      <c r="I36" s="59"/>
      <c r="J36" s="60"/>
    </row>
    <row r="37" spans="1:10" ht="30" customHeight="1" thickBot="1" x14ac:dyDescent="0.35">
      <c r="A37" s="10"/>
      <c r="B37" s="45" t="s">
        <v>209</v>
      </c>
      <c r="C37" s="46"/>
      <c r="D37" s="46"/>
      <c r="E37" s="9">
        <v>5</v>
      </c>
      <c r="F37" s="42">
        <v>3.5</v>
      </c>
      <c r="G37" s="34">
        <f t="shared" si="0"/>
        <v>0.7</v>
      </c>
      <c r="H37" s="35" t="str">
        <f t="shared" si="1"/>
        <v>جيد</v>
      </c>
      <c r="I37" s="59"/>
      <c r="J37" s="60"/>
    </row>
    <row r="38" spans="1:10" ht="30" customHeight="1" thickBot="1" x14ac:dyDescent="0.35">
      <c r="A38" s="10"/>
      <c r="B38" s="45" t="s">
        <v>210</v>
      </c>
      <c r="C38" s="46"/>
      <c r="D38" s="46"/>
      <c r="E38" s="9">
        <v>5</v>
      </c>
      <c r="F38" s="42">
        <v>3.5</v>
      </c>
      <c r="G38" s="34">
        <f t="shared" si="0"/>
        <v>0.7</v>
      </c>
      <c r="H38" s="35" t="str">
        <f t="shared" si="1"/>
        <v>جيد</v>
      </c>
      <c r="I38" s="59"/>
      <c r="J38" s="60"/>
    </row>
    <row r="39" spans="1:10" ht="30" customHeight="1" thickBot="1" x14ac:dyDescent="0.35">
      <c r="A39" s="10"/>
      <c r="B39" s="47" t="s">
        <v>211</v>
      </c>
      <c r="C39" s="48"/>
      <c r="D39" s="48"/>
      <c r="E39" s="31">
        <v>5</v>
      </c>
      <c r="F39" s="42">
        <v>3.5</v>
      </c>
      <c r="G39" s="39">
        <f t="shared" si="0"/>
        <v>0.7</v>
      </c>
      <c r="H39" s="40" t="str">
        <f t="shared" si="1"/>
        <v>جيد</v>
      </c>
      <c r="I39" s="61"/>
      <c r="J39" s="62"/>
    </row>
    <row r="40" spans="1:10" ht="30" customHeight="1" thickBot="1" x14ac:dyDescent="0.35">
      <c r="A40" s="4"/>
      <c r="B40" s="78" t="s">
        <v>5</v>
      </c>
      <c r="C40" s="79"/>
      <c r="D40" s="79"/>
      <c r="E40" s="33">
        <f>SUM(E8:E39)</f>
        <v>150</v>
      </c>
      <c r="F40" s="33">
        <f>SUM(F8:F39)</f>
        <v>105.75</v>
      </c>
      <c r="G40" s="84"/>
      <c r="H40" s="85"/>
      <c r="I40" s="85"/>
      <c r="J40" s="86"/>
    </row>
    <row r="41" spans="1:10" ht="30" customHeight="1" thickBot="1" x14ac:dyDescent="0.35">
      <c r="A41" s="4"/>
      <c r="B41" s="80" t="s">
        <v>54</v>
      </c>
      <c r="C41" s="81"/>
      <c r="D41" s="81"/>
      <c r="E41" s="76">
        <f>F40/E40/100*100</f>
        <v>0.70499999999999996</v>
      </c>
      <c r="F41" s="76"/>
      <c r="G41" s="76"/>
      <c r="H41" s="76"/>
      <c r="I41" s="76"/>
      <c r="J41" s="77"/>
    </row>
    <row r="42" spans="1:10" ht="30" customHeight="1" thickBot="1" x14ac:dyDescent="0.35">
      <c r="A42" s="4"/>
      <c r="B42" s="80" t="s">
        <v>55</v>
      </c>
      <c r="C42" s="81"/>
      <c r="D42" s="81"/>
      <c r="E42" s="74" t="str">
        <f>_xlfn.IFS(E41&gt;=90%,"ممتاز",E41&gt;=80%,"جيد جداً",E41&gt;=70%,"جيد",E41&gt;=60%,"مقبول",E41&lt;60%,"راسب")</f>
        <v>جيد</v>
      </c>
      <c r="F42" s="74"/>
      <c r="G42" s="74"/>
      <c r="H42" s="74"/>
      <c r="I42" s="74"/>
      <c r="J42" s="75"/>
    </row>
    <row r="43" spans="1:10" ht="42" customHeight="1" x14ac:dyDescent="0.3">
      <c r="B43" s="70" t="s">
        <v>174</v>
      </c>
      <c r="C43" s="70"/>
      <c r="D43" s="70"/>
      <c r="E43" s="82" t="s">
        <v>52</v>
      </c>
      <c r="F43" s="82"/>
      <c r="G43" s="72" t="s">
        <v>130</v>
      </c>
      <c r="H43" s="72"/>
      <c r="I43" s="72"/>
      <c r="J43" s="72"/>
    </row>
    <row r="44" spans="1:10" ht="51" customHeight="1" x14ac:dyDescent="0.3">
      <c r="A44" s="5"/>
      <c r="B44" s="71"/>
      <c r="C44" s="71"/>
      <c r="D44" s="71"/>
      <c r="E44" s="83" t="s">
        <v>53</v>
      </c>
      <c r="F44" s="83"/>
      <c r="G44" s="73"/>
      <c r="H44" s="73"/>
      <c r="I44" s="73"/>
      <c r="J44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2025-10-08T16:25:10Z</dcterms:modified>
</cp:coreProperties>
</file>