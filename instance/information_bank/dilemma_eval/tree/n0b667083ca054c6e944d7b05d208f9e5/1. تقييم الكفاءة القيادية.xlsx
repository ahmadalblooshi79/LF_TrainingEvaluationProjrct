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64D1375-6DC1-49C0-BC51-4F08361E18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<sst xmlns="http://schemas.openxmlformats.org/spreadsheetml/2006/main" count="114" uniqueCount="111">
  <si>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</si>
  <si>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</si>
  <si>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</si>
  <si>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</si>
  <si>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</si>
  <si>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</si>
  <si>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</si>
  <si>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</si>
  <si>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</si>
  <si>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</si>
  <si>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</si>
  <si>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</si>
  <si>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</si>
  <si>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</si>
  <si>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</si>
  <si>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</si>
  <si>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</si>
  <si>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</si>
  <si>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</si>
  <si>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</si>
  <si>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</si>
  <si>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</si>
  <si>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</si>
  <si>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</si>
  <si>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</si>
  <si>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</si>
  <si>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</si>
  <si>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</si>
  <si>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</si>
  <si>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</si>
  <si>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</si>
  <si>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</si>
  <si>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</si>
  <si>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</si>
  <si>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</si>
  <si>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</si>
  <si>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</si>
  <si>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</si>
  <si>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</si>
  <si>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</si>
  <si>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</si>
  <si>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</si>
  <si>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</si>
  <si>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</si>
  <si>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</si>
  <si>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</si>
  <si>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</si>
  <si>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</si>
  <si>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</si>
  <si>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</si>
  <si>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</si>
  <si>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</si>
  <si>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</si>
  <si>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</si>
  <si>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</si>
  <si>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</si>
  <si>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</si>
  <si>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</si>
  <si>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</si>
  <si>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</si>
  <si>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</si>
  <si>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</si>
  <si>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</si>
  <si>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</si>
  <si>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</si>
  <si>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</si>
  <si>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</si>
  <si>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</si>
  <si>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</si>
  <si>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</si>
  <si>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</si>
  <si>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</si>
  <si>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</si>
  <si>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</si>
  <si>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</si>
  <si>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</si>
  <si>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</si>
  <si>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</si>
  <si>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</si>
  <si>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</si>
  <si>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</si>
  <si>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</si>
  <si>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</si>
  <si>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</si>
  <si>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</si>
  <si>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</si>
  <si>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</si>
  <si>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</si>
  <si>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</si>
  <si>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</si>
  <si>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</si>
  <si>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</si>
  <si>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</si>
  <si>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</si>
  <si>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</si>
  <si>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</si>
  <si>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</si>
  <si>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</si>
  <si>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</si>
  <si>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</si>
  <si>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</si>
  <si>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</si>
  <si>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</si>
  <si>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</si>
  <si>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</si>
  <si>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</si>
  <si>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</si>
  <si>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</si>
  <si>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rgb="FF000000"/>
        <rFont val="Arial"/>
        <family val="2"/>
      </rPr>
      <t>تقييم الكفاءة القيادية للقادة الأصاغر (قسم المدفعية)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</si>
  <si>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الرئد/ خليفة مصبح الدهماني</t>
  </si>
  <si>
    <t>ملازم/1 حمد النقبي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</si>
</sst>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452759</xdr:colOff>
      <xdr:row>21</xdr:row>
      <xdr:rowOff>243028</xdr:rowOff>
    </xdr:from>
    <xdr:to>
      <xdr:col>9</xdr:col>
      <xdr:colOff>17848</xdr:colOff>
      <xdr:row>21</xdr:row>
      <xdr:rowOff>492148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D089EDF-D101-F98E-C84D-59D9B1C272E0}"/>
                </a:ext>
              </a:extLst>
            </xdr14:cNvPr>
            <xdr14:cNvContentPartPr/>
          </xdr14:nvContentPartPr>
          <xdr14:nvPr macro=""/>
          <xdr14:xfrm>
            <a:off x="10398568971" y="8394120"/>
            <a:ext cx="1539360" cy="249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089EDF-D101-F98E-C84D-59D9B1C272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62851" y="8388000"/>
              <a:ext cx="155160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247909</xdr:colOff>
      <xdr:row>21</xdr:row>
      <xdr:rowOff>277948</xdr:rowOff>
    </xdr:from>
    <xdr:to>
      <xdr:col>9</xdr:col>
      <xdr:colOff>86608</xdr:colOff>
      <xdr:row>21</xdr:row>
      <xdr:rowOff>318628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4D35F2D-ED53-29CF-03A6-207DD1199FFA}"/>
                </a:ext>
              </a:extLst>
            </xdr14:cNvPr>
            <xdr14:cNvContentPartPr/>
          </xdr14:nvContentPartPr>
          <xdr14:nvPr macro=""/>
          <xdr14:xfrm>
            <a:off x="10398500211" y="8429040"/>
            <a:ext cx="1154880" cy="40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4D35F2D-ED53-29CF-03A6-207DD1199FF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494091" y="8422920"/>
              <a:ext cx="1167120" cy="5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161149</xdr:colOff>
      <xdr:row>21</xdr:row>
      <xdr:rowOff>178228</xdr:rowOff>
    </xdr:from>
    <xdr:to>
      <xdr:col>9</xdr:col>
      <xdr:colOff>1330</xdr:colOff>
      <xdr:row>21</xdr:row>
      <xdr:rowOff>191908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50E14F0-7284-FDA4-952B-8C256E4D6E99}"/>
                </a:ext>
              </a:extLst>
            </xdr14:cNvPr>
            <xdr14:cNvContentPartPr/>
          </xdr14:nvContentPartPr>
          <xdr14:nvPr macro=""/>
          <xdr14:xfrm>
            <a:off x="10398597051" y="8329320"/>
            <a:ext cx="1144800" cy="136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50E14F0-7284-FDA4-952B-8C256E4D6E9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590931" y="8323200"/>
              <a:ext cx="115704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582719</xdr:colOff>
      <xdr:row>21</xdr:row>
      <xdr:rowOff>104788</xdr:rowOff>
    </xdr:from>
    <xdr:to>
      <xdr:col>6</xdr:col>
      <xdr:colOff>583079</xdr:colOff>
      <xdr:row>21</xdr:row>
      <xdr:rowOff>105148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3F811F0-61C4-F563-AC10-B87A34E74D9C}"/>
                </a:ext>
              </a:extLst>
            </xdr14:cNvPr>
            <xdr14:cNvContentPartPr/>
          </xdr14:nvContentPartPr>
          <xdr14:nvPr macro=""/>
          <xdr14:xfrm>
            <a:off x="10399978011" y="82558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3F811F0-61C4-F563-AC10-B87A34E74D9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971891" y="8249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22909</xdr:colOff>
      <xdr:row>20</xdr:row>
      <xdr:rowOff>220440</xdr:rowOff>
    </xdr:from>
    <xdr:to>
      <xdr:col>7</xdr:col>
      <xdr:colOff>23269</xdr:colOff>
      <xdr:row>20</xdr:row>
      <xdr:rowOff>220800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665DFB5-6277-7E30-9B07-800A5A804A17}"/>
                </a:ext>
              </a:extLst>
            </xdr14:cNvPr>
            <xdr14:cNvContentPartPr/>
          </xdr14:nvContentPartPr>
          <xdr14:nvPr macro=""/>
          <xdr14:xfrm>
            <a:off x="10399879731" y="784044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665DFB5-6277-7E30-9B07-800A5A804A1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873611" y="7834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201829</xdr:colOff>
      <xdr:row>20</xdr:row>
      <xdr:rowOff>341400</xdr:rowOff>
    </xdr:from>
    <xdr:to>
      <xdr:col>7</xdr:col>
      <xdr:colOff>202189</xdr:colOff>
      <xdr:row>20</xdr:row>
      <xdr:rowOff>341760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7D3B3B9-AE4F-170C-D2B3-83AB6281F7B5}"/>
                </a:ext>
              </a:extLst>
            </xdr14:cNvPr>
            <xdr14:cNvContentPartPr/>
          </xdr14:nvContentPartPr>
          <xdr14:nvPr macro=""/>
          <xdr14:xfrm>
            <a:off x="10399700811" y="796140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7D3B3B9-AE4F-170C-D2B3-83AB6281F7B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694691" y="795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48:43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3382 691,'0'0,"0"0,0 0,0 0,0 0,0 0,0-16,0 13,0 3,0-13,0 9,0-8,0-4,0 13,16-10,-16-19,0 26,0-20,15-6,-12 26,-6-4,19-22,-14 26,-4-36,17-7,-12 42,10-18,2-23,-12 41,9-34,5 9,-15 27,11-22,2-5,-13 27,12-22,1-5,-13 27,-4-6,18-21,-14 27,11 10,2-21,-13 13,12-10,-13 11,13 4,-13-2,14 16,0 0,-13-14,11 12,3 2,-14-14,27 12,-14 2,-12-14,25 12,3 18,-27-28,22 8,21 20,-41-28,19 8,-9 4,-15-14,12 12,4 2,-15-14,42 12,-13 18,-26-27,5 6,6 5,-15-13,13 10,-14 3,0-13,15-6,-7 3,-16 16,-7 0,14-14,-29 13,-16-15,39 0,-63 16,-39-16,94 0,-139-16,-47-1,172 15,-158-28,-60 14,212 14,-177-12,-51-2,224 14,-153 4,-56 14,216-13,-151 10,-34 19,184-27,-150 23,-18 4,170-28,-92 24,0-12,104-14,-71-4,-33 18,104-14,-39-4,-19 2,65 0,-54 0,-11 0,65 0,-53 0,34 16,27-14,-38-4,11 18,26-14,-36-4,10 18,26-14,-5-4,-6 2,13 0,-9 0,-5 0,15 0,-10 0,10 0,4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48:45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3101 1,'0'0,"0"0,0 0,0 0,0 0,0 0,0 0,0 0,0 0,0 0,0 0,0 0,0 0,0 0,0 0,0 0,0 0,0 0,0 0,0 0,0 0,0 0,0 0,-15 0,-16 16,7-16,1 0,-85 16,45-16,2 0,-95 16,63-16,1 0,-126 0,101 0,2 0,-102-16,100 16,2 0,-88-16,110 16,1 0,-110 0,116 0,2 0,-88 0,102 0,1 0,-55 0,77 8,2 0,-33-8,46 8,1 0,-15-8,30 8,1 0,-1-8,9 8,-1 0,23 8,2-8,-3 0,-14-8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48:45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3105 21,'0'0,"0"0,0 0,0 0,0 0,0 0,0 0,0 0,0 0,-16 0,1 0,10 0,-53-16,-21 16,56 0,-79 16,-54-16,108 0,-77 0,-109 0,163 0,-94 16,-85-16,178 0,-123 0,-55 0,175 0,-69-16,-75 16,153 0,-72 0,-50-16,132 11,-29 10,-25 11,77-11,-12-10,-17 5,42 0,40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48:46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1,'0'0,"0"0,0 0,0 0,0 0,0 0,0 0,0 0,0 0,0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48:50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48:51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1,'0'0,"0"0,0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zoomScale="130" zoomScaleNormal="100" zoomScaleSheetLayoutView="130" workbookViewId="0">
      <selection activeCell="F4" sqref="F4:J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9" t="s">
        <v>108</v>
      </c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B2" s="11" t="s">
        <v>8</v>
      </c>
      <c r="C2" s="29" t="s">
        <v>51</v>
      </c>
      <c r="D2" s="29"/>
      <c r="E2" s="11" t="s">
        <v>7</v>
      </c>
      <c r="F2" s="40">
        <v>45939</v>
      </c>
      <c r="G2" s="40"/>
      <c r="H2" s="40"/>
      <c r="I2" s="40"/>
      <c r="J2" s="40"/>
    </row>
    <row r="3" spans="1:10" ht="30" customHeight="1" x14ac:dyDescent="0.3">
      <c r="B3" s="11" t="s">
        <v>9</v>
      </c>
      <c r="C3" s="29" t="s">
        <v>59</v>
      </c>
      <c r="D3" s="29"/>
      <c r="E3" s="11" t="s">
        <v>6</v>
      </c>
      <c r="F3" s="29" t="s">
        <v>58</v>
      </c>
      <c r="G3" s="29"/>
      <c r="H3" s="29"/>
      <c r="I3" s="29"/>
      <c r="J3" s="29"/>
    </row>
    <row r="4" spans="1:10" ht="30" customHeight="1" thickBot="1" x14ac:dyDescent="0.35">
      <c r="B4" s="6"/>
      <c r="C4" s="71" t="s">
        <v>110</v>
      </c>
      <c r="D4" s="71"/>
      <c r="E4" s="6"/>
      <c r="F4" s="29" t="s">
        <v>109</v>
      </c>
      <c r="G4" s="29"/>
      <c r="H4" s="29"/>
      <c r="I4" s="29"/>
      <c r="J4" s="29"/>
    </row>
    <row r="5" spans="1:10" ht="24.9" customHeight="1" x14ac:dyDescent="0.3">
      <c r="A5" s="9"/>
      <c r="B5" s="41" t="s">
        <v>0</v>
      </c>
      <c r="C5" s="42"/>
      <c r="D5" s="4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9"/>
      <c r="B6" s="43"/>
      <c r="C6" s="44"/>
      <c r="D6" s="44"/>
      <c r="E6" s="10" t="s">
        <v>3</v>
      </c>
      <c r="F6" s="10" t="s">
        <v>4</v>
      </c>
      <c r="G6" s="10" t="s">
        <v>23</v>
      </c>
      <c r="H6" s="10" t="s">
        <v>24</v>
      </c>
      <c r="I6" s="51"/>
      <c r="J6" s="52"/>
    </row>
    <row r="7" spans="1:10" ht="24.9" customHeight="1" thickBot="1" x14ac:dyDescent="0.35">
      <c r="A7" s="9"/>
      <c r="B7" s="47" t="s">
        <v>21</v>
      </c>
      <c r="C7" s="48"/>
      <c r="D7" s="48"/>
      <c r="E7" s="18" t="s">
        <v>18</v>
      </c>
      <c r="F7" s="18" t="s">
        <v>19</v>
      </c>
      <c r="G7" s="18" t="s">
        <v>22</v>
      </c>
      <c r="H7" s="18" t="s">
        <v>20</v>
      </c>
      <c r="I7" s="53" t="s">
        <v>25</v>
      </c>
      <c r="J7" s="54"/>
    </row>
    <row r="8" spans="1:10" ht="30" customHeight="1" thickBot="1" x14ac:dyDescent="0.35">
      <c r="A8" s="9"/>
      <c r="B8" s="32" t="s">
        <v>98</v>
      </c>
      <c r="C8" s="33"/>
      <c r="D8" s="33"/>
      <c r="E8" s="21">
        <v>5</v>
      </c>
      <c r="F8" s="22">
        <v>4.5</v>
      </c>
      <c r="G8" s="23">
        <f>IFERROR(F8/E8,"")</f>
        <v>0.9</v>
      </c>
      <c r="H8" s="24" t="str">
        <f>_xlfn.IFS(F8="أدخل العلامة","",F8="لا ينطبق","تم الإلغاء",G8&gt;=90%,"ممتاز",G8&gt;=80%,"جيد جداً",G8&gt;=70%,"جيد",G8&gt;=60%,"مقبول",G8&lt;60%,"راسب")</f>
        <v>ممتاز</v>
      </c>
      <c r="I8" s="65"/>
      <c r="J8" s="66"/>
    </row>
    <row r="9" spans="1:10" ht="30" customHeight="1" thickBot="1" x14ac:dyDescent="0.35">
      <c r="A9" s="9"/>
      <c r="B9" s="30" t="s">
        <v>99</v>
      </c>
      <c r="C9" s="31"/>
      <c r="D9" s="31"/>
      <c r="E9" s="7">
        <v>5</v>
      </c>
      <c r="F9" s="28">
        <v>4.5</v>
      </c>
      <c r="G9" s="19">
        <f>IFERROR(F9/E9,"")</f>
        <v>0.9</v>
      </c>
      <c r="H9" s="20" t="str">
        <f>_xlfn.IFS(F9="أدخل العلامة","",F9="لا ينطبق","تم الإلغاء",G9&gt;=90%,"ممتاز",G9&gt;=80%,"جيد جداً",G9&gt;=70%,"جيد",G9&gt;=60%,"مقبول",G9&lt;60%,"راسب")</f>
        <v>ممتاز</v>
      </c>
      <c r="I9" s="55"/>
      <c r="J9" s="56"/>
    </row>
    <row r="10" spans="1:10" ht="30" customHeight="1" thickBot="1" x14ac:dyDescent="0.35">
      <c r="A10" s="9"/>
      <c r="B10" s="30" t="s">
        <v>100</v>
      </c>
      <c r="C10" s="31"/>
      <c r="D10" s="31"/>
      <c r="E10" s="7">
        <v>5</v>
      </c>
      <c r="F10" s="28">
        <v>3.5</v>
      </c>
      <c r="G10" s="19">
        <f t="shared" ref="G10:G17" si="0">IFERROR(F10/E10,"")</f>
        <v>0.7</v>
      </c>
      <c r="H10" s="20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55"/>
      <c r="J10" s="56"/>
    </row>
    <row r="11" spans="1:10" ht="30" customHeight="1" thickBot="1" x14ac:dyDescent="0.35">
      <c r="A11" s="9"/>
      <c r="B11" s="30" t="s">
        <v>101</v>
      </c>
      <c r="C11" s="31"/>
      <c r="D11" s="31"/>
      <c r="E11" s="7">
        <v>5</v>
      </c>
      <c r="F11" s="28">
        <v>3.5</v>
      </c>
      <c r="G11" s="19">
        <f t="shared" si="0"/>
        <v>0.7</v>
      </c>
      <c r="H11" s="20" t="str">
        <f t="shared" si="1"/>
        <v>جيد</v>
      </c>
      <c r="I11" s="55"/>
      <c r="J11" s="56"/>
    </row>
    <row r="12" spans="1:10" ht="30" customHeight="1" thickBot="1" x14ac:dyDescent="0.35">
      <c r="A12" s="9"/>
      <c r="B12" s="30" t="s">
        <v>102</v>
      </c>
      <c r="C12" s="31"/>
      <c r="D12" s="31"/>
      <c r="E12" s="7">
        <v>5</v>
      </c>
      <c r="F12" s="28">
        <v>3.5</v>
      </c>
      <c r="G12" s="19">
        <f t="shared" si="0"/>
        <v>0.7</v>
      </c>
      <c r="H12" s="20" t="str">
        <f t="shared" si="1"/>
        <v>جيد</v>
      </c>
      <c r="I12" s="55"/>
      <c r="J12" s="56"/>
    </row>
    <row r="13" spans="1:10" ht="30" customHeight="1" thickBot="1" x14ac:dyDescent="0.35">
      <c r="A13" s="9"/>
      <c r="B13" s="30" t="s">
        <v>103</v>
      </c>
      <c r="C13" s="31"/>
      <c r="D13" s="31"/>
      <c r="E13" s="7">
        <v>5</v>
      </c>
      <c r="F13" s="28">
        <v>3.75</v>
      </c>
      <c r="G13" s="19">
        <f t="shared" si="0"/>
        <v>0.75</v>
      </c>
      <c r="H13" s="20" t="str">
        <f t="shared" si="1"/>
        <v>جيد</v>
      </c>
      <c r="I13" s="55"/>
      <c r="J13" s="56"/>
    </row>
    <row r="14" spans="1:10" ht="30" customHeight="1" thickBot="1" x14ac:dyDescent="0.35">
      <c r="A14" s="9"/>
      <c r="B14" s="30" t="s">
        <v>104</v>
      </c>
      <c r="C14" s="31"/>
      <c r="D14" s="31"/>
      <c r="E14" s="7">
        <v>5</v>
      </c>
      <c r="F14" s="28">
        <v>3.75</v>
      </c>
      <c r="G14" s="19">
        <f t="shared" si="0"/>
        <v>0.75</v>
      </c>
      <c r="H14" s="20" t="str">
        <f t="shared" si="1"/>
        <v>جيد</v>
      </c>
      <c r="I14" s="55"/>
      <c r="J14" s="56"/>
    </row>
    <row r="15" spans="1:10" ht="30" customHeight="1" thickBot="1" x14ac:dyDescent="0.35">
      <c r="A15" s="9"/>
      <c r="B15" s="30" t="s">
        <v>105</v>
      </c>
      <c r="C15" s="31"/>
      <c r="D15" s="31"/>
      <c r="E15" s="7">
        <v>5</v>
      </c>
      <c r="F15" s="28">
        <v>3.75</v>
      </c>
      <c r="G15" s="19">
        <f t="shared" si="0"/>
        <v>0.75</v>
      </c>
      <c r="H15" s="20" t="str">
        <f t="shared" si="1"/>
        <v>جيد</v>
      </c>
      <c r="I15" s="55"/>
      <c r="J15" s="56"/>
    </row>
    <row r="16" spans="1:10" ht="30" customHeight="1" thickBot="1" x14ac:dyDescent="0.35">
      <c r="A16" s="9"/>
      <c r="B16" s="30" t="s">
        <v>106</v>
      </c>
      <c r="C16" s="31"/>
      <c r="D16" s="31"/>
      <c r="E16" s="7">
        <v>5</v>
      </c>
      <c r="F16" s="28">
        <v>4</v>
      </c>
      <c r="G16" s="19">
        <f t="shared" si="0"/>
        <v>0.8</v>
      </c>
      <c r="H16" s="20" t="str">
        <f t="shared" si="1"/>
        <v>جيد جداً</v>
      </c>
      <c r="I16" s="55"/>
      <c r="J16" s="56"/>
    </row>
    <row r="17" spans="1:10" ht="30" customHeight="1" thickBot="1" x14ac:dyDescent="0.35">
      <c r="A17" s="9"/>
      <c r="B17" s="57" t="s">
        <v>107</v>
      </c>
      <c r="C17" s="58"/>
      <c r="D17" s="58"/>
      <c r="E17" s="25">
        <v>5</v>
      </c>
      <c r="F17" s="28">
        <v>4</v>
      </c>
      <c r="G17" s="26">
        <f t="shared" si="0"/>
        <v>0.8</v>
      </c>
      <c r="H17" s="27" t="str">
        <f t="shared" si="1"/>
        <v>جيد جداً</v>
      </c>
      <c r="I17" s="69"/>
      <c r="J17" s="70"/>
    </row>
    <row r="18" spans="1:10" ht="30" customHeight="1" thickBot="1" x14ac:dyDescent="0.35">
      <c r="A18" s="4"/>
      <c r="B18" s="67" t="s">
        <v>5</v>
      </c>
      <c r="C18" s="68"/>
      <c r="D18" s="68"/>
      <c r="E18" s="8">
        <f>SUM(E8:E17)</f>
        <v>50</v>
      </c>
      <c r="F18" s="8">
        <f>SUM(F8:F17)</f>
        <v>38.75</v>
      </c>
      <c r="G18" s="36"/>
      <c r="H18" s="37"/>
      <c r="I18" s="37"/>
      <c r="J18" s="38"/>
    </row>
    <row r="19" spans="1:10" ht="30" customHeight="1" thickBot="1" x14ac:dyDescent="0.35">
      <c r="A19" s="4"/>
      <c r="B19" s="67" t="s">
        <v>54</v>
      </c>
      <c r="C19" s="68"/>
      <c r="D19" s="68"/>
      <c r="E19" s="45">
        <f>F18/E18/100*100</f>
        <v>0.77500000000000002</v>
      </c>
      <c r="F19" s="45"/>
      <c r="G19" s="45"/>
      <c r="H19" s="45"/>
      <c r="I19" s="45"/>
      <c r="J19" s="46"/>
    </row>
    <row r="20" spans="1:10" ht="30" customHeight="1" thickBot="1" x14ac:dyDescent="0.35">
      <c r="A20" s="4"/>
      <c r="B20" s="67" t="s">
        <v>55</v>
      </c>
      <c r="C20" s="68"/>
      <c r="D20" s="68"/>
      <c r="E20" s="63" t="str">
        <f>_xlfn.IFS(E19&gt;=90%,"ممتاز",E19&gt;=80%,"جيد جداً",E19&gt;=70%,"جيد",E19&gt;=60%,"مقبول",E19&lt;60%,"راسب")</f>
        <v>جيد</v>
      </c>
      <c r="F20" s="63"/>
      <c r="G20" s="63"/>
      <c r="H20" s="63"/>
      <c r="I20" s="63"/>
      <c r="J20" s="64"/>
    </row>
    <row r="21" spans="1:10" ht="42" customHeight="1" x14ac:dyDescent="0.3">
      <c r="B21" s="59" t="s">
        <v>61</v>
      </c>
      <c r="C21" s="59"/>
      <c r="D21" s="59"/>
      <c r="E21" s="34" t="s">
        <v>52</v>
      </c>
      <c r="F21" s="34"/>
      <c r="G21" s="61" t="s">
        <v>58</v>
      </c>
      <c r="H21" s="61"/>
      <c r="I21" s="61"/>
      <c r="J21" s="61"/>
    </row>
    <row r="22" spans="1:10" ht="51" customHeight="1" x14ac:dyDescent="0.3">
      <c r="A22" s="5"/>
      <c r="B22" s="60"/>
      <c r="C22" s="60"/>
      <c r="D22" s="60"/>
      <c r="E22" s="35" t="s">
        <v>53</v>
      </c>
      <c r="F22" s="35"/>
      <c r="G22" s="62"/>
      <c r="H22" s="62"/>
      <c r="I22" s="62"/>
      <c r="J22" s="62"/>
    </row>
  </sheetData>
  <sheetProtection formatCells="0" formatColumns="0" formatRows="0" insertColumns="0" insertRows="0" insertHyperlinks="0" deleteColumns="0" deleteRows="0" selectLockedCells="1" sort="0" autoFilter="0" pivotTables="0"/>
  <mergeCells count="43"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F4:J4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C4:D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4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2025-10-09T20:59:30Z</dcterms:modified>
</cp:coreProperties>
</file>