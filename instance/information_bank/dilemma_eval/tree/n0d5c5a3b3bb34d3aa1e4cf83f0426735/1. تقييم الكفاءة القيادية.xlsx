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9184B91E-783F-4274-97CC-0F14201FAC7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التقييم'!$A$1:$J$22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8" i="2"/>
  <c r="H8" i="2"/>
  <c r="F18" i="2"/>
  <c r="E18" i="2"/>
  <c r="E19" i="2"/>
  <c r="E20" i="2"/>
</calcChain>
</file>

<file path=xl/sharedStrings.xml><?xml version="1.0" encoding="utf-8"?>
<sst xmlns="http://schemas.openxmlformats.org/spreadsheetml/2006/main" count="114" uniqueCount="111">
  <si>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</si>
  <si>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</si>
  <si>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</si>
  <si>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</si>
  <si>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</si>
  <si>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</si>
  <si>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</si>
  <si>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</si>
  <si>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</si>
  <si>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</si>
  <si>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</si>
  <si>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</si>
  <si>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</si>
  <si>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</si>
  <si>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</si>
  <si>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</si>
  <si>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</si>
  <si>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</si>
  <si>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</si>
  <si>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</si>
  <si>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</si>
  <si>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</si>
  <si>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</si>
  <si>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</si>
  <si>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</si>
  <si>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</si>
  <si>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</si>
  <si>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</si>
  <si>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</si>
  <si>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</si>
  <si>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</si>
  <si>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</si>
  <si>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</si>
  <si>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</si>
  <si>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</si>
  <si>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</si>
  <si>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</si>
  <si>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</si>
  <si>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</si>
  <si>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</si>
  <si>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</si>
  <si>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</si>
  <si>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</si>
  <si>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</si>
  <si>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</si>
  <si>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</si>
  <si>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</si>
  <si>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</si>
  <si>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</si>
  <si>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</si>
  <si>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</si>
  <si>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</si>
  <si>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</si>
  <si>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</si>
  <si>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</si>
  <si>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</si>
  <si>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</si>
  <si>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</si>
  <si>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</si>
  <si>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</si>
  <si>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</si>
  <si>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</si>
  <si>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كتيبة المشاة الآلية/12 - السرية/1 - الفصيل/1</t>
  </si>
  <si>
    <t>كتيبة المشاة الآلية/12 - السرية/1 - الفصيل/2</t>
  </si>
  <si>
    <t>كتيبة المشاة الآلية/12 - السرية/1 - الفصيل/3</t>
  </si>
  <si>
    <t>كتيبة المشاة الآلية/12 - السرية/2 - الفصيل/1</t>
  </si>
  <si>
    <t>كتيبة المشاة الآلية/12 - السرية/2 - الفصيل/2</t>
  </si>
  <si>
    <t>كتيبة المشاة الآلية/12 - السرية/2 - الفصيل/3</t>
  </si>
  <si>
    <t>كتيبة المشاة الآلية/12 - السرية/3 - الفصيل/1</t>
  </si>
  <si>
    <t>كتيبة المشاة الآلية/12 - السرية/3 - الفصيل/2</t>
  </si>
  <si>
    <t>كتيبة المشاة الآلية/12 - السرية/3 - الفصيل/3</t>
  </si>
  <si>
    <t>كتيبة المشاة الآلية/13 - السرية/1 - الفصيل/1</t>
  </si>
  <si>
    <t>كتيبة المشاة الآلية/13 - السرية/1 - الفصيل/2</t>
  </si>
  <si>
    <t>كتيبة المشاة الآلية/13 - السرية/1 - الفصيل/3</t>
  </si>
  <si>
    <t>كتيبة المشاة الآلية/13 - السرية/2 - الفصيل/1</t>
  </si>
  <si>
    <t>كتيبة المشاة الآلية/13 - السرية/2 - الفصيل/2</t>
  </si>
  <si>
    <t>كتيبة المشاة الآلية/13 - السرية/2 - الفصيل/3</t>
  </si>
  <si>
    <t>كتيبة المشاة الآلية/13 - السرية/3 - الفصيل/1</t>
  </si>
  <si>
    <t>كتيبة المشاة الآلية/13 - السرية/3 - الفصيل/2</t>
  </si>
  <si>
    <t>كتيبة المشاة الآلية/13 - السرية/3 - الفصيل/3</t>
  </si>
  <si>
    <t>كتيبة الدبابات/14 - السرية/1 - الفصيل/1</t>
  </si>
  <si>
    <t>كتيبة الدبابات/14 - السرية/1 - الفصيل/2</t>
  </si>
  <si>
    <t>كتيبة الدبابات/14 - السرية/1 - الفصيل/3</t>
  </si>
  <si>
    <t>كتيبة المشاة الآلية/12 - السرية/1 - الفصيل/4</t>
  </si>
  <si>
    <t>كتيبة المشاة الآلية/12 - السرية/2 - الفصيل/4</t>
  </si>
  <si>
    <t>كتيبة المشاة الآلية/12 - السرية/3 - الفصيل/4</t>
  </si>
  <si>
    <t>كتيبة المشاة الآلية/13 - السرية/1 - الفصيل/4</t>
  </si>
  <si>
    <t>كتيبة المشاة الآلية/13 - السرية/2 - الفصيل/4</t>
  </si>
  <si>
    <t>كتيبة المشاة الآلية/13 - السرية/3 - الفصيل/4</t>
  </si>
  <si>
    <t>كتيبة الدبابات/14 - السرية/1 - الفصيل/4</t>
  </si>
  <si>
    <t>كتيبة الدبابات/14 - السرية/2 - الفصيل/1</t>
  </si>
  <si>
    <t>كتيبة الدبابات/14 - السرية/2 - الفصيل/2</t>
  </si>
  <si>
    <t>كتيبة الدبابات/14 - السرية/2 - الفصيل/3</t>
  </si>
  <si>
    <t>كتيبة الدبابات/14 - السرية/2 - الفصيل/4</t>
  </si>
  <si>
    <t>كتيبة الدبابات/14 - السرية/3 - الفصيل/1</t>
  </si>
  <si>
    <t>كتيبة الدبابات/14 - السرية/3 - الفصيل/2</t>
  </si>
  <si>
    <t>كتيبة الدبابات/14 - السرية/3 - الفصيل/3</t>
  </si>
  <si>
    <t>كتيبة الدبابات/14 - السرية/3 - الفصيل/4</t>
  </si>
  <si>
    <r>
      <rPr>
        <b/>
        <sz val="14"/>
        <color rgb="FF000000"/>
        <rFont val="Arial"/>
        <family val="2"/>
      </rPr>
      <t>تقييم الكفاءة القيادية للقادة الأصاغر (سرية مشاة راجلة)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</si>
  <si>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الثقة بالنفس.</t>
    </r>
    <r>
      <rPr>
        <sz val="14"/>
        <color theme="1"/>
        <rFont val="Calibri"/>
        <family val="2"/>
      </rPr>
      <t xml:space="preserve"> </t>
    </r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</si>
  <si>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الصوت.</t>
    </r>
    <r>
      <rPr>
        <sz val="14"/>
        <color theme="1"/>
        <rFont val="Calibri"/>
        <family val="2"/>
      </rPr>
      <t xml:space="preserve"> </t>
    </r>
  </si>
  <si>
    <r>
      <t>3.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استيعاب المهام الموكلة إليه.</t>
    </r>
  </si>
  <si>
    <r>
      <t>4.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إيصال المعلومة والأوامر إلى مرؤوسيه.</t>
    </r>
  </si>
  <si>
    <r>
      <t>5.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درجة الإبداع والمخاطرة.</t>
    </r>
  </si>
  <si>
    <r>
      <t>6.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رد الفعل والاستجابة السريعة للمواقف الطارئة (المرونة).</t>
    </r>
  </si>
  <si>
    <r>
      <t>7.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إظهار روح المبادرة والجرأة.</t>
    </r>
  </si>
  <si>
    <r>
      <t>8.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المهارة باستخدام سلاحه ومعداته الشخصية.</t>
    </r>
  </si>
  <si>
    <r>
      <t>9.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القدرة على السيطرة على من دونه من المرؤوسين.</t>
    </r>
  </si>
  <si>
    <r>
      <t>10.</t>
    </r>
    <r>
      <rPr>
        <sz val="7"/>
        <color theme="1"/>
        <rFont val="Times New Roman"/>
        <family val="1"/>
      </rPr>
      <t>   </t>
    </r>
    <r>
      <rPr>
        <sz val="14"/>
        <color theme="1"/>
        <rFont val="Arial"/>
        <family val="2"/>
      </rPr>
      <t>الصبر والتحمل.</t>
    </r>
  </si>
  <si>
    <t>نقيب/ ماجد عبدالله البلوشي</t>
  </si>
  <si>
    <t>نقيب/ بلاع سالم العامري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</si>
</sst>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2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14"/>
      <color theme="1"/>
      <name val="Calibri"/>
      <family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10" fillId="0" borderId="11" xfId="0" applyFont="1" applyBorder="1" applyAlignment="1">
      <alignment horizontal="right" vertical="center" wrapText="1" readingOrder="2"/>
    </xf>
    <xf numFmtId="0" fontId="10" fillId="0" borderId="12" xfId="0" applyFont="1" applyBorder="1" applyAlignment="1">
      <alignment horizontal="right" vertical="center" wrapText="1" readingOrder="2"/>
    </xf>
    <xf numFmtId="0" fontId="10" fillId="0" borderId="20" xfId="0" applyFont="1" applyBorder="1" applyAlignment="1">
      <alignment horizontal="right" vertical="center" wrapText="1" readingOrder="2"/>
    </xf>
    <xf numFmtId="0" fontId="10" fillId="0" borderId="3" xfId="0" applyFont="1" applyBorder="1" applyAlignment="1">
      <alignment horizontal="right" vertical="center" wrapText="1" readingOrder="2"/>
    </xf>
    <xf numFmtId="0" fontId="10" fillId="0" borderId="5" xfId="0" applyFont="1" applyBorder="1" applyAlignment="1">
      <alignment horizontal="right" vertical="center" wrapText="1" readingOrder="2"/>
    </xf>
    <xf numFmtId="0" fontId="10" fillId="0" borderId="4" xfId="0" applyFont="1" applyBorder="1" applyAlignment="1">
      <alignment horizontal="right" vertical="center" wrapText="1" readingOrder="2"/>
    </xf>
    <xf numFmtId="0" fontId="6" fillId="0" borderId="21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207572</xdr:colOff>
      <xdr:row>21</xdr:row>
      <xdr:rowOff>6508</xdr:rowOff>
    </xdr:from>
    <xdr:to>
      <xdr:col>8</xdr:col>
      <xdr:colOff>628031</xdr:colOff>
      <xdr:row>21</xdr:row>
      <xdr:rowOff>563068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64C82F02-3CFD-BA52-F31F-EEDF04377A49}"/>
                </a:ext>
              </a:extLst>
            </xdr14:cNvPr>
            <xdr14:cNvContentPartPr/>
          </xdr14:nvContentPartPr>
          <xdr14:nvPr macro=""/>
          <xdr14:xfrm>
            <a:off x="10398616878" y="8157600"/>
            <a:ext cx="1736640" cy="5565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4C82F02-3CFD-BA52-F31F-EEDF04377A4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608238" y="8148960"/>
              <a:ext cx="1754280" cy="57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348692</xdr:colOff>
      <xdr:row>21</xdr:row>
      <xdr:rowOff>466588</xdr:rowOff>
    </xdr:from>
    <xdr:to>
      <xdr:col>6</xdr:col>
      <xdr:colOff>359492</xdr:colOff>
      <xdr:row>21</xdr:row>
      <xdr:rowOff>477028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6199A44D-B371-FCD6-11EC-218915919933}"/>
                </a:ext>
              </a:extLst>
            </xdr14:cNvPr>
            <xdr14:cNvContentPartPr/>
          </xdr14:nvContentPartPr>
          <xdr14:nvPr macro=""/>
          <xdr14:xfrm>
            <a:off x="10400201598" y="8617680"/>
            <a:ext cx="10800" cy="104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6199A44D-B371-FCD6-11EC-21891591993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00192598" y="8608680"/>
              <a:ext cx="28440" cy="280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05:37:32.61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4271 538 11674,'0'0'0,"3"-17"744,2-2-392,-5 19-352,13-21 320,-3 5-152,6 2-88,-1 0-72,-15 14-8,18-14 0,1 0 0,0 8-48,0-8 8,-19 14 40,21-5-40,0 1-16,1 0 16,1 2-8,-23 2 48,19 0-40,2 0-32,-2 12 48,2-8-32,-21-4 56,21 19-88,-2-4 32,0 2-72,-5 3 24,-14-20 104,16 21-88,-1 1-8,-3-1 8,-1-1-8,-11-20 96,4 21-80,8-1 8,-12-1-16,0-1 40,0-18 48,0 17-64,0 0-32,-12 2 48,-1-2 16,13-17 32,-22 17-40,-1-1 40,-3 1 32,-7 0 24,33-17-56,-37 18 56,-3 2 48,-5-2 32,-2 5 24,47-23-160,-54 22 136,-6 2 16,-5 0-8,-8 3 32,73-27-176,-73 28 248,-2-1 24,-3-1 8,7-3 8,71-23-288,-71 18 313,4-2 15,5-5 40,4-8-24,58-3-344,-50 4 336,6-4-56,-1 0-32,11-3-24,34 3-224,-28-12 224,5-1-16,9-1 8,0-1-80,14 15-136,-8-17 104,6-3-24,2-1-64,0-2 0,0 23-16,14-25-8,-4 1 32,4-2-16,-3 2 16,-11 24-24,17-23 40,-12 2-56,11-1-8,-11 5 16,-5 17 8,12-17-24,-12 5 48,2-1 0,1 1-16,-3 12-8,0-11 16,-3-2-32,-14 0 16,1 2 0,16 11 0,-24-11 0,-6 5 0,-12-5 40,-8 8-40,50 3 0,-61-2-40,-12 2 112,-4 0-96,-13 15 80,90-15-56,-94 15 16,-12 7-32,-2 2 8,-7 3-8,115-27 16,-120 30 72,-5 2-24,-4 4-24,-4 4-16,133-40-8,-134 41 16,-2 4-32,2 4 112,-7 2-40,141-51-56,-136 48 64,-3 1-8,10-3-8,8-2 32,121-44-80,-112 45 72,0-4 16,10-3-40,5-4 0,97-34-48,-94 30 24,7-3-88,13-4 104,11-5-56,63-18 16,-59 17 48,12-5 88,7-9-104,7 1 40,33-4-72,-24 3 88,6-3 57,6 0 55,12-2 48,0 2-248,-2-1 200,2-1-56,0-2-96,12-1 40,-12 5-88,13-18 40,16 1 32,6-5-32,7-5 8,-42 27-48,52-30 8,10-7-8,10-6 104,6-4-104,-78 47 0,89-52 88,10-1-80,0-1 32,7-1-56,-106 55 16,108-57-32,3-2 32,9 1 0,4-3 48,-124 61-48,130-61 64,-1 0-104,-1 1 32,-4 3 32,-124 57-24,122-57 24,0 2-72,2-2 72,-7 2-16,-117 55-8,112-53 16,-5 3 80,-13 5-96,-7 4 0,-87 41 0,80-40-24,-7 4-88,-5 5 40,-11 5 80,-57 26-8,47-19 0,-7 1 152,-8 13-192,-8-7-16,-24 12 56,16-1 0,-4 0-200,-7 1 232,0 0 24,-5 0-56,2 11-88,1-7 200,-3 16-104,0-1-40,0-19 32,-12 24-40,0 6-8,-4 7 72,-1 4-48,17-41 24,-19 44-16,3 6 40,-3 4-96,0 2-16,19-56 88,-17 59 0,1-4-48,5-4 24,6-1-16,5-50 40,-3 48-24,1-2-24,2-1 8,0-2 40,0-43 0,12 43-88,-10-2 40,17 2 24,-7-2 0,-12-41 24,9 40-40,7-3-64,-1 0 72,4-5-16,-19-32 48,16 31-32,10-2 56,-3-3-633,-1-4-551,-22-22 1160,25 22-2512,1-5-6490,-26-17 9002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05:37:33.05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 15 19692,'0'0'0,"-5"-13"40,5 11-544,0 2-553,0 0 1057,12 16-2392,5-3-7122,-17-13 9514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2"/>
  <sheetViews>
    <sheetView rightToLeft="1" tabSelected="1" view="pageBreakPreview" topLeftCell="A16" zoomScale="130" zoomScaleNormal="100" zoomScaleSheetLayoutView="130" workbookViewId="0">
      <selection activeCell="F4" sqref="F4:J4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49" t="s">
        <v>98</v>
      </c>
      <c r="C1" s="49"/>
      <c r="D1" s="49"/>
      <c r="E1" s="49"/>
      <c r="F1" s="49"/>
      <c r="G1" s="49"/>
      <c r="H1" s="49"/>
      <c r="I1" s="49"/>
      <c r="J1" s="49"/>
    </row>
    <row r="2" spans="1:10" ht="30" customHeight="1" x14ac:dyDescent="0.3">
      <c r="B2" s="11" t="s">
        <v>8</v>
      </c>
      <c r="C2" s="55" t="s">
        <v>37</v>
      </c>
      <c r="D2" s="55"/>
      <c r="E2" s="11" t="s">
        <v>7</v>
      </c>
      <c r="F2" s="50">
        <v>45942</v>
      </c>
      <c r="G2" s="50"/>
      <c r="H2" s="50"/>
      <c r="I2" s="50"/>
      <c r="J2" s="50"/>
    </row>
    <row r="3" spans="1:10" ht="30" customHeight="1" x14ac:dyDescent="0.3">
      <c r="B3" s="11" t="s">
        <v>9</v>
      </c>
      <c r="C3" s="55" t="s">
        <v>59</v>
      </c>
      <c r="D3" s="55"/>
      <c r="E3" s="11" t="s">
        <v>6</v>
      </c>
      <c r="F3" s="55" t="s">
        <v>58</v>
      </c>
      <c r="G3" s="55"/>
      <c r="H3" s="55"/>
      <c r="I3" s="55"/>
      <c r="J3" s="55"/>
    </row>
    <row r="4" spans="1:10" ht="30" customHeight="1" thickBot="1" x14ac:dyDescent="0.35">
      <c r="B4" s="6"/>
      <c r="C4" s="72" t="s">
        <v>109</v>
      </c>
      <c r="D4" s="72"/>
      <c r="E4" s="6"/>
      <c r="F4" s="72" t="s">
        <v>110</v>
      </c>
      <c r="G4" s="72"/>
      <c r="H4" s="72"/>
      <c r="I4" s="72"/>
      <c r="J4" s="72"/>
    </row>
    <row r="5" spans="1:10" ht="24.9" customHeight="1" x14ac:dyDescent="0.3">
      <c r="A5" s="9"/>
      <c r="B5" s="51" t="s">
        <v>0</v>
      </c>
      <c r="C5" s="52"/>
      <c r="D5" s="52"/>
      <c r="E5" s="60" t="s">
        <v>1</v>
      </c>
      <c r="F5" s="60"/>
      <c r="G5" s="60"/>
      <c r="H5" s="60"/>
      <c r="I5" s="60" t="s">
        <v>2</v>
      </c>
      <c r="J5" s="61"/>
    </row>
    <row r="6" spans="1:10" ht="24.9" customHeight="1" thickBot="1" x14ac:dyDescent="0.35">
      <c r="A6" s="9"/>
      <c r="B6" s="53"/>
      <c r="C6" s="54"/>
      <c r="D6" s="54"/>
      <c r="E6" s="10" t="s">
        <v>3</v>
      </c>
      <c r="F6" s="10" t="s">
        <v>4</v>
      </c>
      <c r="G6" s="10" t="s">
        <v>23</v>
      </c>
      <c r="H6" s="10" t="s">
        <v>24</v>
      </c>
      <c r="I6" s="62"/>
      <c r="J6" s="63"/>
    </row>
    <row r="7" spans="1:10" ht="24.9" customHeight="1" thickBot="1" x14ac:dyDescent="0.35">
      <c r="A7" s="9"/>
      <c r="B7" s="58" t="s">
        <v>21</v>
      </c>
      <c r="C7" s="59"/>
      <c r="D7" s="59"/>
      <c r="E7" s="20" t="s">
        <v>18</v>
      </c>
      <c r="F7" s="20" t="s">
        <v>19</v>
      </c>
      <c r="G7" s="20" t="s">
        <v>22</v>
      </c>
      <c r="H7" s="20" t="s">
        <v>20</v>
      </c>
      <c r="I7" s="64" t="s">
        <v>25</v>
      </c>
      <c r="J7" s="65"/>
    </row>
    <row r="8" spans="1:10" ht="30" customHeight="1" x14ac:dyDescent="0.3">
      <c r="A8" s="9"/>
      <c r="B8" s="70" t="s">
        <v>99</v>
      </c>
      <c r="C8" s="71"/>
      <c r="D8" s="71"/>
      <c r="E8" s="23">
        <v>5</v>
      </c>
      <c r="F8" s="24">
        <v>3.5</v>
      </c>
      <c r="G8" s="25">
        <f>IFERROR(F8/E8,"")</f>
        <v>0.7</v>
      </c>
      <c r="H8" s="26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36"/>
      <c r="J8" s="37"/>
    </row>
    <row r="9" spans="1:10" ht="30" customHeight="1" x14ac:dyDescent="0.3">
      <c r="A9" s="9"/>
      <c r="B9" s="68" t="s">
        <v>100</v>
      </c>
      <c r="C9" s="69"/>
      <c r="D9" s="69"/>
      <c r="E9" s="7">
        <v>5</v>
      </c>
      <c r="F9" s="18">
        <v>3.5</v>
      </c>
      <c r="G9" s="21">
        <f>IFERROR(F9/E9,"")</f>
        <v>0.7</v>
      </c>
      <c r="H9" s="22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0"/>
      <c r="J9" s="41"/>
    </row>
    <row r="10" spans="1:10" ht="30" customHeight="1" x14ac:dyDescent="0.3">
      <c r="A10" s="9"/>
      <c r="B10" s="68" t="s">
        <v>101</v>
      </c>
      <c r="C10" s="69"/>
      <c r="D10" s="69"/>
      <c r="E10" s="7">
        <v>5</v>
      </c>
      <c r="F10" s="18">
        <v>3.25</v>
      </c>
      <c r="G10" s="21">
        <f t="shared" ref="G10:G17" si="0">IFERROR(F10/E10,"")</f>
        <v>0.65</v>
      </c>
      <c r="H10" s="22" t="str">
        <f t="shared" ref="H10:H17" si="1">_xlfn.IFS(F10="أدخل العلامة","",F10="لا ينطبق","تم الإلغاء",G10&gt;=90%,"ممتاز",G10&gt;=80%,"جيد جداً",G10&gt;=70%,"جيد",G10&gt;=60%,"مقبول",G10&lt;60%,"راسب")</f>
        <v>مقبول</v>
      </c>
      <c r="I10" s="40"/>
      <c r="J10" s="41"/>
    </row>
    <row r="11" spans="1:10" ht="30" customHeight="1" x14ac:dyDescent="0.3">
      <c r="A11" s="9"/>
      <c r="B11" s="68" t="s">
        <v>102</v>
      </c>
      <c r="C11" s="69"/>
      <c r="D11" s="69"/>
      <c r="E11" s="7">
        <v>5</v>
      </c>
      <c r="F11" s="18">
        <v>3.25</v>
      </c>
      <c r="G11" s="21">
        <f t="shared" si="0"/>
        <v>0.65</v>
      </c>
      <c r="H11" s="22" t="str">
        <f t="shared" si="1"/>
        <v>مقبول</v>
      </c>
      <c r="I11" s="40"/>
      <c r="J11" s="41"/>
    </row>
    <row r="12" spans="1:10" ht="30" customHeight="1" x14ac:dyDescent="0.3">
      <c r="A12" s="9"/>
      <c r="B12" s="68" t="s">
        <v>103</v>
      </c>
      <c r="C12" s="69"/>
      <c r="D12" s="69"/>
      <c r="E12" s="7">
        <v>5</v>
      </c>
      <c r="F12" s="18">
        <v>3.75</v>
      </c>
      <c r="G12" s="21">
        <f t="shared" si="0"/>
        <v>0.75</v>
      </c>
      <c r="H12" s="22" t="str">
        <f t="shared" si="1"/>
        <v>جيد</v>
      </c>
      <c r="I12" s="40"/>
      <c r="J12" s="41"/>
    </row>
    <row r="13" spans="1:10" ht="30" customHeight="1" x14ac:dyDescent="0.3">
      <c r="A13" s="9"/>
      <c r="B13" s="68" t="s">
        <v>104</v>
      </c>
      <c r="C13" s="69"/>
      <c r="D13" s="69"/>
      <c r="E13" s="7">
        <v>5</v>
      </c>
      <c r="F13" s="18">
        <v>3.75</v>
      </c>
      <c r="G13" s="21">
        <f t="shared" si="0"/>
        <v>0.75</v>
      </c>
      <c r="H13" s="22" t="str">
        <f t="shared" si="1"/>
        <v>جيد</v>
      </c>
      <c r="I13" s="40"/>
      <c r="J13" s="41"/>
    </row>
    <row r="14" spans="1:10" ht="30" customHeight="1" x14ac:dyDescent="0.3">
      <c r="A14" s="9"/>
      <c r="B14" s="68" t="s">
        <v>105</v>
      </c>
      <c r="C14" s="69"/>
      <c r="D14" s="69"/>
      <c r="E14" s="7">
        <v>5</v>
      </c>
      <c r="F14" s="18">
        <v>3.25</v>
      </c>
      <c r="G14" s="21">
        <f t="shared" si="0"/>
        <v>0.65</v>
      </c>
      <c r="H14" s="22" t="str">
        <f t="shared" si="1"/>
        <v>مقبول</v>
      </c>
      <c r="I14" s="40"/>
      <c r="J14" s="41"/>
    </row>
    <row r="15" spans="1:10" ht="30" customHeight="1" x14ac:dyDescent="0.3">
      <c r="A15" s="9"/>
      <c r="B15" s="68" t="s">
        <v>106</v>
      </c>
      <c r="C15" s="69"/>
      <c r="D15" s="69"/>
      <c r="E15" s="7">
        <v>5</v>
      </c>
      <c r="F15" s="18">
        <v>3.5</v>
      </c>
      <c r="G15" s="21">
        <f t="shared" si="0"/>
        <v>0.7</v>
      </c>
      <c r="H15" s="22" t="str">
        <f t="shared" si="1"/>
        <v>جيد</v>
      </c>
      <c r="I15" s="40"/>
      <c r="J15" s="41"/>
    </row>
    <row r="16" spans="1:10" ht="30" customHeight="1" x14ac:dyDescent="0.3">
      <c r="A16" s="9"/>
      <c r="B16" s="68" t="s">
        <v>107</v>
      </c>
      <c r="C16" s="69"/>
      <c r="D16" s="69"/>
      <c r="E16" s="7">
        <v>5</v>
      </c>
      <c r="F16" s="18">
        <v>3.75</v>
      </c>
      <c r="G16" s="21">
        <f t="shared" si="0"/>
        <v>0.75</v>
      </c>
      <c r="H16" s="22" t="str">
        <f t="shared" si="1"/>
        <v>جيد</v>
      </c>
      <c r="I16" s="40"/>
      <c r="J16" s="41"/>
    </row>
    <row r="17" spans="1:10" ht="30" customHeight="1" thickBot="1" x14ac:dyDescent="0.35">
      <c r="A17" s="9"/>
      <c r="B17" s="66" t="s">
        <v>108</v>
      </c>
      <c r="C17" s="67"/>
      <c r="D17" s="67"/>
      <c r="E17" s="27">
        <v>5</v>
      </c>
      <c r="F17" s="19">
        <v>3.5</v>
      </c>
      <c r="G17" s="28">
        <f t="shared" si="0"/>
        <v>0.7</v>
      </c>
      <c r="H17" s="29" t="str">
        <f t="shared" si="1"/>
        <v>جيد</v>
      </c>
      <c r="I17" s="42"/>
      <c r="J17" s="43"/>
    </row>
    <row r="18" spans="1:10" ht="30" customHeight="1" thickBot="1" x14ac:dyDescent="0.35">
      <c r="A18" s="4"/>
      <c r="B18" s="38" t="s">
        <v>5</v>
      </c>
      <c r="C18" s="39"/>
      <c r="D18" s="39"/>
      <c r="E18" s="8">
        <f>SUM(E8:E17)</f>
        <v>50</v>
      </c>
      <c r="F18" s="8">
        <f>SUM(F8:F17)</f>
        <v>35</v>
      </c>
      <c r="G18" s="46"/>
      <c r="H18" s="47"/>
      <c r="I18" s="47"/>
      <c r="J18" s="48"/>
    </row>
    <row r="19" spans="1:10" ht="30" customHeight="1" thickBot="1" x14ac:dyDescent="0.35">
      <c r="A19" s="4"/>
      <c r="B19" s="38" t="s">
        <v>54</v>
      </c>
      <c r="C19" s="39"/>
      <c r="D19" s="39"/>
      <c r="E19" s="56">
        <f>F18/E18/100*100</f>
        <v>0.7</v>
      </c>
      <c r="F19" s="56"/>
      <c r="G19" s="56"/>
      <c r="H19" s="56"/>
      <c r="I19" s="56"/>
      <c r="J19" s="57"/>
    </row>
    <row r="20" spans="1:10" ht="30" customHeight="1" thickBot="1" x14ac:dyDescent="0.35">
      <c r="A20" s="4"/>
      <c r="B20" s="38" t="s">
        <v>55</v>
      </c>
      <c r="C20" s="39"/>
      <c r="D20" s="39"/>
      <c r="E20" s="34" t="str">
        <f>_xlfn.IFS(E19&gt;=90%,"ممتاز",E19&gt;=80%,"جيد جداً",E19&gt;=70%,"جيد",E19&gt;=60%,"مقبول",E19&lt;60%,"راسب")</f>
        <v>جيد</v>
      </c>
      <c r="F20" s="34"/>
      <c r="G20" s="34"/>
      <c r="H20" s="34"/>
      <c r="I20" s="34"/>
      <c r="J20" s="35"/>
    </row>
    <row r="21" spans="1:10" ht="42" customHeight="1" x14ac:dyDescent="0.3">
      <c r="B21" s="30" t="s">
        <v>61</v>
      </c>
      <c r="C21" s="30"/>
      <c r="D21" s="30"/>
      <c r="E21" s="44" t="s">
        <v>52</v>
      </c>
      <c r="F21" s="44"/>
      <c r="G21" s="32" t="s">
        <v>58</v>
      </c>
      <c r="H21" s="32"/>
      <c r="I21" s="32"/>
      <c r="J21" s="32"/>
    </row>
    <row r="22" spans="1:10" ht="51" customHeight="1" x14ac:dyDescent="0.3">
      <c r="A22" s="5"/>
      <c r="B22" s="31"/>
      <c r="C22" s="31"/>
      <c r="D22" s="31"/>
      <c r="E22" s="45" t="s">
        <v>53</v>
      </c>
      <c r="F22" s="45"/>
      <c r="G22" s="33"/>
      <c r="H22" s="33"/>
      <c r="I22" s="33"/>
      <c r="J22" s="33"/>
    </row>
  </sheetData>
  <sheetProtection formatCells="0" formatColumns="0" formatRows="0" insertColumns="0" insertRows="0" insertHyperlinks="0" deleteColumns="0" deleteRows="0" selectLockedCells="1" sort="0" autoFilter="0" pivotTables="0"/>
  <mergeCells count="43">
    <mergeCell ref="C4:D4"/>
    <mergeCell ref="F4:J4"/>
    <mergeCell ref="B13:D13"/>
    <mergeCell ref="B14:D14"/>
    <mergeCell ref="B15:D15"/>
    <mergeCell ref="B16:D16"/>
    <mergeCell ref="B8:D8"/>
    <mergeCell ref="B9:D9"/>
    <mergeCell ref="B10:D10"/>
    <mergeCell ref="B11:D11"/>
    <mergeCell ref="B12:D12"/>
    <mergeCell ref="E21:F21"/>
    <mergeCell ref="E22:F22"/>
    <mergeCell ref="G18:J18"/>
    <mergeCell ref="B1:J1"/>
    <mergeCell ref="F2:J2"/>
    <mergeCell ref="B5:D6"/>
    <mergeCell ref="C2:D2"/>
    <mergeCell ref="C3:D3"/>
    <mergeCell ref="F3:J3"/>
    <mergeCell ref="E19:J19"/>
    <mergeCell ref="B7:D7"/>
    <mergeCell ref="E5:H5"/>
    <mergeCell ref="I5:J6"/>
    <mergeCell ref="I7:J7"/>
    <mergeCell ref="I10:J10"/>
    <mergeCell ref="B17:D17"/>
    <mergeCell ref="B21:D22"/>
    <mergeCell ref="G21:J21"/>
    <mergeCell ref="G22:J22"/>
    <mergeCell ref="E20:J20"/>
    <mergeCell ref="I8:J8"/>
    <mergeCell ref="B18:D18"/>
    <mergeCell ref="B19:D19"/>
    <mergeCell ref="B20:D20"/>
    <mergeCell ref="I11:J11"/>
    <mergeCell ref="I12:J12"/>
    <mergeCell ref="I13:J13"/>
    <mergeCell ref="I14:J14"/>
    <mergeCell ref="I15:J15"/>
    <mergeCell ref="I16:J16"/>
    <mergeCell ref="I17:J17"/>
    <mergeCell ref="I9:J9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0">
    <cfRule type="expression" dxfId="14" priority="57">
      <formula>$E20="راسب"</formula>
    </cfRule>
  </conditionalFormatting>
  <conditionalFormatting sqref="E20:J20">
    <cfRule type="expression" dxfId="13" priority="60">
      <formula>$E20="جيد جداً"</formula>
    </cfRule>
    <cfRule type="expression" dxfId="12" priority="59">
      <formula>$E20="جيد"</formula>
    </cfRule>
    <cfRule type="expression" dxfId="11" priority="58">
      <formula>$E20="مقبول"</formula>
    </cfRule>
    <cfRule type="expression" dxfId="10" priority="61">
      <formula>$E20="ممتاز"</formula>
    </cfRule>
  </conditionalFormatting>
  <conditionalFormatting sqref="F8:F17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1:J21">
    <cfRule type="containsText" dxfId="6" priority="15" operator="containsText" text="أدخل اسم المحكم">
      <formula>NOT(ISERROR(SEARCH("أدخل اسم المحكم",G21)))</formula>
    </cfRule>
  </conditionalFormatting>
  <conditionalFormatting sqref="H8:H17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F63B6DE-AA59-4C03-B91E-0E4266CD5498}">
          <x14:formula1>
            <xm:f>'بيانات التقييم'!$A$110:$A$132</xm:f>
          </x14:formula1>
          <xm:sqref>F8:F17</xm:sqref>
        </x14:dataValidation>
        <x14:dataValidation type="list" allowBlank="1" showInputMessage="1" showErrorMessage="1" xr:uid="{44A70599-D520-475C-AC59-F3BB48DF1527}">
          <x14:formula1>
            <xm:f>'بيانات التقييم'!$A$1:$A$70</xm:f>
          </x14:formula1>
          <xm:sqref>C2:D2</xm:sqref>
        </x14:dataValidation>
        <x14:dataValidation type="list" allowBlank="1" showInputMessage="1" showErrorMessage="1" xr:uid="{752BAE0F-E3DD-4976-92E4-009EDD5C72FE}">
          <x14:formula1>
            <xm:f>'بيانات التقييم'!$A$74:$A$105</xm:f>
          </x14:formula1>
          <xm:sqref>F2:J2</xm:sqref>
        </x14:dataValidation>
        <x14:dataValidation type="list" allowBlank="1" showInputMessage="1" showErrorMessage="1" xr:uid="{B1A9A504-F7F9-4975-BDDF-3CE5BBED544A}">
          <x14:formula1>
            <xm:f>'بيانات التقييم'!$A$197:$A$197</xm:f>
          </x14:formula1>
          <xm:sqref>G21:J21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H197"/>
  <sheetViews>
    <sheetView rightToLeft="1" topLeftCell="A97" workbookViewId="0">
      <selection activeCell="A110" sqref="A110:XFD110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8" width="9" style="1"/>
  </cols>
  <sheetData>
    <row r="1" spans="1:1" ht="20.100000000000001" customHeight="1" thickBot="1" x14ac:dyDescent="0.35">
      <c r="A1" s="2" t="s">
        <v>57</v>
      </c>
    </row>
    <row r="2" spans="1:1" ht="20.100000000000001" customHeight="1" thickBot="1" x14ac:dyDescent="0.35">
      <c r="A2" s="2" t="s">
        <v>35</v>
      </c>
    </row>
    <row r="3" spans="1:1" ht="20.100000000000001" customHeight="1" thickBot="1" x14ac:dyDescent="0.35">
      <c r="A3" s="2" t="s">
        <v>26</v>
      </c>
    </row>
    <row r="4" spans="1:1" ht="20.100000000000001" customHeight="1" thickBot="1" x14ac:dyDescent="0.35">
      <c r="A4" s="2" t="s">
        <v>36</v>
      </c>
    </row>
    <row r="5" spans="1:1" ht="20.100000000000001" customHeight="1" thickBot="1" x14ac:dyDescent="0.35">
      <c r="A5" s="2" t="s">
        <v>37</v>
      </c>
    </row>
    <row r="6" spans="1:1" ht="20.100000000000001" customHeight="1" thickBot="1" x14ac:dyDescent="0.35">
      <c r="A6" s="2" t="s">
        <v>62</v>
      </c>
    </row>
    <row r="7" spans="1:1" ht="20.100000000000001" customHeight="1" thickBot="1" x14ac:dyDescent="0.35">
      <c r="A7" s="2" t="s">
        <v>63</v>
      </c>
    </row>
    <row r="8" spans="1:1" ht="20.100000000000001" customHeight="1" thickBot="1" x14ac:dyDescent="0.35">
      <c r="A8" s="2" t="s">
        <v>64</v>
      </c>
    </row>
    <row r="9" spans="1:1" ht="20.100000000000001" customHeight="1" thickBot="1" x14ac:dyDescent="0.35">
      <c r="A9" s="2" t="s">
        <v>83</v>
      </c>
    </row>
    <row r="10" spans="1:1" ht="20.100000000000001" customHeight="1" thickBot="1" x14ac:dyDescent="0.35">
      <c r="A10" s="2" t="s">
        <v>38</v>
      </c>
    </row>
    <row r="11" spans="1:1" ht="20.100000000000001" customHeight="1" thickBot="1" x14ac:dyDescent="0.35">
      <c r="A11" s="2" t="s">
        <v>65</v>
      </c>
    </row>
    <row r="12" spans="1:1" ht="20.100000000000001" customHeight="1" thickBot="1" x14ac:dyDescent="0.35">
      <c r="A12" s="2" t="s">
        <v>66</v>
      </c>
    </row>
    <row r="13" spans="1:1" ht="20.100000000000001" customHeight="1" thickBot="1" x14ac:dyDescent="0.35">
      <c r="A13" s="2" t="s">
        <v>67</v>
      </c>
    </row>
    <row r="14" spans="1:1" ht="20.100000000000001" customHeight="1" thickBot="1" x14ac:dyDescent="0.35">
      <c r="A14" s="2" t="s">
        <v>84</v>
      </c>
    </row>
    <row r="15" spans="1:1" ht="20.100000000000001" customHeight="1" thickBot="1" x14ac:dyDescent="0.35">
      <c r="A15" s="2" t="s">
        <v>39</v>
      </c>
    </row>
    <row r="16" spans="1:1" ht="20.100000000000001" customHeight="1" thickBot="1" x14ac:dyDescent="0.35">
      <c r="A16" s="2" t="s">
        <v>68</v>
      </c>
    </row>
    <row r="17" spans="1:1" ht="20.100000000000001" customHeight="1" thickBot="1" x14ac:dyDescent="0.35">
      <c r="A17" s="2" t="s">
        <v>69</v>
      </c>
    </row>
    <row r="18" spans="1:1" ht="20.100000000000001" customHeight="1" thickBot="1" x14ac:dyDescent="0.35">
      <c r="A18" s="2" t="s">
        <v>70</v>
      </c>
    </row>
    <row r="19" spans="1:1" ht="20.100000000000001" customHeight="1" thickBot="1" x14ac:dyDescent="0.35">
      <c r="A19" s="2" t="s">
        <v>85</v>
      </c>
    </row>
    <row r="20" spans="1:1" ht="20.100000000000001" customHeight="1" thickBot="1" x14ac:dyDescent="0.35">
      <c r="A20" s="2" t="s">
        <v>40</v>
      </c>
    </row>
    <row r="21" spans="1:1" ht="20.100000000000001" customHeight="1" thickBot="1" x14ac:dyDescent="0.35">
      <c r="A21" s="2" t="s">
        <v>41</v>
      </c>
    </row>
    <row r="22" spans="1:1" ht="20.100000000000001" customHeight="1" thickBot="1" x14ac:dyDescent="0.35">
      <c r="A22" s="2" t="s">
        <v>71</v>
      </c>
    </row>
    <row r="23" spans="1:1" ht="20.100000000000001" customHeight="1" thickBot="1" x14ac:dyDescent="0.35">
      <c r="A23" s="2" t="s">
        <v>72</v>
      </c>
    </row>
    <row r="24" spans="1:1" ht="20.100000000000001" customHeight="1" thickBot="1" x14ac:dyDescent="0.35">
      <c r="A24" s="2" t="s">
        <v>73</v>
      </c>
    </row>
    <row r="25" spans="1:1" ht="20.100000000000001" customHeight="1" thickBot="1" x14ac:dyDescent="0.35">
      <c r="A25" s="2" t="s">
        <v>86</v>
      </c>
    </row>
    <row r="26" spans="1:1" ht="20.100000000000001" customHeight="1" thickBot="1" x14ac:dyDescent="0.35">
      <c r="A26" s="2" t="s">
        <v>42</v>
      </c>
    </row>
    <row r="27" spans="1:1" ht="20.100000000000001" customHeight="1" thickBot="1" x14ac:dyDescent="0.35">
      <c r="A27" s="2" t="s">
        <v>74</v>
      </c>
    </row>
    <row r="28" spans="1:1" ht="20.100000000000001" customHeight="1" thickBot="1" x14ac:dyDescent="0.35">
      <c r="A28" s="2" t="s">
        <v>75</v>
      </c>
    </row>
    <row r="29" spans="1:1" ht="20.100000000000001" customHeight="1" thickBot="1" x14ac:dyDescent="0.35">
      <c r="A29" s="2" t="s">
        <v>76</v>
      </c>
    </row>
    <row r="30" spans="1:1" ht="20.100000000000001" customHeight="1" thickBot="1" x14ac:dyDescent="0.35">
      <c r="A30" s="2" t="s">
        <v>87</v>
      </c>
    </row>
    <row r="31" spans="1:1" ht="20.100000000000001" customHeight="1" thickBot="1" x14ac:dyDescent="0.35">
      <c r="A31" s="2" t="s">
        <v>43</v>
      </c>
    </row>
    <row r="32" spans="1:1" ht="20.100000000000001" customHeight="1" thickBot="1" x14ac:dyDescent="0.35">
      <c r="A32" s="2" t="s">
        <v>77</v>
      </c>
    </row>
    <row r="33" spans="1:1" ht="20.100000000000001" customHeight="1" thickBot="1" x14ac:dyDescent="0.35">
      <c r="A33" s="2" t="s">
        <v>78</v>
      </c>
    </row>
    <row r="34" spans="1:1" ht="20.100000000000001" customHeight="1" thickBot="1" x14ac:dyDescent="0.35">
      <c r="A34" s="2" t="s">
        <v>79</v>
      </c>
    </row>
    <row r="35" spans="1:1" ht="20.100000000000001" customHeight="1" thickBot="1" x14ac:dyDescent="0.35">
      <c r="A35" s="2" t="s">
        <v>88</v>
      </c>
    </row>
    <row r="36" spans="1:1" ht="20.100000000000001" customHeight="1" thickBot="1" x14ac:dyDescent="0.35">
      <c r="A36" s="2" t="s">
        <v>44</v>
      </c>
    </row>
    <row r="37" spans="1:1" ht="20.100000000000001" customHeight="1" thickBot="1" x14ac:dyDescent="0.35">
      <c r="A37" s="2" t="s">
        <v>45</v>
      </c>
    </row>
    <row r="38" spans="1:1" ht="20.100000000000001" customHeight="1" thickBot="1" x14ac:dyDescent="0.35">
      <c r="A38" s="2" t="s">
        <v>80</v>
      </c>
    </row>
    <row r="39" spans="1:1" ht="20.100000000000001" customHeight="1" thickBot="1" x14ac:dyDescent="0.35">
      <c r="A39" s="2" t="s">
        <v>81</v>
      </c>
    </row>
    <row r="40" spans="1:1" ht="20.100000000000001" customHeight="1" thickBot="1" x14ac:dyDescent="0.35">
      <c r="A40" s="2" t="s">
        <v>82</v>
      </c>
    </row>
    <row r="41" spans="1:1" ht="20.100000000000001" customHeight="1" thickBot="1" x14ac:dyDescent="0.35">
      <c r="A41" s="2" t="s">
        <v>89</v>
      </c>
    </row>
    <row r="42" spans="1:1" ht="20.100000000000001" customHeight="1" thickBot="1" x14ac:dyDescent="0.35">
      <c r="A42" s="2" t="s">
        <v>46</v>
      </c>
    </row>
    <row r="43" spans="1:1" ht="20.100000000000001" customHeight="1" thickBot="1" x14ac:dyDescent="0.35">
      <c r="A43" s="2" t="s">
        <v>90</v>
      </c>
    </row>
    <row r="44" spans="1:1" ht="20.100000000000001" customHeight="1" thickBot="1" x14ac:dyDescent="0.35">
      <c r="A44" s="2" t="s">
        <v>91</v>
      </c>
    </row>
    <row r="45" spans="1:1" ht="20.100000000000001" customHeight="1" thickBot="1" x14ac:dyDescent="0.35">
      <c r="A45" s="2" t="s">
        <v>92</v>
      </c>
    </row>
    <row r="46" spans="1:1" ht="20.100000000000001" customHeight="1" thickBot="1" x14ac:dyDescent="0.35">
      <c r="A46" s="2" t="s">
        <v>93</v>
      </c>
    </row>
    <row r="47" spans="1:1" ht="20.100000000000001" customHeight="1" thickBot="1" x14ac:dyDescent="0.35">
      <c r="A47" s="2" t="s">
        <v>47</v>
      </c>
    </row>
    <row r="48" spans="1:1" ht="20.100000000000001" customHeight="1" thickBot="1" x14ac:dyDescent="0.35">
      <c r="A48" s="2" t="s">
        <v>94</v>
      </c>
    </row>
    <row r="49" spans="1:1" ht="20.100000000000001" customHeight="1" thickBot="1" x14ac:dyDescent="0.35">
      <c r="A49" s="2" t="s">
        <v>95</v>
      </c>
    </row>
    <row r="50" spans="1:1" ht="20.100000000000001" customHeight="1" thickBot="1" x14ac:dyDescent="0.35">
      <c r="A50" s="2" t="s">
        <v>96</v>
      </c>
    </row>
    <row r="51" spans="1:1" ht="20.100000000000001" customHeight="1" thickBot="1" x14ac:dyDescent="0.35">
      <c r="A51" s="2" t="s">
        <v>97</v>
      </c>
    </row>
    <row r="52" spans="1:1" ht="20.100000000000001" customHeight="1" thickBot="1" x14ac:dyDescent="0.35">
      <c r="A52" s="2" t="s">
        <v>10</v>
      </c>
    </row>
    <row r="53" spans="1:1" ht="20.100000000000001" customHeight="1" thickBot="1" x14ac:dyDescent="0.35">
      <c r="A53" s="2" t="s">
        <v>27</v>
      </c>
    </row>
    <row r="54" spans="1:1" ht="20.100000000000001" customHeight="1" thickBot="1" x14ac:dyDescent="0.35">
      <c r="A54" s="2" t="s">
        <v>48</v>
      </c>
    </row>
    <row r="55" spans="1:1" ht="20.100000000000001" customHeight="1" thickBot="1" x14ac:dyDescent="0.35">
      <c r="A55" s="2" t="s">
        <v>49</v>
      </c>
    </row>
    <row r="56" spans="1:1" ht="20.100000000000001" customHeight="1" thickBot="1" x14ac:dyDescent="0.35">
      <c r="A56" s="2" t="s">
        <v>50</v>
      </c>
    </row>
    <row r="57" spans="1:1" ht="20.100000000000001" customHeight="1" thickBot="1" x14ac:dyDescent="0.35">
      <c r="A57" s="2" t="s">
        <v>51</v>
      </c>
    </row>
    <row r="58" spans="1:1" ht="20.100000000000001" customHeight="1" thickBot="1" x14ac:dyDescent="0.35">
      <c r="A58" s="2" t="s">
        <v>11</v>
      </c>
    </row>
    <row r="59" spans="1:1" ht="20.100000000000001" customHeight="1" thickBot="1" x14ac:dyDescent="0.35">
      <c r="A59" s="2" t="s">
        <v>12</v>
      </c>
    </row>
    <row r="60" spans="1:1" ht="20.100000000000001" customHeight="1" thickBot="1" x14ac:dyDescent="0.35">
      <c r="A60" s="2" t="s">
        <v>15</v>
      </c>
    </row>
    <row r="61" spans="1:1" ht="20.100000000000001" customHeight="1" thickBot="1" x14ac:dyDescent="0.35">
      <c r="A61" s="2" t="s">
        <v>28</v>
      </c>
    </row>
    <row r="62" spans="1:1" ht="20.100000000000001" customHeight="1" thickBot="1" x14ac:dyDescent="0.35">
      <c r="A62" s="2" t="s">
        <v>29</v>
      </c>
    </row>
    <row r="63" spans="1:1" ht="20.100000000000001" customHeight="1" thickBot="1" x14ac:dyDescent="0.35">
      <c r="A63" s="2" t="s">
        <v>13</v>
      </c>
    </row>
    <row r="64" spans="1:1" ht="20.100000000000001" customHeight="1" thickBot="1" x14ac:dyDescent="0.35">
      <c r="A64" s="2" t="s">
        <v>30</v>
      </c>
    </row>
    <row r="65" spans="1:8" ht="20.100000000000001" customHeight="1" thickBot="1" x14ac:dyDescent="0.35">
      <c r="A65" s="2" t="s">
        <v>31</v>
      </c>
    </row>
    <row r="66" spans="1:8" ht="20.100000000000001" customHeight="1" thickBot="1" x14ac:dyDescent="0.35">
      <c r="A66" s="2" t="s">
        <v>32</v>
      </c>
    </row>
    <row r="67" spans="1:8" ht="20.100000000000001" customHeight="1" thickBot="1" x14ac:dyDescent="0.35">
      <c r="A67" s="2" t="s">
        <v>33</v>
      </c>
    </row>
    <row r="68" spans="1:8" ht="20.100000000000001" customHeight="1" thickBot="1" x14ac:dyDescent="0.35">
      <c r="A68" s="2" t="s">
        <v>16</v>
      </c>
    </row>
    <row r="69" spans="1:8" ht="20.100000000000001" customHeight="1" thickBot="1" x14ac:dyDescent="0.35">
      <c r="A69" s="2" t="s">
        <v>14</v>
      </c>
    </row>
    <row r="70" spans="1:8" ht="20.100000000000001" customHeight="1" thickBot="1" x14ac:dyDescent="0.35">
      <c r="A70" s="2" t="s">
        <v>34</v>
      </c>
    </row>
    <row r="71" spans="1:8" ht="20.100000000000001" customHeight="1" x14ac:dyDescent="0.3">
      <c r="A71" s="17"/>
    </row>
    <row r="72" spans="1:8" s="16" customFormat="1" ht="20.100000000000001" customHeight="1" x14ac:dyDescent="0.3">
      <c r="A72" s="14"/>
      <c r="B72" s="15"/>
      <c r="C72" s="15"/>
      <c r="D72" s="15"/>
      <c r="E72" s="15"/>
      <c r="F72" s="15"/>
      <c r="G72" s="15"/>
      <c r="H72" s="15"/>
    </row>
    <row r="73" spans="1:8" ht="20.100000000000001" customHeight="1" thickBot="1" x14ac:dyDescent="0.35"/>
    <row r="74" spans="1:8" ht="20.100000000000001" customHeight="1" thickBot="1" x14ac:dyDescent="0.35">
      <c r="A74" s="2" t="s">
        <v>56</v>
      </c>
    </row>
    <row r="75" spans="1:8" ht="20.100000000000001" customHeight="1" thickBot="1" x14ac:dyDescent="0.35">
      <c r="A75" s="12">
        <v>45931</v>
      </c>
    </row>
    <row r="76" spans="1:8" ht="20.100000000000001" customHeight="1" thickBot="1" x14ac:dyDescent="0.35">
      <c r="A76" s="12">
        <v>45932</v>
      </c>
    </row>
    <row r="77" spans="1:8" ht="20.100000000000001" customHeight="1" thickBot="1" x14ac:dyDescent="0.35">
      <c r="A77" s="12">
        <v>45933</v>
      </c>
    </row>
    <row r="78" spans="1:8" ht="20.100000000000001" customHeight="1" thickBot="1" x14ac:dyDescent="0.35">
      <c r="A78" s="12">
        <v>45934</v>
      </c>
    </row>
    <row r="79" spans="1:8" ht="20.100000000000001" customHeight="1" thickBot="1" x14ac:dyDescent="0.35">
      <c r="A79" s="12">
        <v>45935</v>
      </c>
    </row>
    <row r="80" spans="1:8" ht="20.100000000000001" customHeight="1" thickBot="1" x14ac:dyDescent="0.35">
      <c r="A80" s="12">
        <v>45936</v>
      </c>
    </row>
    <row r="81" spans="1:1" ht="20.100000000000001" customHeight="1" thickBot="1" x14ac:dyDescent="0.35">
      <c r="A81" s="12">
        <v>45937</v>
      </c>
    </row>
    <row r="82" spans="1:1" ht="20.100000000000001" customHeight="1" thickBot="1" x14ac:dyDescent="0.35">
      <c r="A82" s="12">
        <v>45938</v>
      </c>
    </row>
    <row r="83" spans="1:1" ht="20.100000000000001" customHeight="1" thickBot="1" x14ac:dyDescent="0.35">
      <c r="A83" s="12">
        <v>45939</v>
      </c>
    </row>
    <row r="84" spans="1:1" ht="20.100000000000001" customHeight="1" thickBot="1" x14ac:dyDescent="0.35">
      <c r="A84" s="12">
        <v>45940</v>
      </c>
    </row>
    <row r="85" spans="1:1" ht="20.100000000000001" customHeight="1" thickBot="1" x14ac:dyDescent="0.35">
      <c r="A85" s="12">
        <v>45941</v>
      </c>
    </row>
    <row r="86" spans="1:1" ht="20.100000000000001" customHeight="1" thickBot="1" x14ac:dyDescent="0.35">
      <c r="A86" s="12">
        <v>45942</v>
      </c>
    </row>
    <row r="87" spans="1:1" ht="20.100000000000001" customHeight="1" thickBot="1" x14ac:dyDescent="0.35">
      <c r="A87" s="12">
        <v>45943</v>
      </c>
    </row>
    <row r="88" spans="1:1" ht="20.100000000000001" customHeight="1" thickBot="1" x14ac:dyDescent="0.35">
      <c r="A88" s="12">
        <v>45944</v>
      </c>
    </row>
    <row r="89" spans="1:1" ht="20.100000000000001" customHeight="1" thickBot="1" x14ac:dyDescent="0.35">
      <c r="A89" s="12">
        <v>45945</v>
      </c>
    </row>
    <row r="90" spans="1:1" ht="20.100000000000001" customHeight="1" thickBot="1" x14ac:dyDescent="0.35">
      <c r="A90" s="12">
        <v>45946</v>
      </c>
    </row>
    <row r="91" spans="1:1" ht="20.100000000000001" customHeight="1" thickBot="1" x14ac:dyDescent="0.35">
      <c r="A91" s="12">
        <v>45947</v>
      </c>
    </row>
    <row r="92" spans="1:1" ht="20.100000000000001" customHeight="1" thickBot="1" x14ac:dyDescent="0.35">
      <c r="A92" s="12">
        <v>45948</v>
      </c>
    </row>
    <row r="93" spans="1:1" ht="20.100000000000001" customHeight="1" thickBot="1" x14ac:dyDescent="0.35">
      <c r="A93" s="12">
        <v>45949</v>
      </c>
    </row>
    <row r="94" spans="1:1" ht="20.100000000000001" customHeight="1" thickBot="1" x14ac:dyDescent="0.35">
      <c r="A94" s="12">
        <v>45950</v>
      </c>
    </row>
    <row r="95" spans="1:1" ht="20.100000000000001" customHeight="1" thickBot="1" x14ac:dyDescent="0.35">
      <c r="A95" s="12">
        <v>45951</v>
      </c>
    </row>
    <row r="96" spans="1:1" ht="20.100000000000001" customHeight="1" thickBot="1" x14ac:dyDescent="0.35">
      <c r="A96" s="12">
        <v>45952</v>
      </c>
    </row>
    <row r="97" spans="1:8" ht="20.100000000000001" customHeight="1" thickBot="1" x14ac:dyDescent="0.35">
      <c r="A97" s="12">
        <v>45953</v>
      </c>
    </row>
    <row r="98" spans="1:8" ht="20.100000000000001" customHeight="1" thickBot="1" x14ac:dyDescent="0.35">
      <c r="A98" s="12">
        <v>45954</v>
      </c>
    </row>
    <row r="99" spans="1:8" ht="20.100000000000001" customHeight="1" thickBot="1" x14ac:dyDescent="0.35">
      <c r="A99" s="12">
        <v>45955</v>
      </c>
    </row>
    <row r="100" spans="1:8" ht="20.100000000000001" customHeight="1" thickBot="1" x14ac:dyDescent="0.35">
      <c r="A100" s="12">
        <v>45956</v>
      </c>
    </row>
    <row r="101" spans="1:8" ht="20.100000000000001" customHeight="1" thickBot="1" x14ac:dyDescent="0.35">
      <c r="A101" s="12">
        <v>45957</v>
      </c>
    </row>
    <row r="102" spans="1:8" ht="20.100000000000001" customHeight="1" thickBot="1" x14ac:dyDescent="0.35">
      <c r="A102" s="12">
        <v>45958</v>
      </c>
    </row>
    <row r="103" spans="1:8" ht="20.100000000000001" customHeight="1" thickBot="1" x14ac:dyDescent="0.35">
      <c r="A103" s="12">
        <v>45959</v>
      </c>
    </row>
    <row r="104" spans="1:8" ht="20.100000000000001" customHeight="1" thickBot="1" x14ac:dyDescent="0.35">
      <c r="A104" s="12">
        <v>45960</v>
      </c>
    </row>
    <row r="105" spans="1:8" ht="20.100000000000001" customHeight="1" thickBot="1" x14ac:dyDescent="0.35">
      <c r="A105" s="12">
        <v>45961</v>
      </c>
    </row>
    <row r="106" spans="1:8" ht="20.100000000000001" customHeight="1" x14ac:dyDescent="0.3">
      <c r="A106" s="13"/>
    </row>
    <row r="107" spans="1:8" ht="20.100000000000001" customHeight="1" x14ac:dyDescent="0.3">
      <c r="A107" s="13"/>
    </row>
    <row r="108" spans="1:8" s="16" customFormat="1" ht="20.100000000000001" customHeight="1" x14ac:dyDescent="0.3">
      <c r="A108" s="14"/>
      <c r="B108" s="15"/>
      <c r="C108" s="15"/>
      <c r="D108" s="15"/>
      <c r="E108" s="15"/>
      <c r="F108" s="15"/>
      <c r="G108" s="15"/>
      <c r="H108" s="15"/>
    </row>
    <row r="109" spans="1:8" ht="20.100000000000001" customHeight="1" thickBot="1" x14ac:dyDescent="0.35"/>
    <row r="110" spans="1:8" ht="20.100000000000001" customHeight="1" thickBot="1" x14ac:dyDescent="0.35">
      <c r="A110" s="2" t="s">
        <v>60</v>
      </c>
    </row>
    <row r="111" spans="1:8" ht="20.100000000000001" customHeight="1" thickBot="1" x14ac:dyDescent="0.35">
      <c r="A111" s="2" t="s">
        <v>17</v>
      </c>
    </row>
    <row r="112" spans="1:8" ht="20.100000000000001" customHeight="1" thickBot="1" x14ac:dyDescent="0.35">
      <c r="A112" s="2">
        <v>0</v>
      </c>
    </row>
    <row r="113" spans="1:1" ht="20.100000000000001" customHeight="1" thickBot="1" x14ac:dyDescent="0.35">
      <c r="A113" s="2">
        <v>0.25</v>
      </c>
    </row>
    <row r="114" spans="1:1" ht="20.100000000000001" customHeight="1" thickBot="1" x14ac:dyDescent="0.35">
      <c r="A114" s="2">
        <v>0.5</v>
      </c>
    </row>
    <row r="115" spans="1:1" ht="20.100000000000001" customHeight="1" thickBot="1" x14ac:dyDescent="0.35">
      <c r="A115" s="2">
        <v>0.75</v>
      </c>
    </row>
    <row r="116" spans="1:1" ht="20.100000000000001" customHeight="1" thickBot="1" x14ac:dyDescent="0.35">
      <c r="A116" s="2">
        <v>1</v>
      </c>
    </row>
    <row r="117" spans="1:1" ht="20.100000000000001" customHeight="1" thickBot="1" x14ac:dyDescent="0.35">
      <c r="A117" s="2">
        <v>1.25</v>
      </c>
    </row>
    <row r="118" spans="1:1" ht="20.100000000000001" customHeight="1" thickBot="1" x14ac:dyDescent="0.35">
      <c r="A118" s="2">
        <v>1.5</v>
      </c>
    </row>
    <row r="119" spans="1:1" ht="20.100000000000001" customHeight="1" thickBot="1" x14ac:dyDescent="0.35">
      <c r="A119" s="2">
        <v>1.75</v>
      </c>
    </row>
    <row r="120" spans="1:1" ht="20.100000000000001" customHeight="1" thickBot="1" x14ac:dyDescent="0.35">
      <c r="A120" s="2">
        <v>2</v>
      </c>
    </row>
    <row r="121" spans="1:1" ht="20.100000000000001" customHeight="1" thickBot="1" x14ac:dyDescent="0.35">
      <c r="A121" s="2">
        <v>2.25</v>
      </c>
    </row>
    <row r="122" spans="1:1" ht="20.100000000000001" customHeight="1" thickBot="1" x14ac:dyDescent="0.35">
      <c r="A122" s="2">
        <v>2.5</v>
      </c>
    </row>
    <row r="123" spans="1:1" ht="20.100000000000001" customHeight="1" thickBot="1" x14ac:dyDescent="0.35">
      <c r="A123" s="2">
        <v>2.75</v>
      </c>
    </row>
    <row r="124" spans="1:1" ht="20.100000000000001" customHeight="1" thickBot="1" x14ac:dyDescent="0.35">
      <c r="A124" s="2">
        <v>3</v>
      </c>
    </row>
    <row r="125" spans="1:1" ht="20.100000000000001" customHeight="1" thickBot="1" x14ac:dyDescent="0.35">
      <c r="A125" s="2">
        <v>3.25</v>
      </c>
    </row>
    <row r="126" spans="1:1" ht="20.100000000000001" customHeight="1" thickBot="1" x14ac:dyDescent="0.35">
      <c r="A126" s="2">
        <v>3.5</v>
      </c>
    </row>
    <row r="127" spans="1:1" ht="20.100000000000001" customHeight="1" thickBot="1" x14ac:dyDescent="0.35">
      <c r="A127" s="2">
        <v>3.75</v>
      </c>
    </row>
    <row r="128" spans="1:1" ht="20.100000000000001" customHeight="1" thickBot="1" x14ac:dyDescent="0.35">
      <c r="A128" s="2">
        <v>4</v>
      </c>
    </row>
    <row r="129" spans="1:1" ht="20.100000000000001" customHeight="1" thickBot="1" x14ac:dyDescent="0.35">
      <c r="A129" s="2">
        <v>4.25</v>
      </c>
    </row>
    <row r="130" spans="1:1" ht="20.100000000000001" customHeight="1" thickBot="1" x14ac:dyDescent="0.35">
      <c r="A130" s="2">
        <v>4.5</v>
      </c>
    </row>
    <row r="131" spans="1:1" ht="20.100000000000001" customHeight="1" thickBot="1" x14ac:dyDescent="0.35">
      <c r="A131" s="2">
        <v>4.75</v>
      </c>
    </row>
    <row r="132" spans="1:1" ht="20.100000000000001" customHeight="1" thickBot="1" x14ac:dyDescent="0.35">
      <c r="A132" s="2">
        <v>5</v>
      </c>
    </row>
    <row r="133" spans="1:1" ht="20.100000000000001" customHeight="1" thickBot="1" x14ac:dyDescent="0.35">
      <c r="A133" s="2">
        <v>5.25</v>
      </c>
    </row>
    <row r="134" spans="1:1" ht="20.100000000000001" customHeight="1" thickBot="1" x14ac:dyDescent="0.35">
      <c r="A134" s="2">
        <v>5.5</v>
      </c>
    </row>
    <row r="135" spans="1:1" ht="20.100000000000001" customHeight="1" thickBot="1" x14ac:dyDescent="0.35">
      <c r="A135" s="2">
        <v>5.75</v>
      </c>
    </row>
    <row r="136" spans="1:1" ht="20.100000000000001" customHeight="1" thickBot="1" x14ac:dyDescent="0.35">
      <c r="A136" s="2">
        <v>6</v>
      </c>
    </row>
    <row r="137" spans="1:1" ht="20.100000000000001" customHeight="1" thickBot="1" x14ac:dyDescent="0.35">
      <c r="A137" s="2">
        <v>6.25</v>
      </c>
    </row>
    <row r="138" spans="1:1" ht="20.100000000000001" customHeight="1" thickBot="1" x14ac:dyDescent="0.35">
      <c r="A138" s="2">
        <v>6.5</v>
      </c>
    </row>
    <row r="139" spans="1:1" ht="20.100000000000001" customHeight="1" thickBot="1" x14ac:dyDescent="0.35">
      <c r="A139" s="2">
        <v>6.75</v>
      </c>
    </row>
    <row r="140" spans="1:1" ht="20.100000000000001" customHeight="1" thickBot="1" x14ac:dyDescent="0.35">
      <c r="A140" s="2">
        <v>7</v>
      </c>
    </row>
    <row r="141" spans="1:1" ht="20.100000000000001" customHeight="1" thickBot="1" x14ac:dyDescent="0.35">
      <c r="A141" s="2">
        <v>7.25</v>
      </c>
    </row>
    <row r="142" spans="1:1" ht="20.100000000000001" customHeight="1" thickBot="1" x14ac:dyDescent="0.35">
      <c r="A142" s="2">
        <v>7.5</v>
      </c>
    </row>
    <row r="143" spans="1:1" ht="20.100000000000001" customHeight="1" thickBot="1" x14ac:dyDescent="0.35">
      <c r="A143" s="2">
        <v>7.75</v>
      </c>
    </row>
    <row r="144" spans="1:1" ht="20.100000000000001" customHeight="1" thickBot="1" x14ac:dyDescent="0.35">
      <c r="A144" s="2">
        <v>8</v>
      </c>
    </row>
    <row r="145" spans="1:1" ht="20.100000000000001" customHeight="1" thickBot="1" x14ac:dyDescent="0.35">
      <c r="A145" s="2">
        <v>8.25</v>
      </c>
    </row>
    <row r="146" spans="1:1" ht="20.100000000000001" customHeight="1" thickBot="1" x14ac:dyDescent="0.35">
      <c r="A146" s="2">
        <v>8.5</v>
      </c>
    </row>
    <row r="147" spans="1:1" ht="20.100000000000001" customHeight="1" thickBot="1" x14ac:dyDescent="0.35">
      <c r="A147" s="2">
        <v>8.75</v>
      </c>
    </row>
    <row r="148" spans="1:1" ht="20.100000000000001" customHeight="1" thickBot="1" x14ac:dyDescent="0.35">
      <c r="A148" s="2">
        <v>9</v>
      </c>
    </row>
    <row r="149" spans="1:1" ht="20.100000000000001" customHeight="1" thickBot="1" x14ac:dyDescent="0.35">
      <c r="A149" s="2">
        <v>9.25</v>
      </c>
    </row>
    <row r="150" spans="1:1" ht="20.100000000000001" customHeight="1" thickBot="1" x14ac:dyDescent="0.35">
      <c r="A150" s="2">
        <v>9.5</v>
      </c>
    </row>
    <row r="151" spans="1:1" ht="20.100000000000001" customHeight="1" thickBot="1" x14ac:dyDescent="0.35">
      <c r="A151" s="2">
        <v>9.75</v>
      </c>
    </row>
    <row r="152" spans="1:1" ht="20.100000000000001" customHeight="1" thickBot="1" x14ac:dyDescent="0.35">
      <c r="A152" s="2">
        <v>10</v>
      </c>
    </row>
    <row r="153" spans="1:1" ht="20.100000000000001" customHeight="1" thickBot="1" x14ac:dyDescent="0.35">
      <c r="A153" s="2">
        <v>10.25</v>
      </c>
    </row>
    <row r="154" spans="1:1" ht="20.100000000000001" customHeight="1" thickBot="1" x14ac:dyDescent="0.35">
      <c r="A154" s="2">
        <v>10.5</v>
      </c>
    </row>
    <row r="155" spans="1:1" ht="20.100000000000001" customHeight="1" thickBot="1" x14ac:dyDescent="0.35">
      <c r="A155" s="2">
        <v>10.75</v>
      </c>
    </row>
    <row r="156" spans="1:1" ht="20.100000000000001" customHeight="1" thickBot="1" x14ac:dyDescent="0.35">
      <c r="A156" s="2">
        <v>11</v>
      </c>
    </row>
    <row r="157" spans="1:1" ht="20.100000000000001" customHeight="1" thickBot="1" x14ac:dyDescent="0.35">
      <c r="A157" s="2">
        <v>11.25</v>
      </c>
    </row>
    <row r="158" spans="1:1" ht="20.100000000000001" customHeight="1" thickBot="1" x14ac:dyDescent="0.35">
      <c r="A158" s="2">
        <v>11.5</v>
      </c>
    </row>
    <row r="159" spans="1:1" ht="20.100000000000001" customHeight="1" thickBot="1" x14ac:dyDescent="0.35">
      <c r="A159" s="2">
        <v>11.75</v>
      </c>
    </row>
    <row r="160" spans="1:1" ht="20.100000000000001" customHeight="1" thickBot="1" x14ac:dyDescent="0.35">
      <c r="A160" s="2">
        <v>12</v>
      </c>
    </row>
    <row r="161" spans="1:1" ht="20.100000000000001" customHeight="1" thickBot="1" x14ac:dyDescent="0.35">
      <c r="A161" s="2">
        <v>12.25</v>
      </c>
    </row>
    <row r="162" spans="1:1" ht="20.100000000000001" customHeight="1" thickBot="1" x14ac:dyDescent="0.35">
      <c r="A162" s="2">
        <v>12.5</v>
      </c>
    </row>
    <row r="163" spans="1:1" ht="20.100000000000001" customHeight="1" thickBot="1" x14ac:dyDescent="0.35">
      <c r="A163" s="2">
        <v>12.75</v>
      </c>
    </row>
    <row r="164" spans="1:1" ht="20.100000000000001" customHeight="1" thickBot="1" x14ac:dyDescent="0.35">
      <c r="A164" s="2">
        <v>13</v>
      </c>
    </row>
    <row r="165" spans="1:1" ht="20.100000000000001" customHeight="1" thickBot="1" x14ac:dyDescent="0.35">
      <c r="A165" s="2">
        <v>13.25</v>
      </c>
    </row>
    <row r="166" spans="1:1" ht="20.100000000000001" customHeight="1" thickBot="1" x14ac:dyDescent="0.35">
      <c r="A166" s="2">
        <v>13.5</v>
      </c>
    </row>
    <row r="167" spans="1:1" ht="20.100000000000001" customHeight="1" thickBot="1" x14ac:dyDescent="0.35">
      <c r="A167" s="2">
        <v>13.75</v>
      </c>
    </row>
    <row r="168" spans="1:1" ht="20.100000000000001" customHeight="1" thickBot="1" x14ac:dyDescent="0.35">
      <c r="A168" s="2">
        <v>14</v>
      </c>
    </row>
    <row r="169" spans="1:1" ht="20.100000000000001" customHeight="1" thickBot="1" x14ac:dyDescent="0.35">
      <c r="A169" s="2">
        <v>14.25</v>
      </c>
    </row>
    <row r="170" spans="1:1" ht="20.100000000000001" customHeight="1" thickBot="1" x14ac:dyDescent="0.35">
      <c r="A170" s="2">
        <v>14.5</v>
      </c>
    </row>
    <row r="171" spans="1:1" ht="20.100000000000001" customHeight="1" thickBot="1" x14ac:dyDescent="0.35">
      <c r="A171" s="2">
        <v>14.75</v>
      </c>
    </row>
    <row r="172" spans="1:1" ht="20.100000000000001" customHeight="1" thickBot="1" x14ac:dyDescent="0.35">
      <c r="A172" s="2">
        <v>15</v>
      </c>
    </row>
    <row r="173" spans="1:1" ht="20.100000000000001" customHeight="1" thickBot="1" x14ac:dyDescent="0.35">
      <c r="A173" s="2">
        <v>15.25</v>
      </c>
    </row>
    <row r="174" spans="1:1" ht="20.100000000000001" customHeight="1" thickBot="1" x14ac:dyDescent="0.35">
      <c r="A174" s="2">
        <v>15.5</v>
      </c>
    </row>
    <row r="175" spans="1:1" ht="20.100000000000001" customHeight="1" thickBot="1" x14ac:dyDescent="0.35">
      <c r="A175" s="2">
        <v>15.75</v>
      </c>
    </row>
    <row r="176" spans="1:1" ht="20.100000000000001" customHeight="1" thickBot="1" x14ac:dyDescent="0.35">
      <c r="A176" s="2">
        <v>16</v>
      </c>
    </row>
    <row r="177" spans="1:1" ht="20.100000000000001" customHeight="1" thickBot="1" x14ac:dyDescent="0.35">
      <c r="A177" s="2">
        <v>16.25</v>
      </c>
    </row>
    <row r="178" spans="1:1" ht="20.100000000000001" customHeight="1" thickBot="1" x14ac:dyDescent="0.35">
      <c r="A178" s="2">
        <v>16.5</v>
      </c>
    </row>
    <row r="179" spans="1:1" ht="20.100000000000001" customHeight="1" thickBot="1" x14ac:dyDescent="0.35">
      <c r="A179" s="2">
        <v>16.75</v>
      </c>
    </row>
    <row r="180" spans="1:1" ht="20.100000000000001" customHeight="1" thickBot="1" x14ac:dyDescent="0.35">
      <c r="A180" s="2">
        <v>17</v>
      </c>
    </row>
    <row r="181" spans="1:1" ht="20.100000000000001" customHeight="1" thickBot="1" x14ac:dyDescent="0.35">
      <c r="A181" s="2">
        <v>17.25</v>
      </c>
    </row>
    <row r="182" spans="1:1" ht="20.100000000000001" customHeight="1" thickBot="1" x14ac:dyDescent="0.35">
      <c r="A182" s="2">
        <v>17.5</v>
      </c>
    </row>
    <row r="183" spans="1:1" ht="20.100000000000001" customHeight="1" thickBot="1" x14ac:dyDescent="0.35">
      <c r="A183" s="2">
        <v>17.75</v>
      </c>
    </row>
    <row r="184" spans="1:1" ht="20.100000000000001" customHeight="1" thickBot="1" x14ac:dyDescent="0.35">
      <c r="A184" s="2">
        <v>18</v>
      </c>
    </row>
    <row r="185" spans="1:1" ht="20.100000000000001" customHeight="1" thickBot="1" x14ac:dyDescent="0.35">
      <c r="A185" s="2">
        <v>18.25</v>
      </c>
    </row>
    <row r="186" spans="1:1" ht="20.100000000000001" customHeight="1" thickBot="1" x14ac:dyDescent="0.35">
      <c r="A186" s="2">
        <v>18.5</v>
      </c>
    </row>
    <row r="187" spans="1:1" ht="20.100000000000001" customHeight="1" thickBot="1" x14ac:dyDescent="0.35">
      <c r="A187" s="2">
        <v>18.75</v>
      </c>
    </row>
    <row r="188" spans="1:1" ht="20.100000000000001" customHeight="1" thickBot="1" x14ac:dyDescent="0.35">
      <c r="A188" s="2">
        <v>19</v>
      </c>
    </row>
    <row r="189" spans="1:1" ht="20.100000000000001" customHeight="1" thickBot="1" x14ac:dyDescent="0.35">
      <c r="A189" s="2">
        <v>19.25</v>
      </c>
    </row>
    <row r="190" spans="1:1" ht="20.100000000000001" customHeight="1" thickBot="1" x14ac:dyDescent="0.35">
      <c r="A190" s="2">
        <v>19.5</v>
      </c>
    </row>
    <row r="191" spans="1:1" ht="20.100000000000001" customHeight="1" thickBot="1" x14ac:dyDescent="0.35">
      <c r="A191" s="2">
        <v>19.75</v>
      </c>
    </row>
    <row r="192" spans="1:1" ht="20.100000000000001" customHeight="1" thickBot="1" x14ac:dyDescent="0.35">
      <c r="A192" s="2">
        <v>20</v>
      </c>
    </row>
    <row r="196" spans="1:1" ht="20.100000000000001" customHeight="1" thickBot="1" x14ac:dyDescent="0.35"/>
    <row r="197" spans="1:1" ht="20.100000000000001" customHeight="1" thickBot="1" x14ac:dyDescent="0.35">
      <c r="A19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2025-10-14T20:12:50Z</dcterms:modified>
</cp:coreProperties>
</file>