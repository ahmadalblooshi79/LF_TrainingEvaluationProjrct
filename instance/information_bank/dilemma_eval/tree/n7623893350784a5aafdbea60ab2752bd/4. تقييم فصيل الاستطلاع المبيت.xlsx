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3A886778-B647-0E45-855D-A73EC10FDF9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<sst xmlns="http://schemas.openxmlformats.org/spreadsheetml/2006/main" count="244" uniqueCount="188">
  <si>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</si>
  <si>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</si>
  <si>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</si>
  <si>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</si>
  <si>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</si>
  <si>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</si>
  <si>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</si>
  <si>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</si>
  <si>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</si>
  <si>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</si>
  <si>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</si>
  <si>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</si>
  <si>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</si>
  <si>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</si>
  <si>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</si>
  <si>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</si>
  <si>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</si>
  <si>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</si>
  <si>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</si>
  <si>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</si>
  <si>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</si>
  <si>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</si>
  <si>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</si>
  <si>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</si>
  <si>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</si>
  <si>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</si>
  <si>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</si>
  <si>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</si>
  <si>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</si>
  <si>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</si>
  <si>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</si>
  <si>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</si>
  <si>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</si>
  <si>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</si>
  <si>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</si>
  <si>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</si>
  <si>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</si>
  <si>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</si>
  <si>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</si>
  <si>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</si>
  <si>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</si>
  <si>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</si>
  <si>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</si>
  <si>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</si>
  <si>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</si>
  <si>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</si>
  <si>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</si>
  <si>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</si>
  <si>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</si>
  <si>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</si>
  <si>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</si>
  <si>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</si>
  <si>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</si>
  <si>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</si>
  <si>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</si>
  <si>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</si>
  <si>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</si>
  <si>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</si>
  <si>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</si>
  <si>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</si>
  <si>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</si>
  <si>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</si>
  <si>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</si>
  <si>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</si>
  <si>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</si>
  <si>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</si>
  <si>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</si>
  <si>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</si>
  <si>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</si>
  <si>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</si>
  <si>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</si>
  <si>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</si>
  <si>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</si>
  <si>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</si>
  <si>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</si>
  <si>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</si>
  <si>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</si>
  <si>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</si>
  <si>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</si>
  <si>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</si>
  <si>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</si>
  <si>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</si>
  <si>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</si>
  <si>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</si>
  <si>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</si>
  <si>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</si>
  <si>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</si>
  <si>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</si>
  <si>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</si>
  <si>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</si>
  <si>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</si>
  <si>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</si>
  <si>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</si>
  <si>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</si>
  <si>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</si>
  <si>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</si>
  <si>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</si>
  <si>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</si>
  <si>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</si>
  <si>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</si>
  <si>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</si>
  <si>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</si>
  <si>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</si>
  <si>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</si>
  <si>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</si>
  <si>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</si>
  <si>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</si>
  <si>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</si>
  <si>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</si>
  <si>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</si>
  <si>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</si>
  <si>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</si>
  <si>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</si>
  <si>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</si>
  <si>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</si>
  <si>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</si>
  <si>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</si>
  <si>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</si>
  <si>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</si>
  <si>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</si>
  <si>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</si>
  <si>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</si>
  <si>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</si>
  <si>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</si>
  <si>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</si>
  <si>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</si>
  <si>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</si>
  <si>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</si>
  <si>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</si>
  <si>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</si>
  <si>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</si>
  <si>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</si>
  <si>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</si>
  <si>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</si>
  <si>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</si>
  <si>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</si>
  <si>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</si>
  <si>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</si>
  <si>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</si>
  <si>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</si>
  <si>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</si>
  <si>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</si>
  <si>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</si>
  <si>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</si>
  <si>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</si>
  <si>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</si>
  <si>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</si>
  <si>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</si>
  <si>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</si>
  <si>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</si>
  <si>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</si>
  <si>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</si>
  <si>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</si>
  <si>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</si>
  <si>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</si>
  <si>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</si>
  <si>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</si>
  <si>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</si>
  <si>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</si>
  <si>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</si>
  <si>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</si>
  <si>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</si>
  <si>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</si>
  <si>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</si>
  <si>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</si>
  <si>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</si>
  <si>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</si>
  <si>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</si>
  <si>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</si>
  <si>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</si>
  <si>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</si>
  <si>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</si>
  <si>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</si>
  <si>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</si>
  <si>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</si>
  <si>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</si>
  <si>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</si>
  <si>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</si>
  <si>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</si>
  <si>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</si>
  <si>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</si>
  <si>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الفصيلة (في الوسط).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</si>
  <si>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</si>
  <si>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</si>
  <si>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</si>
  <si>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</si>
  <si>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</si>
  <si>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فصيل الاستطلاع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</si>
</sst>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109545</xdr:colOff>
      <xdr:row>17</xdr:row>
      <xdr:rowOff>443640</xdr:rowOff>
    </xdr:from>
    <xdr:to>
      <xdr:col>8</xdr:col>
      <xdr:colOff>477084</xdr:colOff>
      <xdr:row>18</xdr:row>
      <xdr:rowOff>631468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362FC84-D1FF-4819-7D13-3E9048C82AAE}"/>
                </a:ext>
              </a:extLst>
            </xdr14:cNvPr>
            <xdr14:cNvContentPartPr/>
          </xdr14:nvContentPartPr>
          <xdr14:nvPr macro=""/>
          <xdr14:xfrm>
            <a:off x="10398767825" y="6920640"/>
            <a:ext cx="1683720" cy="7189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362FC84-D1FF-4819-7D13-3E9048C82A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59185" y="6912000"/>
              <a:ext cx="1701360" cy="736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6:47:41.0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4516 743,'0'0,"0"0,0 0,0-16,0 0,0 14,0-12,0-2,0 14,0-12,-17-2,17 14,-15 4,-2-18,15 14,-12 20,-18-2,28-14,-23 12,-21 2,38-13,-14 26,-24-13,43-13,-21 26,-5-13,26-13,-7 26,-5 3,17-27,0 7,0 20,0-28,17 8,14 4,-26-14,24-4,19 18,-41-14,34-4,7 2,-43 0,38-16,20 16,-54 0,15 0,24-16,-43 13,22 6,-10-3,-15 0,27 0,-12 0,-34 16,0 0,-14-16,26 0,-22 16,-21 16,41-28,-51 24,-21 4,67-27,-58 22,8 5,52-27,-45 22,-10-11,58-14,-49 28,-9-14,56-13,-13 10,-12-13,32 0,-27 0,-2 0,26 0,-24-16,-2 0,26 14,-21 4,-8-18,29 14,-4-12,-25-2,29 13,-21-10,-6 13,25 0,-34 0,-7 0,39 0,-16 16,-23 0,41-13,-48 10,-10 3,55-13,-59 26,-13 3,70-27,-39 22,-31-11,70-13,-38 11,-15 2,55-14,-28 12,-27-14,55 0,-11 0,-11 0,28 0,-25-16,-3 0,28 13,-23-11,10-2,15 14,4-28,-2-18,0 41,0-34,32-39,-28 68,40-72,21-28,-56 95,47-47,-8-16,-44 69,40-42,4-11,-41 54,34-28,-10 6,-26 27,7-6,3 11,-13 0,12-16,-6 8,1 0,6 8,-13 0,-19 16,15-15,-13 14,-1 17,16-28,-32 24,-33 4,56-27,-44 54,-29 21,70-68,-87 56,-14 13,99-71,-68 44,3 10,67-55,-58 30,7 9,54-41,-47 18,8-25,41 0,-17 16,-10-16,32 0,-27 0,-2 16,26-13,-24 10,-2-13,26 0,-21 16,-8-16,32 0,-27 16,-19 0,40-13,-16 10,-9 3,30-13,-42 10,-4 3,42-13,-34 27,-7-14,41-14,-34 28,-38 2,67-27,-41 6,-10 5,54-14,-47 12,8 2,41-14,-34 12,-24-14,56 0,-30 0,25 0,11 0,-28-16,17-16,11 27,6-22,11-37,-12 53,30-59,30-58,-50 108,41-88,26-4,-66 95,71-95,-3 16,-68 81,37-50,15 17,-55 41,28-34,-7 25,-26 13,7-10,19 13,-26 0,7-16,-9 14,11 4,-11-2,-23 16,20 0,0-14,-31 12,-3 34,32-41,-58 34,-53 23,96-54,-79 60,-15-6,92-54,-58 61,-84 9,134-68,-107 72,6-20,109-54,-75 28,15-6,64-26,-35 4,-13 22,54-27,-47 6,8 5,41-13,-17-6,-10 19,29-13,-38-6,29 20,11-15,-28-4,17 2,11 0,-11 16,-3-16,17 0,-15 0,6 0,50 0,7-16,-41 13,65-11,89-18,-137 28,176-56,89-36,-241 81,209-98,49-15,-258 107,175-87,35-4,-217 94,77-44,266-163,-324 190,186-106,-150 77,-82 54,37-28,-20 6,-26 27,-27 10,39-5,-14 0,-23 16,6 16,12-28,-44 40,-19 20,55-54,-45 60,-24 42,67-94,-56 77,-14 17,70-94,-55 76,-12 18,67-94,-41 93,-27 1,66-94,-37 124,-28 35,67-150,-24 138,-12-5,38-133,-14 75,-7 10,26-93,10-38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C1" zoomScale="130" zoomScaleNormal="100" zoomScaleSheetLayoutView="130" workbookViewId="0">
      <selection activeCell="F2" sqref="F2:J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5" t="s">
        <v>187</v>
      </c>
      <c r="C1" s="45"/>
      <c r="D1" s="45"/>
      <c r="E1" s="45"/>
      <c r="F1" s="45"/>
      <c r="G1" s="45"/>
      <c r="H1" s="45"/>
      <c r="I1" s="45"/>
      <c r="J1" s="45"/>
    </row>
    <row r="2" spans="1:10" ht="30" customHeight="1" x14ac:dyDescent="0.2">
      <c r="B2" s="12" t="s">
        <v>8</v>
      </c>
      <c r="C2" s="51" t="s">
        <v>10</v>
      </c>
      <c r="D2" s="51"/>
      <c r="E2" s="12" t="s">
        <v>7</v>
      </c>
      <c r="F2" s="46">
        <v>45907</v>
      </c>
      <c r="G2" s="46"/>
      <c r="H2" s="46"/>
      <c r="I2" s="46"/>
      <c r="J2" s="46"/>
    </row>
    <row r="3" spans="1:10" ht="30" customHeight="1" x14ac:dyDescent="0.2">
      <c r="B3" s="12" t="s">
        <v>9</v>
      </c>
      <c r="C3" s="51" t="s">
        <v>65</v>
      </c>
      <c r="D3" s="51"/>
      <c r="E3" s="12" t="s">
        <v>6</v>
      </c>
      <c r="F3" s="51" t="s">
        <v>113</v>
      </c>
      <c r="G3" s="51"/>
      <c r="H3" s="51"/>
      <c r="I3" s="51"/>
      <c r="J3" s="5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47" t="s">
        <v>0</v>
      </c>
      <c r="C5" s="48"/>
      <c r="D5" s="48"/>
      <c r="E5" s="38" t="s">
        <v>1</v>
      </c>
      <c r="F5" s="38"/>
      <c r="G5" s="38"/>
      <c r="H5" s="38"/>
      <c r="I5" s="38" t="s">
        <v>2</v>
      </c>
      <c r="J5" s="39"/>
    </row>
    <row r="6" spans="1:10" ht="24.95" customHeight="1" thickBot="1" x14ac:dyDescent="0.25">
      <c r="A6" s="10"/>
      <c r="B6" s="49"/>
      <c r="C6" s="50"/>
      <c r="D6" s="50"/>
      <c r="E6" s="11" t="s">
        <v>3</v>
      </c>
      <c r="F6" s="11" t="s">
        <v>4</v>
      </c>
      <c r="G6" s="11" t="s">
        <v>23</v>
      </c>
      <c r="H6" s="11" t="s">
        <v>24</v>
      </c>
      <c r="I6" s="40"/>
      <c r="J6" s="41"/>
    </row>
    <row r="7" spans="1:10" ht="24.95" customHeight="1" x14ac:dyDescent="0.2">
      <c r="A7" s="10"/>
      <c r="B7" s="36" t="s">
        <v>21</v>
      </c>
      <c r="C7" s="37"/>
      <c r="D7" s="37"/>
      <c r="E7" s="27" t="s">
        <v>18</v>
      </c>
      <c r="F7" s="27" t="s">
        <v>19</v>
      </c>
      <c r="G7" s="27" t="s">
        <v>22</v>
      </c>
      <c r="H7" s="27" t="s">
        <v>20</v>
      </c>
      <c r="I7" s="42" t="s">
        <v>25</v>
      </c>
      <c r="J7" s="43"/>
    </row>
    <row r="8" spans="1:10" ht="30" customHeight="1" x14ac:dyDescent="0.2">
      <c r="A8" s="10"/>
      <c r="B8" s="35" t="s">
        <v>186</v>
      </c>
      <c r="C8" s="35"/>
      <c r="D8" s="35"/>
      <c r="E8" s="9">
        <v>5</v>
      </c>
      <c r="F8" s="26">
        <v>4</v>
      </c>
      <c r="G8" s="29">
        <f>IFERROR(F8/E8,"")</f>
        <v>0.8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44"/>
      <c r="J8" s="44"/>
    </row>
    <row r="9" spans="1:10" ht="30" customHeight="1" x14ac:dyDescent="0.2">
      <c r="A9" s="10"/>
      <c r="B9" s="35" t="s">
        <v>185</v>
      </c>
      <c r="C9" s="35"/>
      <c r="D9" s="35"/>
      <c r="E9" s="9">
        <v>5</v>
      </c>
      <c r="F9" s="26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4"/>
    </row>
    <row r="10" spans="1:10" ht="30" customHeight="1" x14ac:dyDescent="0.2">
      <c r="A10" s="10"/>
      <c r="B10" s="35" t="s">
        <v>184</v>
      </c>
      <c r="C10" s="35"/>
      <c r="D10" s="35"/>
      <c r="E10" s="9">
        <v>5</v>
      </c>
      <c r="F10" s="26">
        <v>4</v>
      </c>
      <c r="G10" s="29">
        <f t="shared" ref="G10:G14" si="0">IFERROR(F10/E10,"")</f>
        <v>0.8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4"/>
    </row>
    <row r="11" spans="1:10" ht="30" customHeight="1" x14ac:dyDescent="0.2">
      <c r="A11" s="10"/>
      <c r="B11" s="35" t="s">
        <v>183</v>
      </c>
      <c r="C11" s="35"/>
      <c r="D11" s="35"/>
      <c r="E11" s="9">
        <v>5</v>
      </c>
      <c r="F11" s="26">
        <v>4.25</v>
      </c>
      <c r="G11" s="29">
        <f t="shared" si="0"/>
        <v>0.85</v>
      </c>
      <c r="H11" s="30" t="str">
        <f t="shared" si="1"/>
        <v>جيد جداً</v>
      </c>
      <c r="I11" s="44"/>
      <c r="J11" s="44"/>
    </row>
    <row r="12" spans="1:10" ht="30" customHeight="1" x14ac:dyDescent="0.2">
      <c r="A12" s="10"/>
      <c r="B12" s="35" t="s">
        <v>182</v>
      </c>
      <c r="C12" s="35"/>
      <c r="D12" s="35"/>
      <c r="E12" s="9">
        <v>5</v>
      </c>
      <c r="F12" s="26">
        <v>4</v>
      </c>
      <c r="G12" s="29">
        <f t="shared" si="0"/>
        <v>0.8</v>
      </c>
      <c r="H12" s="30" t="str">
        <f t="shared" si="1"/>
        <v>جيد جداً</v>
      </c>
      <c r="I12" s="44"/>
      <c r="J12" s="44"/>
    </row>
    <row r="13" spans="1:10" ht="30" customHeight="1" x14ac:dyDescent="0.2">
      <c r="A13" s="10"/>
      <c r="B13" s="35" t="s">
        <v>181</v>
      </c>
      <c r="C13" s="35"/>
      <c r="D13" s="35"/>
      <c r="E13" s="9">
        <v>5</v>
      </c>
      <c r="F13" s="26">
        <v>3.5</v>
      </c>
      <c r="G13" s="29">
        <f t="shared" si="0"/>
        <v>0.7</v>
      </c>
      <c r="H13" s="30" t="str">
        <f t="shared" si="1"/>
        <v>جيد</v>
      </c>
      <c r="I13" s="44"/>
      <c r="J13" s="44"/>
    </row>
    <row r="14" spans="1:10" ht="30" customHeight="1" x14ac:dyDescent="0.2">
      <c r="A14" s="10"/>
      <c r="B14" s="35" t="s">
        <v>180</v>
      </c>
      <c r="C14" s="35"/>
      <c r="D14" s="35"/>
      <c r="E14" s="9">
        <v>5</v>
      </c>
      <c r="F14" s="26">
        <v>4</v>
      </c>
      <c r="G14" s="29">
        <f t="shared" si="0"/>
        <v>0.8</v>
      </c>
      <c r="H14" s="30" t="str">
        <f t="shared" si="1"/>
        <v>جيد جداً</v>
      </c>
      <c r="I14" s="44"/>
      <c r="J14" s="44"/>
    </row>
    <row r="15" spans="1:10" ht="30" customHeight="1" thickBot="1" x14ac:dyDescent="0.25">
      <c r="A15" s="4"/>
      <c r="B15" s="31" t="s">
        <v>5</v>
      </c>
      <c r="C15" s="32"/>
      <c r="D15" s="32"/>
      <c r="E15" s="28">
        <f>SUM(E8:E14)</f>
        <v>35</v>
      </c>
      <c r="F15" s="28">
        <f>SUM(F8:F14)</f>
        <v>27.25</v>
      </c>
      <c r="G15" s="54"/>
      <c r="H15" s="55"/>
      <c r="I15" s="55"/>
      <c r="J15" s="56"/>
    </row>
    <row r="16" spans="1:10" ht="30" customHeight="1" thickBot="1" x14ac:dyDescent="0.25">
      <c r="A16" s="4"/>
      <c r="B16" s="33" t="s">
        <v>54</v>
      </c>
      <c r="C16" s="34"/>
      <c r="D16" s="34"/>
      <c r="E16" s="63">
        <f>F15/E15/100*100</f>
        <v>0.77857142857142858</v>
      </c>
      <c r="F16" s="63"/>
      <c r="G16" s="63"/>
      <c r="H16" s="63"/>
      <c r="I16" s="63"/>
      <c r="J16" s="64"/>
    </row>
    <row r="17" spans="1:10" ht="30" customHeight="1" thickBot="1" x14ac:dyDescent="0.25">
      <c r="A17" s="4"/>
      <c r="B17" s="33" t="s">
        <v>55</v>
      </c>
      <c r="C17" s="34"/>
      <c r="D17" s="34"/>
      <c r="E17" s="61" t="str">
        <f>_xlfn.IFS(E16&gt;=90%,"ممتاز",E16&gt;=80%,"جيد جداً",E16&gt;=70%,"جيد",E16&gt;=60%,"مقبول",E16&lt;60%,"راسب")</f>
        <v>جيد</v>
      </c>
      <c r="F17" s="61"/>
      <c r="G17" s="61"/>
      <c r="H17" s="61"/>
      <c r="I17" s="61"/>
      <c r="J17" s="62"/>
    </row>
    <row r="18" spans="1:10" ht="42" customHeight="1" x14ac:dyDescent="0.2">
      <c r="B18" s="57" t="s">
        <v>174</v>
      </c>
      <c r="C18" s="57"/>
      <c r="D18" s="57"/>
      <c r="E18" s="52" t="s">
        <v>52</v>
      </c>
      <c r="F18" s="52"/>
      <c r="G18" s="59" t="s">
        <v>113</v>
      </c>
      <c r="H18" s="59"/>
      <c r="I18" s="59"/>
      <c r="J18" s="59"/>
    </row>
    <row r="19" spans="1:10" ht="51" customHeight="1" x14ac:dyDescent="0.2">
      <c r="A19" s="5"/>
      <c r="B19" s="58"/>
      <c r="C19" s="58"/>
      <c r="D19" s="58"/>
      <c r="E19" s="53" t="s">
        <v>53</v>
      </c>
      <c r="F19" s="53"/>
      <c r="G19" s="60"/>
      <c r="H19" s="60"/>
      <c r="I19" s="60"/>
      <c r="J19" s="60"/>
    </row>
  </sheetData>
  <sheetProtection formatCells="0" formatColumns="0" formatRows="0" insertColumns="0" insertRows="0" insertHyperlinks="0" deleteColumns="0" deleteRows="0" selectLockedCells="1" sort="0" autoFilter="0" pivotTables="0"/>
  <mergeCells count="35"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2025-10-06T08:22:57Z</dcterms:modified>
</cp:coreProperties>
</file>