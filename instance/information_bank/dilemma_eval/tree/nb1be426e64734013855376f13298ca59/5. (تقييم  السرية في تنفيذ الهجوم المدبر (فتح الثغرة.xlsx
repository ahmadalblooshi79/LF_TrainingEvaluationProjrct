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105" yWindow="-105" windowWidth="23250" windowHeight="12570"/>
  </bookViews>
  <sheets>
    <sheet name="قائمة التقييم" sheetId="2" r:id="rId1"/>
  </sheets>
  <definedNames>
    <definedName name="_Hlk189049083" localSheetId="0">'قائمة التقييم'!#REF!</definedName>
    <definedName name="_Hlk189049123" localSheetId="0">'قائمة التقييم'!$B$3</definedName>
    <definedName name="_xlnm.Print_Area" localSheetId="0">'قائمة التقييم'!$A$1:$J$59</definedName>
    <definedName name="_xlnm.Print_Titles" localSheetId="0">'قائمة التقييم'!$7:$7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1" i="2" l="1"/>
  <c r="H11" i="2" s="1"/>
  <c r="G12" i="2"/>
  <c r="H12" i="2" s="1"/>
  <c r="G13" i="2"/>
  <c r="H13" i="2" s="1"/>
  <c r="G14" i="2"/>
  <c r="H14" i="2" s="1"/>
  <c r="G15" i="2"/>
  <c r="H15" i="2" s="1"/>
  <c r="G16" i="2"/>
  <c r="H16" i="2" s="1"/>
  <c r="G17" i="2"/>
  <c r="H17" i="2" s="1"/>
  <c r="G18" i="2"/>
  <c r="H18" i="2" s="1"/>
  <c r="G19" i="2"/>
  <c r="H19" i="2" s="1"/>
  <c r="G20" i="2"/>
  <c r="H20" i="2" s="1"/>
  <c r="G23" i="2"/>
  <c r="H23" i="2" s="1"/>
  <c r="G24" i="2"/>
  <c r="H24" i="2" s="1"/>
  <c r="G26" i="2"/>
  <c r="H26" i="2" s="1"/>
  <c r="G27" i="2"/>
  <c r="H27" i="2" s="1"/>
  <c r="G28" i="2"/>
  <c r="H28" i="2" s="1"/>
  <c r="G29" i="2"/>
  <c r="H29" i="2" s="1"/>
  <c r="G30" i="2"/>
  <c r="H30" i="2" s="1"/>
  <c r="G31" i="2"/>
  <c r="H31" i="2" s="1"/>
  <c r="G32" i="2"/>
  <c r="H32" i="2" s="1"/>
  <c r="G33" i="2"/>
  <c r="H33" i="2" s="1"/>
  <c r="G34" i="2"/>
  <c r="H34" i="2" s="1"/>
  <c r="G36" i="2"/>
  <c r="H36" i="2" s="1"/>
  <c r="G37" i="2"/>
  <c r="H37" i="2" s="1"/>
  <c r="G38" i="2"/>
  <c r="H38" i="2" s="1"/>
  <c r="G39" i="2"/>
  <c r="H39" i="2" s="1"/>
  <c r="G40" i="2"/>
  <c r="H40" i="2" s="1"/>
  <c r="G41" i="2"/>
  <c r="H41" i="2" s="1"/>
  <c r="G42" i="2"/>
  <c r="H42" i="2" s="1"/>
  <c r="G43" i="2"/>
  <c r="H43" i="2" s="1"/>
  <c r="G44" i="2"/>
  <c r="H44" i="2" s="1"/>
  <c r="G45" i="2"/>
  <c r="H45" i="2" s="1"/>
  <c r="G46" i="2"/>
  <c r="H46" i="2" s="1"/>
  <c r="G47" i="2"/>
  <c r="H47" i="2" s="1"/>
  <c r="G49" i="2"/>
  <c r="H49" i="2" s="1"/>
  <c r="G50" i="2"/>
  <c r="H50" i="2" s="1"/>
  <c r="G51" i="2"/>
  <c r="H51" i="2" s="1"/>
  <c r="G52" i="2"/>
  <c r="H52" i="2" s="1"/>
  <c r="G53" i="2"/>
  <c r="H53" i="2" s="1"/>
  <c r="G54" i="2"/>
  <c r="H54" i="2" s="1"/>
  <c r="F55" i="2" l="1"/>
  <c r="E55" i="2" l="1"/>
  <c r="E56" i="2" l="1"/>
  <c r="E57" i="2" s="1"/>
</calcChain>
</file>

<file path=xl/sharedStrings.xml><?xml version="1.0" encoding="utf-8"?>
<sst xmlns="http://schemas.openxmlformats.org/spreadsheetml/2006/main" count="115" uniqueCount="76">
  <si>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</si>
  <si>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</si>
  <si>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</si>
  <si>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</si>
  <si>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</si>
  <si>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</si>
  <si>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</si>
  <si>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</si>
  <si>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</si>
  <si>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</si>
  <si>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(ب)</t>
  </si>
  <si>
    <t>(جـ)</t>
  </si>
  <si>
    <t>(هـ)</t>
  </si>
  <si>
    <t>( أ )</t>
  </si>
  <si>
    <t>( د )</t>
  </si>
  <si>
    <t>النسبة</t>
  </si>
  <si>
    <t>النتيجة</t>
  </si>
  <si>
    <t>( و )</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</si>
  <si>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</si>
  <si>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</si>
  <si>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</si>
  <si>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</si>
  <si>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</si>
  <si>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</si>
  <si>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أدخل اسم المحكم</t>
  </si>
  <si>
    <t>أدخل اسم قائد الوحدة الخاضعة للتقييم</t>
  </si>
  <si>
    <t>أدخل العلامة</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</si>
  <si>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</si>
  <si>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إجراءات التخطيط.</t>
  </si>
  <si>
    <t>(3)   ممرات الحركة من منطقة التجمع وحتى الأهداف.</t>
  </si>
  <si>
    <t>(4)   تأشير خط البدء وخط الانفتاح المحتمل.</t>
  </si>
  <si>
    <t>(5)   تحديد / تأشير الأماكن المحتملة أو المؤكدة لموانع العدو (حسب المعلومات الاستخبارية من المستوى الأعلى).</t>
  </si>
  <si>
    <t>(6)   تأشير الأماكن المحتملة لكمائن العدو على طول طرق الحركة.</t>
  </si>
  <si>
    <t>جـ.   الحصول على المعلومات الاستخبارية من المستوى الأعلى.</t>
  </si>
  <si>
    <t>إجراءات التحضير.</t>
  </si>
  <si>
    <t>أ.    أسلوب الحركة والتشكيلة حتى منطقة التشكيل.</t>
  </si>
  <si>
    <t>ب.  الحركة من منطقة التشكيل وحتى موقع فتح الثغرة.</t>
  </si>
  <si>
    <t>جـ.  العمل عند التماس مع العدو أثناء الحركة مثل (الكمائن، الهجمات التخريبية، القصف المدفعي، الهجوم الجوي، ... إلخ)..</t>
  </si>
  <si>
    <r>
      <t>د.   إجراءات فتح الثغرة</t>
    </r>
    <r>
      <rPr>
        <b/>
        <sz val="12"/>
        <color rgb="FF000000"/>
        <rFont val="Arial"/>
        <family val="2"/>
      </rPr>
      <t>.</t>
    </r>
  </si>
  <si>
    <t>هـ.   إجراءات السيطرة لتقديم نيران الإسناد لعناصر الهندسة.</t>
  </si>
  <si>
    <t>و.   إجراءات التنسيق مع باقي الوحدات(عناصر الهندسة، قاعدة الإسناد بالنيران، الإسناد الناري وقوات الاقتحام).</t>
  </si>
  <si>
    <t>ز.  الخطط الطارئة والتي تشمل (الهجمات المعاكسة المحتملة من قبل العدو، والهجمات من قبل أنظمة النيران غير المباشرة للعدو مثل المدفعية، الصواريخ، الطائرات العمودية الهجومية، والقدرات الجوية الأُخرى).</t>
  </si>
  <si>
    <t>إجراءات التنفيذ.</t>
  </si>
  <si>
    <t>أ.    يتحرك أحد فصائل السرية ويجتاز الثغرة بتشكيلة خط منفرد تحت إسناد بقية الفصائل ورماية الهاون ويحتل مواقع رمي على الطرف البعيد.</t>
  </si>
  <si>
    <t>ب.    تتحرك باقي فصائل السرية وتستكمل عملية الحماية على الجانب البعيد من المانع.</t>
  </si>
  <si>
    <r>
      <t>1.</t>
    </r>
    <r>
      <rPr>
        <sz val="7"/>
        <color theme="1"/>
        <rFont val="Arial"/>
        <family val="2"/>
      </rPr>
      <t xml:space="preserve"> </t>
    </r>
    <r>
      <rPr>
        <sz val="12"/>
        <color rgb="FF000000"/>
        <rFont val="Arial"/>
        <family val="2"/>
      </rPr>
      <t xml:space="preserve">   تستلم السرية أمر العمليات من المستوى الأعلى ويتم القيام بما يلي:</t>
    </r>
  </si>
  <si>
    <r>
      <t>أ‌.</t>
    </r>
    <r>
      <rPr>
        <sz val="7"/>
        <color rgb="FF000000"/>
        <rFont val="Arial"/>
        <family val="2"/>
      </rPr>
      <t xml:space="preserve">      </t>
    </r>
    <r>
      <rPr>
        <sz val="12"/>
        <color rgb="FF000000"/>
        <rFont val="Arial"/>
        <family val="2"/>
      </rPr>
      <t xml:space="preserve">   البدء بإجراءات التخطيط من خلال إجراءات المعركة الثمانية </t>
    </r>
    <r>
      <rPr>
        <sz val="12"/>
        <color theme="1"/>
        <rFont val="Arial"/>
        <family val="2"/>
      </rPr>
      <t>(استلام المهمة - إصدار الأمر الإنذاري - عمل خطة أولية - بدء الحركة – الاستطلاع - إكمال الخطة - إصدار الأمر – الإشراف والمراقبة)</t>
    </r>
    <r>
      <rPr>
        <sz val="12"/>
        <color rgb="FF000000"/>
        <rFont val="Arial"/>
        <family val="2"/>
      </rPr>
      <t>.</t>
    </r>
  </si>
  <si>
    <r>
      <t>ب‌.</t>
    </r>
    <r>
      <rPr>
        <sz val="7"/>
        <color rgb="FF000000"/>
        <rFont val="Arial"/>
        <family val="2"/>
      </rPr>
      <t xml:space="preserve">    </t>
    </r>
    <r>
      <rPr>
        <sz val="12"/>
        <color rgb="FF000000"/>
        <rFont val="Arial"/>
        <family val="2"/>
      </rPr>
      <t xml:space="preserve"> تنفيذ الاستطلاع من الخارطة وتحديد ما يلي بشكل أولي:</t>
    </r>
  </si>
  <si>
    <r>
      <t>(1)</t>
    </r>
    <r>
      <rPr>
        <sz val="7"/>
        <color rgb="FF000000"/>
        <rFont val="Arial"/>
        <family val="2"/>
      </rPr>
      <t xml:space="preserve">  </t>
    </r>
    <r>
      <rPr>
        <sz val="12"/>
        <color rgb="FF000000"/>
        <rFont val="Arial"/>
        <family val="2"/>
      </rPr>
      <t xml:space="preserve"> مناطق التجمع للفصائل والوحدات المساندة للسرايا.</t>
    </r>
  </si>
  <si>
    <r>
      <t>(2)</t>
    </r>
    <r>
      <rPr>
        <sz val="7"/>
        <color rgb="FF000000"/>
        <rFont val="Arial"/>
        <family val="2"/>
      </rPr>
      <t xml:space="preserve">  </t>
    </r>
    <r>
      <rPr>
        <sz val="12"/>
        <color rgb="FF000000"/>
        <rFont val="Arial"/>
        <family val="2"/>
      </rPr>
      <t xml:space="preserve"> طرق الحركة لمنطقة التجمع.</t>
    </r>
  </si>
  <si>
    <r>
      <t>2.</t>
    </r>
    <r>
      <rPr>
        <sz val="7"/>
        <color theme="1"/>
        <rFont val="Arial"/>
        <family val="2"/>
      </rPr>
      <t xml:space="preserve"> </t>
    </r>
    <r>
      <rPr>
        <sz val="12"/>
        <color rgb="FF000000"/>
        <rFont val="Arial"/>
        <family val="2"/>
      </rPr>
      <t xml:space="preserve">  إصدار أمر العمليات للوحدات المرؤوسة، وتقديم ايجازات تأكيدية من قبل القادة المرؤوسين للتأكد من أنهم يفهمون قصد قائد السرية ومفهوم عملياته.</t>
    </r>
  </si>
  <si>
    <r>
      <t>1.</t>
    </r>
    <r>
      <rPr>
        <sz val="7"/>
        <color rgb="FF000000"/>
        <rFont val="Arial"/>
        <family val="2"/>
      </rPr>
      <t xml:space="preserve">   </t>
    </r>
    <r>
      <rPr>
        <sz val="12"/>
        <color rgb="FF000000"/>
        <rFont val="Arial"/>
        <family val="2"/>
      </rPr>
      <t xml:space="preserve">  تنقيح الخطة بناءً على الاستخبارات المحدثة باستمرار. </t>
    </r>
  </si>
  <si>
    <r>
      <t>2.</t>
    </r>
    <r>
      <rPr>
        <sz val="7"/>
        <color rgb="FF000000"/>
        <rFont val="Arial"/>
        <family val="2"/>
      </rPr>
      <t xml:space="preserve">   </t>
    </r>
    <r>
      <rPr>
        <sz val="12"/>
        <color rgb="FF000000"/>
        <rFont val="Arial"/>
        <family val="2"/>
      </rPr>
      <t xml:space="preserve">  الإشراف على إجراءات المعركة للفصائل لضمان أن إجراءات التخطيط والتحضير تتم بطريقة صحيحة وتتفق مع قصد القائد.</t>
    </r>
  </si>
  <si>
    <r>
      <t>3.</t>
    </r>
    <r>
      <rPr>
        <sz val="7"/>
        <color theme="1"/>
        <rFont val="Arial"/>
        <family val="2"/>
      </rPr>
      <t xml:space="preserve">  </t>
    </r>
    <r>
      <rPr>
        <sz val="12"/>
        <color rgb="FF000000"/>
        <rFont val="Arial"/>
        <family val="2"/>
      </rPr>
      <t xml:space="preserve">  تنفيذ التجارب على إجراءات فتح الثغرة بمشاركة جميع العناصر المعنية بفتح الثغرة (الهندسة، وحدات المناورة، النيران) وذلك لضمان توحيد وتنسيق الإجراءات بين جميع العناصر، ويتم التركيز خلال التجارب على ما يلي:</t>
    </r>
    <r>
      <rPr>
        <sz val="14"/>
        <color theme="1"/>
        <rFont val="Arial"/>
        <family val="2"/>
      </rPr>
      <t xml:space="preserve">  </t>
    </r>
  </si>
  <si>
    <r>
      <t>4.</t>
    </r>
    <r>
      <rPr>
        <sz val="7"/>
        <color theme="1"/>
        <rFont val="Arial"/>
        <family val="2"/>
      </rPr>
      <t xml:space="preserve">  </t>
    </r>
    <r>
      <rPr>
        <sz val="12"/>
        <color rgb="FF000000"/>
        <rFont val="Arial"/>
        <family val="2"/>
      </rPr>
      <t xml:space="preserve">  إجراء التعديلات على الخطة بناءً على التجارب وحسب الحاجة.</t>
    </r>
  </si>
  <si>
    <r>
      <t>5.</t>
    </r>
    <r>
      <rPr>
        <sz val="7"/>
        <color theme="1"/>
        <rFont val="Arial"/>
        <family val="2"/>
      </rPr>
      <t xml:space="preserve">  </t>
    </r>
    <r>
      <rPr>
        <sz val="12"/>
        <color rgb="FF000000"/>
        <rFont val="Arial"/>
        <family val="2"/>
      </rPr>
      <t>توضيع القوات للحركة إلى منطقة التجمع.</t>
    </r>
  </si>
  <si>
    <r>
      <t>1.</t>
    </r>
    <r>
      <rPr>
        <sz val="7"/>
        <color rgb="FF000000"/>
        <rFont val="Arial"/>
        <family val="2"/>
      </rPr>
      <t xml:space="preserve">   </t>
    </r>
    <r>
      <rPr>
        <sz val="12"/>
        <color rgb="FF000000"/>
        <rFont val="Arial"/>
        <family val="2"/>
      </rPr>
      <t xml:space="preserve">    بالأمر أو حسب التوقيتات الموضوعة في أمر العمليات، تتحرك السرية من منطقة التجمع إلى منطقة التشكيل بأسلوب حركة وتشكيلة مناسبين.</t>
    </r>
  </si>
  <si>
    <r>
      <t>2.</t>
    </r>
    <r>
      <rPr>
        <sz val="7"/>
        <color rgb="FF000000"/>
        <rFont val="Arial"/>
        <family val="2"/>
      </rPr>
      <t xml:space="preserve">   </t>
    </r>
    <r>
      <rPr>
        <sz val="12"/>
        <color rgb="FF000000"/>
        <rFont val="Arial"/>
        <family val="2"/>
      </rPr>
      <t xml:space="preserve">   يسيطر قائد السرية على الحركة على طول الطريق ويعدل التشكيلة وأسلوب الحركة والسرعة والمسافة بين الوحدات حسب طبيعة الأرض والموقف.</t>
    </r>
  </si>
  <si>
    <r>
      <t>3.</t>
    </r>
    <r>
      <rPr>
        <sz val="7"/>
        <color rgb="FF000000"/>
        <rFont val="Arial"/>
        <family val="2"/>
      </rPr>
      <t xml:space="preserve">   </t>
    </r>
    <r>
      <rPr>
        <sz val="12"/>
        <color rgb="FF000000"/>
        <rFont val="Arial"/>
        <family val="2"/>
      </rPr>
      <t xml:space="preserve">  تطبيق إجراءات التماس مع العدو إذا حصل أثناء الحركة.</t>
    </r>
  </si>
  <si>
    <r>
      <t>4.</t>
    </r>
    <r>
      <rPr>
        <sz val="7"/>
        <color rgb="FF000000"/>
        <rFont val="Arial"/>
        <family val="2"/>
      </rPr>
      <t xml:space="preserve">   </t>
    </r>
    <r>
      <rPr>
        <sz val="12"/>
        <color rgb="FF000000"/>
        <rFont val="Arial"/>
        <family val="2"/>
      </rPr>
      <t xml:space="preserve">  على مسافة (6 – 8) كم من الحد الأمامي لمنطقة معركة العدو، تبدأ السرية بالتحول من تشكيل المسير إلى تشكيل ما قبل المعركة (خط الفتح التعبوي) (التحول من تشكيل ارتال كتائب الى ارتال سرايا).</t>
    </r>
  </si>
  <si>
    <r>
      <t>5.</t>
    </r>
    <r>
      <rPr>
        <sz val="7"/>
        <color rgb="FF000000"/>
        <rFont val="Arial"/>
        <family val="2"/>
      </rPr>
      <t xml:space="preserve">   </t>
    </r>
    <r>
      <rPr>
        <sz val="12"/>
        <color rgb="FF000000"/>
        <rFont val="Arial"/>
        <family val="2"/>
      </rPr>
      <t xml:space="preserve">   قبل الوصول إلى منطقة التشكيل تنفصل قوة الإسناد وتحتل مواقعها (قاعدة الإسناد بالنيران).</t>
    </r>
  </si>
  <si>
    <r>
      <t>6.</t>
    </r>
    <r>
      <rPr>
        <sz val="7"/>
        <color rgb="FF000000"/>
        <rFont val="Arial"/>
        <family val="2"/>
      </rPr>
      <t xml:space="preserve">   </t>
    </r>
    <r>
      <rPr>
        <sz val="12"/>
        <color rgb="FF000000"/>
        <rFont val="Arial"/>
        <family val="2"/>
      </rPr>
      <t xml:space="preserve">  عندما تبدأ قاعدة الإسناد والنيران غير المباشرة بتقديم الإسناد وإسكات قوات العدو، يتحرك قائد قوة فتح الثغرة (قائد السرية) مع عنصر الأمن والحماية، لتأسيس الحماية على الجانب القريب من المانع.</t>
    </r>
  </si>
  <si>
    <r>
      <t>7.</t>
    </r>
    <r>
      <rPr>
        <sz val="7"/>
        <color rgb="FF000000"/>
        <rFont val="Arial"/>
        <family val="2"/>
      </rPr>
      <t xml:space="preserve">   </t>
    </r>
    <r>
      <rPr>
        <sz val="12"/>
        <color rgb="FF000000"/>
        <rFont val="Arial"/>
        <family val="2"/>
      </rPr>
      <t xml:space="preserve">  عندما ينفتح عنصر الأمن والحماية في موقعه، يقوم قائد عنصر فتح الثغرة (ضابط الهندسة) بإجراء استطلاع للحصول على معلومات المانع ويؤكد/ يدقق خطته لفتح الثغرة في المانع.</t>
    </r>
  </si>
  <si>
    <r>
      <t>8.</t>
    </r>
    <r>
      <rPr>
        <sz val="7"/>
        <color rgb="FF000000"/>
        <rFont val="Arial"/>
        <family val="2"/>
      </rPr>
      <t xml:space="preserve">   </t>
    </r>
    <r>
      <rPr>
        <sz val="12"/>
        <color rgb="FF000000"/>
        <rFont val="Arial"/>
        <family val="2"/>
      </rPr>
      <t xml:space="preserve">  يقوم قائد عنصر فتح الثغرة بالإبلاغ بدقة عن مكان فتح الثغرة، والوقت المقدر لفتح الثغرة، والتأكد من تطهيره وتأشيره.</t>
    </r>
  </si>
  <si>
    <r>
      <t>9.</t>
    </r>
    <r>
      <rPr>
        <sz val="7"/>
        <color rgb="FF000000"/>
        <rFont val="Arial"/>
        <family val="2"/>
      </rPr>
      <t xml:space="preserve">   </t>
    </r>
    <r>
      <rPr>
        <sz val="12"/>
        <color rgb="FF000000"/>
        <rFont val="Arial"/>
        <family val="2"/>
      </rPr>
      <t xml:space="preserve">  تتحرك وحدات الحماية لاحتلال مواقع لها في الجانب القريب من المانع وتبدأ بمشاغلة قوات العدو في المنطقة البعيدة للمانع للتقليل من تدخل العدو في عملية فتح الثغرة وتوفير الحماية لعناصر فتح الثغرة.</t>
    </r>
  </si>
  <si>
    <r>
      <t>10.</t>
    </r>
    <r>
      <rPr>
        <sz val="7"/>
        <color rgb="FF000000"/>
        <rFont val="Arial"/>
        <family val="2"/>
      </rPr>
      <t xml:space="preserve">    </t>
    </r>
    <r>
      <rPr>
        <sz val="12"/>
        <color rgb="FF000000"/>
        <rFont val="Arial"/>
        <family val="2"/>
      </rPr>
      <t xml:space="preserve">  تتحرك قوة فتح الثغرة (تتكون من قدرات ومعدات هندسية لفتح الثغرة وجماعة هندسة ميدان لأغراض التأشير وخدمات الإسناد الفني والطبي والشرطة العسكرية) باتجاه حقل الألغام تحت إسناد عناصر الحماية.</t>
    </r>
  </si>
  <si>
    <r>
      <t>11.</t>
    </r>
    <r>
      <rPr>
        <sz val="7"/>
        <color rgb="FF000000"/>
        <rFont val="Arial"/>
        <family val="2"/>
      </rPr>
      <t xml:space="preserve">    </t>
    </r>
    <r>
      <rPr>
        <sz val="12"/>
        <color rgb="FF000000"/>
        <rFont val="Arial"/>
        <family val="2"/>
      </rPr>
      <t xml:space="preserve">  تقوم عناصر الهندسة بفتح الثغرات في حقل الألغام. </t>
    </r>
  </si>
  <si>
    <r>
      <t>12.</t>
    </r>
    <r>
      <rPr>
        <sz val="7"/>
        <color rgb="FF000000"/>
        <rFont val="Arial"/>
        <family val="2"/>
      </rPr>
      <t xml:space="preserve">    </t>
    </r>
    <r>
      <rPr>
        <sz val="12"/>
        <color rgb="FF000000"/>
        <rFont val="Arial"/>
        <family val="2"/>
      </rPr>
      <t xml:space="preserve">  تستمر فصائل السرية بتأمين الحماية القريبة لقوة فتح الثغرة أثناء تنفيذها.</t>
    </r>
  </si>
  <si>
    <r>
      <t>13.</t>
    </r>
    <r>
      <rPr>
        <sz val="7"/>
        <color rgb="FF000000"/>
        <rFont val="Arial"/>
        <family val="2"/>
      </rPr>
      <t xml:space="preserve">    </t>
    </r>
    <r>
      <rPr>
        <sz val="12"/>
        <color rgb="FF000000"/>
        <rFont val="Arial"/>
        <family val="2"/>
      </rPr>
      <t xml:space="preserve"> عند اكتمال فتح الثغرة يؤسس قائد قوة فتح الثغرة الأمن والحماية المحلية على الجانب البعيد من المانع كما يلي: </t>
    </r>
  </si>
  <si>
    <r>
      <t>14.</t>
    </r>
    <r>
      <rPr>
        <sz val="7"/>
        <color rgb="FF000000"/>
        <rFont val="Arial"/>
        <family val="2"/>
      </rPr>
      <t xml:space="preserve">    </t>
    </r>
    <r>
      <rPr>
        <sz val="12"/>
        <color rgb="FF000000"/>
        <rFont val="Arial"/>
        <family val="2"/>
      </rPr>
      <t xml:space="preserve">  يبلغ قائد السرية قيادة الكتيبة/ مجموعة القتال عن الانتهاء من عملية فتح الثغرة باستخدام اجهزة الاتصالات والوسائل الاخرى.</t>
    </r>
  </si>
  <si>
    <r>
      <t>15.</t>
    </r>
    <r>
      <rPr>
        <sz val="7"/>
        <color rgb="FF000000"/>
        <rFont val="Arial"/>
        <family val="2"/>
      </rPr>
      <t xml:space="preserve">    </t>
    </r>
    <r>
      <rPr>
        <sz val="12"/>
        <color rgb="FF000000"/>
        <rFont val="Arial"/>
        <family val="2"/>
      </rPr>
      <t xml:space="preserve">  تقوم قوة الاقتحام بالتحرك من خلال الثغرات وبإسناد من قوة فتح الثغرة وتقتحم أهداف العدو وحسب الخطة الموضوعة.</t>
    </r>
  </si>
  <si>
    <r>
      <t>16.</t>
    </r>
    <r>
      <rPr>
        <sz val="7"/>
        <color rgb="FF000000"/>
        <rFont val="Arial"/>
        <family val="2"/>
      </rPr>
      <t xml:space="preserve">    </t>
    </r>
    <r>
      <rPr>
        <sz val="12"/>
        <color rgb="FF000000"/>
        <rFont val="Arial"/>
        <family val="2"/>
      </rPr>
      <t xml:space="preserve">  بعد انتهاء مرحلة الاقتحام والتوسع على الهدف، تستعد قوة فتح الثغرة للتحرك للأمام للالتحاق بالكتيبة/ مجموعة القتال. </t>
    </r>
  </si>
  <si>
    <r>
      <t>17.</t>
    </r>
    <r>
      <rPr>
        <sz val="7"/>
        <color rgb="FF000000"/>
        <rFont val="Arial"/>
        <family val="2"/>
      </rPr>
      <t xml:space="preserve">    </t>
    </r>
    <r>
      <rPr>
        <sz val="12"/>
        <color rgb="FF000000"/>
        <rFont val="Arial"/>
        <family val="2"/>
      </rPr>
      <t xml:space="preserve"> التثبت وإعادة التنظيم والاستعداد للعمليات المستقبلية.</t>
    </r>
  </si>
  <si>
    <t>ملاحظة: يتم التخطيط لهذا الواجب بنفس الأسلوب وبنفس الإجراءات للهجوم المدبر.</t>
  </si>
  <si>
    <t>ملاحظة: يتم التحضير للهجوم في منطقة الحشد قبل الحركة إلى منطقة التجمع ويشمل التحضير الأفراد والمعدات والأسلحة والآليات ويتم تنفيذ الإجراءات التالية:</t>
  </si>
  <si>
    <t>تقييم  السرية في تنفيذ الهجوم المدبر (فتح الثغرة)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</si>
</sst>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10C0000]d\ mmmm\ yyyy;@"/>
  </numFmts>
  <fonts count="14"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b/>
      <u/>
      <sz val="14"/>
      <color rgb="FF000000"/>
      <name val="Arial"/>
      <family val="2"/>
    </font>
    <font>
      <b/>
      <sz val="14"/>
      <color rgb="FF000000"/>
      <name val="Arial"/>
      <family val="2"/>
    </font>
    <font>
      <b/>
      <sz val="14"/>
      <color theme="1"/>
      <name val="Arial"/>
      <family val="2"/>
    </font>
    <font>
      <sz val="14"/>
      <color rgb="FF000000"/>
      <name val="Arial"/>
      <family val="2"/>
    </font>
    <font>
      <sz val="12"/>
      <color rgb="FF000000"/>
      <name val="Arial"/>
      <family val="2"/>
    </font>
    <font>
      <sz val="14"/>
      <color theme="1"/>
      <name val="Arial"/>
      <family val="2"/>
    </font>
    <font>
      <sz val="12"/>
      <color theme="1"/>
      <name val="Arial"/>
      <family val="2"/>
    </font>
    <font>
      <sz val="10"/>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theme="4" tint="0.59999389629810485"/>
        <bgColor indexed="64"/>
      </patternFill>
    </fill>
  </fills>
  <borders count="25">
    <border>
      <left/>
      <right/>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1">
    <xf numFmtId="0" fontId="0" fillId="0" borderId="0"/>
  </cellStyleXfs>
  <cellXfs count="74">
    <xf numFmtId="0" fontId="0" fillId="0" borderId="0" xfId="0"/>
    <xf numFmtId="0" fontId="0" fillId="0" borderId="0" xfId="0" applyProtection="1">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5" fillId="0" borderId="0" xfId="0" applyFont="1" applyAlignment="1" applyProtection="1">
      <alignment vertical="center" wrapText="1" readingOrder="2"/>
      <protection locked="0"/>
    </xf>
    <xf numFmtId="0" fontId="5" fillId="0" borderId="0" xfId="0" applyFont="1" applyAlignment="1" applyProtection="1">
      <alignment horizontal="right" vertical="center" wrapText="1" readingOrder="2"/>
      <protection locked="0"/>
    </xf>
    <xf numFmtId="0" fontId="5" fillId="0" borderId="0" xfId="0" applyFont="1" applyAlignment="1" applyProtection="1">
      <alignment horizontal="center" vertical="center" wrapText="1" readingOrder="2"/>
      <protection locked="0"/>
    </xf>
    <xf numFmtId="0" fontId="2" fillId="0" borderId="2"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5" fillId="3" borderId="11" xfId="0" applyFont="1" applyFill="1" applyBorder="1" applyAlignment="1" applyProtection="1">
      <alignment horizontal="center" vertical="center" wrapText="1" readingOrder="2"/>
      <protection locked="0"/>
    </xf>
    <xf numFmtId="0" fontId="5" fillId="3" borderId="2" xfId="0" applyFont="1" applyFill="1" applyBorder="1" applyAlignment="1" applyProtection="1">
      <alignment vertical="center" wrapText="1" readingOrder="2"/>
      <protection locked="0"/>
    </xf>
    <xf numFmtId="0" fontId="3" fillId="0" borderId="2" xfId="0" applyFont="1" applyBorder="1" applyAlignment="1" applyProtection="1">
      <alignment horizontal="center" vertical="center" wrapText="1" readingOrder="2"/>
      <protection locked="0"/>
    </xf>
    <xf numFmtId="0" fontId="3" fillId="0" borderId="11" xfId="0" applyFont="1" applyBorder="1" applyAlignment="1" applyProtection="1">
      <alignment horizontal="center" vertical="center" wrapText="1" readingOrder="2"/>
      <protection locked="0"/>
    </xf>
    <xf numFmtId="0" fontId="5" fillId="3" borderId="15" xfId="0" applyFont="1" applyFill="1" applyBorder="1" applyAlignment="1" applyProtection="1">
      <alignment horizontal="center" vertical="center" wrapText="1" readingOrder="2"/>
      <protection locked="0"/>
    </xf>
    <xf numFmtId="0" fontId="2" fillId="0" borderId="18" xfId="0" applyFont="1" applyBorder="1" applyAlignment="1">
      <alignment horizontal="center" vertical="center" wrapText="1" readingOrder="2"/>
    </xf>
    <xf numFmtId="9" fontId="3" fillId="0" borderId="2" xfId="0" applyNumberFormat="1" applyFont="1" applyBorder="1" applyAlignment="1">
      <alignment horizontal="center" vertical="center" wrapText="1" readingOrder="2"/>
    </xf>
    <xf numFmtId="0" fontId="2" fillId="0" borderId="2" xfId="0" applyFont="1" applyBorder="1" applyAlignment="1">
      <alignment horizontal="center" vertical="center" wrapText="1" readingOrder="1"/>
    </xf>
    <xf numFmtId="0" fontId="11" fillId="0" borderId="2" xfId="0" applyFont="1" applyBorder="1" applyAlignment="1">
      <alignment vertical="center" wrapText="1"/>
    </xf>
    <xf numFmtId="0" fontId="2" fillId="0" borderId="11" xfId="0" applyFont="1" applyBorder="1" applyAlignment="1">
      <alignment horizontal="center" vertical="center" wrapText="1" readingOrder="2"/>
    </xf>
    <xf numFmtId="9" fontId="3" fillId="0" borderId="11" xfId="0" applyNumberFormat="1" applyFont="1" applyBorder="1" applyAlignment="1">
      <alignment horizontal="center" vertical="center" wrapText="1" readingOrder="2"/>
    </xf>
    <xf numFmtId="0" fontId="2" fillId="0" borderId="11" xfId="0" applyFont="1" applyBorder="1" applyAlignment="1">
      <alignment horizontal="center" vertical="center" wrapText="1" readingOrder="1"/>
    </xf>
    <xf numFmtId="0" fontId="2" fillId="0" borderId="11" xfId="0" applyFont="1" applyBorder="1" applyAlignment="1">
      <alignment horizontal="center" vertical="center" wrapText="1"/>
    </xf>
    <xf numFmtId="0" fontId="8" fillId="0" borderId="21" xfId="0" applyFont="1" applyBorder="1" applyAlignment="1">
      <alignment horizontal="right" vertical="center" wrapText="1" readingOrder="2"/>
    </xf>
    <xf numFmtId="0" fontId="8" fillId="0" borderId="2" xfId="0" applyFont="1" applyBorder="1" applyAlignment="1">
      <alignment horizontal="right" vertical="center" wrapText="1" readingOrder="2"/>
    </xf>
    <xf numFmtId="0" fontId="8" fillId="0" borderId="10" xfId="0" applyFont="1" applyBorder="1" applyAlignment="1">
      <alignment horizontal="right" vertical="center" wrapText="1" readingOrder="2"/>
    </xf>
    <xf numFmtId="0" fontId="8" fillId="0" borderId="11" xfId="0" applyFont="1" applyBorder="1" applyAlignment="1">
      <alignment horizontal="right" vertical="center" wrapText="1" readingOrder="2"/>
    </xf>
    <xf numFmtId="0" fontId="1" fillId="4" borderId="22" xfId="0" applyFont="1" applyFill="1" applyBorder="1" applyAlignment="1">
      <alignment horizontal="right" vertical="center" wrapText="1" readingOrder="2"/>
    </xf>
    <xf numFmtId="0" fontId="1" fillId="4" borderId="23" xfId="0" applyFont="1" applyFill="1" applyBorder="1" applyAlignment="1">
      <alignment horizontal="right" vertical="center" wrapText="1" readingOrder="2"/>
    </xf>
    <xf numFmtId="0" fontId="1" fillId="4" borderId="24" xfId="0" applyFont="1" applyFill="1" applyBorder="1" applyAlignment="1">
      <alignment horizontal="right" vertical="center" wrapText="1" readingOrder="2"/>
    </xf>
    <xf numFmtId="0" fontId="8" fillId="0" borderId="21" xfId="0" applyFont="1" applyBorder="1" applyAlignment="1">
      <alignment horizontal="right" vertical="center" wrapText="1" indent="2" readingOrder="2"/>
    </xf>
    <xf numFmtId="0" fontId="8" fillId="0" borderId="2" xfId="0" applyFont="1" applyBorder="1" applyAlignment="1">
      <alignment horizontal="right" vertical="center" wrapText="1" indent="2" readingOrder="2"/>
    </xf>
    <xf numFmtId="0" fontId="9" fillId="0" borderId="21" xfId="0" applyFont="1" applyBorder="1" applyAlignment="1">
      <alignment horizontal="right" vertical="center" wrapText="1" readingOrder="2"/>
    </xf>
    <xf numFmtId="0" fontId="9" fillId="0" borderId="2" xfId="0" applyFont="1" applyBorder="1" applyAlignment="1">
      <alignment horizontal="right" vertical="center" wrapText="1" readingOrder="2"/>
    </xf>
    <xf numFmtId="0" fontId="9" fillId="0" borderId="10" xfId="0" applyFont="1" applyBorder="1" applyAlignment="1">
      <alignment horizontal="right" vertical="center" wrapText="1" readingOrder="2"/>
    </xf>
    <xf numFmtId="0" fontId="9" fillId="0" borderId="11" xfId="0" applyFont="1" applyBorder="1" applyAlignment="1">
      <alignment horizontal="right" vertical="center" wrapText="1" readingOrder="2"/>
    </xf>
    <xf numFmtId="0" fontId="8" fillId="0" borderId="21" xfId="0" applyFont="1" applyBorder="1" applyAlignment="1">
      <alignment horizontal="right" vertical="center" wrapText="1" indent="4" readingOrder="2"/>
    </xf>
    <xf numFmtId="0" fontId="8" fillId="0" borderId="2" xfId="0" applyFont="1" applyBorder="1" applyAlignment="1">
      <alignment horizontal="right" vertical="center" wrapText="1" indent="4" readingOrder="2"/>
    </xf>
    <xf numFmtId="0" fontId="3" fillId="0" borderId="2"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3" fillId="0" borderId="11"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5" fillId="3" borderId="17" xfId="0" applyFont="1" applyFill="1" applyBorder="1" applyAlignment="1" applyProtection="1">
      <alignment horizontal="center" vertical="center" wrapText="1" readingOrder="2"/>
      <protection locked="0"/>
    </xf>
    <xf numFmtId="0" fontId="5" fillId="3" borderId="18" xfId="0" applyFont="1" applyFill="1" applyBorder="1" applyAlignment="1" applyProtection="1">
      <alignment horizontal="center" vertical="center" wrapText="1" readingOrder="2"/>
      <protection locked="0"/>
    </xf>
    <xf numFmtId="0" fontId="5" fillId="3" borderId="7" xfId="0" applyFont="1" applyFill="1" applyBorder="1" applyAlignment="1" applyProtection="1">
      <alignment horizontal="center" vertical="center" wrapText="1" readingOrder="2"/>
      <protection locked="0"/>
    </xf>
    <xf numFmtId="0" fontId="5" fillId="3" borderId="8" xfId="0" applyFont="1" applyFill="1" applyBorder="1" applyAlignment="1" applyProtection="1">
      <alignment horizontal="center" vertical="center" wrapText="1" readingOrder="2"/>
      <protection locked="0"/>
    </xf>
    <xf numFmtId="0" fontId="4" fillId="0" borderId="1" xfId="0" applyFont="1" applyBorder="1" applyAlignment="1" applyProtection="1">
      <alignment vertical="top" wrapText="1" readingOrder="2"/>
      <protection locked="0"/>
    </xf>
    <xf numFmtId="0" fontId="4" fillId="0" borderId="0" xfId="0" applyFont="1" applyBorder="1" applyAlignment="1" applyProtection="1">
      <alignment vertical="top" wrapText="1" readingOrder="2"/>
      <protection locked="0"/>
    </xf>
    <xf numFmtId="0" fontId="5" fillId="0" borderId="0" xfId="0" applyFont="1" applyBorder="1" applyAlignment="1" applyProtection="1">
      <alignment horizontal="right" vertical="center" wrapText="1" readingOrder="2"/>
      <protection locked="0"/>
    </xf>
    <xf numFmtId="0" fontId="5" fillId="0" borderId="0" xfId="0" applyFont="1" applyAlignment="1" applyProtection="1">
      <alignment horizontal="center" vertical="center" wrapText="1" readingOrder="2"/>
      <protection locked="0"/>
    </xf>
    <xf numFmtId="0" fontId="2" fillId="0" borderId="8" xfId="0" applyFont="1" applyBorder="1" applyAlignment="1">
      <alignment horizontal="center" vertical="center" wrapText="1" readingOrder="1"/>
    </xf>
    <xf numFmtId="0" fontId="2" fillId="0" borderId="9" xfId="0" applyFont="1" applyBorder="1" applyAlignment="1">
      <alignment horizontal="center" vertical="center" wrapText="1" readingOrder="1"/>
    </xf>
    <xf numFmtId="164" fontId="5" fillId="0" borderId="2" xfId="0" applyNumberFormat="1" applyFont="1" applyBorder="1" applyAlignment="1" applyProtection="1">
      <alignment horizontal="right" vertical="center" wrapText="1" readingOrder="2"/>
      <protection locked="0"/>
    </xf>
    <xf numFmtId="0" fontId="6" fillId="3" borderId="4" xfId="0" applyFont="1" applyFill="1" applyBorder="1" applyAlignment="1" applyProtection="1">
      <alignment horizontal="center" vertical="center" wrapText="1" readingOrder="2"/>
      <protection locked="0"/>
    </xf>
    <xf numFmtId="0" fontId="6" fillId="3" borderId="3" xfId="0" applyFont="1" applyFill="1" applyBorder="1" applyAlignment="1" applyProtection="1">
      <alignment horizontal="center" vertical="center" wrapText="1" readingOrder="2"/>
      <protection locked="0"/>
    </xf>
    <xf numFmtId="0" fontId="6" fillId="3" borderId="10" xfId="0" applyFont="1" applyFill="1" applyBorder="1" applyAlignment="1" applyProtection="1">
      <alignment horizontal="center" vertical="center" wrapText="1" readingOrder="2"/>
      <protection locked="0"/>
    </xf>
    <xf numFmtId="0" fontId="6" fillId="3" borderId="11" xfId="0" applyFont="1" applyFill="1" applyBorder="1" applyAlignment="1" applyProtection="1">
      <alignment horizontal="center" vertical="center" wrapText="1" readingOrder="2"/>
      <protection locked="0"/>
    </xf>
    <xf numFmtId="0" fontId="5" fillId="0" borderId="2" xfId="0" applyFont="1" applyBorder="1" applyAlignment="1" applyProtection="1">
      <alignment horizontal="right" vertical="center" wrapText="1" readingOrder="2"/>
      <protection locked="0"/>
    </xf>
    <xf numFmtId="10" fontId="2" fillId="0" borderId="8" xfId="0" applyNumberFormat="1" applyFont="1" applyBorder="1" applyAlignment="1">
      <alignment horizontal="center" vertical="center" wrapText="1" readingOrder="2"/>
    </xf>
    <xf numFmtId="10" fontId="2" fillId="0" borderId="9" xfId="0" applyNumberFormat="1" applyFont="1" applyBorder="1" applyAlignment="1">
      <alignment horizontal="center" vertical="center" wrapText="1" readingOrder="2"/>
    </xf>
    <xf numFmtId="0" fontId="6" fillId="3" borderId="14" xfId="0" applyFont="1" applyFill="1" applyBorder="1" applyAlignment="1" applyProtection="1">
      <alignment horizontal="center" vertical="center" wrapText="1" readingOrder="2"/>
      <protection locked="0"/>
    </xf>
    <xf numFmtId="0" fontId="6" fillId="3" borderId="15" xfId="0" applyFont="1" applyFill="1" applyBorder="1" applyAlignment="1" applyProtection="1">
      <alignment horizontal="center" vertical="center" wrapText="1" readingOrder="2"/>
      <protection locked="0"/>
    </xf>
    <xf numFmtId="0" fontId="5" fillId="3" borderId="3" xfId="0" applyFont="1" applyFill="1" applyBorder="1" applyAlignment="1" applyProtection="1">
      <alignment horizontal="center" vertical="center" wrapText="1" readingOrder="2"/>
      <protection locked="0"/>
    </xf>
    <xf numFmtId="0" fontId="5" fillId="3" borderId="5" xfId="0" applyFont="1" applyFill="1" applyBorder="1" applyAlignment="1" applyProtection="1">
      <alignment horizontal="center" vertical="center" wrapText="1" readingOrder="2"/>
      <protection locked="0"/>
    </xf>
    <xf numFmtId="0" fontId="5" fillId="3" borderId="11" xfId="0" applyFont="1" applyFill="1" applyBorder="1" applyAlignment="1" applyProtection="1">
      <alignment horizontal="center" vertical="center" wrapText="1" readingOrder="2"/>
      <protection locked="0"/>
    </xf>
    <xf numFmtId="0" fontId="5" fillId="3" borderId="12" xfId="0" applyFont="1" applyFill="1" applyBorder="1" applyAlignment="1" applyProtection="1">
      <alignment horizontal="center" vertical="center" wrapText="1" readingOrder="2"/>
      <protection locked="0"/>
    </xf>
    <xf numFmtId="0" fontId="5" fillId="3" borderId="15" xfId="0" applyFont="1" applyFill="1" applyBorder="1" applyAlignment="1" applyProtection="1">
      <alignment horizontal="center" vertical="center" wrapText="1" readingOrder="2"/>
      <protection locked="0"/>
    </xf>
    <xf numFmtId="0" fontId="5" fillId="3" borderId="16" xfId="0" applyFont="1" applyFill="1" applyBorder="1" applyAlignment="1" applyProtection="1">
      <alignment horizontal="center" vertical="center" wrapText="1" readingOrder="2"/>
      <protection locked="0"/>
    </xf>
    <xf numFmtId="0" fontId="5" fillId="0" borderId="1" xfId="0" applyFont="1" applyBorder="1" applyAlignment="1" applyProtection="1">
      <alignment horizontal="left" vertical="center" wrapText="1" readingOrder="2"/>
      <protection locked="0"/>
    </xf>
    <xf numFmtId="0" fontId="5" fillId="0" borderId="0" xfId="0" applyFont="1" applyAlignment="1" applyProtection="1">
      <alignment horizontal="left" vertical="center" wrapText="1" readingOrder="2"/>
      <protection locked="0"/>
    </xf>
    <xf numFmtId="0" fontId="2" fillId="0" borderId="19" xfId="0" applyFont="1" applyBorder="1" applyAlignment="1">
      <alignment horizontal="center" vertical="center" wrapText="1" readingOrder="2"/>
    </xf>
    <xf numFmtId="0" fontId="2" fillId="0" borderId="13" xfId="0" applyFont="1" applyBorder="1" applyAlignment="1">
      <alignment horizontal="center" vertical="center" wrapText="1" readingOrder="2"/>
    </xf>
    <xf numFmtId="0" fontId="2" fillId="0" borderId="20" xfId="0" applyFont="1" applyBorder="1" applyAlignment="1">
      <alignment horizontal="center" vertical="center" wrapText="1" readingOrder="2"/>
    </xf>
    <xf numFmtId="49" fontId="4" fillId="0" borderId="0" xfId="0" applyNumberFormat="1" applyFont="1" applyAlignment="1" applyProtection="1">
      <alignment horizontal="center" vertical="center" wrapText="1" readingOrder="2"/>
      <protection locked="0"/>
    </xf>
  </cellXfs>
  <cellStyles count="1">
    <cellStyle name="Normal" xfId="0" builtinId="0"/>
  </cellStyles>
  <dxfs count="24">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J59"/>
  <sheetViews>
    <sheetView rightToLeft="1" tabSelected="1" view="pageBreakPreview" zoomScale="130" zoomScaleNormal="100" zoomScaleSheetLayoutView="130" workbookViewId="0">
      <selection activeCell="C2" sqref="C2:D2"/>
    </sheetView>
  </sheetViews>
  <sheetFormatPr defaultColWidth="9" defaultRowHeight="15" x14ac:dyDescent="0.25"/>
  <cols>
    <col min="1" max="1" width="5.140625" style="1" customWidth="1"/>
    <col min="2" max="2" width="12.140625" style="1" customWidth="1"/>
    <col min="3" max="3" width="9" style="1"/>
    <col min="4" max="4" width="28.140625" style="1" customWidth="1"/>
    <col min="5" max="7" width="9.28515625" style="1" customWidth="1"/>
    <col min="8" max="8" width="9.28515625" style="2" customWidth="1"/>
    <col min="9" max="9" width="9.28515625" style="1" customWidth="1"/>
    <col min="10" max="10" width="15.42578125" style="1" customWidth="1"/>
    <col min="11" max="16384" width="9" style="1"/>
  </cols>
  <sheetData>
    <row r="1" spans="1:10" ht="45" customHeight="1" x14ac:dyDescent="0.25">
      <c r="B1" s="73" t="s">
        <v>75</v>
      </c>
      <c r="C1" s="73"/>
      <c r="D1" s="73"/>
      <c r="E1" s="73"/>
      <c r="F1" s="73"/>
      <c r="G1" s="73"/>
      <c r="H1" s="73"/>
      <c r="I1" s="73"/>
      <c r="J1" s="73"/>
    </row>
    <row r="2" spans="1:10" ht="30" customHeight="1" x14ac:dyDescent="0.25">
      <c r="B2" s="11" t="s">
        <v>8</v>
      </c>
      <c r="C2" s="57" t="s">
        <v>23</v>
      </c>
      <c r="D2" s="57"/>
      <c r="E2" s="11" t="s">
        <v>7</v>
      </c>
      <c r="F2" s="52" t="s">
        <v>22</v>
      </c>
      <c r="G2" s="52"/>
      <c r="H2" s="52"/>
      <c r="I2" s="52"/>
      <c r="J2" s="52"/>
    </row>
    <row r="3" spans="1:10" ht="30" customHeight="1" x14ac:dyDescent="0.25">
      <c r="B3" s="11" t="s">
        <v>9</v>
      </c>
      <c r="C3" s="57" t="s">
        <v>25</v>
      </c>
      <c r="D3" s="57"/>
      <c r="E3" s="11" t="s">
        <v>6</v>
      </c>
      <c r="F3" s="57" t="s">
        <v>24</v>
      </c>
      <c r="G3" s="57"/>
      <c r="H3" s="57"/>
      <c r="I3" s="57"/>
      <c r="J3" s="57"/>
    </row>
    <row r="4" spans="1:10" ht="30" customHeight="1" thickBot="1" x14ac:dyDescent="0.3">
      <c r="B4" s="5"/>
      <c r="C4" s="6"/>
      <c r="D4" s="6"/>
      <c r="E4" s="5"/>
      <c r="F4" s="6"/>
      <c r="G4" s="6"/>
      <c r="H4" s="7"/>
      <c r="I4" s="6"/>
      <c r="J4" s="6"/>
    </row>
    <row r="5" spans="1:10" ht="24.95" customHeight="1" x14ac:dyDescent="0.25">
      <c r="A5" s="9"/>
      <c r="B5" s="53" t="s">
        <v>0</v>
      </c>
      <c r="C5" s="54"/>
      <c r="D5" s="54"/>
      <c r="E5" s="62" t="s">
        <v>1</v>
      </c>
      <c r="F5" s="62"/>
      <c r="G5" s="62"/>
      <c r="H5" s="62"/>
      <c r="I5" s="62" t="s">
        <v>2</v>
      </c>
      <c r="J5" s="63"/>
    </row>
    <row r="6" spans="1:10" ht="24.95" customHeight="1" thickBot="1" x14ac:dyDescent="0.3">
      <c r="A6" s="9"/>
      <c r="B6" s="55"/>
      <c r="C6" s="56"/>
      <c r="D6" s="56"/>
      <c r="E6" s="10" t="s">
        <v>3</v>
      </c>
      <c r="F6" s="10" t="s">
        <v>4</v>
      </c>
      <c r="G6" s="10" t="s">
        <v>15</v>
      </c>
      <c r="H6" s="10" t="s">
        <v>16</v>
      </c>
      <c r="I6" s="64"/>
      <c r="J6" s="65"/>
    </row>
    <row r="7" spans="1:10" ht="24.95" customHeight="1" thickBot="1" x14ac:dyDescent="0.3">
      <c r="A7" s="9"/>
      <c r="B7" s="60" t="s">
        <v>13</v>
      </c>
      <c r="C7" s="61"/>
      <c r="D7" s="61"/>
      <c r="E7" s="14" t="s">
        <v>10</v>
      </c>
      <c r="F7" s="14" t="s">
        <v>11</v>
      </c>
      <c r="G7" s="14" t="s">
        <v>14</v>
      </c>
      <c r="H7" s="14" t="s">
        <v>12</v>
      </c>
      <c r="I7" s="66" t="s">
        <v>17</v>
      </c>
      <c r="J7" s="67"/>
    </row>
    <row r="8" spans="1:10" ht="39.950000000000003" customHeight="1" x14ac:dyDescent="0.25">
      <c r="A8" s="9"/>
      <c r="B8" s="27" t="s">
        <v>28</v>
      </c>
      <c r="C8" s="28"/>
      <c r="D8" s="28"/>
      <c r="E8" s="28"/>
      <c r="F8" s="28"/>
      <c r="G8" s="28"/>
      <c r="H8" s="28"/>
      <c r="I8" s="28"/>
      <c r="J8" s="29"/>
    </row>
    <row r="9" spans="1:10" ht="39.950000000000003" customHeight="1" x14ac:dyDescent="0.25">
      <c r="A9" s="9"/>
      <c r="B9" s="23" t="s">
        <v>73</v>
      </c>
      <c r="C9" s="24"/>
      <c r="D9" s="24"/>
      <c r="E9" s="8"/>
      <c r="F9" s="12"/>
      <c r="G9" s="16"/>
      <c r="H9" s="17"/>
      <c r="I9" s="38"/>
      <c r="J9" s="39"/>
    </row>
    <row r="10" spans="1:10" ht="39.950000000000003" customHeight="1" x14ac:dyDescent="0.25">
      <c r="A10" s="9"/>
      <c r="B10" s="32" t="s">
        <v>45</v>
      </c>
      <c r="C10" s="33"/>
      <c r="D10" s="33"/>
      <c r="E10" s="18"/>
      <c r="F10" s="12"/>
      <c r="G10" s="16"/>
      <c r="H10" s="17"/>
      <c r="I10" s="38"/>
      <c r="J10" s="39"/>
    </row>
    <row r="11" spans="1:10" ht="52.5" customHeight="1" x14ac:dyDescent="0.25">
      <c r="A11" s="9"/>
      <c r="B11" s="30" t="s">
        <v>46</v>
      </c>
      <c r="C11" s="31"/>
      <c r="D11" s="31"/>
      <c r="E11" s="8">
        <v>5</v>
      </c>
      <c r="F11" s="12" t="s">
        <v>26</v>
      </c>
      <c r="G11" s="16" t="str">
        <f t="shared" ref="G11:G54" si="0">IFERROR(F11/E11,"")</f>
        <v/>
      </c>
      <c r="H11" s="17" t="str">
        <f t="shared" ref="H11:H54" si="1">_xlfn.IFS(F11="أدخل العلامة","",F11="لا ينطبق","تم الإلغاء",G11&gt;=90%,"ممتاز",G11&gt;=80%,"جيد جداً",G11&gt;=70%,"جيد",G11&gt;=60%,"مقبول",G11&lt;60%,"راسب")</f>
        <v/>
      </c>
      <c r="I11" s="38"/>
      <c r="J11" s="39"/>
    </row>
    <row r="12" spans="1:10" ht="39.950000000000003" customHeight="1" x14ac:dyDescent="0.25">
      <c r="A12" s="9"/>
      <c r="B12" s="30" t="s">
        <v>47</v>
      </c>
      <c r="C12" s="31"/>
      <c r="D12" s="31"/>
      <c r="E12" s="8">
        <v>5</v>
      </c>
      <c r="F12" s="12" t="s">
        <v>26</v>
      </c>
      <c r="G12" s="16" t="str">
        <f t="shared" si="0"/>
        <v/>
      </c>
      <c r="H12" s="17" t="str">
        <f t="shared" si="1"/>
        <v/>
      </c>
      <c r="I12" s="38"/>
      <c r="J12" s="39"/>
    </row>
    <row r="13" spans="1:10" ht="39.950000000000003" customHeight="1" x14ac:dyDescent="0.25">
      <c r="A13" s="9"/>
      <c r="B13" s="36" t="s">
        <v>48</v>
      </c>
      <c r="C13" s="37"/>
      <c r="D13" s="37"/>
      <c r="E13" s="8">
        <v>5</v>
      </c>
      <c r="F13" s="12" t="s">
        <v>26</v>
      </c>
      <c r="G13" s="16" t="str">
        <f t="shared" si="0"/>
        <v/>
      </c>
      <c r="H13" s="17" t="str">
        <f t="shared" si="1"/>
        <v/>
      </c>
      <c r="I13" s="38"/>
      <c r="J13" s="39"/>
    </row>
    <row r="14" spans="1:10" ht="39.950000000000003" customHeight="1" x14ac:dyDescent="0.25">
      <c r="A14" s="9"/>
      <c r="B14" s="36" t="s">
        <v>49</v>
      </c>
      <c r="C14" s="37"/>
      <c r="D14" s="37"/>
      <c r="E14" s="8">
        <v>5</v>
      </c>
      <c r="F14" s="12" t="s">
        <v>26</v>
      </c>
      <c r="G14" s="16" t="str">
        <f t="shared" si="0"/>
        <v/>
      </c>
      <c r="H14" s="17" t="str">
        <f t="shared" si="1"/>
        <v/>
      </c>
      <c r="I14" s="38"/>
      <c r="J14" s="39"/>
    </row>
    <row r="15" spans="1:10" ht="39.950000000000003" customHeight="1" x14ac:dyDescent="0.25">
      <c r="A15" s="9"/>
      <c r="B15" s="36" t="s">
        <v>29</v>
      </c>
      <c r="C15" s="37"/>
      <c r="D15" s="37"/>
      <c r="E15" s="8">
        <v>5</v>
      </c>
      <c r="F15" s="12" t="s">
        <v>26</v>
      </c>
      <c r="G15" s="16" t="str">
        <f t="shared" si="0"/>
        <v/>
      </c>
      <c r="H15" s="17" t="str">
        <f t="shared" si="1"/>
        <v/>
      </c>
      <c r="I15" s="38"/>
      <c r="J15" s="39"/>
    </row>
    <row r="16" spans="1:10" ht="39.950000000000003" customHeight="1" x14ac:dyDescent="0.25">
      <c r="A16" s="9"/>
      <c r="B16" s="36" t="s">
        <v>30</v>
      </c>
      <c r="C16" s="37"/>
      <c r="D16" s="37"/>
      <c r="E16" s="8">
        <v>5</v>
      </c>
      <c r="F16" s="12" t="s">
        <v>26</v>
      </c>
      <c r="G16" s="16" t="str">
        <f t="shared" si="0"/>
        <v/>
      </c>
      <c r="H16" s="17" t="str">
        <f t="shared" si="1"/>
        <v/>
      </c>
      <c r="I16" s="38"/>
      <c r="J16" s="39"/>
    </row>
    <row r="17" spans="1:10" ht="39.950000000000003" customHeight="1" x14ac:dyDescent="0.25">
      <c r="A17" s="9"/>
      <c r="B17" s="36" t="s">
        <v>31</v>
      </c>
      <c r="C17" s="37"/>
      <c r="D17" s="37"/>
      <c r="E17" s="8">
        <v>5</v>
      </c>
      <c r="F17" s="12" t="s">
        <v>26</v>
      </c>
      <c r="G17" s="16" t="str">
        <f t="shared" si="0"/>
        <v/>
      </c>
      <c r="H17" s="17" t="str">
        <f t="shared" si="1"/>
        <v/>
      </c>
      <c r="I17" s="38"/>
      <c r="J17" s="39"/>
    </row>
    <row r="18" spans="1:10" ht="39.950000000000003" customHeight="1" x14ac:dyDescent="0.25">
      <c r="A18" s="9"/>
      <c r="B18" s="36" t="s">
        <v>32</v>
      </c>
      <c r="C18" s="37"/>
      <c r="D18" s="37"/>
      <c r="E18" s="8">
        <v>5</v>
      </c>
      <c r="F18" s="12" t="s">
        <v>26</v>
      </c>
      <c r="G18" s="16" t="str">
        <f t="shared" si="0"/>
        <v/>
      </c>
      <c r="H18" s="17" t="str">
        <f t="shared" si="1"/>
        <v/>
      </c>
      <c r="I18" s="38"/>
      <c r="J18" s="39"/>
    </row>
    <row r="19" spans="1:10" ht="39.950000000000003" customHeight="1" x14ac:dyDescent="0.25">
      <c r="A19" s="9"/>
      <c r="B19" s="30" t="s">
        <v>33</v>
      </c>
      <c r="C19" s="31"/>
      <c r="D19" s="31"/>
      <c r="E19" s="8">
        <v>5</v>
      </c>
      <c r="F19" s="12" t="s">
        <v>26</v>
      </c>
      <c r="G19" s="16" t="str">
        <f t="shared" si="0"/>
        <v/>
      </c>
      <c r="H19" s="17" t="str">
        <f t="shared" si="1"/>
        <v/>
      </c>
      <c r="I19" s="38"/>
      <c r="J19" s="39"/>
    </row>
    <row r="20" spans="1:10" ht="50.1" customHeight="1" thickBot="1" x14ac:dyDescent="0.3">
      <c r="A20" s="9"/>
      <c r="B20" s="34" t="s">
        <v>50</v>
      </c>
      <c r="C20" s="35"/>
      <c r="D20" s="35"/>
      <c r="E20" s="22">
        <v>5</v>
      </c>
      <c r="F20" s="13" t="s">
        <v>26</v>
      </c>
      <c r="G20" s="20" t="str">
        <f t="shared" si="0"/>
        <v/>
      </c>
      <c r="H20" s="21" t="str">
        <f t="shared" si="1"/>
        <v/>
      </c>
      <c r="I20" s="40"/>
      <c r="J20" s="41"/>
    </row>
    <row r="21" spans="1:10" ht="39.950000000000003" customHeight="1" x14ac:dyDescent="0.25">
      <c r="A21" s="9"/>
      <c r="B21" s="27" t="s">
        <v>34</v>
      </c>
      <c r="C21" s="28"/>
      <c r="D21" s="28"/>
      <c r="E21" s="28"/>
      <c r="F21" s="28"/>
      <c r="G21" s="28"/>
      <c r="H21" s="28"/>
      <c r="I21" s="28"/>
      <c r="J21" s="29"/>
    </row>
    <row r="22" spans="1:10" ht="50.1" customHeight="1" x14ac:dyDescent="0.25">
      <c r="A22" s="9"/>
      <c r="B22" s="23" t="s">
        <v>74</v>
      </c>
      <c r="C22" s="24"/>
      <c r="D22" s="24"/>
      <c r="E22" s="8"/>
      <c r="F22" s="12"/>
      <c r="G22" s="16"/>
      <c r="H22" s="17"/>
      <c r="I22" s="38"/>
      <c r="J22" s="39"/>
    </row>
    <row r="23" spans="1:10" ht="39.950000000000003" customHeight="1" x14ac:dyDescent="0.25">
      <c r="A23" s="9"/>
      <c r="B23" s="23" t="s">
        <v>51</v>
      </c>
      <c r="C23" s="24"/>
      <c r="D23" s="24"/>
      <c r="E23" s="8">
        <v>5</v>
      </c>
      <c r="F23" s="12" t="s">
        <v>26</v>
      </c>
      <c r="G23" s="16" t="str">
        <f t="shared" si="0"/>
        <v/>
      </c>
      <c r="H23" s="17" t="str">
        <f t="shared" si="1"/>
        <v/>
      </c>
      <c r="I23" s="38"/>
      <c r="J23" s="39"/>
    </row>
    <row r="24" spans="1:10" ht="39.950000000000003" customHeight="1" x14ac:dyDescent="0.25">
      <c r="A24" s="9"/>
      <c r="B24" s="23" t="s">
        <v>52</v>
      </c>
      <c r="C24" s="24"/>
      <c r="D24" s="24"/>
      <c r="E24" s="8">
        <v>5</v>
      </c>
      <c r="F24" s="12" t="s">
        <v>26</v>
      </c>
      <c r="G24" s="16" t="str">
        <f t="shared" si="0"/>
        <v/>
      </c>
      <c r="H24" s="17" t="str">
        <f t="shared" si="1"/>
        <v/>
      </c>
      <c r="I24" s="38"/>
      <c r="J24" s="39"/>
    </row>
    <row r="25" spans="1:10" ht="70.5" customHeight="1" x14ac:dyDescent="0.25">
      <c r="A25" s="9"/>
      <c r="B25" s="32" t="s">
        <v>53</v>
      </c>
      <c r="C25" s="33"/>
      <c r="D25" s="33"/>
      <c r="E25" s="18"/>
      <c r="F25" s="12"/>
      <c r="G25" s="16"/>
      <c r="H25" s="17"/>
      <c r="I25" s="38"/>
      <c r="J25" s="39"/>
    </row>
    <row r="26" spans="1:10" ht="39.950000000000003" customHeight="1" x14ac:dyDescent="0.25">
      <c r="A26" s="9"/>
      <c r="B26" s="30" t="s">
        <v>35</v>
      </c>
      <c r="C26" s="31"/>
      <c r="D26" s="31"/>
      <c r="E26" s="8">
        <v>5</v>
      </c>
      <c r="F26" s="12" t="s">
        <v>26</v>
      </c>
      <c r="G26" s="16" t="str">
        <f t="shared" si="0"/>
        <v/>
      </c>
      <c r="H26" s="17" t="str">
        <f t="shared" si="1"/>
        <v/>
      </c>
      <c r="I26" s="38"/>
      <c r="J26" s="39"/>
    </row>
    <row r="27" spans="1:10" ht="39.950000000000003" customHeight="1" x14ac:dyDescent="0.25">
      <c r="A27" s="9"/>
      <c r="B27" s="30" t="s">
        <v>36</v>
      </c>
      <c r="C27" s="31"/>
      <c r="D27" s="31"/>
      <c r="E27" s="8">
        <v>5</v>
      </c>
      <c r="F27" s="12" t="s">
        <v>26</v>
      </c>
      <c r="G27" s="16" t="str">
        <f t="shared" si="0"/>
        <v/>
      </c>
      <c r="H27" s="17" t="str">
        <f t="shared" si="1"/>
        <v/>
      </c>
      <c r="I27" s="38"/>
      <c r="J27" s="39"/>
    </row>
    <row r="28" spans="1:10" ht="39.950000000000003" customHeight="1" x14ac:dyDescent="0.25">
      <c r="A28" s="9"/>
      <c r="B28" s="30" t="s">
        <v>37</v>
      </c>
      <c r="C28" s="31"/>
      <c r="D28" s="31"/>
      <c r="E28" s="8">
        <v>5</v>
      </c>
      <c r="F28" s="12" t="s">
        <v>26</v>
      </c>
      <c r="G28" s="16" t="str">
        <f t="shared" si="0"/>
        <v/>
      </c>
      <c r="H28" s="17" t="str">
        <f t="shared" si="1"/>
        <v/>
      </c>
      <c r="I28" s="38"/>
      <c r="J28" s="39"/>
    </row>
    <row r="29" spans="1:10" ht="39.950000000000003" customHeight="1" x14ac:dyDescent="0.25">
      <c r="A29" s="9"/>
      <c r="B29" s="30" t="s">
        <v>38</v>
      </c>
      <c r="C29" s="31"/>
      <c r="D29" s="31"/>
      <c r="E29" s="8">
        <v>5</v>
      </c>
      <c r="F29" s="12" t="s">
        <v>26</v>
      </c>
      <c r="G29" s="16" t="str">
        <f t="shared" si="0"/>
        <v/>
      </c>
      <c r="H29" s="17" t="str">
        <f t="shared" si="1"/>
        <v/>
      </c>
      <c r="I29" s="38"/>
      <c r="J29" s="39"/>
    </row>
    <row r="30" spans="1:10" ht="39.950000000000003" customHeight="1" x14ac:dyDescent="0.25">
      <c r="A30" s="9"/>
      <c r="B30" s="30" t="s">
        <v>39</v>
      </c>
      <c r="C30" s="31"/>
      <c r="D30" s="31"/>
      <c r="E30" s="8">
        <v>5</v>
      </c>
      <c r="F30" s="12" t="s">
        <v>26</v>
      </c>
      <c r="G30" s="16" t="str">
        <f t="shared" si="0"/>
        <v/>
      </c>
      <c r="H30" s="17" t="str">
        <f t="shared" si="1"/>
        <v/>
      </c>
      <c r="I30" s="38"/>
      <c r="J30" s="39"/>
    </row>
    <row r="31" spans="1:10" ht="39.950000000000003" customHeight="1" x14ac:dyDescent="0.25">
      <c r="A31" s="9"/>
      <c r="B31" s="30" t="s">
        <v>40</v>
      </c>
      <c r="C31" s="31"/>
      <c r="D31" s="31"/>
      <c r="E31" s="8">
        <v>5</v>
      </c>
      <c r="F31" s="12" t="s">
        <v>26</v>
      </c>
      <c r="G31" s="16" t="str">
        <f t="shared" si="0"/>
        <v/>
      </c>
      <c r="H31" s="17" t="str">
        <f t="shared" si="1"/>
        <v/>
      </c>
      <c r="I31" s="38"/>
      <c r="J31" s="39"/>
    </row>
    <row r="32" spans="1:10" ht="65.099999999999994" customHeight="1" x14ac:dyDescent="0.25">
      <c r="A32" s="9"/>
      <c r="B32" s="30" t="s">
        <v>41</v>
      </c>
      <c r="C32" s="31"/>
      <c r="D32" s="31"/>
      <c r="E32" s="8">
        <v>5</v>
      </c>
      <c r="F32" s="12" t="s">
        <v>26</v>
      </c>
      <c r="G32" s="16" t="str">
        <f t="shared" si="0"/>
        <v/>
      </c>
      <c r="H32" s="17" t="str">
        <f t="shared" si="1"/>
        <v/>
      </c>
      <c r="I32" s="38"/>
      <c r="J32" s="39"/>
    </row>
    <row r="33" spans="1:10" ht="39.950000000000003" customHeight="1" x14ac:dyDescent="0.25">
      <c r="A33" s="9"/>
      <c r="B33" s="32" t="s">
        <v>54</v>
      </c>
      <c r="C33" s="33"/>
      <c r="D33" s="33"/>
      <c r="E33" s="8">
        <v>5</v>
      </c>
      <c r="F33" s="12" t="s">
        <v>26</v>
      </c>
      <c r="G33" s="16" t="str">
        <f t="shared" si="0"/>
        <v/>
      </c>
      <c r="H33" s="17" t="str">
        <f t="shared" si="1"/>
        <v/>
      </c>
      <c r="I33" s="38"/>
      <c r="J33" s="39"/>
    </row>
    <row r="34" spans="1:10" ht="39.950000000000003" customHeight="1" thickBot="1" x14ac:dyDescent="0.3">
      <c r="A34" s="9"/>
      <c r="B34" s="34" t="s">
        <v>55</v>
      </c>
      <c r="C34" s="35"/>
      <c r="D34" s="35"/>
      <c r="E34" s="19">
        <v>5</v>
      </c>
      <c r="F34" s="13" t="s">
        <v>26</v>
      </c>
      <c r="G34" s="20" t="str">
        <f t="shared" si="0"/>
        <v/>
      </c>
      <c r="H34" s="21" t="str">
        <f t="shared" si="1"/>
        <v/>
      </c>
      <c r="I34" s="40"/>
      <c r="J34" s="41"/>
    </row>
    <row r="35" spans="1:10" ht="39.950000000000003" customHeight="1" x14ac:dyDescent="0.25">
      <c r="A35" s="9"/>
      <c r="B35" s="27" t="s">
        <v>42</v>
      </c>
      <c r="C35" s="28"/>
      <c r="D35" s="28"/>
      <c r="E35" s="28"/>
      <c r="F35" s="28"/>
      <c r="G35" s="28"/>
      <c r="H35" s="28"/>
      <c r="I35" s="28"/>
      <c r="J35" s="29"/>
    </row>
    <row r="36" spans="1:10" ht="39.950000000000003" customHeight="1" x14ac:dyDescent="0.25">
      <c r="A36" s="9"/>
      <c r="B36" s="23" t="s">
        <v>56</v>
      </c>
      <c r="C36" s="24"/>
      <c r="D36" s="24"/>
      <c r="E36" s="8">
        <v>5</v>
      </c>
      <c r="F36" s="12" t="s">
        <v>26</v>
      </c>
      <c r="G36" s="16" t="str">
        <f t="shared" si="0"/>
        <v/>
      </c>
      <c r="H36" s="17" t="str">
        <f t="shared" si="1"/>
        <v/>
      </c>
      <c r="I36" s="38"/>
      <c r="J36" s="39"/>
    </row>
    <row r="37" spans="1:10" ht="50.1" customHeight="1" x14ac:dyDescent="0.25">
      <c r="A37" s="9"/>
      <c r="B37" s="23" t="s">
        <v>57</v>
      </c>
      <c r="C37" s="24"/>
      <c r="D37" s="24"/>
      <c r="E37" s="8">
        <v>5</v>
      </c>
      <c r="F37" s="12" t="s">
        <v>26</v>
      </c>
      <c r="G37" s="16" t="str">
        <f t="shared" si="0"/>
        <v/>
      </c>
      <c r="H37" s="17" t="str">
        <f t="shared" si="1"/>
        <v/>
      </c>
      <c r="I37" s="38"/>
      <c r="J37" s="39"/>
    </row>
    <row r="38" spans="1:10" ht="39.950000000000003" customHeight="1" x14ac:dyDescent="0.25">
      <c r="A38" s="9"/>
      <c r="B38" s="23" t="s">
        <v>58</v>
      </c>
      <c r="C38" s="24"/>
      <c r="D38" s="24"/>
      <c r="E38" s="8">
        <v>5</v>
      </c>
      <c r="F38" s="12" t="s">
        <v>26</v>
      </c>
      <c r="G38" s="16" t="str">
        <f t="shared" si="0"/>
        <v/>
      </c>
      <c r="H38" s="17" t="str">
        <f t="shared" si="1"/>
        <v/>
      </c>
      <c r="I38" s="38"/>
      <c r="J38" s="39"/>
    </row>
    <row r="39" spans="1:10" ht="54.95" customHeight="1" x14ac:dyDescent="0.25">
      <c r="A39" s="9"/>
      <c r="B39" s="23" t="s">
        <v>59</v>
      </c>
      <c r="C39" s="24"/>
      <c r="D39" s="24"/>
      <c r="E39" s="8">
        <v>5</v>
      </c>
      <c r="F39" s="12" t="s">
        <v>26</v>
      </c>
      <c r="G39" s="16" t="str">
        <f t="shared" si="0"/>
        <v/>
      </c>
      <c r="H39" s="17" t="str">
        <f t="shared" si="1"/>
        <v/>
      </c>
      <c r="I39" s="38"/>
      <c r="J39" s="39"/>
    </row>
    <row r="40" spans="1:10" ht="39.950000000000003" customHeight="1" x14ac:dyDescent="0.25">
      <c r="A40" s="9"/>
      <c r="B40" s="23" t="s">
        <v>60</v>
      </c>
      <c r="C40" s="24"/>
      <c r="D40" s="24"/>
      <c r="E40" s="8">
        <v>5</v>
      </c>
      <c r="F40" s="12" t="s">
        <v>26</v>
      </c>
      <c r="G40" s="16" t="str">
        <f t="shared" si="0"/>
        <v/>
      </c>
      <c r="H40" s="17" t="str">
        <f t="shared" si="1"/>
        <v/>
      </c>
      <c r="I40" s="38"/>
      <c r="J40" s="39"/>
    </row>
    <row r="41" spans="1:10" ht="54.95" customHeight="1" x14ac:dyDescent="0.25">
      <c r="A41" s="9"/>
      <c r="B41" s="23" t="s">
        <v>61</v>
      </c>
      <c r="C41" s="24"/>
      <c r="D41" s="24"/>
      <c r="E41" s="8">
        <v>5</v>
      </c>
      <c r="F41" s="12" t="s">
        <v>26</v>
      </c>
      <c r="G41" s="16" t="str">
        <f t="shared" si="0"/>
        <v/>
      </c>
      <c r="H41" s="17" t="str">
        <f t="shared" si="1"/>
        <v/>
      </c>
      <c r="I41" s="38"/>
      <c r="J41" s="39"/>
    </row>
    <row r="42" spans="1:10" ht="54.95" customHeight="1" x14ac:dyDescent="0.25">
      <c r="A42" s="9"/>
      <c r="B42" s="23" t="s">
        <v>62</v>
      </c>
      <c r="C42" s="24"/>
      <c r="D42" s="24"/>
      <c r="E42" s="8">
        <v>5</v>
      </c>
      <c r="F42" s="12" t="s">
        <v>26</v>
      </c>
      <c r="G42" s="16" t="str">
        <f t="shared" si="0"/>
        <v/>
      </c>
      <c r="H42" s="17" t="str">
        <f t="shared" si="1"/>
        <v/>
      </c>
      <c r="I42" s="38"/>
      <c r="J42" s="39"/>
    </row>
    <row r="43" spans="1:10" ht="39.950000000000003" customHeight="1" x14ac:dyDescent="0.25">
      <c r="A43" s="9"/>
      <c r="B43" s="23" t="s">
        <v>63</v>
      </c>
      <c r="C43" s="24"/>
      <c r="D43" s="24"/>
      <c r="E43" s="8">
        <v>5</v>
      </c>
      <c r="F43" s="12" t="s">
        <v>26</v>
      </c>
      <c r="G43" s="16" t="str">
        <f t="shared" si="0"/>
        <v/>
      </c>
      <c r="H43" s="17" t="str">
        <f t="shared" si="1"/>
        <v/>
      </c>
      <c r="I43" s="38"/>
      <c r="J43" s="39"/>
    </row>
    <row r="44" spans="1:10" ht="54.95" customHeight="1" x14ac:dyDescent="0.25">
      <c r="A44" s="9"/>
      <c r="B44" s="23" t="s">
        <v>64</v>
      </c>
      <c r="C44" s="24"/>
      <c r="D44" s="24"/>
      <c r="E44" s="8">
        <v>5</v>
      </c>
      <c r="F44" s="12" t="s">
        <v>26</v>
      </c>
      <c r="G44" s="16" t="str">
        <f t="shared" si="0"/>
        <v/>
      </c>
      <c r="H44" s="17" t="str">
        <f t="shared" si="1"/>
        <v/>
      </c>
      <c r="I44" s="38"/>
      <c r="J44" s="39"/>
    </row>
    <row r="45" spans="1:10" ht="54.95" customHeight="1" x14ac:dyDescent="0.25">
      <c r="A45" s="9"/>
      <c r="B45" s="23" t="s">
        <v>65</v>
      </c>
      <c r="C45" s="24"/>
      <c r="D45" s="24"/>
      <c r="E45" s="8">
        <v>5</v>
      </c>
      <c r="F45" s="12" t="s">
        <v>26</v>
      </c>
      <c r="G45" s="16" t="str">
        <f t="shared" si="0"/>
        <v/>
      </c>
      <c r="H45" s="17" t="str">
        <f t="shared" si="1"/>
        <v/>
      </c>
      <c r="I45" s="38"/>
      <c r="J45" s="39"/>
    </row>
    <row r="46" spans="1:10" ht="39.950000000000003" customHeight="1" x14ac:dyDescent="0.25">
      <c r="A46" s="9"/>
      <c r="B46" s="23" t="s">
        <v>66</v>
      </c>
      <c r="C46" s="24"/>
      <c r="D46" s="24"/>
      <c r="E46" s="8">
        <v>5</v>
      </c>
      <c r="F46" s="12" t="s">
        <v>26</v>
      </c>
      <c r="G46" s="16" t="str">
        <f t="shared" si="0"/>
        <v/>
      </c>
      <c r="H46" s="17" t="str">
        <f t="shared" si="1"/>
        <v/>
      </c>
      <c r="I46" s="38"/>
      <c r="J46" s="39"/>
    </row>
    <row r="47" spans="1:10" ht="39.950000000000003" customHeight="1" x14ac:dyDescent="0.25">
      <c r="A47" s="9"/>
      <c r="B47" s="23" t="s">
        <v>67</v>
      </c>
      <c r="C47" s="24"/>
      <c r="D47" s="24"/>
      <c r="E47" s="8">
        <v>5</v>
      </c>
      <c r="F47" s="12" t="s">
        <v>26</v>
      </c>
      <c r="G47" s="16" t="str">
        <f t="shared" si="0"/>
        <v/>
      </c>
      <c r="H47" s="17" t="str">
        <f t="shared" si="1"/>
        <v/>
      </c>
      <c r="I47" s="38"/>
      <c r="J47" s="39"/>
    </row>
    <row r="48" spans="1:10" ht="39.950000000000003" customHeight="1" x14ac:dyDescent="0.25">
      <c r="A48" s="9"/>
      <c r="B48" s="23" t="s">
        <v>68</v>
      </c>
      <c r="C48" s="24"/>
      <c r="D48" s="24"/>
      <c r="E48" s="8"/>
      <c r="F48" s="12"/>
      <c r="G48" s="16"/>
      <c r="H48" s="17"/>
      <c r="I48" s="38"/>
      <c r="J48" s="39"/>
    </row>
    <row r="49" spans="1:10" ht="50.1" customHeight="1" x14ac:dyDescent="0.25">
      <c r="A49" s="9"/>
      <c r="B49" s="30" t="s">
        <v>43</v>
      </c>
      <c r="C49" s="31"/>
      <c r="D49" s="31"/>
      <c r="E49" s="8">
        <v>5</v>
      </c>
      <c r="F49" s="12" t="s">
        <v>26</v>
      </c>
      <c r="G49" s="16" t="str">
        <f t="shared" si="0"/>
        <v/>
      </c>
      <c r="H49" s="17" t="str">
        <f t="shared" si="1"/>
        <v/>
      </c>
      <c r="I49" s="38"/>
      <c r="J49" s="39"/>
    </row>
    <row r="50" spans="1:10" ht="39.950000000000003" customHeight="1" x14ac:dyDescent="0.25">
      <c r="A50" s="9"/>
      <c r="B50" s="30" t="s">
        <v>44</v>
      </c>
      <c r="C50" s="31"/>
      <c r="D50" s="31"/>
      <c r="E50" s="8">
        <v>5</v>
      </c>
      <c r="F50" s="12" t="s">
        <v>26</v>
      </c>
      <c r="G50" s="16" t="str">
        <f t="shared" si="0"/>
        <v/>
      </c>
      <c r="H50" s="17" t="str">
        <f t="shared" si="1"/>
        <v/>
      </c>
      <c r="I50" s="38"/>
      <c r="J50" s="39"/>
    </row>
    <row r="51" spans="1:10" ht="39.950000000000003" customHeight="1" x14ac:dyDescent="0.25">
      <c r="A51" s="9"/>
      <c r="B51" s="23" t="s">
        <v>69</v>
      </c>
      <c r="C51" s="24"/>
      <c r="D51" s="24"/>
      <c r="E51" s="8">
        <v>5</v>
      </c>
      <c r="F51" s="12" t="s">
        <v>26</v>
      </c>
      <c r="G51" s="16" t="str">
        <f t="shared" si="0"/>
        <v/>
      </c>
      <c r="H51" s="17" t="str">
        <f t="shared" si="1"/>
        <v/>
      </c>
      <c r="I51" s="38"/>
      <c r="J51" s="39"/>
    </row>
    <row r="52" spans="1:10" ht="39.950000000000003" customHeight="1" x14ac:dyDescent="0.25">
      <c r="A52" s="9"/>
      <c r="B52" s="23" t="s">
        <v>70</v>
      </c>
      <c r="C52" s="24"/>
      <c r="D52" s="24"/>
      <c r="E52" s="8">
        <v>5</v>
      </c>
      <c r="F52" s="12" t="s">
        <v>26</v>
      </c>
      <c r="G52" s="16" t="str">
        <f t="shared" si="0"/>
        <v/>
      </c>
      <c r="H52" s="17" t="str">
        <f t="shared" si="1"/>
        <v/>
      </c>
      <c r="I52" s="38"/>
      <c r="J52" s="39"/>
    </row>
    <row r="53" spans="1:10" ht="39.950000000000003" customHeight="1" x14ac:dyDescent="0.25">
      <c r="A53" s="9"/>
      <c r="B53" s="23" t="s">
        <v>71</v>
      </c>
      <c r="C53" s="24"/>
      <c r="D53" s="24"/>
      <c r="E53" s="8">
        <v>5</v>
      </c>
      <c r="F53" s="12" t="s">
        <v>26</v>
      </c>
      <c r="G53" s="16" t="str">
        <f t="shared" si="0"/>
        <v/>
      </c>
      <c r="H53" s="17" t="str">
        <f t="shared" si="1"/>
        <v/>
      </c>
      <c r="I53" s="38"/>
      <c r="J53" s="39"/>
    </row>
    <row r="54" spans="1:10" ht="39.950000000000003" customHeight="1" thickBot="1" x14ac:dyDescent="0.3">
      <c r="A54" s="9"/>
      <c r="B54" s="25" t="s">
        <v>72</v>
      </c>
      <c r="C54" s="26"/>
      <c r="D54" s="26"/>
      <c r="E54" s="19">
        <v>5</v>
      </c>
      <c r="F54" s="13" t="s">
        <v>26</v>
      </c>
      <c r="G54" s="20" t="str">
        <f t="shared" si="0"/>
        <v/>
      </c>
      <c r="H54" s="21" t="str">
        <f t="shared" si="1"/>
        <v/>
      </c>
      <c r="I54" s="40"/>
      <c r="J54" s="41"/>
    </row>
    <row r="55" spans="1:10" ht="30" customHeight="1" thickBot="1" x14ac:dyDescent="0.3">
      <c r="A55" s="3"/>
      <c r="B55" s="42" t="s">
        <v>5</v>
      </c>
      <c r="C55" s="43"/>
      <c r="D55" s="43"/>
      <c r="E55" s="15">
        <f>SUM(E8:E54)</f>
        <v>195</v>
      </c>
      <c r="F55" s="15">
        <f>SUM(F8:F54)</f>
        <v>0</v>
      </c>
      <c r="G55" s="70"/>
      <c r="H55" s="71"/>
      <c r="I55" s="71"/>
      <c r="J55" s="72"/>
    </row>
    <row r="56" spans="1:10" ht="30" customHeight="1" thickBot="1" x14ac:dyDescent="0.3">
      <c r="A56" s="3"/>
      <c r="B56" s="44" t="s">
        <v>20</v>
      </c>
      <c r="C56" s="45"/>
      <c r="D56" s="45"/>
      <c r="E56" s="58">
        <f>F55/E55/100*100</f>
        <v>0</v>
      </c>
      <c r="F56" s="58"/>
      <c r="G56" s="58"/>
      <c r="H56" s="58"/>
      <c r="I56" s="58"/>
      <c r="J56" s="59"/>
    </row>
    <row r="57" spans="1:10" ht="30" customHeight="1" thickBot="1" x14ac:dyDescent="0.3">
      <c r="A57" s="3"/>
      <c r="B57" s="44" t="s">
        <v>21</v>
      </c>
      <c r="C57" s="45"/>
      <c r="D57" s="45"/>
      <c r="E57" s="50" t="str">
        <f>_xlfn.IFS(E56&gt;=90%,"ممتاز",E56&gt;=80%,"جيد جداً",E56&gt;=70%,"جيد",E56&gt;=60%,"مقبول",E56&lt;60%,"راسب")</f>
        <v>راسب</v>
      </c>
      <c r="F57" s="50"/>
      <c r="G57" s="50"/>
      <c r="H57" s="50"/>
      <c r="I57" s="50"/>
      <c r="J57" s="51"/>
    </row>
    <row r="58" spans="1:10" ht="42" customHeight="1" x14ac:dyDescent="0.25">
      <c r="B58" s="46" t="s">
        <v>27</v>
      </c>
      <c r="C58" s="46"/>
      <c r="D58" s="46"/>
      <c r="E58" s="68" t="s">
        <v>18</v>
      </c>
      <c r="F58" s="68"/>
      <c r="G58" s="48" t="s">
        <v>24</v>
      </c>
      <c r="H58" s="48"/>
      <c r="I58" s="48"/>
      <c r="J58" s="48"/>
    </row>
    <row r="59" spans="1:10" ht="51" customHeight="1" x14ac:dyDescent="0.25">
      <c r="A59" s="4"/>
      <c r="B59" s="47"/>
      <c r="C59" s="47"/>
      <c r="D59" s="47"/>
      <c r="E59" s="69" t="s">
        <v>19</v>
      </c>
      <c r="F59" s="69"/>
      <c r="G59" s="49"/>
      <c r="H59" s="49"/>
      <c r="I59" s="49"/>
      <c r="J59" s="49"/>
    </row>
  </sheetData>
  <sheetProtection sheet="1" formatCells="0" formatColumns="0" formatRows="0" insertColumns="0" insertRows="0" insertHyperlinks="0" deleteColumns="0" deleteRows="0" selectLockedCells="1" sort="0" autoFilter="0" pivotTables="0"/>
  <mergeCells count="112">
    <mergeCell ref="B1:J1"/>
    <mergeCell ref="F2:J2"/>
    <mergeCell ref="B5:D6"/>
    <mergeCell ref="C2:D2"/>
    <mergeCell ref="C3:D3"/>
    <mergeCell ref="F3:J3"/>
    <mergeCell ref="E56:J56"/>
    <mergeCell ref="B7:D7"/>
    <mergeCell ref="I38:J38"/>
    <mergeCell ref="I39:J39"/>
    <mergeCell ref="I30:J30"/>
    <mergeCell ref="I31:J31"/>
    <mergeCell ref="E5:H5"/>
    <mergeCell ref="I37:J37"/>
    <mergeCell ref="I5:J6"/>
    <mergeCell ref="I7:J7"/>
    <mergeCell ref="I10:J10"/>
    <mergeCell ref="I19:J19"/>
    <mergeCell ref="I20:J20"/>
    <mergeCell ref="I22:J22"/>
    <mergeCell ref="I23:J23"/>
    <mergeCell ref="I24:J24"/>
    <mergeCell ref="I25:J25"/>
    <mergeCell ref="I26:J26"/>
    <mergeCell ref="B58:D59"/>
    <mergeCell ref="G58:J58"/>
    <mergeCell ref="G59:J59"/>
    <mergeCell ref="E57:J57"/>
    <mergeCell ref="I40:J40"/>
    <mergeCell ref="I41:J41"/>
    <mergeCell ref="I42:J42"/>
    <mergeCell ref="I43:J43"/>
    <mergeCell ref="I44:J44"/>
    <mergeCell ref="I49:J49"/>
    <mergeCell ref="I50:J50"/>
    <mergeCell ref="I51:J51"/>
    <mergeCell ref="I52:J52"/>
    <mergeCell ref="I53:J53"/>
    <mergeCell ref="I54:J54"/>
    <mergeCell ref="I45:J45"/>
    <mergeCell ref="I46:J46"/>
    <mergeCell ref="I47:J47"/>
    <mergeCell ref="I48:J48"/>
    <mergeCell ref="E58:F58"/>
    <mergeCell ref="E59:F59"/>
    <mergeCell ref="G55:J55"/>
    <mergeCell ref="I33:J33"/>
    <mergeCell ref="I34:J34"/>
    <mergeCell ref="I36:J36"/>
    <mergeCell ref="B55:D55"/>
    <mergeCell ref="B56:D56"/>
    <mergeCell ref="B57:D57"/>
    <mergeCell ref="I11:J11"/>
    <mergeCell ref="I12:J12"/>
    <mergeCell ref="I13:J13"/>
    <mergeCell ref="I14:J14"/>
    <mergeCell ref="I15:J15"/>
    <mergeCell ref="I16:J16"/>
    <mergeCell ref="I17:J17"/>
    <mergeCell ref="I18:J18"/>
    <mergeCell ref="I28:J28"/>
    <mergeCell ref="I29:J29"/>
    <mergeCell ref="I27:J27"/>
    <mergeCell ref="B9:D9"/>
    <mergeCell ref="B10:D10"/>
    <mergeCell ref="B11:D11"/>
    <mergeCell ref="B12:D12"/>
    <mergeCell ref="B13:D13"/>
    <mergeCell ref="B14:D14"/>
    <mergeCell ref="B15:D15"/>
    <mergeCell ref="B16:D16"/>
    <mergeCell ref="I32:J32"/>
    <mergeCell ref="I9:J9"/>
    <mergeCell ref="B28:D28"/>
    <mergeCell ref="B29:D29"/>
    <mergeCell ref="B30:D30"/>
    <mergeCell ref="B31:D31"/>
    <mergeCell ref="B32:D32"/>
    <mergeCell ref="B33:D33"/>
    <mergeCell ref="B34:D34"/>
    <mergeCell ref="B17:D17"/>
    <mergeCell ref="B18:D18"/>
    <mergeCell ref="B19:D19"/>
    <mergeCell ref="B20:D20"/>
    <mergeCell ref="B22:D22"/>
    <mergeCell ref="B23:D23"/>
    <mergeCell ref="B24:D24"/>
    <mergeCell ref="B25:D25"/>
    <mergeCell ref="B53:D53"/>
    <mergeCell ref="B54:D54"/>
    <mergeCell ref="B35:J35"/>
    <mergeCell ref="B21:J21"/>
    <mergeCell ref="B8:J8"/>
    <mergeCell ref="B44:D44"/>
    <mergeCell ref="B45:D45"/>
    <mergeCell ref="B46:D46"/>
    <mergeCell ref="B47:D47"/>
    <mergeCell ref="B48:D48"/>
    <mergeCell ref="B49:D49"/>
    <mergeCell ref="B50:D50"/>
    <mergeCell ref="B51:D51"/>
    <mergeCell ref="B52:D52"/>
    <mergeCell ref="B36:D36"/>
    <mergeCell ref="B37:D37"/>
    <mergeCell ref="B38:D38"/>
    <mergeCell ref="B39:D39"/>
    <mergeCell ref="B40:D40"/>
    <mergeCell ref="B41:D41"/>
    <mergeCell ref="B42:D42"/>
    <mergeCell ref="B43:D43"/>
    <mergeCell ref="B26:D26"/>
    <mergeCell ref="B27:D27"/>
  </mergeCells>
  <conditionalFormatting sqref="E57">
    <cfRule type="expression" dxfId="23" priority="57">
      <formula>$E57="راسب"</formula>
    </cfRule>
  </conditionalFormatting>
  <conditionalFormatting sqref="E57:J57">
    <cfRule type="expression" dxfId="22" priority="58">
      <formula>$E57="مقبول"</formula>
    </cfRule>
    <cfRule type="expression" dxfId="21" priority="59">
      <formula>$E57="جيد"</formula>
    </cfRule>
    <cfRule type="expression" dxfId="20" priority="60">
      <formula>$E57="جيد جداً"</formula>
    </cfRule>
    <cfRule type="expression" dxfId="19" priority="61">
      <formula>$E57="ممتاز"</formula>
    </cfRule>
  </conditionalFormatting>
  <conditionalFormatting sqref="H10:H20 H36:H54 H22:H34">
    <cfRule type="containsText" dxfId="18" priority="39" operator="containsText" text="ممتاز">
      <formula>NOT(ISERROR(SEARCH("ممتاز",H10)))</formula>
    </cfRule>
    <cfRule type="containsText" dxfId="17" priority="40" operator="containsText" text="جيد جداً">
      <formula>NOT(ISERROR(SEARCH("جيد جداً",H10)))</formula>
    </cfRule>
    <cfRule type="containsText" dxfId="16" priority="41" operator="containsText" text="جيد">
      <formula>NOT(ISERROR(SEARCH("جيد",H10)))</formula>
    </cfRule>
    <cfRule type="containsText" dxfId="15" priority="42" operator="containsText" text="مقبول">
      <formula>NOT(ISERROR(SEARCH("مقبول",H10)))</formula>
    </cfRule>
    <cfRule type="containsText" dxfId="14" priority="43" operator="containsText" text="راسب">
      <formula>NOT(ISERROR(SEARCH("راسب",H10)))</formula>
    </cfRule>
  </conditionalFormatting>
  <conditionalFormatting sqref="H10:H20 H36:H54 H22:H34">
    <cfRule type="containsText" dxfId="13" priority="38" operator="containsText" text="أدخل العلامة">
      <formula>NOT(ISERROR(SEARCH("أدخل العلامة",H10)))</formula>
    </cfRule>
  </conditionalFormatting>
  <conditionalFormatting sqref="F2:J2">
    <cfRule type="containsText" dxfId="12" priority="19" operator="containsText" text="أدخل التاريخ">
      <formula>NOT(ISERROR(SEARCH("أدخل التاريخ",F2)))</formula>
    </cfRule>
  </conditionalFormatting>
  <conditionalFormatting sqref="C2:D2">
    <cfRule type="containsText" dxfId="11" priority="18" operator="containsText" text="أدخل الوحدة الخاضعة للتقييم">
      <formula>NOT(ISERROR(SEARCH("أدخل الوحدة الخاضعة للتقييم",C2)))</formula>
    </cfRule>
  </conditionalFormatting>
  <conditionalFormatting sqref="C3:D3">
    <cfRule type="containsText" dxfId="10" priority="17" operator="containsText" text="أدخل أسم قائد الوحدة الخاضعة للتقييم">
      <formula>NOT(ISERROR(SEARCH("أدخل أسم قائد الوحدة الخاضعة للتقييم",C3)))</formula>
    </cfRule>
  </conditionalFormatting>
  <conditionalFormatting sqref="F3:J3">
    <cfRule type="containsText" dxfId="9" priority="16" operator="containsText" text="أدخل أسم المحكم">
      <formula>NOT(ISERROR(SEARCH("أدخل أسم المحكم",F3)))</formula>
    </cfRule>
  </conditionalFormatting>
  <conditionalFormatting sqref="G58:J58">
    <cfRule type="containsText" dxfId="8" priority="15" operator="containsText" text="أدخل اسم المحكم">
      <formula>NOT(ISERROR(SEARCH("أدخل اسم المحكم",G58)))</formula>
    </cfRule>
  </conditionalFormatting>
  <conditionalFormatting sqref="F10:F20 F36:F54 F22:F34">
    <cfRule type="containsText" dxfId="7" priority="14" operator="containsText" text="أدخل العلامة">
      <formula>NOT(ISERROR(SEARCH("أدخل العلامة",F10)))</formula>
    </cfRule>
  </conditionalFormatting>
  <conditionalFormatting sqref="H9">
    <cfRule type="containsText" dxfId="6" priority="6" operator="containsText" text="ممتاز">
      <formula>NOT(ISERROR(SEARCH("ممتاز",H9)))</formula>
    </cfRule>
    <cfRule type="containsText" dxfId="5" priority="7" operator="containsText" text="جيد جداً">
      <formula>NOT(ISERROR(SEARCH("جيد جداً",H9)))</formula>
    </cfRule>
    <cfRule type="containsText" dxfId="4" priority="8" operator="containsText" text="جيد">
      <formula>NOT(ISERROR(SEARCH("جيد",H9)))</formula>
    </cfRule>
    <cfRule type="containsText" dxfId="3" priority="9" operator="containsText" text="مقبول">
      <formula>NOT(ISERROR(SEARCH("مقبول",H9)))</formula>
    </cfRule>
    <cfRule type="containsText" dxfId="2" priority="10" operator="containsText" text="راسب">
      <formula>NOT(ISERROR(SEARCH("راسب",H9)))</formula>
    </cfRule>
  </conditionalFormatting>
  <conditionalFormatting sqref="H9">
    <cfRule type="containsText" dxfId="1" priority="5" operator="containsText" text="أدخل العلامة">
      <formula>NOT(ISERROR(SEARCH("أدخل العلامة",H9)))</formula>
    </cfRule>
  </conditionalFormatting>
  <conditionalFormatting sqref="F9">
    <cfRule type="containsText" dxfId="0" priority="4" operator="containsText" text="أدخل العلامة">
      <formula>NOT(ISERROR(SEARCH("أدخل العلامة",F9)))</formula>
    </cfRule>
  </conditionalFormatting>
  <printOptions horizontalCentered="1"/>
  <pageMargins left="0.70866141732283472" right="0.70866141732283472" top="0.74803149606299213" bottom="0.74803149606299213" header="0.31496062992125984" footer="0.31496062992125984"/>
  <pageSetup paperSize="9" scale="75" fitToHeight="0" orientation="portrait" r:id="rId1"/>
  <headerFooter>
    <oddHeader>&amp;C&amp;"-,Bold"&amp;12&amp;Uسري للغاية</oddHeader>
    <oddFooter>&amp;C&amp;"-,Bold"&amp;P&amp;"-,Regular"
&amp;"-,Bold"&amp;Uسري للغاية</oddFooter>
  </headerFooter>
  <extLst>
    <ext xmlns:x14="http://schemas.microsoft.com/office/spreadsheetml/2009/9/main" uri="{CCE6A557-97BC-4b89-ADB6-D9C93CAAB3DF}">
      <x14:dataValidations xmlns:xm="http://schemas.microsoft.com/office/excel/2006/main" count="5">
        <x14:dataValidation type="list" allowBlank="1" showInputMessage="1" showErrorMessage="1">
          <x14:formula1>
            <xm:f>#REF!</xm:f>
          </x14:formula1>
          <xm:sqref>F2:J2</xm:sqref>
        </x14:dataValidation>
        <x14:dataValidation type="list" allowBlank="1" showInputMessage="1" showErrorMessage="1">
          <x14:formula1>
            <xm:f>#REF!</xm:f>
          </x14:formula1>
          <xm:sqref>C2:D2</xm:sqref>
        </x14:dataValidation>
        <x14:dataValidation type="list" allowBlank="1" showInputMessage="1" showErrorMessage="1">
          <x14:formula1>
            <xm:f>#REF!</xm:f>
          </x14:formula1>
          <xm:sqref>F49:F54 F36:F47 F26:F34 F23:F24 F11:F20</xm:sqref>
        </x14:dataValidation>
        <x14:dataValidation type="list" allowBlank="1" showInputMessage="1" showErrorMessage="1">
          <x14:formula1>
            <xm:f>#REF!</xm:f>
          </x14:formula1>
          <xm:sqref>G58:J58 F3:J3</xm:sqref>
        </x14:dataValidation>
        <x14:dataValidation type="list" allowBlank="1" showInputMessage="1" showErrorMessage="1">
          <x14:formula1>
            <xm:f>#REF!</xm:f>
          </x14:formula1>
          <xm:sqref>C3:D3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قائمة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2026-08-30T05:13:15Z</dcterms:modified>
</cp:coreProperties>
</file>