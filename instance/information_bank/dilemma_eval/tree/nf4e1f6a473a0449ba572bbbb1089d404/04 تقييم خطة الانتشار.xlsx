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2EB39A68-117B-4DEF-82BF-D493C5DCC5F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التقييم'!$A$1:$J$21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F17" i="2"/>
  <c r="E17" i="2"/>
  <c r="E18" i="2"/>
  <c r="E19" i="2"/>
</calcChain>
</file>

<file path=xl/sharedStrings.xml><?xml version="1.0" encoding="utf-8"?>
<sst xmlns="http://schemas.openxmlformats.org/spreadsheetml/2006/main" count="246" uniqueCount="190">
  <si>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</si>
  <si>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</si>
  <si>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</si>
  <si>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</si>
  <si>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</si>
  <si>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</si>
  <si>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</si>
  <si>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</si>
  <si>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</si>
  <si>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</si>
  <si>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</si>
  <si>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</si>
  <si>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</si>
  <si>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</si>
  <si>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</si>
  <si>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</si>
  <si>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</si>
  <si>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</si>
  <si>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</si>
  <si>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</si>
  <si>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</si>
  <si>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</si>
  <si>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</si>
  <si>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</si>
  <si>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</si>
  <si>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</si>
  <si>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</si>
  <si>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</si>
  <si>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</si>
  <si>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</si>
  <si>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</si>
  <si>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</si>
  <si>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</si>
  <si>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</si>
  <si>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</si>
  <si>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</si>
  <si>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</si>
  <si>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</si>
  <si>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</si>
  <si>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</si>
  <si>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</si>
  <si>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</si>
  <si>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</si>
  <si>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</si>
  <si>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</si>
  <si>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</si>
  <si>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</si>
  <si>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</si>
  <si>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</si>
  <si>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</si>
  <si>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</si>
  <si>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</si>
  <si>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</si>
  <si>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</si>
  <si>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</si>
  <si>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</si>
  <si>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</si>
  <si>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</si>
  <si>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</si>
  <si>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</si>
  <si>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</si>
  <si>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</si>
  <si>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</si>
  <si>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</si>
  <si>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</si>
  <si>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</si>
  <si>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</si>
  <si>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</si>
  <si>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</si>
  <si>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</si>
  <si>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</si>
  <si>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</si>
  <si>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</si>
  <si>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</si>
  <si>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</si>
  <si>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</si>
  <si>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</si>
  <si>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</si>
  <si>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</si>
  <si>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</si>
  <si>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</si>
  <si>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</si>
  <si>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</si>
  <si>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</si>
  <si>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</si>
  <si>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</si>
  <si>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</si>
  <si>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</si>
  <si>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</si>
  <si>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</si>
  <si>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</si>
  <si>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</si>
  <si>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</si>
  <si>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</si>
  <si>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</si>
  <si>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</si>
  <si>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</si>
  <si>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</si>
  <si>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</si>
  <si>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</si>
  <si>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</si>
  <si>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</si>
  <si>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</si>
  <si>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</si>
  <si>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</si>
  <si>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</si>
  <si>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</si>
  <si>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</si>
  <si>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</si>
  <si>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</si>
  <si>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</si>
  <si>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</si>
  <si>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</si>
  <si>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</si>
  <si>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</si>
  <si>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</si>
  <si>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</si>
  <si>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</si>
  <si>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</si>
  <si>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</si>
  <si>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</si>
  <si>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</si>
  <si>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</si>
  <si>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</si>
  <si>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</si>
  <si>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</si>
  <si>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</si>
  <si>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</si>
  <si>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</si>
  <si>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</si>
  <si>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</si>
  <si>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</si>
  <si>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</si>
  <si>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</si>
  <si>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</si>
  <si>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</si>
  <si>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</si>
  <si>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</si>
  <si>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</si>
  <si>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</si>
  <si>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</si>
  <si>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</si>
  <si>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</si>
  <si>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</si>
  <si>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</si>
  <si>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</si>
  <si>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</si>
  <si>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</si>
  <si>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</si>
  <si>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</si>
  <si>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</si>
  <si>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</si>
  <si>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</si>
  <si>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</si>
  <si>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</si>
  <si>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</si>
  <si>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</si>
  <si>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</si>
  <si>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</si>
  <si>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</si>
  <si>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</si>
  <si>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</si>
  <si>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</si>
  <si>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</si>
  <si>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</si>
  <si>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</si>
  <si>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</si>
  <si>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</si>
  <si>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</si>
  <si>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</si>
  <si>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</si>
  <si>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</si>
  <si>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</si>
  <si>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</si>
  <si>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</si>
  <si>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</si>
  <si>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</si>
  <si>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</si>
  <si>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</si>
  <si>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</si>
  <si>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t>تقييم خطة الانتشار في وحدات المناورة - تمرين جاهزية مجموعة لواء الإمارات/1 (جندي الصحراء 2025/20)</t>
  </si>
  <si>
    <r>
      <rPr>
        <b/>
        <sz val="12"/>
        <color theme="1"/>
        <rFont val="Arial"/>
        <family val="2"/>
      </rPr>
      <t xml:space="preserve">1.   </t>
    </r>
    <r>
      <rPr>
        <b/>
        <u/>
        <sz val="12"/>
        <color theme="1"/>
        <rFont val="Arial"/>
        <family val="2"/>
      </rPr>
      <t>الخطة</t>
    </r>
    <r>
      <rPr>
        <b/>
        <sz val="12"/>
        <color theme="1"/>
        <rFont val="Arial"/>
        <family val="2"/>
      </rPr>
      <t xml:space="preserve"> (يتم التأكد من التالي): </t>
    </r>
  </si>
  <si>
    <t>أ.    وجود الخطة واعتمادها.</t>
  </si>
  <si>
    <t>ب.  التقيد بالإطار العام.</t>
  </si>
  <si>
    <t>جـ.  التقيد بواجبات الأركان الصغرى في إعداد الخطة.</t>
  </si>
  <si>
    <t>2.   التقيد بالتدريب على تنفيذ الخطة ومدى واقعيتها للتطبيق (التدريب على مهام العمليات).</t>
  </si>
  <si>
    <t>3.   مدى إلمام المرتب بالخطة ومتطلباتها والواجبات المحددة لكل منهم.</t>
  </si>
  <si>
    <t>4.   مدى توفر المهمات والمعدات المطلوبة لتنفيذ الخطة (آليات، معدات، إلخ...).</t>
  </si>
  <si>
    <t>5.   التأكد من التنسيق مع المعنيين لتنفيذ الخطة.</t>
  </si>
  <si>
    <t>6.   مدى تنفيذ المستوى الخاضع للتقييم لجميع الإجراءات المطلوبة منهم في تطبيق الخطة حسب المعاضل التي تفرض من قبل فريق التقييم.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</si>
</sst>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b/>
      <u/>
      <sz val="12"/>
      <color theme="1"/>
      <name val="Arial"/>
      <family val="2"/>
    </font>
    <font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>
      <alignment horizontal="center" vertical="center" wrapText="1" readingOrder="2"/>
    </xf>
    <xf numFmtId="0" fontId="3" fillId="0" borderId="3" xfId="0" applyFont="1" applyBorder="1" applyAlignment="1">
      <alignment horizontal="center" vertical="center" wrapText="1" readingOrder="2"/>
    </xf>
    <xf numFmtId="0" fontId="3" fillId="0" borderId="12" xfId="0" applyFont="1" applyBorder="1" applyAlignment="1">
      <alignment horizontal="center" vertical="center" wrapText="1" readingOrder="2"/>
    </xf>
    <xf numFmtId="0" fontId="3" fillId="0" borderId="9" xfId="0" applyFont="1" applyBorder="1" applyAlignment="1">
      <alignment horizontal="center" vertical="center" wrapText="1" readingOrder="2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9" fontId="3" fillId="0" borderId="9" xfId="0" applyNumberFormat="1" applyFont="1" applyBorder="1" applyAlignment="1">
      <alignment horizontal="center" vertical="center" wrapText="1" readingOrder="2"/>
    </xf>
    <xf numFmtId="0" fontId="14" fillId="0" borderId="11" xfId="0" applyFont="1" applyBorder="1" applyAlignment="1">
      <alignment horizontal="right" vertical="center" wrapText="1" indent="2" readingOrder="2"/>
    </xf>
    <xf numFmtId="0" fontId="14" fillId="0" borderId="12" xfId="0" applyFont="1" applyBorder="1" applyAlignment="1">
      <alignment horizontal="right" vertical="center" wrapText="1" indent="2" readingOrder="2"/>
    </xf>
    <xf numFmtId="0" fontId="3" fillId="0" borderId="8" xfId="0" applyFont="1" applyBorder="1" applyAlignment="1">
      <alignment horizontal="right" vertical="center" wrapText="1" readingOrder="2"/>
    </xf>
    <xf numFmtId="0" fontId="3" fillId="0" borderId="9" xfId="0" applyFont="1" applyBorder="1" applyAlignment="1">
      <alignment horizontal="right" vertical="center" wrapText="1" readingOrder="2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0" fontId="3" fillId="0" borderId="10" xfId="0" applyFont="1" applyBorder="1" applyAlignment="1" applyProtection="1">
      <alignment horizontal="center" vertical="center" wrapText="1" readingOrder="2"/>
      <protection locked="0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13" fillId="0" borderId="5" xfId="0" applyFont="1" applyBorder="1" applyAlignment="1">
      <alignment horizontal="right" vertical="center" wrapText="1" readingOrder="2"/>
    </xf>
    <xf numFmtId="0" fontId="13" fillId="0" borderId="4" xfId="0" applyFont="1" applyBorder="1" applyAlignment="1">
      <alignment horizontal="right" vertical="center" wrapText="1" readingOrder="2"/>
    </xf>
    <xf numFmtId="0" fontId="14" fillId="0" borderId="23" xfId="0" applyFont="1" applyBorder="1" applyAlignment="1">
      <alignment horizontal="right" vertical="center" wrapText="1" indent="2" readingOrder="2"/>
    </xf>
    <xf numFmtId="0" fontId="14" fillId="0" borderId="3" xfId="0" applyFont="1" applyBorder="1" applyAlignment="1">
      <alignment horizontal="right" vertical="center" wrapText="1" indent="2" readingOrder="2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customXml" Target="../ink/ink2.xml"/><Relationship Id="rId7" Type="http://schemas.openxmlformats.org/officeDocument/2006/relationships/customXml" Target="../ink/ink4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5" Type="http://schemas.openxmlformats.org/officeDocument/2006/relationships/customXml" Target="../ink/ink3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283989</xdr:colOff>
      <xdr:row>20</xdr:row>
      <xdr:rowOff>336388</xdr:rowOff>
    </xdr:from>
    <xdr:to>
      <xdr:col>5</xdr:col>
      <xdr:colOff>299469</xdr:colOff>
      <xdr:row>20</xdr:row>
      <xdr:rowOff>359788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2EA2F559-11F1-A3DC-7957-B1E5E8888337}"/>
                </a:ext>
              </a:extLst>
            </xdr14:cNvPr>
            <xdr14:cNvContentPartPr/>
          </xdr14:nvContentPartPr>
          <xdr14:nvPr macro=""/>
          <xdr14:xfrm>
            <a:off x="10400919713" y="9249480"/>
            <a:ext cx="15480" cy="2340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2EA2F559-11F1-A3DC-7957-B1E5E888833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00910713" y="9240480"/>
              <a:ext cx="33120" cy="41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345189</xdr:colOff>
      <xdr:row>20</xdr:row>
      <xdr:rowOff>399748</xdr:rowOff>
    </xdr:from>
    <xdr:to>
      <xdr:col>5</xdr:col>
      <xdr:colOff>357429</xdr:colOff>
      <xdr:row>20</xdr:row>
      <xdr:rowOff>418468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D836372D-AF3C-CB3F-F2C2-B162555F6747}"/>
                </a:ext>
              </a:extLst>
            </xdr14:cNvPr>
            <xdr14:cNvContentPartPr/>
          </xdr14:nvContentPartPr>
          <xdr14:nvPr macro=""/>
          <xdr14:xfrm>
            <a:off x="10400861753" y="9312840"/>
            <a:ext cx="12240" cy="1872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D836372D-AF3C-CB3F-F2C2-B162555F674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400853113" y="9303840"/>
              <a:ext cx="29880" cy="36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133137</xdr:colOff>
      <xdr:row>20</xdr:row>
      <xdr:rowOff>124708</xdr:rowOff>
    </xdr:from>
    <xdr:to>
      <xdr:col>8</xdr:col>
      <xdr:colOff>352356</xdr:colOff>
      <xdr:row>20</xdr:row>
      <xdr:rowOff>554548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C29DF256-EB39-C514-2A49-5FE01CD5F040}"/>
                </a:ext>
              </a:extLst>
            </xdr14:cNvPr>
            <xdr14:cNvContentPartPr/>
          </xdr14:nvContentPartPr>
          <xdr14:nvPr macro=""/>
          <xdr14:xfrm>
            <a:off x="10398892553" y="9037800"/>
            <a:ext cx="1535400" cy="42984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C29DF256-EB39-C514-2A49-5FE01CD5F04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0398883913" y="9029160"/>
              <a:ext cx="1553040" cy="447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680791</xdr:colOff>
      <xdr:row>2</xdr:row>
      <xdr:rowOff>199140</xdr:rowOff>
    </xdr:from>
    <xdr:to>
      <xdr:col>3</xdr:col>
      <xdr:colOff>711391</xdr:colOff>
      <xdr:row>2</xdr:row>
      <xdr:rowOff>229740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9FFF4A10-D44B-D1DB-4922-840FFC752A85}"/>
                </a:ext>
              </a:extLst>
            </xdr14:cNvPr>
            <xdr14:cNvContentPartPr/>
          </xdr14:nvContentPartPr>
          <xdr14:nvPr macro=""/>
          <xdr14:xfrm>
            <a:off x="10403157473" y="1151640"/>
            <a:ext cx="30600" cy="3060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9FFF4A10-D44B-D1DB-4922-840FFC752A85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10403148833" y="1143000"/>
              <a:ext cx="48240" cy="482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8T04:04:42.98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36 60 20332,'0'0'0,"0"0"0,-12-20 944,7 3-416,-9 0-208,11 12-296,3 5-24,-2-1-16,2 1-112,0 0-136,3 4-256,-3-4 520,4 16-1264,10-2-1505,-9 0-4216,11 2-441,-16-16 7426,0 0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8T04:04:43.63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26 52 19212,'0'0'0,"-6"-19"312,-6 6-392,8-1-224,4 14 304,-3-4-585,3 2-175,0 2-256,3 3-368,-3-3 1384,4 4-2113,0 11-1679,0-11-185,9 7 1120,-13-11 2857,0 3-1856,4 1 1064,-4-4 792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8T04:04:49.01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1976 790 9265,'0'0'0,"0"-3"3761,0 3-3761,0-3 424,3 0-280,-3 2-64,4 0-8,-4 1-72,2-2 64,1 1-8,0 1 0,0 0 0,-3 0-56,0 0 65,0 0 7,0 0 56,0 0 16,0 0-553,0 0 1026,0 0-297,0 0 104,0 0 24,0 0-2257,0 0 4138,-1 0-1793,-2-2-40,-2 1-8,5 1-488,-12-2 392,1 0-176,-4-3-120,-3 1-32,18 4-64,-25-4 48,-8-2 0,-3 0-40,-6-6 9,42 12-17,-48-5 0,-5-6 56,-4 5 56,-7-8-40,64 14-72,-65-11 64,-6-2-8,-4 2 16,1-2 32,74 13-104,-77-13 144,3 2-32,-7-2 48,-1 1-56,82 12-104,-83-11 80,-1 0-24,4 5-24,1-8 24,79 14-56,-76-6 112,4-8 24,6 8 40,7-9 0,59 15-176,-56-5 192,6-7-80,7 7-16,1-8-64,42 13-32,-36-4 40,6-1-24,-1-7-16,7 9 24,24 3-24,-20-5 0,1-1 40,8 2-32,5-1-16,6 5 8,-4-4-56,4 3-8,0-2-32,3 1-128,-3 2 224,4-1-224,13-3 8,3-1 56,5 1 48,-25 4 112,30-11-64,6 7 48,4-12-48,6 5 128,-46 11-64,52-13-8,8-1-16,5 1-32,5 0 8,-70 13 48,75-13-8,1 2-8,2-2 56,4 0-64,-82 13 24,86-13-16,1 1 32,1-1-56,0 0 24,-88 13 16,89-11 16,4-4 24,8 1 40,1 0-88,-102 14 8,109-14 72,2 0-80,-2-1-48,3 1 88,-112 14-32,111-13-32,-1 1 72,2 6 88,-2-8-40,-110 14-88,109-5 56,-1-6-152,-4 8 56,0-1 16,-104 4 24,100-4-24,0-1 152,-3 0-168,-3 0 48,-94 5-8,96-4 80,-7 0-160,2 1 112,-5-1-32,-86 4 0,80-2 24,-4 1 64,-8 1-24,-6 0-96,-62 0 32,55 0-48,-4 4 0,-8-1-16,-5 1 64,-38-4 0,34 3 0,-8 1-48,-2-1-16,-9 2 24,-15-5 40,4 4-72,0-1 8,-1 0-24,-3-1 32,0-2 56,-1 3-88,-12 1 48,-3 9 64,-12 1 0,28-14-24,-38 18 0,-9 0-48,-10 5 0,-9 2 8,66-25 40,-73 30-24,-10 3 0,-13 2-8,-8 1-72,104-36 104,-111 38-120,-5 1 32,0 1-8,-1 1 96,117-41 0,-118 38 40,0 1 8,-1-4 8,4-1-56,115-34 0,-114 33 48,7 0 8,5 1-32,3-2 136,99-32-160,-89 34-16,1 1 16,2-1 112,0 0 32,86-34-144,-86 37 152,2 0-64,5 1-64,4 1-176,75-39 152,-67 35-24,8-2-24,7-5 24,9-4 8,43-24 16,-34 20-48,5-4 16,9-3-128,8-10 48,12-3 112,-4 4-104,1-1 96,2-3 96,1 0-56,0 0-32,0-2 80,4-3-72,12-14-16,-5-1-32,-11 20 40,18-27-88,6-6 0,2-2 40,6-6 88,-32 41-40,36-46 8,2-5 8,6-6-80,0-1 16,-44 58 48,46-61 16,-3 2-40,-6 4-24,-1 1-128,-36 54 176,32-53-297,-1-1 17,-6 3 80,-3 4 80,-22 47 120,12-41-48,-9 7 48,-3 4-8,-3 3-32,3 27 40,-19-21-104,-6-2-200,-7 2-232,-11 2-136,43 19 672,-53-17-744,-12 4 8,-12 9 160,-7 0 127,84 4 449,-91-2-144,1 1 312,-6 1 177,1 0 151,95 0-496,-96 3 416,0 0-64,-1 0-32,7-1-56,90-2-264,-85 3 232,1-3-48,8 3-64,5-3 64,71 0-184,-62 3 80,4 0 96,14-3-48,7 3-72,37-3-56,-32 0 160,12 2-152,6-2-96,9 3-416,5-3 504,0 0-824,20 3-80,1 0 96,9 1 399,-30-4 409,39 5-120,12-3 160,9-2-40,11 0 40,-71 0-40,79 0 24,4 0 8,8 0 24,1 3-72,-3 0-8,-89-3 24,83 4-16,-8 8 16,-13-8 16,-12 10 80,-50-14-96,36 4 184,-13 12 129,-10-5 247,-13-6 184,0-5-744,0 15 960,-13 0 136,-10-1-71,-15 6-145,38-20-880,-47 22 680,-12 4-240,-7 4-200,66-30-240,-69 34 160,0 3-48,0-2-8,0 2-16,9-1-24,60-36-64,-59 34 16,7 2 8,5 1-32,8 2 16,39-39-8,-34 46-80,7 1-32,6 1-120,5 2-304,16-50 536,-3 52-1544,2-2-2697,4 1-4257,-3-51 8498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8T04:04:59.37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53 43 13482,'0'0'0,"-12"-15"1777,-1 3-529,0 1-584,13 11-664,-4-2 408,-1 1-192,3 0-232,0 1-144,2 0 160,-1 0-256,1 0 24,0 4-72,4 7 80,-4-11 224,11 4-368,-6 11-232,9-4-440,0 0-1161,-14-11 2201,17 13-4561,1 1-1080,-18-14 5641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1"/>
  <sheetViews>
    <sheetView rightToLeft="1" tabSelected="1" view="pageBreakPreview" topLeftCell="C13" zoomScale="130" zoomScaleNormal="100" zoomScaleSheetLayoutView="130" workbookViewId="0">
      <selection activeCell="F2" sqref="F2:J2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65" t="s">
        <v>180</v>
      </c>
      <c r="C1" s="65"/>
      <c r="D1" s="65"/>
      <c r="E1" s="65"/>
      <c r="F1" s="65"/>
      <c r="G1" s="65"/>
      <c r="H1" s="65"/>
      <c r="I1" s="65"/>
      <c r="J1" s="65"/>
    </row>
    <row r="2" spans="1:10" ht="30" customHeight="1" x14ac:dyDescent="0.3">
      <c r="B2" s="11" t="s">
        <v>8</v>
      </c>
      <c r="C2" s="71" t="s">
        <v>43</v>
      </c>
      <c r="D2" s="71"/>
      <c r="E2" s="11" t="s">
        <v>7</v>
      </c>
      <c r="F2" s="66">
        <v>45932</v>
      </c>
      <c r="G2" s="66"/>
      <c r="H2" s="66"/>
      <c r="I2" s="66"/>
      <c r="J2" s="66"/>
    </row>
    <row r="3" spans="1:10" ht="30" customHeight="1" x14ac:dyDescent="0.3">
      <c r="B3" s="11" t="s">
        <v>9</v>
      </c>
      <c r="C3" s="71" t="s">
        <v>87</v>
      </c>
      <c r="D3" s="71"/>
      <c r="E3" s="11" t="s">
        <v>6</v>
      </c>
      <c r="F3" s="71" t="s">
        <v>130</v>
      </c>
      <c r="G3" s="71"/>
      <c r="H3" s="71"/>
      <c r="I3" s="71"/>
      <c r="J3" s="71"/>
    </row>
    <row r="4" spans="1:10" ht="30" customHeight="1" thickBot="1" x14ac:dyDescent="0.35">
      <c r="B4" s="6"/>
      <c r="C4" s="7"/>
      <c r="D4" s="7"/>
      <c r="E4" s="6"/>
      <c r="F4" s="7"/>
      <c r="G4" s="7"/>
      <c r="H4" s="8"/>
      <c r="I4" s="7"/>
      <c r="J4" s="7"/>
    </row>
    <row r="5" spans="1:10" ht="24.9" customHeight="1" x14ac:dyDescent="0.3">
      <c r="A5" s="9"/>
      <c r="B5" s="67" t="s">
        <v>0</v>
      </c>
      <c r="C5" s="68"/>
      <c r="D5" s="68"/>
      <c r="E5" s="51" t="s">
        <v>1</v>
      </c>
      <c r="F5" s="51"/>
      <c r="G5" s="51"/>
      <c r="H5" s="51"/>
      <c r="I5" s="51" t="s">
        <v>2</v>
      </c>
      <c r="J5" s="52"/>
    </row>
    <row r="6" spans="1:10" ht="24.9" customHeight="1" thickBot="1" x14ac:dyDescent="0.35">
      <c r="A6" s="9"/>
      <c r="B6" s="69"/>
      <c r="C6" s="70"/>
      <c r="D6" s="70"/>
      <c r="E6" s="10" t="s">
        <v>3</v>
      </c>
      <c r="F6" s="10" t="s">
        <v>4</v>
      </c>
      <c r="G6" s="10" t="s">
        <v>23</v>
      </c>
      <c r="H6" s="10" t="s">
        <v>24</v>
      </c>
      <c r="I6" s="53"/>
      <c r="J6" s="54"/>
    </row>
    <row r="7" spans="1:10" ht="24.9" customHeight="1" thickBot="1" x14ac:dyDescent="0.35">
      <c r="A7" s="9"/>
      <c r="B7" s="49" t="s">
        <v>21</v>
      </c>
      <c r="C7" s="50"/>
      <c r="D7" s="50"/>
      <c r="E7" s="32" t="s">
        <v>18</v>
      </c>
      <c r="F7" s="32" t="s">
        <v>19</v>
      </c>
      <c r="G7" s="32" t="s">
        <v>22</v>
      </c>
      <c r="H7" s="32" t="s">
        <v>20</v>
      </c>
      <c r="I7" s="55" t="s">
        <v>25</v>
      </c>
      <c r="J7" s="56"/>
    </row>
    <row r="8" spans="1:10" ht="39.9" customHeight="1" x14ac:dyDescent="0.3">
      <c r="A8" s="9"/>
      <c r="B8" s="61" t="s">
        <v>181</v>
      </c>
      <c r="C8" s="62"/>
      <c r="D8" s="62"/>
      <c r="E8" s="28"/>
      <c r="F8" s="36"/>
      <c r="G8" s="37"/>
      <c r="H8" s="38"/>
      <c r="I8" s="59"/>
      <c r="J8" s="60"/>
    </row>
    <row r="9" spans="1:10" ht="39.9" customHeight="1" x14ac:dyDescent="0.3">
      <c r="A9" s="9"/>
      <c r="B9" s="63" t="s">
        <v>182</v>
      </c>
      <c r="C9" s="64"/>
      <c r="D9" s="64"/>
      <c r="E9" s="29">
        <v>10</v>
      </c>
      <c r="F9" s="25">
        <v>7</v>
      </c>
      <c r="G9" s="34">
        <f>IFERROR(F9/E9,"")</f>
        <v>0.7</v>
      </c>
      <c r="H9" s="35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57"/>
      <c r="J9" s="58"/>
    </row>
    <row r="10" spans="1:10" ht="39.9" customHeight="1" x14ac:dyDescent="0.3">
      <c r="A10" s="9"/>
      <c r="B10" s="63" t="s">
        <v>183</v>
      </c>
      <c r="C10" s="64"/>
      <c r="D10" s="64"/>
      <c r="E10" s="29">
        <v>5</v>
      </c>
      <c r="F10" s="25">
        <v>3.75</v>
      </c>
      <c r="G10" s="34">
        <f t="shared" ref="G10:G16" si="0">IFERROR(F10/E10,"")</f>
        <v>0.75</v>
      </c>
      <c r="H10" s="35" t="str">
        <f t="shared" ref="H10:H16" si="1">_xlfn.IFS(F10="أدخل العلامة","",F10="لا ينطبق","تم الإلغاء",G10&gt;=90%,"ممتاز",G10&gt;=80%,"جيد جداً",G10&gt;=70%,"جيد",G10&gt;=60%,"مقبول",G10&lt;60%,"راسب")</f>
        <v>جيد</v>
      </c>
      <c r="I10" s="57"/>
      <c r="J10" s="58"/>
    </row>
    <row r="11" spans="1:10" ht="39.9" customHeight="1" thickBot="1" x14ac:dyDescent="0.35">
      <c r="A11" s="9"/>
      <c r="B11" s="43" t="s">
        <v>184</v>
      </c>
      <c r="C11" s="44"/>
      <c r="D11" s="44"/>
      <c r="E11" s="30">
        <v>5</v>
      </c>
      <c r="F11" s="27">
        <v>3.5</v>
      </c>
      <c r="G11" s="39">
        <f t="shared" si="0"/>
        <v>0.7</v>
      </c>
      <c r="H11" s="40" t="str">
        <f t="shared" si="1"/>
        <v>جيد</v>
      </c>
      <c r="I11" s="89"/>
      <c r="J11" s="90"/>
    </row>
    <row r="12" spans="1:10" ht="39.9" customHeight="1" thickBot="1" x14ac:dyDescent="0.35">
      <c r="A12" s="9"/>
      <c r="B12" s="45" t="s">
        <v>185</v>
      </c>
      <c r="C12" s="46"/>
      <c r="D12" s="46"/>
      <c r="E12" s="31">
        <v>20</v>
      </c>
      <c r="F12" s="41">
        <v>14.5</v>
      </c>
      <c r="G12" s="42">
        <f t="shared" si="0"/>
        <v>0.72499999999999998</v>
      </c>
      <c r="H12" s="26" t="str">
        <f t="shared" si="1"/>
        <v>جيد</v>
      </c>
      <c r="I12" s="47"/>
      <c r="J12" s="48"/>
    </row>
    <row r="13" spans="1:10" ht="39.9" customHeight="1" thickBot="1" x14ac:dyDescent="0.35">
      <c r="A13" s="9"/>
      <c r="B13" s="45" t="s">
        <v>186</v>
      </c>
      <c r="C13" s="46"/>
      <c r="D13" s="46"/>
      <c r="E13" s="31">
        <v>10</v>
      </c>
      <c r="F13" s="41">
        <v>7</v>
      </c>
      <c r="G13" s="42">
        <f t="shared" si="0"/>
        <v>0.7</v>
      </c>
      <c r="H13" s="26" t="str">
        <f t="shared" si="1"/>
        <v>جيد</v>
      </c>
      <c r="I13" s="47"/>
      <c r="J13" s="48"/>
    </row>
    <row r="14" spans="1:10" ht="39.9" customHeight="1" thickBot="1" x14ac:dyDescent="0.35">
      <c r="A14" s="9"/>
      <c r="B14" s="45" t="s">
        <v>187</v>
      </c>
      <c r="C14" s="46"/>
      <c r="D14" s="46"/>
      <c r="E14" s="31">
        <v>10</v>
      </c>
      <c r="F14" s="41">
        <v>7.25</v>
      </c>
      <c r="G14" s="42">
        <f t="shared" si="0"/>
        <v>0.72499999999999998</v>
      </c>
      <c r="H14" s="26" t="str">
        <f t="shared" si="1"/>
        <v>جيد</v>
      </c>
      <c r="I14" s="47"/>
      <c r="J14" s="48"/>
    </row>
    <row r="15" spans="1:10" ht="39.9" customHeight="1" thickBot="1" x14ac:dyDescent="0.35">
      <c r="A15" s="9"/>
      <c r="B15" s="45" t="s">
        <v>188</v>
      </c>
      <c r="C15" s="46"/>
      <c r="D15" s="46"/>
      <c r="E15" s="31">
        <v>5</v>
      </c>
      <c r="F15" s="41">
        <v>3.75</v>
      </c>
      <c r="G15" s="42">
        <f t="shared" si="0"/>
        <v>0.75</v>
      </c>
      <c r="H15" s="26" t="str">
        <f t="shared" si="1"/>
        <v>جيد</v>
      </c>
      <c r="I15" s="47"/>
      <c r="J15" s="48"/>
    </row>
    <row r="16" spans="1:10" ht="39.9" customHeight="1" thickBot="1" x14ac:dyDescent="0.35">
      <c r="A16" s="9"/>
      <c r="B16" s="45" t="s">
        <v>189</v>
      </c>
      <c r="C16" s="46"/>
      <c r="D16" s="46"/>
      <c r="E16" s="31">
        <v>5</v>
      </c>
      <c r="F16" s="41">
        <v>3.5</v>
      </c>
      <c r="G16" s="42">
        <f t="shared" si="0"/>
        <v>0.7</v>
      </c>
      <c r="H16" s="26" t="str">
        <f t="shared" si="1"/>
        <v>جيد</v>
      </c>
      <c r="I16" s="47"/>
      <c r="J16" s="48"/>
    </row>
    <row r="17" spans="1:10" ht="30" customHeight="1" thickBot="1" x14ac:dyDescent="0.35">
      <c r="A17" s="4"/>
      <c r="B17" s="85" t="s">
        <v>5</v>
      </c>
      <c r="C17" s="86"/>
      <c r="D17" s="86"/>
      <c r="E17" s="33">
        <f>SUM(E8:E16)</f>
        <v>70</v>
      </c>
      <c r="F17" s="33">
        <f>SUM(F8:F16)</f>
        <v>50.25</v>
      </c>
      <c r="G17" s="74"/>
      <c r="H17" s="75"/>
      <c r="I17" s="75"/>
      <c r="J17" s="76"/>
    </row>
    <row r="18" spans="1:10" ht="30" customHeight="1" thickBot="1" x14ac:dyDescent="0.35">
      <c r="A18" s="4"/>
      <c r="B18" s="87" t="s">
        <v>54</v>
      </c>
      <c r="C18" s="88"/>
      <c r="D18" s="88"/>
      <c r="E18" s="83">
        <f>F17/E17/100*100</f>
        <v>0.71785714285714286</v>
      </c>
      <c r="F18" s="83"/>
      <c r="G18" s="83"/>
      <c r="H18" s="83"/>
      <c r="I18" s="83"/>
      <c r="J18" s="84"/>
    </row>
    <row r="19" spans="1:10" ht="30" customHeight="1" thickBot="1" x14ac:dyDescent="0.35">
      <c r="A19" s="4"/>
      <c r="B19" s="87" t="s">
        <v>55</v>
      </c>
      <c r="C19" s="88"/>
      <c r="D19" s="88"/>
      <c r="E19" s="81" t="str">
        <f>_xlfn.IFS(E18&gt;=90%,"ممتاز",E18&gt;=80%,"جيد جداً",E18&gt;=70%,"جيد",E18&gt;=60%,"مقبول",E18&lt;60%,"راسب")</f>
        <v>جيد</v>
      </c>
      <c r="F19" s="81"/>
      <c r="G19" s="81"/>
      <c r="H19" s="81"/>
      <c r="I19" s="81"/>
      <c r="J19" s="82"/>
    </row>
    <row r="20" spans="1:10" ht="42" customHeight="1" x14ac:dyDescent="0.3">
      <c r="B20" s="77" t="s">
        <v>174</v>
      </c>
      <c r="C20" s="77"/>
      <c r="D20" s="77"/>
      <c r="E20" s="72" t="s">
        <v>52</v>
      </c>
      <c r="F20" s="72"/>
      <c r="G20" s="79" t="s">
        <v>130</v>
      </c>
      <c r="H20" s="79"/>
      <c r="I20" s="79"/>
      <c r="J20" s="79"/>
    </row>
    <row r="21" spans="1:10" ht="51" customHeight="1" x14ac:dyDescent="0.3">
      <c r="A21" s="5"/>
      <c r="B21" s="78"/>
      <c r="C21" s="78"/>
      <c r="D21" s="78"/>
      <c r="E21" s="73" t="s">
        <v>53</v>
      </c>
      <c r="F21" s="73"/>
      <c r="G21" s="80"/>
      <c r="H21" s="80"/>
      <c r="I21" s="80"/>
      <c r="J21" s="80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39">
    <mergeCell ref="E20:F20"/>
    <mergeCell ref="E21:F21"/>
    <mergeCell ref="G17:J17"/>
    <mergeCell ref="I9:J9"/>
    <mergeCell ref="B20:D21"/>
    <mergeCell ref="G20:J20"/>
    <mergeCell ref="G21:J21"/>
    <mergeCell ref="E19:J19"/>
    <mergeCell ref="E18:J18"/>
    <mergeCell ref="B17:D17"/>
    <mergeCell ref="B18:D18"/>
    <mergeCell ref="B19:D19"/>
    <mergeCell ref="I11:J11"/>
    <mergeCell ref="I12:J12"/>
    <mergeCell ref="I13:J13"/>
    <mergeCell ref="I14:J14"/>
    <mergeCell ref="B1:J1"/>
    <mergeCell ref="F2:J2"/>
    <mergeCell ref="B5:D6"/>
    <mergeCell ref="C2:D2"/>
    <mergeCell ref="C3:D3"/>
    <mergeCell ref="F3:J3"/>
    <mergeCell ref="B7:D7"/>
    <mergeCell ref="E5:H5"/>
    <mergeCell ref="I5:J6"/>
    <mergeCell ref="I7:J7"/>
    <mergeCell ref="I10:J10"/>
    <mergeCell ref="I8:J8"/>
    <mergeCell ref="B8:D8"/>
    <mergeCell ref="B9:D9"/>
    <mergeCell ref="B10:D10"/>
    <mergeCell ref="B11:D11"/>
    <mergeCell ref="B12:D12"/>
    <mergeCell ref="I15:J15"/>
    <mergeCell ref="I16:J16"/>
    <mergeCell ref="B13:D13"/>
    <mergeCell ref="B14:D14"/>
    <mergeCell ref="B15:D15"/>
    <mergeCell ref="B16:D16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19">
    <cfRule type="expression" dxfId="14" priority="57">
      <formula>$E19="راسب"</formula>
    </cfRule>
  </conditionalFormatting>
  <conditionalFormatting sqref="E19:J19">
    <cfRule type="expression" dxfId="13" priority="58">
      <formula>$E19="مقبول"</formula>
    </cfRule>
    <cfRule type="expression" dxfId="12" priority="59">
      <formula>$E19="جيد"</formula>
    </cfRule>
    <cfRule type="expression" dxfId="11" priority="60">
      <formula>$E19="جيد جداً"</formula>
    </cfRule>
    <cfRule type="expression" dxfId="10" priority="61">
      <formula>$E19="ممتاز"</formula>
    </cfRule>
  </conditionalFormatting>
  <conditionalFormatting sqref="F8:F16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20:J20">
    <cfRule type="containsText" dxfId="6" priority="15" operator="containsText" text="أدخل اسم المحكم">
      <formula>NOT(ISERROR(SEARCH("أدخل اسم المحكم",G20)))</formula>
    </cfRule>
  </conditionalFormatting>
  <conditionalFormatting sqref="H8:H16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F15:F16 F10:F11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G20:J20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  <x14:dataValidation type="list" allowBlank="1" showInputMessage="1" showErrorMessage="1" xr:uid="{3FA2703D-2ECF-43C5-A3F7-82FDA389B93E}">
          <x14:formula1>
            <xm:f>'بيانات التقييم'!$A$111:$A$153</xm:f>
          </x14:formula1>
          <xm:sqref>F9 F13 F14</xm:sqref>
        </x14:dataValidation>
        <x14:dataValidation type="list" allowBlank="1" showInputMessage="1" showErrorMessage="1" xr:uid="{146A380C-0401-491B-8FEE-C46060DDCED8}">
          <x14:formula1>
            <xm:f>'بيانات التقييم'!$A$111:$A$193</xm:f>
          </x14:formula1>
          <xm:sqref>F12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166" workbookViewId="0">
      <selection activeCell="C33" sqref="C33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18" t="s">
        <v>62</v>
      </c>
    </row>
    <row r="3" spans="1:3" ht="20.100000000000001" customHeight="1" thickBot="1" x14ac:dyDescent="0.35">
      <c r="A3" s="2" t="s">
        <v>26</v>
      </c>
      <c r="C3" s="18" t="s">
        <v>63</v>
      </c>
    </row>
    <row r="4" spans="1:3" ht="20.100000000000001" customHeight="1" thickBot="1" x14ac:dyDescent="0.35">
      <c r="A4" s="2" t="s">
        <v>36</v>
      </c>
      <c r="C4" s="18" t="s">
        <v>64</v>
      </c>
    </row>
    <row r="5" spans="1:3" ht="20.100000000000001" customHeight="1" thickBot="1" x14ac:dyDescent="0.35">
      <c r="A5" s="2" t="s">
        <v>37</v>
      </c>
      <c r="C5" s="18" t="s">
        <v>65</v>
      </c>
    </row>
    <row r="6" spans="1:3" ht="20.100000000000001" customHeight="1" thickBot="1" x14ac:dyDescent="0.35">
      <c r="A6" s="2" t="s">
        <v>38</v>
      </c>
      <c r="C6" s="18" t="s">
        <v>66</v>
      </c>
    </row>
    <row r="7" spans="1:3" ht="20.100000000000001" customHeight="1" thickBot="1" x14ac:dyDescent="0.35">
      <c r="A7" s="2" t="s">
        <v>39</v>
      </c>
      <c r="C7" s="18" t="s">
        <v>67</v>
      </c>
    </row>
    <row r="8" spans="1:3" ht="20.100000000000001" customHeight="1" thickBot="1" x14ac:dyDescent="0.35">
      <c r="A8" s="2" t="s">
        <v>40</v>
      </c>
      <c r="C8" s="18" t="s">
        <v>68</v>
      </c>
    </row>
    <row r="9" spans="1:3" ht="20.100000000000001" customHeight="1" thickBot="1" x14ac:dyDescent="0.35">
      <c r="A9" s="2" t="s">
        <v>41</v>
      </c>
      <c r="C9" s="18" t="s">
        <v>69</v>
      </c>
    </row>
    <row r="10" spans="1:3" ht="20.100000000000001" customHeight="1" thickBot="1" x14ac:dyDescent="0.35">
      <c r="A10" s="2" t="s">
        <v>42</v>
      </c>
      <c r="C10" s="18" t="s">
        <v>70</v>
      </c>
    </row>
    <row r="11" spans="1:3" ht="20.100000000000001" customHeight="1" thickBot="1" x14ac:dyDescent="0.35">
      <c r="A11" s="2" t="s">
        <v>43</v>
      </c>
      <c r="C11" s="18" t="s">
        <v>71</v>
      </c>
    </row>
    <row r="12" spans="1:3" ht="20.100000000000001" customHeight="1" thickBot="1" x14ac:dyDescent="0.35">
      <c r="A12" s="2" t="s">
        <v>44</v>
      </c>
      <c r="C12" s="18" t="s">
        <v>72</v>
      </c>
    </row>
    <row r="13" spans="1:3" ht="20.100000000000001" customHeight="1" thickBot="1" x14ac:dyDescent="0.35">
      <c r="A13" s="2" t="s">
        <v>45</v>
      </c>
      <c r="C13" s="18" t="s">
        <v>73</v>
      </c>
    </row>
    <row r="14" spans="1:3" ht="20.100000000000001" customHeight="1" thickBot="1" x14ac:dyDescent="0.35">
      <c r="A14" s="2" t="s">
        <v>46</v>
      </c>
      <c r="C14" s="18" t="s">
        <v>74</v>
      </c>
    </row>
    <row r="15" spans="1:3" ht="20.100000000000001" customHeight="1" thickBot="1" x14ac:dyDescent="0.35">
      <c r="A15" s="2" t="s">
        <v>47</v>
      </c>
      <c r="C15" s="18" t="s">
        <v>75</v>
      </c>
    </row>
    <row r="16" spans="1:3" ht="20.100000000000001" customHeight="1" thickBot="1" x14ac:dyDescent="0.35">
      <c r="A16" s="2" t="s">
        <v>10</v>
      </c>
      <c r="C16" s="18" t="s">
        <v>76</v>
      </c>
    </row>
    <row r="17" spans="1:3" ht="20.100000000000001" customHeight="1" thickBot="1" x14ac:dyDescent="0.35">
      <c r="A17" s="2" t="s">
        <v>27</v>
      </c>
      <c r="C17" s="18" t="s">
        <v>77</v>
      </c>
    </row>
    <row r="18" spans="1:3" ht="20.100000000000001" customHeight="1" thickBot="1" x14ac:dyDescent="0.35">
      <c r="A18" s="2" t="s">
        <v>48</v>
      </c>
      <c r="C18" s="18" t="s">
        <v>78</v>
      </c>
    </row>
    <row r="19" spans="1:3" ht="20.100000000000001" customHeight="1" thickBot="1" x14ac:dyDescent="0.35">
      <c r="A19" s="2" t="s">
        <v>49</v>
      </c>
      <c r="C19" s="18" t="s">
        <v>79</v>
      </c>
    </row>
    <row r="20" spans="1:3" ht="20.100000000000001" customHeight="1" thickBot="1" x14ac:dyDescent="0.35">
      <c r="A20" s="2" t="s">
        <v>50</v>
      </c>
      <c r="C20" s="18" t="s">
        <v>80</v>
      </c>
    </row>
    <row r="21" spans="1:3" ht="20.100000000000001" customHeight="1" thickBot="1" x14ac:dyDescent="0.35">
      <c r="A21" s="2" t="s">
        <v>51</v>
      </c>
      <c r="C21" s="18" t="s">
        <v>81</v>
      </c>
    </row>
    <row r="22" spans="1:3" ht="20.100000000000001" customHeight="1" thickBot="1" x14ac:dyDescent="0.35">
      <c r="A22" s="2" t="s">
        <v>11</v>
      </c>
      <c r="C22" s="18" t="s">
        <v>82</v>
      </c>
    </row>
    <row r="23" spans="1:3" ht="20.100000000000001" customHeight="1" thickBot="1" x14ac:dyDescent="0.35">
      <c r="A23" s="2" t="s">
        <v>12</v>
      </c>
      <c r="C23" s="18" t="s">
        <v>83</v>
      </c>
    </row>
    <row r="24" spans="1:3" ht="20.100000000000001" customHeight="1" thickBot="1" x14ac:dyDescent="0.35">
      <c r="A24" s="2" t="s">
        <v>15</v>
      </c>
      <c r="C24" s="18" t="s">
        <v>84</v>
      </c>
    </row>
    <row r="25" spans="1:3" ht="20.100000000000001" customHeight="1" thickBot="1" x14ac:dyDescent="0.35">
      <c r="A25" s="2" t="s">
        <v>28</v>
      </c>
      <c r="C25" s="18" t="s">
        <v>85</v>
      </c>
    </row>
    <row r="26" spans="1:3" ht="20.100000000000001" customHeight="1" thickBot="1" x14ac:dyDescent="0.35">
      <c r="A26" s="2" t="s">
        <v>29</v>
      </c>
      <c r="C26" s="18" t="s">
        <v>86</v>
      </c>
    </row>
    <row r="27" spans="1:3" ht="20.100000000000001" customHeight="1" thickBot="1" x14ac:dyDescent="0.35">
      <c r="A27" s="2" t="s">
        <v>13</v>
      </c>
      <c r="C27" s="18" t="s">
        <v>87</v>
      </c>
    </row>
    <row r="28" spans="1:3" ht="20.100000000000001" customHeight="1" thickBot="1" x14ac:dyDescent="0.35">
      <c r="A28" s="2" t="s">
        <v>30</v>
      </c>
      <c r="C28" s="18" t="s">
        <v>88</v>
      </c>
    </row>
    <row r="29" spans="1:3" ht="20.100000000000001" customHeight="1" thickBot="1" x14ac:dyDescent="0.35">
      <c r="A29" s="2" t="s">
        <v>31</v>
      </c>
      <c r="C29" s="18" t="s">
        <v>177</v>
      </c>
    </row>
    <row r="30" spans="1:3" ht="20.100000000000001" customHeight="1" thickBot="1" x14ac:dyDescent="0.35">
      <c r="A30" s="2" t="s">
        <v>32</v>
      </c>
      <c r="C30" s="18" t="s">
        <v>178</v>
      </c>
    </row>
    <row r="31" spans="1:3" ht="20.100000000000001" customHeight="1" thickBot="1" x14ac:dyDescent="0.35">
      <c r="A31" s="2" t="s">
        <v>33</v>
      </c>
      <c r="C31" s="18" t="s">
        <v>179</v>
      </c>
    </row>
    <row r="32" spans="1:3" ht="20.100000000000001" customHeight="1" thickBot="1" x14ac:dyDescent="0.35">
      <c r="A32" s="2" t="s">
        <v>16</v>
      </c>
      <c r="C32" s="18"/>
    </row>
    <row r="33" spans="1:9" ht="20.100000000000001" customHeight="1" thickBot="1" x14ac:dyDescent="0.35">
      <c r="A33" s="2" t="s">
        <v>14</v>
      </c>
      <c r="C33" s="18"/>
    </row>
    <row r="34" spans="1:9" ht="20.100000000000001" customHeight="1" thickBot="1" x14ac:dyDescent="0.35">
      <c r="A34" s="2" t="s">
        <v>34</v>
      </c>
      <c r="C34" s="18"/>
    </row>
    <row r="35" spans="1:9" ht="20.100000000000001" customHeight="1" x14ac:dyDescent="0.3">
      <c r="A35" s="17"/>
    </row>
    <row r="36" spans="1:9" s="16" customFormat="1" ht="20.100000000000001" customHeight="1" x14ac:dyDescent="0.3">
      <c r="A36" s="14"/>
      <c r="B36" s="15"/>
      <c r="C36" s="15"/>
      <c r="D36" s="15"/>
      <c r="E36" s="15"/>
      <c r="F36" s="15"/>
      <c r="G36" s="15"/>
      <c r="H36" s="15"/>
      <c r="I36" s="15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2">
        <v>45901</v>
      </c>
    </row>
    <row r="40" spans="1:9" ht="20.100000000000001" customHeight="1" thickBot="1" x14ac:dyDescent="0.35">
      <c r="A40" s="12">
        <v>45902</v>
      </c>
    </row>
    <row r="41" spans="1:9" ht="20.100000000000001" customHeight="1" thickBot="1" x14ac:dyDescent="0.35">
      <c r="A41" s="12">
        <v>45903</v>
      </c>
    </row>
    <row r="42" spans="1:9" ht="20.100000000000001" customHeight="1" thickBot="1" x14ac:dyDescent="0.35">
      <c r="A42" s="12">
        <v>45904</v>
      </c>
    </row>
    <row r="43" spans="1:9" ht="20.100000000000001" customHeight="1" thickBot="1" x14ac:dyDescent="0.35">
      <c r="A43" s="12">
        <v>45905</v>
      </c>
    </row>
    <row r="44" spans="1:9" ht="20.100000000000001" customHeight="1" thickBot="1" x14ac:dyDescent="0.35">
      <c r="A44" s="12">
        <v>45906</v>
      </c>
    </row>
    <row r="45" spans="1:9" ht="20.100000000000001" customHeight="1" thickBot="1" x14ac:dyDescent="0.35">
      <c r="A45" s="12">
        <v>45907</v>
      </c>
    </row>
    <row r="46" spans="1:9" ht="20.100000000000001" customHeight="1" thickBot="1" x14ac:dyDescent="0.35">
      <c r="A46" s="12">
        <v>45908</v>
      </c>
    </row>
    <row r="47" spans="1:9" ht="20.100000000000001" customHeight="1" thickBot="1" x14ac:dyDescent="0.35">
      <c r="A47" s="12">
        <v>45909</v>
      </c>
    </row>
    <row r="48" spans="1:9" ht="20.100000000000001" customHeight="1" thickBot="1" x14ac:dyDescent="0.35">
      <c r="A48" s="12">
        <v>45910</v>
      </c>
    </row>
    <row r="49" spans="1:1" ht="20.100000000000001" customHeight="1" thickBot="1" x14ac:dyDescent="0.35">
      <c r="A49" s="12">
        <v>45911</v>
      </c>
    </row>
    <row r="50" spans="1:1" ht="20.100000000000001" customHeight="1" thickBot="1" x14ac:dyDescent="0.35">
      <c r="A50" s="12">
        <v>45912</v>
      </c>
    </row>
    <row r="51" spans="1:1" ht="20.100000000000001" customHeight="1" thickBot="1" x14ac:dyDescent="0.35">
      <c r="A51" s="12">
        <v>45913</v>
      </c>
    </row>
    <row r="52" spans="1:1" ht="20.100000000000001" customHeight="1" thickBot="1" x14ac:dyDescent="0.35">
      <c r="A52" s="12">
        <v>45914</v>
      </c>
    </row>
    <row r="53" spans="1:1" ht="20.100000000000001" customHeight="1" thickBot="1" x14ac:dyDescent="0.35">
      <c r="A53" s="12">
        <v>45915</v>
      </c>
    </row>
    <row r="54" spans="1:1" ht="20.100000000000001" customHeight="1" thickBot="1" x14ac:dyDescent="0.35">
      <c r="A54" s="12">
        <v>45916</v>
      </c>
    </row>
    <row r="55" spans="1:1" ht="20.100000000000001" customHeight="1" thickBot="1" x14ac:dyDescent="0.35">
      <c r="A55" s="12">
        <v>45917</v>
      </c>
    </row>
    <row r="56" spans="1:1" ht="20.100000000000001" customHeight="1" thickBot="1" x14ac:dyDescent="0.35">
      <c r="A56" s="12">
        <v>45918</v>
      </c>
    </row>
    <row r="57" spans="1:1" ht="20.100000000000001" customHeight="1" thickBot="1" x14ac:dyDescent="0.35">
      <c r="A57" s="12">
        <v>45919</v>
      </c>
    </row>
    <row r="58" spans="1:1" ht="20.100000000000001" customHeight="1" thickBot="1" x14ac:dyDescent="0.35">
      <c r="A58" s="12">
        <v>45920</v>
      </c>
    </row>
    <row r="59" spans="1:1" ht="20.100000000000001" customHeight="1" thickBot="1" x14ac:dyDescent="0.35">
      <c r="A59" s="12">
        <v>45921</v>
      </c>
    </row>
    <row r="60" spans="1:1" ht="20.100000000000001" customHeight="1" thickBot="1" x14ac:dyDescent="0.35">
      <c r="A60" s="12">
        <v>45922</v>
      </c>
    </row>
    <row r="61" spans="1:1" ht="20.100000000000001" customHeight="1" thickBot="1" x14ac:dyDescent="0.35">
      <c r="A61" s="12">
        <v>45923</v>
      </c>
    </row>
    <row r="62" spans="1:1" ht="20.100000000000001" customHeight="1" thickBot="1" x14ac:dyDescent="0.35">
      <c r="A62" s="12">
        <v>45924</v>
      </c>
    </row>
    <row r="63" spans="1:1" ht="20.100000000000001" customHeight="1" thickBot="1" x14ac:dyDescent="0.35">
      <c r="A63" s="12">
        <v>45925</v>
      </c>
    </row>
    <row r="64" spans="1:1" ht="20.100000000000001" customHeight="1" thickBot="1" x14ac:dyDescent="0.35">
      <c r="A64" s="12">
        <v>45926</v>
      </c>
    </row>
    <row r="65" spans="1:1" ht="20.100000000000001" customHeight="1" thickBot="1" x14ac:dyDescent="0.35">
      <c r="A65" s="12">
        <v>45927</v>
      </c>
    </row>
    <row r="66" spans="1:1" ht="20.100000000000001" customHeight="1" thickBot="1" x14ac:dyDescent="0.35">
      <c r="A66" s="12">
        <v>45928</v>
      </c>
    </row>
    <row r="67" spans="1:1" ht="20.100000000000001" customHeight="1" thickBot="1" x14ac:dyDescent="0.35">
      <c r="A67" s="12">
        <v>45929</v>
      </c>
    </row>
    <row r="68" spans="1:1" ht="20.100000000000001" customHeight="1" thickBot="1" x14ac:dyDescent="0.35">
      <c r="A68" s="12">
        <v>45930</v>
      </c>
    </row>
    <row r="69" spans="1:1" ht="20.100000000000001" customHeight="1" thickBot="1" x14ac:dyDescent="0.35">
      <c r="A69" s="12">
        <v>45931</v>
      </c>
    </row>
    <row r="70" spans="1:1" ht="20.100000000000001" customHeight="1" thickBot="1" x14ac:dyDescent="0.35">
      <c r="A70" s="12">
        <v>45932</v>
      </c>
    </row>
    <row r="71" spans="1:1" ht="20.100000000000001" customHeight="1" thickBot="1" x14ac:dyDescent="0.35">
      <c r="A71" s="12">
        <v>45933</v>
      </c>
    </row>
    <row r="72" spans="1:1" ht="20.100000000000001" customHeight="1" thickBot="1" x14ac:dyDescent="0.35">
      <c r="A72" s="12">
        <v>45934</v>
      </c>
    </row>
    <row r="73" spans="1:1" ht="20.100000000000001" customHeight="1" thickBot="1" x14ac:dyDescent="0.35">
      <c r="A73" s="12">
        <v>45935</v>
      </c>
    </row>
    <row r="74" spans="1:1" ht="20.100000000000001" customHeight="1" thickBot="1" x14ac:dyDescent="0.35">
      <c r="A74" s="12">
        <v>45936</v>
      </c>
    </row>
    <row r="75" spans="1:1" ht="20.100000000000001" customHeight="1" thickBot="1" x14ac:dyDescent="0.35">
      <c r="A75" s="12">
        <v>45937</v>
      </c>
    </row>
    <row r="76" spans="1:1" ht="20.100000000000001" customHeight="1" thickBot="1" x14ac:dyDescent="0.35">
      <c r="A76" s="12">
        <v>45938</v>
      </c>
    </row>
    <row r="77" spans="1:1" ht="20.100000000000001" customHeight="1" thickBot="1" x14ac:dyDescent="0.35">
      <c r="A77" s="12">
        <v>45939</v>
      </c>
    </row>
    <row r="78" spans="1:1" ht="20.100000000000001" customHeight="1" thickBot="1" x14ac:dyDescent="0.35">
      <c r="A78" s="12">
        <v>45940</v>
      </c>
    </row>
    <row r="79" spans="1:1" ht="20.100000000000001" customHeight="1" thickBot="1" x14ac:dyDescent="0.35">
      <c r="A79" s="12">
        <v>45941</v>
      </c>
    </row>
    <row r="80" spans="1:1" ht="20.100000000000001" customHeight="1" thickBot="1" x14ac:dyDescent="0.35">
      <c r="A80" s="12">
        <v>45942</v>
      </c>
    </row>
    <row r="81" spans="1:1" ht="20.100000000000001" customHeight="1" thickBot="1" x14ac:dyDescent="0.35">
      <c r="A81" s="12">
        <v>45943</v>
      </c>
    </row>
    <row r="82" spans="1:1" ht="20.100000000000001" customHeight="1" thickBot="1" x14ac:dyDescent="0.35">
      <c r="A82" s="12">
        <v>45944</v>
      </c>
    </row>
    <row r="83" spans="1:1" ht="20.100000000000001" customHeight="1" thickBot="1" x14ac:dyDescent="0.35">
      <c r="A83" s="12">
        <v>45945</v>
      </c>
    </row>
    <row r="84" spans="1:1" ht="20.100000000000001" customHeight="1" thickBot="1" x14ac:dyDescent="0.35">
      <c r="A84" s="12">
        <v>45946</v>
      </c>
    </row>
    <row r="85" spans="1:1" ht="20.100000000000001" customHeight="1" thickBot="1" x14ac:dyDescent="0.35">
      <c r="A85" s="12">
        <v>45947</v>
      </c>
    </row>
    <row r="86" spans="1:1" ht="20.100000000000001" customHeight="1" thickBot="1" x14ac:dyDescent="0.35">
      <c r="A86" s="12">
        <v>45948</v>
      </c>
    </row>
    <row r="87" spans="1:1" ht="20.100000000000001" customHeight="1" thickBot="1" x14ac:dyDescent="0.35">
      <c r="A87" s="12">
        <v>45949</v>
      </c>
    </row>
    <row r="88" spans="1:1" ht="20.100000000000001" customHeight="1" thickBot="1" x14ac:dyDescent="0.35">
      <c r="A88" s="12">
        <v>45950</v>
      </c>
    </row>
    <row r="89" spans="1:1" ht="20.100000000000001" customHeight="1" thickBot="1" x14ac:dyDescent="0.35">
      <c r="A89" s="12">
        <v>45951</v>
      </c>
    </row>
    <row r="90" spans="1:1" ht="20.100000000000001" customHeight="1" thickBot="1" x14ac:dyDescent="0.35">
      <c r="A90" s="12">
        <v>45952</v>
      </c>
    </row>
    <row r="91" spans="1:1" ht="20.100000000000001" customHeight="1" thickBot="1" x14ac:dyDescent="0.35">
      <c r="A91" s="12">
        <v>45953</v>
      </c>
    </row>
    <row r="92" spans="1:1" ht="20.100000000000001" customHeight="1" thickBot="1" x14ac:dyDescent="0.35">
      <c r="A92" s="12">
        <v>45954</v>
      </c>
    </row>
    <row r="93" spans="1:1" ht="20.100000000000001" customHeight="1" thickBot="1" x14ac:dyDescent="0.35">
      <c r="A93" s="12">
        <v>45955</v>
      </c>
    </row>
    <row r="94" spans="1:1" ht="20.100000000000001" customHeight="1" thickBot="1" x14ac:dyDescent="0.35">
      <c r="A94" s="12">
        <v>45956</v>
      </c>
    </row>
    <row r="95" spans="1:1" ht="20.100000000000001" customHeight="1" thickBot="1" x14ac:dyDescent="0.35">
      <c r="A95" s="12">
        <v>45957</v>
      </c>
    </row>
    <row r="96" spans="1:1" ht="20.100000000000001" customHeight="1" thickBot="1" x14ac:dyDescent="0.35">
      <c r="A96" s="12">
        <v>45958</v>
      </c>
    </row>
    <row r="97" spans="1:9" ht="20.100000000000001" customHeight="1" thickBot="1" x14ac:dyDescent="0.35">
      <c r="A97" s="12">
        <v>45959</v>
      </c>
    </row>
    <row r="98" spans="1:9" ht="20.100000000000001" customHeight="1" thickBot="1" x14ac:dyDescent="0.35">
      <c r="A98" s="12">
        <v>45960</v>
      </c>
    </row>
    <row r="99" spans="1:9" ht="20.100000000000001" customHeight="1" thickBot="1" x14ac:dyDescent="0.35">
      <c r="A99" s="12">
        <v>45961</v>
      </c>
    </row>
    <row r="100" spans="1:9" ht="20.100000000000001" customHeight="1" thickBot="1" x14ac:dyDescent="0.35">
      <c r="A100" s="12">
        <v>45962</v>
      </c>
    </row>
    <row r="101" spans="1:9" ht="20.100000000000001" customHeight="1" thickBot="1" x14ac:dyDescent="0.35">
      <c r="A101" s="12">
        <v>45963</v>
      </c>
    </row>
    <row r="102" spans="1:9" ht="20.100000000000001" customHeight="1" thickBot="1" x14ac:dyDescent="0.35">
      <c r="A102" s="12">
        <v>45964</v>
      </c>
    </row>
    <row r="103" spans="1:9" ht="20.100000000000001" customHeight="1" thickBot="1" x14ac:dyDescent="0.35">
      <c r="A103" s="12">
        <v>45965</v>
      </c>
    </row>
    <row r="104" spans="1:9" ht="20.100000000000001" customHeight="1" thickBot="1" x14ac:dyDescent="0.35">
      <c r="A104" s="12">
        <v>45966</v>
      </c>
    </row>
    <row r="105" spans="1:9" ht="20.100000000000001" customHeight="1" thickBot="1" x14ac:dyDescent="0.35">
      <c r="A105" s="12">
        <v>45967</v>
      </c>
    </row>
    <row r="106" spans="1:9" ht="20.100000000000001" customHeight="1" thickBot="1" x14ac:dyDescent="0.35">
      <c r="A106" s="12">
        <v>45968</v>
      </c>
    </row>
    <row r="107" spans="1:9" ht="20.100000000000001" customHeight="1" x14ac:dyDescent="0.3">
      <c r="A107" s="13"/>
    </row>
    <row r="108" spans="1:9" ht="20.100000000000001" customHeight="1" x14ac:dyDescent="0.3">
      <c r="A108" s="13"/>
    </row>
    <row r="109" spans="1:9" s="16" customFormat="1" ht="20.100000000000001" customHeight="1" x14ac:dyDescent="0.3">
      <c r="A109" s="14"/>
      <c r="B109" s="15"/>
      <c r="C109" s="15"/>
      <c r="D109" s="15"/>
      <c r="E109" s="15"/>
      <c r="F109" s="15"/>
      <c r="G109" s="15"/>
      <c r="H109" s="15"/>
      <c r="I109" s="15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19" t="s">
        <v>89</v>
      </c>
    </row>
    <row r="200" spans="1:1" ht="20.100000000000001" customHeight="1" x14ac:dyDescent="0.3">
      <c r="A200" s="19" t="s">
        <v>90</v>
      </c>
    </row>
    <row r="201" spans="1:1" ht="20.100000000000001" customHeight="1" x14ac:dyDescent="0.3">
      <c r="A201" s="19" t="s">
        <v>91</v>
      </c>
    </row>
    <row r="202" spans="1:1" ht="20.100000000000001" customHeight="1" x14ac:dyDescent="0.3">
      <c r="A202" s="19" t="s">
        <v>92</v>
      </c>
    </row>
    <row r="203" spans="1:1" ht="20.100000000000001" customHeight="1" x14ac:dyDescent="0.3">
      <c r="A203" s="19" t="s">
        <v>93</v>
      </c>
    </row>
    <row r="204" spans="1:1" ht="20.100000000000001" customHeight="1" x14ac:dyDescent="0.3">
      <c r="A204" s="19" t="s">
        <v>94</v>
      </c>
    </row>
    <row r="205" spans="1:1" ht="20.100000000000001" customHeight="1" x14ac:dyDescent="0.3">
      <c r="A205" s="19" t="s">
        <v>95</v>
      </c>
    </row>
    <row r="206" spans="1:1" ht="20.100000000000001" customHeight="1" x14ac:dyDescent="0.3">
      <c r="A206" s="19" t="s">
        <v>96</v>
      </c>
    </row>
    <row r="207" spans="1:1" ht="20.100000000000001" customHeight="1" x14ac:dyDescent="0.3">
      <c r="A207" s="19" t="s">
        <v>97</v>
      </c>
    </row>
    <row r="208" spans="1:1" ht="20.100000000000001" customHeight="1" x14ac:dyDescent="0.3">
      <c r="A208" s="20" t="s">
        <v>98</v>
      </c>
    </row>
    <row r="209" spans="1:1" ht="20.100000000000001" customHeight="1" x14ac:dyDescent="0.3">
      <c r="A209" s="20" t="s">
        <v>99</v>
      </c>
    </row>
    <row r="210" spans="1:1" ht="20.100000000000001" customHeight="1" x14ac:dyDescent="0.3">
      <c r="A210" s="19" t="s">
        <v>100</v>
      </c>
    </row>
    <row r="211" spans="1:1" ht="20.100000000000001" customHeight="1" x14ac:dyDescent="0.3">
      <c r="A211" s="19" t="s">
        <v>101</v>
      </c>
    </row>
    <row r="212" spans="1:1" ht="20.100000000000001" customHeight="1" x14ac:dyDescent="0.3">
      <c r="A212" s="19" t="s">
        <v>175</v>
      </c>
    </row>
    <row r="213" spans="1:1" ht="20.100000000000001" customHeight="1" x14ac:dyDescent="0.3">
      <c r="A213" s="19" t="s">
        <v>102</v>
      </c>
    </row>
    <row r="214" spans="1:1" ht="20.100000000000001" customHeight="1" x14ac:dyDescent="0.3">
      <c r="A214" s="19" t="s">
        <v>103</v>
      </c>
    </row>
    <row r="215" spans="1:1" ht="20.100000000000001" customHeight="1" x14ac:dyDescent="0.3">
      <c r="A215" s="19" t="s">
        <v>104</v>
      </c>
    </row>
    <row r="216" spans="1:1" ht="20.100000000000001" customHeight="1" x14ac:dyDescent="0.3">
      <c r="A216" s="19" t="s">
        <v>105</v>
      </c>
    </row>
    <row r="217" spans="1:1" ht="20.100000000000001" customHeight="1" x14ac:dyDescent="0.3">
      <c r="A217" s="19" t="s">
        <v>106</v>
      </c>
    </row>
    <row r="218" spans="1:1" ht="20.100000000000001" customHeight="1" x14ac:dyDescent="0.3">
      <c r="A218" s="19" t="s">
        <v>107</v>
      </c>
    </row>
    <row r="219" spans="1:1" ht="20.100000000000001" customHeight="1" x14ac:dyDescent="0.3">
      <c r="A219" s="19" t="s">
        <v>108</v>
      </c>
    </row>
    <row r="220" spans="1:1" ht="20.100000000000001" customHeight="1" x14ac:dyDescent="0.3">
      <c r="A220" s="19" t="s">
        <v>109</v>
      </c>
    </row>
    <row r="221" spans="1:1" ht="20.100000000000001" customHeight="1" x14ac:dyDescent="0.3">
      <c r="A221" s="19" t="s">
        <v>110</v>
      </c>
    </row>
    <row r="222" spans="1:1" ht="20.100000000000001" customHeight="1" x14ac:dyDescent="0.3">
      <c r="A222" s="19" t="s">
        <v>111</v>
      </c>
    </row>
    <row r="223" spans="1:1" ht="20.100000000000001" customHeight="1" x14ac:dyDescent="0.3">
      <c r="A223" s="19" t="s">
        <v>112</v>
      </c>
    </row>
    <row r="224" spans="1:1" ht="20.100000000000001" customHeight="1" x14ac:dyDescent="0.3">
      <c r="A224" s="19" t="s">
        <v>176</v>
      </c>
    </row>
    <row r="225" spans="1:1" ht="20.100000000000001" customHeight="1" x14ac:dyDescent="0.3">
      <c r="A225" s="19" t="s">
        <v>113</v>
      </c>
    </row>
    <row r="226" spans="1:1" ht="20.100000000000001" customHeight="1" x14ac:dyDescent="0.3">
      <c r="A226" s="19" t="s">
        <v>114</v>
      </c>
    </row>
    <row r="227" spans="1:1" ht="20.100000000000001" customHeight="1" x14ac:dyDescent="0.3">
      <c r="A227" s="19" t="s">
        <v>115</v>
      </c>
    </row>
    <row r="228" spans="1:1" ht="20.100000000000001" customHeight="1" x14ac:dyDescent="0.3">
      <c r="A228" s="19" t="s">
        <v>116</v>
      </c>
    </row>
    <row r="229" spans="1:1" ht="20.100000000000001" customHeight="1" x14ac:dyDescent="0.3">
      <c r="A229" s="19" t="s">
        <v>117</v>
      </c>
    </row>
    <row r="230" spans="1:1" ht="20.100000000000001" customHeight="1" x14ac:dyDescent="0.3">
      <c r="A230" s="19" t="s">
        <v>118</v>
      </c>
    </row>
    <row r="231" spans="1:1" ht="20.100000000000001" customHeight="1" x14ac:dyDescent="0.3">
      <c r="A231" s="19" t="s">
        <v>119</v>
      </c>
    </row>
    <row r="232" spans="1:1" ht="20.100000000000001" customHeight="1" x14ac:dyDescent="0.3">
      <c r="A232" s="19" t="s">
        <v>120</v>
      </c>
    </row>
    <row r="233" spans="1:1" ht="20.100000000000001" customHeight="1" x14ac:dyDescent="0.3">
      <c r="A233" s="19" t="s">
        <v>121</v>
      </c>
    </row>
    <row r="234" spans="1:1" ht="20.100000000000001" customHeight="1" x14ac:dyDescent="0.3">
      <c r="A234" s="19" t="s">
        <v>122</v>
      </c>
    </row>
    <row r="235" spans="1:1" ht="20.100000000000001" customHeight="1" x14ac:dyDescent="0.3">
      <c r="A235" s="19" t="s">
        <v>123</v>
      </c>
    </row>
    <row r="236" spans="1:1" ht="20.100000000000001" customHeight="1" x14ac:dyDescent="0.3">
      <c r="A236" s="21" t="s">
        <v>124</v>
      </c>
    </row>
    <row r="237" spans="1:1" ht="20.100000000000001" customHeight="1" x14ac:dyDescent="0.3">
      <c r="A237" s="19" t="s">
        <v>125</v>
      </c>
    </row>
    <row r="238" spans="1:1" ht="20.100000000000001" customHeight="1" x14ac:dyDescent="0.3">
      <c r="A238" s="19" t="s">
        <v>126</v>
      </c>
    </row>
    <row r="239" spans="1:1" ht="20.100000000000001" customHeight="1" x14ac:dyDescent="0.3">
      <c r="A239" s="19" t="s">
        <v>127</v>
      </c>
    </row>
    <row r="240" spans="1:1" ht="20.100000000000001" customHeight="1" x14ac:dyDescent="0.3">
      <c r="A240" s="19" t="s">
        <v>128</v>
      </c>
    </row>
    <row r="241" spans="1:1" ht="20.100000000000001" customHeight="1" x14ac:dyDescent="0.3">
      <c r="A241" s="19" t="s">
        <v>129</v>
      </c>
    </row>
    <row r="242" spans="1:1" ht="20.100000000000001" customHeight="1" x14ac:dyDescent="0.3">
      <c r="A242" s="19" t="s">
        <v>130</v>
      </c>
    </row>
    <row r="243" spans="1:1" ht="20.100000000000001" customHeight="1" x14ac:dyDescent="0.3">
      <c r="A243" s="19" t="s">
        <v>131</v>
      </c>
    </row>
    <row r="244" spans="1:1" ht="20.100000000000001" customHeight="1" x14ac:dyDescent="0.3">
      <c r="A244" s="19" t="s">
        <v>132</v>
      </c>
    </row>
    <row r="245" spans="1:1" ht="20.100000000000001" customHeight="1" x14ac:dyDescent="0.3">
      <c r="A245" s="19" t="s">
        <v>133</v>
      </c>
    </row>
    <row r="246" spans="1:1" ht="20.100000000000001" customHeight="1" x14ac:dyDescent="0.3">
      <c r="A246" s="19" t="s">
        <v>134</v>
      </c>
    </row>
    <row r="247" spans="1:1" ht="20.100000000000001" customHeight="1" x14ac:dyDescent="0.3">
      <c r="A247" s="19" t="s">
        <v>135</v>
      </c>
    </row>
    <row r="248" spans="1:1" ht="20.100000000000001" customHeight="1" x14ac:dyDescent="0.3">
      <c r="A248" s="19" t="s">
        <v>126</v>
      </c>
    </row>
    <row r="249" spans="1:1" ht="20.100000000000001" customHeight="1" x14ac:dyDescent="0.3">
      <c r="A249" s="19" t="s">
        <v>136</v>
      </c>
    </row>
    <row r="250" spans="1:1" ht="20.100000000000001" customHeight="1" x14ac:dyDescent="0.3">
      <c r="A250" s="19" t="s">
        <v>137</v>
      </c>
    </row>
    <row r="251" spans="1:1" ht="20.100000000000001" customHeight="1" x14ac:dyDescent="0.3">
      <c r="A251" s="21" t="s">
        <v>138</v>
      </c>
    </row>
    <row r="252" spans="1:1" ht="20.100000000000001" customHeight="1" x14ac:dyDescent="0.3">
      <c r="A252" s="22" t="s">
        <v>139</v>
      </c>
    </row>
    <row r="253" spans="1:1" ht="20.100000000000001" customHeight="1" x14ac:dyDescent="0.3">
      <c r="A253" s="19" t="s">
        <v>140</v>
      </c>
    </row>
    <row r="254" spans="1:1" ht="20.100000000000001" customHeight="1" x14ac:dyDescent="0.3">
      <c r="A254" s="19" t="s">
        <v>141</v>
      </c>
    </row>
    <row r="255" spans="1:1" ht="20.100000000000001" customHeight="1" x14ac:dyDescent="0.3">
      <c r="A255" s="23" t="s">
        <v>142</v>
      </c>
    </row>
    <row r="256" spans="1:1" ht="20.100000000000001" customHeight="1" x14ac:dyDescent="0.3">
      <c r="A256" s="23" t="s">
        <v>143</v>
      </c>
    </row>
    <row r="257" spans="1:1" ht="20.100000000000001" customHeight="1" x14ac:dyDescent="0.3">
      <c r="A257" s="24" t="s">
        <v>144</v>
      </c>
    </row>
    <row r="258" spans="1:1" ht="20.100000000000001" customHeight="1" x14ac:dyDescent="0.3">
      <c r="A258" s="19" t="s">
        <v>145</v>
      </c>
    </row>
    <row r="259" spans="1:1" ht="20.100000000000001" customHeight="1" x14ac:dyDescent="0.3">
      <c r="A259" s="24" t="s">
        <v>146</v>
      </c>
    </row>
    <row r="260" spans="1:1" ht="20.100000000000001" customHeight="1" x14ac:dyDescent="0.3">
      <c r="A260" s="19" t="s">
        <v>147</v>
      </c>
    </row>
    <row r="261" spans="1:1" ht="20.100000000000001" customHeight="1" x14ac:dyDescent="0.3">
      <c r="A261" s="24" t="s">
        <v>148</v>
      </c>
    </row>
    <row r="262" spans="1:1" ht="20.100000000000001" customHeight="1" x14ac:dyDescent="0.3">
      <c r="A262" s="19" t="s">
        <v>149</v>
      </c>
    </row>
    <row r="263" spans="1:1" ht="20.100000000000001" customHeight="1" x14ac:dyDescent="0.3">
      <c r="A263" s="19" t="s">
        <v>150</v>
      </c>
    </row>
    <row r="264" spans="1:1" ht="20.100000000000001" customHeight="1" x14ac:dyDescent="0.3">
      <c r="A264" s="24" t="s">
        <v>151</v>
      </c>
    </row>
    <row r="265" spans="1:1" ht="20.100000000000001" customHeight="1" x14ac:dyDescent="0.3">
      <c r="A265" s="24" t="s">
        <v>152</v>
      </c>
    </row>
    <row r="266" spans="1:1" ht="20.100000000000001" customHeight="1" x14ac:dyDescent="0.3">
      <c r="A266" s="24" t="s">
        <v>153</v>
      </c>
    </row>
    <row r="267" spans="1:1" ht="20.100000000000001" customHeight="1" x14ac:dyDescent="0.3">
      <c r="A267" s="19" t="s">
        <v>154</v>
      </c>
    </row>
    <row r="268" spans="1:1" ht="20.100000000000001" customHeight="1" x14ac:dyDescent="0.3">
      <c r="A268" s="19" t="s">
        <v>155</v>
      </c>
    </row>
    <row r="269" spans="1:1" ht="20.100000000000001" customHeight="1" x14ac:dyDescent="0.3">
      <c r="A269" s="19" t="s">
        <v>156</v>
      </c>
    </row>
    <row r="270" spans="1:1" ht="20.100000000000001" customHeight="1" x14ac:dyDescent="0.3">
      <c r="A270" s="19" t="s">
        <v>157</v>
      </c>
    </row>
    <row r="271" spans="1:1" ht="20.100000000000001" customHeight="1" x14ac:dyDescent="0.3">
      <c r="A271" s="24" t="s">
        <v>158</v>
      </c>
    </row>
    <row r="272" spans="1:1" ht="20.100000000000001" customHeight="1" x14ac:dyDescent="0.3">
      <c r="A272" s="24" t="s">
        <v>159</v>
      </c>
    </row>
    <row r="273" spans="1:1" ht="20.100000000000001" customHeight="1" x14ac:dyDescent="0.3">
      <c r="A273" s="19" t="s">
        <v>160</v>
      </c>
    </row>
    <row r="274" spans="1:1" ht="20.100000000000001" customHeight="1" x14ac:dyDescent="0.3">
      <c r="A274" s="24" t="s">
        <v>161</v>
      </c>
    </row>
    <row r="275" spans="1:1" ht="20.100000000000001" customHeight="1" x14ac:dyDescent="0.3">
      <c r="A275" s="24" t="s">
        <v>162</v>
      </c>
    </row>
    <row r="276" spans="1:1" ht="20.100000000000001" customHeight="1" x14ac:dyDescent="0.3">
      <c r="A276" s="19" t="s">
        <v>163</v>
      </c>
    </row>
    <row r="277" spans="1:1" ht="20.100000000000001" customHeight="1" x14ac:dyDescent="0.3">
      <c r="A277" s="19" t="s">
        <v>164</v>
      </c>
    </row>
    <row r="278" spans="1:1" ht="20.100000000000001" customHeight="1" x14ac:dyDescent="0.3">
      <c r="A278" s="24" t="s">
        <v>165</v>
      </c>
    </row>
    <row r="279" spans="1:1" ht="20.100000000000001" customHeight="1" x14ac:dyDescent="0.3">
      <c r="A279" s="19" t="s">
        <v>166</v>
      </c>
    </row>
    <row r="280" spans="1:1" ht="20.100000000000001" customHeight="1" x14ac:dyDescent="0.3">
      <c r="A280" s="19" t="s">
        <v>167</v>
      </c>
    </row>
    <row r="281" spans="1:1" ht="20.100000000000001" customHeight="1" x14ac:dyDescent="0.3">
      <c r="A281" s="19" t="s">
        <v>168</v>
      </c>
    </row>
    <row r="282" spans="1:1" ht="20.100000000000001" customHeight="1" x14ac:dyDescent="0.3">
      <c r="A282" s="19" t="s">
        <v>169</v>
      </c>
    </row>
    <row r="283" spans="1:1" ht="20.100000000000001" customHeight="1" x14ac:dyDescent="0.3">
      <c r="A283" s="24" t="s">
        <v>170</v>
      </c>
    </row>
    <row r="284" spans="1:1" ht="20.100000000000001" customHeight="1" x14ac:dyDescent="0.3">
      <c r="A284" s="24" t="s">
        <v>171</v>
      </c>
    </row>
    <row r="285" spans="1:1" ht="20.100000000000001" customHeight="1" x14ac:dyDescent="0.3">
      <c r="A285" s="24" t="s">
        <v>172</v>
      </c>
    </row>
    <row r="286" spans="1:1" ht="20.100000000000001" customHeight="1" thickBot="1" x14ac:dyDescent="0.35">
      <c r="A286" s="19" t="s">
        <v>173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  <row r="338" spans="1:1" ht="20.100000000000001" customHeight="1" thickBot="1" x14ac:dyDescent="0.3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2025-10-27T18:40:16Z</dcterms:modified>
</cp:coreProperties>
</file>