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9A92F867-07C9-4617-90E2-74A4E05F3444}"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<sst xmlns="http://schemas.openxmlformats.org/spreadsheetml/2006/main" count="259" uniqueCount="203">
  <si>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</si>
  <si>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</si>
  <si>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</si>
  <si>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</si>
  <si>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</si>
  <si>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</si>
  <si>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</si>
  <si>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</si>
  <si>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</si>
  <si>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</si>
  <si>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</si>
  <si>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</si>
  <si>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</si>
  <si>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</si>
  <si>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</si>
  <si>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</si>
  <si>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</si>
  <si>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</si>
  <si>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</si>
  <si>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</si>
  <si>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</si>
  <si>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</si>
  <si>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</si>
  <si>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</si>
  <si>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</si>
  <si>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</si>
  <si>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</si>
  <si>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</si>
  <si>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</si>
  <si>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</si>
  <si>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</si>
  <si>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</si>
  <si>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</si>
  <si>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</si>
  <si>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</si>
  <si>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</si>
  <si>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</si>
  <si>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</si>
  <si>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</si>
  <si>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</si>
  <si>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</si>
  <si>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</si>
  <si>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</si>
  <si>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</si>
  <si>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</si>
  <si>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</si>
  <si>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</si>
  <si>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</si>
  <si>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</si>
  <si>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</si>
  <si>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</si>
  <si>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</si>
  <si>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</si>
  <si>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</si>
  <si>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</si>
  <si>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</si>
  <si>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</si>
  <si>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</si>
  <si>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</si>
  <si>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</si>
  <si>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</si>
  <si>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</si>
  <si>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</si>
  <si>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</si>
  <si>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</si>
  <si>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</si>
  <si>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</si>
  <si>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</si>
  <si>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</si>
  <si>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</si>
  <si>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</si>
  <si>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</si>
  <si>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</si>
  <si>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</si>
  <si>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</si>
  <si>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</si>
  <si>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</si>
  <si>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</si>
  <si>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</si>
  <si>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</si>
  <si>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</si>
  <si>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</si>
  <si>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</si>
  <si>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</si>
  <si>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</si>
  <si>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</si>
  <si>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</si>
  <si>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</si>
  <si>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</si>
  <si>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</si>
  <si>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</si>
  <si>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</si>
  <si>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</si>
  <si>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</si>
  <si>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</si>
  <si>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</si>
  <si>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</si>
  <si>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</si>
  <si>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</si>
  <si>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</si>
  <si>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</si>
  <si>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</si>
  <si>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</si>
  <si>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</si>
  <si>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</si>
  <si>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</si>
  <si>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</si>
  <si>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</si>
  <si>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</si>
  <si>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</si>
  <si>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</si>
  <si>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</si>
  <si>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</si>
  <si>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</si>
  <si>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</si>
  <si>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</si>
  <si>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</si>
  <si>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</si>
  <si>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</si>
  <si>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</si>
  <si>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</si>
  <si>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</si>
  <si>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</si>
  <si>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</si>
  <si>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</si>
  <si>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</si>
  <si>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</si>
  <si>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</si>
  <si>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</si>
  <si>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</si>
  <si>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</si>
  <si>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</si>
  <si>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</si>
  <si>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</si>
  <si>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</si>
  <si>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</si>
  <si>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</si>
  <si>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</si>
  <si>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</si>
  <si>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</si>
  <si>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</si>
  <si>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</si>
  <si>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</si>
  <si>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</si>
  <si>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</si>
  <si>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</si>
  <si>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</si>
  <si>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</si>
  <si>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</si>
  <si>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</si>
  <si>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</si>
  <si>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</si>
  <si>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</si>
  <si>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</si>
  <si>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</si>
  <si>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</si>
  <si>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</si>
  <si>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</si>
  <si>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</si>
  <si>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</si>
  <si>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</si>
  <si>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</si>
  <si>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</si>
  <si>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</si>
  <si>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</si>
  <si>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</si>
  <si>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</si>
  <si>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</si>
  <si>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</si>
  <si>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</si>
  <si>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</si>
  <si>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</si>
  <si>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</si>
  <si>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</si>
  <si>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</si>
  <si>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</si>
  <si>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</si>
  <si>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</si>
  <si>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</si>
  <si>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</si>
  <si>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</si>
  <si>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</si>
  <si>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</si>
  <si>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</si>
  <si>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</si>
  <si>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</si>
  <si>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</si>
  <si>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</si>
  <si>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</si>
  <si>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</si>
  <si>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</si>
  <si>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</si>
  <si>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</si>
  <si>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</si>
  <si>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</si>
  <si>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</si>
  <si>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</si>
  <si>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</si>
  <si>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</si>
  <si>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</si>
  <si>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</si>
  <si>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</si>
  <si>
    <t>نقيب / حميد سعيد مسير الظاهري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</si>
</sst>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24"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337766</xdr:colOff>
      <xdr:row>36</xdr:row>
      <xdr:rowOff>4382</xdr:rowOff>
    </xdr:from>
    <xdr:to>
      <xdr:col>8</xdr:col>
      <xdr:colOff>325973</xdr:colOff>
      <xdr:row>36</xdr:row>
      <xdr:rowOff>596942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8DDDDBD-A547-B594-DB4B-101FA0A044B8}"/>
                </a:ext>
              </a:extLst>
            </xdr14:cNvPr>
            <xdr14:cNvContentPartPr/>
          </xdr14:nvContentPartPr>
          <xdr14:nvPr macro=""/>
          <xdr14:xfrm>
            <a:off x="10375866885" y="18260280"/>
            <a:ext cx="1306080" cy="592560"/>
          </xdr14:xfrm>
        </xdr:contentPart>
      </mc:Choice>
      <mc:Fallback xmlns="">
        <xdr:pic>
          <xdr:nvPicPr>
            <xdr:cNvPr id="2" name="Ink 1">
              <a:extLst>
                <a:ext uri="{FF2B5EF4-FFF2-40B4-BE49-F238E27FC236}">
                  <a16:creationId xmlns:a16="http://schemas.microsoft.com/office/drawing/2014/main" id="{78DDDDBD-A547-B594-DB4B-101FA0A044B8}"/>
                </a:ext>
              </a:extLst>
            </xdr:cNvPr>
            <xdr:cNvPicPr/>
          </xdr:nvPicPr>
          <xdr:blipFill>
            <a:blip xmlns:r="http://schemas.openxmlformats.org/officeDocument/2006/relationships" r:embed="rId2"/>
            <a:stretch>
              <a:fillRect/>
            </a:stretch>
          </xdr:blipFill>
          <xdr:spPr>
            <a:xfrm>
              <a:off x="10375858245" y="18251640"/>
              <a:ext cx="1323720" cy="6102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7T08:21:28.974"/>
    </inkml:context>
    <inkml:brush xml:id="br0">
      <inkml:brushProperty name="width" value="0.05" units="cm"/>
      <inkml:brushProperty name="height" value="0.05" units="cm"/>
    </inkml:brush>
  </inkml:definitions>
  <inkml:trace contextRef="#ctx0" brushRef="#br0">3517 665 12090,'0'0'0,"-18"0"1496,-2 6-1312,20-6-184,-20 6 96,13 11-40,2-17 8,0 0-24,5 0-40,0 0 25,0 0 7,0 4-32,0 0-8,0-4 8,-2 4-65,0 0 57,2 0 49,-2 1 175,2-5-216,-3 6 216,-6 11 40,2-13 32,2 12 72,5-16-360,-9 7 296,-5 15 16,9 1-64,-18 6-120,23-29-128,-17 36 168,-4 7-112,-4 5-8,-1 6-40,26-54-8,-27 57 72,-9-1-40,-3 2-8,-4 2 8,43-60-32,-41 61 48,-11 1 32,1-2-8,0-8-16,51-52-56,-47 46-24,12-8 72,0-11 0,12-4-16,23-23-32,-19 6 24,10 0-40,4 0 16,-2-2-64,7-4 64,-2 0-168,-1-2-136,3-4-192,0-15-8,0 21 504,0-23-448,5-12 32,16-11 120,-5-8 0,-16 54 296,26-58-345,-1 0 97,3-1-56,-1 10 48,-27 49 256,25-44-296,1 6-80,-1 7-24,-1 4-40,-24 27 440,14-19-480,-10 13-24,4 0 72,-6 6 280,-2 0 152,0 0 72,0 4 224,-10 13 56,6-11-192,4-6-160,-16 23 88,6-2-64,-13-1-8,4 3 64,19-23-80,-21 23 56,1 2 8,0-2 40,0 0-8,20-23-96,-20 21 112,5-5 0,-5-9 16,17-1-48,3-6-80,-10 6 80,5-2-8,5 0-16,-10-4 48,10 0-104,-4 0 24,0 0-96,-1-2-24,3 0-40,2 2 136,-3-4-192,-2 2 72,3 0-64,-3-2 48,5 4 136,-5-2-72,4-2 0,-1 1 48,-3 3 8,5 0 16,-7 0-40,2 0 16,-2 5-32,2-1-56,5-4 112,-7 4-96,3 0-56,-4 2 0,6 1 80,2-7 72,-7 16-72,1-16 56,1 7 88,-2-1 48,7-6-120,-5 6 144,-11 0 40,11 11-48,0-13-24,5-4-112,-20 6 80,15 13-16,-12-15 72,10 2-80,7-6-56,-18 17 160,8-17 24,-6 6-40,9 1 80,7-7-224,-16 6 248,9-2 24,2 0 16,0-4 40,5 0-328,-7 0 280,2 0-64,-1-2 8,4-4-47,2 6-177,-3-9 136,1-13 16,2 1-152,0-8-8,0 29 8,-5-36 16,5-3-88,0-7 80,18-6-48,-18 52 40,5-56 24,17-5 8,-7-1-48,-10-2 80,-5 64-64,26-67-40,-7 0 48,-3-3 152,1 1-80,-17 69-80,18-62 96,-2 5-32,1 8-56,-10 3 32,-7 46-40,20-42 24,-12 7 16,8 2-24,-9 10 0,-7 23-16,5-19 48,-3 13-16,5-1 56,-4 5 136,-3 2-224,0 0 288,0 0 0,0 5-120,-10 1-112,10-6-56,-5 6-112,-11 19 8,-3-2 64,1 6-88,18-29 128,-22 37-96,-1 5 40,-5 6 24,3 6 8,25-54 24,-28 58-32,0 5-80,-7 3 48,5 5-64,30-71 128,-33 73 24,0 4-16,-2-2-16,5-3 56,30-72-48,-37 71-64,1-6 112,6-3-128,-5-6 136,35-56-56,-28 48 24,5-6 40,-1-9-24,8-4-8,16-29-32,-16 21 56,9-15-8,0 11 104,0-17-40,7 0-112,-3 0 168,1 0-160,2 0-64,0-2-120,0 2 176,0-7-312,0-1 88,2-15 8,6 0 104,-8 23 112,2-29-72,0-6-64,8-9-8,6 0 8,-16 44 136,5-43-176,15-1 23,-15 5-55,16 5 72,-21 34 136,5-29-168,4 6-48,-4 15 72,0 2-144,-5 6 288,0-7-136,0 7 96,0 0 104,0 0 128,0 0-192,-5 7 96,0 11 88,-4-11-112,-7 20-16,16-27-56,-17 21 160,-4 6-176,3 2 72,-1-2-72,19-27 16,-18 27-128,-2-2 144,16-7-16,-17-1 32,21-17-32,-5 6 96,0 1-88,-1-1-112,1-2-160,5-4 264,-5 0-400,5 0-184,0-4-88,0 0 56,0 4 616,0-7-536,0 1 120,0 2 168,0-2 120,0 6 128,0-4-24,0 2 104,0-1 40,0 3 32,0 0-152,0 0 96,-2 0-48,0 5-24,-1 1-72,3-6 48,-9 19-8,-7-3-48,6 3 24,-8 2 120,18-21-88,-15 21 184,-3-1 208,1 1 144,4-2 40,13-19-576,-7 17 600,-14-11-56,14 15-80,-11-15 48,18-6-512,-20 6 377,16 0-81,-3 1-16,0-7-56,7 0-224,0 0 168,-7 0-24,2-5-56,5-11-152,0 16 64,-10-9-48,10-22-24,0-2-24,0-11 16,0 44 80,8-56-32,13-10-8,0-11 16,2-9 24,-23 86 0,25-89-40,2-9 16,1-4-40,-3-4 56,-25 106 8,31-110 40,-4 6 16,-1 4 48,-3 15-56,-23 85-48,22-77 16,1 12 0,-5 7-16,-13 6 40,-5 52-40,19-50 80,-14 6 0,15 11 64,-17 12 56,-3 21-200,5-4 368,-5 2 104,0 2 48,0 6-144,0-6-376,-3 31 152,-14 11-120,2 14-104,-7 15 48,22-71 24,-26 79-32,-1 6-24,-9 5 40,6 1-40,30-91 56,-37 96-32,-2 2-8,-3 2-16,-6-5 32,48-95 24,-48 92 0,3-11 0,4-6 16,3-13 24,38-62-40,-37 52 88,4-8-8,8-11-24,4-6 40,21-27-96,-9 21 24,-6-15-24,13 0 80,-1-1-96,3-5 16,0 0-56,-4 0-16,4 0-104,0-2-96,0 2 272,0-9-184,0-7-48,4 7 40,-4-14 0,0 23 192,5-6-152,-2-15 112,4 15-32,-5-2 88,-2 8-16,3-6 0,1-1-72,1 1 56,-1 0 40,-4 6-24,0-2-56,0 0 64,0 0-8,0 2-120,0 0 120,0-3-8,0 3 48,-2-2 0,2 2-40,-2-2 72,-3-4 64,1 2-16,-13-2 64,17 6-184,-9-7 176,-15 1-48,6 0-16,-8 2 96,26 4-208,-32-2 136,-3 0-136,-8 0 96,-3-1 8,46 3-104,-49 0-56,-5 0 32,-4 5 48,-7-1-200,65-4 176,-70 16 32,-9-9 136,-1 13-144,-3-13 80,83-7-104,-83 23 240,5-7 56,-2-9 16,-1 17 32,81-24-344,-73 19 257,8 0-73,4 0-32,8-1 72,53-18-224,-47 7 120,12 13-176,9-15 128,6 1 0,20-6-72,-3 4-88,1 0-168,2-4-8,20 0-129,-20 0 393,33 0-80,7-2 152,16-2 48,21-4 57,-77 8-177,93-21 208,16 4 224,13-8-96,9 0-24,-131 25-312,137-31 304,12-2-32,17-3 0,9-3 88,-175 39-360,189-44 192,0-2-96,-5-6-24,-5-2 48,-179 54-120,180-60 128,-5-5-8,2-1 24,-9-5 72,-168 71-216,156-71 232,-16 1-40,-19-1 8,-18 4-80,-103 67-120,86-62 56,-25 10-32,-14 8 16,-17 11 16,-30 33-56,0-27 217,0 6 95,-17 5-24,-22 7-96,39 9-192,-49-16 16,-19 13-72,-18 3-112,-19 21 24,105-21 144,-124 29-240,-18 13-96,-19 12-57,-7 11-111,168-65 504,-176 77-408,-13 8 88,-7 6 64,-3 5 72,199-96 184,-203 92-152,14-9-144,19-4-152,17-10-280,153-69 728,-124 60-928,21-10-409,26-13-367,21-12-737,56-25 2441,-35 4-5473,15-4-8,20 0 5481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zoomScale="130" zoomScaleNormal="100" zoomScaleSheetLayoutView="130" workbookViewId="0">
      <selection activeCell="F2" sqref="F2:J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2" t="s">
        <v>201</v>
      </c>
      <c r="C1" s="72"/>
      <c r="D1" s="72"/>
      <c r="E1" s="72"/>
      <c r="F1" s="72"/>
      <c r="G1" s="72"/>
      <c r="H1" s="72"/>
      <c r="I1" s="72"/>
      <c r="J1" s="72"/>
    </row>
    <row r="2" spans="1:10" ht="30" customHeight="1" x14ac:dyDescent="0.3">
      <c r="B2" s="13" t="s">
        <v>8</v>
      </c>
      <c r="C2" s="78" t="s">
        <v>38</v>
      </c>
      <c r="D2" s="78"/>
      <c r="E2" s="13" t="s">
        <v>7</v>
      </c>
      <c r="F2" s="73">
        <v>45956</v>
      </c>
      <c r="G2" s="73"/>
      <c r="H2" s="73"/>
      <c r="I2" s="73"/>
      <c r="J2" s="73"/>
    </row>
    <row r="3" spans="1:10" ht="30" customHeight="1" x14ac:dyDescent="0.3">
      <c r="B3" s="13" t="s">
        <v>9</v>
      </c>
      <c r="C3" s="78" t="s">
        <v>60</v>
      </c>
      <c r="D3" s="78"/>
      <c r="E3" s="13" t="s">
        <v>6</v>
      </c>
      <c r="F3" s="78" t="s">
        <v>142</v>
      </c>
      <c r="G3" s="78"/>
      <c r="H3" s="78"/>
      <c r="I3" s="78"/>
      <c r="J3" s="78"/>
    </row>
    <row r="4" spans="1:10" ht="30" customHeight="1" thickBot="1" x14ac:dyDescent="0.35">
      <c r="B4" s="6"/>
      <c r="C4" s="43" t="s">
        <v>202</v>
      </c>
      <c r="D4" s="43"/>
      <c r="E4" s="6"/>
      <c r="F4" s="7"/>
      <c r="G4" s="7"/>
      <c r="H4" s="8"/>
      <c r="I4" s="7"/>
      <c r="J4" s="7"/>
    </row>
    <row r="5" spans="1:10" ht="24.9" customHeight="1" x14ac:dyDescent="0.3">
      <c r="A5" s="11"/>
      <c r="B5" s="74" t="s">
        <v>0</v>
      </c>
      <c r="C5" s="75"/>
      <c r="D5" s="75"/>
      <c r="E5" s="83" t="s">
        <v>1</v>
      </c>
      <c r="F5" s="83"/>
      <c r="G5" s="83"/>
      <c r="H5" s="83"/>
      <c r="I5" s="83" t="s">
        <v>2</v>
      </c>
      <c r="J5" s="84"/>
    </row>
    <row r="6" spans="1:10" ht="24.9" customHeight="1" thickBot="1" x14ac:dyDescent="0.35">
      <c r="A6" s="11"/>
      <c r="B6" s="76"/>
      <c r="C6" s="77"/>
      <c r="D6" s="77"/>
      <c r="E6" s="12" t="s">
        <v>3</v>
      </c>
      <c r="F6" s="12" t="s">
        <v>4</v>
      </c>
      <c r="G6" s="12" t="s">
        <v>23</v>
      </c>
      <c r="H6" s="12" t="s">
        <v>24</v>
      </c>
      <c r="I6" s="85"/>
      <c r="J6" s="86"/>
    </row>
    <row r="7" spans="1:10" ht="24.9" customHeight="1" thickBot="1" x14ac:dyDescent="0.35">
      <c r="A7" s="11"/>
      <c r="B7" s="81" t="s">
        <v>21</v>
      </c>
      <c r="C7" s="82"/>
      <c r="D7" s="82"/>
      <c r="E7" s="30" t="s">
        <v>18</v>
      </c>
      <c r="F7" s="30" t="s">
        <v>19</v>
      </c>
      <c r="G7" s="30" t="s">
        <v>22</v>
      </c>
      <c r="H7" s="30" t="s">
        <v>20</v>
      </c>
      <c r="I7" s="94" t="s">
        <v>25</v>
      </c>
      <c r="J7" s="95"/>
    </row>
    <row r="8" spans="1:10" ht="39.9" customHeight="1" thickBot="1" x14ac:dyDescent="0.35">
      <c r="A8" s="11"/>
      <c r="B8" s="50" t="s">
        <v>195</v>
      </c>
      <c r="C8" s="51"/>
      <c r="D8" s="51"/>
      <c r="E8" s="10">
        <v>5</v>
      </c>
      <c r="F8" s="41">
        <v>3.75</v>
      </c>
      <c r="G8" s="42">
        <f>IFERROR(F8/E8,"")</f>
        <v>0.75</v>
      </c>
      <c r="H8" s="28" t="str">
        <f>_xlfn.IFS(F8="أدخل العلامة","",F8="لا ينطبق","تم الإلغاء",G8&gt;=90%,"ممتاز",G8&gt;=80%,"جيد جداً",G8&gt;=70%,"جيد",G8&gt;=60%,"مقبول",G8&lt;60%,"راسب")</f>
        <v>جيد</v>
      </c>
      <c r="I8" s="92"/>
      <c r="J8" s="93"/>
    </row>
    <row r="9" spans="1:10" ht="39.9" customHeight="1" thickBot="1" x14ac:dyDescent="0.35">
      <c r="A9" s="11"/>
      <c r="B9" s="52" t="s">
        <v>196</v>
      </c>
      <c r="C9" s="53"/>
      <c r="D9" s="53"/>
      <c r="E9" s="10">
        <v>5</v>
      </c>
      <c r="F9" s="41">
        <v>3.5</v>
      </c>
      <c r="G9" s="42">
        <f>IFERROR(F9/E9,"")</f>
        <v>0.7</v>
      </c>
      <c r="H9" s="28" t="str">
        <f>_xlfn.IFS(F9="أدخل العلامة","",F9="لا ينطبق","تم الإلغاء",G9&gt;=90%,"ممتاز",G9&gt;=80%,"جيد جداً",G9&gt;=70%,"جيد",G9&gt;=60%,"مقبول",G9&lt;60%,"راسب")</f>
        <v>جيد</v>
      </c>
      <c r="I9" s="92"/>
      <c r="J9" s="93"/>
    </row>
    <row r="10" spans="1:10" ht="39.9" customHeight="1" thickBot="1" x14ac:dyDescent="0.35">
      <c r="A10" s="11"/>
      <c r="B10" s="52" t="s">
        <v>197</v>
      </c>
      <c r="C10" s="53"/>
      <c r="D10" s="53"/>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92"/>
      <c r="J10" s="93"/>
    </row>
    <row r="11" spans="1:10" ht="39.9" customHeight="1" x14ac:dyDescent="0.3">
      <c r="A11" s="11"/>
      <c r="B11" s="48" t="s">
        <v>198</v>
      </c>
      <c r="C11" s="49"/>
      <c r="D11" s="49"/>
      <c r="E11" s="40"/>
      <c r="F11" s="34"/>
      <c r="G11" s="35"/>
      <c r="H11" s="36"/>
      <c r="I11" s="58"/>
      <c r="J11" s="59"/>
    </row>
    <row r="12" spans="1:10" ht="39.9" customHeight="1" x14ac:dyDescent="0.3">
      <c r="A12" s="11"/>
      <c r="B12" s="44" t="s">
        <v>176</v>
      </c>
      <c r="C12" s="45"/>
      <c r="D12" s="45"/>
      <c r="E12" s="9">
        <v>5</v>
      </c>
      <c r="F12" s="27">
        <v>3.75</v>
      </c>
      <c r="G12" s="32">
        <f t="shared" si="0"/>
        <v>0.75</v>
      </c>
      <c r="H12" s="33" t="str">
        <f t="shared" si="1"/>
        <v>جيد</v>
      </c>
      <c r="I12" s="56"/>
      <c r="J12" s="57"/>
    </row>
    <row r="13" spans="1:10" ht="54.9" customHeight="1" x14ac:dyDescent="0.3">
      <c r="A13" s="11"/>
      <c r="B13" s="44" t="s">
        <v>177</v>
      </c>
      <c r="C13" s="45"/>
      <c r="D13" s="45"/>
      <c r="E13" s="9">
        <v>5</v>
      </c>
      <c r="F13" s="27">
        <v>3.5</v>
      </c>
      <c r="G13" s="32">
        <f t="shared" si="0"/>
        <v>0.7</v>
      </c>
      <c r="H13" s="33" t="str">
        <f t="shared" si="1"/>
        <v>جيد</v>
      </c>
      <c r="I13" s="56"/>
      <c r="J13" s="57"/>
    </row>
    <row r="14" spans="1:10" ht="71.25" customHeight="1" x14ac:dyDescent="0.3">
      <c r="A14" s="11"/>
      <c r="B14" s="44" t="s">
        <v>178</v>
      </c>
      <c r="C14" s="45"/>
      <c r="D14" s="45"/>
      <c r="E14" s="9">
        <v>5</v>
      </c>
      <c r="F14" s="27">
        <v>3.5</v>
      </c>
      <c r="G14" s="32">
        <f t="shared" si="0"/>
        <v>0.7</v>
      </c>
      <c r="H14" s="33" t="str">
        <f t="shared" si="1"/>
        <v>جيد</v>
      </c>
      <c r="I14" s="56"/>
      <c r="J14" s="57"/>
    </row>
    <row r="15" spans="1:10" ht="39.9" customHeight="1" x14ac:dyDescent="0.3">
      <c r="A15" s="11"/>
      <c r="B15" s="44" t="s">
        <v>179</v>
      </c>
      <c r="C15" s="45"/>
      <c r="D15" s="45"/>
      <c r="E15" s="9">
        <v>5</v>
      </c>
      <c r="F15" s="27">
        <v>3.75</v>
      </c>
      <c r="G15" s="32">
        <f t="shared" si="0"/>
        <v>0.75</v>
      </c>
      <c r="H15" s="33" t="str">
        <f t="shared" si="1"/>
        <v>جيد</v>
      </c>
      <c r="I15" s="56"/>
      <c r="J15" s="57"/>
    </row>
    <row r="16" spans="1:10" ht="68.25" customHeight="1" x14ac:dyDescent="0.3">
      <c r="A16" s="11"/>
      <c r="B16" s="44" t="s">
        <v>180</v>
      </c>
      <c r="C16" s="45"/>
      <c r="D16" s="45"/>
      <c r="E16" s="9">
        <v>5</v>
      </c>
      <c r="F16" s="27">
        <v>3.75</v>
      </c>
      <c r="G16" s="32">
        <f t="shared" si="0"/>
        <v>0.75</v>
      </c>
      <c r="H16" s="33" t="str">
        <f t="shared" si="1"/>
        <v>جيد</v>
      </c>
      <c r="I16" s="56"/>
      <c r="J16" s="57"/>
    </row>
    <row r="17" spans="1:10" ht="65.099999999999994" customHeight="1" thickBot="1" x14ac:dyDescent="0.35">
      <c r="A17" s="11"/>
      <c r="B17" s="46" t="s">
        <v>181</v>
      </c>
      <c r="C17" s="47"/>
      <c r="D17" s="47"/>
      <c r="E17" s="37">
        <v>5</v>
      </c>
      <c r="F17" s="29">
        <v>3.75</v>
      </c>
      <c r="G17" s="38">
        <f t="shared" si="0"/>
        <v>0.75</v>
      </c>
      <c r="H17" s="39" t="str">
        <f t="shared" si="1"/>
        <v>جيد</v>
      </c>
      <c r="I17" s="54"/>
      <c r="J17" s="55"/>
    </row>
    <row r="18" spans="1:10" ht="39.9" customHeight="1" x14ac:dyDescent="0.3">
      <c r="A18" s="11"/>
      <c r="B18" s="60" t="s">
        <v>199</v>
      </c>
      <c r="C18" s="61"/>
      <c r="D18" s="61"/>
      <c r="E18" s="40"/>
      <c r="F18" s="34"/>
      <c r="G18" s="35"/>
      <c r="H18" s="36"/>
      <c r="I18" s="58"/>
      <c r="J18" s="59"/>
    </row>
    <row r="19" spans="1:10" ht="39.9" customHeight="1" x14ac:dyDescent="0.3">
      <c r="A19" s="11"/>
      <c r="B19" s="44" t="s">
        <v>182</v>
      </c>
      <c r="C19" s="45"/>
      <c r="D19" s="45"/>
      <c r="E19" s="9">
        <v>5</v>
      </c>
      <c r="F19" s="27">
        <v>3.5</v>
      </c>
      <c r="G19" s="32">
        <f t="shared" si="0"/>
        <v>0.7</v>
      </c>
      <c r="H19" s="33" t="str">
        <f t="shared" si="1"/>
        <v>جيد</v>
      </c>
      <c r="I19" s="56"/>
      <c r="J19" s="57"/>
    </row>
    <row r="20" spans="1:10" ht="39.9" customHeight="1" x14ac:dyDescent="0.3">
      <c r="A20" s="11"/>
      <c r="B20" s="44" t="s">
        <v>183</v>
      </c>
      <c r="C20" s="45"/>
      <c r="D20" s="45"/>
      <c r="E20" s="9">
        <v>5</v>
      </c>
      <c r="F20" s="27">
        <v>3.75</v>
      </c>
      <c r="G20" s="32">
        <f t="shared" si="0"/>
        <v>0.75</v>
      </c>
      <c r="H20" s="33" t="str">
        <f t="shared" si="1"/>
        <v>جيد</v>
      </c>
      <c r="I20" s="56"/>
      <c r="J20" s="57"/>
    </row>
    <row r="21" spans="1:10" ht="39.9" customHeight="1" x14ac:dyDescent="0.3">
      <c r="A21" s="11"/>
      <c r="B21" s="44" t="s">
        <v>184</v>
      </c>
      <c r="C21" s="45"/>
      <c r="D21" s="45"/>
      <c r="E21" s="9">
        <v>5</v>
      </c>
      <c r="F21" s="27">
        <v>3.75</v>
      </c>
      <c r="G21" s="32">
        <f t="shared" si="0"/>
        <v>0.75</v>
      </c>
      <c r="H21" s="33" t="str">
        <f t="shared" si="1"/>
        <v>جيد</v>
      </c>
      <c r="I21" s="56"/>
      <c r="J21" s="57"/>
    </row>
    <row r="22" spans="1:10" ht="39.9" customHeight="1" x14ac:dyDescent="0.3">
      <c r="A22" s="11"/>
      <c r="B22" s="44" t="s">
        <v>185</v>
      </c>
      <c r="C22" s="45"/>
      <c r="D22" s="45"/>
      <c r="E22" s="9">
        <v>5</v>
      </c>
      <c r="F22" s="27">
        <v>3.5</v>
      </c>
      <c r="G22" s="32">
        <f t="shared" si="0"/>
        <v>0.7</v>
      </c>
      <c r="H22" s="33" t="str">
        <f t="shared" si="1"/>
        <v>جيد</v>
      </c>
      <c r="I22" s="56"/>
      <c r="J22" s="57"/>
    </row>
    <row r="23" spans="1:10" ht="39.9" customHeight="1" x14ac:dyDescent="0.3">
      <c r="A23" s="11"/>
      <c r="B23" s="44" t="s">
        <v>186</v>
      </c>
      <c r="C23" s="45"/>
      <c r="D23" s="45"/>
      <c r="E23" s="9">
        <v>5</v>
      </c>
      <c r="F23" s="27">
        <v>3.75</v>
      </c>
      <c r="G23" s="32">
        <f t="shared" si="0"/>
        <v>0.75</v>
      </c>
      <c r="H23" s="33" t="str">
        <f t="shared" si="1"/>
        <v>جيد</v>
      </c>
      <c r="I23" s="56"/>
      <c r="J23" s="57"/>
    </row>
    <row r="24" spans="1:10" ht="39.9" customHeight="1" x14ac:dyDescent="0.3">
      <c r="A24" s="11"/>
      <c r="B24" s="44" t="s">
        <v>187</v>
      </c>
      <c r="C24" s="45"/>
      <c r="D24" s="45"/>
      <c r="E24" s="9">
        <v>5</v>
      </c>
      <c r="F24" s="27">
        <v>3.75</v>
      </c>
      <c r="G24" s="32">
        <f t="shared" si="0"/>
        <v>0.75</v>
      </c>
      <c r="H24" s="33" t="str">
        <f t="shared" si="1"/>
        <v>جيد</v>
      </c>
      <c r="I24" s="56"/>
      <c r="J24" s="57"/>
    </row>
    <row r="25" spans="1:10" ht="39.9" customHeight="1" x14ac:dyDescent="0.3">
      <c r="A25" s="11"/>
      <c r="B25" s="44" t="s">
        <v>188</v>
      </c>
      <c r="C25" s="45"/>
      <c r="D25" s="45"/>
      <c r="E25" s="9">
        <v>5</v>
      </c>
      <c r="F25" s="27">
        <v>3.75</v>
      </c>
      <c r="G25" s="32">
        <f t="shared" si="0"/>
        <v>0.75</v>
      </c>
      <c r="H25" s="33" t="str">
        <f t="shared" si="1"/>
        <v>جيد</v>
      </c>
      <c r="I25" s="56"/>
      <c r="J25" s="57"/>
    </row>
    <row r="26" spans="1:10" ht="39.9" customHeight="1" thickBot="1" x14ac:dyDescent="0.35">
      <c r="A26" s="11"/>
      <c r="B26" s="46" t="s">
        <v>189</v>
      </c>
      <c r="C26" s="47"/>
      <c r="D26" s="47"/>
      <c r="E26" s="37">
        <v>5</v>
      </c>
      <c r="F26" s="29">
        <v>3.75</v>
      </c>
      <c r="G26" s="38">
        <f t="shared" si="0"/>
        <v>0.75</v>
      </c>
      <c r="H26" s="39" t="str">
        <f t="shared" si="1"/>
        <v>جيد</v>
      </c>
      <c r="I26" s="54"/>
      <c r="J26" s="55"/>
    </row>
    <row r="27" spans="1:10" ht="39.9" customHeight="1" x14ac:dyDescent="0.3">
      <c r="A27" s="11"/>
      <c r="B27" s="48" t="s">
        <v>200</v>
      </c>
      <c r="C27" s="49"/>
      <c r="D27" s="49"/>
      <c r="E27" s="40"/>
      <c r="F27" s="34"/>
      <c r="G27" s="35"/>
      <c r="H27" s="36"/>
      <c r="I27" s="58"/>
      <c r="J27" s="59"/>
    </row>
    <row r="28" spans="1:10" ht="39.9" customHeight="1" x14ac:dyDescent="0.3">
      <c r="A28" s="11"/>
      <c r="B28" s="44" t="s">
        <v>190</v>
      </c>
      <c r="C28" s="45"/>
      <c r="D28" s="45"/>
      <c r="E28" s="9">
        <v>5</v>
      </c>
      <c r="F28" s="27">
        <v>3.75</v>
      </c>
      <c r="G28" s="32">
        <f t="shared" si="0"/>
        <v>0.75</v>
      </c>
      <c r="H28" s="33" t="str">
        <f t="shared" si="1"/>
        <v>جيد</v>
      </c>
      <c r="I28" s="56"/>
      <c r="J28" s="57"/>
    </row>
    <row r="29" spans="1:10" ht="39.9" customHeight="1" x14ac:dyDescent="0.3">
      <c r="A29" s="11"/>
      <c r="B29" s="44" t="s">
        <v>191</v>
      </c>
      <c r="C29" s="45"/>
      <c r="D29" s="45"/>
      <c r="E29" s="9">
        <v>5</v>
      </c>
      <c r="F29" s="27">
        <v>3.5</v>
      </c>
      <c r="G29" s="32">
        <f t="shared" si="0"/>
        <v>0.7</v>
      </c>
      <c r="H29" s="33" t="str">
        <f t="shared" si="1"/>
        <v>جيد</v>
      </c>
      <c r="I29" s="56"/>
      <c r="J29" s="57"/>
    </row>
    <row r="30" spans="1:10" ht="39.9" customHeight="1" x14ac:dyDescent="0.3">
      <c r="A30" s="11"/>
      <c r="B30" s="44" t="s">
        <v>192</v>
      </c>
      <c r="C30" s="45"/>
      <c r="D30" s="45"/>
      <c r="E30" s="9">
        <v>5</v>
      </c>
      <c r="F30" s="27">
        <v>3.75</v>
      </c>
      <c r="G30" s="32">
        <f t="shared" si="0"/>
        <v>0.75</v>
      </c>
      <c r="H30" s="33" t="str">
        <f t="shared" si="1"/>
        <v>جيد</v>
      </c>
      <c r="I30" s="56"/>
      <c r="J30" s="57"/>
    </row>
    <row r="31" spans="1:10" ht="39.9" customHeight="1" x14ac:dyDescent="0.3">
      <c r="A31" s="11"/>
      <c r="B31" s="44" t="s">
        <v>193</v>
      </c>
      <c r="C31" s="45"/>
      <c r="D31" s="45"/>
      <c r="E31" s="9">
        <v>5</v>
      </c>
      <c r="F31" s="27">
        <v>3.75</v>
      </c>
      <c r="G31" s="32">
        <f t="shared" si="0"/>
        <v>0.75</v>
      </c>
      <c r="H31" s="33" t="str">
        <f t="shared" si="1"/>
        <v>جيد</v>
      </c>
      <c r="I31" s="56"/>
      <c r="J31" s="57"/>
    </row>
    <row r="32" spans="1:10" ht="39.9" customHeight="1" thickBot="1" x14ac:dyDescent="0.35">
      <c r="A32" s="11"/>
      <c r="B32" s="46" t="s">
        <v>194</v>
      </c>
      <c r="C32" s="47"/>
      <c r="D32" s="47"/>
      <c r="E32" s="37">
        <v>5</v>
      </c>
      <c r="F32" s="29">
        <v>3.75</v>
      </c>
      <c r="G32" s="38">
        <f t="shared" si="0"/>
        <v>0.75</v>
      </c>
      <c r="H32" s="39" t="str">
        <f t="shared" si="1"/>
        <v>جيد</v>
      </c>
      <c r="I32" s="54"/>
      <c r="J32" s="55"/>
    </row>
    <row r="33" spans="1:10" ht="30" customHeight="1" thickBot="1" x14ac:dyDescent="0.35">
      <c r="A33" s="4"/>
      <c r="B33" s="62" t="s">
        <v>5</v>
      </c>
      <c r="C33" s="63"/>
      <c r="D33" s="63"/>
      <c r="E33" s="31">
        <f>SUM(E8:E32)</f>
        <v>110</v>
      </c>
      <c r="F33" s="31">
        <f>SUM(F8:F32)</f>
        <v>81</v>
      </c>
      <c r="G33" s="89"/>
      <c r="H33" s="90"/>
      <c r="I33" s="90"/>
      <c r="J33" s="91"/>
    </row>
    <row r="34" spans="1:10" ht="30" customHeight="1" thickBot="1" x14ac:dyDescent="0.35">
      <c r="A34" s="4"/>
      <c r="B34" s="64" t="s">
        <v>54</v>
      </c>
      <c r="C34" s="65"/>
      <c r="D34" s="65"/>
      <c r="E34" s="79">
        <f>F33/E33/100*100</f>
        <v>0.73636363636363633</v>
      </c>
      <c r="F34" s="79"/>
      <c r="G34" s="79"/>
      <c r="H34" s="79"/>
      <c r="I34" s="79"/>
      <c r="J34" s="80"/>
    </row>
    <row r="35" spans="1:10" ht="30" customHeight="1" thickBot="1" x14ac:dyDescent="0.3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3">
      <c r="B36" s="66" t="s">
        <v>175</v>
      </c>
      <c r="C36" s="66"/>
      <c r="D36" s="66"/>
      <c r="E36" s="87" t="s">
        <v>52</v>
      </c>
      <c r="F36" s="87"/>
      <c r="G36" s="68" t="s">
        <v>142</v>
      </c>
      <c r="H36" s="68"/>
      <c r="I36" s="68"/>
      <c r="J36" s="68"/>
    </row>
    <row r="37" spans="1:10" ht="51" customHeight="1" x14ac:dyDescent="0.3">
      <c r="A37" s="5"/>
      <c r="B37" s="67"/>
      <c r="C37" s="67"/>
      <c r="D37" s="67"/>
      <c r="E37" s="88" t="s">
        <v>53</v>
      </c>
      <c r="F37" s="88"/>
      <c r="G37" s="69"/>
      <c r="H37" s="69"/>
      <c r="I37" s="69"/>
      <c r="J37" s="69"/>
    </row>
  </sheetData>
  <sheetProtection formatCells="0" formatColumns="0" formatRows="0" insertColumns="0" insertRows="0" insertHyperlinks="0" deleteColumns="0" deleteRows="0" selectLockedCells="1" sort="0" autoFilter="0" pivotTables="0"/>
  <mergeCells count="72">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C4:D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2025-10-27T22:32:35Z</dcterms:modified>
</cp:coreProperties>
</file>