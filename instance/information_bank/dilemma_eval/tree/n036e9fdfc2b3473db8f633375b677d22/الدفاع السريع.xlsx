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BB5CDFA-4CB8-A64C-B31C-340913C8169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<sst xmlns="http://schemas.openxmlformats.org/spreadsheetml/2006/main" count="263" uniqueCount="207">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</sst>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455865</xdr:colOff>
      <xdr:row>35</xdr:row>
      <xdr:rowOff>63400</xdr:rowOff>
    </xdr:from>
    <xdr:to>
      <xdr:col>9</xdr:col>
      <xdr:colOff>230114</xdr:colOff>
      <xdr:row>38</xdr:row>
      <xdr:rowOff>141323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510931B-9875-0EEA-5369-EFBAAF165274}"/>
                </a:ext>
              </a:extLst>
            </xdr14:cNvPr>
            <xdr14:cNvContentPartPr/>
          </xdr14:nvContentPartPr>
          <xdr14:nvPr macro=""/>
          <xdr14:xfrm>
            <a:off x="10398356705" y="16700400"/>
            <a:ext cx="1748520" cy="16365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510931B-9875-0EEA-5369-EFBAAF1652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47705" y="16691760"/>
              <a:ext cx="1766160" cy="1654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35:59.2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3625 4099 9249,'0'0'0,"-17"-20"7514,3 2-6786,2-2-744,12 20 16,-3-19-112,3 15 48,12-12 8,-7 12 152,-5 4-96,12-18 32,0 5-24,-5-1 56,10-1-40,-17 15-24,3-17 8,4 2 112,-5-1 112,-2 16-232,5-16 360,0 1 169,-5-2 15,0-5-8,0 22-536,0-22 448,-5-5-120,0-2-32,-7-1 56,12 30-352,-7-31 144,-10-3 272,5-2-128,-2-3-64,14 39-224,-15-42 464,1 0-192,-3-1 129,7 0 175,10 43-576,-2-41 504,-15 0 56,12 1-96,-9 0-384,14 3 80,0 37-160,-2-35 72,2-1-88,-3 4 176,-2 0-248,5 32 88,0-29-40,-2 0 136,2 1-184,0-2 48,0 30 40,0-27 0,5-3-56,0 2 24,-3-1 192,-2 29-160,2-25-104,1 0 120,-3 5-56,0 2 80,0 18-40,0-17 32,0 1-64,0 4 176,-3 7-160,3 5 16,0-14 112,-2 11-40,2-8-40,0 8-64,0 3 32,0-13 104,0 9-16,0 0-16,0-9 80,0 13-152,0 0-56,0-3 176,2 3-48,-2-3-104,0 3 32,3 0 40,-3 0-152,0 0 8,-5 0 80,5 0 24,0 0-16,0 0-40,0 0 8,0 0 40,0 0 8,0 0 40,0 0 64,0 0-96,0 0-8,0 0 0,2 0-144,6 0 32,4 0 168,-10 0-80,-2 0 24,17 0 0,-5 0-32,5-3-152,-3-1-160,-14 4 344,24-11 32,0 8-32,3-10-72,4 9 344,-31 4-272,34-19 168,4 7-200,3-6 352,5 1-120,-46 17-200,48-19-32,0-1 176,0-2-128,5 1-16,-53 21 0,53-20-72,5-1-24,-8 1 24,5 0 40,-55 20 32,51-19 16,-3 1 144,5 0-248,-2 2 40,-51 16 48,52-14-8,-6-1 16,-3 11 96,3-10 8,-46 14-112,39-4 48,-1-1-48,-4 1-16,-5 1-24,-29 3 40,24 0 24,-7 0-224,-3 2 200,-12 2 0,-2-4 0,5 13 32,-5-2 240,3 6-128,-8 7-16,5-24-128,-22 30 72,-2 6-72,-10 6 104,-7 4-120,41-46 16,-50 51 0,-5 6-72,-8 0 0,-7 4-88,70-61 160,-79 62 72,-8 2-200,-6 3 24,-6 0 384,99-67-280,-111 68 8,-4 3 144,-5 3 8,-10 6-336,130-80 176,-128 85-552,1-1 824,-3 1-136,5-1 48,125-84-184,-128 81 696,6 2-776,6-5 80,3-3 88,113-75-88,-96 70-24,5-6-40,9-6 8,10-5 112,72-53-56,-65 45-160,41-25 32,-5 3 8,5-3-200,24-20 320,-24 21-16,4-4 32,6-1-136,9-5 8,5-11 112,-14 12-144,14-11-16,2-1 56,25-17-40,-27 17 144,38-29-272,15-9 192,-5-3 48,12-2 144,-60 43-112,56-51 128,1-3-144,3-6 8,-2-4 48,-58 64-40,65-65 40,0-6 8,2 1-64,1-1 104,-68 71-88,72-70 72,-5 2 96,3 4-104,-10 5 48,-60 59-112,60-54 264,-7 5-32,-7 9 208,-10 6-224,-36 34-216,31-25 153,-12 8-81,-4 5 16,-3 9 32,-12 3-120,5-2 104,-5 2-120,0 0-56,-5 1 16,5-1 56,-5 4-136,-9 16 208,-1 3-24,-11 11-48,26-34 0,-36 43-64,-5 6-56,-7 7-113,-8 2 41,56-58 192,-57 61 136,-3 2-216,-8 1 144,1 0-80,67-64 16,-70 64-120,0-3 88,3-4 32,7-6-24,60-51 24,-53 43-152,5-6 144,5-3 32,4-7 24,39-27-48,-31 20 104,12-6-48,4-13 104,10 1 81,5-2-241,-5 0 312,5-15-56,3-3-136,4-8-120,-7 26 0,22-34 0,-5-3-64,11-8 64,6-5 16,-34 50-16,36-55-48,10-2 48,0 1-16,-1 4 32,-45 52-16,46-50-56,-3 4 176,1 7-184,-4 2-80,-40 37 144,32-30-96,-3 4-585,-1 6 241,-6 5 136,-22 15 304,19-12-280,-4 9 168,-10 1 80,-5 2-64,0 0 96,4 0-48,-4 1 336,0 3-368,0 8 392,0-12-312,-4 12 248,-11 7-176,1 4 312,-1 2-384,15-25 0,-24 29 56,-2 2 273,-1 3-209,-2 0 144,29-34-264,-28 33 136,-6-2-192,0-2 144,5-2-152,29-27 64,-28 25 0,8-2 136,1-2-176,-3-6 80,22-15-40,-14 11 64,14-10 8,-2 1 32,2-2 80,0 0-184,0 0 72,0 0 96,2-5-136,0-12 24,-2 17-56,15-14-8,-10-3-224,14-1 336,-5-2-104,-14 20 0,15-17 128,-1 0 80,1 4-224,-11 9-24,-4 4 40,15-15 104,-13 13-72,3-3-64,0 2 152,-5 3-120,2-2-88,3 2 176,0 0-136,-3 0 64,-2 0-16,0 0 48,0 0-112,0 0 224,-5 0-120,5 0-40,-2 0-16,2 0 64,0 0-32,0 0-48,0 0 32,0 0 152,0 0-72,0 0-200,0 0 160,0 0-192,0 0 352,0 0-136,0 0 104,0 0-120,0 0-528,0 0 880,0 0-504,0 0 240,-5 0-184,5 0 48,0 0 112,0 0-24,0-3-40,-5 0 32,5 3-80,-2-3 88,0-1 40,-1-8-272,3 10 192,0 2-48,-5-5-48,5-7 24,-2 9 8,-3 0 40,5 3-24,0-4 32,-12-1-72,12 1 176,-2 1-184,2 3 48,0-3 32,0-1 80,-5 1-128,0-1 72,5 4-56,0-3-24,-5-1-40,-7 0 128,10 1-8,2 3-56,-17-5 32,5 3 64,-7-1-280,2 3 56,17 0 128,-26 0-112,-1 0 112,-4 3-448,-10 8 560,41-11-112,-43 6 152,-18 9-120,-1-9 560,-13 10-776,75-16 184,-84 4-560,-7 9 416,-5-12 144,-3 2 200,99-3-200,-108 1 672,2-1-576,-2-2-48,-10-11-128,118 13 80,-113-16-128,-5-8-40,5-7 40,2-6-8,111 37 136,-108-46-832,7-5 0,-7-9 352,2-8 120,106 68 360,-96-74 552,-3-8 216,15-6 0,43 36-248,41 52-520,-43-68-248,-1-9-528,3-18-632,8-10 799,33 105 609,-27-126-24,10-8 481,10-21 335,7-4-704,0 159-88,27-188 80,55-125 144,33 38 464,29 39-304,-144 236-384,140-170 104,16 6-320,10 13-256,10 14 560,-176 137-88,187-119 312,-4 17 104,10 18-296,-6 23-208,-187 61 88,185-40-112,5 23 112,-7 21-48,-2 26-56,-181-30 104,170 50-280,-13 21 96,-11 18 216,-8 19-80,-138-108 48,127 127-240,-19 21-216,-16 18 16,-25 15 264,-67-181 176,50 189 152,-16 8-248,-19 5-184,-18 10 296,3-212-16,-29 212 16,-14 2 280,-15 0-88,-23-1-192,81-213-16,-104 214 256,-21-3-544,-19-7 144,-13-10-56,157-194 200,-158 186-264,-18-13 560,-7-10-144,89-87-1049,94-76 897,-115 90-440,-5-11-432,-22 11-480,7-12-577,135-78 1929,-163 87-8441,4-15-2098,159-72 10539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21" zoomScale="130" zoomScaleNormal="100" zoomScaleSheetLayoutView="130" workbookViewId="0">
      <selection activeCell="G38" sqref="G38:J3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4" t="s">
        <v>206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2">
      <c r="B2" s="12" t="s">
        <v>8</v>
      </c>
      <c r="C2" s="60" t="s">
        <v>37</v>
      </c>
      <c r="D2" s="60"/>
      <c r="E2" s="12" t="s">
        <v>7</v>
      </c>
      <c r="F2" s="55">
        <v>45954</v>
      </c>
      <c r="G2" s="55"/>
      <c r="H2" s="55"/>
      <c r="I2" s="55"/>
      <c r="J2" s="55"/>
    </row>
    <row r="3" spans="1:10" ht="30" customHeight="1" x14ac:dyDescent="0.2">
      <c r="B3" s="12" t="s">
        <v>9</v>
      </c>
      <c r="C3" s="60" t="s">
        <v>77</v>
      </c>
      <c r="D3" s="60"/>
      <c r="E3" s="12" t="s">
        <v>6</v>
      </c>
      <c r="F3" s="60" t="s">
        <v>101</v>
      </c>
      <c r="G3" s="60"/>
      <c r="H3" s="60"/>
      <c r="I3" s="60"/>
      <c r="J3" s="6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5" customHeight="1" thickBot="1" x14ac:dyDescent="0.2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5" customHeight="1" thickBot="1" x14ac:dyDescent="0.25">
      <c r="A7" s="10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9.950000000000003" customHeight="1" x14ac:dyDescent="0.2">
      <c r="A8" s="10"/>
      <c r="B8" s="45" t="s">
        <v>180</v>
      </c>
      <c r="C8" s="46"/>
      <c r="D8" s="46"/>
      <c r="E8" s="32">
        <v>5</v>
      </c>
      <c r="F8" s="33">
        <v>3.5</v>
      </c>
      <c r="G8" s="34">
        <f>IFERROR(F8/E8,"")</f>
        <v>0.7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9"/>
      <c r="J8" s="80"/>
    </row>
    <row r="9" spans="1:10" ht="39.950000000000003" customHeight="1" x14ac:dyDescent="0.2">
      <c r="A9" s="10"/>
      <c r="B9" s="43" t="s">
        <v>181</v>
      </c>
      <c r="C9" s="44"/>
      <c r="D9" s="44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39.950000000000003" customHeight="1" x14ac:dyDescent="0.2">
      <c r="A10" s="10"/>
      <c r="B10" s="43" t="s">
        <v>182</v>
      </c>
      <c r="C10" s="44"/>
      <c r="D10" s="44"/>
      <c r="E10" s="9">
        <v>5</v>
      </c>
      <c r="F10" s="26">
        <v>3.5</v>
      </c>
      <c r="G10" s="30">
        <f t="shared" ref="G10:G33" si="0">IFERROR(F10/E10,"")</f>
        <v>0.7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7"/>
      <c r="J10" s="48"/>
    </row>
    <row r="11" spans="1:10" ht="39.950000000000003" customHeight="1" x14ac:dyDescent="0.2">
      <c r="A11" s="10"/>
      <c r="B11" s="43" t="s">
        <v>183</v>
      </c>
      <c r="C11" s="44"/>
      <c r="D11" s="44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7"/>
      <c r="J11" s="48"/>
    </row>
    <row r="12" spans="1:10" ht="39.950000000000003" customHeight="1" x14ac:dyDescent="0.2">
      <c r="A12" s="10"/>
      <c r="B12" s="43" t="s">
        <v>184</v>
      </c>
      <c r="C12" s="44"/>
      <c r="D12" s="44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7"/>
      <c r="J12" s="48"/>
    </row>
    <row r="13" spans="1:10" ht="39.950000000000003" customHeight="1" x14ac:dyDescent="0.2">
      <c r="A13" s="10"/>
      <c r="B13" s="43" t="s">
        <v>185</v>
      </c>
      <c r="C13" s="44"/>
      <c r="D13" s="44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7"/>
      <c r="J13" s="48"/>
    </row>
    <row r="14" spans="1:10" ht="39.950000000000003" customHeight="1" x14ac:dyDescent="0.2">
      <c r="A14" s="10"/>
      <c r="B14" s="43" t="s">
        <v>186</v>
      </c>
      <c r="C14" s="44"/>
      <c r="D14" s="44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7"/>
      <c r="J14" s="48"/>
    </row>
    <row r="15" spans="1:10" ht="39.950000000000003" customHeight="1" x14ac:dyDescent="0.2">
      <c r="A15" s="10"/>
      <c r="B15" s="43" t="s">
        <v>187</v>
      </c>
      <c r="C15" s="44"/>
      <c r="D15" s="44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7"/>
      <c r="J15" s="48"/>
    </row>
    <row r="16" spans="1:10" ht="39.950000000000003" customHeight="1" x14ac:dyDescent="0.2">
      <c r="A16" s="10"/>
      <c r="B16" s="43" t="s">
        <v>188</v>
      </c>
      <c r="C16" s="44"/>
      <c r="D16" s="44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7"/>
      <c r="J16" s="48"/>
    </row>
    <row r="17" spans="1:10" ht="39.950000000000003" customHeight="1" x14ac:dyDescent="0.2">
      <c r="A17" s="10"/>
      <c r="B17" s="43" t="s">
        <v>189</v>
      </c>
      <c r="C17" s="44"/>
      <c r="D17" s="44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7"/>
      <c r="J17" s="48"/>
    </row>
    <row r="18" spans="1:10" ht="39.950000000000003" customHeight="1" x14ac:dyDescent="0.2">
      <c r="A18" s="10"/>
      <c r="B18" s="43" t="s">
        <v>190</v>
      </c>
      <c r="C18" s="44"/>
      <c r="D18" s="44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7"/>
      <c r="J18" s="48"/>
    </row>
    <row r="19" spans="1:10" ht="39.950000000000003" customHeight="1" x14ac:dyDescent="0.2">
      <c r="A19" s="10"/>
      <c r="B19" s="43" t="s">
        <v>191</v>
      </c>
      <c r="C19" s="44"/>
      <c r="D19" s="44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7"/>
      <c r="J19" s="48"/>
    </row>
    <row r="20" spans="1:10" ht="39.950000000000003" customHeight="1" x14ac:dyDescent="0.2">
      <c r="A20" s="10"/>
      <c r="B20" s="43" t="s">
        <v>192</v>
      </c>
      <c r="C20" s="44"/>
      <c r="D20" s="44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7"/>
      <c r="J20" s="48"/>
    </row>
    <row r="21" spans="1:10" ht="39.950000000000003" customHeight="1" x14ac:dyDescent="0.2">
      <c r="A21" s="10"/>
      <c r="B21" s="39" t="s">
        <v>193</v>
      </c>
      <c r="C21" s="40"/>
      <c r="D21" s="40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7"/>
      <c r="J21" s="48"/>
    </row>
    <row r="22" spans="1:10" ht="39.950000000000003" customHeight="1" x14ac:dyDescent="0.2">
      <c r="A22" s="10"/>
      <c r="B22" s="39" t="s">
        <v>194</v>
      </c>
      <c r="C22" s="40"/>
      <c r="D22" s="40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7"/>
      <c r="J22" s="48"/>
    </row>
    <row r="23" spans="1:10" ht="39.950000000000003" customHeight="1" x14ac:dyDescent="0.2">
      <c r="A23" s="10"/>
      <c r="B23" s="39" t="s">
        <v>195</v>
      </c>
      <c r="C23" s="40"/>
      <c r="D23" s="40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47"/>
      <c r="J23" s="48"/>
    </row>
    <row r="24" spans="1:10" ht="39.950000000000003" customHeight="1" x14ac:dyDescent="0.2">
      <c r="A24" s="10"/>
      <c r="B24" s="39" t="s">
        <v>196</v>
      </c>
      <c r="C24" s="40"/>
      <c r="D24" s="40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47"/>
      <c r="J24" s="48"/>
    </row>
    <row r="25" spans="1:10" ht="39.950000000000003" customHeight="1" x14ac:dyDescent="0.2">
      <c r="A25" s="10"/>
      <c r="B25" s="39" t="s">
        <v>197</v>
      </c>
      <c r="C25" s="40"/>
      <c r="D25" s="40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7"/>
      <c r="J25" s="48"/>
    </row>
    <row r="26" spans="1:10" ht="39.950000000000003" customHeight="1" x14ac:dyDescent="0.2">
      <c r="A26" s="10"/>
      <c r="B26" s="39" t="s">
        <v>198</v>
      </c>
      <c r="C26" s="40"/>
      <c r="D26" s="40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7"/>
      <c r="J26" s="48"/>
    </row>
    <row r="27" spans="1:10" ht="39.950000000000003" customHeight="1" x14ac:dyDescent="0.2">
      <c r="A27" s="10"/>
      <c r="B27" s="39" t="s">
        <v>199</v>
      </c>
      <c r="C27" s="40"/>
      <c r="D27" s="40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7"/>
      <c r="J27" s="48"/>
    </row>
    <row r="28" spans="1:10" ht="39.950000000000003" customHeight="1" x14ac:dyDescent="0.2">
      <c r="A28" s="10"/>
      <c r="B28" s="39" t="s">
        <v>200</v>
      </c>
      <c r="C28" s="40"/>
      <c r="D28" s="40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7"/>
      <c r="J28" s="48"/>
    </row>
    <row r="29" spans="1:10" ht="39.950000000000003" customHeight="1" x14ac:dyDescent="0.2">
      <c r="A29" s="10"/>
      <c r="B29" s="39" t="s">
        <v>201</v>
      </c>
      <c r="C29" s="40"/>
      <c r="D29" s="40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47"/>
      <c r="J29" s="48"/>
    </row>
    <row r="30" spans="1:10" ht="39.950000000000003" customHeight="1" x14ac:dyDescent="0.2">
      <c r="A30" s="10"/>
      <c r="B30" s="39" t="s">
        <v>202</v>
      </c>
      <c r="C30" s="40"/>
      <c r="D30" s="40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7"/>
      <c r="J30" s="48"/>
    </row>
    <row r="31" spans="1:10" ht="39.950000000000003" customHeight="1" x14ac:dyDescent="0.2">
      <c r="A31" s="10"/>
      <c r="B31" s="39" t="s">
        <v>203</v>
      </c>
      <c r="C31" s="40"/>
      <c r="D31" s="40"/>
      <c r="E31" s="9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47"/>
      <c r="J31" s="48"/>
    </row>
    <row r="32" spans="1:10" ht="39.950000000000003" customHeight="1" x14ac:dyDescent="0.2">
      <c r="A32" s="10"/>
      <c r="B32" s="39" t="s">
        <v>204</v>
      </c>
      <c r="C32" s="40"/>
      <c r="D32" s="40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7"/>
      <c r="J32" s="48"/>
    </row>
    <row r="33" spans="1:10" ht="39.950000000000003" customHeight="1" thickBot="1" x14ac:dyDescent="0.25">
      <c r="A33" s="10"/>
      <c r="B33" s="41" t="s">
        <v>205</v>
      </c>
      <c r="C33" s="42"/>
      <c r="D33" s="42"/>
      <c r="E33" s="36">
        <v>5</v>
      </c>
      <c r="F33" s="27">
        <v>3.5</v>
      </c>
      <c r="G33" s="37">
        <f t="shared" si="0"/>
        <v>0.7</v>
      </c>
      <c r="H33" s="38" t="str">
        <f t="shared" si="1"/>
        <v>جيد</v>
      </c>
      <c r="I33" s="77"/>
      <c r="J33" s="78"/>
    </row>
    <row r="34" spans="1:10" ht="30" customHeight="1" thickBot="1" x14ac:dyDescent="0.25">
      <c r="A34" s="4"/>
      <c r="B34" s="81" t="s">
        <v>5</v>
      </c>
      <c r="C34" s="82"/>
      <c r="D34" s="82"/>
      <c r="E34" s="29">
        <f>SUM(E8:E33)</f>
        <v>130</v>
      </c>
      <c r="F34" s="29">
        <f>SUM(F8:F33)</f>
        <v>91.75</v>
      </c>
      <c r="G34" s="51"/>
      <c r="H34" s="52"/>
      <c r="I34" s="52"/>
      <c r="J34" s="53"/>
    </row>
    <row r="35" spans="1:10" ht="30" customHeight="1" thickBot="1" x14ac:dyDescent="0.25">
      <c r="A35" s="4"/>
      <c r="B35" s="83" t="s">
        <v>54</v>
      </c>
      <c r="C35" s="84"/>
      <c r="D35" s="84"/>
      <c r="E35" s="61">
        <f>F34/E34/100*100</f>
        <v>0.70576923076923082</v>
      </c>
      <c r="F35" s="61"/>
      <c r="G35" s="61"/>
      <c r="H35" s="61"/>
      <c r="I35" s="61"/>
      <c r="J35" s="62"/>
    </row>
    <row r="36" spans="1:10" ht="30" customHeight="1" thickBot="1" x14ac:dyDescent="0.25">
      <c r="A36" s="4"/>
      <c r="B36" s="83" t="s">
        <v>55</v>
      </c>
      <c r="C36" s="84"/>
      <c r="D36" s="84"/>
      <c r="E36" s="75" t="str">
        <f>_xlfn.IFS(E35&gt;=90%,"ممتاز",E35&gt;=80%,"جيد جداً",E35&gt;=70%,"جيد",E35&gt;=60%,"مقبول",E35&lt;60%,"راسب")</f>
        <v>جيد</v>
      </c>
      <c r="F36" s="75"/>
      <c r="G36" s="75"/>
      <c r="H36" s="75"/>
      <c r="I36" s="75"/>
      <c r="J36" s="76"/>
    </row>
    <row r="37" spans="1:10" ht="42" customHeight="1" x14ac:dyDescent="0.2">
      <c r="B37" s="71" t="s">
        <v>174</v>
      </c>
      <c r="C37" s="71"/>
      <c r="D37" s="71"/>
      <c r="E37" s="49" t="s">
        <v>52</v>
      </c>
      <c r="F37" s="49"/>
      <c r="G37" s="73" t="s">
        <v>101</v>
      </c>
      <c r="H37" s="73"/>
      <c r="I37" s="73"/>
      <c r="J37" s="73"/>
    </row>
    <row r="38" spans="1:10" ht="51" customHeight="1" x14ac:dyDescent="0.2">
      <c r="A38" s="5"/>
      <c r="B38" s="72"/>
      <c r="C38" s="72"/>
      <c r="D38" s="72"/>
      <c r="E38" s="50" t="s">
        <v>53</v>
      </c>
      <c r="F38" s="50"/>
      <c r="G38" s="74"/>
      <c r="H38" s="74"/>
      <c r="I38" s="74"/>
      <c r="J38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25:D25"/>
    <mergeCell ref="B27:D27"/>
    <mergeCell ref="B26:D26"/>
    <mergeCell ref="B17:D17"/>
    <mergeCell ref="B8:D8"/>
    <mergeCell ref="B33:D33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8:D28"/>
    <mergeCell ref="B29:D29"/>
    <mergeCell ref="B30:D30"/>
    <mergeCell ref="B31:D31"/>
    <mergeCell ref="B32:D3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