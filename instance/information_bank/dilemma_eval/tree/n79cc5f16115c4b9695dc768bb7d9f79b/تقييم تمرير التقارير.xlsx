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84434634-801A-6F4D-8286-E46D16A3BC80}"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<sst xmlns="http://schemas.openxmlformats.org/spreadsheetml/2006/main" count="258" uniqueCount="202">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</sst>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405221</xdr:colOff>
      <xdr:row>35</xdr:row>
      <xdr:rowOff>410517</xdr:rowOff>
    </xdr:from>
    <xdr:to>
      <xdr:col>8</xdr:col>
      <xdr:colOff>447317</xdr:colOff>
      <xdr:row>37</xdr:row>
      <xdr:rowOff>45760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3638A1F-56A3-C559-DFE2-5FDB4175DEA5}"/>
                </a:ext>
              </a:extLst>
            </xdr14:cNvPr>
            <xdr14:cNvContentPartPr/>
          </xdr14:nvContentPartPr>
          <xdr14:nvPr macro=""/>
          <xdr14:xfrm>
            <a:off x="10398797589" y="18155880"/>
            <a:ext cx="1358280" cy="812880"/>
          </xdr14:xfrm>
        </xdr:contentPart>
      </mc:Choice>
      <mc:Fallback xmlns="">
        <xdr:pic>
          <xdr:nvPicPr>
            <xdr:cNvPr id="2" name="Ink 1">
              <a:extLst>
                <a:ext uri="{FF2B5EF4-FFF2-40B4-BE49-F238E27FC236}">
                  <a16:creationId xmlns:a16="http://schemas.microsoft.com/office/drawing/2014/main" id="{93638A1F-56A3-C559-DFE2-5FDB4175DEA5}"/>
                </a:ext>
              </a:extLst>
            </xdr:cNvPr>
            <xdr:cNvPicPr/>
          </xdr:nvPicPr>
          <xdr:blipFill>
            <a:blip xmlns:r="http://schemas.openxmlformats.org/officeDocument/2006/relationships" r:embed="rId2"/>
            <a:stretch>
              <a:fillRect/>
            </a:stretch>
          </xdr:blipFill>
          <xdr:spPr>
            <a:xfrm>
              <a:off x="10398788949" y="18146880"/>
              <a:ext cx="1375920" cy="830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17:12:10.707"/>
    </inkml:context>
    <inkml:brush xml:id="br0">
      <inkml:brushProperty name="width" value="0.05" units="cm"/>
      <inkml:brushProperty name="height" value="0.05" units="cm"/>
    </inkml:brush>
  </inkml:definitions>
  <inkml:trace contextRef="#ctx0" brushRef="#br0">3772 1302 6969,'0'0'0,"-5"-6"1464,-4-2-544,9 8-920,-24-23 753,17 18-33,4-4-24,-2-2-32,5 11-664,-2-9 576,2 1-104,0-1-120,0 6-88,0 3-264,0-3 233,0 1-9,0 2 8,0 0 0,0 0-232,-2 0 240,-1 0-32,3 0 0,-2 0 0,2 0-208,-5 5 184,3 1-16,-1 0-40,-4 2-40,7-8-88,-7 23 64,-1-15-40,-18 26-48,16-2 24,10-32 0,-31 40-16,7 2 16,-5 4 40,-2-1-8,31-45-32,-31 49 24,-3-4 24,-2 0 0,2-2 16,34-43-64,-33 43 96,-8-3 0,7-3-32,0-3 0,34-34-64,-29 28 56,3-5-8,14-15 24,-14 15 8,26-23-80,-3 0 64,-2 9 8,3-9-24,-3 5 0,5-5-48,0 0 104,0 0 0,0 0 16,0-5-16,0 5-104,7-9 8,-2 1-32,2-4-88,1-13 16,-8 25 96,4-23-144,4 0 80,-1-5 40,2-1-16,-9 29 40,8-28 16,-4-1-32,4 7 56,-4 13-40,-4 9 0,0-8 0,0 2 8,0 3 8,0 3-40,0 0 24,0 0-56,-12 6-64,5-1-96,-5 4 8,12-9 208,-21 23-264,13-15 48,-21 24 16,5-24 120,24-8 80,-26 34-56,4-25 40,1 19 24,9-22-40,12-6 32,-22 23 8,15-23-16,-5 5-24,5 1 40,7-6-8,-8 0 0,4 6-96,1-6-120,3 0-152,0 0 368,0 0-488,0-3-64,0 0-1,5-3 41,-5 6 512,7-5-472,-7-1 48,0 3 192,0 0 80,0 3 152,0-3-24,0 3 96,0 0 32,-5 0 32,5 0-136,-2 6 104,-5 0-64,-3-1-16,0 1-80,10-6 56,-24 9-96,15 16 56,-18-19 40,3 22 16,24-28-16,-21 9 24,-6 22-16,6-8-8,-4-15-8,25-8 8,-24 32 8,17-10 8,-22-13-40,22 19 88,7-28-64,-12 6 56,0 3 72,5-1 16,-3-2 48,10-6-192,-2 0 296,2 0 16,0-3 104,0-8 17,0 11-433,5-26 312,2-2-112,-2-9-128,4-17-80,-9 54 8,22-66 24,-12-13-40,18-15 80,-6-11-48,-22 105-16,27-117-48,4-11 8,2-8-48,-1-7 48,-32 143 40,36-145 0,0 12 0,-2 8 8,-8 11 16,-26 114-24,10-99-24,21 10 72,-24 21-8,-4 14 24,-3 54-64,7-40 152,-2 12 16,-5 19 32,0 1 16,0 8-216,-3-3 144,-6 3-96,1 6-120,1 22-144,7-28 216,-24 31-264,0 21 40,0 16 80,-12 14 64,36-82 80,-36 94-56,-10 0-8,10 3-24,2-1-16,34-96 104,-31 97-88,5 2 8,2-2 40,12-6 8,12-91 32,-29 85-16,17-11 32,-10-3-16,-2-5 0,24-66 0,-10 65 8,-23-2 32,6-1 16,1-2-8,26-60-48,-29 54 56,2-3 0,-1-3 16,1-5 64,27-43-136,-26 40 128,2-6-8,0-6-24,11-5-16,13-23-80,-21 9 64,14 16 0,-1-19 8,-4 0-24,12-6-48,0 0 72,-4 0 32,4 0 24,0 0 24,0 0-152,0 0 112,0-3-40,4-9-64,4-10-64,-8 22 56,4-23-80,4-3-40,-4-8-32,1 0 64,-5 34 88,7-37-88,-7 0 8,5 6 16,2 2 24,-7 29 40,0-25-16,5 16 16,-5-2 56,0 2-24,0 9-32,0-2 56,0 2 0,0 0 24,-5 0-8,5 0-72,-2 0 56,-8 5-24,-2 1-64,0-6-48,12 0 80,-12 6-96,5 2 8,-5-2-32,3 2 56,9-8 64,-10 9-24,0-3 16,-2-1 0,10 1-8,2-6 16,-5 0-40,3 6 16,-1-6 48,3 0-24,0 0-16,-2 0 16,2 0-40,0 0 40,-3 5 0,-1-5-24,1 6-24,-2-6 56,5 0-8,-7 9-40,0-1-24,0 15 8,-3-17-16,10-6 72,-24 28-32,17-5 16,-17 2 32,14 4-16,10-29 0,-26 25 8,18 7 16,-25-4-40,21 6 16,12-34 0,-27 31-8,18-5 32,-18-3 16,20-18 32,7-5-72,-7 9 96,-3-3 32,5-6 72,1 0 40,4 0-240,0 0 360,0 0-8,0-9-8,0-16-88,0 25-256,7-29 120,-7-11-48,5-11-16,2-14-56,-7 65 0,21-77 32,-13-14-16,30-17-64,-9-14 96,-29 122-48,34-134-80,-1-11 32,1-8-24,2-9-64,-36 162 136,39-160-88,2 4-16,-13 2 40,1 12 16,-29 142 48,32-128-16,-25 23 32,19 26 40,-26 25 56,0 54-112,0-35 192,0 27 64,0 5-24,-5 3-224,5 0-8,-9 23-112,-23 8-112,4 20-80,-11 29 152,39-80 152,-43 102-144,-10 15 24,0 8 8,2 3-24,51-128 136,-45 131-88,-3-1 0,7-2 40,0-5 40,41-123 8,-36 113-16,5-8 40,2-11 24,-3-6-8,32-88-40,-28 74 80,1-8 40,3-12-8,12-9 16,12-45-128,-24 40 96,14-12 8,-2-2 8,5-17 24,7-9-136,-7 8 80,2-2-8,-2-1-48,7-5 56,0 0-80,0 0 112,0 0 48,0 0 8,0-2-32,0 2-136,5-6 144,-5-3-64,7 1-8,-7-15-72,0 23 0,0-6-40,0-16 32,5 13-16,-5 1-32,0 8 56,0-9 0,0 1-16,5 5-40,-5 0 32,0 3 24,0-3 8,0 3 8,0 0 16,0 0 8,0 0-40,0 0-24,0 0-16,0 0 80,0 0-16,0 0-24,0 0 32,0-3 0,0 0-32,0 1 0,0 2 0,0-3-8,0 0 32,-3 0-24,3-3 8,0 6-8,-2-3 16,2 1-8,-5-1 40,5 0 0,0 3-48,-5-3 80,-2 0 8,-3 0-8,-16 1-64,26 2-16,-12-3-40,-27 0-64,1 3-24,-8 0 56,46 0 72,-58 0-72,-7 8 48,-7 15 24,-12-14 0,84-9 0,-91 34 16,-8-9-8,-7 4 48,0 2 32,106-31-88,-108 34 80,-2 3 16,4 3 24,5 0 96,101-40-216,-94 40 336,17-3 1,14-6-1,18-8-152,45-23-184,-27 8-40,25 1-160,2-1-200,9 18-57,-9-26 457,48 0-480,10 5 104,19-5 128,31-8 16,-108 8 232,130-46-128,24-8-16,22-14 80,16-11 48,-192 79 16,210-83-104,4-8 64,0-6-152,2 4 32,-216 93 160,214-103-120,3-2-16,2-3 80,4 0 24,-223 108 32,212-105-24,-12 5 48,-18 7-24,-30 4-8,-152 89 8,120-76 0,-28 7 0,-27 15 56,-25 9 144,-40 45-200,8-31 432,-8 19 264,-8-11-48,-44 21-136,52 2-512,-70-3 289,-24 3-241,-31 28 48,-29 6 104,154-34-200,-176 46 280,-26 11 32,-9 8 96,-8 12 24,219-77-432,-236 82 408,3 9 16,-22 0-104,9 0-8,246-91-312,-231 88 280,20-8-80,35-6-128,32-9 8,144-65-80,-120 57 16,28-9-136,27-11-40,17-11-288,48-26 448,-29 23-864,22-18-560,0 1-705,7-6-1111,0 0 3240,36 0-6290,17-11 441,-53 11 5849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1" zoomScale="130" zoomScaleNormal="100" zoomScaleSheetLayoutView="130" workbookViewId="0">
      <selection activeCell="F3" sqref="F3:J3"/>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39</v>
      </c>
      <c r="D2" s="77"/>
      <c r="E2" s="13" t="s">
        <v>7</v>
      </c>
      <c r="F2" s="72">
        <v>45953</v>
      </c>
      <c r="G2" s="72"/>
      <c r="H2" s="72"/>
      <c r="I2" s="72"/>
      <c r="J2" s="72"/>
    </row>
    <row r="3" spans="1:10" ht="30" customHeight="1" x14ac:dyDescent="0.2">
      <c r="B3" s="13" t="s">
        <v>9</v>
      </c>
      <c r="C3" s="77" t="s">
        <v>80</v>
      </c>
      <c r="D3" s="77"/>
      <c r="E3" s="13" t="s">
        <v>6</v>
      </c>
      <c r="F3" s="77" t="s">
        <v>142</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197</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198</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3.5</v>
      </c>
      <c r="G14" s="32">
        <f t="shared" si="0"/>
        <v>0.7</v>
      </c>
      <c r="H14" s="33" t="str">
        <f t="shared" si="1"/>
        <v>جيد</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3.5</v>
      </c>
      <c r="G16" s="32">
        <f t="shared" si="0"/>
        <v>0.7</v>
      </c>
      <c r="H16" s="33" t="str">
        <f t="shared" si="1"/>
        <v>جيد</v>
      </c>
      <c r="I16" s="55"/>
      <c r="J16" s="56"/>
    </row>
    <row r="17" spans="1:10" ht="65.099999999999994" customHeight="1" thickBot="1" x14ac:dyDescent="0.25">
      <c r="A17" s="11"/>
      <c r="B17" s="45" t="s">
        <v>181</v>
      </c>
      <c r="C17" s="46"/>
      <c r="D17" s="46"/>
      <c r="E17" s="37">
        <v>5</v>
      </c>
      <c r="F17" s="29">
        <v>3.5</v>
      </c>
      <c r="G17" s="38">
        <f t="shared" si="0"/>
        <v>0.7</v>
      </c>
      <c r="H17" s="39" t="str">
        <f t="shared" si="1"/>
        <v>جيد</v>
      </c>
      <c r="I17" s="53"/>
      <c r="J17" s="54"/>
    </row>
    <row r="18" spans="1:10" ht="39.950000000000003" customHeight="1" x14ac:dyDescent="0.2">
      <c r="A18" s="11"/>
      <c r="B18" s="59" t="s">
        <v>199</v>
      </c>
      <c r="C18" s="60"/>
      <c r="D18" s="60"/>
      <c r="E18" s="40"/>
      <c r="F18" s="34"/>
      <c r="G18" s="35"/>
      <c r="H18" s="36"/>
      <c r="I18" s="57"/>
      <c r="J18" s="58"/>
    </row>
    <row r="19" spans="1:10" ht="39.950000000000003" customHeight="1" x14ac:dyDescent="0.2">
      <c r="A19" s="11"/>
      <c r="B19" s="43" t="s">
        <v>182</v>
      </c>
      <c r="C19" s="44"/>
      <c r="D19" s="44"/>
      <c r="E19" s="9">
        <v>5</v>
      </c>
      <c r="F19" s="27">
        <v>3.75</v>
      </c>
      <c r="G19" s="32">
        <f t="shared" si="0"/>
        <v>0.75</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3.5</v>
      </c>
      <c r="G23" s="32">
        <f t="shared" si="0"/>
        <v>0.7</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3.5</v>
      </c>
      <c r="G25" s="32">
        <f t="shared" si="0"/>
        <v>0.7</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200</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3.75</v>
      </c>
      <c r="G29" s="32">
        <f t="shared" si="0"/>
        <v>0.75</v>
      </c>
      <c r="H29" s="33" t="str">
        <f t="shared" si="1"/>
        <v>جيد</v>
      </c>
      <c r="I29" s="55"/>
      <c r="J29" s="56"/>
    </row>
    <row r="30" spans="1:10" ht="39.950000000000003" customHeight="1" x14ac:dyDescent="0.2">
      <c r="A30" s="11"/>
      <c r="B30" s="43" t="s">
        <v>192</v>
      </c>
      <c r="C30" s="44"/>
      <c r="D30" s="44"/>
      <c r="E30" s="9">
        <v>5</v>
      </c>
      <c r="F30" s="27">
        <v>3.5</v>
      </c>
      <c r="G30" s="32">
        <f t="shared" si="0"/>
        <v>0.7</v>
      </c>
      <c r="H30" s="33" t="str">
        <f t="shared" si="1"/>
        <v>جيد</v>
      </c>
      <c r="I30" s="55"/>
      <c r="J30" s="56"/>
    </row>
    <row r="31" spans="1:10" ht="39.950000000000003" customHeight="1" x14ac:dyDescent="0.2">
      <c r="A31" s="11"/>
      <c r="B31" s="43" t="s">
        <v>193</v>
      </c>
      <c r="C31" s="44"/>
      <c r="D31" s="44"/>
      <c r="E31" s="9">
        <v>5</v>
      </c>
      <c r="F31" s="27">
        <v>3.5</v>
      </c>
      <c r="G31" s="32">
        <f t="shared" si="0"/>
        <v>0.7</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80</v>
      </c>
      <c r="G33" s="88"/>
      <c r="H33" s="89"/>
      <c r="I33" s="89"/>
      <c r="J33" s="90"/>
    </row>
    <row r="34" spans="1:10" ht="30" customHeight="1" thickBot="1" x14ac:dyDescent="0.25">
      <c r="A34" s="4"/>
      <c r="B34" s="63" t="s">
        <v>54</v>
      </c>
      <c r="C34" s="64"/>
      <c r="D34" s="64"/>
      <c r="E34" s="78">
        <f>F33/E33/100*100</f>
        <v>0.72727272727272729</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142</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