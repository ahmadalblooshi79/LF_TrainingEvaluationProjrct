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التقييم'!$A$1:$J$18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 l="1"/>
  <c r="G11" i="2"/>
  <c r="G12" i="2"/>
  <c r="G13" i="2"/>
  <c r="G8" i="2" l="1"/>
  <c r="F14" i="2" l="1"/>
  <c r="E14" i="2" l="1"/>
  <c r="E15" i="2" l="1"/>
  <c r="E16" i="2"/>
</calcChain>
</file>

<file path=xl/sharedStrings.xml><?xml version="1.0" encoding="utf-8"?>
<sst xmlns="http://schemas.openxmlformats.org/spreadsheetml/2006/main" count="41" uniqueCount="35">
  <si>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</si>
  <si>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</si>
  <si>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</si>
  <si>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</si>
  <si>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</si>
  <si>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</si>
  <si>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</si>
  <si>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</si>
  <si>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</si>
  <si>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</si>
  <si>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</si>
  <si>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</si>
  <si>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</si>
  <si>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</si>
  <si>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</si>
  <si>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</si>
  <si>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</si>
  <si>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</si>
  <si>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</si>
  <si>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</si>
  <si>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</si>
  <si>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</si>
  <si>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</si>
  <si>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</si>
  <si>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</si>
  <si>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</si>
  <si>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</si>
  <si>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</si>
  <si>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عملية صنع القرار العسكري</t>
  </si>
  <si>
    <t>تجهيز ووصف الطاولة الرملية</t>
  </si>
  <si>
    <t>صرف الأوامر على الطاولة الرملية</t>
  </si>
  <si>
    <t>إجراء التجارب</t>
  </si>
  <si>
    <t>التنقل التعبوي</t>
  </si>
  <si>
    <t>إجراءات احتلال منطقة التجمع</t>
  </si>
  <si>
    <t>تقييم إدارة التمرين أثناء مرحلة التحضير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</si>
</sst>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right" vertical="center" wrapText="1" readingOrder="2"/>
    </xf>
    <xf numFmtId="0" fontId="2" fillId="0" borderId="20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right" vertical="center" wrapText="1" readingOrder="2"/>
    </xf>
    <xf numFmtId="0" fontId="2" fillId="0" borderId="22" xfId="0" applyFont="1" applyBorder="1" applyAlignment="1">
      <alignment horizontal="right" vertical="center" wrapText="1" readingOrder="2"/>
    </xf>
    <xf numFmtId="0" fontId="2" fillId="0" borderId="23" xfId="0" applyFont="1" applyBorder="1" applyAlignment="1">
      <alignment horizontal="right" vertical="center" wrapText="1" readingOrder="2"/>
    </xf>
    <xf numFmtId="0" fontId="2" fillId="0" borderId="24" xfId="0" applyFont="1" applyBorder="1" applyAlignment="1">
      <alignment horizontal="right" vertical="center" wrapText="1" readingOrder="2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7" xfId="0" applyFont="1" applyFill="1" applyBorder="1" applyAlignment="1" applyProtection="1">
      <alignment horizontal="center" vertical="center" wrapText="1" readingOrder="2"/>
      <protection locked="0"/>
    </xf>
    <xf numFmtId="0" fontId="6" fillId="3" borderId="8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5" fillId="0" borderId="18" xfId="0" applyFont="1" applyBorder="1" applyAlignment="1" applyProtection="1">
      <alignment vertical="center" wrapText="1" readingOrder="2"/>
      <protection locked="0"/>
    </xf>
    <xf numFmtId="0" fontId="5" fillId="0" borderId="18" xfId="0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8"/>
  <sheetViews>
    <sheetView rightToLeft="1" tabSelected="1" view="pageBreakPreview" zoomScale="130" zoomScaleNormal="100" zoomScaleSheetLayoutView="130" workbookViewId="0">
      <selection activeCell="F8" sqref="F8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36" t="s">
        <v>34</v>
      </c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25">
      <c r="B2" s="16" t="s">
        <v>8</v>
      </c>
      <c r="C2" s="42" t="s">
        <v>23</v>
      </c>
      <c r="D2" s="42"/>
      <c r="E2" s="16" t="s">
        <v>7</v>
      </c>
      <c r="F2" s="37" t="s">
        <v>22</v>
      </c>
      <c r="G2" s="37"/>
      <c r="H2" s="37"/>
      <c r="I2" s="37"/>
      <c r="J2" s="37"/>
    </row>
    <row r="3" spans="1:10" ht="30" customHeight="1" x14ac:dyDescent="0.25">
      <c r="B3" s="16" t="s">
        <v>9</v>
      </c>
      <c r="C3" s="42" t="s">
        <v>25</v>
      </c>
      <c r="D3" s="42"/>
      <c r="E3" s="16" t="s">
        <v>6</v>
      </c>
      <c r="F3" s="42" t="s">
        <v>24</v>
      </c>
      <c r="G3" s="42"/>
      <c r="H3" s="42"/>
      <c r="I3" s="42"/>
      <c r="J3" s="42"/>
    </row>
    <row r="4" spans="1:10" ht="30" customHeight="1" thickBot="1" x14ac:dyDescent="0.3">
      <c r="B4" s="57"/>
      <c r="C4" s="57"/>
      <c r="D4" s="57"/>
      <c r="E4" s="5"/>
      <c r="F4" s="58"/>
      <c r="G4" s="58"/>
      <c r="H4" s="58"/>
      <c r="I4" s="58"/>
      <c r="J4" s="58"/>
    </row>
    <row r="5" spans="1:10" ht="24.95" customHeight="1" x14ac:dyDescent="0.25">
      <c r="A5" s="13"/>
      <c r="B5" s="38" t="s">
        <v>0</v>
      </c>
      <c r="C5" s="39"/>
      <c r="D5" s="39"/>
      <c r="E5" s="47" t="s">
        <v>1</v>
      </c>
      <c r="F5" s="47"/>
      <c r="G5" s="47"/>
      <c r="H5" s="47"/>
      <c r="I5" s="47" t="s">
        <v>2</v>
      </c>
      <c r="J5" s="48"/>
    </row>
    <row r="6" spans="1:10" ht="24.95" customHeight="1" thickBot="1" x14ac:dyDescent="0.3">
      <c r="A6" s="13"/>
      <c r="B6" s="40"/>
      <c r="C6" s="41"/>
      <c r="D6" s="41"/>
      <c r="E6" s="14" t="s">
        <v>3</v>
      </c>
      <c r="F6" s="14" t="s">
        <v>4</v>
      </c>
      <c r="G6" s="14" t="s">
        <v>15</v>
      </c>
      <c r="H6" s="14" t="s">
        <v>16</v>
      </c>
      <c r="I6" s="49"/>
      <c r="J6" s="50"/>
    </row>
    <row r="7" spans="1:10" ht="24.95" customHeight="1" thickBot="1" x14ac:dyDescent="0.3">
      <c r="A7" s="13"/>
      <c r="B7" s="45" t="s">
        <v>13</v>
      </c>
      <c r="C7" s="46"/>
      <c r="D7" s="46"/>
      <c r="E7" s="15" t="s">
        <v>10</v>
      </c>
      <c r="F7" s="15" t="s">
        <v>11</v>
      </c>
      <c r="G7" s="15" t="s">
        <v>14</v>
      </c>
      <c r="H7" s="15" t="s">
        <v>12</v>
      </c>
      <c r="I7" s="27" t="s">
        <v>17</v>
      </c>
      <c r="J7" s="51"/>
    </row>
    <row r="8" spans="1:10" ht="30" customHeight="1" x14ac:dyDescent="0.25">
      <c r="A8" s="13"/>
      <c r="B8" s="18" t="s">
        <v>28</v>
      </c>
      <c r="C8" s="19"/>
      <c r="D8" s="20"/>
      <c r="E8" s="7">
        <v>100</v>
      </c>
      <c r="F8" s="8" t="s">
        <v>26</v>
      </c>
      <c r="G8" s="9" t="str">
        <f>IFERROR(F8/E8,"")</f>
        <v/>
      </c>
      <c r="H8" s="6"/>
      <c r="I8" s="24"/>
      <c r="J8" s="25"/>
    </row>
    <row r="9" spans="1:10" ht="30" customHeight="1" x14ac:dyDescent="0.25">
      <c r="A9" s="13"/>
      <c r="B9" s="21" t="s">
        <v>29</v>
      </c>
      <c r="C9" s="22"/>
      <c r="D9" s="23"/>
      <c r="E9" s="7">
        <v>100</v>
      </c>
      <c r="F9" s="17" t="s">
        <v>26</v>
      </c>
      <c r="G9" s="9" t="str">
        <f>IFERROR(F9/E9,"")</f>
        <v/>
      </c>
      <c r="H9" s="6"/>
      <c r="I9" s="24"/>
      <c r="J9" s="25"/>
    </row>
    <row r="10" spans="1:10" ht="30" customHeight="1" x14ac:dyDescent="0.25">
      <c r="A10" s="13"/>
      <c r="B10" s="21" t="s">
        <v>30</v>
      </c>
      <c r="C10" s="22"/>
      <c r="D10" s="23"/>
      <c r="E10" s="10">
        <v>100</v>
      </c>
      <c r="F10" s="12" t="s">
        <v>26</v>
      </c>
      <c r="G10" s="9" t="str">
        <f t="shared" ref="G10:G13" si="0">IFERROR(F10/E10,"")</f>
        <v/>
      </c>
      <c r="H10" s="6"/>
      <c r="I10" s="28"/>
      <c r="J10" s="29"/>
    </row>
    <row r="11" spans="1:10" ht="30" customHeight="1" x14ac:dyDescent="0.25">
      <c r="A11" s="13"/>
      <c r="B11" s="21" t="s">
        <v>31</v>
      </c>
      <c r="C11" s="22"/>
      <c r="D11" s="23"/>
      <c r="E11" s="7">
        <v>100</v>
      </c>
      <c r="F11" s="12" t="s">
        <v>26</v>
      </c>
      <c r="G11" s="9" t="str">
        <f t="shared" si="0"/>
        <v/>
      </c>
      <c r="H11" s="6"/>
      <c r="I11" s="28"/>
      <c r="J11" s="29"/>
    </row>
    <row r="12" spans="1:10" ht="30" customHeight="1" x14ac:dyDescent="0.25">
      <c r="A12" s="13"/>
      <c r="B12" s="21" t="s">
        <v>32</v>
      </c>
      <c r="C12" s="22"/>
      <c r="D12" s="23"/>
      <c r="E12" s="10">
        <v>100</v>
      </c>
      <c r="F12" s="12" t="s">
        <v>26</v>
      </c>
      <c r="G12" s="9" t="str">
        <f t="shared" si="0"/>
        <v/>
      </c>
      <c r="H12" s="6"/>
      <c r="I12" s="28"/>
      <c r="J12" s="29"/>
    </row>
    <row r="13" spans="1:10" ht="30" customHeight="1" thickBot="1" x14ac:dyDescent="0.3">
      <c r="A13" s="13"/>
      <c r="B13" s="21" t="s">
        <v>33</v>
      </c>
      <c r="C13" s="22"/>
      <c r="D13" s="23"/>
      <c r="E13" s="7">
        <v>100</v>
      </c>
      <c r="F13" s="12" t="s">
        <v>26</v>
      </c>
      <c r="G13" s="9" t="str">
        <f t="shared" si="0"/>
        <v/>
      </c>
      <c r="H13" s="6"/>
      <c r="I13" s="28"/>
      <c r="J13" s="29"/>
    </row>
    <row r="14" spans="1:10" ht="30" customHeight="1" thickBot="1" x14ac:dyDescent="0.3">
      <c r="A14" s="3"/>
      <c r="B14" s="26" t="s">
        <v>5</v>
      </c>
      <c r="C14" s="27"/>
      <c r="D14" s="27"/>
      <c r="E14" s="11">
        <f>SUM(E8:E13)</f>
        <v>600</v>
      </c>
      <c r="F14" s="11">
        <f>SUM(F8:F13)</f>
        <v>0</v>
      </c>
      <c r="G14" s="54"/>
      <c r="H14" s="55"/>
      <c r="I14" s="55"/>
      <c r="J14" s="56"/>
    </row>
    <row r="15" spans="1:10" ht="30" customHeight="1" thickBot="1" x14ac:dyDescent="0.3">
      <c r="A15" s="3"/>
      <c r="B15" s="26" t="s">
        <v>20</v>
      </c>
      <c r="C15" s="27"/>
      <c r="D15" s="27"/>
      <c r="E15" s="43">
        <f>F14/E14/100*100</f>
        <v>0</v>
      </c>
      <c r="F15" s="43"/>
      <c r="G15" s="43"/>
      <c r="H15" s="43"/>
      <c r="I15" s="43"/>
      <c r="J15" s="44"/>
    </row>
    <row r="16" spans="1:10" ht="30" customHeight="1" thickBot="1" x14ac:dyDescent="0.3">
      <c r="A16" s="3"/>
      <c r="B16" s="26" t="s">
        <v>21</v>
      </c>
      <c r="C16" s="27"/>
      <c r="D16" s="27"/>
      <c r="E16" s="34" t="e">
        <f ca="1">_xlfn.IFS(E15&gt;=90%,"ممتاز",E15&gt;=80%,"جيد جداً",E15&gt;=70%,"جيد",E15&gt;=60%,"مقبول",E15&lt;60%,"راسب")</f>
        <v>#NAME?</v>
      </c>
      <c r="F16" s="34"/>
      <c r="G16" s="34"/>
      <c r="H16" s="34"/>
      <c r="I16" s="34"/>
      <c r="J16" s="35"/>
    </row>
    <row r="17" spans="1:10" ht="42" customHeight="1" x14ac:dyDescent="0.25">
      <c r="B17" s="30" t="s">
        <v>27</v>
      </c>
      <c r="C17" s="30"/>
      <c r="D17" s="30"/>
      <c r="E17" s="52" t="s">
        <v>18</v>
      </c>
      <c r="F17" s="52"/>
      <c r="G17" s="32" t="s">
        <v>24</v>
      </c>
      <c r="H17" s="32"/>
      <c r="I17" s="32"/>
      <c r="J17" s="32"/>
    </row>
    <row r="18" spans="1:10" ht="51" customHeight="1" x14ac:dyDescent="0.25">
      <c r="A18" s="4"/>
      <c r="B18" s="31"/>
      <c r="C18" s="31"/>
      <c r="D18" s="31"/>
      <c r="E18" s="53" t="s">
        <v>19</v>
      </c>
      <c r="F18" s="53"/>
      <c r="G18" s="33"/>
      <c r="H18" s="33"/>
      <c r="I18" s="33"/>
      <c r="J18" s="33"/>
    </row>
  </sheetData>
  <sheetProtection formatCells="0" formatColumns="0" formatRows="0" insertColumns="0" insertRows="0" insertHyperlinks="0" deleteColumns="0" deleteRows="0" selectLockedCells="1" sort="0" autoFilter="0" pivotTables="0"/>
  <mergeCells count="35">
    <mergeCell ref="E17:F17"/>
    <mergeCell ref="E18:F18"/>
    <mergeCell ref="G14:J14"/>
    <mergeCell ref="B4:D4"/>
    <mergeCell ref="F4:J4"/>
    <mergeCell ref="I9:J9"/>
    <mergeCell ref="B17:D18"/>
    <mergeCell ref="G17:J17"/>
    <mergeCell ref="G18:J18"/>
    <mergeCell ref="E16:J16"/>
    <mergeCell ref="B1:J1"/>
    <mergeCell ref="F2:J2"/>
    <mergeCell ref="B5:D6"/>
    <mergeCell ref="C2:D2"/>
    <mergeCell ref="C3:D3"/>
    <mergeCell ref="F3:J3"/>
    <mergeCell ref="E15:J15"/>
    <mergeCell ref="B7:D7"/>
    <mergeCell ref="E5:H5"/>
    <mergeCell ref="I5:J6"/>
    <mergeCell ref="I7:J7"/>
    <mergeCell ref="I10:J10"/>
    <mergeCell ref="B13:D13"/>
    <mergeCell ref="I8:J8"/>
    <mergeCell ref="B14:D14"/>
    <mergeCell ref="B15:D15"/>
    <mergeCell ref="B16:D16"/>
    <mergeCell ref="I11:J11"/>
    <mergeCell ref="I12:J12"/>
    <mergeCell ref="I13:J13"/>
    <mergeCell ref="B8:D8"/>
    <mergeCell ref="B9:D9"/>
    <mergeCell ref="B10:D10"/>
    <mergeCell ref="B11:D11"/>
    <mergeCell ref="B12:D12"/>
  </mergeCells>
  <conditionalFormatting sqref="E16">
    <cfRule type="expression" dxfId="23" priority="57">
      <formula>$E16="راسب"</formula>
    </cfRule>
  </conditionalFormatting>
  <conditionalFormatting sqref="E16:J16">
    <cfRule type="expression" dxfId="22" priority="58">
      <formula>$E16="مقبول"</formula>
    </cfRule>
    <cfRule type="expression" dxfId="21" priority="59">
      <formula>$E16="جيد"</formula>
    </cfRule>
    <cfRule type="expression" dxfId="20" priority="60">
      <formula>$E16="جيد جداً"</formula>
    </cfRule>
    <cfRule type="expression" dxfId="19" priority="61">
      <formula>$E16="ممتاز"</formula>
    </cfRule>
  </conditionalFormatting>
  <conditionalFormatting sqref="H8 H10:H13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13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17:J17">
    <cfRule type="containsText" dxfId="8" priority="15" operator="containsText" text="أدخل اسم المحكم">
      <formula>NOT(ISERROR(SEARCH("أدخل اسم المحكم",G17)))</formula>
    </cfRule>
  </conditionalFormatting>
  <conditionalFormatting sqref="F8 F10:F13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dataValidations count="5">
    <dataValidation type="list" allowBlank="1" showInputMessage="1" showErrorMessage="1" sqref="F2:J2">
      <formula1>#REF!</formula1>
    </dataValidation>
    <dataValidation type="list" allowBlank="1" showInputMessage="1" showErrorMessage="1" sqref="C2:D2">
      <formula1>#REF!</formula1>
    </dataValidation>
    <dataValidation type="list" allowBlank="1" showInputMessage="1" showErrorMessage="1" sqref="F8:F13">
      <formula1>#REF!</formula1>
    </dataValidation>
    <dataValidation type="list" allowBlank="1" showInputMessage="1" showErrorMessage="1" sqref="G17:J17 F3:J3">
      <formula1>#REF!</formula1>
    </dataValidation>
    <dataValidation type="list" allowBlank="1" showInputMessage="1" showErrorMessage="1" sqref="C3:D3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2026-08-30T06:52:09Z</dcterms:modified>
</cp:coreProperties>
</file>