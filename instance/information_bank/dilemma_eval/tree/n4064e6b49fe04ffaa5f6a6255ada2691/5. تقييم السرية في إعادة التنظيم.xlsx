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7841C56A-0D9F-43F9-8A66-BF2A2B69C7F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التقييم'!$A$1:$J$44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H10" i="2"/>
  <c r="G11" i="2"/>
  <c r="H11" i="2"/>
  <c r="G12" i="2"/>
  <c r="H12" i="2"/>
  <c r="G14" i="2"/>
  <c r="H14" i="2"/>
  <c r="G15" i="2"/>
  <c r="H15" i="2"/>
  <c r="G16" i="2"/>
  <c r="H16" i="2"/>
  <c r="G18" i="2"/>
  <c r="H18" i="2" s="1"/>
  <c r="G19" i="2"/>
  <c r="H19" i="2"/>
  <c r="G20" i="2"/>
  <c r="H20" i="2"/>
  <c r="G21" i="2"/>
  <c r="H21" i="2"/>
  <c r="G22" i="2"/>
  <c r="H22" i="2"/>
  <c r="G23" i="2"/>
  <c r="H23" i="2"/>
  <c r="G24" i="2"/>
  <c r="H24" i="2" s="1"/>
  <c r="G25" i="2"/>
  <c r="H25" i="2" s="1"/>
  <c r="G26" i="2"/>
  <c r="H26" i="2" s="1"/>
  <c r="G27" i="2"/>
  <c r="H27" i="2"/>
  <c r="G28" i="2"/>
  <c r="H28" i="2"/>
  <c r="G29" i="2"/>
  <c r="H29" i="2" s="1"/>
  <c r="G31" i="2"/>
  <c r="H31" i="2"/>
  <c r="G32" i="2"/>
  <c r="H32" i="2" s="1"/>
  <c r="G33" i="2"/>
  <c r="H33" i="2" s="1"/>
  <c r="G34" i="2"/>
  <c r="H34" i="2"/>
  <c r="G35" i="2"/>
  <c r="H35" i="2" s="1"/>
  <c r="G36" i="2"/>
  <c r="H36" i="2"/>
  <c r="G37" i="2"/>
  <c r="H37" i="2"/>
  <c r="G38" i="2"/>
  <c r="H38" i="2"/>
  <c r="G39" i="2"/>
  <c r="H39" i="2" s="1"/>
  <c r="G8" i="2"/>
  <c r="H8" i="2"/>
  <c r="F40" i="2"/>
  <c r="E40" i="2"/>
  <c r="E41" i="2" l="1"/>
  <c r="E42" i="2" s="1"/>
</calcChain>
</file>

<file path=xl/sharedStrings.xml><?xml version="1.0" encoding="utf-8"?>
<sst xmlns="http://schemas.openxmlformats.org/spreadsheetml/2006/main" count="270" uniqueCount="213">
  <si>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</si>
  <si>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</si>
  <si>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</si>
  <si>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</si>
  <si>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</si>
  <si>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</si>
  <si>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</si>
  <si>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</si>
  <si>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</si>
  <si>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</si>
  <si>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</si>
  <si>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</si>
  <si>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</si>
  <si>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</si>
  <si>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</si>
  <si>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</si>
  <si>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</si>
  <si>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</si>
  <si>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</si>
  <si>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</si>
  <si>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</si>
  <si>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</si>
  <si>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</si>
  <si>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</si>
  <si>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</si>
  <si>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</si>
  <si>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</si>
  <si>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</si>
  <si>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</si>
  <si>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</si>
  <si>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</si>
  <si>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</si>
  <si>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</si>
  <si>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</si>
  <si>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</si>
  <si>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</si>
  <si>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</si>
  <si>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</si>
  <si>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</si>
  <si>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</si>
  <si>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</si>
  <si>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</si>
  <si>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</si>
  <si>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</si>
  <si>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</si>
  <si>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</si>
  <si>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</si>
  <si>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</si>
  <si>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</si>
  <si>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</si>
  <si>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</si>
  <si>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</si>
  <si>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</si>
  <si>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</si>
  <si>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</si>
  <si>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</si>
  <si>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</si>
  <si>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</si>
  <si>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</si>
  <si>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</si>
  <si>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</si>
  <si>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</si>
  <si>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</si>
  <si>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</si>
  <si>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</si>
  <si>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</si>
  <si>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</si>
  <si>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</si>
  <si>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</si>
  <si>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</si>
  <si>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</si>
  <si>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</si>
  <si>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</si>
  <si>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</si>
  <si>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</si>
  <si>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</si>
  <si>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</si>
  <si>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</si>
  <si>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</si>
  <si>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</si>
  <si>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</si>
  <si>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</si>
  <si>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</si>
  <si>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</si>
  <si>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</si>
  <si>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</si>
  <si>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</si>
  <si>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</si>
  <si>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</si>
  <si>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</si>
  <si>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</si>
  <si>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</si>
  <si>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</si>
  <si>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</si>
  <si>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</si>
  <si>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</si>
  <si>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</si>
  <si>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</si>
  <si>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</si>
  <si>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</si>
  <si>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</si>
  <si>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</si>
  <si>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</si>
  <si>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</si>
  <si>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</si>
  <si>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</si>
  <si>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</si>
  <si>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</si>
  <si>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</si>
  <si>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</si>
  <si>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</si>
  <si>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</si>
  <si>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</si>
  <si>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</si>
  <si>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</si>
  <si>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</si>
  <si>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</si>
  <si>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</si>
  <si>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</si>
  <si>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</si>
  <si>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</si>
  <si>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</si>
  <si>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</si>
  <si>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</si>
  <si>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</si>
  <si>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</si>
  <si>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</si>
  <si>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</si>
  <si>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</si>
  <si>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</si>
  <si>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</si>
  <si>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</si>
  <si>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</si>
  <si>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</si>
  <si>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</si>
  <si>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</si>
  <si>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</si>
  <si>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</si>
  <si>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</si>
  <si>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</si>
  <si>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</si>
  <si>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</si>
  <si>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</si>
  <si>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</si>
  <si>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</si>
  <si>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</si>
  <si>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</si>
  <si>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</si>
  <si>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</si>
  <si>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</si>
  <si>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</si>
  <si>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</si>
  <si>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</si>
  <si>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</si>
  <si>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</si>
  <si>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</si>
  <si>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</si>
  <si>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</si>
  <si>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</si>
  <si>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</si>
  <si>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</si>
  <si>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</si>
  <si>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</si>
  <si>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</si>
  <si>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</si>
  <si>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</si>
  <si>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</si>
  <si>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</si>
  <si>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</si>
  <si>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</si>
  <si>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</si>
  <si>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</si>
  <si>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</si>
  <si>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</si>
  <si>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</si>
  <si>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</si>
  <si>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</si>
  <si>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</si>
  <si>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</si>
  <si>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</si>
  <si>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 xml:space="preserve">أ. الحصول على التقارير والمعلومات المحدثَة التي تبين مواقع القوات الأمامية والجانبية (المجاورة) الصديقة وحسب الحاجة. </t>
  </si>
  <si>
    <t xml:space="preserve">ب. الحصول على معلومات محدثَة عن مواقع قوات العدو لمنع الإصابة بالنيران الصديقة وزيادة حماية القوة وحسب الحاجة. </t>
  </si>
  <si>
    <t>أ. التأكد من يقظة وجاهزية جميع الأفراد للتعامل مع أي هجوم معاكس محتمل.</t>
  </si>
  <si>
    <t>ب. تفادي اشتباك الجسم الرئيسي للسرية بالعدو دون توفر الإنذار المبكر.</t>
  </si>
  <si>
    <t>جـ. التأكد من فعالية الاتصالات بين السرية ونقاط المراقبة.</t>
  </si>
  <si>
    <t>أ. تأسيس الحماية المحلية لجميع الجهات.</t>
  </si>
  <si>
    <t>ب. تدمير أي مقاومة منظمة للعدو.</t>
  </si>
  <si>
    <t>جـ. إجراءات الدفاع ضد الهجمات المعاكسة.</t>
  </si>
  <si>
    <t>د. القيام باستطلاع منطقة الأهداف باستخدام الدوريات وعناصر الكشف للتأكد من خلوها من العدو.</t>
  </si>
  <si>
    <t>هـ. إعادة تأسيس التسلسل القيادي حسب الرتب وسد النقص في المناصب القيادية.</t>
  </si>
  <si>
    <t>و. إعادة تأسيس شبكات الاتصالات.</t>
  </si>
  <si>
    <t>أ. المواقع الجديدة للسرية.</t>
  </si>
  <si>
    <t>ب. الموقف الإداري للسرية شاملاً (الخسائر في الأفراد والمعدات والذخيرة والوقود).</t>
  </si>
  <si>
    <r>
      <t>1.</t>
    </r>
    <r>
      <rPr>
        <sz val="7"/>
        <color rgb="FF000000"/>
        <rFont val="Times New Roman"/>
        <family val="1"/>
      </rPr>
      <t xml:space="preserve">    </t>
    </r>
    <r>
      <rPr>
        <sz val="14"/>
        <color rgb="FF000000"/>
        <rFont val="Arial"/>
        <family val="2"/>
      </rPr>
      <t>يديم قائد السرية الإلمام بالموقف باستخدام كافة الوسائل المتوفرة.</t>
    </r>
  </si>
  <si>
    <r>
      <t>2.</t>
    </r>
    <r>
      <rPr>
        <sz val="7"/>
        <color rgb="FF000000"/>
        <rFont val="Times New Roman"/>
        <family val="1"/>
      </rPr>
      <t xml:space="preserve">    </t>
    </r>
    <r>
      <rPr>
        <sz val="14"/>
        <color rgb="FF000000"/>
        <rFont val="Arial"/>
        <family val="2"/>
      </rPr>
      <t>يؤكد قائد السرية موقف القوات الصديقة والمعادية وكما يلي:</t>
    </r>
  </si>
  <si>
    <r>
      <t>3.</t>
    </r>
    <r>
      <rPr>
        <sz val="7"/>
        <color rgb="FF000000"/>
        <rFont val="Times New Roman"/>
        <family val="1"/>
      </rPr>
      <t xml:space="preserve">    </t>
    </r>
    <r>
      <rPr>
        <sz val="14"/>
        <color rgb="FF000000"/>
        <rFont val="Arial"/>
        <family val="2"/>
      </rPr>
      <t>يقوم قائد السرية بتوزيع المعلومات الضرورية لجميع الفصائل لإطلاعهم على آخر مستجدات الموقف.</t>
    </r>
  </si>
  <si>
    <r>
      <t>6.</t>
    </r>
    <r>
      <rPr>
        <sz val="7"/>
        <color rgb="FF000000"/>
        <rFont val="Times New Roman"/>
        <family val="1"/>
      </rPr>
      <t xml:space="preserve">    </t>
    </r>
    <r>
      <rPr>
        <sz val="14"/>
        <color rgb="FF000000"/>
        <rFont val="Arial"/>
        <family val="2"/>
      </rPr>
      <t>يحدد قائد السرية أو يعيد تحديد قواطع النيران الأولية للفصائل.</t>
    </r>
  </si>
  <si>
    <r>
      <t>7.</t>
    </r>
    <r>
      <rPr>
        <sz val="7"/>
        <color rgb="FF000000"/>
        <rFont val="Times New Roman"/>
        <family val="1"/>
      </rPr>
      <t xml:space="preserve">    </t>
    </r>
    <r>
      <rPr>
        <sz val="14"/>
        <color rgb="FF000000"/>
        <rFont val="Arial"/>
        <family val="2"/>
      </rPr>
      <t>يعدل قائد السرية أو قادة الفصائل مواقع أسلحة الطواقم لتغطية مقتربات العدو الأكثر احتمالا، والتأكد من تأمين الإسناد المتبادل بين الفصائل والوحدات المجاورة.</t>
    </r>
  </si>
  <si>
    <r>
      <t>8.</t>
    </r>
    <r>
      <rPr>
        <sz val="7"/>
        <color rgb="FF000000"/>
        <rFont val="Times New Roman"/>
        <family val="1"/>
      </rPr>
      <t xml:space="preserve">    </t>
    </r>
    <r>
      <rPr>
        <sz val="14"/>
        <color rgb="FF000000"/>
        <rFont val="Arial"/>
        <family val="2"/>
      </rPr>
      <t>يتم تحضير بطاقات المدى للأسلحة وحسب الأوامر التعبوية المستديمة.</t>
    </r>
  </si>
  <si>
    <r>
      <t>9.</t>
    </r>
    <r>
      <rPr>
        <sz val="7"/>
        <color rgb="FF000000"/>
        <rFont val="Times New Roman"/>
        <family val="1"/>
      </rPr>
      <t xml:space="preserve">    </t>
    </r>
    <r>
      <rPr>
        <sz val="14"/>
        <color rgb="FF000000"/>
        <rFont val="Arial"/>
        <family val="2"/>
      </rPr>
      <t>يرسل قادة الفصائل تقاريرهم لقائد السرية حول الذخيرة، الإصابات والمعدات.</t>
    </r>
  </si>
  <si>
    <r>
      <t>10.</t>
    </r>
    <r>
      <rPr>
        <sz val="7"/>
        <color rgb="FF000000"/>
        <rFont val="Times New Roman"/>
        <family val="1"/>
      </rPr>
      <t xml:space="preserve">  </t>
    </r>
    <r>
      <rPr>
        <sz val="14"/>
        <color rgb="FF000000"/>
        <rFont val="Arial"/>
        <family val="2"/>
      </rPr>
      <t>ينسق نائب قائد السرية ووكيل السرية عملية إعادة التزويد وسد النقص من الذخيرة والأرزاق والوقود.</t>
    </r>
  </si>
  <si>
    <t>11.   يشرف القادة على إعادة توزيع الذخيرة.</t>
  </si>
  <si>
    <t>12.   يرسل قائد السرية تقرير مفصل لقائد الكتيبة/ مجموعة القتال يتضمن ما يلي:</t>
  </si>
  <si>
    <t>13.   التعامل مع الإصابات وإخلاء الجرحى والشهداء حسب الإجراءات المتبعة.</t>
  </si>
  <si>
    <t>14.   تعويض خسائر القوى البشرية بأسرع ما يمكن وعمل الترتيبات لإسناد الواجبات لأشخاص من نفس المرتبات ليعملوا بدل القادة الصغار والآمار الذين استشهدوا أو جرحوا.</t>
  </si>
  <si>
    <t>15.   اخلاء الآليات والمعدات المعطلة حسب الإجراءات المتبعة.</t>
  </si>
  <si>
    <t>16.   تأمين أسرى الحرب حسب الإجراءات المتبعة.</t>
  </si>
  <si>
    <t>18.   التعامل مع الوثائق والمعدات التي تم الاستيلاء عليها حسب الإجراءات المتبعة.</t>
  </si>
  <si>
    <t>19.   تستعد السرية لتنفيذ أي واجب يُطلب منها.</t>
  </si>
  <si>
    <r>
      <rPr>
        <b/>
        <sz val="14"/>
        <color rgb="FF000000"/>
        <rFont val="Arial"/>
        <family val="2"/>
      </rPr>
      <t>تقييم سرية مشاة راجلة في التثبت وإعادة التنظيم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</si>
  <si>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4.</t>
    </r>
    <r>
      <rPr>
        <sz val="7"/>
        <color rgb="FF000000"/>
        <rFont val="Times New Roman"/>
        <family val="1"/>
      </rPr>
      <t xml:space="preserve">    </t>
    </r>
    <r>
      <rPr>
        <sz val="14"/>
        <color rgb="FF000000"/>
        <rFont val="Arial"/>
        <family val="2"/>
      </rPr>
      <t>يعمل قائد السرية على تركيز أو إعادة تركيز نقاط المراقبة في الأمام لتوفير الحماية:</t>
    </r>
  </si>
  <si>
    <r>
      <t>5.</t>
    </r>
    <r>
      <rPr>
        <sz val="7"/>
        <color rgb="FF000000"/>
        <rFont val="Times New Roman"/>
        <family val="1"/>
      </rPr>
      <t xml:space="preserve">    </t>
    </r>
    <r>
      <rPr>
        <sz val="14"/>
        <color rgb="FF000000"/>
        <rFont val="Arial"/>
        <family val="2"/>
      </rPr>
      <t>تقوم السرية باحتلال أو إعادة احتلال مواقع قتالية سريعة بالقرب من الهدف:</t>
    </r>
  </si>
  <si>
    <t>17.   التأكد من فعالية الاتصالات وممارسة قائد السرية للقيادة والسيطرة استعداداً لأي عملية مستقبلية.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</si>
</sst>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7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8" fillId="5" borderId="21" xfId="0" applyFont="1" applyFill="1" applyBorder="1" applyAlignment="1">
      <alignment horizontal="right" vertical="center" wrapText="1" readingOrder="2"/>
    </xf>
    <xf numFmtId="0" fontId="8" fillId="5" borderId="3" xfId="0" applyFont="1" applyFill="1" applyBorder="1" applyAlignment="1">
      <alignment horizontal="right" vertical="center" wrapText="1" readingOrder="2"/>
    </xf>
    <xf numFmtId="0" fontId="8" fillId="5" borderId="11" xfId="0" applyFont="1" applyFill="1" applyBorder="1" applyAlignment="1">
      <alignment horizontal="right" vertical="center" wrapText="1" readingOrder="2"/>
    </xf>
    <xf numFmtId="0" fontId="8" fillId="5" borderId="12" xfId="0" applyFont="1" applyFill="1" applyBorder="1" applyAlignment="1">
      <alignment horizontal="right" vertical="center" wrapText="1" readingOrder="2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7" fillId="4" borderId="19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8" fillId="5" borderId="5" xfId="0" applyFont="1" applyFill="1" applyBorder="1" applyAlignment="1">
      <alignment horizontal="right" vertical="center" wrapText="1" readingOrder="2"/>
    </xf>
    <xf numFmtId="0" fontId="8" fillId="5" borderId="4" xfId="0" applyFont="1" applyFill="1" applyBorder="1" applyAlignment="1">
      <alignment horizontal="right" vertical="center" wrapText="1" readingOrder="2"/>
    </xf>
    <xf numFmtId="0" fontId="8" fillId="5" borderId="21" xfId="0" applyFont="1" applyFill="1" applyBorder="1" applyAlignment="1">
      <alignment horizontal="right" vertical="center" wrapText="1" indent="2" readingOrder="2"/>
    </xf>
    <xf numFmtId="0" fontId="8" fillId="5" borderId="3" xfId="0" applyFont="1" applyFill="1" applyBorder="1" applyAlignment="1">
      <alignment horizontal="right" vertical="center" wrapText="1" indent="2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486917</xdr:colOff>
      <xdr:row>43</xdr:row>
      <xdr:rowOff>63587</xdr:rowOff>
    </xdr:from>
    <xdr:to>
      <xdr:col>8</xdr:col>
      <xdr:colOff>1391</xdr:colOff>
      <xdr:row>43</xdr:row>
      <xdr:rowOff>425387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79A60BC5-D1AB-9935-B935-4D95E7374B34}"/>
                </a:ext>
              </a:extLst>
            </xdr14:cNvPr>
            <xdr14:cNvContentPartPr/>
          </xdr14:nvContentPartPr>
          <xdr14:nvPr macro=""/>
          <xdr14:xfrm>
            <a:off x="10423701409" y="21426480"/>
            <a:ext cx="823320" cy="3618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79A60BC5-D1AB-9935-B935-4D95E7374B3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23692409" y="21417840"/>
              <a:ext cx="840960" cy="379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125534</xdr:colOff>
      <xdr:row>43</xdr:row>
      <xdr:rowOff>183107</xdr:rowOff>
    </xdr:from>
    <xdr:to>
      <xdr:col>8</xdr:col>
      <xdr:colOff>123071</xdr:colOff>
      <xdr:row>43</xdr:row>
      <xdr:rowOff>551027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DD0DFF05-3EC7-917F-61AA-D492926D5B94}"/>
                </a:ext>
              </a:extLst>
            </xdr14:cNvPr>
            <xdr14:cNvContentPartPr/>
          </xdr14:nvContentPartPr>
          <xdr14:nvPr macro=""/>
          <xdr14:xfrm>
            <a:off x="10423579729" y="21546000"/>
            <a:ext cx="651960" cy="36792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DD0DFF05-3EC7-917F-61AA-D492926D5B94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23570729" y="21537360"/>
              <a:ext cx="669600" cy="385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3T17:46:39.64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1727 764 4841,'0'0'0,"-2"-11"904,-2 2-728,4 9-176,-3-11 48,0 7-40,1 1-8,2 0-24,0 2-16,0 1-24,0 0 64,0 0-72,0 0 0,0 0 0,0 0-8,0 0 40,1 0 8,-1 0 32,1 0 0,1 0 8,-2 0 0,1-1 0,-1 1 0,0-1-8,0 1 0,1 0 8,-1-2 24,1 1-16,0 0 8,-1 0-8,0 1-16,1-1-16,1-1 40,-1 1-16,0-1 8,0-1 16,0 1-8,-1 2-24,1-4 24,0 2 16,0-2 0,0 1 0,1-1 24,-1 1-24,-1 3-40,1-5 48,0 1-8,1-1-8,1 2-8,-1-1 0,1 1 16,-3 3-40,2-4 56,0-1-40,1 1-8,1 0-24,-1-1-24,2 2 48,-5 3-8,10-5 32,-7 1-32,6 1-8,-4-1-8,6 0-24,-2 1 16,-9 3 24,10-4 40,-1 2-48,2-2-16,1 3 48,-1-1-80,1 0 120,-12 2-64,12-2 8,2 1-24,-2 0 8,1-1-72,-1 2 56,2 0 48,-14 0-24,13 0 0,2 0 0,-1 0 0,-1 0-32,3 3 16,-3-3 48,-13 0-32,16 2-32,-3 2 16,1-1-8,0 1-40,-1 0 80,-1 6-24,-12-10 8,12 4-40,-2 7 24,1-2-48,-2-5 8,-5 10 16,7-10 32,-11-4 8,4 13-32,0-3 24,0 0 16,0 1-48,-1 0 64,-1-1-32,-2-10 8,1 10 16,-1 2 0,0-1-8,-3 0 24,1-1 8,-2 0-40,4-10 0,-9 11 32,5-1-8,-9 2-32,3-2 88,-2 0-8,0 1-56,12-11-16,-16 9 40,0 2-40,1-7-32,-3 9 104,-1-9-56,1 5-16,18-9 0,-19 3 0,1 0-24,0 1 8,1-2 56,-3 1-64,4-3-112,16 0 136,-17 0-224,-3 0-160,5-2-48,-2-1 71,1-2-63,2-6-8,14 11 432,-15-5-360,3-9 56,-2 2 104,3-1 152,-3-2 24,1 0-24,13 15 48,-14-14 0,-1-2 0,1-1 8,-3 0 24,-1-1 8,1 0-8,17 18-32,-20-16 80,1-2 104,0 0 8,-2-1 80,2 1 64,1 1-40,18 17-296,-19-15 384,0 2-47,-3 2 15,1 1-24,-1 0-80,0 6-48,22 4-200,-22-10 112,0 6-32,0 0-8,-1 1 8,-1 0-16,1 2-24,23 1-40,-24-1 72,1 0-56,-1 0 16,-2-1-8,1 1 0,-1 0 16,26 1-40,-24-2 8,1 0-32,0 1 24,3 0 16,-2-1 24,2-1 48,20 3-88,-20-3 72,1-1-8,1-1-8,-1 1-8,2-1-8,-2 0 8,19 5-48,-18-11 56,3 6 0,-1-8 8,2 4 16,0-2 40,2 0 8,12 11-128,-11-12 144,0 0-16,1-1 0,7 0 0,-9-2-56,10 1-16,2 14-56,-4-14-48,2-1-32,-1 2-32,3 0 0,0 0 24,0-1 16,0 14 72,3-13-88,0 0-8,8 0-16,-6 0 0,7 0-8,-2 1 40,-10 12 80,10-12-64,3 0-16,0 1-8,3-1-24,0 1-24,3 0-24,-19 11 160,20-11-176,2 2 8,1-1 0,2-1 16,2 2 16,1 4 16,-28 5 120,28-13-96,1 8 32,4-6 24,3 8 8,1-8-8,0 7 0,-37 4 40,37-3-40,1-2 16,-2 1-8,4 1 8,-1-1 0,0 2-8,-39 2 32,38-1-40,-1 1 16,-1 0-8,1 2 8,-1 2-8,-2 6-128,-34-10 160,35 4-273,-3 8-143,-1-2-24,-2 0 72,-1 2 128,-2 1 120,-26-13 120,28 15-56,-3-1 24,0 2 8,-3-1-8,-1 1 24,-1 0-8,-20-16 16,18 15-16,1 2 0,-1-2 0,-4 2 0,0-1 8,-1-1-8,-13-15 16,11 15 0,-3-1-8,-4 2 8,-1-2 0,0-1 8,-3-13-8,0 15 16,0-3 16,-10 0 0,2 0 8,-7-2 16,-1 1 16,16-11-72,-19 12 88,-5-1 48,-1 1 64,-3 0 56,-4 0 48,-3 0 8,35-12-312,-36 12 296,-4 0-15,2 0-57,-6 1-40,1 3-32,-4-1-48,47-15-104,-49 18 96,-3-1-16,-3 1 8,-2 1 0,-1 0 8,-1 0 0,59-19-96,-62 20 128,1-2-32,-5 0-8,2 0-16,-1-2-40,1 1 32,64-17-64,-64 17 104,2-1-24,1-1 8,1 1 8,3-2-32,2 0-16,55-14-48,-53 15 56,3-2-8,0-1-16,3 0 8,2 0-16,5-2-32,40-10 8,-38 10 56,3 1-16,1-7 8,3 10 32,3-10-88,2 5-136,26-9 144,-21 3-304,2-1-376,3 0-248,2 1-33,3-3 153,8-1 336,3 1 472,-10-4-248,10 0-2152,0 4 2400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3T17:46:40.65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1585 89 3880,'0'0'0,"-20"-3"352,-1-1-216,21 4-136,-28-1 128,-1 1 32,2 2-47,-2 8-97,-1-1 8,-1 1-24,31-10 0,-30 11-8,-1 0 40,1-2-16,0 1-32,0 1 16,2-1 8,28-10-8,-28 11 0,0 1 16,2-2-24,-2 0-8,2 1-48,1 0-65,25-11 129,-24 10-216,1-1-96,1-5-64,3 9 64,1-9 64,2 6 96,16-10 152,-17 4-56,2 0 8,2-1 16,1 7 0,2-8 8,7 1 16,3-3 8,-12 3-8,10-3-16,-2 0 8,0 0 8,2 0 8,0 3 16,2-3-16,-3 0 16,1 0 0,2 0 8,-3 0 8,1 0 0,0 0 8,2 0-40,-3 0 48,1 0 24,-2 0 48,1 0 56,-1 0 8,-6 0 16,10 0-200,-2 0 160,-2 2-40,-5 0-16,7 1-16,-8-1-8,7 1-16,3-3-64,-3 2 48,-1 0-24,2 1-8,-1-1 8,1 0-24,2 1 16,0-3-16,0 0 24,0 2-8,0 1-24,0-3-40,0 2-64,1-2-96,-1 0 208,1 0-336,1 0 16,0 0 32,2-1 96,-1 0 120,0-1 24,-3 2 48,1-2-16,0 0 8,0 0 8,-1 0 8,0 0 0,0-1 16,0 3-24,-3-2 24,-7 0 8,6-2 16,-11 2 16,2-1 64,-2 0 64,15 3-192,-17-4 264,-1 0 32,-2 0 0,-1 0-24,-5 0-39,0 1-33,26 3-200,-27-4 168,-3 2-32,2-1-56,-2 0-24,2 2-8,2-1-16,26 2-32,-27-1 40,4 0-8,-2 0 8,1 0-16,2-1-8,2 1 0,20 1-16,-20-1-24,2 0-80,-1 0-88,1-3-104,2 0-56,0 0-33,16 4 385,-15-10-392,0 6 24,2-5 88,0 4 72,2-8 104,0 2 56,11 11 48,-11-12-40,8-1 8,-12 1 0,12-1 24,-7 0 24,8-1 8,2 14-24,-3-12 40,0 0 8,-1 2 0,1 0 0,-1 0 16,2 6 8,2 4-72,-3-11 112,3 7-8,0-5 16,0 5 0,0 0-32,0-5-24,0 9-64,3-2 32,0-2-8,2 0-16,0 0 0,4 0 16,-5 0-24,-4 4 0,10-2 8,-6 0-8,7 0 0,-1 1-8,-1 0 0,3 0-8,-12 1 16,11-1-40,2 1 32,-2 0 0,2 0 0,-1 0 32,-1 2-56,-11-2 32,12 2 16,-2 2-32,2 7 8,-3-8 16,2 8-56,-1-7 48,-10-4 0,4 13-64,8-10 32,-8 13-8,1-5-24,-1 1 64,0 0-56,-4-12 56,4 13 16,-1 1-32,-1 1-8,-1 0 56,-1 0-40,0 0 40,0-15-32,-3 18 48,1 0 16,-2 3-16,1 1 32,-8 1-56,9 1 16,2-24-40,-11 25 88,7 0-16,-7 2 16,8 0-16,-8 1-24,7 0 8,4-28-56,-10 29 88,7 4 8,-6-1-8,9 2 16,-4-1-32,2 0 57,2-33-129,0 33 80,0 0-16,0-1 24,3-2-56,7-1-16,0-2 104,-10-27-120,11 27 64,5-2 32,3-1 96,4-4-112,6-3 144,4-2 56,-33-15-280,38 14 328,7-4 120,4-6-8,5 0-16,5-1-192,3 0 0,-62-3-232,66 0 144,2 0-32,4 0 104,0 0-40,2-3-40,2 0-80,-76 3-56,78-5 16,1-5-104,2 1 48,3-2-176,3-1-560,0-1-600,-87 13 1376,88-11-1576,-2-1 319,-1-1-1911,-85 13 3168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44"/>
  <sheetViews>
    <sheetView rightToLeft="1" tabSelected="1" view="pageBreakPreview" topLeftCell="A25" zoomScale="130" zoomScaleNormal="100" zoomScaleSheetLayoutView="130" workbookViewId="0">
      <selection activeCell="F29" sqref="F29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2" t="s">
        <v>209</v>
      </c>
      <c r="C1" s="62"/>
      <c r="D1" s="62"/>
      <c r="E1" s="62"/>
      <c r="F1" s="62"/>
      <c r="G1" s="62"/>
      <c r="H1" s="62"/>
      <c r="I1" s="62"/>
      <c r="J1" s="62"/>
    </row>
    <row r="2" spans="1:10" ht="30" customHeight="1" x14ac:dyDescent="0.3">
      <c r="B2" s="13" t="s">
        <v>8</v>
      </c>
      <c r="C2" s="68" t="s">
        <v>41</v>
      </c>
      <c r="D2" s="68"/>
      <c r="E2" s="13" t="s">
        <v>7</v>
      </c>
      <c r="F2" s="63">
        <v>45943</v>
      </c>
      <c r="G2" s="63"/>
      <c r="H2" s="63"/>
      <c r="I2" s="63"/>
      <c r="J2" s="63"/>
    </row>
    <row r="3" spans="1:10" ht="30" customHeight="1" x14ac:dyDescent="0.3">
      <c r="B3" s="13" t="s">
        <v>9</v>
      </c>
      <c r="C3" s="68" t="s">
        <v>82</v>
      </c>
      <c r="D3" s="68"/>
      <c r="E3" s="13" t="s">
        <v>6</v>
      </c>
      <c r="F3" s="68" t="s">
        <v>92</v>
      </c>
      <c r="G3" s="68"/>
      <c r="H3" s="68"/>
      <c r="I3" s="68"/>
      <c r="J3" s="68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1"/>
      <c r="B5" s="64" t="s">
        <v>0</v>
      </c>
      <c r="C5" s="65"/>
      <c r="D5" s="65"/>
      <c r="E5" s="69" t="s">
        <v>1</v>
      </c>
      <c r="F5" s="69"/>
      <c r="G5" s="69"/>
      <c r="H5" s="69"/>
      <c r="I5" s="69" t="s">
        <v>2</v>
      </c>
      <c r="J5" s="70"/>
    </row>
    <row r="6" spans="1:10" ht="24.9" customHeight="1" thickBot="1" x14ac:dyDescent="0.35">
      <c r="A6" s="11"/>
      <c r="B6" s="66"/>
      <c r="C6" s="67"/>
      <c r="D6" s="67"/>
      <c r="E6" s="12" t="s">
        <v>3</v>
      </c>
      <c r="F6" s="12" t="s">
        <v>4</v>
      </c>
      <c r="G6" s="12" t="s">
        <v>23</v>
      </c>
      <c r="H6" s="12" t="s">
        <v>24</v>
      </c>
      <c r="I6" s="71"/>
      <c r="J6" s="72"/>
    </row>
    <row r="7" spans="1:10" ht="24.9" customHeight="1" thickBot="1" x14ac:dyDescent="0.35">
      <c r="A7" s="11"/>
      <c r="B7" s="54" t="s">
        <v>21</v>
      </c>
      <c r="C7" s="55"/>
      <c r="D7" s="55"/>
      <c r="E7" s="29" t="s">
        <v>18</v>
      </c>
      <c r="F7" s="29" t="s">
        <v>19</v>
      </c>
      <c r="G7" s="29" t="s">
        <v>22</v>
      </c>
      <c r="H7" s="29" t="s">
        <v>20</v>
      </c>
      <c r="I7" s="58" t="s">
        <v>25</v>
      </c>
      <c r="J7" s="59"/>
    </row>
    <row r="8" spans="1:10" ht="39.9" customHeight="1" x14ac:dyDescent="0.3">
      <c r="A8" s="11"/>
      <c r="B8" s="79" t="s">
        <v>193</v>
      </c>
      <c r="C8" s="80"/>
      <c r="D8" s="80"/>
      <c r="E8" s="32">
        <v>5</v>
      </c>
      <c r="F8" s="33">
        <v>3.75</v>
      </c>
      <c r="G8" s="34">
        <f>IFERROR(F8/E8,"")</f>
        <v>0.75</v>
      </c>
      <c r="H8" s="35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60"/>
      <c r="J8" s="61"/>
    </row>
    <row r="9" spans="1:10" ht="39.9" customHeight="1" x14ac:dyDescent="0.3">
      <c r="A9" s="11"/>
      <c r="B9" s="50" t="s">
        <v>194</v>
      </c>
      <c r="C9" s="51"/>
      <c r="D9" s="51"/>
      <c r="E9" s="9"/>
      <c r="F9" s="27"/>
      <c r="G9" s="30"/>
      <c r="H9" s="31"/>
      <c r="I9" s="45"/>
      <c r="J9" s="46"/>
    </row>
    <row r="10" spans="1:10" ht="39.9" customHeight="1" x14ac:dyDescent="0.3">
      <c r="A10" s="11"/>
      <c r="B10" s="81" t="s">
        <v>180</v>
      </c>
      <c r="C10" s="82"/>
      <c r="D10" s="82"/>
      <c r="E10" s="9">
        <v>5</v>
      </c>
      <c r="F10" s="27">
        <v>3.75</v>
      </c>
      <c r="G10" s="30">
        <f t="shared" ref="G10:G39" si="0">IFERROR(F10/E10,"")</f>
        <v>0.75</v>
      </c>
      <c r="H10" s="31" t="str">
        <f t="shared" ref="H10:H39" si="1">_xlfn.IFS(F10="أدخل العلامة","",F10="لا ينطبق","تم الإلغاء",G10&gt;=90%,"ممتاز",G10&gt;=80%,"جيد جداً",G10&gt;=70%,"جيد",G10&gt;=60%,"مقبول",G10&lt;60%,"راسب")</f>
        <v>جيد</v>
      </c>
      <c r="I10" s="45"/>
      <c r="J10" s="46"/>
    </row>
    <row r="11" spans="1:10" ht="57" customHeight="1" x14ac:dyDescent="0.3">
      <c r="A11" s="11"/>
      <c r="B11" s="81" t="s">
        <v>181</v>
      </c>
      <c r="C11" s="82"/>
      <c r="D11" s="82"/>
      <c r="E11" s="9">
        <v>5</v>
      </c>
      <c r="F11" s="27">
        <v>3.75</v>
      </c>
      <c r="G11" s="30">
        <f t="shared" si="0"/>
        <v>0.75</v>
      </c>
      <c r="H11" s="31" t="str">
        <f t="shared" si="1"/>
        <v>جيد</v>
      </c>
      <c r="I11" s="45"/>
      <c r="J11" s="46"/>
    </row>
    <row r="12" spans="1:10" ht="39.9" customHeight="1" x14ac:dyDescent="0.3">
      <c r="A12" s="11"/>
      <c r="B12" s="50" t="s">
        <v>195</v>
      </c>
      <c r="C12" s="51"/>
      <c r="D12" s="51"/>
      <c r="E12" s="9">
        <v>5</v>
      </c>
      <c r="F12" s="27">
        <v>3.75</v>
      </c>
      <c r="G12" s="30">
        <f t="shared" si="0"/>
        <v>0.75</v>
      </c>
      <c r="H12" s="31" t="str">
        <f t="shared" si="1"/>
        <v>جيد</v>
      </c>
      <c r="I12" s="45"/>
      <c r="J12" s="46"/>
    </row>
    <row r="13" spans="1:10" ht="39.9" customHeight="1" x14ac:dyDescent="0.3">
      <c r="A13" s="11"/>
      <c r="B13" s="50" t="s">
        <v>210</v>
      </c>
      <c r="C13" s="51"/>
      <c r="D13" s="51"/>
      <c r="E13" s="9"/>
      <c r="F13" s="27"/>
      <c r="G13" s="30"/>
      <c r="H13" s="31"/>
      <c r="I13" s="45"/>
      <c r="J13" s="46"/>
    </row>
    <row r="14" spans="1:10" ht="39.9" customHeight="1" x14ac:dyDescent="0.3">
      <c r="A14" s="11"/>
      <c r="B14" s="81" t="s">
        <v>182</v>
      </c>
      <c r="C14" s="82"/>
      <c r="D14" s="82"/>
      <c r="E14" s="9">
        <v>5</v>
      </c>
      <c r="F14" s="27">
        <v>3.75</v>
      </c>
      <c r="G14" s="30">
        <f t="shared" si="0"/>
        <v>0.75</v>
      </c>
      <c r="H14" s="31" t="str">
        <f t="shared" si="1"/>
        <v>جيد</v>
      </c>
      <c r="I14" s="45"/>
      <c r="J14" s="46"/>
    </row>
    <row r="15" spans="1:10" ht="39.9" customHeight="1" x14ac:dyDescent="0.3">
      <c r="A15" s="11"/>
      <c r="B15" s="81" t="s">
        <v>183</v>
      </c>
      <c r="C15" s="82"/>
      <c r="D15" s="82"/>
      <c r="E15" s="9">
        <v>5</v>
      </c>
      <c r="F15" s="27">
        <v>3.75</v>
      </c>
      <c r="G15" s="30">
        <f t="shared" si="0"/>
        <v>0.75</v>
      </c>
      <c r="H15" s="31" t="str">
        <f t="shared" si="1"/>
        <v>جيد</v>
      </c>
      <c r="I15" s="45"/>
      <c r="J15" s="46"/>
    </row>
    <row r="16" spans="1:10" ht="39.9" customHeight="1" x14ac:dyDescent="0.3">
      <c r="A16" s="11"/>
      <c r="B16" s="81" t="s">
        <v>184</v>
      </c>
      <c r="C16" s="82"/>
      <c r="D16" s="82"/>
      <c r="E16" s="9">
        <v>5</v>
      </c>
      <c r="F16" s="27">
        <v>3.75</v>
      </c>
      <c r="G16" s="30">
        <f t="shared" si="0"/>
        <v>0.75</v>
      </c>
      <c r="H16" s="31" t="str">
        <f t="shared" si="1"/>
        <v>جيد</v>
      </c>
      <c r="I16" s="45"/>
      <c r="J16" s="46"/>
    </row>
    <row r="17" spans="1:10" ht="39.9" customHeight="1" x14ac:dyDescent="0.3">
      <c r="A17" s="11"/>
      <c r="B17" s="50" t="s">
        <v>211</v>
      </c>
      <c r="C17" s="51"/>
      <c r="D17" s="51"/>
      <c r="E17" s="9"/>
      <c r="F17" s="27"/>
      <c r="G17" s="30"/>
      <c r="H17" s="31"/>
      <c r="I17" s="45"/>
      <c r="J17" s="46"/>
    </row>
    <row r="18" spans="1:10" ht="39.9" customHeight="1" x14ac:dyDescent="0.3">
      <c r="A18" s="11"/>
      <c r="B18" s="81" t="s">
        <v>185</v>
      </c>
      <c r="C18" s="82"/>
      <c r="D18" s="82"/>
      <c r="E18" s="9">
        <v>5</v>
      </c>
      <c r="F18" s="27">
        <v>3.75</v>
      </c>
      <c r="G18" s="30">
        <f t="shared" si="0"/>
        <v>0.75</v>
      </c>
      <c r="H18" s="31" t="str">
        <f t="shared" si="1"/>
        <v>جيد</v>
      </c>
      <c r="I18" s="45"/>
      <c r="J18" s="46"/>
    </row>
    <row r="19" spans="1:10" ht="39.9" customHeight="1" x14ac:dyDescent="0.3">
      <c r="A19" s="11"/>
      <c r="B19" s="81" t="s">
        <v>186</v>
      </c>
      <c r="C19" s="82"/>
      <c r="D19" s="82"/>
      <c r="E19" s="9">
        <v>5</v>
      </c>
      <c r="F19" s="27">
        <v>3.75</v>
      </c>
      <c r="G19" s="30">
        <f t="shared" si="0"/>
        <v>0.75</v>
      </c>
      <c r="H19" s="31" t="str">
        <f t="shared" si="1"/>
        <v>جيد</v>
      </c>
      <c r="I19" s="45"/>
      <c r="J19" s="46"/>
    </row>
    <row r="20" spans="1:10" ht="39.9" customHeight="1" x14ac:dyDescent="0.3">
      <c r="A20" s="11"/>
      <c r="B20" s="81" t="s">
        <v>187</v>
      </c>
      <c r="C20" s="82"/>
      <c r="D20" s="82"/>
      <c r="E20" s="9">
        <v>5</v>
      </c>
      <c r="F20" s="27">
        <v>3.75</v>
      </c>
      <c r="G20" s="30">
        <f t="shared" si="0"/>
        <v>0.75</v>
      </c>
      <c r="H20" s="31" t="str">
        <f t="shared" si="1"/>
        <v>جيد</v>
      </c>
      <c r="I20" s="45"/>
      <c r="J20" s="46"/>
    </row>
    <row r="21" spans="1:10" ht="39.9" customHeight="1" x14ac:dyDescent="0.3">
      <c r="A21" s="11"/>
      <c r="B21" s="81" t="s">
        <v>188</v>
      </c>
      <c r="C21" s="82"/>
      <c r="D21" s="82"/>
      <c r="E21" s="9">
        <v>5</v>
      </c>
      <c r="F21" s="27">
        <v>3.75</v>
      </c>
      <c r="G21" s="30">
        <f t="shared" si="0"/>
        <v>0.75</v>
      </c>
      <c r="H21" s="31" t="str">
        <f t="shared" si="1"/>
        <v>جيد</v>
      </c>
      <c r="I21" s="45"/>
      <c r="J21" s="46"/>
    </row>
    <row r="22" spans="1:10" ht="39.9" customHeight="1" x14ac:dyDescent="0.3">
      <c r="A22" s="11"/>
      <c r="B22" s="81" t="s">
        <v>189</v>
      </c>
      <c r="C22" s="82"/>
      <c r="D22" s="82"/>
      <c r="E22" s="9">
        <v>5</v>
      </c>
      <c r="F22" s="27">
        <v>3.75</v>
      </c>
      <c r="G22" s="30">
        <f t="shared" si="0"/>
        <v>0.75</v>
      </c>
      <c r="H22" s="31" t="str">
        <f t="shared" si="1"/>
        <v>جيد</v>
      </c>
      <c r="I22" s="45"/>
      <c r="J22" s="46"/>
    </row>
    <row r="23" spans="1:10" ht="39.9" customHeight="1" x14ac:dyDescent="0.3">
      <c r="A23" s="11"/>
      <c r="B23" s="81" t="s">
        <v>190</v>
      </c>
      <c r="C23" s="82"/>
      <c r="D23" s="82"/>
      <c r="E23" s="9">
        <v>5</v>
      </c>
      <c r="F23" s="27">
        <v>3.75</v>
      </c>
      <c r="G23" s="30">
        <f t="shared" si="0"/>
        <v>0.75</v>
      </c>
      <c r="H23" s="31" t="str">
        <f t="shared" si="1"/>
        <v>جيد</v>
      </c>
      <c r="I23" s="45"/>
      <c r="J23" s="46"/>
    </row>
    <row r="24" spans="1:10" ht="39.9" customHeight="1" x14ac:dyDescent="0.3">
      <c r="A24" s="11"/>
      <c r="B24" s="50" t="s">
        <v>196</v>
      </c>
      <c r="C24" s="51"/>
      <c r="D24" s="51"/>
      <c r="E24" s="9">
        <v>5</v>
      </c>
      <c r="F24" s="27">
        <v>4</v>
      </c>
      <c r="G24" s="30">
        <f t="shared" si="0"/>
        <v>0.8</v>
      </c>
      <c r="H24" s="31" t="str">
        <f t="shared" si="1"/>
        <v>جيد جداً</v>
      </c>
      <c r="I24" s="45"/>
      <c r="J24" s="46"/>
    </row>
    <row r="25" spans="1:10" ht="66" customHeight="1" x14ac:dyDescent="0.3">
      <c r="A25" s="11"/>
      <c r="B25" s="50" t="s">
        <v>197</v>
      </c>
      <c r="C25" s="51"/>
      <c r="D25" s="51"/>
      <c r="E25" s="9">
        <v>5</v>
      </c>
      <c r="F25" s="27">
        <v>3.5</v>
      </c>
      <c r="G25" s="30">
        <f t="shared" si="0"/>
        <v>0.7</v>
      </c>
      <c r="H25" s="31" t="str">
        <f t="shared" si="1"/>
        <v>جيد</v>
      </c>
      <c r="I25" s="45"/>
      <c r="J25" s="46"/>
    </row>
    <row r="26" spans="1:10" ht="39.9" customHeight="1" x14ac:dyDescent="0.3">
      <c r="A26" s="11"/>
      <c r="B26" s="50" t="s">
        <v>198</v>
      </c>
      <c r="C26" s="51"/>
      <c r="D26" s="51"/>
      <c r="E26" s="9">
        <v>5</v>
      </c>
      <c r="F26" s="27">
        <v>3.5</v>
      </c>
      <c r="G26" s="30">
        <f t="shared" si="0"/>
        <v>0.7</v>
      </c>
      <c r="H26" s="31" t="str">
        <f t="shared" si="1"/>
        <v>جيد</v>
      </c>
      <c r="I26" s="45"/>
      <c r="J26" s="46"/>
    </row>
    <row r="27" spans="1:10" ht="39.9" customHeight="1" x14ac:dyDescent="0.3">
      <c r="A27" s="11"/>
      <c r="B27" s="50" t="s">
        <v>199</v>
      </c>
      <c r="C27" s="51"/>
      <c r="D27" s="51"/>
      <c r="E27" s="9">
        <v>5</v>
      </c>
      <c r="F27" s="27">
        <v>3.5</v>
      </c>
      <c r="G27" s="30">
        <f t="shared" si="0"/>
        <v>0.7</v>
      </c>
      <c r="H27" s="31" t="str">
        <f t="shared" si="1"/>
        <v>جيد</v>
      </c>
      <c r="I27" s="45"/>
      <c r="J27" s="46"/>
    </row>
    <row r="28" spans="1:10" ht="39.9" customHeight="1" x14ac:dyDescent="0.3">
      <c r="A28" s="11"/>
      <c r="B28" s="50" t="s">
        <v>200</v>
      </c>
      <c r="C28" s="51"/>
      <c r="D28" s="51"/>
      <c r="E28" s="9">
        <v>5</v>
      </c>
      <c r="F28" s="27">
        <v>3.5</v>
      </c>
      <c r="G28" s="30">
        <f t="shared" si="0"/>
        <v>0.7</v>
      </c>
      <c r="H28" s="31" t="str">
        <f t="shared" si="1"/>
        <v>جيد</v>
      </c>
      <c r="I28" s="45"/>
      <c r="J28" s="46"/>
    </row>
    <row r="29" spans="1:10" ht="39.9" customHeight="1" x14ac:dyDescent="0.3">
      <c r="A29" s="11"/>
      <c r="B29" s="50" t="s">
        <v>201</v>
      </c>
      <c r="C29" s="51"/>
      <c r="D29" s="51"/>
      <c r="E29" s="9">
        <v>5</v>
      </c>
      <c r="F29" s="27">
        <v>3.75</v>
      </c>
      <c r="G29" s="30">
        <f t="shared" si="0"/>
        <v>0.75</v>
      </c>
      <c r="H29" s="31" t="str">
        <f t="shared" si="1"/>
        <v>جيد</v>
      </c>
      <c r="I29" s="45"/>
      <c r="J29" s="46"/>
    </row>
    <row r="30" spans="1:10" ht="39.9" customHeight="1" x14ac:dyDescent="0.3">
      <c r="A30" s="11"/>
      <c r="B30" s="50" t="s">
        <v>202</v>
      </c>
      <c r="C30" s="51"/>
      <c r="D30" s="51"/>
      <c r="E30" s="9"/>
      <c r="F30" s="27"/>
      <c r="G30" s="30"/>
      <c r="H30" s="31"/>
      <c r="I30" s="45"/>
      <c r="J30" s="46"/>
    </row>
    <row r="31" spans="1:10" ht="39.9" customHeight="1" x14ac:dyDescent="0.3">
      <c r="A31" s="11"/>
      <c r="B31" s="81" t="s">
        <v>191</v>
      </c>
      <c r="C31" s="82"/>
      <c r="D31" s="82"/>
      <c r="E31" s="9">
        <v>5</v>
      </c>
      <c r="F31" s="27">
        <v>3.75</v>
      </c>
      <c r="G31" s="30">
        <f t="shared" si="0"/>
        <v>0.75</v>
      </c>
      <c r="H31" s="31" t="str">
        <f t="shared" si="1"/>
        <v>جيد</v>
      </c>
      <c r="I31" s="45"/>
      <c r="J31" s="46"/>
    </row>
    <row r="32" spans="1:10" ht="39.9" customHeight="1" x14ac:dyDescent="0.3">
      <c r="A32" s="11"/>
      <c r="B32" s="81" t="s">
        <v>192</v>
      </c>
      <c r="C32" s="82"/>
      <c r="D32" s="82"/>
      <c r="E32" s="9">
        <v>5</v>
      </c>
      <c r="F32" s="27">
        <v>3.5</v>
      </c>
      <c r="G32" s="30">
        <f t="shared" si="0"/>
        <v>0.7</v>
      </c>
      <c r="H32" s="31" t="str">
        <f t="shared" si="1"/>
        <v>جيد</v>
      </c>
      <c r="I32" s="45"/>
      <c r="J32" s="46"/>
    </row>
    <row r="33" spans="1:10" ht="39.9" customHeight="1" x14ac:dyDescent="0.3">
      <c r="A33" s="11"/>
      <c r="B33" s="50" t="s">
        <v>203</v>
      </c>
      <c r="C33" s="51"/>
      <c r="D33" s="51"/>
      <c r="E33" s="9">
        <v>5</v>
      </c>
      <c r="F33" s="27">
        <v>3.5</v>
      </c>
      <c r="G33" s="30">
        <f t="shared" si="0"/>
        <v>0.7</v>
      </c>
      <c r="H33" s="31" t="str">
        <f t="shared" si="1"/>
        <v>جيد</v>
      </c>
      <c r="I33" s="45"/>
      <c r="J33" s="46"/>
    </row>
    <row r="34" spans="1:10" ht="61.5" customHeight="1" x14ac:dyDescent="0.3">
      <c r="A34" s="11"/>
      <c r="B34" s="50" t="s">
        <v>204</v>
      </c>
      <c r="C34" s="51"/>
      <c r="D34" s="51"/>
      <c r="E34" s="9">
        <v>5</v>
      </c>
      <c r="F34" s="27">
        <v>2</v>
      </c>
      <c r="G34" s="30">
        <f t="shared" si="0"/>
        <v>0.4</v>
      </c>
      <c r="H34" s="31" t="str">
        <f t="shared" si="1"/>
        <v>راسب</v>
      </c>
      <c r="I34" s="45"/>
      <c r="J34" s="46"/>
    </row>
    <row r="35" spans="1:10" ht="39.9" customHeight="1" x14ac:dyDescent="0.3">
      <c r="A35" s="11"/>
      <c r="B35" s="50" t="s">
        <v>205</v>
      </c>
      <c r="C35" s="51"/>
      <c r="D35" s="51"/>
      <c r="E35" s="9">
        <v>0</v>
      </c>
      <c r="F35" s="27" t="s">
        <v>17</v>
      </c>
      <c r="G35" s="30" t="str">
        <f t="shared" si="0"/>
        <v/>
      </c>
      <c r="H35" s="31" t="str">
        <f t="shared" si="1"/>
        <v>تم الإلغاء</v>
      </c>
      <c r="I35" s="45"/>
      <c r="J35" s="46"/>
    </row>
    <row r="36" spans="1:10" ht="39.9" customHeight="1" x14ac:dyDescent="0.3">
      <c r="A36" s="11"/>
      <c r="B36" s="50" t="s">
        <v>206</v>
      </c>
      <c r="C36" s="51"/>
      <c r="D36" s="51"/>
      <c r="E36" s="9">
        <v>5</v>
      </c>
      <c r="F36" s="27">
        <v>3.75</v>
      </c>
      <c r="G36" s="30">
        <f t="shared" si="0"/>
        <v>0.75</v>
      </c>
      <c r="H36" s="31" t="str">
        <f t="shared" si="1"/>
        <v>جيد</v>
      </c>
      <c r="I36" s="45"/>
      <c r="J36" s="46"/>
    </row>
    <row r="37" spans="1:10" ht="39.9" customHeight="1" x14ac:dyDescent="0.3">
      <c r="A37" s="11"/>
      <c r="B37" s="50" t="s">
        <v>212</v>
      </c>
      <c r="C37" s="51"/>
      <c r="D37" s="51"/>
      <c r="E37" s="9">
        <v>5</v>
      </c>
      <c r="F37" s="27">
        <v>3.75</v>
      </c>
      <c r="G37" s="30">
        <f t="shared" si="0"/>
        <v>0.75</v>
      </c>
      <c r="H37" s="31" t="str">
        <f t="shared" si="1"/>
        <v>جيد</v>
      </c>
      <c r="I37" s="45"/>
      <c r="J37" s="46"/>
    </row>
    <row r="38" spans="1:10" ht="39.9" customHeight="1" x14ac:dyDescent="0.3">
      <c r="A38" s="11"/>
      <c r="B38" s="50" t="s">
        <v>207</v>
      </c>
      <c r="C38" s="51"/>
      <c r="D38" s="51"/>
      <c r="E38" s="9">
        <v>5</v>
      </c>
      <c r="F38" s="27">
        <v>3.75</v>
      </c>
      <c r="G38" s="30">
        <f t="shared" si="0"/>
        <v>0.75</v>
      </c>
      <c r="H38" s="31" t="str">
        <f t="shared" si="1"/>
        <v>جيد</v>
      </c>
      <c r="I38" s="45"/>
      <c r="J38" s="46"/>
    </row>
    <row r="39" spans="1:10" ht="39.9" customHeight="1" thickBot="1" x14ac:dyDescent="0.35">
      <c r="A39" s="11"/>
      <c r="B39" s="52" t="s">
        <v>208</v>
      </c>
      <c r="C39" s="53"/>
      <c r="D39" s="53"/>
      <c r="E39" s="36">
        <v>5</v>
      </c>
      <c r="F39" s="28">
        <v>4</v>
      </c>
      <c r="G39" s="37">
        <f t="shared" si="0"/>
        <v>0.8</v>
      </c>
      <c r="H39" s="38" t="str">
        <f t="shared" si="1"/>
        <v>جيد جداً</v>
      </c>
      <c r="I39" s="56"/>
      <c r="J39" s="57"/>
    </row>
    <row r="40" spans="1:10" ht="30" customHeight="1" thickBot="1" x14ac:dyDescent="0.35">
      <c r="A40" s="4"/>
      <c r="B40" s="47" t="s">
        <v>5</v>
      </c>
      <c r="C40" s="48"/>
      <c r="D40" s="48"/>
      <c r="E40" s="10">
        <f>SUM(E8:E39)</f>
        <v>135</v>
      </c>
      <c r="F40" s="10">
        <f>SUM(F8:F39)</f>
        <v>98.5</v>
      </c>
      <c r="G40" s="74"/>
      <c r="H40" s="75"/>
      <c r="I40" s="75"/>
      <c r="J40" s="76"/>
    </row>
    <row r="41" spans="1:10" ht="30" customHeight="1" thickBot="1" x14ac:dyDescent="0.35">
      <c r="A41" s="4"/>
      <c r="B41" s="47" t="s">
        <v>54</v>
      </c>
      <c r="C41" s="48"/>
      <c r="D41" s="48"/>
      <c r="E41" s="77">
        <f>F40/E40/100*100</f>
        <v>0.72962962962962963</v>
      </c>
      <c r="F41" s="77"/>
      <c r="G41" s="77"/>
      <c r="H41" s="77"/>
      <c r="I41" s="77"/>
      <c r="J41" s="78"/>
    </row>
    <row r="42" spans="1:10" ht="30" customHeight="1" thickBot="1" x14ac:dyDescent="0.35">
      <c r="A42" s="4"/>
      <c r="B42" s="47" t="s">
        <v>55</v>
      </c>
      <c r="C42" s="48"/>
      <c r="D42" s="48"/>
      <c r="E42" s="43" t="str">
        <f>_xlfn.IFS(E41&gt;=90%,"ممتاز",E41&gt;=80%,"جيد جداً",E41&gt;=70%,"جيد",E41&gt;=60%,"مقبول",E41&lt;60%,"راسب")</f>
        <v>جيد</v>
      </c>
      <c r="F42" s="43"/>
      <c r="G42" s="43"/>
      <c r="H42" s="43"/>
      <c r="I42" s="43"/>
      <c r="J42" s="44"/>
    </row>
    <row r="43" spans="1:10" ht="42" customHeight="1" x14ac:dyDescent="0.3">
      <c r="B43" s="39" t="s">
        <v>174</v>
      </c>
      <c r="C43" s="39"/>
      <c r="D43" s="39"/>
      <c r="E43" s="49" t="s">
        <v>52</v>
      </c>
      <c r="F43" s="49"/>
      <c r="G43" s="41" t="s">
        <v>92</v>
      </c>
      <c r="H43" s="41"/>
      <c r="I43" s="41"/>
      <c r="J43" s="41"/>
    </row>
    <row r="44" spans="1:10" ht="51" customHeight="1" x14ac:dyDescent="0.3">
      <c r="A44" s="5"/>
      <c r="B44" s="40"/>
      <c r="C44" s="40"/>
      <c r="D44" s="40"/>
      <c r="E44" s="73" t="s">
        <v>53</v>
      </c>
      <c r="F44" s="73"/>
      <c r="G44" s="42"/>
      <c r="H44" s="42"/>
      <c r="I44" s="42"/>
      <c r="J44" s="42"/>
    </row>
  </sheetData>
  <sheetProtection formatCells="0" formatColumns="0" formatRows="0" insertColumns="0" insertRows="0" insertHyperlinks="0" deleteColumns="0" deleteRows="0" selectLockedCells="1" sort="0" autoFilter="0" pivotTables="0"/>
  <mergeCells count="85">
    <mergeCell ref="B29:D29"/>
    <mergeCell ref="B30:D30"/>
    <mergeCell ref="B35:D35"/>
    <mergeCell ref="B36:D36"/>
    <mergeCell ref="B37:D37"/>
    <mergeCell ref="B31:D31"/>
    <mergeCell ref="B32:D32"/>
    <mergeCell ref="B33:D33"/>
    <mergeCell ref="B34:D34"/>
    <mergeCell ref="B17:D17"/>
    <mergeCell ref="B18:D18"/>
    <mergeCell ref="B19:D19"/>
    <mergeCell ref="B20:D20"/>
    <mergeCell ref="B21:D21"/>
    <mergeCell ref="B27:D27"/>
    <mergeCell ref="B28:D28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22:D22"/>
    <mergeCell ref="B23:D23"/>
    <mergeCell ref="B24:D24"/>
    <mergeCell ref="B25:D25"/>
    <mergeCell ref="B26:D26"/>
    <mergeCell ref="I9:J9"/>
    <mergeCell ref="E44:F44"/>
    <mergeCell ref="G40:J40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E41:J41"/>
    <mergeCell ref="I18:J18"/>
    <mergeCell ref="I28:J28"/>
    <mergeCell ref="I29:J29"/>
    <mergeCell ref="B1:J1"/>
    <mergeCell ref="F2:J2"/>
    <mergeCell ref="B5:D6"/>
    <mergeCell ref="C2:D2"/>
    <mergeCell ref="C3:D3"/>
    <mergeCell ref="F3:J3"/>
    <mergeCell ref="E5:H5"/>
    <mergeCell ref="I5:J6"/>
    <mergeCell ref="B7:D7"/>
    <mergeCell ref="I38:J38"/>
    <mergeCell ref="I39:J39"/>
    <mergeCell ref="I30:J30"/>
    <mergeCell ref="I31:J31"/>
    <mergeCell ref="I37:J37"/>
    <mergeCell ref="I7:J7"/>
    <mergeCell ref="I10:J10"/>
    <mergeCell ref="I8:J8"/>
    <mergeCell ref="I11:J11"/>
    <mergeCell ref="I12:J12"/>
    <mergeCell ref="I13:J13"/>
    <mergeCell ref="I14:J14"/>
    <mergeCell ref="I15:J15"/>
    <mergeCell ref="I16:J16"/>
    <mergeCell ref="I17:J17"/>
    <mergeCell ref="B43:D44"/>
    <mergeCell ref="G43:J43"/>
    <mergeCell ref="G44:J44"/>
    <mergeCell ref="E42:J42"/>
    <mergeCell ref="I32:J32"/>
    <mergeCell ref="I33:J33"/>
    <mergeCell ref="I34:J34"/>
    <mergeCell ref="I35:J35"/>
    <mergeCell ref="I36:J36"/>
    <mergeCell ref="B40:D40"/>
    <mergeCell ref="B41:D41"/>
    <mergeCell ref="B42:D42"/>
    <mergeCell ref="E43:F43"/>
    <mergeCell ref="B38:D38"/>
    <mergeCell ref="B39:D39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42">
    <cfRule type="expression" dxfId="14" priority="57">
      <formula>$E42="راسب"</formula>
    </cfRule>
  </conditionalFormatting>
  <conditionalFormatting sqref="E42:J42">
    <cfRule type="expression" dxfId="13" priority="58">
      <formula>$E42="مقبول"</formula>
    </cfRule>
    <cfRule type="expression" dxfId="12" priority="59">
      <formula>$E42="جيد"</formula>
    </cfRule>
    <cfRule type="expression" dxfId="11" priority="60">
      <formula>$E42="جيد جداً"</formula>
    </cfRule>
    <cfRule type="expression" dxfId="10" priority="61">
      <formula>$E42="ممتاز"</formula>
    </cfRule>
  </conditionalFormatting>
  <conditionalFormatting sqref="F8:F39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43:J43">
    <cfRule type="containsText" dxfId="6" priority="15" operator="containsText" text="أدخل اسم المحكم">
      <formula>NOT(ISERROR(SEARCH("أدخل اسم المحكم",G43)))</formula>
    </cfRule>
  </conditionalFormatting>
  <conditionalFormatting sqref="H8:H39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F31:F39 F18:F29 F14:F16 F8 F10:F12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G43:J43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20" t="s">
        <v>62</v>
      </c>
    </row>
    <row r="3" spans="1:3" ht="20.100000000000001" customHeight="1" thickBot="1" x14ac:dyDescent="0.35">
      <c r="A3" s="2" t="s">
        <v>26</v>
      </c>
      <c r="C3" s="20" t="s">
        <v>63</v>
      </c>
    </row>
    <row r="4" spans="1:3" ht="20.100000000000001" customHeight="1" thickBot="1" x14ac:dyDescent="0.35">
      <c r="A4" s="2" t="s">
        <v>36</v>
      </c>
      <c r="C4" s="20" t="s">
        <v>64</v>
      </c>
    </row>
    <row r="5" spans="1:3" ht="20.100000000000001" customHeight="1" thickBot="1" x14ac:dyDescent="0.35">
      <c r="A5" s="2" t="s">
        <v>37</v>
      </c>
      <c r="C5" s="20" t="s">
        <v>65</v>
      </c>
    </row>
    <row r="6" spans="1:3" ht="20.100000000000001" customHeight="1" thickBot="1" x14ac:dyDescent="0.35">
      <c r="A6" s="2" t="s">
        <v>38</v>
      </c>
      <c r="C6" s="20" t="s">
        <v>66</v>
      </c>
    </row>
    <row r="7" spans="1:3" ht="20.100000000000001" customHeight="1" thickBot="1" x14ac:dyDescent="0.35">
      <c r="A7" s="2" t="s">
        <v>39</v>
      </c>
      <c r="C7" s="20" t="s">
        <v>67</v>
      </c>
    </row>
    <row r="8" spans="1:3" ht="20.100000000000001" customHeight="1" thickBot="1" x14ac:dyDescent="0.35">
      <c r="A8" s="2" t="s">
        <v>40</v>
      </c>
      <c r="C8" s="20" t="s">
        <v>68</v>
      </c>
    </row>
    <row r="9" spans="1:3" ht="20.100000000000001" customHeight="1" thickBot="1" x14ac:dyDescent="0.35">
      <c r="A9" s="2" t="s">
        <v>41</v>
      </c>
      <c r="C9" s="20" t="s">
        <v>69</v>
      </c>
    </row>
    <row r="10" spans="1:3" ht="20.100000000000001" customHeight="1" thickBot="1" x14ac:dyDescent="0.35">
      <c r="A10" s="2" t="s">
        <v>42</v>
      </c>
      <c r="C10" s="20" t="s">
        <v>70</v>
      </c>
    </row>
    <row r="11" spans="1:3" ht="20.100000000000001" customHeight="1" thickBot="1" x14ac:dyDescent="0.35">
      <c r="A11" s="2" t="s">
        <v>43</v>
      </c>
      <c r="C11" s="20" t="s">
        <v>71</v>
      </c>
    </row>
    <row r="12" spans="1:3" ht="20.100000000000001" customHeight="1" thickBot="1" x14ac:dyDescent="0.35">
      <c r="A12" s="2" t="s">
        <v>44</v>
      </c>
      <c r="C12" s="20" t="s">
        <v>72</v>
      </c>
    </row>
    <row r="13" spans="1:3" ht="20.100000000000001" customHeight="1" thickBot="1" x14ac:dyDescent="0.35">
      <c r="A13" s="2" t="s">
        <v>45</v>
      </c>
      <c r="C13" s="20" t="s">
        <v>73</v>
      </c>
    </row>
    <row r="14" spans="1:3" ht="20.100000000000001" customHeight="1" thickBot="1" x14ac:dyDescent="0.35">
      <c r="A14" s="2" t="s">
        <v>46</v>
      </c>
      <c r="C14" s="20" t="s">
        <v>74</v>
      </c>
    </row>
    <row r="15" spans="1:3" ht="20.100000000000001" customHeight="1" thickBot="1" x14ac:dyDescent="0.35">
      <c r="A15" s="2" t="s">
        <v>47</v>
      </c>
      <c r="C15" s="20" t="s">
        <v>75</v>
      </c>
    </row>
    <row r="16" spans="1:3" ht="20.100000000000001" customHeight="1" thickBot="1" x14ac:dyDescent="0.35">
      <c r="A16" s="2" t="s">
        <v>10</v>
      </c>
      <c r="C16" s="20" t="s">
        <v>76</v>
      </c>
    </row>
    <row r="17" spans="1:3" ht="20.100000000000001" customHeight="1" thickBot="1" x14ac:dyDescent="0.35">
      <c r="A17" s="2" t="s">
        <v>27</v>
      </c>
      <c r="C17" s="20" t="s">
        <v>77</v>
      </c>
    </row>
    <row r="18" spans="1:3" ht="20.100000000000001" customHeight="1" thickBot="1" x14ac:dyDescent="0.35">
      <c r="A18" s="2" t="s">
        <v>48</v>
      </c>
      <c r="C18" s="20" t="s">
        <v>78</v>
      </c>
    </row>
    <row r="19" spans="1:3" ht="20.100000000000001" customHeight="1" thickBot="1" x14ac:dyDescent="0.35">
      <c r="A19" s="2" t="s">
        <v>49</v>
      </c>
      <c r="C19" s="20" t="s">
        <v>79</v>
      </c>
    </row>
    <row r="20" spans="1:3" ht="20.100000000000001" customHeight="1" thickBot="1" x14ac:dyDescent="0.35">
      <c r="A20" s="2" t="s">
        <v>50</v>
      </c>
      <c r="C20" s="20" t="s">
        <v>80</v>
      </c>
    </row>
    <row r="21" spans="1:3" ht="20.100000000000001" customHeight="1" thickBot="1" x14ac:dyDescent="0.35">
      <c r="A21" s="2" t="s">
        <v>51</v>
      </c>
      <c r="C21" s="20" t="s">
        <v>81</v>
      </c>
    </row>
    <row r="22" spans="1:3" ht="20.100000000000001" customHeight="1" thickBot="1" x14ac:dyDescent="0.35">
      <c r="A22" s="2" t="s">
        <v>11</v>
      </c>
      <c r="C22" s="20" t="s">
        <v>82</v>
      </c>
    </row>
    <row r="23" spans="1:3" ht="20.100000000000001" customHeight="1" thickBot="1" x14ac:dyDescent="0.35">
      <c r="A23" s="2" t="s">
        <v>12</v>
      </c>
      <c r="C23" s="20" t="s">
        <v>83</v>
      </c>
    </row>
    <row r="24" spans="1:3" ht="20.100000000000001" customHeight="1" thickBot="1" x14ac:dyDescent="0.35">
      <c r="A24" s="2" t="s">
        <v>15</v>
      </c>
      <c r="C24" s="20" t="s">
        <v>84</v>
      </c>
    </row>
    <row r="25" spans="1:3" ht="20.100000000000001" customHeight="1" thickBot="1" x14ac:dyDescent="0.35">
      <c r="A25" s="2" t="s">
        <v>28</v>
      </c>
      <c r="C25" s="20" t="s">
        <v>85</v>
      </c>
    </row>
    <row r="26" spans="1:3" ht="20.100000000000001" customHeight="1" thickBot="1" x14ac:dyDescent="0.35">
      <c r="A26" s="2" t="s">
        <v>29</v>
      </c>
      <c r="C26" s="20" t="s">
        <v>86</v>
      </c>
    </row>
    <row r="27" spans="1:3" ht="20.100000000000001" customHeight="1" thickBot="1" x14ac:dyDescent="0.35">
      <c r="A27" s="2" t="s">
        <v>13</v>
      </c>
      <c r="C27" s="20" t="s">
        <v>87</v>
      </c>
    </row>
    <row r="28" spans="1:3" ht="20.100000000000001" customHeight="1" thickBot="1" x14ac:dyDescent="0.35">
      <c r="A28" s="2" t="s">
        <v>30</v>
      </c>
      <c r="C28" s="20" t="s">
        <v>88</v>
      </c>
    </row>
    <row r="29" spans="1:3" ht="20.100000000000001" customHeight="1" thickBot="1" x14ac:dyDescent="0.35">
      <c r="A29" s="2" t="s">
        <v>31</v>
      </c>
      <c r="C29" s="20" t="s">
        <v>177</v>
      </c>
    </row>
    <row r="30" spans="1:3" ht="20.100000000000001" customHeight="1" thickBot="1" x14ac:dyDescent="0.35">
      <c r="A30" s="2" t="s">
        <v>32</v>
      </c>
      <c r="C30" s="20" t="s">
        <v>178</v>
      </c>
    </row>
    <row r="31" spans="1:3" ht="20.100000000000001" customHeight="1" thickBot="1" x14ac:dyDescent="0.35">
      <c r="A31" s="2" t="s">
        <v>33</v>
      </c>
      <c r="C31" s="20" t="s">
        <v>179</v>
      </c>
    </row>
    <row r="32" spans="1:3" ht="20.100000000000001" customHeight="1" thickBot="1" x14ac:dyDescent="0.35">
      <c r="A32" s="2" t="s">
        <v>16</v>
      </c>
      <c r="C32" s="20"/>
    </row>
    <row r="33" spans="1:9" ht="20.100000000000001" customHeight="1" thickBot="1" x14ac:dyDescent="0.35">
      <c r="A33" s="2" t="s">
        <v>14</v>
      </c>
      <c r="C33" s="20"/>
    </row>
    <row r="34" spans="1:9" ht="20.100000000000001" customHeight="1" thickBot="1" x14ac:dyDescent="0.35">
      <c r="A34" s="2" t="s">
        <v>34</v>
      </c>
      <c r="C34" s="20"/>
    </row>
    <row r="35" spans="1:9" ht="20.100000000000001" customHeight="1" x14ac:dyDescent="0.3">
      <c r="A35" s="19"/>
    </row>
    <row r="36" spans="1:9" s="18" customFormat="1" ht="20.100000000000001" customHeight="1" x14ac:dyDescent="0.3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4">
        <v>45931</v>
      </c>
    </row>
    <row r="40" spans="1:9" ht="20.100000000000001" customHeight="1" thickBot="1" x14ac:dyDescent="0.35">
      <c r="A40" s="14">
        <v>45932</v>
      </c>
    </row>
    <row r="41" spans="1:9" ht="20.100000000000001" customHeight="1" thickBot="1" x14ac:dyDescent="0.35">
      <c r="A41" s="14">
        <v>45933</v>
      </c>
    </row>
    <row r="42" spans="1:9" ht="20.100000000000001" customHeight="1" thickBot="1" x14ac:dyDescent="0.35">
      <c r="A42" s="14">
        <v>45934</v>
      </c>
    </row>
    <row r="43" spans="1:9" ht="20.100000000000001" customHeight="1" thickBot="1" x14ac:dyDescent="0.35">
      <c r="A43" s="14">
        <v>45935</v>
      </c>
    </row>
    <row r="44" spans="1:9" ht="20.100000000000001" customHeight="1" thickBot="1" x14ac:dyDescent="0.35">
      <c r="A44" s="14">
        <v>45936</v>
      </c>
    </row>
    <row r="45" spans="1:9" ht="20.100000000000001" customHeight="1" thickBot="1" x14ac:dyDescent="0.35">
      <c r="A45" s="14">
        <v>45937</v>
      </c>
    </row>
    <row r="46" spans="1:9" ht="20.100000000000001" customHeight="1" thickBot="1" x14ac:dyDescent="0.35">
      <c r="A46" s="14">
        <v>45938</v>
      </c>
    </row>
    <row r="47" spans="1:9" ht="20.100000000000001" customHeight="1" thickBot="1" x14ac:dyDescent="0.35">
      <c r="A47" s="14">
        <v>45939</v>
      </c>
    </row>
    <row r="48" spans="1:9" ht="20.100000000000001" customHeight="1" thickBot="1" x14ac:dyDescent="0.35">
      <c r="A48" s="14">
        <v>45940</v>
      </c>
    </row>
    <row r="49" spans="1:1" ht="20.100000000000001" customHeight="1" thickBot="1" x14ac:dyDescent="0.35">
      <c r="A49" s="14">
        <v>45941</v>
      </c>
    </row>
    <row r="50" spans="1:1" ht="20.100000000000001" customHeight="1" thickBot="1" x14ac:dyDescent="0.35">
      <c r="A50" s="14">
        <v>45942</v>
      </c>
    </row>
    <row r="51" spans="1:1" ht="20.100000000000001" customHeight="1" thickBot="1" x14ac:dyDescent="0.35">
      <c r="A51" s="14">
        <v>45943</v>
      </c>
    </row>
    <row r="52" spans="1:1" ht="20.100000000000001" customHeight="1" thickBot="1" x14ac:dyDescent="0.35">
      <c r="A52" s="14">
        <v>45944</v>
      </c>
    </row>
    <row r="53" spans="1:1" ht="20.100000000000001" customHeight="1" thickBot="1" x14ac:dyDescent="0.35">
      <c r="A53" s="14">
        <v>45945</v>
      </c>
    </row>
    <row r="54" spans="1:1" ht="20.100000000000001" customHeight="1" thickBot="1" x14ac:dyDescent="0.35">
      <c r="A54" s="14">
        <v>45946</v>
      </c>
    </row>
    <row r="55" spans="1:1" ht="20.100000000000001" customHeight="1" thickBot="1" x14ac:dyDescent="0.35">
      <c r="A55" s="14">
        <v>45947</v>
      </c>
    </row>
    <row r="56" spans="1:1" ht="20.100000000000001" customHeight="1" thickBot="1" x14ac:dyDescent="0.35">
      <c r="A56" s="14">
        <v>45948</v>
      </c>
    </row>
    <row r="57" spans="1:1" ht="20.100000000000001" customHeight="1" thickBot="1" x14ac:dyDescent="0.35">
      <c r="A57" s="14">
        <v>45949</v>
      </c>
    </row>
    <row r="58" spans="1:1" ht="20.100000000000001" customHeight="1" thickBot="1" x14ac:dyDescent="0.35">
      <c r="A58" s="14">
        <v>45950</v>
      </c>
    </row>
    <row r="59" spans="1:1" ht="20.100000000000001" customHeight="1" thickBot="1" x14ac:dyDescent="0.35">
      <c r="A59" s="14">
        <v>45951</v>
      </c>
    </row>
    <row r="60" spans="1:1" ht="20.100000000000001" customHeight="1" thickBot="1" x14ac:dyDescent="0.35">
      <c r="A60" s="14">
        <v>45952</v>
      </c>
    </row>
    <row r="61" spans="1:1" ht="20.100000000000001" customHeight="1" thickBot="1" x14ac:dyDescent="0.35">
      <c r="A61" s="14">
        <v>45953</v>
      </c>
    </row>
    <row r="62" spans="1:1" ht="20.100000000000001" customHeight="1" thickBot="1" x14ac:dyDescent="0.35">
      <c r="A62" s="14">
        <v>45954</v>
      </c>
    </row>
    <row r="63" spans="1:1" ht="20.100000000000001" customHeight="1" thickBot="1" x14ac:dyDescent="0.35">
      <c r="A63" s="14">
        <v>45955</v>
      </c>
    </row>
    <row r="64" spans="1:1" ht="20.100000000000001" customHeight="1" thickBot="1" x14ac:dyDescent="0.35">
      <c r="A64" s="14">
        <v>45956</v>
      </c>
    </row>
    <row r="65" spans="1:1" ht="20.100000000000001" customHeight="1" thickBot="1" x14ac:dyDescent="0.35">
      <c r="A65" s="14">
        <v>45957</v>
      </c>
    </row>
    <row r="66" spans="1:1" ht="20.100000000000001" customHeight="1" thickBot="1" x14ac:dyDescent="0.35">
      <c r="A66" s="14">
        <v>45958</v>
      </c>
    </row>
    <row r="67" spans="1:1" ht="20.100000000000001" customHeight="1" thickBot="1" x14ac:dyDescent="0.35">
      <c r="A67" s="14">
        <v>45959</v>
      </c>
    </row>
    <row r="68" spans="1:1" ht="20.100000000000001" customHeight="1" thickBot="1" x14ac:dyDescent="0.35">
      <c r="A68" s="14">
        <v>45960</v>
      </c>
    </row>
    <row r="69" spans="1:1" ht="20.100000000000001" customHeight="1" thickBot="1" x14ac:dyDescent="0.35">
      <c r="A69" s="14">
        <v>45961</v>
      </c>
    </row>
    <row r="70" spans="1:1" ht="20.100000000000001" customHeight="1" thickBot="1" x14ac:dyDescent="0.35">
      <c r="A70" s="14"/>
    </row>
    <row r="71" spans="1:1" ht="20.100000000000001" customHeight="1" thickBot="1" x14ac:dyDescent="0.35">
      <c r="A71" s="14"/>
    </row>
    <row r="72" spans="1:1" ht="20.100000000000001" customHeight="1" thickBot="1" x14ac:dyDescent="0.35">
      <c r="A72" s="14"/>
    </row>
    <row r="73" spans="1:1" ht="20.100000000000001" customHeight="1" thickBot="1" x14ac:dyDescent="0.35">
      <c r="A73" s="14"/>
    </row>
    <row r="74" spans="1:1" ht="20.100000000000001" customHeight="1" thickBot="1" x14ac:dyDescent="0.35">
      <c r="A74" s="14"/>
    </row>
    <row r="75" spans="1:1" ht="20.100000000000001" customHeight="1" thickBot="1" x14ac:dyDescent="0.35">
      <c r="A75" s="14"/>
    </row>
    <row r="76" spans="1:1" ht="20.100000000000001" customHeight="1" thickBot="1" x14ac:dyDescent="0.35">
      <c r="A76" s="14"/>
    </row>
    <row r="77" spans="1:1" ht="20.100000000000001" customHeight="1" thickBot="1" x14ac:dyDescent="0.35">
      <c r="A77" s="14"/>
    </row>
    <row r="78" spans="1:1" ht="20.100000000000001" customHeight="1" thickBot="1" x14ac:dyDescent="0.35">
      <c r="A78" s="14"/>
    </row>
    <row r="79" spans="1:1" ht="20.100000000000001" customHeight="1" thickBot="1" x14ac:dyDescent="0.35">
      <c r="A79" s="14"/>
    </row>
    <row r="80" spans="1:1" ht="20.100000000000001" customHeight="1" thickBot="1" x14ac:dyDescent="0.35">
      <c r="A80" s="14"/>
    </row>
    <row r="81" spans="1:1" ht="20.100000000000001" customHeight="1" thickBot="1" x14ac:dyDescent="0.35">
      <c r="A81" s="14"/>
    </row>
    <row r="82" spans="1:1" ht="20.100000000000001" customHeight="1" thickBot="1" x14ac:dyDescent="0.35">
      <c r="A82" s="14"/>
    </row>
    <row r="83" spans="1:1" ht="20.100000000000001" customHeight="1" thickBot="1" x14ac:dyDescent="0.35">
      <c r="A83" s="14"/>
    </row>
    <row r="84" spans="1:1" ht="20.100000000000001" customHeight="1" thickBot="1" x14ac:dyDescent="0.35">
      <c r="A84" s="14"/>
    </row>
    <row r="85" spans="1:1" ht="20.100000000000001" customHeight="1" thickBot="1" x14ac:dyDescent="0.35">
      <c r="A85" s="14"/>
    </row>
    <row r="86" spans="1:1" ht="20.100000000000001" customHeight="1" thickBot="1" x14ac:dyDescent="0.35">
      <c r="A86" s="14"/>
    </row>
    <row r="87" spans="1:1" ht="20.100000000000001" customHeight="1" thickBot="1" x14ac:dyDescent="0.35">
      <c r="A87" s="14"/>
    </row>
    <row r="88" spans="1:1" ht="20.100000000000001" customHeight="1" thickBot="1" x14ac:dyDescent="0.35">
      <c r="A88" s="14"/>
    </row>
    <row r="89" spans="1:1" ht="20.100000000000001" customHeight="1" thickBot="1" x14ac:dyDescent="0.35">
      <c r="A89" s="14"/>
    </row>
    <row r="90" spans="1:1" ht="20.100000000000001" customHeight="1" thickBot="1" x14ac:dyDescent="0.35">
      <c r="A90" s="14"/>
    </row>
    <row r="91" spans="1:1" ht="20.100000000000001" customHeight="1" thickBot="1" x14ac:dyDescent="0.35">
      <c r="A91" s="14"/>
    </row>
    <row r="92" spans="1:1" ht="20.100000000000001" customHeight="1" thickBot="1" x14ac:dyDescent="0.35">
      <c r="A92" s="14"/>
    </row>
    <row r="93" spans="1:1" ht="20.100000000000001" customHeight="1" thickBot="1" x14ac:dyDescent="0.35">
      <c r="A93" s="14"/>
    </row>
    <row r="94" spans="1:1" ht="20.100000000000001" customHeight="1" thickBot="1" x14ac:dyDescent="0.35">
      <c r="A94" s="14"/>
    </row>
    <row r="95" spans="1:1" ht="20.100000000000001" customHeight="1" thickBot="1" x14ac:dyDescent="0.35">
      <c r="A95" s="14"/>
    </row>
    <row r="96" spans="1:1" ht="20.100000000000001" customHeight="1" thickBot="1" x14ac:dyDescent="0.35">
      <c r="A96" s="14"/>
    </row>
    <row r="97" spans="1:9" ht="20.100000000000001" customHeight="1" thickBot="1" x14ac:dyDescent="0.35">
      <c r="A97" s="14"/>
    </row>
    <row r="98" spans="1:9" ht="20.100000000000001" customHeight="1" thickBot="1" x14ac:dyDescent="0.35">
      <c r="A98" s="14"/>
    </row>
    <row r="99" spans="1:9" ht="20.100000000000001" customHeight="1" thickBot="1" x14ac:dyDescent="0.35">
      <c r="A99" s="14"/>
    </row>
    <row r="100" spans="1:9" ht="20.100000000000001" customHeight="1" thickBot="1" x14ac:dyDescent="0.35">
      <c r="A100" s="14"/>
    </row>
    <row r="101" spans="1:9" ht="20.100000000000001" customHeight="1" thickBot="1" x14ac:dyDescent="0.35">
      <c r="A101" s="14"/>
    </row>
    <row r="102" spans="1:9" ht="20.100000000000001" customHeight="1" thickBot="1" x14ac:dyDescent="0.35">
      <c r="A102" s="14"/>
    </row>
    <row r="103" spans="1:9" ht="20.100000000000001" customHeight="1" thickBot="1" x14ac:dyDescent="0.35">
      <c r="A103" s="14"/>
    </row>
    <row r="104" spans="1:9" ht="20.100000000000001" customHeight="1" thickBot="1" x14ac:dyDescent="0.35">
      <c r="A104" s="14"/>
    </row>
    <row r="105" spans="1:9" ht="20.100000000000001" customHeight="1" thickBot="1" x14ac:dyDescent="0.35">
      <c r="A105" s="14"/>
    </row>
    <row r="106" spans="1:9" ht="20.100000000000001" customHeight="1" thickBot="1" x14ac:dyDescent="0.35">
      <c r="A106" s="14"/>
    </row>
    <row r="107" spans="1:9" ht="20.100000000000001" customHeight="1" x14ac:dyDescent="0.3">
      <c r="A107" s="15"/>
    </row>
    <row r="108" spans="1:9" ht="20.100000000000001" customHeight="1" x14ac:dyDescent="0.3">
      <c r="A108" s="15"/>
    </row>
    <row r="109" spans="1:9" s="18" customFormat="1" ht="20.100000000000001" customHeight="1" x14ac:dyDescent="0.3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1" t="s">
        <v>89</v>
      </c>
    </row>
    <row r="200" spans="1:1" ht="20.100000000000001" customHeight="1" x14ac:dyDescent="0.3">
      <c r="A200" s="21" t="s">
        <v>90</v>
      </c>
    </row>
    <row r="201" spans="1:1" ht="20.100000000000001" customHeight="1" x14ac:dyDescent="0.3">
      <c r="A201" s="21" t="s">
        <v>91</v>
      </c>
    </row>
    <row r="202" spans="1:1" ht="20.100000000000001" customHeight="1" x14ac:dyDescent="0.3">
      <c r="A202" s="21" t="s">
        <v>92</v>
      </c>
    </row>
    <row r="203" spans="1:1" ht="20.100000000000001" customHeight="1" x14ac:dyDescent="0.3">
      <c r="A203" s="21" t="s">
        <v>93</v>
      </c>
    </row>
    <row r="204" spans="1:1" ht="20.100000000000001" customHeight="1" x14ac:dyDescent="0.3">
      <c r="A204" s="21" t="s">
        <v>94</v>
      </c>
    </row>
    <row r="205" spans="1:1" ht="20.100000000000001" customHeight="1" x14ac:dyDescent="0.3">
      <c r="A205" s="21" t="s">
        <v>95</v>
      </c>
    </row>
    <row r="206" spans="1:1" ht="20.100000000000001" customHeight="1" x14ac:dyDescent="0.3">
      <c r="A206" s="21" t="s">
        <v>96</v>
      </c>
    </row>
    <row r="207" spans="1:1" ht="20.100000000000001" customHeight="1" x14ac:dyDescent="0.3">
      <c r="A207" s="21" t="s">
        <v>97</v>
      </c>
    </row>
    <row r="208" spans="1:1" ht="20.100000000000001" customHeight="1" x14ac:dyDescent="0.3">
      <c r="A208" s="22" t="s">
        <v>98</v>
      </c>
    </row>
    <row r="209" spans="1:1" ht="20.100000000000001" customHeight="1" x14ac:dyDescent="0.3">
      <c r="A209" s="22" t="s">
        <v>99</v>
      </c>
    </row>
    <row r="210" spans="1:1" ht="20.100000000000001" customHeight="1" x14ac:dyDescent="0.3">
      <c r="A210" s="21" t="s">
        <v>100</v>
      </c>
    </row>
    <row r="211" spans="1:1" ht="20.100000000000001" customHeight="1" x14ac:dyDescent="0.3">
      <c r="A211" s="21" t="s">
        <v>101</v>
      </c>
    </row>
    <row r="212" spans="1:1" ht="20.100000000000001" customHeight="1" x14ac:dyDescent="0.3">
      <c r="A212" s="21" t="s">
        <v>175</v>
      </c>
    </row>
    <row r="213" spans="1:1" ht="20.100000000000001" customHeight="1" x14ac:dyDescent="0.3">
      <c r="A213" s="21" t="s">
        <v>102</v>
      </c>
    </row>
    <row r="214" spans="1:1" ht="20.100000000000001" customHeight="1" x14ac:dyDescent="0.3">
      <c r="A214" s="21" t="s">
        <v>103</v>
      </c>
    </row>
    <row r="215" spans="1:1" ht="20.100000000000001" customHeight="1" x14ac:dyDescent="0.3">
      <c r="A215" s="21" t="s">
        <v>104</v>
      </c>
    </row>
    <row r="216" spans="1:1" ht="20.100000000000001" customHeight="1" x14ac:dyDescent="0.3">
      <c r="A216" s="21" t="s">
        <v>105</v>
      </c>
    </row>
    <row r="217" spans="1:1" ht="20.100000000000001" customHeight="1" x14ac:dyDescent="0.3">
      <c r="A217" s="21" t="s">
        <v>106</v>
      </c>
    </row>
    <row r="218" spans="1:1" ht="20.100000000000001" customHeight="1" x14ac:dyDescent="0.3">
      <c r="A218" s="21" t="s">
        <v>107</v>
      </c>
    </row>
    <row r="219" spans="1:1" ht="20.100000000000001" customHeight="1" x14ac:dyDescent="0.3">
      <c r="A219" s="21" t="s">
        <v>108</v>
      </c>
    </row>
    <row r="220" spans="1:1" ht="20.100000000000001" customHeight="1" x14ac:dyDescent="0.3">
      <c r="A220" s="21" t="s">
        <v>109</v>
      </c>
    </row>
    <row r="221" spans="1:1" ht="20.100000000000001" customHeight="1" x14ac:dyDescent="0.3">
      <c r="A221" s="21" t="s">
        <v>110</v>
      </c>
    </row>
    <row r="222" spans="1:1" ht="20.100000000000001" customHeight="1" x14ac:dyDescent="0.3">
      <c r="A222" s="21" t="s">
        <v>111</v>
      </c>
    </row>
    <row r="223" spans="1:1" ht="20.100000000000001" customHeight="1" x14ac:dyDescent="0.3">
      <c r="A223" s="21" t="s">
        <v>112</v>
      </c>
    </row>
    <row r="224" spans="1:1" ht="20.100000000000001" customHeight="1" x14ac:dyDescent="0.3">
      <c r="A224" s="21" t="s">
        <v>176</v>
      </c>
    </row>
    <row r="225" spans="1:1" ht="20.100000000000001" customHeight="1" x14ac:dyDescent="0.3">
      <c r="A225" s="21" t="s">
        <v>113</v>
      </c>
    </row>
    <row r="226" spans="1:1" ht="20.100000000000001" customHeight="1" x14ac:dyDescent="0.3">
      <c r="A226" s="21" t="s">
        <v>114</v>
      </c>
    </row>
    <row r="227" spans="1:1" ht="20.100000000000001" customHeight="1" x14ac:dyDescent="0.3">
      <c r="A227" s="21" t="s">
        <v>115</v>
      </c>
    </row>
    <row r="228" spans="1:1" ht="20.100000000000001" customHeight="1" x14ac:dyDescent="0.3">
      <c r="A228" s="21" t="s">
        <v>116</v>
      </c>
    </row>
    <row r="229" spans="1:1" ht="20.100000000000001" customHeight="1" x14ac:dyDescent="0.3">
      <c r="A229" s="21" t="s">
        <v>117</v>
      </c>
    </row>
    <row r="230" spans="1:1" ht="20.100000000000001" customHeight="1" x14ac:dyDescent="0.3">
      <c r="A230" s="21" t="s">
        <v>118</v>
      </c>
    </row>
    <row r="231" spans="1:1" ht="20.100000000000001" customHeight="1" x14ac:dyDescent="0.3">
      <c r="A231" s="21" t="s">
        <v>119</v>
      </c>
    </row>
    <row r="232" spans="1:1" ht="20.100000000000001" customHeight="1" x14ac:dyDescent="0.3">
      <c r="A232" s="21" t="s">
        <v>120</v>
      </c>
    </row>
    <row r="233" spans="1:1" ht="20.100000000000001" customHeight="1" x14ac:dyDescent="0.3">
      <c r="A233" s="21" t="s">
        <v>121</v>
      </c>
    </row>
    <row r="234" spans="1:1" ht="20.100000000000001" customHeight="1" x14ac:dyDescent="0.3">
      <c r="A234" s="21" t="s">
        <v>122</v>
      </c>
    </row>
    <row r="235" spans="1:1" ht="20.100000000000001" customHeight="1" x14ac:dyDescent="0.3">
      <c r="A235" s="21" t="s">
        <v>123</v>
      </c>
    </row>
    <row r="236" spans="1:1" ht="20.100000000000001" customHeight="1" x14ac:dyDescent="0.3">
      <c r="A236" s="23" t="s">
        <v>124</v>
      </c>
    </row>
    <row r="237" spans="1:1" ht="20.100000000000001" customHeight="1" x14ac:dyDescent="0.3">
      <c r="A237" s="21" t="s">
        <v>125</v>
      </c>
    </row>
    <row r="238" spans="1:1" ht="20.100000000000001" customHeight="1" x14ac:dyDescent="0.3">
      <c r="A238" s="21" t="s">
        <v>126</v>
      </c>
    </row>
    <row r="239" spans="1:1" ht="20.100000000000001" customHeight="1" x14ac:dyDescent="0.3">
      <c r="A239" s="21" t="s">
        <v>127</v>
      </c>
    </row>
    <row r="240" spans="1:1" ht="20.100000000000001" customHeight="1" x14ac:dyDescent="0.3">
      <c r="A240" s="21" t="s">
        <v>128</v>
      </c>
    </row>
    <row r="241" spans="1:1" ht="20.100000000000001" customHeight="1" x14ac:dyDescent="0.3">
      <c r="A241" s="21" t="s">
        <v>129</v>
      </c>
    </row>
    <row r="242" spans="1:1" ht="20.100000000000001" customHeight="1" x14ac:dyDescent="0.3">
      <c r="A242" s="21" t="s">
        <v>130</v>
      </c>
    </row>
    <row r="243" spans="1:1" ht="20.100000000000001" customHeight="1" x14ac:dyDescent="0.3">
      <c r="A243" s="21" t="s">
        <v>131</v>
      </c>
    </row>
    <row r="244" spans="1:1" ht="20.100000000000001" customHeight="1" x14ac:dyDescent="0.3">
      <c r="A244" s="21" t="s">
        <v>132</v>
      </c>
    </row>
    <row r="245" spans="1:1" ht="20.100000000000001" customHeight="1" x14ac:dyDescent="0.3">
      <c r="A245" s="21" t="s">
        <v>133</v>
      </c>
    </row>
    <row r="246" spans="1:1" ht="20.100000000000001" customHeight="1" x14ac:dyDescent="0.3">
      <c r="A246" s="21" t="s">
        <v>134</v>
      </c>
    </row>
    <row r="247" spans="1:1" ht="20.100000000000001" customHeight="1" x14ac:dyDescent="0.3">
      <c r="A247" s="21" t="s">
        <v>135</v>
      </c>
    </row>
    <row r="248" spans="1:1" ht="20.100000000000001" customHeight="1" x14ac:dyDescent="0.3">
      <c r="A248" s="21" t="s">
        <v>126</v>
      </c>
    </row>
    <row r="249" spans="1:1" ht="20.100000000000001" customHeight="1" x14ac:dyDescent="0.3">
      <c r="A249" s="21" t="s">
        <v>136</v>
      </c>
    </row>
    <row r="250" spans="1:1" ht="20.100000000000001" customHeight="1" x14ac:dyDescent="0.3">
      <c r="A250" s="21" t="s">
        <v>137</v>
      </c>
    </row>
    <row r="251" spans="1:1" ht="20.100000000000001" customHeight="1" x14ac:dyDescent="0.3">
      <c r="A251" s="23" t="s">
        <v>138</v>
      </c>
    </row>
    <row r="252" spans="1:1" ht="20.100000000000001" customHeight="1" x14ac:dyDescent="0.3">
      <c r="A252" s="24" t="s">
        <v>139</v>
      </c>
    </row>
    <row r="253" spans="1:1" ht="20.100000000000001" customHeight="1" x14ac:dyDescent="0.3">
      <c r="A253" s="21" t="s">
        <v>140</v>
      </c>
    </row>
    <row r="254" spans="1:1" ht="20.100000000000001" customHeight="1" x14ac:dyDescent="0.3">
      <c r="A254" s="21" t="s">
        <v>141</v>
      </c>
    </row>
    <row r="255" spans="1:1" ht="20.100000000000001" customHeight="1" x14ac:dyDescent="0.3">
      <c r="A255" s="25" t="s">
        <v>142</v>
      </c>
    </row>
    <row r="256" spans="1:1" ht="20.100000000000001" customHeight="1" x14ac:dyDescent="0.3">
      <c r="A256" s="25" t="s">
        <v>143</v>
      </c>
    </row>
    <row r="257" spans="1:1" ht="20.100000000000001" customHeight="1" x14ac:dyDescent="0.3">
      <c r="A257" s="26" t="s">
        <v>144</v>
      </c>
    </row>
    <row r="258" spans="1:1" ht="20.100000000000001" customHeight="1" x14ac:dyDescent="0.3">
      <c r="A258" s="21" t="s">
        <v>145</v>
      </c>
    </row>
    <row r="259" spans="1:1" ht="20.100000000000001" customHeight="1" x14ac:dyDescent="0.3">
      <c r="A259" s="26" t="s">
        <v>146</v>
      </c>
    </row>
    <row r="260" spans="1:1" ht="20.100000000000001" customHeight="1" x14ac:dyDescent="0.3">
      <c r="A260" s="21" t="s">
        <v>147</v>
      </c>
    </row>
    <row r="261" spans="1:1" ht="20.100000000000001" customHeight="1" x14ac:dyDescent="0.3">
      <c r="A261" s="26" t="s">
        <v>148</v>
      </c>
    </row>
    <row r="262" spans="1:1" ht="20.100000000000001" customHeight="1" x14ac:dyDescent="0.3">
      <c r="A262" s="21" t="s">
        <v>149</v>
      </c>
    </row>
    <row r="263" spans="1:1" ht="20.100000000000001" customHeight="1" x14ac:dyDescent="0.3">
      <c r="A263" s="21" t="s">
        <v>150</v>
      </c>
    </row>
    <row r="264" spans="1:1" ht="20.100000000000001" customHeight="1" x14ac:dyDescent="0.3">
      <c r="A264" s="26" t="s">
        <v>151</v>
      </c>
    </row>
    <row r="265" spans="1:1" ht="20.100000000000001" customHeight="1" x14ac:dyDescent="0.3">
      <c r="A265" s="26" t="s">
        <v>152</v>
      </c>
    </row>
    <row r="266" spans="1:1" ht="20.100000000000001" customHeight="1" x14ac:dyDescent="0.3">
      <c r="A266" s="26" t="s">
        <v>153</v>
      </c>
    </row>
    <row r="267" spans="1:1" ht="20.100000000000001" customHeight="1" x14ac:dyDescent="0.3">
      <c r="A267" s="21" t="s">
        <v>154</v>
      </c>
    </row>
    <row r="268" spans="1:1" ht="20.100000000000001" customHeight="1" x14ac:dyDescent="0.3">
      <c r="A268" s="21" t="s">
        <v>155</v>
      </c>
    </row>
    <row r="269" spans="1:1" ht="20.100000000000001" customHeight="1" x14ac:dyDescent="0.3">
      <c r="A269" s="21" t="s">
        <v>156</v>
      </c>
    </row>
    <row r="270" spans="1:1" ht="20.100000000000001" customHeight="1" x14ac:dyDescent="0.3">
      <c r="A270" s="21" t="s">
        <v>157</v>
      </c>
    </row>
    <row r="271" spans="1:1" ht="20.100000000000001" customHeight="1" x14ac:dyDescent="0.3">
      <c r="A271" s="26" t="s">
        <v>158</v>
      </c>
    </row>
    <row r="272" spans="1:1" ht="20.100000000000001" customHeight="1" x14ac:dyDescent="0.3">
      <c r="A272" s="26" t="s">
        <v>159</v>
      </c>
    </row>
    <row r="273" spans="1:1" ht="20.100000000000001" customHeight="1" x14ac:dyDescent="0.3">
      <c r="A273" s="21" t="s">
        <v>160</v>
      </c>
    </row>
    <row r="274" spans="1:1" ht="20.100000000000001" customHeight="1" x14ac:dyDescent="0.3">
      <c r="A274" s="26" t="s">
        <v>161</v>
      </c>
    </row>
    <row r="275" spans="1:1" ht="20.100000000000001" customHeight="1" x14ac:dyDescent="0.3">
      <c r="A275" s="26" t="s">
        <v>162</v>
      </c>
    </row>
    <row r="276" spans="1:1" ht="20.100000000000001" customHeight="1" x14ac:dyDescent="0.3">
      <c r="A276" s="21" t="s">
        <v>163</v>
      </c>
    </row>
    <row r="277" spans="1:1" ht="20.100000000000001" customHeight="1" x14ac:dyDescent="0.3">
      <c r="A277" s="21" t="s">
        <v>164</v>
      </c>
    </row>
    <row r="278" spans="1:1" ht="20.100000000000001" customHeight="1" x14ac:dyDescent="0.3">
      <c r="A278" s="26" t="s">
        <v>165</v>
      </c>
    </row>
    <row r="279" spans="1:1" ht="20.100000000000001" customHeight="1" x14ac:dyDescent="0.3">
      <c r="A279" s="21" t="s">
        <v>166</v>
      </c>
    </row>
    <row r="280" spans="1:1" ht="20.100000000000001" customHeight="1" x14ac:dyDescent="0.3">
      <c r="A280" s="21" t="s">
        <v>167</v>
      </c>
    </row>
    <row r="281" spans="1:1" ht="20.100000000000001" customHeight="1" x14ac:dyDescent="0.3">
      <c r="A281" s="21" t="s">
        <v>168</v>
      </c>
    </row>
    <row r="282" spans="1:1" ht="20.100000000000001" customHeight="1" x14ac:dyDescent="0.3">
      <c r="A282" s="21" t="s">
        <v>169</v>
      </c>
    </row>
    <row r="283" spans="1:1" ht="20.100000000000001" customHeight="1" x14ac:dyDescent="0.3">
      <c r="A283" s="26" t="s">
        <v>170</v>
      </c>
    </row>
    <row r="284" spans="1:1" ht="20.100000000000001" customHeight="1" x14ac:dyDescent="0.3">
      <c r="A284" s="26" t="s">
        <v>171</v>
      </c>
    </row>
    <row r="285" spans="1:1" ht="20.100000000000001" customHeight="1" x14ac:dyDescent="0.3">
      <c r="A285" s="26" t="s">
        <v>172</v>
      </c>
    </row>
    <row r="286" spans="1:1" ht="20.100000000000001" customHeight="1" thickBot="1" x14ac:dyDescent="0.35">
      <c r="A286" s="21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2025-10-15T17:43:45Z</dcterms:modified>
</cp:coreProperties>
</file>