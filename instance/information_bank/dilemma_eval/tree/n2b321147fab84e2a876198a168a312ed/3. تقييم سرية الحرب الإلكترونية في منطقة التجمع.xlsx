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F20D1BA-0C35-7F49-9F8C-88C96BDD69F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8" i="2"/>
  <c r="H8" i="2"/>
  <c r="F22" i="2"/>
  <c r="E22" i="2"/>
  <c r="E23" i="2"/>
  <c r="E24" i="2"/>
</calcChain>
</file>

<file path=xl/sharedStrings.xml><?xml version="1.0" encoding="utf-8"?>
<sst xmlns="http://schemas.openxmlformats.org/spreadsheetml/2006/main" count="252" uniqueCount="196">
  <si>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</si>
  <si>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</si>
  <si>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</si>
  <si>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</si>
  <si>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</si>
  <si>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</si>
  <si>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</si>
  <si>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</si>
  <si>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</si>
  <si>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</si>
  <si>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</si>
  <si>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</si>
  <si>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</si>
  <si>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</si>
  <si>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</si>
  <si>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</si>
  <si>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</si>
  <si>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</si>
  <si>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</si>
  <si>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</si>
  <si>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</si>
  <si>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</si>
  <si>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</si>
  <si>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</si>
  <si>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</si>
  <si>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</si>
  <si>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</si>
  <si>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</si>
  <si>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</si>
  <si>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</si>
  <si>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</si>
  <si>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</si>
  <si>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</si>
  <si>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</si>
  <si>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</si>
  <si>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</si>
  <si>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</si>
  <si>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</si>
  <si>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</si>
  <si>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</si>
  <si>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</si>
  <si>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</si>
  <si>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</si>
  <si>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</si>
  <si>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</si>
  <si>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</si>
  <si>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</si>
  <si>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</si>
  <si>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</si>
  <si>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</si>
  <si>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</si>
  <si>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</si>
  <si>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</si>
  <si>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</si>
  <si>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</si>
  <si>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</si>
  <si>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</si>
  <si>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</si>
  <si>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</si>
  <si>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</si>
  <si>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</si>
  <si>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</si>
  <si>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</si>
  <si>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</si>
  <si>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</si>
  <si>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</si>
  <si>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</si>
  <si>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</si>
  <si>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</si>
  <si>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</si>
  <si>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</si>
  <si>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</si>
  <si>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</si>
  <si>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</si>
  <si>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</si>
  <si>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</si>
  <si>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</si>
  <si>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</si>
  <si>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</si>
  <si>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</si>
  <si>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</si>
  <si>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</si>
  <si>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</si>
  <si>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</si>
  <si>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</si>
  <si>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</si>
  <si>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</si>
  <si>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</si>
  <si>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</si>
  <si>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</si>
  <si>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</si>
  <si>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</si>
  <si>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</si>
  <si>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</si>
  <si>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</si>
  <si>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</si>
  <si>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</si>
  <si>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</si>
  <si>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</si>
  <si>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</si>
  <si>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</si>
  <si>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</si>
  <si>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</si>
  <si>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</si>
  <si>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</si>
  <si>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</si>
  <si>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</si>
  <si>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</si>
  <si>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</si>
  <si>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</si>
  <si>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</si>
  <si>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</si>
  <si>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</si>
  <si>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</si>
  <si>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</si>
  <si>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</si>
  <si>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</si>
  <si>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</si>
  <si>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</si>
  <si>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</si>
  <si>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</si>
  <si>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</si>
  <si>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</si>
  <si>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</si>
  <si>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</si>
  <si>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</si>
  <si>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</si>
  <si>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</si>
  <si>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</si>
  <si>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</si>
  <si>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</si>
  <si>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</si>
  <si>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</si>
  <si>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</si>
  <si>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</si>
  <si>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</si>
  <si>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</si>
  <si>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</si>
  <si>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</si>
  <si>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</si>
  <si>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</si>
  <si>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</si>
  <si>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</si>
  <si>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</si>
  <si>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</si>
  <si>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</si>
  <si>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</si>
  <si>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</si>
  <si>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</si>
  <si>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</si>
  <si>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</si>
  <si>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</si>
  <si>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</si>
  <si>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</si>
  <si>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</si>
  <si>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</si>
  <si>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</si>
  <si>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</si>
  <si>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</si>
  <si>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</si>
  <si>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</si>
  <si>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</si>
  <si>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</si>
  <si>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</si>
  <si>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</si>
  <si>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</si>
  <si>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</si>
  <si>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</si>
  <si>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</si>
  <si>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</si>
  <si>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</si>
  <si>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</si>
  <si>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</si>
  <si>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</si>
  <si>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</si>
  <si>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</si>
  <si>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</si>
  <si>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</si>
  <si>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</si>
  <si>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</si>
  <si>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الحرب الإلكترونية في منطقة التجمع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</si>
  <si>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التنسيق مع الادلاء لتحديد موقع السرية في منطقة التجمع.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</si>
  <si>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تأكد نائب قائد السرية من صلاحية الموقع لنصب الآليات.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</si>
  <si>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تشكيل دفاع دائري السليم للمحطات وتوزيع أقواس الرمي.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</si>
  <si>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القيام بإجراءات الحماية الذاتية للمحطات.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</si>
  <si>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التأكد من تحقيق الاتصال مع محطة القيادة والسيطرة والمحطات الأخرى. 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</si>
  <si>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تحقيق اتصال بين قائد السرية ونائب قائد السرية وقادة الفصائل كما يقوم بتأكد من تحقيق اتصال بين قادة الفصائل والأطقم.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</si>
  <si>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تشغيل النظام في المحطة والتأكد من صلاحية النظام.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</si>
  <si>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تنفيذ أعمال الصيانة للأليات وللنظام والأجهزة.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</si>
  <si>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ربط محطة القيادة والسيطرة مع المحطات الفرعية.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</si>
  <si>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تحقيق الاتصال بين قيادة السرية وقيادة مجموعة اللواء. 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</si>
  <si>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وضبط إعدادات النظام والبدء بعملية الاستطلاع الإلكتروني.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</si>
  <si>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متابعة سير الأعمال لطاقم المحطات.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</si>
  <si>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جداول مناوبات.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</si>
  <si>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ركن العمليات في مجموعة اللواء والعمل على خطة الاستطلاع من الأرض وتنفيذها.</t>
    </r>
  </si>
  <si>
    <t>نقيب مهندس سلطان سعيد النيادي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</si>
</sst>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81095</xdr:colOff>
      <xdr:row>25</xdr:row>
      <xdr:rowOff>87797</xdr:rowOff>
    </xdr:from>
    <xdr:to>
      <xdr:col>8</xdr:col>
      <xdr:colOff>496164</xdr:colOff>
      <xdr:row>26</xdr:row>
      <xdr:rowOff>37412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8F9E6C1-2ED1-891A-A668-1CFF6118A5A9}"/>
                </a:ext>
              </a:extLst>
            </xdr14:cNvPr>
            <xdr14:cNvContentPartPr/>
          </xdr14:nvContentPartPr>
          <xdr14:nvPr macro=""/>
          <xdr14:xfrm>
            <a:off x="10398748745" y="10721160"/>
            <a:ext cx="1073160" cy="596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8F9E6C1-2ED1-891A-A668-1CFF6118A5A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42625" y="10715040"/>
              <a:ext cx="1085400" cy="60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616065</xdr:colOff>
      <xdr:row>25</xdr:row>
      <xdr:rowOff>387317</xdr:rowOff>
    </xdr:from>
    <xdr:to>
      <xdr:col>7</xdr:col>
      <xdr:colOff>815</xdr:colOff>
      <xdr:row>25</xdr:row>
      <xdr:rowOff>400637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46445A0-71FB-F3B5-D6B5-C089A665D3D7}"/>
                </a:ext>
              </a:extLst>
            </xdr14:cNvPr>
            <xdr14:cNvContentPartPr/>
          </xdr14:nvContentPartPr>
          <xdr14:nvPr macro=""/>
          <xdr14:xfrm>
            <a:off x="10399902185" y="11020680"/>
            <a:ext cx="42840" cy="133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46445A0-71FB-F3B5-D6B5-C089A665D3D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96065" y="11014560"/>
              <a:ext cx="55080" cy="25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24:38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2363 845 5809,'0'0'0,"-3"-35"608,-1-9-120,4 44-488,-5-53 224,5 12-184,0 5-32,0 4-40,0 32 32,2-33-8,8-1 96,-5 1-64,7-1 8,-12 34-32,2-35 40,10-2-8,-9 0-8,-1-2-40,-2 39 16,5-37 16,0 3-32,-3 1 24,3 2-8,-5 31 0,5-31-8,-3 1-8,3 4-32,0 2 64,-5 24-16,4-17-24,6 3 40,-10 1 0,5 8-72,-5 5 56,5-13-16,7 9-40,-10-1-32,10 2 48,-12 3 40,3-1-112,16 1-64,-7 0 0,2 0-128,-14 0 304,17 4-208,2 9 56,3-9 48,2 12 64,-24-16 40,26 4-64,-1 13 16,8-5 0,-4-1 8,-29-11 40,29 4-24,0 12 0,0-12 0,-3 12 0,-26-16 24,27 4-16,-3 7 8,0-8 40,-7 2-8,-17-5-24,21 12 64,-9-9-32,-9 10 24,11-9-16,-14-4-40,0 13 48,0-9 0,0 12-16,-5-5-8,5-11-24,-19 15 16,0 0 16,-8 5-8,-6 3 48,33-23-72,-46 28 16,-2 4 24,-10 3 0,-7 2-16,65-37-24,-70 40 56,-9 2-24,-8 3 16,-6 1 16,93-46-64,-99 50 40,-7 1-16,-4 1-40,4-4-16,106-48 32,-104 47-40,-2-3 8,8-2 40,-6 0 0,104-42-8,-108 40 16,7-1 16,-5 1-24,-2 4-32,108-44 24,-99 46-48,-2 3-8,3 0 0,11 1 56,87-50 0,-89 45-48,5-4 8,5-1 32,-1-3 8,80-37 0,-69 34 16,4-1-32,12-6-16,0-4 16,53-23 16,-41 18-32,12-4 32,3-9 8,11-1-48,15-4 40,-2 3 48,-3-3-8,5 0-48,5 0-88,-5 0 96,12-6-208,9-11-32,6 0 8,4-5 88,-31 22 144,39-27-88,1-2 96,6-3-8,7-2 40,-53 34-40,55-34 80,1-1 0,1-1 56,-4-2-32,-53 38-104,53-39 56,0-2-24,0 0-16,-5 2-16,-48 39 0,53-36 8,-7 0-16,0 2-24,-6 1 40,-40 33-8,37-30 32,-4 3 8,-4 3 0,-5 3-24,-24 21-16,19-17-8,-9 3 0,-5 9 48,-3 1-16,-2 4-24,0-1 32,-2 1 80,-3 2-112,-7 3-16,12-5 16,-12 11-72,-3-7-128,-6 15 88,4-2 8,17-17 104,-22 21-120,1 2 64,4 1-32,-2 0 32,19-24 56,-20 24-8,4-2 0,-1-4 32,0-2-40,17-16 16,-10 11 32,5-6-24,-11 9-16,13-14 40,3 0-32,-5 4 0,1-1 0,1-3 40,1 0-24,2 0-16,0 0 16,0 0-8,5-2 24,-3 0 72,-2 2-104,12-12 112,-10 7-32,10-13-56,0 4-16,-12 14-8,12-17 56,1 2 8,-1-5 56,-8 1-72,-4 19-48,20-18-48,-8-2 48,-10 1-88,10-1 80,-12 20 8,5-17-16,7 0-32,-7 4 104,7 1-40,-12 12-16,2-6 32,10-5-8,-5 8 8,8-1 0,-15 4-32,12-2 32,0 1 24,0 1-48,0 4-40,-12-4 32,10 11-72,2-6-16,0 10-72,-3-1 8,-9-14 152,5 15-96,12-1-112,-5 0 0,-3 0 8,-9-14 200,15 15-193,-5-4 129,2 0 16,0 1 32,-12-12 16,4 11-40,8-7-8,-7 9-16,-2-13 0,-3 0 64,4 3-48,-1 0 24,2-3 24,-5 0 40,0 0-40,0 0 32,0 0 8,0 0-32,0-2-8,0 2 0,0-5 0,0-10-8,0 4 24,-3-3-24,3 14 8,-2-14-8,-3-3 8,0-2-16,0-1 32,5 20-16,-4-21 32,-1 0 40,-7-1 8,9 2 0,3 20-80,-7-18 128,-5 4-7,10 1 15,-3 9 8,5 4-144,-5-5 80,5 1 24,-2 3-16,2 1-24,0 0-64,0 2-8,2 13-112,15 0-48,-5 4-16,-12-19 184,5 24-96,14 3 16,-7 1 71,5 1 18,-17-29-9,17 25-17,0 0-7,4-3-32,-2-3-8,-19-19 64,22 15-72,-3-3 24,1-9-8,-1-1 0,-19-2 56,19 0-40,0 0 0,-7-1 8,3-5 8,-15 6 24,12-14 0,0 1 16,-10-2 8,5-2 16,-7 17-40,12-20 32,-9 0-8,2-1 32,0 1 8,-5 20-64,0-20 72,0 4 56,0 3 9,-3 8-9,3 5-128,-2-6 128,2 2-8,-3 2-24,1 2-32,2 0-64,0 0 64,0 0-48,12 5-16,0 10 24,-12-15-24,12 13 0,2 3-24,8 3-40,0 6-40,-22-25 104,24 27-136,2 5 40,3 1-64,2 4-137,-31-37 297,36 38-744,0 4 40,10-4-1264,-46-38 1968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24:38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33 3032,'0'0'0,"0"-17"272,5 6-96,-5 11-176,19-4 64,12 4-136,5 4-32,-9 27-1592,-27-31 1696,0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C1" zoomScale="130" zoomScaleNormal="100" zoomScaleSheetLayoutView="130" workbookViewId="0">
      <selection activeCell="D4" sqref="D4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>
      <c r="B2" s="12" t="s">
        <v>8</v>
      </c>
      <c r="C2" s="65" t="s">
        <v>14</v>
      </c>
      <c r="D2" s="65"/>
      <c r="E2" s="12" t="s">
        <v>7</v>
      </c>
      <c r="F2" s="60">
        <v>45952</v>
      </c>
      <c r="G2" s="60"/>
      <c r="H2" s="60"/>
      <c r="I2" s="60"/>
      <c r="J2" s="60"/>
    </row>
    <row r="3" spans="1:10" ht="30" customHeight="1">
      <c r="B3" s="12" t="s">
        <v>9</v>
      </c>
      <c r="C3" s="65" t="s">
        <v>60</v>
      </c>
      <c r="D3" s="65"/>
      <c r="E3" s="12" t="s">
        <v>6</v>
      </c>
      <c r="F3" s="65" t="s">
        <v>123</v>
      </c>
      <c r="G3" s="65"/>
      <c r="H3" s="65"/>
      <c r="I3" s="65"/>
      <c r="J3" s="65"/>
    </row>
    <row r="4" spans="1:10" ht="30" customHeight="1" thickBot="1">
      <c r="B4" s="6"/>
      <c r="C4" s="7"/>
      <c r="D4" s="7" t="s">
        <v>195</v>
      </c>
      <c r="E4" s="6"/>
      <c r="F4" s="7"/>
      <c r="G4" s="7"/>
      <c r="H4" s="8"/>
      <c r="I4" s="7"/>
      <c r="J4" s="7"/>
    </row>
    <row r="5" spans="1:10" ht="24.95" customHeight="1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5" customHeight="1" thickBot="1">
      <c r="A6" s="10"/>
      <c r="B6" s="63"/>
      <c r="C6" s="64"/>
      <c r="D6" s="64"/>
      <c r="E6" s="11" t="s">
        <v>3</v>
      </c>
      <c r="F6" s="11" t="s">
        <v>4</v>
      </c>
      <c r="G6" s="11" t="s">
        <v>23</v>
      </c>
      <c r="H6" s="11" t="s">
        <v>24</v>
      </c>
      <c r="I6" s="51"/>
      <c r="J6" s="52"/>
    </row>
    <row r="7" spans="1:10" ht="24.95" customHeight="1" thickBot="1">
      <c r="A7" s="10"/>
      <c r="B7" s="47" t="s">
        <v>21</v>
      </c>
      <c r="C7" s="48"/>
      <c r="D7" s="48"/>
      <c r="E7" s="28" t="s">
        <v>18</v>
      </c>
      <c r="F7" s="28" t="s">
        <v>19</v>
      </c>
      <c r="G7" s="28" t="s">
        <v>22</v>
      </c>
      <c r="H7" s="28" t="s">
        <v>20</v>
      </c>
      <c r="I7" s="53" t="s">
        <v>25</v>
      </c>
      <c r="J7" s="54"/>
    </row>
    <row r="8" spans="1:10" ht="30" customHeight="1">
      <c r="A8" s="10"/>
      <c r="B8" s="57" t="s">
        <v>181</v>
      </c>
      <c r="C8" s="58"/>
      <c r="D8" s="58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5"/>
      <c r="J8" s="56"/>
    </row>
    <row r="9" spans="1:10" ht="30" customHeight="1">
      <c r="A9" s="10"/>
      <c r="B9" s="39" t="s">
        <v>182</v>
      </c>
      <c r="C9" s="40"/>
      <c r="D9" s="40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9.950000000000003" customHeight="1">
      <c r="A10" s="10"/>
      <c r="B10" s="39" t="s">
        <v>183</v>
      </c>
      <c r="C10" s="40"/>
      <c r="D10" s="40"/>
      <c r="E10" s="9">
        <v>5</v>
      </c>
      <c r="F10" s="26">
        <v>4</v>
      </c>
      <c r="G10" s="30">
        <f t="shared" ref="G10:G21" si="0">IFERROR(F10/E10,"")</f>
        <v>0.8</v>
      </c>
      <c r="H10" s="31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1"/>
      <c r="J10" s="42"/>
    </row>
    <row r="11" spans="1:10" ht="30" customHeight="1">
      <c r="A11" s="10"/>
      <c r="B11" s="39" t="s">
        <v>184</v>
      </c>
      <c r="C11" s="40"/>
      <c r="D11" s="40"/>
      <c r="E11" s="9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41"/>
      <c r="J11" s="42"/>
    </row>
    <row r="12" spans="1:10" ht="39.950000000000003" customHeight="1">
      <c r="A12" s="10"/>
      <c r="B12" s="39" t="s">
        <v>185</v>
      </c>
      <c r="C12" s="40"/>
      <c r="D12" s="40"/>
      <c r="E12" s="9">
        <v>5</v>
      </c>
      <c r="F12" s="26">
        <v>4</v>
      </c>
      <c r="G12" s="30">
        <f t="shared" si="0"/>
        <v>0.8</v>
      </c>
      <c r="H12" s="31" t="str">
        <f t="shared" si="1"/>
        <v>جيد جداً</v>
      </c>
      <c r="I12" s="41"/>
      <c r="J12" s="42"/>
    </row>
    <row r="13" spans="1:10" ht="55.5" customHeight="1">
      <c r="A13" s="10"/>
      <c r="B13" s="39" t="s">
        <v>186</v>
      </c>
      <c r="C13" s="40"/>
      <c r="D13" s="40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1"/>
      <c r="J13" s="42"/>
    </row>
    <row r="14" spans="1:10" ht="30" customHeight="1">
      <c r="A14" s="10"/>
      <c r="B14" s="39" t="s">
        <v>187</v>
      </c>
      <c r="C14" s="40"/>
      <c r="D14" s="40"/>
      <c r="E14" s="9">
        <v>5</v>
      </c>
      <c r="F14" s="26">
        <v>4</v>
      </c>
      <c r="G14" s="30">
        <f t="shared" si="0"/>
        <v>0.8</v>
      </c>
      <c r="H14" s="31" t="str">
        <f t="shared" si="1"/>
        <v>جيد جداً</v>
      </c>
      <c r="I14" s="41"/>
      <c r="J14" s="42"/>
    </row>
    <row r="15" spans="1:10" ht="30" customHeight="1">
      <c r="A15" s="10"/>
      <c r="B15" s="39" t="s">
        <v>188</v>
      </c>
      <c r="C15" s="40"/>
      <c r="D15" s="40"/>
      <c r="E15" s="9">
        <v>5</v>
      </c>
      <c r="F15" s="26">
        <v>4</v>
      </c>
      <c r="G15" s="30">
        <f t="shared" si="0"/>
        <v>0.8</v>
      </c>
      <c r="H15" s="31" t="str">
        <f t="shared" si="1"/>
        <v>جيد جداً</v>
      </c>
      <c r="I15" s="41"/>
      <c r="J15" s="42"/>
    </row>
    <row r="16" spans="1:10" ht="39.950000000000003" customHeight="1">
      <c r="A16" s="10"/>
      <c r="B16" s="39" t="s">
        <v>189</v>
      </c>
      <c r="C16" s="40"/>
      <c r="D16" s="40"/>
      <c r="E16" s="9">
        <v>5</v>
      </c>
      <c r="F16" s="26">
        <v>4</v>
      </c>
      <c r="G16" s="30">
        <f t="shared" si="0"/>
        <v>0.8</v>
      </c>
      <c r="H16" s="31" t="str">
        <f t="shared" si="1"/>
        <v>جيد جداً</v>
      </c>
      <c r="I16" s="41"/>
      <c r="J16" s="42"/>
    </row>
    <row r="17" spans="1:10" ht="30" customHeight="1">
      <c r="A17" s="10"/>
      <c r="B17" s="39" t="s">
        <v>190</v>
      </c>
      <c r="C17" s="40"/>
      <c r="D17" s="40"/>
      <c r="E17" s="9">
        <v>5</v>
      </c>
      <c r="F17" s="26">
        <v>4</v>
      </c>
      <c r="G17" s="30">
        <f t="shared" si="0"/>
        <v>0.8</v>
      </c>
      <c r="H17" s="31" t="str">
        <f t="shared" si="1"/>
        <v>جيد جداً</v>
      </c>
      <c r="I17" s="41"/>
      <c r="J17" s="42"/>
    </row>
    <row r="18" spans="1:10" ht="39.950000000000003" customHeight="1">
      <c r="A18" s="10"/>
      <c r="B18" s="39" t="s">
        <v>191</v>
      </c>
      <c r="C18" s="40"/>
      <c r="D18" s="40"/>
      <c r="E18" s="9">
        <v>5</v>
      </c>
      <c r="F18" s="26">
        <v>4</v>
      </c>
      <c r="G18" s="30">
        <f t="shared" si="0"/>
        <v>0.8</v>
      </c>
      <c r="H18" s="31" t="str">
        <f t="shared" si="1"/>
        <v>جيد جداً</v>
      </c>
      <c r="I18" s="41"/>
      <c r="J18" s="42"/>
    </row>
    <row r="19" spans="1:10" ht="30" customHeight="1">
      <c r="A19" s="10"/>
      <c r="B19" s="39" t="s">
        <v>192</v>
      </c>
      <c r="C19" s="40"/>
      <c r="D19" s="40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1"/>
      <c r="J19" s="42"/>
    </row>
    <row r="20" spans="1:10" ht="30" customHeight="1">
      <c r="A20" s="10"/>
      <c r="B20" s="39" t="s">
        <v>193</v>
      </c>
      <c r="C20" s="40"/>
      <c r="D20" s="40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1"/>
      <c r="J20" s="42"/>
    </row>
    <row r="21" spans="1:10" ht="39.950000000000003" customHeight="1" thickBot="1">
      <c r="A21" s="10"/>
      <c r="B21" s="45" t="s">
        <v>194</v>
      </c>
      <c r="C21" s="46"/>
      <c r="D21" s="46"/>
      <c r="E21" s="36">
        <v>5</v>
      </c>
      <c r="F21" s="27">
        <v>3.75</v>
      </c>
      <c r="G21" s="37">
        <f t="shared" si="0"/>
        <v>0.75</v>
      </c>
      <c r="H21" s="38" t="str">
        <f t="shared" si="1"/>
        <v>جيد</v>
      </c>
      <c r="I21" s="43"/>
      <c r="J21" s="44"/>
    </row>
    <row r="22" spans="1:10" ht="30" customHeight="1" thickBot="1">
      <c r="A22" s="4"/>
      <c r="B22" s="79" t="s">
        <v>5</v>
      </c>
      <c r="C22" s="80"/>
      <c r="D22" s="80"/>
      <c r="E22" s="29">
        <f>SUM(E8:E21)</f>
        <v>70</v>
      </c>
      <c r="F22" s="29">
        <f>SUM(F8:F21)</f>
        <v>53.75</v>
      </c>
      <c r="G22" s="68"/>
      <c r="H22" s="69"/>
      <c r="I22" s="69"/>
      <c r="J22" s="70"/>
    </row>
    <row r="23" spans="1:10" ht="30" customHeight="1" thickBot="1">
      <c r="A23" s="4"/>
      <c r="B23" s="81" t="s">
        <v>54</v>
      </c>
      <c r="C23" s="82"/>
      <c r="D23" s="82"/>
      <c r="E23" s="77">
        <f>F22/E22/100*100</f>
        <v>0.7678571428571429</v>
      </c>
      <c r="F23" s="77"/>
      <c r="G23" s="77"/>
      <c r="H23" s="77"/>
      <c r="I23" s="77"/>
      <c r="J23" s="78"/>
    </row>
    <row r="24" spans="1:10" ht="30" customHeight="1" thickBot="1">
      <c r="A24" s="4"/>
      <c r="B24" s="81" t="s">
        <v>55</v>
      </c>
      <c r="C24" s="82"/>
      <c r="D24" s="82"/>
      <c r="E24" s="75" t="str">
        <f>_xlfn.IFS(E23&gt;=90%,"ممتاز",E23&gt;=80%,"جيد جداً",E23&gt;=70%,"جيد",E23&gt;=60%,"مقبول",E23&lt;60%,"راسب")</f>
        <v>جيد</v>
      </c>
      <c r="F24" s="75"/>
      <c r="G24" s="75"/>
      <c r="H24" s="75"/>
      <c r="I24" s="75"/>
      <c r="J24" s="76"/>
    </row>
    <row r="25" spans="1:10" ht="42" customHeight="1">
      <c r="B25" s="71" t="s">
        <v>174</v>
      </c>
      <c r="C25" s="71"/>
      <c r="D25" s="71"/>
      <c r="E25" s="66" t="s">
        <v>52</v>
      </c>
      <c r="F25" s="66"/>
      <c r="G25" s="73" t="s">
        <v>123</v>
      </c>
      <c r="H25" s="73"/>
      <c r="I25" s="73"/>
      <c r="J25" s="73"/>
    </row>
    <row r="26" spans="1:10" ht="51" customHeight="1">
      <c r="A26" s="5"/>
      <c r="B26" s="72"/>
      <c r="C26" s="72"/>
      <c r="D26" s="72"/>
      <c r="E26" s="67" t="s">
        <v>53</v>
      </c>
      <c r="F26" s="67"/>
      <c r="G26" s="74"/>
      <c r="H26" s="74"/>
      <c r="I26" s="74"/>
      <c r="J26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9">
    <mergeCell ref="E25:F25"/>
    <mergeCell ref="E26:F26"/>
    <mergeCell ref="G22:J22"/>
    <mergeCell ref="I9:J9"/>
    <mergeCell ref="B25:D26"/>
    <mergeCell ref="G25:J25"/>
    <mergeCell ref="G26:J26"/>
    <mergeCell ref="E24:J24"/>
    <mergeCell ref="E23:J23"/>
    <mergeCell ref="B22:D22"/>
    <mergeCell ref="B23:D23"/>
    <mergeCell ref="B24:D24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20:J20"/>
    <mergeCell ref="I21:J21"/>
    <mergeCell ref="B13:D13"/>
    <mergeCell ref="B14:D14"/>
    <mergeCell ref="B15:D15"/>
    <mergeCell ref="B16:D16"/>
    <mergeCell ref="B20:D20"/>
    <mergeCell ref="B21:D21"/>
    <mergeCell ref="I15:J15"/>
    <mergeCell ref="I16:J16"/>
    <mergeCell ref="I17:J17"/>
    <mergeCell ref="I18:J18"/>
    <mergeCell ref="I19:J19"/>
    <mergeCell ref="B11:D11"/>
    <mergeCell ref="B12:D12"/>
    <mergeCell ref="B17:D17"/>
    <mergeCell ref="B18:D18"/>
    <mergeCell ref="B19:D1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G25:J25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2025-10-20T15:38:24Z</dcterms:modified>
</cp:coreProperties>
</file>