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C29D127-3460-4023-BAB0-F5EA1B15EF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<sst xmlns="http://schemas.openxmlformats.org/spreadsheetml/2006/main" count="255" uniqueCount="198">
  <si>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</si>
  <si>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</si>
  <si>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</si>
  <si>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</si>
  <si>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</si>
  <si>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</si>
  <si>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</si>
  <si>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</si>
  <si>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</si>
  <si>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</si>
  <si>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</si>
  <si>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</si>
  <si>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</si>
  <si>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</si>
  <si>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</si>
  <si>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</si>
  <si>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</si>
  <si>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</si>
  <si>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</si>
  <si>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</si>
  <si>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</si>
  <si>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</si>
  <si>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</si>
  <si>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</si>
  <si>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</si>
  <si>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</si>
  <si>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</si>
  <si>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</si>
  <si>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</si>
  <si>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</si>
  <si>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</si>
  <si>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</si>
  <si>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</si>
  <si>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</si>
  <si>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</si>
  <si>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</si>
  <si>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</si>
  <si>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</si>
  <si>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</si>
  <si>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</si>
  <si>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</si>
  <si>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</si>
  <si>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</si>
  <si>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</si>
  <si>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</si>
  <si>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</si>
  <si>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</si>
  <si>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</si>
  <si>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</si>
  <si>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</si>
  <si>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</si>
  <si>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</si>
  <si>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</si>
  <si>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</si>
  <si>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</si>
  <si>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</si>
  <si>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</si>
  <si>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</si>
  <si>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</si>
  <si>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</si>
  <si>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</si>
  <si>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</si>
  <si>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</si>
  <si>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</si>
  <si>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</si>
  <si>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</si>
  <si>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</si>
  <si>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</si>
  <si>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</si>
  <si>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</si>
  <si>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</si>
  <si>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</si>
  <si>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</si>
  <si>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</si>
  <si>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</si>
  <si>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</si>
  <si>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</si>
  <si>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</si>
  <si>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</si>
  <si>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</si>
  <si>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</si>
  <si>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</si>
  <si>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</si>
  <si>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</si>
  <si>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</si>
  <si>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</si>
  <si>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</si>
  <si>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</si>
  <si>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</si>
  <si>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</si>
  <si>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</si>
  <si>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</si>
  <si>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</si>
  <si>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</si>
  <si>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</si>
  <si>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</si>
  <si>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</si>
  <si>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</si>
  <si>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</si>
  <si>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</si>
  <si>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</si>
  <si>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</si>
  <si>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</si>
  <si>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</si>
  <si>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</si>
  <si>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</si>
  <si>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</si>
  <si>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</si>
  <si>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</si>
  <si>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</si>
  <si>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</si>
  <si>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</si>
  <si>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</si>
  <si>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</si>
  <si>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</si>
  <si>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</si>
  <si>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</si>
  <si>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</si>
  <si>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</si>
  <si>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</si>
  <si>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</si>
  <si>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</si>
  <si>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</si>
  <si>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</si>
  <si>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</si>
  <si>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</si>
  <si>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</si>
  <si>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</si>
  <si>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</si>
  <si>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</si>
  <si>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</si>
  <si>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</si>
  <si>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</si>
  <si>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</si>
  <si>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</si>
  <si>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</si>
  <si>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</si>
  <si>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</si>
  <si>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</si>
  <si>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</si>
  <si>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</si>
  <si>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</si>
  <si>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</si>
  <si>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</si>
  <si>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</si>
  <si>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</si>
  <si>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</si>
  <si>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</si>
  <si>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</si>
  <si>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</si>
  <si>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</si>
  <si>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</si>
  <si>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</si>
  <si>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</si>
  <si>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</si>
  <si>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</si>
  <si>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</si>
  <si>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</si>
  <si>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</si>
  <si>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</si>
  <si>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</si>
  <si>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</si>
  <si>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</si>
  <si>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</si>
  <si>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</si>
  <si>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</si>
  <si>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</si>
  <si>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</si>
  <si>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</si>
  <si>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</si>
  <si>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</si>
  <si>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</si>
  <si>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</si>
  <si>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</si>
  <si>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</si>
  <si>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</si>
  <si>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(بالتنسيق مع ضابط العمليات) بتحليل المتطلبات وإعداد وتطوير قائمة متطلبات المعلومات ذات الأولوية من خلال الإجراءات التالية:</t>
    </r>
  </si>
  <si>
    <t>أ. استلام متطلبات المعلومات الهامة للقائد.</t>
  </si>
  <si>
    <t>ب. مراجعة متطلبات المعلومات وتقييم متطلبات المعلومات ذات الأولوية.</t>
  </si>
  <si>
    <t>جـ. تحليل متطلبات الجمع لتحديد مصادر الجمع الأكثر فعالية في الاستخدام.</t>
  </si>
  <si>
    <t>د. تطوير متطلبات المعلومات المعينة التي تجيب على كل متطلب من متطلبات المعلومات.</t>
  </si>
  <si>
    <t>هـ. تحويل متطلبات المعلومات المعينة إلى واجبات استخباراتية ومراقبة واستطلاع.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</si>
  <si>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بإعداد وتطوير خطة الجمع التي تجيب بفعالية على أولوية متطلبات المعلومات للقائد.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</si>
  <si>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يتأكد ضابط الاستخبارات من توزيع المعلومات الاستخباراتية عن طريق:</t>
    </r>
  </si>
  <si>
    <t>أ. التوزيع المباشر للمعنيين.</t>
  </si>
  <si>
    <t>ب. تحديد المعلومات التي يمكن أن تفقد قيمتها بسرعة (المتغيرة) والتي يجب استطلاعها مرة أخرى.</t>
  </si>
  <si>
    <t>جـ. تحديد كمية المعلومات التي يجب توزيعها.</t>
  </si>
  <si>
    <t>د. توزيع منتجات الاستخبارات.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</si>
  <si>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بتقييم عملية تمرير المعلومات للتأكد من أن كافة واجبات الاستخبارات والمراقبة والاستطلاع مقنعة تماماً وأن تبقى خطة إدارة الجمع متزامنة بشكل كامل:</t>
    </r>
  </si>
  <si>
    <t>أ. مقارنة تأكيد الاستخبارات والمراقبة والاستطلاع مع متطلبات الاستخبارات ذات الأولوية ومتطلبات المعلومات المحددة.</t>
  </si>
  <si>
    <t>جـ. تدقيق التقارير للتأكد من اكتمال واستمرارية واجب الاستخبارات والمراقبة والاستطلاع.</t>
  </si>
  <si>
    <t>د. توفير التغذية الراجعة لمصادر جمع الاستخبارات والمراقبة والاستطلاع والمستخدمين عن نجاح جهد الجمع وعن تقدم واجبات الاستخبارات والمراقبة والاستطلاع.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</si>
  <si>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بتحديث خطة جمع المعلومات وتأكيد التزامن من خلال:</t>
    </r>
  </si>
  <si>
    <t>أ. حذف المتطلبات التي تمت تلبيتها.</t>
  </si>
  <si>
    <t>ب. إعادة توجيه مصادر الجمع لمتطلبات المعلومات غير الكاملة.</t>
  </si>
  <si>
    <t xml:space="preserve">جـ. توجيه مصادر الجمع للمتطلبات الجديدة التي تطورت أثناء العمليات وحسب تغير متطلبات الاستخبارات ذات الأولوية. </t>
  </si>
  <si>
    <t>د. إدامة الإلمام بالموقف.</t>
  </si>
  <si>
    <r>
      <rPr>
        <b/>
        <sz val="14"/>
        <color rgb="FF000000"/>
        <rFont val="Arial"/>
        <family val="2"/>
      </rPr>
      <t>تقييم الكتيبة/ مجموعة القتال في إعداد وتطوير خطة الاستخبارات والمراقبة والاستطلاع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</si>
</sst>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6" fillId="0" borderId="11" xfId="0" applyFont="1" applyBorder="1" applyAlignment="1">
      <alignment horizontal="right" vertical="center" wrapText="1" indent="2" readingOrder="2"/>
    </xf>
    <xf numFmtId="0" fontId="16" fillId="0" borderId="12" xfId="0" applyFont="1" applyBorder="1" applyAlignment="1">
      <alignment horizontal="right" vertical="center" wrapText="1" indent="2" readingOrder="2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indent="2" readingOrder="2"/>
    </xf>
    <xf numFmtId="0" fontId="16" fillId="0" borderId="3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536145</xdr:colOff>
      <xdr:row>33</xdr:row>
      <xdr:rowOff>64248</xdr:rowOff>
    </xdr:from>
    <xdr:to>
      <xdr:col>8</xdr:col>
      <xdr:colOff>301044</xdr:colOff>
      <xdr:row>33</xdr:row>
      <xdr:rowOff>450888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F26D459-48E4-D6C0-6721-7E681D3B70E5}"/>
                </a:ext>
              </a:extLst>
            </xdr14:cNvPr>
            <xdr14:cNvContentPartPr/>
          </xdr14:nvContentPartPr>
          <xdr14:nvPr macro=""/>
          <xdr14:xfrm>
            <a:off x="10398943865" y="16152840"/>
            <a:ext cx="1081080" cy="386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F26D459-48E4-D6C0-6721-7E681D3B70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37745" y="16146720"/>
              <a:ext cx="1093320" cy="39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496545</xdr:colOff>
      <xdr:row>33</xdr:row>
      <xdr:rowOff>345048</xdr:rowOff>
    </xdr:from>
    <xdr:to>
      <xdr:col>6</xdr:col>
      <xdr:colOff>531465</xdr:colOff>
      <xdr:row>33</xdr:row>
      <xdr:rowOff>366288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B13EA65-2A8D-C0E7-99E4-7CE1526A7529}"/>
                </a:ext>
              </a:extLst>
            </xdr14:cNvPr>
            <xdr14:cNvContentPartPr/>
          </xdr14:nvContentPartPr>
          <xdr14:nvPr macro=""/>
          <xdr14:xfrm>
            <a:off x="10400029625" y="16433640"/>
            <a:ext cx="34920" cy="21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13EA65-2A8D-C0E7-99E4-7CE1526A75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23505" y="16427520"/>
              <a:ext cx="47160" cy="33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05:36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2645 85 14579,'0'0'0,"-2"-25"312,2 25-312,-3-23-40,-1 0-16,2 9-64,0 14-56,2 0 176,0 0-304,-3 0-153,1 3-79,-3 0 64,5-3 472,-2 4-424,-12 12 96,2-5 72,1 5 112,11-16 144,-14 15-80,0 2 40,2 0 24,7-1-8,5-16 24,-11 14-24,11-2-24,0-1 8,11-7-8,-11-4 48,12 13-48,2-10-16,3 1 0,-1 0-16,-16-4 80,23 3-80,2 0 40,1-3 40,1 0-32,-27 0 32,26-1-32,4-4 16,0 1-48,-2 0 96,-28 4-32,23-4-16,-3-1 16,-5 1 32,-1 1-16,-14 3-16,2-1 32,3-1 24,0 1 32,-5 1 48,0 0-136,0 0 200,0 0 16,-5 0-72,-6 0-192,11 0 48,-14 0-152,-2 4-88,-12 8 32,-5-8-48,33-4 256,-40 18-200,-3-5 24,-3 1 72,-5 1 24,51-15 80,-56 15-48,0 1 32,0-1-64,3 3 32,53-18 48,-51 14 8,7-1-24,0-9 0,6 11 40,38-15-24,-32 5-32,4 6 24,5-8-40,4 0 32,19-3 16,-12 3-24,12-1-88,-4-2-112,4 0-113,0 0 337,0 0-512,0 0-64,0 0 0,9-1 48,-9 1 528,7-4-432,9-8 80,4 8 88,0-10 56,-20 14 208,26-13-136,-3 2 48,2-1 0,-4 7 40,-21 5 48,23-13-96,-4 9 48,-5 1 0,-2 1-24,-12 2 72,2 0-56,3 0 24,-1 3 24,-4 9 48,0-12-40,0 2 72,-2 11-16,-10-1-24,0 0-32,12-12 0,-18 13 32,-3 1 0,-4 2 0,-3 0 16,28-16-48,-33 14 72,-7 0 64,1-1 120,-5-9 136,44-4-392,-44 16 576,-4-12 120,-3 10 32,-3-9 56,54-5-784,-53 14 673,0-11 15,-1 8-24,0-8-120,54-3-544,-51 3 440,3 0-184,2-1-112,3-2-96,43 0-48,-41 3 72,-4-3-24,9 0-48,1 0 64,35 0-64,-35 0 96,9-4 56,-2-7 16,5 5-32,23 6-136,-23-16 56,0 3-96,0-2-160,0-2-48,23 17 248,-22-19-200,4-1 56,-3 2 160,5-2-16,16 20 0,-19-18-88,1-2-64,-1-2-88,-2 0-96,21 22 336,-16-23-352,-4 1 64,-4 3 72,3-1 136,21 20 80,-23-19 16,2 4 24,-4 3-32,2 8-16,23 4 8,-24-4-72,1 4-24,0 0 88,4 15 16,19-15-8,-20 16 0,-2 7-24,6 4-40,0 5-72,16-32 136,-14 37-120,9 7 64,-6 6 32,11 7 72,0-57-48,0 58 72,3 1-56,12-4-104,4-7-168,-19-48 256,23 44-456,2-5-137,8-7 41,7-3 160,-40-29 392,43 23-264,8-6 40,8-6-224,8-8-128,-67-3 576,74 0-728,7-4 104,5-15 216,0 1 151,-86 18 257,89-23-104,-6-1 32,-1-3 8,-8 1 24,-74 26 40,63-24 8,-9 4 16,-14 4 80,-7 5 32,-33 11-136,16-3 216,-9 2 113,2-1 119,-9 2 152,0 0-600,0 0 560,-7 0-104,-11 12-256,-10-1-216,28-11 16,-33 19-112,-13 2-24,-12 6 32,-5 3 40,63-30 64,-76 33-24,-10 2 8,-2 1 24,-10-2-64,98-34 56,-102 32-32,-3 0 8,-1-4 16,-3-4 24,109-24-16,-105 22 40,6-5-8,6-6 16,12-7 80,81-4-128,-74 5 184,6-3 64,5 1 24,12-3-32,51 0-240,-46 0 208,8 0-56,8-1 0,5-1-32,25 2-120,-21-2 88,8-1 80,8 0-24,0 0-72,5 3-72,0-1-264,0-1-184,16 1-32,9-3 24,-25 4 456,38-13-168,10-1 64,20-6 24,16-6 0,-84 26 80,99-30-56,17-5 32,12-4-72,6-1-80,-134 40 176,140-39-488,6-1-88,4 4 16,2 1-113,-152 35 673,150-30-3136,-150 30 3136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05:37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59 14699,'0'0'0,"-2"-22"3248,2 22-3248,-5-15 0,0-2-528,5 12-392,0 5-472,0 0 1392,15 0-1585,-3 5-735,7 9-409,12-16-231,-31 2 2960,20 13-4441,-20-13 4441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C27" zoomScale="130" zoomScaleNormal="100" zoomScaleSheetLayoutView="130" workbookViewId="0">
      <selection activeCell="G33" sqref="G33:J3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2" t="s">
        <v>197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13" t="s">
        <v>8</v>
      </c>
      <c r="C2" s="68" t="s">
        <v>44</v>
      </c>
      <c r="D2" s="68"/>
      <c r="E2" s="13" t="s">
        <v>7</v>
      </c>
      <c r="F2" s="63">
        <v>45953</v>
      </c>
      <c r="G2" s="63"/>
      <c r="H2" s="63"/>
      <c r="I2" s="63"/>
      <c r="J2" s="63"/>
    </row>
    <row r="3" spans="1:10" ht="30" customHeight="1" x14ac:dyDescent="0.3">
      <c r="B3" s="13" t="s">
        <v>9</v>
      </c>
      <c r="C3" s="68" t="s">
        <v>85</v>
      </c>
      <c r="D3" s="68"/>
      <c r="E3" s="13" t="s">
        <v>6</v>
      </c>
      <c r="F3" s="68" t="s">
        <v>100</v>
      </c>
      <c r="G3" s="68"/>
      <c r="H3" s="68"/>
      <c r="I3" s="68"/>
      <c r="J3" s="6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4" t="s">
        <v>0</v>
      </c>
      <c r="C5" s="65"/>
      <c r="D5" s="65"/>
      <c r="E5" s="73" t="s">
        <v>1</v>
      </c>
      <c r="F5" s="73"/>
      <c r="G5" s="73"/>
      <c r="H5" s="73"/>
      <c r="I5" s="73" t="s">
        <v>2</v>
      </c>
      <c r="J5" s="74"/>
    </row>
    <row r="6" spans="1:10" ht="24.9" customHeight="1" thickBot="1" x14ac:dyDescent="0.35">
      <c r="A6" s="11"/>
      <c r="B6" s="66"/>
      <c r="C6" s="67"/>
      <c r="D6" s="67"/>
      <c r="E6" s="12" t="s">
        <v>3</v>
      </c>
      <c r="F6" s="12" t="s">
        <v>4</v>
      </c>
      <c r="G6" s="12" t="s">
        <v>23</v>
      </c>
      <c r="H6" s="12" t="s">
        <v>24</v>
      </c>
      <c r="I6" s="75"/>
      <c r="J6" s="76"/>
    </row>
    <row r="7" spans="1:10" ht="24.9" customHeight="1" thickBot="1" x14ac:dyDescent="0.35">
      <c r="A7" s="11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7" t="s">
        <v>25</v>
      </c>
      <c r="J7" s="78"/>
    </row>
    <row r="8" spans="1:10" ht="54.9" customHeight="1" x14ac:dyDescent="0.3">
      <c r="A8" s="11"/>
      <c r="B8" s="89" t="s">
        <v>176</v>
      </c>
      <c r="C8" s="90"/>
      <c r="D8" s="90"/>
      <c r="E8" s="34"/>
      <c r="F8" s="35"/>
      <c r="G8" s="36"/>
      <c r="H8" s="37"/>
      <c r="I8" s="54"/>
      <c r="J8" s="55"/>
    </row>
    <row r="9" spans="1:10" ht="39.9" customHeight="1" x14ac:dyDescent="0.3">
      <c r="A9" s="11"/>
      <c r="B9" s="91" t="s">
        <v>177</v>
      </c>
      <c r="C9" s="92"/>
      <c r="D9" s="92"/>
      <c r="E9" s="9">
        <v>5</v>
      </c>
      <c r="F9" s="27">
        <v>3.75</v>
      </c>
      <c r="G9" s="32">
        <f>IFERROR(F9/E9,"")</f>
        <v>0.75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1"/>
      <c r="B10" s="91" t="s">
        <v>178</v>
      </c>
      <c r="C10" s="92"/>
      <c r="D10" s="92"/>
      <c r="E10" s="9">
        <v>5</v>
      </c>
      <c r="F10" s="27">
        <v>3.75</v>
      </c>
      <c r="G10" s="32">
        <f t="shared" ref="G10:G29" si="0">IFERROR(F10/E10,"")</f>
        <v>0.75</v>
      </c>
      <c r="H10" s="33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1"/>
      <c r="B11" s="91" t="s">
        <v>179</v>
      </c>
      <c r="C11" s="92"/>
      <c r="D11" s="92"/>
      <c r="E11" s="9">
        <v>5</v>
      </c>
      <c r="F11" s="27">
        <v>3.75</v>
      </c>
      <c r="G11" s="32">
        <f t="shared" si="0"/>
        <v>0.75</v>
      </c>
      <c r="H11" s="33" t="str">
        <f t="shared" si="1"/>
        <v>جيد</v>
      </c>
      <c r="I11" s="45"/>
      <c r="J11" s="46"/>
    </row>
    <row r="12" spans="1:10" ht="39.9" customHeight="1" x14ac:dyDescent="0.3">
      <c r="A12" s="11"/>
      <c r="B12" s="91" t="s">
        <v>180</v>
      </c>
      <c r="C12" s="92"/>
      <c r="D12" s="92"/>
      <c r="E12" s="9">
        <v>5</v>
      </c>
      <c r="F12" s="27">
        <v>3.75</v>
      </c>
      <c r="G12" s="32">
        <f t="shared" si="0"/>
        <v>0.75</v>
      </c>
      <c r="H12" s="33" t="str">
        <f t="shared" si="1"/>
        <v>جيد</v>
      </c>
      <c r="I12" s="45"/>
      <c r="J12" s="46"/>
    </row>
    <row r="13" spans="1:10" ht="39.9" customHeight="1" thickBot="1" x14ac:dyDescent="0.35">
      <c r="A13" s="11"/>
      <c r="B13" s="85" t="s">
        <v>181</v>
      </c>
      <c r="C13" s="86"/>
      <c r="D13" s="86"/>
      <c r="E13" s="38">
        <v>5</v>
      </c>
      <c r="F13" s="29">
        <v>3.75</v>
      </c>
      <c r="G13" s="39">
        <f t="shared" si="0"/>
        <v>0.75</v>
      </c>
      <c r="H13" s="40" t="str">
        <f t="shared" si="1"/>
        <v>جيد</v>
      </c>
      <c r="I13" s="52"/>
      <c r="J13" s="53"/>
    </row>
    <row r="14" spans="1:10" ht="39.9" customHeight="1" thickBot="1" x14ac:dyDescent="0.35">
      <c r="A14" s="11"/>
      <c r="B14" s="87" t="s">
        <v>182</v>
      </c>
      <c r="C14" s="88"/>
      <c r="D14" s="88"/>
      <c r="E14" s="10">
        <v>5</v>
      </c>
      <c r="F14" s="42">
        <v>3.75</v>
      </c>
      <c r="G14" s="43">
        <f t="shared" si="0"/>
        <v>0.75</v>
      </c>
      <c r="H14" s="28" t="str">
        <f t="shared" si="1"/>
        <v>جيد</v>
      </c>
      <c r="I14" s="83"/>
      <c r="J14" s="84"/>
    </row>
    <row r="15" spans="1:10" ht="39.9" customHeight="1" x14ac:dyDescent="0.3">
      <c r="A15" s="11"/>
      <c r="B15" s="89" t="s">
        <v>183</v>
      </c>
      <c r="C15" s="90"/>
      <c r="D15" s="90"/>
      <c r="E15" s="41"/>
      <c r="F15" s="35"/>
      <c r="G15" s="36"/>
      <c r="H15" s="37"/>
      <c r="I15" s="54"/>
      <c r="J15" s="55"/>
    </row>
    <row r="16" spans="1:10" ht="39.9" customHeight="1" x14ac:dyDescent="0.3">
      <c r="A16" s="11"/>
      <c r="B16" s="91" t="s">
        <v>184</v>
      </c>
      <c r="C16" s="92"/>
      <c r="D16" s="92"/>
      <c r="E16" s="9">
        <v>5</v>
      </c>
      <c r="F16" s="27">
        <v>3.75</v>
      </c>
      <c r="G16" s="32">
        <f t="shared" si="0"/>
        <v>0.75</v>
      </c>
      <c r="H16" s="33" t="str">
        <f t="shared" si="1"/>
        <v>جيد</v>
      </c>
      <c r="I16" s="45"/>
      <c r="J16" s="46"/>
    </row>
    <row r="17" spans="1:10" ht="39.9" customHeight="1" x14ac:dyDescent="0.3">
      <c r="A17" s="11"/>
      <c r="B17" s="91" t="s">
        <v>185</v>
      </c>
      <c r="C17" s="92"/>
      <c r="D17" s="92"/>
      <c r="E17" s="9">
        <v>5</v>
      </c>
      <c r="F17" s="27">
        <v>3.75</v>
      </c>
      <c r="G17" s="32">
        <f t="shared" si="0"/>
        <v>0.75</v>
      </c>
      <c r="H17" s="33" t="str">
        <f t="shared" si="1"/>
        <v>جيد</v>
      </c>
      <c r="I17" s="45"/>
      <c r="J17" s="46"/>
    </row>
    <row r="18" spans="1:10" ht="39.9" customHeight="1" x14ac:dyDescent="0.3">
      <c r="A18" s="11"/>
      <c r="B18" s="91" t="s">
        <v>186</v>
      </c>
      <c r="C18" s="92"/>
      <c r="D18" s="92"/>
      <c r="E18" s="9">
        <v>5</v>
      </c>
      <c r="F18" s="27">
        <v>3.75</v>
      </c>
      <c r="G18" s="32">
        <f t="shared" si="0"/>
        <v>0.75</v>
      </c>
      <c r="H18" s="33" t="str">
        <f t="shared" si="1"/>
        <v>جيد</v>
      </c>
      <c r="I18" s="45"/>
      <c r="J18" s="46"/>
    </row>
    <row r="19" spans="1:10" ht="39.9" customHeight="1" thickBot="1" x14ac:dyDescent="0.35">
      <c r="A19" s="11"/>
      <c r="B19" s="85" t="s">
        <v>187</v>
      </c>
      <c r="C19" s="86"/>
      <c r="D19" s="86"/>
      <c r="E19" s="38">
        <v>5</v>
      </c>
      <c r="F19" s="29">
        <v>3.5</v>
      </c>
      <c r="G19" s="39">
        <f t="shared" si="0"/>
        <v>0.7</v>
      </c>
      <c r="H19" s="40" t="str">
        <f t="shared" si="1"/>
        <v>جيد</v>
      </c>
      <c r="I19" s="52"/>
      <c r="J19" s="53"/>
    </row>
    <row r="20" spans="1:10" ht="54.9" customHeight="1" x14ac:dyDescent="0.3">
      <c r="A20" s="11"/>
      <c r="B20" s="89" t="s">
        <v>188</v>
      </c>
      <c r="C20" s="90"/>
      <c r="D20" s="90"/>
      <c r="E20" s="41"/>
      <c r="F20" s="35"/>
      <c r="G20" s="36"/>
      <c r="H20" s="37"/>
      <c r="I20" s="54"/>
      <c r="J20" s="55"/>
    </row>
    <row r="21" spans="1:10" ht="39.9" customHeight="1" x14ac:dyDescent="0.3">
      <c r="A21" s="11"/>
      <c r="B21" s="91" t="s">
        <v>189</v>
      </c>
      <c r="C21" s="92"/>
      <c r="D21" s="92"/>
      <c r="E21" s="9">
        <v>5</v>
      </c>
      <c r="F21" s="27">
        <v>3.5</v>
      </c>
      <c r="G21" s="32">
        <f t="shared" si="0"/>
        <v>0.7</v>
      </c>
      <c r="H21" s="33" t="str">
        <f t="shared" si="1"/>
        <v>جيد</v>
      </c>
      <c r="I21" s="45"/>
      <c r="J21" s="46"/>
    </row>
    <row r="22" spans="1:10" ht="39.9" customHeight="1" thickBot="1" x14ac:dyDescent="0.35">
      <c r="A22" s="11"/>
      <c r="B22" s="91" t="s">
        <v>185</v>
      </c>
      <c r="C22" s="92"/>
      <c r="D22" s="92"/>
      <c r="E22" s="9">
        <v>5</v>
      </c>
      <c r="F22" s="44">
        <v>3.5</v>
      </c>
      <c r="G22" s="32">
        <f t="shared" si="0"/>
        <v>0.7</v>
      </c>
      <c r="H22" s="33" t="str">
        <f t="shared" si="1"/>
        <v>جيد</v>
      </c>
      <c r="I22" s="45"/>
      <c r="J22" s="46"/>
    </row>
    <row r="23" spans="1:10" ht="39.9" customHeight="1" thickBot="1" x14ac:dyDescent="0.35">
      <c r="A23" s="11"/>
      <c r="B23" s="91" t="s">
        <v>190</v>
      </c>
      <c r="C23" s="92"/>
      <c r="D23" s="92"/>
      <c r="E23" s="9">
        <v>5</v>
      </c>
      <c r="F23" s="44">
        <v>3.5</v>
      </c>
      <c r="G23" s="32">
        <f t="shared" si="0"/>
        <v>0.7</v>
      </c>
      <c r="H23" s="33" t="str">
        <f t="shared" si="1"/>
        <v>جيد</v>
      </c>
      <c r="I23" s="45"/>
      <c r="J23" s="46"/>
    </row>
    <row r="24" spans="1:10" ht="54.9" customHeight="1" thickBot="1" x14ac:dyDescent="0.35">
      <c r="A24" s="11"/>
      <c r="B24" s="85" t="s">
        <v>191</v>
      </c>
      <c r="C24" s="86"/>
      <c r="D24" s="86"/>
      <c r="E24" s="38">
        <v>5</v>
      </c>
      <c r="F24" s="29">
        <v>3.5</v>
      </c>
      <c r="G24" s="39">
        <f t="shared" si="0"/>
        <v>0.7</v>
      </c>
      <c r="H24" s="40" t="str">
        <f t="shared" si="1"/>
        <v>جيد</v>
      </c>
      <c r="I24" s="52"/>
      <c r="J24" s="53"/>
    </row>
    <row r="25" spans="1:10" ht="39.9" customHeight="1" x14ac:dyDescent="0.3">
      <c r="A25" s="11"/>
      <c r="B25" s="89" t="s">
        <v>192</v>
      </c>
      <c r="C25" s="90"/>
      <c r="D25" s="90"/>
      <c r="E25" s="41"/>
      <c r="F25" s="35"/>
      <c r="G25" s="36"/>
      <c r="H25" s="37"/>
      <c r="I25" s="54"/>
      <c r="J25" s="55"/>
    </row>
    <row r="26" spans="1:10" ht="39.9" customHeight="1" x14ac:dyDescent="0.3">
      <c r="A26" s="11"/>
      <c r="B26" s="91" t="s">
        <v>193</v>
      </c>
      <c r="C26" s="92"/>
      <c r="D26" s="92"/>
      <c r="E26" s="9">
        <v>5</v>
      </c>
      <c r="F26" s="27">
        <v>3.5</v>
      </c>
      <c r="G26" s="32">
        <f t="shared" si="0"/>
        <v>0.7</v>
      </c>
      <c r="H26" s="33" t="str">
        <f t="shared" si="1"/>
        <v>جيد</v>
      </c>
      <c r="I26" s="45"/>
      <c r="J26" s="46"/>
    </row>
    <row r="27" spans="1:10" ht="39.9" customHeight="1" x14ac:dyDescent="0.3">
      <c r="A27" s="11"/>
      <c r="B27" s="91" t="s">
        <v>194</v>
      </c>
      <c r="C27" s="92"/>
      <c r="D27" s="92"/>
      <c r="E27" s="9">
        <v>5</v>
      </c>
      <c r="F27" s="27">
        <v>3.5</v>
      </c>
      <c r="G27" s="32">
        <f t="shared" si="0"/>
        <v>0.7</v>
      </c>
      <c r="H27" s="33" t="str">
        <f t="shared" si="1"/>
        <v>جيد</v>
      </c>
      <c r="I27" s="45"/>
      <c r="J27" s="46"/>
    </row>
    <row r="28" spans="1:10" ht="39.9" customHeight="1" x14ac:dyDescent="0.3">
      <c r="A28" s="11"/>
      <c r="B28" s="91" t="s">
        <v>195</v>
      </c>
      <c r="C28" s="92"/>
      <c r="D28" s="92"/>
      <c r="E28" s="9">
        <v>5</v>
      </c>
      <c r="F28" s="27">
        <v>3.5</v>
      </c>
      <c r="G28" s="32">
        <f t="shared" si="0"/>
        <v>0.7</v>
      </c>
      <c r="H28" s="33" t="str">
        <f t="shared" si="1"/>
        <v>جيد</v>
      </c>
      <c r="I28" s="45"/>
      <c r="J28" s="46"/>
    </row>
    <row r="29" spans="1:10" ht="39.9" customHeight="1" thickBot="1" x14ac:dyDescent="0.35">
      <c r="A29" s="11"/>
      <c r="B29" s="85" t="s">
        <v>196</v>
      </c>
      <c r="C29" s="86"/>
      <c r="D29" s="86"/>
      <c r="E29" s="38">
        <v>5</v>
      </c>
      <c r="F29" s="29">
        <v>3.5</v>
      </c>
      <c r="G29" s="39">
        <f t="shared" si="0"/>
        <v>0.7</v>
      </c>
      <c r="H29" s="40" t="str">
        <f t="shared" si="1"/>
        <v>جيد</v>
      </c>
      <c r="I29" s="52"/>
      <c r="J29" s="53"/>
    </row>
    <row r="30" spans="1:10" ht="30" customHeight="1" thickBot="1" x14ac:dyDescent="0.35">
      <c r="A30" s="4"/>
      <c r="B30" s="79" t="s">
        <v>5</v>
      </c>
      <c r="C30" s="80"/>
      <c r="D30" s="80"/>
      <c r="E30" s="31">
        <f>SUM(E8:E29)</f>
        <v>90</v>
      </c>
      <c r="F30" s="31">
        <f>SUM(F8:F29)</f>
        <v>65.25</v>
      </c>
      <c r="G30" s="49"/>
      <c r="H30" s="50"/>
      <c r="I30" s="50"/>
      <c r="J30" s="51"/>
    </row>
    <row r="31" spans="1:10" ht="30" customHeight="1" thickBot="1" x14ac:dyDescent="0.35">
      <c r="A31" s="4"/>
      <c r="B31" s="81" t="s">
        <v>54</v>
      </c>
      <c r="C31" s="82"/>
      <c r="D31" s="82"/>
      <c r="E31" s="69">
        <f>F30/E30/100*100</f>
        <v>0.72499999999999998</v>
      </c>
      <c r="F31" s="69"/>
      <c r="G31" s="69"/>
      <c r="H31" s="69"/>
      <c r="I31" s="69"/>
      <c r="J31" s="70"/>
    </row>
    <row r="32" spans="1:10" ht="30" customHeight="1" thickBot="1" x14ac:dyDescent="0.35">
      <c r="A32" s="4"/>
      <c r="B32" s="81" t="s">
        <v>55</v>
      </c>
      <c r="C32" s="82"/>
      <c r="D32" s="82"/>
      <c r="E32" s="60" t="str">
        <f>_xlfn.IFS(E31&gt;=90%,"ممتاز",E31&gt;=80%,"جيد جداً",E31&gt;=70%,"جيد",E31&gt;=60%,"مقبول",E31&lt;60%,"راسب")</f>
        <v>جيد</v>
      </c>
      <c r="F32" s="60"/>
      <c r="G32" s="60"/>
      <c r="H32" s="60"/>
      <c r="I32" s="60"/>
      <c r="J32" s="61"/>
    </row>
    <row r="33" spans="1:10" ht="42" customHeight="1" x14ac:dyDescent="0.3">
      <c r="B33" s="56" t="s">
        <v>175</v>
      </c>
      <c r="C33" s="56"/>
      <c r="D33" s="56"/>
      <c r="E33" s="47" t="s">
        <v>52</v>
      </c>
      <c r="F33" s="47"/>
      <c r="G33" s="58" t="s">
        <v>100</v>
      </c>
      <c r="H33" s="58"/>
      <c r="I33" s="58"/>
      <c r="J33" s="58"/>
    </row>
    <row r="34" spans="1:10" ht="51" customHeight="1" x14ac:dyDescent="0.3">
      <c r="A34" s="5"/>
      <c r="B34" s="57"/>
      <c r="C34" s="57"/>
      <c r="D34" s="57"/>
      <c r="E34" s="48" t="s">
        <v>53</v>
      </c>
      <c r="F34" s="48"/>
      <c r="G34" s="59"/>
      <c r="H34" s="59"/>
      <c r="I34" s="59"/>
      <c r="J34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30:D30"/>
    <mergeCell ref="B31:D31"/>
    <mergeCell ref="B32:D3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1:J21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E5:H5"/>
    <mergeCell ref="I5:J6"/>
    <mergeCell ref="I7:J7"/>
    <mergeCell ref="I10:J10"/>
    <mergeCell ref="I27:J27"/>
    <mergeCell ref="E33:F33"/>
    <mergeCell ref="E34:F34"/>
    <mergeCell ref="G30:J30"/>
    <mergeCell ref="I9:J9"/>
    <mergeCell ref="I22:J22"/>
    <mergeCell ref="I23:J23"/>
    <mergeCell ref="I24:J24"/>
    <mergeCell ref="I25:J25"/>
    <mergeCell ref="I26:J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57">
      <formula>$E32="راسب"</formula>
    </cfRule>
  </conditionalFormatting>
  <conditionalFormatting sqref="E32:J32">
    <cfRule type="expression" dxfId="13" priority="60">
      <formula>$E32="جيد جداً"</formula>
    </cfRule>
    <cfRule type="expression" dxfId="12" priority="59">
      <formula>$E32="جيد"</formula>
    </cfRule>
    <cfRule type="expression" dxfId="11" priority="58">
      <formula>$E32="مقبول"</formula>
    </cfRule>
    <cfRule type="expression" dxfId="10" priority="61">
      <formula>$E32="ممتاز"</formula>
    </cfRule>
  </conditionalFormatting>
  <conditionalFormatting sqref="F8:F2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6" priority="15" operator="containsText" text="أدخل اسم المحكم">
      <formula>NOT(ISERROR(SEARCH("أدخل اسم المحكم",G33)))</formula>
    </cfRule>
  </conditionalFormatting>
  <conditionalFormatting sqref="H8:H29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F26:F29 F21:F24 F16:F19 F9:F14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2025-10-27T04:03:06Z</dcterms:modified>
</cp:coreProperties>
</file>