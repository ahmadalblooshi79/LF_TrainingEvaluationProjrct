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19674AAE-AD49-574D-A746-5CF946629198}"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التقييم'!$A$1:$J$19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8" i="2"/>
  <c r="H8" i="2"/>
  <c r="F15" i="2"/>
  <c r="E15" i="2"/>
  <c r="E16" i="2"/>
  <c r="E17" i="2"/>
</calcChain>
</file>

<file path=xl/sharedStrings.xml><?xml version="1.0" encoding="utf-8"?>
<sst xmlns="http://schemas.openxmlformats.org/spreadsheetml/2006/main" count="240" uniqueCount="184">
  <si>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</si>
  <si>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</si>
  <si>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</si>
  <si>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</si>
  <si>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</si>
  <si>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</si>
  <si>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</si>
  <si>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</si>
  <si>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</si>
  <si>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</si>
  <si>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</si>
  <si>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</si>
  <si>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</si>
  <si>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</si>
  <si>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</si>
  <si>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</si>
  <si>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</si>
  <si>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</si>
  <si>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</si>
  <si>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</si>
  <si>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</si>
  <si>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</si>
  <si>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</si>
  <si>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</si>
  <si>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</si>
  <si>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</si>
  <si>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</si>
  <si>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</si>
  <si>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</si>
  <si>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</si>
  <si>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</si>
  <si>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</si>
  <si>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</si>
  <si>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</si>
  <si>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</si>
  <si>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</si>
  <si>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</si>
  <si>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</si>
  <si>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</si>
  <si>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</si>
  <si>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</si>
  <si>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</si>
  <si>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</si>
  <si>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</si>
  <si>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</si>
  <si>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</si>
  <si>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</si>
  <si>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</si>
  <si>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</si>
  <si>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</si>
  <si>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</si>
  <si>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</si>
  <si>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</si>
  <si>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</si>
  <si>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</si>
  <si>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</si>
  <si>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</si>
  <si>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</si>
  <si>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</si>
  <si>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</si>
  <si>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</si>
  <si>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</si>
  <si>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</si>
  <si>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</si>
  <si>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</si>
  <si>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</si>
  <si>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</si>
  <si>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</si>
  <si>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</si>
  <si>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</si>
  <si>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</si>
  <si>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</si>
  <si>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</si>
  <si>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</si>
  <si>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</si>
  <si>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</si>
  <si>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</si>
  <si>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</si>
  <si>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</si>
  <si>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</si>
  <si>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</si>
  <si>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</si>
  <si>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</si>
  <si>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</si>
  <si>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</si>
  <si>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</si>
  <si>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</si>
  <si>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</si>
  <si>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</si>
  <si>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</si>
  <si>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</si>
  <si>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</si>
  <si>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</si>
  <si>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</si>
  <si>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</si>
  <si>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</si>
  <si>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</si>
  <si>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</si>
  <si>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</si>
  <si>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</si>
  <si>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</si>
  <si>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</si>
  <si>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</si>
  <si>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</si>
  <si>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</si>
  <si>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</si>
  <si>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</si>
  <si>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</si>
  <si>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</si>
  <si>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</si>
  <si>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</si>
  <si>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</si>
  <si>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</si>
  <si>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</si>
  <si>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</si>
  <si>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</si>
  <si>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</si>
  <si>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</si>
  <si>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</si>
  <si>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</si>
  <si>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</si>
  <si>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</si>
  <si>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</si>
  <si>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</si>
  <si>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</si>
  <si>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</si>
  <si>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</si>
  <si>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</si>
  <si>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</si>
  <si>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</si>
  <si>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</si>
  <si>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</si>
  <si>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</si>
  <si>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</si>
  <si>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</si>
  <si>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</si>
  <si>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</si>
  <si>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</si>
  <si>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</si>
  <si>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</si>
  <si>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</si>
  <si>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</si>
  <si>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</si>
  <si>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</si>
  <si>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</si>
  <si>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</si>
  <si>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</si>
  <si>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</si>
  <si>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</si>
  <si>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</si>
  <si>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</si>
  <si>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</si>
  <si>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</si>
  <si>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</si>
  <si>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</si>
  <si>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</si>
  <si>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</si>
  <si>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</si>
  <si>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</si>
  <si>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</si>
  <si>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</si>
  <si>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</si>
  <si>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</si>
  <si>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</si>
  <si>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</si>
  <si>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</si>
  <si>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</si>
  <si>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</si>
  <si>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</si>
  <si>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</si>
  <si>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</si>
  <si>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</si>
  <si>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</si>
  <si>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</si>
  <si>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</si>
  <si>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</si>
  <si>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1.    تنفيذ تحضيرات واجراءات قبل الرماية أثناء الهجوم المدبر.</t>
  </si>
  <si>
    <t>2.    استخدام مواقع رمي مموهه ومخفية بشكل جيد.</t>
  </si>
  <si>
    <t>3.    تنفيذ مهام الرمي باستخدام أقل حشوة وارتفاع.</t>
  </si>
  <si>
    <t>4.    رماية نيران مكثفة من أقسام متعددة.</t>
  </si>
  <si>
    <t>5.    عندما تصل عناصر الاقتحام إلى خط البدء المحدد، يقوم قائد القوة المقتحمة بتحويل نيران الهاون إلى مواقع عمق العدو أو مواقع إسناده، وطرق انسحابه المحتملة، ومواقع إسناده بالنيران، وطرق هجومه المعاكس المحتملة.</t>
  </si>
  <si>
    <t>6.    يتم تنفيذ الاقتحام النهائي بجميع أسلحة الرمي المباشر المتوفرة من مواقع الإسناد بالنيران ومن عناصر الاقتحام.</t>
  </si>
  <si>
    <t>7    يجب أن يكون قائد فصيل الهاون مستعداً لرماية كميات كبيرة من الذخيرة بالقرب من القوات الصديقة، وهذا يتطلب تخطيطاً مفصلاً وإشرافاً مباشراً من قبل كافة قادة وحدات الهاون.</t>
  </si>
  <si>
    <r>
      <rPr>
        <b/>
        <sz val="14"/>
        <color rgb="FF000000"/>
        <rFont val="Arial"/>
        <family val="2"/>
      </rPr>
      <t>تقييم سرية الهاون 120 ملم في الهجوم (المدبر)</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</si>
</sst>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3"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6" xfId="0" applyFont="1" applyFill="1" applyBorder="1" applyAlignment="1" applyProtection="1">
      <alignment horizontal="center" vertical="center" wrapText="1" readingOrder="2"/>
      <protection locked="0"/>
    </xf>
    <xf numFmtId="0" fontId="2" fillId="0" borderId="19"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23"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0" xfId="0" applyFont="1" applyBorder="1" applyAlignment="1">
      <alignment horizontal="center" vertical="center" wrapText="1" readingOrder="2"/>
    </xf>
    <xf numFmtId="0" fontId="2" fillId="0" borderId="21"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7" fillId="4" borderId="15" xfId="0" applyFont="1" applyFill="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6"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2" fillId="0" borderId="11"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12" fillId="0" borderId="5" xfId="0" applyFont="1" applyBorder="1" applyAlignment="1">
      <alignment horizontal="right" vertical="center" wrapText="1" readingOrder="2"/>
    </xf>
    <xf numFmtId="0" fontId="12"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563145</xdr:colOff>
      <xdr:row>17</xdr:row>
      <xdr:rowOff>254798</xdr:rowOff>
    </xdr:from>
    <xdr:to>
      <xdr:col>8</xdr:col>
      <xdr:colOff>445764</xdr:colOff>
      <xdr:row>19</xdr:row>
      <xdr:rowOff>19282</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FE592DC6-6767-56E2-DC38-0984031E4B7D}"/>
                </a:ext>
              </a:extLst>
            </xdr14:cNvPr>
            <xdr14:cNvContentPartPr/>
          </xdr14:nvContentPartPr>
          <xdr14:nvPr macro=""/>
          <xdr14:xfrm>
            <a:off x="10398799145" y="7476480"/>
            <a:ext cx="1198800" cy="942120"/>
          </xdr14:xfrm>
        </xdr:contentPart>
      </mc:Choice>
      <mc:Fallback>
        <xdr:pic>
          <xdr:nvPicPr>
            <xdr:cNvPr id="2" name="Ink 1">
              <a:extLst>
                <a:ext uri="{FF2B5EF4-FFF2-40B4-BE49-F238E27FC236}">
                  <a16:creationId xmlns:a16="http://schemas.microsoft.com/office/drawing/2014/main" id="{FE592DC6-6767-56E2-DC38-0984031E4B7D}"/>
                </a:ext>
              </a:extLst>
            </xdr:cNvPr>
            <xdr:cNvPicPr/>
          </xdr:nvPicPr>
          <xdr:blipFill>
            <a:blip xmlns:r="http://schemas.openxmlformats.org/officeDocument/2006/relationships" r:embed="rId2"/>
            <a:stretch>
              <a:fillRect/>
            </a:stretch>
          </xdr:blipFill>
          <xdr:spPr>
            <a:xfrm>
              <a:off x="10398793025" y="7470360"/>
              <a:ext cx="1211040" cy="954360"/>
            </a:xfrm>
            <a:prstGeom prst="rect">
              <a:avLst/>
            </a:prstGeom>
          </xdr:spPr>
        </xdr:pic>
      </mc:Fallback>
    </mc:AlternateContent>
    <xdr:clientData/>
  </xdr:twoCellAnchor>
  <xdr:twoCellAnchor editAs="oneCell">
    <xdr:from>
      <xdr:col>6</xdr:col>
      <xdr:colOff>489705</xdr:colOff>
      <xdr:row>19</xdr:row>
      <xdr:rowOff>128002</xdr:rowOff>
    </xdr:from>
    <xdr:to>
      <xdr:col>6</xdr:col>
      <xdr:colOff>496905</xdr:colOff>
      <xdr:row>19</xdr:row>
      <xdr:rowOff>128362</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2E9DFD79-8133-3FAF-0FF0-25D597EA4DDD}"/>
                </a:ext>
              </a:extLst>
            </xdr14:cNvPr>
            <xdr14:cNvContentPartPr/>
          </xdr14:nvContentPartPr>
          <xdr14:nvPr macro=""/>
          <xdr14:xfrm>
            <a:off x="10400064185" y="8527320"/>
            <a:ext cx="7200" cy="360"/>
          </xdr14:xfrm>
        </xdr:contentPart>
      </mc:Choice>
      <mc:Fallback>
        <xdr:pic>
          <xdr:nvPicPr>
            <xdr:cNvPr id="3" name="Ink 2">
              <a:extLst>
                <a:ext uri="{FF2B5EF4-FFF2-40B4-BE49-F238E27FC236}">
                  <a16:creationId xmlns:a16="http://schemas.microsoft.com/office/drawing/2014/main" id="{2E9DFD79-8133-3FAF-0FF0-25D597EA4DDD}"/>
                </a:ext>
              </a:extLst>
            </xdr:cNvPr>
            <xdr:cNvPicPr/>
          </xdr:nvPicPr>
          <xdr:blipFill>
            <a:blip xmlns:r="http://schemas.openxmlformats.org/officeDocument/2006/relationships" r:embed="rId4"/>
            <a:stretch>
              <a:fillRect/>
            </a:stretch>
          </xdr:blipFill>
          <xdr:spPr>
            <a:xfrm>
              <a:off x="10400058065" y="8521200"/>
              <a:ext cx="1944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5T16:50:28.799"/>
    </inkml:context>
    <inkml:brush xml:id="br0">
      <inkml:brushProperty name="width" value="0.035" units="cm"/>
      <inkml:brushProperty name="height" value="0.035" units="cm"/>
    </inkml:brush>
  </inkml:definitions>
  <inkml:trace contextRef="#ctx0" brushRef="#br0">2425 2150,'0'0,"0"0,0 0,0 0,0 0,0 0,0 0,0 0,0 0,0 0,0 0,0 0,0 0,0 0,0 0,-17 0,0 16,17-14,-31 12,0-14,23 0,-32 16,-9 0,40-14,-46 28,-25-14,68-13,-24 10,-29 3,56-13,-47 26,-6-13,52-13,-28 10,-11-13,40 0,-30 16,6-16,30 0,-26 0,-19 16,41-13,-3-6,-4-13,12 14,-13 4,-2-2,17 0,-14 0,14-16,0 14,-17 4,0-18,17 14,-14-12,11 13,-28 2,31-1,-31-16,0 16,23 0,-66 0,-6 0,68 0,-103 0,2 0,96 0,-127 32,-1-16,126-13,-106 26,14 3,95-27,-64 6,-2 21,70-27,-38 6,2 22,38-28,-14-10,10 21,11-14,-11-4,-3 18,17-14,-14-4,-3 2,14 0,23 0,11 0,-24 0,34-16,86-33,-102 41,112-16,38-40,-146 54,135-28,76-42,-201 67,196-54,37-45,-229 94,186-61,-3-17,-192 81,156-66,2-15,-161 80,83-32,-1-17,-97 55,47-28,2 6,-56 27,13-6,9-5,-26 14,-24 4,17-2,-30 0,-30 0,52 0,-93 32,-25-16,107-13,-136 42,-50 3,174-40,-160 49,-47 23,204-67,-169 54,-18 13,184-67,-115 54,-38 30,160-81,-64 32,0 0,79-41,-31 18,0 7,41-27,-17 6,7 5,14-13,23-6,-18 3,10 0,84-32,-79 27,111-38,50-21,-152 53,140-75,58-10,-188 81,233-130,34-31,-252 147,221-135,-17-28,-219 165,154-123,2-26,-161 147,82-102,-2 2,-92 108,44-70,-32-5,-24 81,-14-50,-58-16,56 69,-92-56,-61 4,138 54,-113 4,-55-26,165 27,-201-6,-61 11,241 0,-209 64,-49 48,258-94,-159 93,-33 49,201-135,-132 110,-21 10,163-123,-151 180,21 7,133-177,-44 128,5 16,55-147,-11 71,35 28,-12-108,44 104,19-27,-55-82,108 130,74-17,-158-107,158 86,63-42,-212-55,155 28,42-22,-201-14,115-4,-10 2,-120 0,337-32,-39-32,-264 52,-116 24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5T16:50:29.259"/>
    </inkml:context>
    <inkml:brush xml:id="br0">
      <inkml:brushProperty name="width" value="0.035" units="cm"/>
      <inkml:brushProperty name="height" value="0.035" units="cm"/>
    </inkml:brush>
  </inkml:definitions>
  <inkml:trace contextRef="#ctx0" brushRef="#br0">1 0,'0'0,"0"0,0 0,0 0,0 0,0 0,0 0,16 0,-13 0,-6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9"/>
  <sheetViews>
    <sheetView rightToLeft="1" tabSelected="1" view="pageBreakPreview" topLeftCell="C5" zoomScale="130" zoomScaleNormal="100" zoomScaleSheetLayoutView="130" workbookViewId="0">
      <selection activeCell="G19" sqref="G19:J19"/>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8" t="s">
        <v>183</v>
      </c>
      <c r="C1" s="58"/>
      <c r="D1" s="58"/>
      <c r="E1" s="58"/>
      <c r="F1" s="58"/>
      <c r="G1" s="58"/>
      <c r="H1" s="58"/>
      <c r="I1" s="58"/>
      <c r="J1" s="58"/>
    </row>
    <row r="2" spans="1:10" ht="30" customHeight="1" x14ac:dyDescent="0.2">
      <c r="B2" s="12" t="s">
        <v>8</v>
      </c>
      <c r="C2" s="64" t="s">
        <v>11</v>
      </c>
      <c r="D2" s="64"/>
      <c r="E2" s="12" t="s">
        <v>7</v>
      </c>
      <c r="F2" s="59">
        <v>45956</v>
      </c>
      <c r="G2" s="59"/>
      <c r="H2" s="59"/>
      <c r="I2" s="59"/>
      <c r="J2" s="59"/>
    </row>
    <row r="3" spans="1:10" ht="30" customHeight="1" x14ac:dyDescent="0.2">
      <c r="B3" s="12" t="s">
        <v>9</v>
      </c>
      <c r="C3" s="64" t="s">
        <v>69</v>
      </c>
      <c r="D3" s="64"/>
      <c r="E3" s="12" t="s">
        <v>6</v>
      </c>
      <c r="F3" s="64" t="s">
        <v>135</v>
      </c>
      <c r="G3" s="64"/>
      <c r="H3" s="64"/>
      <c r="I3" s="64"/>
      <c r="J3" s="64"/>
    </row>
    <row r="4" spans="1:10" ht="30" customHeight="1" thickBot="1" x14ac:dyDescent="0.25">
      <c r="B4" s="6"/>
      <c r="C4" s="7"/>
      <c r="D4" s="7"/>
      <c r="E4" s="6"/>
      <c r="F4" s="7"/>
      <c r="G4" s="7"/>
      <c r="H4" s="8"/>
      <c r="I4" s="7"/>
      <c r="J4" s="7"/>
    </row>
    <row r="5" spans="1:10" ht="24.95" customHeight="1" x14ac:dyDescent="0.2">
      <c r="A5" s="10"/>
      <c r="B5" s="60" t="s">
        <v>0</v>
      </c>
      <c r="C5" s="61"/>
      <c r="D5" s="61"/>
      <c r="E5" s="71" t="s">
        <v>1</v>
      </c>
      <c r="F5" s="71"/>
      <c r="G5" s="71"/>
      <c r="H5" s="71"/>
      <c r="I5" s="71" t="s">
        <v>2</v>
      </c>
      <c r="J5" s="72"/>
    </row>
    <row r="6" spans="1:10" ht="24.95" customHeight="1" thickBot="1" x14ac:dyDescent="0.25">
      <c r="A6" s="10"/>
      <c r="B6" s="62"/>
      <c r="C6" s="63"/>
      <c r="D6" s="63"/>
      <c r="E6" s="11" t="s">
        <v>3</v>
      </c>
      <c r="F6" s="11" t="s">
        <v>4</v>
      </c>
      <c r="G6" s="11" t="s">
        <v>23</v>
      </c>
      <c r="H6" s="11" t="s">
        <v>24</v>
      </c>
      <c r="I6" s="73"/>
      <c r="J6" s="74"/>
    </row>
    <row r="7" spans="1:10" ht="24.95" customHeight="1" thickBot="1" x14ac:dyDescent="0.25">
      <c r="A7" s="10"/>
      <c r="B7" s="69" t="s">
        <v>21</v>
      </c>
      <c r="C7" s="70"/>
      <c r="D7" s="70"/>
      <c r="E7" s="28" t="s">
        <v>18</v>
      </c>
      <c r="F7" s="28" t="s">
        <v>19</v>
      </c>
      <c r="G7" s="28" t="s">
        <v>22</v>
      </c>
      <c r="H7" s="28" t="s">
        <v>20</v>
      </c>
      <c r="I7" s="75" t="s">
        <v>25</v>
      </c>
      <c r="J7" s="76"/>
    </row>
    <row r="8" spans="1:10" ht="30" customHeight="1" x14ac:dyDescent="0.2">
      <c r="A8" s="10"/>
      <c r="B8" s="81" t="s">
        <v>176</v>
      </c>
      <c r="C8" s="82"/>
      <c r="D8" s="82"/>
      <c r="E8" s="32">
        <v>10</v>
      </c>
      <c r="F8" s="33">
        <v>7.5</v>
      </c>
      <c r="G8" s="34">
        <f>IFERROR(F8/E8,"")</f>
        <v>0.75</v>
      </c>
      <c r="H8" s="35" t="str">
        <f>_xlfn.IFS(F8="أدخل العلامة","",F8="لا ينطبق","تم الإلغاء",G8&gt;=90%,"ممتاز",G8&gt;=80%,"جيد جداً",G8&gt;=70%,"جيد",G8&gt;=60%,"مقبول",G8&lt;60%,"راسب")</f>
        <v>جيد</v>
      </c>
      <c r="I8" s="77"/>
      <c r="J8" s="78"/>
    </row>
    <row r="9" spans="1:10" ht="30" customHeight="1" x14ac:dyDescent="0.2">
      <c r="A9" s="10"/>
      <c r="B9" s="39" t="s">
        <v>177</v>
      </c>
      <c r="C9" s="40"/>
      <c r="D9" s="40"/>
      <c r="E9" s="9">
        <v>10</v>
      </c>
      <c r="F9" s="26">
        <v>7.5</v>
      </c>
      <c r="G9" s="30">
        <f>IFERROR(F9/E9,"")</f>
        <v>0.75</v>
      </c>
      <c r="H9" s="31" t="str">
        <f>_xlfn.IFS(F9="أدخل العلامة","",F9="لا ينطبق","تم الإلغاء",G9&gt;=90%,"ممتاز",G9&gt;=80%,"جيد جداً",G9&gt;=70%,"جيد",G9&gt;=60%,"مقبول",G9&lt;60%,"راسب")</f>
        <v>جيد</v>
      </c>
      <c r="I9" s="65"/>
      <c r="J9" s="66"/>
    </row>
    <row r="10" spans="1:10" ht="30" customHeight="1" x14ac:dyDescent="0.2">
      <c r="A10" s="10"/>
      <c r="B10" s="39" t="s">
        <v>178</v>
      </c>
      <c r="C10" s="40"/>
      <c r="D10" s="40"/>
      <c r="E10" s="9">
        <v>10</v>
      </c>
      <c r="F10" s="26">
        <v>7.5</v>
      </c>
      <c r="G10" s="30">
        <f t="shared" ref="G10:G14" si="0">IFERROR(F10/E10,"")</f>
        <v>0.75</v>
      </c>
      <c r="H10" s="31" t="str">
        <f t="shared" ref="H10:H14" si="1">_xlfn.IFS(F10="أدخل العلامة","",F10="لا ينطبق","تم الإلغاء",G10&gt;=90%,"ممتاز",G10&gt;=80%,"جيد جداً",G10&gt;=70%,"جيد",G10&gt;=60%,"مقبول",G10&lt;60%,"راسب")</f>
        <v>جيد</v>
      </c>
      <c r="I10" s="65"/>
      <c r="J10" s="66"/>
    </row>
    <row r="11" spans="1:10" ht="30" customHeight="1" x14ac:dyDescent="0.2">
      <c r="A11" s="10"/>
      <c r="B11" s="39" t="s">
        <v>179</v>
      </c>
      <c r="C11" s="40"/>
      <c r="D11" s="40"/>
      <c r="E11" s="9">
        <v>10</v>
      </c>
      <c r="F11" s="26">
        <v>7.5</v>
      </c>
      <c r="G11" s="30">
        <f t="shared" si="0"/>
        <v>0.75</v>
      </c>
      <c r="H11" s="31" t="str">
        <f t="shared" si="1"/>
        <v>جيد</v>
      </c>
      <c r="I11" s="65"/>
      <c r="J11" s="66"/>
    </row>
    <row r="12" spans="1:10" ht="50.1" customHeight="1" x14ac:dyDescent="0.2">
      <c r="A12" s="10"/>
      <c r="B12" s="39" t="s">
        <v>180</v>
      </c>
      <c r="C12" s="40"/>
      <c r="D12" s="40"/>
      <c r="E12" s="9">
        <v>10</v>
      </c>
      <c r="F12" s="26">
        <v>7.25</v>
      </c>
      <c r="G12" s="30">
        <f t="shared" si="0"/>
        <v>0.72499999999999998</v>
      </c>
      <c r="H12" s="31" t="str">
        <f t="shared" si="1"/>
        <v>جيد</v>
      </c>
      <c r="I12" s="65"/>
      <c r="J12" s="66"/>
    </row>
    <row r="13" spans="1:10" ht="50.1" customHeight="1" x14ac:dyDescent="0.2">
      <c r="A13" s="10"/>
      <c r="B13" s="39" t="s">
        <v>181</v>
      </c>
      <c r="C13" s="40"/>
      <c r="D13" s="40"/>
      <c r="E13" s="9">
        <v>10</v>
      </c>
      <c r="F13" s="26">
        <v>7.25</v>
      </c>
      <c r="G13" s="30">
        <f t="shared" si="0"/>
        <v>0.72499999999999998</v>
      </c>
      <c r="H13" s="31" t="str">
        <f t="shared" si="1"/>
        <v>جيد</v>
      </c>
      <c r="I13" s="65"/>
      <c r="J13" s="66"/>
    </row>
    <row r="14" spans="1:10" ht="50.1" customHeight="1" thickBot="1" x14ac:dyDescent="0.25">
      <c r="A14" s="10"/>
      <c r="B14" s="79" t="s">
        <v>182</v>
      </c>
      <c r="C14" s="80"/>
      <c r="D14" s="80"/>
      <c r="E14" s="36">
        <v>10</v>
      </c>
      <c r="F14" s="27">
        <v>7.5</v>
      </c>
      <c r="G14" s="37">
        <f t="shared" si="0"/>
        <v>0.75</v>
      </c>
      <c r="H14" s="38" t="str">
        <f t="shared" si="1"/>
        <v>جيد</v>
      </c>
      <c r="I14" s="67"/>
      <c r="J14" s="68"/>
    </row>
    <row r="15" spans="1:10" ht="30" customHeight="1" thickBot="1" x14ac:dyDescent="0.25">
      <c r="A15" s="4"/>
      <c r="B15" s="54" t="s">
        <v>5</v>
      </c>
      <c r="C15" s="55"/>
      <c r="D15" s="55"/>
      <c r="E15" s="29">
        <f>SUM(E8:E14)</f>
        <v>70</v>
      </c>
      <c r="F15" s="29">
        <f>SUM(F8:F14)</f>
        <v>52</v>
      </c>
      <c r="G15" s="43"/>
      <c r="H15" s="44"/>
      <c r="I15" s="44"/>
      <c r="J15" s="45"/>
    </row>
    <row r="16" spans="1:10" ht="30" customHeight="1" thickBot="1" x14ac:dyDescent="0.25">
      <c r="A16" s="4"/>
      <c r="B16" s="56" t="s">
        <v>54</v>
      </c>
      <c r="C16" s="57"/>
      <c r="D16" s="57"/>
      <c r="E16" s="46">
        <f>F15/E15/100*100</f>
        <v>0.74285714285714288</v>
      </c>
      <c r="F16" s="46"/>
      <c r="G16" s="46"/>
      <c r="H16" s="46"/>
      <c r="I16" s="46"/>
      <c r="J16" s="47"/>
    </row>
    <row r="17" spans="1:10" ht="30" customHeight="1" thickBot="1" x14ac:dyDescent="0.25">
      <c r="A17" s="4"/>
      <c r="B17" s="56" t="s">
        <v>55</v>
      </c>
      <c r="C17" s="57"/>
      <c r="D17" s="57"/>
      <c r="E17" s="52" t="str">
        <f>_xlfn.IFS(E16&gt;=90%,"ممتاز",E16&gt;=80%,"جيد جداً",E16&gt;=70%,"جيد",E16&gt;=60%,"مقبول",E16&lt;60%,"راسب")</f>
        <v>جيد</v>
      </c>
      <c r="F17" s="52"/>
      <c r="G17" s="52"/>
      <c r="H17" s="52"/>
      <c r="I17" s="52"/>
      <c r="J17" s="53"/>
    </row>
    <row r="18" spans="1:10" ht="42" customHeight="1" x14ac:dyDescent="0.2">
      <c r="B18" s="48" t="s">
        <v>175</v>
      </c>
      <c r="C18" s="48"/>
      <c r="D18" s="48"/>
      <c r="E18" s="41" t="s">
        <v>52</v>
      </c>
      <c r="F18" s="41"/>
      <c r="G18" s="50" t="s">
        <v>135</v>
      </c>
      <c r="H18" s="50"/>
      <c r="I18" s="50"/>
      <c r="J18" s="50"/>
    </row>
    <row r="19" spans="1:10" ht="51" customHeight="1" x14ac:dyDescent="0.2">
      <c r="A19" s="5"/>
      <c r="B19" s="49"/>
      <c r="C19" s="49"/>
      <c r="D19" s="49"/>
      <c r="E19" s="42" t="s">
        <v>53</v>
      </c>
      <c r="F19" s="42"/>
      <c r="G19" s="51"/>
      <c r="H19" s="51"/>
      <c r="I19" s="51"/>
      <c r="J19" s="51"/>
    </row>
  </sheetData>
  <sheetProtection sheet="1" formatCells="0" formatColumns="0" formatRows="0" insertColumns="0" insertRows="0" insertHyperlinks="0" deleteColumns="0" deleteRows="0" selectLockedCells="1" sort="0" autoFilter="0" pivotTables="0"/>
  <mergeCells count="35">
    <mergeCell ref="B14:D14"/>
    <mergeCell ref="I9:J9"/>
    <mergeCell ref="I11:J11"/>
    <mergeCell ref="I12:J12"/>
    <mergeCell ref="B8:D8"/>
    <mergeCell ref="B9:D9"/>
    <mergeCell ref="B10:D10"/>
    <mergeCell ref="B7:D7"/>
    <mergeCell ref="E5:H5"/>
    <mergeCell ref="I5:J6"/>
    <mergeCell ref="I7:J7"/>
    <mergeCell ref="I10:J10"/>
    <mergeCell ref="I8:J8"/>
    <mergeCell ref="B1:J1"/>
    <mergeCell ref="F2:J2"/>
    <mergeCell ref="B5:D6"/>
    <mergeCell ref="C2:D2"/>
    <mergeCell ref="C3:D3"/>
    <mergeCell ref="F3:J3"/>
    <mergeCell ref="B11:D11"/>
    <mergeCell ref="B12:D12"/>
    <mergeCell ref="E18:F18"/>
    <mergeCell ref="E19:F19"/>
    <mergeCell ref="G15:J15"/>
    <mergeCell ref="E16:J16"/>
    <mergeCell ref="B18:D19"/>
    <mergeCell ref="G18:J18"/>
    <mergeCell ref="G19:J19"/>
    <mergeCell ref="E17:J17"/>
    <mergeCell ref="B15:D15"/>
    <mergeCell ref="B16:D16"/>
    <mergeCell ref="B17:D17"/>
    <mergeCell ref="I13:J13"/>
    <mergeCell ref="I14:J14"/>
    <mergeCell ref="B13:D1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17">
    <cfRule type="expression" dxfId="14" priority="57">
      <formula>$E17="راسب"</formula>
    </cfRule>
  </conditionalFormatting>
  <conditionalFormatting sqref="E17:J17">
    <cfRule type="expression" dxfId="13" priority="60">
      <formula>$E17="جيد جداً"</formula>
    </cfRule>
    <cfRule type="expression" dxfId="12" priority="59">
      <formula>$E17="جيد"</formula>
    </cfRule>
    <cfRule type="expression" dxfId="11" priority="58">
      <formula>$E17="مقبول"</formula>
    </cfRule>
    <cfRule type="expression" dxfId="10" priority="61">
      <formula>$E17="ممتاز"</formula>
    </cfRule>
  </conditionalFormatting>
  <conditionalFormatting sqref="F8:F14">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18:J18">
    <cfRule type="containsText" dxfId="6" priority="15" operator="containsText" text="أدخل اسم المحكم">
      <formula>NOT(ISERROR(SEARCH("أدخل اسم المحكم",G18)))</formula>
    </cfRule>
  </conditionalFormatting>
  <conditionalFormatting sqref="H8:H14">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التقييم'!$A$111:$A$153</xm:f>
          </x14:formula1>
          <xm:sqref>F8:F14</xm:sqref>
        </x14:dataValidation>
        <x14:dataValidation type="list" allowBlank="1" showInputMessage="1" showErrorMessage="1" xr:uid="{AE50457C-7424-4A4C-907B-8DC6AA09E7A3}">
          <x14:formula1>
            <xm:f>'بيانات التقييم'!$A$198:$A$285</xm:f>
          </x14:formula1>
          <xm:sqref>G18:J18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139"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2025-10-22T08:55:22Z</dcterms:modified>
</cp:coreProperties>
</file>