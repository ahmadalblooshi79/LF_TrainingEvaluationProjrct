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093C3B8-C993-F844-AEE8-09DBEE3483F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<sst xmlns="http://schemas.openxmlformats.org/spreadsheetml/2006/main" count="247" uniqueCount="191">
  <si>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</si>
  <si>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</si>
  <si>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</si>
  <si>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</si>
  <si>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</si>
  <si>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</si>
  <si>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</si>
  <si>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</si>
  <si>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</si>
  <si>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</si>
  <si>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</si>
  <si>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</si>
  <si>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</si>
  <si>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</si>
  <si>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</si>
  <si>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</si>
  <si>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</si>
  <si>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</si>
  <si>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</si>
  <si>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</si>
  <si>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</si>
  <si>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</si>
  <si>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</si>
  <si>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</si>
  <si>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</si>
  <si>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</si>
  <si>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</si>
  <si>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</si>
  <si>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</si>
  <si>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</si>
  <si>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</si>
  <si>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</si>
  <si>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</si>
  <si>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</si>
  <si>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</si>
  <si>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</si>
  <si>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</si>
  <si>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</si>
  <si>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</si>
  <si>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</si>
  <si>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</si>
  <si>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</si>
  <si>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</si>
  <si>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</si>
  <si>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</si>
  <si>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</si>
  <si>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</si>
  <si>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</si>
  <si>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</si>
  <si>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</si>
  <si>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</si>
  <si>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</si>
  <si>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</si>
  <si>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</si>
  <si>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</si>
  <si>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</si>
  <si>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</si>
  <si>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</si>
  <si>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</si>
  <si>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</si>
  <si>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</si>
  <si>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</si>
  <si>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</si>
  <si>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</si>
  <si>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</si>
  <si>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</si>
  <si>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</si>
  <si>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</si>
  <si>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</si>
  <si>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</si>
  <si>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</si>
  <si>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</si>
  <si>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</si>
  <si>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</si>
  <si>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</si>
  <si>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</si>
  <si>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</si>
  <si>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</si>
  <si>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</si>
  <si>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</si>
  <si>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</si>
  <si>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</si>
  <si>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</si>
  <si>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</si>
  <si>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</si>
  <si>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</si>
  <si>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</si>
  <si>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</si>
  <si>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</si>
  <si>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</si>
  <si>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</si>
  <si>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</si>
  <si>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</si>
  <si>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</si>
  <si>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</si>
  <si>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</si>
  <si>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</si>
  <si>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</si>
  <si>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</si>
  <si>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</si>
  <si>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</si>
  <si>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</si>
  <si>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</si>
  <si>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</si>
  <si>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</si>
  <si>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</si>
  <si>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</si>
  <si>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</si>
  <si>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</si>
  <si>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</si>
  <si>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</si>
  <si>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</si>
  <si>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</si>
  <si>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</si>
  <si>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</si>
  <si>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</si>
  <si>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</si>
  <si>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</si>
  <si>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</si>
  <si>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</si>
  <si>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</si>
  <si>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</si>
  <si>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</si>
  <si>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</si>
  <si>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</si>
  <si>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</si>
  <si>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</si>
  <si>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</si>
  <si>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</si>
  <si>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</si>
  <si>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</si>
  <si>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</si>
  <si>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</si>
  <si>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</si>
  <si>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</si>
  <si>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</si>
  <si>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</si>
  <si>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</si>
  <si>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</si>
  <si>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</si>
  <si>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</si>
  <si>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</si>
  <si>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</si>
  <si>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</si>
  <si>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</si>
  <si>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</si>
  <si>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</si>
  <si>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</si>
  <si>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</si>
  <si>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</si>
  <si>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</si>
  <si>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</si>
  <si>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</si>
  <si>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</si>
  <si>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</si>
  <si>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</si>
  <si>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</si>
  <si>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</si>
  <si>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</si>
  <si>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</si>
  <si>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</si>
  <si>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</si>
  <si>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</si>
  <si>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</si>
  <si>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</si>
  <si>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</si>
  <si>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</si>
  <si>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</si>
  <si>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</si>
  <si>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</si>
  <si>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</si>
  <si>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</si>
  <si>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</si>
  <si>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</si>
  <si>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</si>
  <si>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</si>
  <si>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</si>
  <si>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</si>
  <si>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</si>
  <si>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</si>
  <si>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</si>
  <si>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</si>
  <si>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</si>
  <si>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</si>
  <si>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</si>
  <si>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</si>
  <si>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</si>
  <si>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</si>
  <si>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</si>
  <si>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</si>
  <si>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معضلة/1 -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</si>
</sst>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216825</xdr:colOff>
      <xdr:row>22</xdr:row>
      <xdr:rowOff>56108</xdr:rowOff>
    </xdr:from>
    <xdr:to>
      <xdr:col>8</xdr:col>
      <xdr:colOff>137604</xdr:colOff>
      <xdr:row>22</xdr:row>
      <xdr:rowOff>493148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24EDFB1-6FD7-53B7-5653-F9F50FFC58C2}"/>
                </a:ext>
              </a:extLst>
            </xdr14:cNvPr>
            <xdr14:cNvContentPartPr/>
          </xdr14:nvContentPartPr>
          <xdr14:nvPr macro=""/>
          <xdr14:xfrm>
            <a:off x="10399107305" y="10366200"/>
            <a:ext cx="1236960" cy="437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24EDFB1-6FD7-53B7-5653-F9F50FFC58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98665" y="10357200"/>
              <a:ext cx="1254600" cy="45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385665</xdr:colOff>
      <xdr:row>22</xdr:row>
      <xdr:rowOff>465788</xdr:rowOff>
    </xdr:from>
    <xdr:to>
      <xdr:col>6</xdr:col>
      <xdr:colOff>386025</xdr:colOff>
      <xdr:row>22</xdr:row>
      <xdr:rowOff>479468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7027F25-D1EC-3361-FB42-08B3B74FAF8C}"/>
                </a:ext>
              </a:extLst>
            </xdr14:cNvPr>
            <xdr14:cNvContentPartPr/>
          </xdr14:nvContentPartPr>
          <xdr14:nvPr macro=""/>
          <xdr14:xfrm>
            <a:off x="10400175065" y="10775880"/>
            <a:ext cx="360" cy="136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7027F25-D1EC-3361-FB42-08B3B74FAF8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66065" y="10767240"/>
              <a:ext cx="18000" cy="31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0:19.5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3132 139 13314,'0'0'0,"0"-12"1153,0 6-673,0 6-480,0-13 168,3 9-80,-3 2-136,0 2-64,0 0 112,2 0-184,-2 0-16,0 0 16,0 0 32,0 0 152,3 0-136,-1 0-8,3 0 23,-3 0 33,-2 0 88,5 3-32,0 0 0,7 1-48,-10 1-16,-2-5 96,17 12-64,-5-9 24,3 11 16,-1-1-32,-14-13 56,14 16-104,1 1 0,2 4 48,0 1 0,-17-22 56,21 22-24,-2 1 0,-2 0-24,0 0 32,-17-23 16,15 22-24,-1 1-8,0 0-8,-9-2 16,-5-21 24,15 20-48,-11 1 88,-4-2 24,0 1 32,0-20-96,0 18 256,0-1 8,0 0 16,-12-1 1,12-16-281,-12 14 224,-2 0-8,-5-1-16,-3 1-32,22-14-168,-26 12 176,-3-1-16,-5 1-16,-2-8-8,36-4-136,-36 4 120,2 0 24,-4-1 0,-1-3 16,39 0-160,-45 0 184,4-4-56,0 0 32,5-8-48,36 12-112,-36-4 96,7 0-56,-3-2-16,8 2-8,24 4-16,-24-4-16,5 2 40,2 1-56,3 1-24,14 0 56,-3 0-72,-11 0-80,9 4 32,-7 0-32,12-4 152,-2 12-120,-13-10 88,8 10-24,-7-9-24,14-3 80,-17 12-24,0-7-56,-2 6 120,-3-7 16,22-4-56,-29 12 40,-4-9 8,-1 8-8,-7-8 40,41-3-80,-41 4 24,-7 7-16,-10-8-24,-2 9 24,60-12-8,-67 4 24,-8 12-56,-4-4 32,-15 5 0,94-17 0,-94 20-40,-12 3 64,3 1-8,-8 3-56,111-27 40,-113 29 16,3-1 40,1 0-24,-4-1 24,113-27-56,-108 28 32,0-4 40,2 0 8,7-1 0,99-23-80,-98 18 56,6-1 24,8-3 0,5-9 0,79-5-80,-67 11 112,9-11-32,10 3-8,7-3 8,41 0-80,-31 0 72,9-2 0,7 0 8,11-3-8,4 5-72,0-3 104,0-1 32,0 0-48,9-7 24,-9 11-112,20-12 24,6-2-32,10-6 32,10-3-16,-46 23-8,50-24 24,8-1 24,5-1 16,9 0-16,-72 26-48,69-27 48,11-1-24,-1-2 8,10-1-40,-89 31 8,94-34-16,5-5 112,6 1-32,4-2 56,-109 40-120,113-41 48,-5 0-24,5-2-48,-5 0-40,-108 43 64,109-41 72,-6 0-72,-4 0-8,-10 0 16,-89 41-8,84-40 0,-2-2-24,-15 0 72,-7 2-24,-60 40-24,53-37 40,-15 2 41,-4 6 95,-7 4-120,-27 25-56,19-23 88,-5 7 8,-14 2 24,0 3 144,0 11-264,0-5 248,0 1-24,0 0-128,-7-1 32,7 5-128,-14-1 176,11 1-48,-11 0 24,7 4-232,7-4 80,-15 19-24,1-1-40,-1 8 16,-4 7 128,19-33-80,-14 38 8,-1 7 8,-2 7-8,15 2 16,2-54-24,-12 56-48,9 1 88,3 2-32,-2 2-16,2-61 8,0 62-80,2-1 32,1 1 32,2-6 144,-5-56-128,4 54-8,11-4-32,-15-3-24,17-4-216,-17-43 280,9 38 112,3-1 8,-7-4-96,10-2 88,-15-31-112,2 28-112,12-3-40,-9-4 176,0-5-48,-5-16 24,2 11 0,3-7 64,0 8-208,-2-12-88,-3 0 232,4 0-488,-4 0-537,0 0-823,5-5-1977,-5 5 3825,0-14-8498,0 14 8498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0:19.9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38 18595,'0'0'0,"0"0"0,0-17-3624,0-3-5938,0 20 9562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C10" zoomScale="130" zoomScaleNormal="100" zoomScaleSheetLayoutView="130" workbookViewId="0">
      <selection activeCell="G23" sqref="G23:J2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4" t="s">
        <v>190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>
      <c r="B2" s="11" t="s">
        <v>8</v>
      </c>
      <c r="C2" s="60" t="s">
        <v>37</v>
      </c>
      <c r="D2" s="60"/>
      <c r="E2" s="11" t="s">
        <v>7</v>
      </c>
      <c r="F2" s="55">
        <v>45913</v>
      </c>
      <c r="G2" s="55"/>
      <c r="H2" s="55"/>
      <c r="I2" s="55"/>
      <c r="J2" s="55"/>
    </row>
    <row r="3" spans="1:10" ht="30" customHeight="1">
      <c r="B3" s="11" t="s">
        <v>9</v>
      </c>
      <c r="C3" s="60" t="s">
        <v>78</v>
      </c>
      <c r="D3" s="60"/>
      <c r="E3" s="11" t="s">
        <v>6</v>
      </c>
      <c r="F3" s="60" t="s">
        <v>134</v>
      </c>
      <c r="G3" s="60"/>
      <c r="H3" s="60"/>
      <c r="I3" s="60"/>
      <c r="J3" s="6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5" customHeight="1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>
      <c r="A8" s="9"/>
      <c r="B8" s="39" t="s">
        <v>188</v>
      </c>
      <c r="C8" s="39"/>
      <c r="D8" s="3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0"/>
    </row>
    <row r="9" spans="1:10" ht="39.950000000000003" customHeight="1">
      <c r="A9" s="9"/>
      <c r="B9" s="39" t="s">
        <v>180</v>
      </c>
      <c r="C9" s="39"/>
      <c r="D9" s="39"/>
      <c r="E9" s="32">
        <v>3</v>
      </c>
      <c r="F9" s="25">
        <v>2.25</v>
      </c>
      <c r="G9" s="33">
        <f t="shared" ref="G9" si="0">IFERROR(F9/E9,"")</f>
        <v>0.75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0"/>
    </row>
    <row r="10" spans="1:10" ht="39.950000000000003" customHeight="1">
      <c r="A10" s="9"/>
      <c r="B10" s="39" t="s">
        <v>182</v>
      </c>
      <c r="C10" s="41"/>
      <c r="D10" s="41"/>
      <c r="E10" s="32">
        <v>3</v>
      </c>
      <c r="F10" s="25">
        <v>2.25</v>
      </c>
      <c r="G10" s="33">
        <f t="shared" ref="G10" si="2">IFERROR(F10/E10,"")</f>
        <v>0.75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0"/>
    </row>
    <row r="11" spans="1:10" ht="30" customHeight="1">
      <c r="A11" s="9"/>
      <c r="B11" s="39" t="s">
        <v>178</v>
      </c>
      <c r="C11" s="39"/>
      <c r="D11" s="39"/>
      <c r="E11" s="32">
        <v>3</v>
      </c>
      <c r="F11" s="25">
        <v>2</v>
      </c>
      <c r="G11" s="33">
        <f>IFERROR(F11/E11,"")</f>
        <v>0.66666666666666663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مقبول</v>
      </c>
      <c r="I11" s="40"/>
      <c r="J11" s="40"/>
    </row>
    <row r="12" spans="1:10" ht="30" customHeight="1">
      <c r="A12" s="9"/>
      <c r="B12" s="39" t="s">
        <v>179</v>
      </c>
      <c r="C12" s="39"/>
      <c r="D12" s="39"/>
      <c r="E12" s="32">
        <v>3</v>
      </c>
      <c r="F12" s="25">
        <v>2</v>
      </c>
      <c r="G12" s="33">
        <f>IFERROR(F12/E12,"")</f>
        <v>0.66666666666666663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مقبول</v>
      </c>
      <c r="I12" s="40"/>
      <c r="J12" s="40"/>
    </row>
    <row r="13" spans="1:10" ht="39.950000000000003" customHeight="1">
      <c r="A13" s="9"/>
      <c r="B13" s="39" t="s">
        <v>189</v>
      </c>
      <c r="C13" s="39"/>
      <c r="D13" s="39"/>
      <c r="E13" s="32">
        <v>3</v>
      </c>
      <c r="F13" s="25">
        <v>2</v>
      </c>
      <c r="G13" s="33">
        <f t="shared" ref="G13:G18" si="4">IFERROR(F13/E13,"")</f>
        <v>0.66666666666666663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مقبول</v>
      </c>
      <c r="I13" s="40"/>
      <c r="J13" s="40"/>
    </row>
    <row r="14" spans="1:10" ht="30" customHeight="1">
      <c r="A14" s="9"/>
      <c r="B14" s="39" t="s">
        <v>183</v>
      </c>
      <c r="C14" s="39"/>
      <c r="D14" s="39"/>
      <c r="E14" s="32">
        <v>3</v>
      </c>
      <c r="F14" s="25">
        <v>2</v>
      </c>
      <c r="G14" s="33">
        <f t="shared" ref="G14" si="6">IFERROR(F14/E14,"")</f>
        <v>0.66666666666666663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مقبول</v>
      </c>
      <c r="I14" s="40"/>
      <c r="J14" s="40"/>
    </row>
    <row r="15" spans="1:10" ht="39.950000000000003" customHeight="1">
      <c r="A15" s="9"/>
      <c r="B15" s="39" t="s">
        <v>184</v>
      </c>
      <c r="C15" s="39"/>
      <c r="D15" s="39"/>
      <c r="E15" s="32">
        <v>3</v>
      </c>
      <c r="F15" s="25">
        <v>2</v>
      </c>
      <c r="G15" s="33">
        <f t="shared" ref="G15" si="8">IFERROR(F15/E15,"")</f>
        <v>0.66666666666666663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مقبول</v>
      </c>
      <c r="I15" s="40"/>
      <c r="J15" s="40"/>
    </row>
    <row r="16" spans="1:10" ht="60" customHeight="1">
      <c r="A16" s="9"/>
      <c r="B16" s="47" t="s">
        <v>185</v>
      </c>
      <c r="C16" s="48"/>
      <c r="D16" s="49"/>
      <c r="E16" s="32">
        <v>3</v>
      </c>
      <c r="F16" s="25">
        <v>2</v>
      </c>
      <c r="G16" s="33">
        <f t="shared" si="4"/>
        <v>0.66666666666666663</v>
      </c>
      <c r="H16" s="34" t="str">
        <f t="shared" si="5"/>
        <v>مقبول</v>
      </c>
      <c r="I16" s="40"/>
      <c r="J16" s="40"/>
    </row>
    <row r="17" spans="1:10" ht="39.950000000000003" customHeight="1">
      <c r="A17" s="9"/>
      <c r="B17" s="39" t="s">
        <v>186</v>
      </c>
      <c r="C17" s="41"/>
      <c r="D17" s="41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0"/>
      <c r="J17" s="40"/>
    </row>
    <row r="18" spans="1:10" ht="60" customHeight="1">
      <c r="A18" s="9"/>
      <c r="B18" s="39" t="s">
        <v>181</v>
      </c>
      <c r="C18" s="39"/>
      <c r="D18" s="39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0"/>
      <c r="J18" s="40"/>
    </row>
    <row r="19" spans="1:10" ht="30" customHeight="1" thickBot="1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23.25</v>
      </c>
      <c r="G19" s="42"/>
      <c r="H19" s="43"/>
      <c r="I19" s="43"/>
      <c r="J19" s="44"/>
    </row>
    <row r="20" spans="1:10" ht="30" customHeight="1" thickBot="1">
      <c r="A20" s="4"/>
      <c r="B20" s="75" t="s">
        <v>54</v>
      </c>
      <c r="C20" s="76"/>
      <c r="D20" s="76"/>
      <c r="E20" s="45">
        <f>F19/E19/100*100</f>
        <v>0.70454545454545459</v>
      </c>
      <c r="F20" s="45"/>
      <c r="G20" s="45"/>
      <c r="H20" s="45"/>
      <c r="I20" s="45"/>
      <c r="J20" s="46"/>
    </row>
    <row r="21" spans="1:10" ht="30" customHeight="1" thickBot="1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جيد</v>
      </c>
      <c r="F21" s="65"/>
      <c r="G21" s="65"/>
      <c r="H21" s="65"/>
      <c r="I21" s="65"/>
      <c r="J21" s="66"/>
    </row>
    <row r="22" spans="1:10" ht="42" customHeight="1">
      <c r="B22" s="35" t="s">
        <v>187</v>
      </c>
      <c r="C22" s="35"/>
      <c r="D22" s="35"/>
      <c r="E22" s="77" t="s">
        <v>52</v>
      </c>
      <c r="F22" s="77"/>
      <c r="G22" s="37" t="s">
        <v>134</v>
      </c>
      <c r="H22" s="37"/>
      <c r="I22" s="37"/>
      <c r="J22" s="37"/>
    </row>
    <row r="23" spans="1:10" ht="51" customHeight="1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>
      <c r="A24" s="26">
        <v>3</v>
      </c>
      <c r="B24" s="67" t="s">
        <v>175</v>
      </c>
      <c r="C24" s="68"/>
    </row>
    <row r="25" spans="1:10">
      <c r="A25" s="27">
        <v>2</v>
      </c>
      <c r="B25" s="69" t="s">
        <v>176</v>
      </c>
      <c r="C25" s="70"/>
    </row>
    <row r="26" spans="1:10">
      <c r="A26" s="28">
        <v>1</v>
      </c>
      <c r="B26" s="71" t="s">
        <v>177</v>
      </c>
      <c r="C26" s="7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2025-10-09T10:01:44Z</dcterms:modified>
</cp:coreProperties>
</file>