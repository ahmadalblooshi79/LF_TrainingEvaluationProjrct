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1B56FBAD-CA06-43E6-BC64-787878E9C7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4" i="2"/>
  <c r="H14" i="2" s="1"/>
  <c r="G15" i="2"/>
  <c r="H15" i="2"/>
  <c r="G16" i="2"/>
  <c r="H16" i="2"/>
  <c r="G17" i="2"/>
  <c r="H17" i="2"/>
  <c r="G18" i="2"/>
  <c r="H18" i="2"/>
  <c r="G19" i="2"/>
  <c r="H19" i="2" s="1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30" i="2"/>
  <c r="H30" i="2"/>
  <c r="G31" i="2"/>
  <c r="H31" i="2"/>
  <c r="G32" i="2"/>
  <c r="H32" i="2"/>
  <c r="G33" i="2"/>
  <c r="H33" i="2"/>
  <c r="G34" i="2"/>
  <c r="H34" i="2" s="1"/>
  <c r="G35" i="2"/>
  <c r="H35" i="2"/>
  <c r="G36" i="2"/>
  <c r="H36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F50" i="2"/>
  <c r="E50" i="2"/>
  <c r="E51" i="2" l="1"/>
  <c r="E52" i="2" s="1"/>
</calcChain>
</file>

<file path=xl/sharedStrings.xml><?xml version="1.0" encoding="utf-8"?>
<sst xmlns="http://schemas.openxmlformats.org/spreadsheetml/2006/main" count="280" uniqueCount="223">
  <si>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</si>
  <si>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</si>
  <si>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</si>
  <si>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</si>
  <si>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</si>
  <si>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</si>
  <si>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</si>
  <si>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</si>
  <si>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</si>
  <si>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</si>
  <si>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</si>
  <si>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</si>
  <si>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</si>
  <si>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</si>
  <si>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</si>
  <si>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</si>
  <si>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</si>
  <si>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</si>
  <si>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</si>
  <si>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</si>
  <si>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</si>
  <si>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</si>
  <si>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</si>
  <si>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</si>
  <si>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</si>
  <si>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</si>
  <si>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</si>
  <si>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</si>
  <si>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</si>
  <si>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</si>
  <si>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</si>
  <si>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</si>
  <si>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</si>
  <si>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</si>
  <si>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</si>
  <si>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</si>
  <si>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</si>
  <si>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</si>
  <si>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</si>
  <si>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</si>
  <si>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</si>
  <si>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</si>
  <si>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</si>
  <si>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</si>
  <si>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</si>
  <si>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</si>
  <si>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</si>
  <si>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</si>
  <si>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</si>
  <si>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</si>
  <si>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</si>
  <si>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</si>
  <si>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</si>
  <si>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</si>
  <si>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</si>
  <si>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</si>
  <si>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</si>
  <si>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</si>
  <si>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</si>
  <si>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</si>
  <si>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</si>
  <si>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</si>
  <si>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</si>
  <si>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</si>
  <si>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</si>
  <si>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</si>
  <si>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</si>
  <si>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</si>
  <si>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</si>
  <si>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</si>
  <si>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</si>
  <si>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</si>
  <si>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</si>
  <si>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</si>
  <si>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</si>
  <si>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</si>
  <si>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</si>
  <si>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</si>
  <si>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</si>
  <si>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</si>
  <si>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</si>
  <si>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</si>
  <si>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</si>
  <si>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</si>
  <si>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</si>
  <si>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</si>
  <si>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</si>
  <si>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</si>
  <si>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</si>
  <si>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</si>
  <si>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</si>
  <si>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</si>
  <si>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</si>
  <si>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</si>
  <si>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</si>
  <si>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</si>
  <si>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</si>
  <si>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</si>
  <si>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</si>
  <si>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</si>
  <si>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</si>
  <si>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</si>
  <si>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</si>
  <si>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</si>
  <si>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</si>
  <si>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</si>
  <si>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</si>
  <si>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</si>
  <si>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</si>
  <si>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</si>
  <si>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</si>
  <si>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</si>
  <si>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</si>
  <si>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</si>
  <si>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</si>
  <si>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</si>
  <si>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</si>
  <si>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</si>
  <si>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</si>
  <si>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</si>
  <si>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</si>
  <si>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</si>
  <si>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</si>
  <si>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</si>
  <si>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</si>
  <si>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</si>
  <si>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</si>
  <si>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</si>
  <si>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</si>
  <si>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</si>
  <si>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</si>
  <si>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</si>
  <si>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</si>
  <si>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</si>
  <si>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</si>
  <si>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</si>
  <si>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</si>
  <si>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</si>
  <si>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</si>
  <si>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</si>
  <si>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</si>
  <si>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</si>
  <si>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</si>
  <si>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</si>
  <si>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</si>
  <si>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</si>
  <si>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</si>
  <si>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</si>
  <si>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</si>
  <si>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</si>
  <si>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</si>
  <si>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</si>
  <si>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</si>
  <si>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</si>
  <si>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</si>
  <si>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</si>
  <si>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</si>
  <si>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</si>
  <si>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</si>
  <si>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</si>
  <si>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</si>
  <si>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</si>
  <si>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</si>
  <si>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</si>
  <si>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</si>
  <si>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</si>
  <si>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</si>
  <si>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</si>
  <si>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</si>
  <si>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</si>
  <si>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</si>
  <si>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</si>
  <si>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</si>
  <si>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</si>
  <si>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</si>
  <si>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</si>
  <si>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</si>
  <si>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</si>
  <si>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</si>
  <si>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</si>
  <si>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سرية الـ م/د في التنقل التعبوي من منطقة الحشد إلى منطقة التجمع الأمامية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</si>
  <si>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مرحلة التخطيط</t>
  </si>
  <si>
    <r>
      <t>1.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فهم القادة في سرية الـ م/د للموقف باستخدام معدات الاتصال المتوفرة، والخرائط، وتقارير الموقف، ومصادر المعلومات المتوفرة الأخرى.</t>
    </r>
  </si>
  <si>
    <r>
      <t>2.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تسلم سرية الـ م/د أمر العمليات أو الأمر المجزأ لتنفيذ عملية التنقل التعبوي والبدء بإجراءات التخطيط وكما يلي:</t>
    </r>
  </si>
  <si>
    <t>أ. تحديد متطلبات التنقل.</t>
  </si>
  <si>
    <t>ب. طلب المنتجات الاستخبارية المحدّثة من مجموعة اللواء في حالة عدم استلامها مع أمر العمليات.</t>
  </si>
  <si>
    <r>
      <t>3.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تنفيذ سرية الـ م/د من الخارطة لتحديد ما يلي:</t>
    </r>
  </si>
  <si>
    <t>أ. طريق/ طرق التنقل في حالة عدم تحديدها في أمر مجموعة اللواء.</t>
  </si>
  <si>
    <t>ب. مقتربات العدو الأكثر احتمالاً (في حال كان التماس مع العدو متوقعاً).</t>
  </si>
  <si>
    <t>جـ. نقطة البدء ونقطة الانتشار.</t>
  </si>
  <si>
    <t>د. المناطق الحرجة، مثل المناطق الخطرة، الممرات الضيقة، الخوانق، نقاط السيطرة على المسير.</t>
  </si>
  <si>
    <t>هـ. منطقة التجمع ومنطقة المأوى.</t>
  </si>
  <si>
    <r>
      <t>4.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دفع عناصر سرية الـ م/د والمراقبة مبكراً للمساعدة في عملية التخطيط (حسب الحاجة).</t>
    </r>
  </si>
  <si>
    <r>
      <t>5.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تحديد إجراءات الحماية التي سيتم تطبيقها قبل وأثناء وبعد التنقل.</t>
    </r>
  </si>
  <si>
    <r>
      <t>6.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إصدار الأوامر المرؤوسين، وتقديم إجازات تأكيدية من القادة المرؤوسين فور استلامهم للأوامر للتأكد من فهمهم لقصد القائد ومفهوم عملياته.</t>
    </r>
  </si>
  <si>
    <r>
      <t>7.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التأكد من توفر الطرق والظروف المناسبة للتنقل إذا لم يتم تحديد الطرق من قبل مجموعة اللواء.</t>
    </r>
  </si>
  <si>
    <r>
      <t>8.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التأكد من ملائمة نقطة البدء ونقطة الانتشار.</t>
    </r>
  </si>
  <si>
    <r>
      <t>9.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التأكد من المسافة بين نقاط الضبط والسيطرة على الطرق والمسافة الكلية من نقطة البدء وحتى نقطة الانتشار.</t>
    </r>
  </si>
  <si>
    <r>
      <t>10.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التأكد من موقع منطقة التجمع أو المأوى.</t>
    </r>
  </si>
  <si>
    <r>
      <t>11.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التأكد من مواقع نقاط الضبط والسيطرة على الطريق عند الطلب.</t>
    </r>
  </si>
  <si>
    <r>
      <t>12.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تحديد وتأشير الموانع.</t>
    </r>
  </si>
  <si>
    <t>مرحلة التحضير</t>
  </si>
  <si>
    <r>
      <t>1.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تقوم سرية الـ م/د بالتحضير للتنقل التعبوي كما يلي:</t>
    </r>
  </si>
  <si>
    <t>أ. قيام السرية باستطلاع الطريق المؤدي إلى نقطة البدء وتحديد الوقت الدقيق للوصول إليها.</t>
  </si>
  <si>
    <t>ب. تنفيذ تفقدات وتفتيشات ما قبل المعركة.</t>
  </si>
  <si>
    <t>جـ. الإشراف على إجراءات التأكد من أن جهود التخطيط والتحضير تجري في الاتجاه الصحيح وتتوافق مع قصد القائد.</t>
  </si>
  <si>
    <t>د. إجراء التجارب خلال ساعات النهار وفي ظل ظروف الرؤية المحدودة إن أمكن.</t>
  </si>
  <si>
    <t>هـ. تحميل كافة الآليات وفقاً لخطة التحميل وخطة الإدامة.</t>
  </si>
  <si>
    <t>و. فحص أجهزة الاتصالات في كافة الآليات قبل البدء بالحركة.</t>
  </si>
  <si>
    <r>
      <t>2.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توضيع عناصر سرية الـ م/د ضمن نظام المسير الصحيح.</t>
    </r>
  </si>
  <si>
    <t>مرحلة التنفيذ</t>
  </si>
  <si>
    <r>
      <t>1.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اجتياز نقطة البدء في الوقت المحدد في أمر العمليات أو الأمر المجزأ.</t>
    </r>
  </si>
  <si>
    <r>
      <t>2.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استخدام التشكيلة المحددة، أسلوب التنقل ومعدل المسير والمحافظة على السرعة الملائمة للوصول إلى نقاط الضبط والسيطرة في الأوقات المحددة في الأمر.</t>
    </r>
  </si>
  <si>
    <r>
      <t>3.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استخدام إشارات التعارف البصرية أو الأجهزة اللاسلكية للاتصال مع الوحدات وبما يتوافق مع أمر العمليات والأوامر التعبوية المستديمة.</t>
    </r>
  </si>
  <si>
    <r>
      <t>4.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إدامة المراقبة لجميع الجهات بما في ذلك المراقبة الجوية أثناء الحركة والوقفات.</t>
    </r>
  </si>
  <si>
    <r>
      <t>5.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تمرير المعلومات عند اجتياز نقاط الضبط والسيطرة بما يتوافق مع أمر العمليات والأوامر التعبوية المستديمة.</t>
    </r>
  </si>
  <si>
    <r>
      <t>6.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تنفيذ الوقفات المبرمجة ضمن المسافات الاعتيادية وبما يتوافق مع أمر العمليات أو الأوامر التعبوية المستديمة في حالة سمح الموقف التعبوي بذلك، والقيام بإجراء الصيانة الوقائية وإعادة التزود بالوقود عند الضرورة.</t>
    </r>
  </si>
  <si>
    <r>
      <t>7.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التعامل مع الموانع حسب الأوامر.</t>
    </r>
  </si>
  <si>
    <r>
      <t>8.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تمرير مواقع الوحدات لمجموعة اللواء وحسب الطلب.</t>
    </r>
  </si>
  <si>
    <r>
      <t>9.</t>
    </r>
    <r>
      <rPr>
        <sz val="7"/>
        <color rgb="FF000000"/>
        <rFont val="Times New Roman"/>
        <family val="1"/>
      </rPr>
      <t xml:space="preserve">           </t>
    </r>
    <r>
      <rPr>
        <sz val="12"/>
        <color rgb="FF000000"/>
        <rFont val="Arial"/>
        <family val="2"/>
      </rPr>
      <t>الوصول إلى نقاط الانتشار واجتيازها حسب الوقت المحدد في أمر العمليات.</t>
    </r>
  </si>
  <si>
    <r>
      <t>10.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تمرير المعلومات عند الوصول إلى نقاط الانتشار واتمام اجتيازها دون توقف.</t>
    </r>
  </si>
  <si>
    <r>
      <t>11.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تعين الأدلاء منطقة التجمع الخاصة بقيادة اللواء.</t>
    </r>
  </si>
  <si>
    <r>
      <t>12.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تطبيق الانتشار وإجراءات التخفية والتمويه الملائمة.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</si>
</sst>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0"/>
      <color theme="1"/>
      <name val="Calibri Light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4C6E7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0" borderId="3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24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vertical="center" wrapText="1" readingOrder="2"/>
    </xf>
    <xf numFmtId="0" fontId="1" fillId="5" borderId="26" xfId="0" applyFont="1" applyFill="1" applyBorder="1" applyAlignment="1">
      <alignment vertical="center" wrapText="1" readingOrder="2"/>
    </xf>
    <xf numFmtId="0" fontId="1" fillId="5" borderId="27" xfId="0" applyFont="1" applyFill="1" applyBorder="1" applyAlignment="1">
      <alignment vertical="center" wrapText="1" readingOrder="2"/>
    </xf>
    <xf numFmtId="0" fontId="12" fillId="0" borderId="24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470517</xdr:colOff>
      <xdr:row>52</xdr:row>
      <xdr:rowOff>495140</xdr:rowOff>
    </xdr:from>
    <xdr:to>
      <xdr:col>9</xdr:col>
      <xdr:colOff>276783</xdr:colOff>
      <xdr:row>55</xdr:row>
      <xdr:rowOff>104082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حبر 1">
              <a:extLst>
                <a:ext uri="{FF2B5EF4-FFF2-40B4-BE49-F238E27FC236}">
                  <a16:creationId xmlns:a16="http://schemas.microsoft.com/office/drawing/2014/main" id="{55E30C69-1F8D-B67C-C000-C166BFC8C4BA}"/>
                </a:ext>
              </a:extLst>
            </xdr14:cNvPr>
            <xdr14:cNvContentPartPr/>
          </xdr14:nvContentPartPr>
          <xdr14:nvPr macro=""/>
          <xdr14:xfrm>
            <a:off x="11438162945" y="23291640"/>
            <a:ext cx="1953720" cy="959760"/>
          </xdr14:xfrm>
        </xdr:contentPart>
      </mc:Choice>
      <mc:Fallback xmlns="">
        <xdr:pic>
          <xdr:nvPicPr>
            <xdr:cNvPr id="2" name="حبر 1">
              <a:extLst>
                <a:ext uri="{FF2B5EF4-FFF2-40B4-BE49-F238E27FC236}">
                  <a16:creationId xmlns:a16="http://schemas.microsoft.com/office/drawing/2014/main" id="{55E30C69-1F8D-B67C-C000-C166BFC8C4B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38153945" y="23282640"/>
              <a:ext cx="1971360" cy="977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2T19:35:26.84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684 1418,'0'0,"0"0,0 0,0 0,0 0,0 0,-12 0,-3 16,13-14,-10 12,-1 3,11-15,-38 12,11 19,24-28,-17 6,-21 21,37-27,-15 23,-21 4,33-27,3 23,-21-12,23-13,-22 27,26-14,0-13,0-3,30-3,-26 3,61-16,34-17,-85 28,83-39,86-37,-156 68,156-72,69-46,-210 110,153-88,57-21,-212 110,145-107,10-3,-163 110,104-57,74-70,-176 124,100-68,-35 9,-84 69,40-22,-28 2,-21 28,30-6,-22-5,-12 12,-18 8,3-4,11 0,-11 16,-28 16,36-28,-18 25,-6-13,26-13,-36 27,-31 51,60-68,-49 72,17-36,33-42,-24 51,-9-9,34-41,2 16,6 9,0-28,0 6,14 5,-12-13,23-22,3 3,-22 14,29-12,7-3,-33 14,24-26,-3 13,-26 13,19 6,-8-3,-13 0,-4 16,2 16,0-27,-30 23,3 21,23-41,-34 32,11-7,21-27,-30 37,7-10,24-28,-18 23,-4-12,20-14,0 12,7 2,0-14,-15-4,9 2,27 0,-15 0,2 0,5-16,-12 13,12 6,-11-3,11 0,-11 0,-19 0,15 0,-10 16,-15 1,22-15,-18 12,-6 18,26-26,-49 5,22 21,27-27,-36 6,27 6,10-14,16-6,-11 3,36-17,75-31,-97 40,119-49,47-25,-156 70,168-90,58-28,-211 108,167-86,1-22,-176 108,143-71,20-5,-165 83,74-35,-21 2,-71 39,56-15,-28 8,-34 13,-2 6,-34 13,22-14,-29 12,-64 19,84-28,-123 71,-72 22,177-83,-201 101,-45 14,230-108,-226 118,-31 23,256-137,-208 111,-52 26,262-137,-198 111,-47 42,247-151,-202 123,-32 12,236-137,-149 95,-46 9,205-111,-143 76,52-13,105-70,-57 24,6-3,60-28,-20 22,18-10,11-14,-26 10,28-12,-12-2,12 17,0-13,0-22,0 18,27 2,1-17,-22 13,17-11,32-18,-45 27,64-39,66-37,-116 68,106-89,67-28,-164 108,172-102,46-56,-213 154,176-110,24-27,-199 137,173-95,14-26,-189 123,150-114,8-9,-163 123,119-99,-25 10,-105 94,69-76,-21 13,-58 68,20-37,-1-14,-28 54,8-27,-10-11,0 42,-12-35,-3-6,13 39,-53-31,-41 6,79 29,-92-6,-47 11,134 0,-123 0,-9 16,129-13,-76 12,3 1,83-14,-25 12,-2 2,34-14,-13 13,-7 1,24-14,-19 28,-7-13,27-15,6 28,12-14,-12-14,21 29,61 1,-71-27,85 7,69 20,-143-27,118 6,37 22,-148-28,92 22,29-10,-130-14,53 10,-22 19,-43-26,35 22,-4 4,-35-27,29 39,-9 5,-21-41,2 49,-8 8,0-55,-27 61,-44 27,60-81,-75 97,-40-1,105-94,-71 76,-20 3,94-82,-63 34,12-1,56-41,-16 0,-12 8,34-13,-14 10,-8 4,24-14,-18 10,9-13,14 0,0-16,29-1,-27 15,51-44,60-36,-96 69,119-72,32-13,-140 83,139-84,73-31,-202 108,147-70,24-6,-175 83,143-67,5 0,-150 68,119-69,-40 33,-92 42,46-33,4 9,-56 27,16-6,-8 2,-42 34,-21-9,-83 49,104-54,-127 77,-61 25,177-94,-201 92,-61 36,246-123,-212 115,-49 7,258-121,-205 114,-53 24,261-137,-212 126,-47 12,257-138,-194 110,-38 11,239-123,-165 99,-3-9,180-97,-90 47,22 1,84-54,-40 27,13-22,36-13,-3-6,9-13,0 14,0 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4"/>
  <sheetViews>
    <sheetView rightToLeft="1" tabSelected="1" view="pageBreakPreview" topLeftCell="A47" zoomScale="130" zoomScaleNormal="100" zoomScaleSheetLayoutView="130" workbookViewId="0">
      <selection activeCell="B35" sqref="B35:D35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21875" style="1" customWidth="1"/>
    <col min="8" max="8" width="9.21875" style="3" customWidth="1"/>
    <col min="9" max="9" width="9.21875" style="1" customWidth="1"/>
    <col min="10" max="10" width="15.44140625" style="1" customWidth="1"/>
    <col min="11" max="16384" width="9" style="1"/>
  </cols>
  <sheetData>
    <row r="1" spans="1:10" ht="45" customHeight="1" x14ac:dyDescent="0.3">
      <c r="B1" s="48" t="s">
        <v>180</v>
      </c>
      <c r="C1" s="48"/>
      <c r="D1" s="48"/>
      <c r="E1" s="48"/>
      <c r="F1" s="48"/>
      <c r="G1" s="48"/>
      <c r="H1" s="48"/>
      <c r="I1" s="48"/>
      <c r="J1" s="48"/>
    </row>
    <row r="2" spans="1:10" ht="30" customHeight="1" x14ac:dyDescent="0.3">
      <c r="B2" s="10" t="s">
        <v>8</v>
      </c>
      <c r="C2" s="54" t="s">
        <v>27</v>
      </c>
      <c r="D2" s="54"/>
      <c r="E2" s="10" t="s">
        <v>7</v>
      </c>
      <c r="F2" s="49">
        <v>45952</v>
      </c>
      <c r="G2" s="49"/>
      <c r="H2" s="49"/>
      <c r="I2" s="49"/>
      <c r="J2" s="49"/>
    </row>
    <row r="3" spans="1:10" ht="30" customHeight="1" x14ac:dyDescent="0.3">
      <c r="B3" s="10" t="s">
        <v>9</v>
      </c>
      <c r="C3" s="54" t="s">
        <v>70</v>
      </c>
      <c r="D3" s="54"/>
      <c r="E3" s="10" t="s">
        <v>6</v>
      </c>
      <c r="F3" s="54" t="s">
        <v>115</v>
      </c>
      <c r="G3" s="54"/>
      <c r="H3" s="54"/>
      <c r="I3" s="54"/>
      <c r="J3" s="54"/>
    </row>
    <row r="4" spans="1:10" ht="30" customHeight="1" thickBot="1" x14ac:dyDescent="0.35">
      <c r="B4" s="6"/>
      <c r="C4" s="75"/>
      <c r="D4" s="75"/>
      <c r="E4" s="6"/>
      <c r="F4" s="75"/>
      <c r="G4" s="75"/>
      <c r="H4" s="75"/>
      <c r="I4" s="75"/>
      <c r="J4" s="75"/>
    </row>
    <row r="5" spans="1:10" ht="24.9" customHeight="1" x14ac:dyDescent="0.3">
      <c r="A5" s="8"/>
      <c r="B5" s="50" t="s">
        <v>0</v>
      </c>
      <c r="C5" s="51"/>
      <c r="D5" s="51"/>
      <c r="E5" s="61" t="s">
        <v>1</v>
      </c>
      <c r="F5" s="61"/>
      <c r="G5" s="61"/>
      <c r="H5" s="61"/>
      <c r="I5" s="61" t="s">
        <v>2</v>
      </c>
      <c r="J5" s="62"/>
    </row>
    <row r="6" spans="1:10" ht="24.9" customHeight="1" thickBot="1" x14ac:dyDescent="0.35">
      <c r="A6" s="8"/>
      <c r="B6" s="52"/>
      <c r="C6" s="53"/>
      <c r="D6" s="53"/>
      <c r="E6" s="9" t="s">
        <v>3</v>
      </c>
      <c r="F6" s="9" t="s">
        <v>4</v>
      </c>
      <c r="G6" s="9" t="s">
        <v>23</v>
      </c>
      <c r="H6" s="9" t="s">
        <v>24</v>
      </c>
      <c r="I6" s="63"/>
      <c r="J6" s="64"/>
    </row>
    <row r="7" spans="1:10" ht="24.9" customHeight="1" thickBot="1" x14ac:dyDescent="0.35">
      <c r="A7" s="8"/>
      <c r="B7" s="57" t="s">
        <v>21</v>
      </c>
      <c r="C7" s="58"/>
      <c r="D7" s="58"/>
      <c r="E7" s="26" t="s">
        <v>18</v>
      </c>
      <c r="F7" s="26" t="s">
        <v>19</v>
      </c>
      <c r="G7" s="26" t="s">
        <v>22</v>
      </c>
      <c r="H7" s="26" t="s">
        <v>20</v>
      </c>
      <c r="I7" s="65" t="s">
        <v>25</v>
      </c>
      <c r="J7" s="66"/>
    </row>
    <row r="8" spans="1:10" ht="30" customHeight="1" x14ac:dyDescent="0.3">
      <c r="A8" s="8"/>
      <c r="B8" s="38" t="s">
        <v>181</v>
      </c>
      <c r="C8" s="39"/>
      <c r="D8" s="39"/>
      <c r="E8" s="39"/>
      <c r="F8" s="39"/>
      <c r="G8" s="39"/>
      <c r="H8" s="39"/>
      <c r="I8" s="39"/>
      <c r="J8" s="40"/>
    </row>
    <row r="9" spans="1:10" ht="39.9" customHeight="1" x14ac:dyDescent="0.3">
      <c r="A9" s="8"/>
      <c r="B9" s="34" t="s">
        <v>182</v>
      </c>
      <c r="C9" s="35"/>
      <c r="D9" s="35"/>
      <c r="E9" s="7">
        <v>5</v>
      </c>
      <c r="F9" s="24">
        <v>4</v>
      </c>
      <c r="G9" s="28">
        <f>IFERROR(F9/E9,"")</f>
        <v>0.8</v>
      </c>
      <c r="H9" s="29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9"/>
      <c r="J9" s="60"/>
    </row>
    <row r="10" spans="1:10" ht="39.9" customHeight="1" x14ac:dyDescent="0.3">
      <c r="A10" s="8"/>
      <c r="B10" s="34" t="s">
        <v>183</v>
      </c>
      <c r="C10" s="35"/>
      <c r="D10" s="35"/>
      <c r="E10" s="7"/>
      <c r="F10" s="24"/>
      <c r="G10" s="28"/>
      <c r="H10" s="29"/>
      <c r="I10" s="59"/>
      <c r="J10" s="60"/>
    </row>
    <row r="11" spans="1:10" ht="30" customHeight="1" x14ac:dyDescent="0.3">
      <c r="A11" s="8"/>
      <c r="B11" s="41" t="s">
        <v>184</v>
      </c>
      <c r="C11" s="42"/>
      <c r="D11" s="42"/>
      <c r="E11" s="7">
        <v>5</v>
      </c>
      <c r="F11" s="24">
        <v>3.75</v>
      </c>
      <c r="G11" s="28">
        <f t="shared" ref="G11:G49" si="0">IFERROR(F11/E11,"")</f>
        <v>0.75</v>
      </c>
      <c r="H11" s="29" t="str">
        <f t="shared" ref="H11:H49" si="1">_xlfn.IFS(F11="أدخل العلامة","",F11="لا ينطبق","تم الإلغاء",G11&gt;=90%,"ممتاز",G11&gt;=80%,"جيد جداً",G11&gt;=70%,"جيد",G11&gt;=60%,"مقبول",G11&lt;60%,"راسب")</f>
        <v>جيد</v>
      </c>
      <c r="I11" s="59"/>
      <c r="J11" s="60"/>
    </row>
    <row r="12" spans="1:10" ht="39.9" customHeight="1" x14ac:dyDescent="0.3">
      <c r="A12" s="8"/>
      <c r="B12" s="41" t="s">
        <v>185</v>
      </c>
      <c r="C12" s="42"/>
      <c r="D12" s="42"/>
      <c r="E12" s="7">
        <v>5</v>
      </c>
      <c r="F12" s="24">
        <v>3.5</v>
      </c>
      <c r="G12" s="28">
        <f t="shared" si="0"/>
        <v>0.7</v>
      </c>
      <c r="H12" s="29" t="str">
        <f t="shared" si="1"/>
        <v>جيد</v>
      </c>
      <c r="I12" s="59"/>
      <c r="J12" s="60"/>
    </row>
    <row r="13" spans="1:10" ht="30" customHeight="1" x14ac:dyDescent="0.3">
      <c r="A13" s="8"/>
      <c r="B13" s="34" t="s">
        <v>186</v>
      </c>
      <c r="C13" s="35"/>
      <c r="D13" s="35"/>
      <c r="E13" s="30"/>
      <c r="F13" s="24"/>
      <c r="G13" s="28"/>
      <c r="H13" s="29"/>
      <c r="I13" s="59"/>
      <c r="J13" s="60"/>
    </row>
    <row r="14" spans="1:10" ht="30" customHeight="1" x14ac:dyDescent="0.3">
      <c r="A14" s="8"/>
      <c r="B14" s="41" t="s">
        <v>187</v>
      </c>
      <c r="C14" s="42"/>
      <c r="D14" s="42"/>
      <c r="E14" s="7">
        <v>5</v>
      </c>
      <c r="F14" s="24">
        <v>3.5</v>
      </c>
      <c r="G14" s="28">
        <f t="shared" si="0"/>
        <v>0.7</v>
      </c>
      <c r="H14" s="29" t="str">
        <f t="shared" si="1"/>
        <v>جيد</v>
      </c>
      <c r="I14" s="59"/>
      <c r="J14" s="60"/>
    </row>
    <row r="15" spans="1:10" ht="39.9" customHeight="1" x14ac:dyDescent="0.3">
      <c r="A15" s="8"/>
      <c r="B15" s="41" t="s">
        <v>188</v>
      </c>
      <c r="C15" s="42"/>
      <c r="D15" s="42"/>
      <c r="E15" s="7">
        <v>5</v>
      </c>
      <c r="F15" s="24">
        <v>3.75</v>
      </c>
      <c r="G15" s="28">
        <f t="shared" si="0"/>
        <v>0.75</v>
      </c>
      <c r="H15" s="29" t="str">
        <f t="shared" si="1"/>
        <v>جيد</v>
      </c>
      <c r="I15" s="59"/>
      <c r="J15" s="60"/>
    </row>
    <row r="16" spans="1:10" ht="30" customHeight="1" x14ac:dyDescent="0.3">
      <c r="A16" s="8"/>
      <c r="B16" s="41" t="s">
        <v>189</v>
      </c>
      <c r="C16" s="42"/>
      <c r="D16" s="42"/>
      <c r="E16" s="7">
        <v>5</v>
      </c>
      <c r="F16" s="24">
        <v>3.5</v>
      </c>
      <c r="G16" s="28">
        <f t="shared" si="0"/>
        <v>0.7</v>
      </c>
      <c r="H16" s="29" t="str">
        <f t="shared" si="1"/>
        <v>جيد</v>
      </c>
      <c r="I16" s="59"/>
      <c r="J16" s="60"/>
    </row>
    <row r="17" spans="1:10" ht="39.9" customHeight="1" x14ac:dyDescent="0.3">
      <c r="A17" s="8"/>
      <c r="B17" s="41" t="s">
        <v>190</v>
      </c>
      <c r="C17" s="42"/>
      <c r="D17" s="42"/>
      <c r="E17" s="7">
        <v>5</v>
      </c>
      <c r="F17" s="24">
        <v>3.5</v>
      </c>
      <c r="G17" s="28">
        <f t="shared" si="0"/>
        <v>0.7</v>
      </c>
      <c r="H17" s="29" t="str">
        <f t="shared" si="1"/>
        <v>جيد</v>
      </c>
      <c r="I17" s="59"/>
      <c r="J17" s="60"/>
    </row>
    <row r="18" spans="1:10" ht="30" customHeight="1" x14ac:dyDescent="0.3">
      <c r="A18" s="8"/>
      <c r="B18" s="41" t="s">
        <v>191</v>
      </c>
      <c r="C18" s="42"/>
      <c r="D18" s="42"/>
      <c r="E18" s="7">
        <v>5</v>
      </c>
      <c r="F18" s="24">
        <v>3.75</v>
      </c>
      <c r="G18" s="28">
        <f t="shared" si="0"/>
        <v>0.75</v>
      </c>
      <c r="H18" s="29" t="str">
        <f t="shared" si="1"/>
        <v>جيد</v>
      </c>
      <c r="I18" s="59"/>
      <c r="J18" s="60"/>
    </row>
    <row r="19" spans="1:10" ht="39.9" customHeight="1" x14ac:dyDescent="0.3">
      <c r="A19" s="8"/>
      <c r="B19" s="34" t="s">
        <v>192</v>
      </c>
      <c r="C19" s="35"/>
      <c r="D19" s="35"/>
      <c r="E19" s="7">
        <v>5</v>
      </c>
      <c r="F19" s="24">
        <v>3.5</v>
      </c>
      <c r="G19" s="28">
        <f t="shared" si="0"/>
        <v>0.7</v>
      </c>
      <c r="H19" s="29" t="str">
        <f t="shared" si="1"/>
        <v>جيد</v>
      </c>
      <c r="I19" s="59"/>
      <c r="J19" s="60"/>
    </row>
    <row r="20" spans="1:10" ht="30" customHeight="1" x14ac:dyDescent="0.3">
      <c r="A20" s="8"/>
      <c r="B20" s="34" t="s">
        <v>193</v>
      </c>
      <c r="C20" s="35"/>
      <c r="D20" s="35"/>
      <c r="E20" s="7">
        <v>5</v>
      </c>
      <c r="F20" s="24">
        <v>3.75</v>
      </c>
      <c r="G20" s="28">
        <f t="shared" si="0"/>
        <v>0.75</v>
      </c>
      <c r="H20" s="29" t="str">
        <f t="shared" si="1"/>
        <v>جيد</v>
      </c>
      <c r="I20" s="59"/>
      <c r="J20" s="60"/>
    </row>
    <row r="21" spans="1:10" ht="54.9" customHeight="1" x14ac:dyDescent="0.3">
      <c r="A21" s="8"/>
      <c r="B21" s="34" t="s">
        <v>194</v>
      </c>
      <c r="C21" s="35"/>
      <c r="D21" s="35"/>
      <c r="E21" s="7">
        <v>5</v>
      </c>
      <c r="F21" s="24">
        <v>3.5</v>
      </c>
      <c r="G21" s="28">
        <f t="shared" si="0"/>
        <v>0.7</v>
      </c>
      <c r="H21" s="29" t="str">
        <f t="shared" si="1"/>
        <v>جيد</v>
      </c>
      <c r="I21" s="59"/>
      <c r="J21" s="60"/>
    </row>
    <row r="22" spans="1:10" ht="39.9" customHeight="1" x14ac:dyDescent="0.3">
      <c r="A22" s="8"/>
      <c r="B22" s="34" t="s">
        <v>195</v>
      </c>
      <c r="C22" s="35"/>
      <c r="D22" s="35"/>
      <c r="E22" s="7">
        <v>5</v>
      </c>
      <c r="F22" s="24">
        <v>3.75</v>
      </c>
      <c r="G22" s="28">
        <f t="shared" si="0"/>
        <v>0.75</v>
      </c>
      <c r="H22" s="29" t="str">
        <f t="shared" si="1"/>
        <v>جيد</v>
      </c>
      <c r="I22" s="59"/>
      <c r="J22" s="60"/>
    </row>
    <row r="23" spans="1:10" ht="30" customHeight="1" x14ac:dyDescent="0.3">
      <c r="A23" s="8"/>
      <c r="B23" s="34" t="s">
        <v>196</v>
      </c>
      <c r="C23" s="35"/>
      <c r="D23" s="35"/>
      <c r="E23" s="7">
        <v>5</v>
      </c>
      <c r="F23" s="24">
        <v>3.75</v>
      </c>
      <c r="G23" s="28">
        <f t="shared" si="0"/>
        <v>0.75</v>
      </c>
      <c r="H23" s="29" t="str">
        <f t="shared" si="1"/>
        <v>جيد</v>
      </c>
      <c r="I23" s="59"/>
      <c r="J23" s="60"/>
    </row>
    <row r="24" spans="1:10" ht="39.9" customHeight="1" x14ac:dyDescent="0.3">
      <c r="A24" s="8"/>
      <c r="B24" s="34" t="s">
        <v>197</v>
      </c>
      <c r="C24" s="35"/>
      <c r="D24" s="35"/>
      <c r="E24" s="7">
        <v>5</v>
      </c>
      <c r="F24" s="24">
        <v>3.75</v>
      </c>
      <c r="G24" s="28">
        <f t="shared" si="0"/>
        <v>0.75</v>
      </c>
      <c r="H24" s="29" t="str">
        <f t="shared" si="1"/>
        <v>جيد</v>
      </c>
      <c r="I24" s="59"/>
      <c r="J24" s="60"/>
    </row>
    <row r="25" spans="1:10" ht="30" customHeight="1" x14ac:dyDescent="0.3">
      <c r="A25" s="8"/>
      <c r="B25" s="34" t="s">
        <v>198</v>
      </c>
      <c r="C25" s="35"/>
      <c r="D25" s="35"/>
      <c r="E25" s="7">
        <v>5</v>
      </c>
      <c r="F25" s="24">
        <v>3.75</v>
      </c>
      <c r="G25" s="28">
        <f t="shared" si="0"/>
        <v>0.75</v>
      </c>
      <c r="H25" s="29" t="str">
        <f t="shared" si="1"/>
        <v>جيد</v>
      </c>
      <c r="I25" s="59"/>
      <c r="J25" s="60"/>
    </row>
    <row r="26" spans="1:10" ht="30" customHeight="1" x14ac:dyDescent="0.3">
      <c r="A26" s="8"/>
      <c r="B26" s="34" t="s">
        <v>199</v>
      </c>
      <c r="C26" s="35"/>
      <c r="D26" s="35"/>
      <c r="E26" s="7">
        <v>5</v>
      </c>
      <c r="F26" s="24">
        <v>3.75</v>
      </c>
      <c r="G26" s="28">
        <f t="shared" si="0"/>
        <v>0.75</v>
      </c>
      <c r="H26" s="29" t="str">
        <f t="shared" si="1"/>
        <v>جيد</v>
      </c>
      <c r="I26" s="59"/>
      <c r="J26" s="60"/>
    </row>
    <row r="27" spans="1:10" ht="30" customHeight="1" thickBot="1" x14ac:dyDescent="0.35">
      <c r="A27" s="8"/>
      <c r="B27" s="36" t="s">
        <v>200</v>
      </c>
      <c r="C27" s="37"/>
      <c r="D27" s="37"/>
      <c r="E27" s="31">
        <v>5</v>
      </c>
      <c r="F27" s="25">
        <v>3.5</v>
      </c>
      <c r="G27" s="32">
        <f t="shared" si="0"/>
        <v>0.7</v>
      </c>
      <c r="H27" s="33" t="str">
        <f t="shared" si="1"/>
        <v>جيد</v>
      </c>
      <c r="I27" s="76"/>
      <c r="J27" s="77"/>
    </row>
    <row r="28" spans="1:10" ht="30" customHeight="1" x14ac:dyDescent="0.3">
      <c r="A28" s="8"/>
      <c r="B28" s="38" t="s">
        <v>201</v>
      </c>
      <c r="C28" s="39"/>
      <c r="D28" s="39"/>
      <c r="E28" s="39"/>
      <c r="F28" s="39"/>
      <c r="G28" s="39"/>
      <c r="H28" s="39"/>
      <c r="I28" s="39"/>
      <c r="J28" s="40"/>
    </row>
    <row r="29" spans="1:10" ht="30" customHeight="1" x14ac:dyDescent="0.3">
      <c r="A29" s="8"/>
      <c r="B29" s="34" t="s">
        <v>202</v>
      </c>
      <c r="C29" s="35"/>
      <c r="D29" s="35"/>
      <c r="E29" s="7"/>
      <c r="F29" s="24"/>
      <c r="G29" s="28"/>
      <c r="H29" s="29"/>
      <c r="I29" s="59"/>
      <c r="J29" s="60"/>
    </row>
    <row r="30" spans="1:10" ht="39.9" customHeight="1" x14ac:dyDescent="0.3">
      <c r="A30" s="8"/>
      <c r="B30" s="41" t="s">
        <v>203</v>
      </c>
      <c r="C30" s="42"/>
      <c r="D30" s="42"/>
      <c r="E30" s="7">
        <v>5</v>
      </c>
      <c r="F30" s="24">
        <v>3.75</v>
      </c>
      <c r="G30" s="28">
        <f t="shared" si="0"/>
        <v>0.75</v>
      </c>
      <c r="H30" s="29" t="str">
        <f t="shared" si="1"/>
        <v>جيد</v>
      </c>
      <c r="I30" s="59"/>
      <c r="J30" s="60"/>
    </row>
    <row r="31" spans="1:10" ht="30" customHeight="1" x14ac:dyDescent="0.3">
      <c r="A31" s="8"/>
      <c r="B31" s="41" t="s">
        <v>204</v>
      </c>
      <c r="C31" s="42"/>
      <c r="D31" s="42"/>
      <c r="E31" s="7">
        <v>5</v>
      </c>
      <c r="F31" s="24">
        <v>4</v>
      </c>
      <c r="G31" s="28">
        <f t="shared" si="0"/>
        <v>0.8</v>
      </c>
      <c r="H31" s="29" t="str">
        <f t="shared" si="1"/>
        <v>جيد جداً</v>
      </c>
      <c r="I31" s="59"/>
      <c r="J31" s="60"/>
    </row>
    <row r="32" spans="1:10" ht="39.9" customHeight="1" x14ac:dyDescent="0.3">
      <c r="A32" s="8"/>
      <c r="B32" s="41" t="s">
        <v>205</v>
      </c>
      <c r="C32" s="42"/>
      <c r="D32" s="42"/>
      <c r="E32" s="7">
        <v>5</v>
      </c>
      <c r="F32" s="24">
        <v>3.5</v>
      </c>
      <c r="G32" s="28">
        <f t="shared" si="0"/>
        <v>0.7</v>
      </c>
      <c r="H32" s="29" t="str">
        <f t="shared" si="1"/>
        <v>جيد</v>
      </c>
      <c r="I32" s="59"/>
      <c r="J32" s="60"/>
    </row>
    <row r="33" spans="1:10" ht="39.9" customHeight="1" x14ac:dyDescent="0.3">
      <c r="A33" s="8"/>
      <c r="B33" s="41" t="s">
        <v>206</v>
      </c>
      <c r="C33" s="42"/>
      <c r="D33" s="42"/>
      <c r="E33" s="7">
        <v>5</v>
      </c>
      <c r="F33" s="24">
        <v>3.75</v>
      </c>
      <c r="G33" s="28">
        <f t="shared" si="0"/>
        <v>0.75</v>
      </c>
      <c r="H33" s="29" t="str">
        <f t="shared" si="1"/>
        <v>جيد</v>
      </c>
      <c r="I33" s="59"/>
      <c r="J33" s="60"/>
    </row>
    <row r="34" spans="1:10" ht="30" customHeight="1" x14ac:dyDescent="0.3">
      <c r="A34" s="8"/>
      <c r="B34" s="41" t="s">
        <v>207</v>
      </c>
      <c r="C34" s="42"/>
      <c r="D34" s="42"/>
      <c r="E34" s="7">
        <v>0</v>
      </c>
      <c r="F34" s="24" t="s">
        <v>17</v>
      </c>
      <c r="G34" s="28" t="str">
        <f t="shared" si="0"/>
        <v/>
      </c>
      <c r="H34" s="29" t="str">
        <f t="shared" si="1"/>
        <v>تم الإلغاء</v>
      </c>
      <c r="I34" s="59"/>
      <c r="J34" s="60"/>
    </row>
    <row r="35" spans="1:10" ht="30" customHeight="1" x14ac:dyDescent="0.3">
      <c r="A35" s="8"/>
      <c r="B35" s="41" t="s">
        <v>208</v>
      </c>
      <c r="C35" s="42"/>
      <c r="D35" s="42"/>
      <c r="E35" s="7">
        <v>5</v>
      </c>
      <c r="F35" s="24">
        <v>4</v>
      </c>
      <c r="G35" s="28">
        <f t="shared" si="0"/>
        <v>0.8</v>
      </c>
      <c r="H35" s="29" t="str">
        <f t="shared" si="1"/>
        <v>جيد جداً</v>
      </c>
      <c r="I35" s="59"/>
      <c r="J35" s="60"/>
    </row>
    <row r="36" spans="1:10" ht="30" customHeight="1" thickBot="1" x14ac:dyDescent="0.35">
      <c r="A36" s="8"/>
      <c r="B36" s="36" t="s">
        <v>209</v>
      </c>
      <c r="C36" s="37"/>
      <c r="D36" s="37"/>
      <c r="E36" s="31">
        <v>5</v>
      </c>
      <c r="F36" s="25">
        <v>3.75</v>
      </c>
      <c r="G36" s="32">
        <f t="shared" si="0"/>
        <v>0.75</v>
      </c>
      <c r="H36" s="33" t="str">
        <f t="shared" si="1"/>
        <v>جيد</v>
      </c>
      <c r="I36" s="76"/>
      <c r="J36" s="77"/>
    </row>
    <row r="37" spans="1:10" ht="30" customHeight="1" x14ac:dyDescent="0.3">
      <c r="A37" s="8"/>
      <c r="B37" s="38" t="s">
        <v>210</v>
      </c>
      <c r="C37" s="39"/>
      <c r="D37" s="39"/>
      <c r="E37" s="39"/>
      <c r="F37" s="39"/>
      <c r="G37" s="39"/>
      <c r="H37" s="39"/>
      <c r="I37" s="39"/>
      <c r="J37" s="40"/>
    </row>
    <row r="38" spans="1:10" ht="30" customHeight="1" x14ac:dyDescent="0.3">
      <c r="A38" s="8"/>
      <c r="B38" s="34" t="s">
        <v>211</v>
      </c>
      <c r="C38" s="35"/>
      <c r="D38" s="35"/>
      <c r="E38" s="7">
        <v>5</v>
      </c>
      <c r="F38" s="24">
        <v>3.75</v>
      </c>
      <c r="G38" s="28">
        <f t="shared" si="0"/>
        <v>0.75</v>
      </c>
      <c r="H38" s="29" t="str">
        <f t="shared" si="1"/>
        <v>جيد</v>
      </c>
      <c r="I38" s="59"/>
      <c r="J38" s="60"/>
    </row>
    <row r="39" spans="1:10" ht="54.9" customHeight="1" x14ac:dyDescent="0.3">
      <c r="A39" s="8"/>
      <c r="B39" s="34" t="s">
        <v>212</v>
      </c>
      <c r="C39" s="35"/>
      <c r="D39" s="35"/>
      <c r="E39" s="7">
        <v>5</v>
      </c>
      <c r="F39" s="24">
        <v>3.5</v>
      </c>
      <c r="G39" s="28">
        <f t="shared" si="0"/>
        <v>0.7</v>
      </c>
      <c r="H39" s="29" t="str">
        <f t="shared" si="1"/>
        <v>جيد</v>
      </c>
      <c r="I39" s="59"/>
      <c r="J39" s="60"/>
    </row>
    <row r="40" spans="1:10" ht="39.9" customHeight="1" x14ac:dyDescent="0.3">
      <c r="A40" s="8"/>
      <c r="B40" s="34" t="s">
        <v>213</v>
      </c>
      <c r="C40" s="35"/>
      <c r="D40" s="35"/>
      <c r="E40" s="7">
        <v>5</v>
      </c>
      <c r="F40" s="24">
        <v>3.75</v>
      </c>
      <c r="G40" s="28">
        <f t="shared" si="0"/>
        <v>0.75</v>
      </c>
      <c r="H40" s="29" t="str">
        <f t="shared" si="1"/>
        <v>جيد</v>
      </c>
      <c r="I40" s="59"/>
      <c r="J40" s="60"/>
    </row>
    <row r="41" spans="1:10" ht="39.9" customHeight="1" x14ac:dyDescent="0.3">
      <c r="A41" s="8"/>
      <c r="B41" s="34" t="s">
        <v>214</v>
      </c>
      <c r="C41" s="35"/>
      <c r="D41" s="35"/>
      <c r="E41" s="7">
        <v>5</v>
      </c>
      <c r="F41" s="24">
        <v>3.5</v>
      </c>
      <c r="G41" s="28">
        <f t="shared" si="0"/>
        <v>0.7</v>
      </c>
      <c r="H41" s="29" t="str">
        <f t="shared" si="1"/>
        <v>جيد</v>
      </c>
      <c r="I41" s="59"/>
      <c r="J41" s="60"/>
    </row>
    <row r="42" spans="1:10" ht="39.9" customHeight="1" x14ac:dyDescent="0.3">
      <c r="A42" s="8"/>
      <c r="B42" s="34" t="s">
        <v>215</v>
      </c>
      <c r="C42" s="35"/>
      <c r="D42" s="35"/>
      <c r="E42" s="7">
        <v>5</v>
      </c>
      <c r="F42" s="24">
        <v>3.75</v>
      </c>
      <c r="G42" s="28">
        <f t="shared" si="0"/>
        <v>0.75</v>
      </c>
      <c r="H42" s="29" t="str">
        <f t="shared" si="1"/>
        <v>جيد</v>
      </c>
      <c r="I42" s="59"/>
      <c r="J42" s="60"/>
    </row>
    <row r="43" spans="1:10" ht="54.9" customHeight="1" x14ac:dyDescent="0.3">
      <c r="A43" s="8"/>
      <c r="B43" s="34" t="s">
        <v>216</v>
      </c>
      <c r="C43" s="35"/>
      <c r="D43" s="35"/>
      <c r="E43" s="7">
        <v>5</v>
      </c>
      <c r="F43" s="24">
        <v>3.75</v>
      </c>
      <c r="G43" s="28">
        <f t="shared" si="0"/>
        <v>0.75</v>
      </c>
      <c r="H43" s="29" t="str">
        <f t="shared" si="1"/>
        <v>جيد</v>
      </c>
      <c r="I43" s="59"/>
      <c r="J43" s="60"/>
    </row>
    <row r="44" spans="1:10" ht="30" customHeight="1" x14ac:dyDescent="0.3">
      <c r="A44" s="8"/>
      <c r="B44" s="34" t="s">
        <v>217</v>
      </c>
      <c r="C44" s="35"/>
      <c r="D44" s="35"/>
      <c r="E44" s="7">
        <v>5</v>
      </c>
      <c r="F44" s="24">
        <v>3.75</v>
      </c>
      <c r="G44" s="28">
        <f t="shared" si="0"/>
        <v>0.75</v>
      </c>
      <c r="H44" s="29" t="str">
        <f t="shared" si="1"/>
        <v>جيد</v>
      </c>
      <c r="I44" s="59"/>
      <c r="J44" s="60"/>
    </row>
    <row r="45" spans="1:10" ht="30" customHeight="1" x14ac:dyDescent="0.3">
      <c r="A45" s="8"/>
      <c r="B45" s="34" t="s">
        <v>218</v>
      </c>
      <c r="C45" s="35"/>
      <c r="D45" s="35"/>
      <c r="E45" s="7">
        <v>5</v>
      </c>
      <c r="F45" s="24">
        <v>3.75</v>
      </c>
      <c r="G45" s="28">
        <f t="shared" si="0"/>
        <v>0.75</v>
      </c>
      <c r="H45" s="29" t="str">
        <f t="shared" si="1"/>
        <v>جيد</v>
      </c>
      <c r="I45" s="59"/>
      <c r="J45" s="60"/>
    </row>
    <row r="46" spans="1:10" ht="39.9" customHeight="1" x14ac:dyDescent="0.3">
      <c r="A46" s="8"/>
      <c r="B46" s="34" t="s">
        <v>219</v>
      </c>
      <c r="C46" s="35"/>
      <c r="D46" s="35"/>
      <c r="E46" s="7">
        <v>5</v>
      </c>
      <c r="F46" s="24">
        <v>3.75</v>
      </c>
      <c r="G46" s="28">
        <f t="shared" si="0"/>
        <v>0.75</v>
      </c>
      <c r="H46" s="29" t="str">
        <f t="shared" si="1"/>
        <v>جيد</v>
      </c>
      <c r="I46" s="59"/>
      <c r="J46" s="60"/>
    </row>
    <row r="47" spans="1:10" ht="39.9" customHeight="1" x14ac:dyDescent="0.3">
      <c r="A47" s="8"/>
      <c r="B47" s="34" t="s">
        <v>220</v>
      </c>
      <c r="C47" s="35"/>
      <c r="D47" s="35"/>
      <c r="E47" s="7">
        <v>5</v>
      </c>
      <c r="F47" s="24">
        <v>3.5</v>
      </c>
      <c r="G47" s="28">
        <f t="shared" si="0"/>
        <v>0.7</v>
      </c>
      <c r="H47" s="29" t="str">
        <f t="shared" si="1"/>
        <v>جيد</v>
      </c>
      <c r="I47" s="59"/>
      <c r="J47" s="60"/>
    </row>
    <row r="48" spans="1:10" ht="30" customHeight="1" x14ac:dyDescent="0.3">
      <c r="A48" s="8"/>
      <c r="B48" s="34" t="s">
        <v>221</v>
      </c>
      <c r="C48" s="35"/>
      <c r="D48" s="35"/>
      <c r="E48" s="7">
        <v>5</v>
      </c>
      <c r="F48" s="24">
        <v>3.75</v>
      </c>
      <c r="G48" s="28">
        <f t="shared" si="0"/>
        <v>0.75</v>
      </c>
      <c r="H48" s="29" t="str">
        <f t="shared" si="1"/>
        <v>جيد</v>
      </c>
      <c r="I48" s="59"/>
      <c r="J48" s="60"/>
    </row>
    <row r="49" spans="1:10" ht="30" customHeight="1" thickBot="1" x14ac:dyDescent="0.35">
      <c r="A49" s="8"/>
      <c r="B49" s="36" t="s">
        <v>222</v>
      </c>
      <c r="C49" s="37"/>
      <c r="D49" s="37"/>
      <c r="E49" s="31">
        <v>5</v>
      </c>
      <c r="F49" s="25">
        <v>3.75</v>
      </c>
      <c r="G49" s="32">
        <f t="shared" si="0"/>
        <v>0.75</v>
      </c>
      <c r="H49" s="33" t="str">
        <f t="shared" si="1"/>
        <v>جيد</v>
      </c>
      <c r="I49" s="76"/>
      <c r="J49" s="77"/>
    </row>
    <row r="50" spans="1:10" ht="30" customHeight="1" thickBot="1" x14ac:dyDescent="0.35">
      <c r="A50" s="4"/>
      <c r="B50" s="78" t="s">
        <v>5</v>
      </c>
      <c r="C50" s="79"/>
      <c r="D50" s="79"/>
      <c r="E50" s="27">
        <f>SUM(E8:E49)</f>
        <v>175</v>
      </c>
      <c r="F50" s="27">
        <f>SUM(F8:F49)</f>
        <v>129.25</v>
      </c>
      <c r="G50" s="45"/>
      <c r="H50" s="46"/>
      <c r="I50" s="46"/>
      <c r="J50" s="47"/>
    </row>
    <row r="51" spans="1:10" ht="30" customHeight="1" thickBot="1" x14ac:dyDescent="0.35">
      <c r="A51" s="4"/>
      <c r="B51" s="73" t="s">
        <v>54</v>
      </c>
      <c r="C51" s="74"/>
      <c r="D51" s="74"/>
      <c r="E51" s="55">
        <f>F50/E50/100*100</f>
        <v>0.73857142857142855</v>
      </c>
      <c r="F51" s="55"/>
      <c r="G51" s="55"/>
      <c r="H51" s="55"/>
      <c r="I51" s="55"/>
      <c r="J51" s="56"/>
    </row>
    <row r="52" spans="1:10" ht="30" customHeight="1" thickBot="1" x14ac:dyDescent="0.35">
      <c r="A52" s="4"/>
      <c r="B52" s="73" t="s">
        <v>55</v>
      </c>
      <c r="C52" s="74"/>
      <c r="D52" s="74"/>
      <c r="E52" s="71" t="str">
        <f>_xlfn.IFS(E51&gt;=90%,"ممتاز",E51&gt;=80%,"جيد جداً",E51&gt;=70%,"جيد",E51&gt;=60%,"مقبول",E51&lt;60%,"راسب")</f>
        <v>جيد</v>
      </c>
      <c r="F52" s="71"/>
      <c r="G52" s="71"/>
      <c r="H52" s="71"/>
      <c r="I52" s="71"/>
      <c r="J52" s="72"/>
    </row>
    <row r="53" spans="1:10" ht="42" customHeight="1" x14ac:dyDescent="0.3">
      <c r="B53" s="67" t="s">
        <v>174</v>
      </c>
      <c r="C53" s="67"/>
      <c r="D53" s="67"/>
      <c r="E53" s="43" t="s">
        <v>52</v>
      </c>
      <c r="F53" s="43"/>
      <c r="G53" s="69" t="s">
        <v>115</v>
      </c>
      <c r="H53" s="69"/>
      <c r="I53" s="69"/>
      <c r="J53" s="69"/>
    </row>
    <row r="54" spans="1:10" ht="51" customHeight="1" x14ac:dyDescent="0.3">
      <c r="A54" s="5"/>
      <c r="B54" s="68"/>
      <c r="C54" s="68"/>
      <c r="D54" s="68"/>
      <c r="E54" s="44" t="s">
        <v>53</v>
      </c>
      <c r="F54" s="44"/>
      <c r="G54" s="70"/>
      <c r="H54" s="70"/>
      <c r="I54" s="70"/>
      <c r="J54" s="70"/>
    </row>
  </sheetData>
  <sheetProtection formatCells="0" formatColumns="0" formatRows="0" insertColumns="0" insertRows="0" insertHyperlinks="0" deleteColumns="0" deleteRows="0" selectLockedCells="1" sort="0" autoFilter="0" pivotTables="0"/>
  <mergeCells count="104">
    <mergeCell ref="I33:J33"/>
    <mergeCell ref="I34:J34"/>
    <mergeCell ref="I35:J35"/>
    <mergeCell ref="I36:J36"/>
    <mergeCell ref="B50:D50"/>
    <mergeCell ref="I26:J26"/>
    <mergeCell ref="I27:J27"/>
    <mergeCell ref="I45:J45"/>
    <mergeCell ref="I46:J46"/>
    <mergeCell ref="I47:J47"/>
    <mergeCell ref="I48:J48"/>
    <mergeCell ref="I41:J41"/>
    <mergeCell ref="I42:J42"/>
    <mergeCell ref="I43:J43"/>
    <mergeCell ref="I44:J44"/>
    <mergeCell ref="I49:J49"/>
    <mergeCell ref="B34:D34"/>
    <mergeCell ref="B11:D11"/>
    <mergeCell ref="B12:D12"/>
    <mergeCell ref="B13:D13"/>
    <mergeCell ref="B14:D14"/>
    <mergeCell ref="B15:D15"/>
    <mergeCell ref="B16:D16"/>
    <mergeCell ref="F4:J4"/>
    <mergeCell ref="C4:D4"/>
    <mergeCell ref="I32:J32"/>
    <mergeCell ref="B9:D9"/>
    <mergeCell ref="B10:D10"/>
    <mergeCell ref="I9:J9"/>
    <mergeCell ref="B17:D17"/>
    <mergeCell ref="I11:J11"/>
    <mergeCell ref="I12:J12"/>
    <mergeCell ref="I13:J13"/>
    <mergeCell ref="I14:J14"/>
    <mergeCell ref="I15:J15"/>
    <mergeCell ref="I16:J16"/>
    <mergeCell ref="I17:J17"/>
    <mergeCell ref="I18:J18"/>
    <mergeCell ref="I29:J29"/>
    <mergeCell ref="I19:J19"/>
    <mergeCell ref="I20:J20"/>
    <mergeCell ref="I21:J21"/>
    <mergeCell ref="I22:J22"/>
    <mergeCell ref="I23:J23"/>
    <mergeCell ref="I24:J24"/>
    <mergeCell ref="I25:J25"/>
    <mergeCell ref="E54:F54"/>
    <mergeCell ref="G50:J50"/>
    <mergeCell ref="B1:J1"/>
    <mergeCell ref="F2:J2"/>
    <mergeCell ref="B5:D6"/>
    <mergeCell ref="C2:D2"/>
    <mergeCell ref="C3:D3"/>
    <mergeCell ref="F3:J3"/>
    <mergeCell ref="E51:J51"/>
    <mergeCell ref="B7:D7"/>
    <mergeCell ref="I38:J38"/>
    <mergeCell ref="I39:J39"/>
    <mergeCell ref="I30:J30"/>
    <mergeCell ref="I31:J31"/>
    <mergeCell ref="E5:H5"/>
    <mergeCell ref="I5:J6"/>
    <mergeCell ref="I7:J7"/>
    <mergeCell ref="I10:J10"/>
    <mergeCell ref="B53:D54"/>
    <mergeCell ref="G53:J53"/>
    <mergeCell ref="G54:J54"/>
    <mergeCell ref="E52:J52"/>
    <mergeCell ref="I40:J40"/>
    <mergeCell ref="B51:D51"/>
    <mergeCell ref="B19:D19"/>
    <mergeCell ref="B20:D20"/>
    <mergeCell ref="B21:D21"/>
    <mergeCell ref="B22:D22"/>
    <mergeCell ref="B23:D23"/>
    <mergeCell ref="B24:D24"/>
    <mergeCell ref="B25:D25"/>
    <mergeCell ref="B44:D44"/>
    <mergeCell ref="E53:F53"/>
    <mergeCell ref="B52:D52"/>
    <mergeCell ref="B45:D45"/>
    <mergeCell ref="B46:D46"/>
    <mergeCell ref="B47:D47"/>
    <mergeCell ref="B48:D48"/>
    <mergeCell ref="B49:D49"/>
    <mergeCell ref="B37:J37"/>
    <mergeCell ref="B28:J28"/>
    <mergeCell ref="B8:J8"/>
    <mergeCell ref="B35:D35"/>
    <mergeCell ref="B36:D36"/>
    <mergeCell ref="B38:D38"/>
    <mergeCell ref="B39:D39"/>
    <mergeCell ref="B40:D40"/>
    <mergeCell ref="B41:D41"/>
    <mergeCell ref="B42:D42"/>
    <mergeCell ref="B43:D43"/>
    <mergeCell ref="B26:D26"/>
    <mergeCell ref="B27:D27"/>
    <mergeCell ref="B29:D29"/>
    <mergeCell ref="B30:D30"/>
    <mergeCell ref="B31:D31"/>
    <mergeCell ref="B32:D32"/>
    <mergeCell ref="B33:D33"/>
    <mergeCell ref="B18:D18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2">
    <cfRule type="expression" dxfId="21" priority="57">
      <formula>$E52="راسب"</formula>
    </cfRule>
  </conditionalFormatting>
  <conditionalFormatting sqref="E52:J52">
    <cfRule type="expression" dxfId="20" priority="60">
      <formula>$E52="جيد جداً"</formula>
    </cfRule>
    <cfRule type="expression" dxfId="19" priority="59">
      <formula>$E52="جيد"</formula>
    </cfRule>
    <cfRule type="expression" dxfId="18" priority="58">
      <formula>$E52="مقبول"</formula>
    </cfRule>
    <cfRule type="expression" dxfId="17" priority="61">
      <formula>$E52="ممتاز"</formula>
    </cfRule>
  </conditionalFormatting>
  <conditionalFormatting sqref="F9:F27">
    <cfRule type="containsText" dxfId="16" priority="4" operator="containsText" text="أدخل العلامة">
      <formula>NOT(ISERROR(SEARCH("أدخل العلامة",F9)))</formula>
    </cfRule>
  </conditionalFormatting>
  <conditionalFormatting sqref="F29:F36 F38:F49">
    <cfRule type="containsText" dxfId="15" priority="14" operator="containsText" text="أدخل العلامة">
      <formula>NOT(ISERROR(SEARCH("أدخل العلامة",F29)))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3:J53">
    <cfRule type="containsText" dxfId="12" priority="15" operator="containsText" text="أدخل اسم المحكم">
      <formula>NOT(ISERROR(SEARCH("أدخل اسم المحكم",G53)))</formula>
    </cfRule>
  </conditionalFormatting>
  <conditionalFormatting sqref="H9:H27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9:H36 H38:H49">
    <cfRule type="containsText" dxfId="5" priority="38" operator="containsText" text="أدخل العلامة">
      <formula>NOT(ISERROR(SEARCH("أدخل العلامة",H29)))</formula>
    </cfRule>
    <cfRule type="containsText" dxfId="4" priority="39" operator="containsText" text="ممتاز">
      <formula>NOT(ISERROR(SEARCH("ممتاز",H29)))</formula>
    </cfRule>
    <cfRule type="containsText" dxfId="3" priority="40" operator="containsText" text="جيد جداً">
      <formula>NOT(ISERROR(SEARCH("جيد جداً",H29)))</formula>
    </cfRule>
    <cfRule type="containsText" dxfId="2" priority="41" operator="containsText" text="جيد">
      <formula>NOT(ISERROR(SEARCH("جيد",H29)))</formula>
    </cfRule>
    <cfRule type="containsText" dxfId="1" priority="42" operator="containsText" text="مقبول">
      <formula>NOT(ISERROR(SEARCH("مقبول",H29)))</formula>
    </cfRule>
    <cfRule type="containsText" dxfId="0" priority="43" operator="containsText" text="راسب">
      <formula>NOT(ISERROR(SEARCH("راسب",H29)))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F38:F49 F30:F36 F14:F27 F11:F12 F9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G53:J53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777343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7" t="s">
        <v>62</v>
      </c>
    </row>
    <row r="3" spans="1:3" ht="20.100000000000001" customHeight="1" thickBot="1" x14ac:dyDescent="0.35">
      <c r="A3" s="2" t="s">
        <v>26</v>
      </c>
      <c r="C3" s="17" t="s">
        <v>63</v>
      </c>
    </row>
    <row r="4" spans="1:3" ht="20.100000000000001" customHeight="1" thickBot="1" x14ac:dyDescent="0.35">
      <c r="A4" s="2" t="s">
        <v>36</v>
      </c>
      <c r="C4" s="17" t="s">
        <v>64</v>
      </c>
    </row>
    <row r="5" spans="1:3" ht="20.100000000000001" customHeight="1" thickBot="1" x14ac:dyDescent="0.35">
      <c r="A5" s="2" t="s">
        <v>37</v>
      </c>
      <c r="C5" s="17" t="s">
        <v>65</v>
      </c>
    </row>
    <row r="6" spans="1:3" ht="20.100000000000001" customHeight="1" thickBot="1" x14ac:dyDescent="0.35">
      <c r="A6" s="2" t="s">
        <v>38</v>
      </c>
      <c r="C6" s="17" t="s">
        <v>66</v>
      </c>
    </row>
    <row r="7" spans="1:3" ht="20.100000000000001" customHeight="1" thickBot="1" x14ac:dyDescent="0.35">
      <c r="A7" s="2" t="s">
        <v>39</v>
      </c>
      <c r="C7" s="17" t="s">
        <v>67</v>
      </c>
    </row>
    <row r="8" spans="1:3" ht="20.100000000000001" customHeight="1" thickBot="1" x14ac:dyDescent="0.35">
      <c r="A8" s="2" t="s">
        <v>40</v>
      </c>
      <c r="C8" s="17" t="s">
        <v>68</v>
      </c>
    </row>
    <row r="9" spans="1:3" ht="20.100000000000001" customHeight="1" thickBot="1" x14ac:dyDescent="0.35">
      <c r="A9" s="2" t="s">
        <v>41</v>
      </c>
      <c r="C9" s="17" t="s">
        <v>69</v>
      </c>
    </row>
    <row r="10" spans="1:3" ht="20.100000000000001" customHeight="1" thickBot="1" x14ac:dyDescent="0.35">
      <c r="A10" s="2" t="s">
        <v>42</v>
      </c>
      <c r="C10" s="17" t="s">
        <v>70</v>
      </c>
    </row>
    <row r="11" spans="1:3" ht="20.100000000000001" customHeight="1" thickBot="1" x14ac:dyDescent="0.35">
      <c r="A11" s="2" t="s">
        <v>43</v>
      </c>
      <c r="C11" s="17" t="s">
        <v>71</v>
      </c>
    </row>
    <row r="12" spans="1:3" ht="20.100000000000001" customHeight="1" thickBot="1" x14ac:dyDescent="0.35">
      <c r="A12" s="2" t="s">
        <v>44</v>
      </c>
      <c r="C12" s="17" t="s">
        <v>72</v>
      </c>
    </row>
    <row r="13" spans="1:3" ht="20.100000000000001" customHeight="1" thickBot="1" x14ac:dyDescent="0.35">
      <c r="A13" s="2" t="s">
        <v>45</v>
      </c>
      <c r="C13" s="17" t="s">
        <v>73</v>
      </c>
    </row>
    <row r="14" spans="1:3" ht="20.100000000000001" customHeight="1" thickBot="1" x14ac:dyDescent="0.35">
      <c r="A14" s="2" t="s">
        <v>46</v>
      </c>
      <c r="C14" s="17" t="s">
        <v>74</v>
      </c>
    </row>
    <row r="15" spans="1:3" ht="20.100000000000001" customHeight="1" thickBot="1" x14ac:dyDescent="0.35">
      <c r="A15" s="2" t="s">
        <v>47</v>
      </c>
      <c r="C15" s="17" t="s">
        <v>75</v>
      </c>
    </row>
    <row r="16" spans="1:3" ht="20.100000000000001" customHeight="1" thickBot="1" x14ac:dyDescent="0.35">
      <c r="A16" s="2" t="s">
        <v>10</v>
      </c>
      <c r="C16" s="17" t="s">
        <v>76</v>
      </c>
    </row>
    <row r="17" spans="1:3" ht="20.100000000000001" customHeight="1" thickBot="1" x14ac:dyDescent="0.35">
      <c r="A17" s="2" t="s">
        <v>27</v>
      </c>
      <c r="C17" s="17" t="s">
        <v>77</v>
      </c>
    </row>
    <row r="18" spans="1:3" ht="20.100000000000001" customHeight="1" thickBot="1" x14ac:dyDescent="0.35">
      <c r="A18" s="2" t="s">
        <v>48</v>
      </c>
      <c r="C18" s="17" t="s">
        <v>78</v>
      </c>
    </row>
    <row r="19" spans="1:3" ht="20.100000000000001" customHeight="1" thickBot="1" x14ac:dyDescent="0.35">
      <c r="A19" s="2" t="s">
        <v>49</v>
      </c>
      <c r="C19" s="17" t="s">
        <v>79</v>
      </c>
    </row>
    <row r="20" spans="1:3" ht="20.100000000000001" customHeight="1" thickBot="1" x14ac:dyDescent="0.35">
      <c r="A20" s="2" t="s">
        <v>50</v>
      </c>
      <c r="C20" s="17" t="s">
        <v>80</v>
      </c>
    </row>
    <row r="21" spans="1:3" ht="20.100000000000001" customHeight="1" thickBot="1" x14ac:dyDescent="0.35">
      <c r="A21" s="2" t="s">
        <v>51</v>
      </c>
      <c r="C21" s="17" t="s">
        <v>81</v>
      </c>
    </row>
    <row r="22" spans="1:3" ht="20.100000000000001" customHeight="1" thickBot="1" x14ac:dyDescent="0.35">
      <c r="A22" s="2" t="s">
        <v>11</v>
      </c>
      <c r="C22" s="17" t="s">
        <v>82</v>
      </c>
    </row>
    <row r="23" spans="1:3" ht="20.100000000000001" customHeight="1" thickBot="1" x14ac:dyDescent="0.35">
      <c r="A23" s="2" t="s">
        <v>12</v>
      </c>
      <c r="C23" s="17" t="s">
        <v>83</v>
      </c>
    </row>
    <row r="24" spans="1:3" ht="20.100000000000001" customHeight="1" thickBot="1" x14ac:dyDescent="0.35">
      <c r="A24" s="2" t="s">
        <v>15</v>
      </c>
      <c r="C24" s="17" t="s">
        <v>84</v>
      </c>
    </row>
    <row r="25" spans="1:3" ht="20.100000000000001" customHeight="1" thickBot="1" x14ac:dyDescent="0.35">
      <c r="A25" s="2" t="s">
        <v>28</v>
      </c>
      <c r="C25" s="17" t="s">
        <v>85</v>
      </c>
    </row>
    <row r="26" spans="1:3" ht="20.100000000000001" customHeight="1" thickBot="1" x14ac:dyDescent="0.35">
      <c r="A26" s="2" t="s">
        <v>29</v>
      </c>
      <c r="C26" s="17" t="s">
        <v>86</v>
      </c>
    </row>
    <row r="27" spans="1:3" ht="20.100000000000001" customHeight="1" thickBot="1" x14ac:dyDescent="0.35">
      <c r="A27" s="2" t="s">
        <v>13</v>
      </c>
      <c r="C27" s="17" t="s">
        <v>87</v>
      </c>
    </row>
    <row r="28" spans="1:3" ht="20.100000000000001" customHeight="1" thickBot="1" x14ac:dyDescent="0.35">
      <c r="A28" s="2" t="s">
        <v>30</v>
      </c>
      <c r="C28" s="17" t="s">
        <v>88</v>
      </c>
    </row>
    <row r="29" spans="1:3" ht="20.100000000000001" customHeight="1" thickBot="1" x14ac:dyDescent="0.35">
      <c r="A29" s="2" t="s">
        <v>31</v>
      </c>
      <c r="C29" s="17" t="s">
        <v>177</v>
      </c>
    </row>
    <row r="30" spans="1:3" ht="20.100000000000001" customHeight="1" thickBot="1" x14ac:dyDescent="0.35">
      <c r="A30" s="2" t="s">
        <v>32</v>
      </c>
      <c r="C30" s="17" t="s">
        <v>178</v>
      </c>
    </row>
    <row r="31" spans="1:3" ht="20.100000000000001" customHeight="1" thickBot="1" x14ac:dyDescent="0.35">
      <c r="A31" s="2" t="s">
        <v>33</v>
      </c>
      <c r="C31" s="17" t="s">
        <v>179</v>
      </c>
    </row>
    <row r="32" spans="1:3" ht="20.100000000000001" customHeight="1" thickBot="1" x14ac:dyDescent="0.35">
      <c r="A32" s="2" t="s">
        <v>16</v>
      </c>
      <c r="C32" s="17"/>
    </row>
    <row r="33" spans="1:9" ht="20.100000000000001" customHeight="1" thickBot="1" x14ac:dyDescent="0.35">
      <c r="A33" s="2" t="s">
        <v>14</v>
      </c>
      <c r="C33" s="17"/>
    </row>
    <row r="34" spans="1:9" ht="20.100000000000001" customHeight="1" thickBot="1" x14ac:dyDescent="0.35">
      <c r="A34" s="2" t="s">
        <v>34</v>
      </c>
      <c r="C34" s="17"/>
    </row>
    <row r="35" spans="1:9" ht="20.100000000000001" customHeight="1" x14ac:dyDescent="0.3">
      <c r="A35" s="16"/>
    </row>
    <row r="36" spans="1:9" s="15" customFormat="1" ht="20.100000000000001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1">
        <v>45931</v>
      </c>
    </row>
    <row r="40" spans="1:9" ht="20.100000000000001" customHeight="1" thickBot="1" x14ac:dyDescent="0.35">
      <c r="A40" s="11">
        <v>45932</v>
      </c>
    </row>
    <row r="41" spans="1:9" ht="20.100000000000001" customHeight="1" thickBot="1" x14ac:dyDescent="0.35">
      <c r="A41" s="11">
        <v>45933</v>
      </c>
    </row>
    <row r="42" spans="1:9" ht="20.100000000000001" customHeight="1" thickBot="1" x14ac:dyDescent="0.35">
      <c r="A42" s="11">
        <v>45934</v>
      </c>
    </row>
    <row r="43" spans="1:9" ht="20.100000000000001" customHeight="1" thickBot="1" x14ac:dyDescent="0.35">
      <c r="A43" s="11">
        <v>45935</v>
      </c>
    </row>
    <row r="44" spans="1:9" ht="20.100000000000001" customHeight="1" thickBot="1" x14ac:dyDescent="0.35">
      <c r="A44" s="11">
        <v>45936</v>
      </c>
    </row>
    <row r="45" spans="1:9" ht="20.100000000000001" customHeight="1" thickBot="1" x14ac:dyDescent="0.35">
      <c r="A45" s="11">
        <v>45937</v>
      </c>
    </row>
    <row r="46" spans="1:9" ht="20.100000000000001" customHeight="1" thickBot="1" x14ac:dyDescent="0.35">
      <c r="A46" s="11">
        <v>45938</v>
      </c>
    </row>
    <row r="47" spans="1:9" ht="20.100000000000001" customHeight="1" thickBot="1" x14ac:dyDescent="0.35">
      <c r="A47" s="11">
        <v>45939</v>
      </c>
    </row>
    <row r="48" spans="1:9" ht="20.100000000000001" customHeight="1" thickBot="1" x14ac:dyDescent="0.35">
      <c r="A48" s="11">
        <v>45940</v>
      </c>
    </row>
    <row r="49" spans="1:1" ht="20.100000000000001" customHeight="1" thickBot="1" x14ac:dyDescent="0.35">
      <c r="A49" s="11">
        <v>45941</v>
      </c>
    </row>
    <row r="50" spans="1:1" ht="20.100000000000001" customHeight="1" thickBot="1" x14ac:dyDescent="0.35">
      <c r="A50" s="11">
        <v>45942</v>
      </c>
    </row>
    <row r="51" spans="1:1" ht="20.100000000000001" customHeight="1" thickBot="1" x14ac:dyDescent="0.35">
      <c r="A51" s="11">
        <v>45943</v>
      </c>
    </row>
    <row r="52" spans="1:1" ht="20.100000000000001" customHeight="1" thickBot="1" x14ac:dyDescent="0.35">
      <c r="A52" s="11">
        <v>45944</v>
      </c>
    </row>
    <row r="53" spans="1:1" ht="20.100000000000001" customHeight="1" thickBot="1" x14ac:dyDescent="0.35">
      <c r="A53" s="11">
        <v>45945</v>
      </c>
    </row>
    <row r="54" spans="1:1" ht="20.100000000000001" customHeight="1" thickBot="1" x14ac:dyDescent="0.35">
      <c r="A54" s="11">
        <v>45946</v>
      </c>
    </row>
    <row r="55" spans="1:1" ht="20.100000000000001" customHeight="1" thickBot="1" x14ac:dyDescent="0.35">
      <c r="A55" s="11">
        <v>45947</v>
      </c>
    </row>
    <row r="56" spans="1:1" ht="20.100000000000001" customHeight="1" thickBot="1" x14ac:dyDescent="0.35">
      <c r="A56" s="11">
        <v>45948</v>
      </c>
    </row>
    <row r="57" spans="1:1" ht="20.100000000000001" customHeight="1" thickBot="1" x14ac:dyDescent="0.35">
      <c r="A57" s="11">
        <v>45949</v>
      </c>
    </row>
    <row r="58" spans="1:1" ht="20.100000000000001" customHeight="1" thickBot="1" x14ac:dyDescent="0.35">
      <c r="A58" s="11">
        <v>45950</v>
      </c>
    </row>
    <row r="59" spans="1:1" ht="20.100000000000001" customHeight="1" thickBot="1" x14ac:dyDescent="0.35">
      <c r="A59" s="11">
        <v>45951</v>
      </c>
    </row>
    <row r="60" spans="1:1" ht="20.100000000000001" customHeight="1" thickBot="1" x14ac:dyDescent="0.35">
      <c r="A60" s="11">
        <v>45952</v>
      </c>
    </row>
    <row r="61" spans="1:1" ht="20.100000000000001" customHeight="1" thickBot="1" x14ac:dyDescent="0.35">
      <c r="A61" s="11">
        <v>45953</v>
      </c>
    </row>
    <row r="62" spans="1:1" ht="20.100000000000001" customHeight="1" thickBot="1" x14ac:dyDescent="0.35">
      <c r="A62" s="11">
        <v>45954</v>
      </c>
    </row>
    <row r="63" spans="1:1" ht="20.100000000000001" customHeight="1" thickBot="1" x14ac:dyDescent="0.35">
      <c r="A63" s="11">
        <v>45955</v>
      </c>
    </row>
    <row r="64" spans="1:1" ht="20.100000000000001" customHeight="1" thickBot="1" x14ac:dyDescent="0.35">
      <c r="A64" s="11">
        <v>45956</v>
      </c>
    </row>
    <row r="65" spans="1:1" ht="20.100000000000001" customHeight="1" thickBot="1" x14ac:dyDescent="0.35">
      <c r="A65" s="11">
        <v>45957</v>
      </c>
    </row>
    <row r="66" spans="1:1" ht="20.100000000000001" customHeight="1" thickBot="1" x14ac:dyDescent="0.35">
      <c r="A66" s="11">
        <v>45958</v>
      </c>
    </row>
    <row r="67" spans="1:1" ht="20.100000000000001" customHeight="1" thickBot="1" x14ac:dyDescent="0.35">
      <c r="A67" s="11">
        <v>45959</v>
      </c>
    </row>
    <row r="68" spans="1:1" ht="20.100000000000001" customHeight="1" thickBot="1" x14ac:dyDescent="0.35">
      <c r="A68" s="11">
        <v>45960</v>
      </c>
    </row>
    <row r="69" spans="1:1" ht="20.100000000000001" customHeight="1" thickBot="1" x14ac:dyDescent="0.35">
      <c r="A69" s="11">
        <v>45961</v>
      </c>
    </row>
    <row r="70" spans="1:1" ht="20.100000000000001" customHeight="1" thickBot="1" x14ac:dyDescent="0.35">
      <c r="A70" s="11"/>
    </row>
    <row r="71" spans="1:1" ht="20.100000000000001" customHeight="1" thickBot="1" x14ac:dyDescent="0.35">
      <c r="A71" s="11"/>
    </row>
    <row r="72" spans="1:1" ht="20.100000000000001" customHeight="1" thickBot="1" x14ac:dyDescent="0.35">
      <c r="A72" s="11"/>
    </row>
    <row r="73" spans="1:1" ht="20.100000000000001" customHeight="1" thickBot="1" x14ac:dyDescent="0.35">
      <c r="A73" s="11"/>
    </row>
    <row r="74" spans="1:1" ht="20.100000000000001" customHeight="1" thickBot="1" x14ac:dyDescent="0.35">
      <c r="A74" s="11"/>
    </row>
    <row r="75" spans="1:1" ht="20.100000000000001" customHeight="1" thickBot="1" x14ac:dyDescent="0.35">
      <c r="A75" s="11"/>
    </row>
    <row r="76" spans="1:1" ht="20.100000000000001" customHeight="1" thickBot="1" x14ac:dyDescent="0.35">
      <c r="A76" s="11"/>
    </row>
    <row r="77" spans="1:1" ht="20.100000000000001" customHeight="1" thickBot="1" x14ac:dyDescent="0.35">
      <c r="A77" s="11"/>
    </row>
    <row r="78" spans="1:1" ht="20.100000000000001" customHeight="1" thickBot="1" x14ac:dyDescent="0.35">
      <c r="A78" s="11"/>
    </row>
    <row r="79" spans="1:1" ht="20.100000000000001" customHeight="1" thickBot="1" x14ac:dyDescent="0.35">
      <c r="A79" s="11"/>
    </row>
    <row r="80" spans="1:1" ht="20.100000000000001" customHeight="1" thickBot="1" x14ac:dyDescent="0.35">
      <c r="A80" s="11"/>
    </row>
    <row r="81" spans="1:1" ht="20.100000000000001" customHeight="1" thickBot="1" x14ac:dyDescent="0.35">
      <c r="A81" s="11"/>
    </row>
    <row r="82" spans="1:1" ht="20.100000000000001" customHeight="1" thickBot="1" x14ac:dyDescent="0.35">
      <c r="A82" s="11"/>
    </row>
    <row r="83" spans="1:1" ht="20.100000000000001" customHeight="1" thickBot="1" x14ac:dyDescent="0.35">
      <c r="A83" s="11"/>
    </row>
    <row r="84" spans="1:1" ht="20.100000000000001" customHeight="1" thickBot="1" x14ac:dyDescent="0.35">
      <c r="A84" s="11"/>
    </row>
    <row r="85" spans="1:1" ht="20.100000000000001" customHeight="1" thickBot="1" x14ac:dyDescent="0.35">
      <c r="A85" s="11"/>
    </row>
    <row r="86" spans="1:1" ht="20.100000000000001" customHeight="1" thickBot="1" x14ac:dyDescent="0.35">
      <c r="A86" s="11"/>
    </row>
    <row r="87" spans="1:1" ht="20.100000000000001" customHeight="1" thickBot="1" x14ac:dyDescent="0.35">
      <c r="A87" s="11"/>
    </row>
    <row r="88" spans="1:1" ht="20.100000000000001" customHeight="1" thickBot="1" x14ac:dyDescent="0.35">
      <c r="A88" s="11"/>
    </row>
    <row r="89" spans="1:1" ht="20.100000000000001" customHeight="1" thickBot="1" x14ac:dyDescent="0.35">
      <c r="A89" s="11"/>
    </row>
    <row r="90" spans="1:1" ht="20.100000000000001" customHeight="1" thickBot="1" x14ac:dyDescent="0.35">
      <c r="A90" s="11"/>
    </row>
    <row r="91" spans="1:1" ht="20.100000000000001" customHeight="1" thickBot="1" x14ac:dyDescent="0.35">
      <c r="A91" s="11"/>
    </row>
    <row r="92" spans="1:1" ht="20.100000000000001" customHeight="1" thickBot="1" x14ac:dyDescent="0.35">
      <c r="A92" s="11"/>
    </row>
    <row r="93" spans="1:1" ht="20.100000000000001" customHeight="1" thickBot="1" x14ac:dyDescent="0.35">
      <c r="A93" s="11"/>
    </row>
    <row r="94" spans="1:1" ht="20.100000000000001" customHeight="1" thickBot="1" x14ac:dyDescent="0.35">
      <c r="A94" s="11"/>
    </row>
    <row r="95" spans="1:1" ht="20.100000000000001" customHeight="1" thickBot="1" x14ac:dyDescent="0.35">
      <c r="A95" s="11"/>
    </row>
    <row r="96" spans="1:1" ht="20.100000000000001" customHeight="1" thickBot="1" x14ac:dyDescent="0.35">
      <c r="A96" s="11"/>
    </row>
    <row r="97" spans="1:9" ht="20.100000000000001" customHeight="1" thickBot="1" x14ac:dyDescent="0.35">
      <c r="A97" s="11"/>
    </row>
    <row r="98" spans="1:9" ht="20.100000000000001" customHeight="1" thickBot="1" x14ac:dyDescent="0.35">
      <c r="A98" s="11"/>
    </row>
    <row r="99" spans="1:9" ht="20.100000000000001" customHeight="1" thickBot="1" x14ac:dyDescent="0.35">
      <c r="A99" s="11"/>
    </row>
    <row r="100" spans="1:9" ht="20.100000000000001" customHeight="1" thickBot="1" x14ac:dyDescent="0.35">
      <c r="A100" s="11"/>
    </row>
    <row r="101" spans="1:9" ht="20.100000000000001" customHeight="1" thickBot="1" x14ac:dyDescent="0.35">
      <c r="A101" s="11"/>
    </row>
    <row r="102" spans="1:9" ht="20.100000000000001" customHeight="1" thickBot="1" x14ac:dyDescent="0.35">
      <c r="A102" s="11"/>
    </row>
    <row r="103" spans="1:9" ht="20.100000000000001" customHeight="1" thickBot="1" x14ac:dyDescent="0.35">
      <c r="A103" s="11"/>
    </row>
    <row r="104" spans="1:9" ht="20.100000000000001" customHeight="1" thickBot="1" x14ac:dyDescent="0.35">
      <c r="A104" s="11"/>
    </row>
    <row r="105" spans="1:9" ht="20.100000000000001" customHeight="1" thickBot="1" x14ac:dyDescent="0.35">
      <c r="A105" s="11"/>
    </row>
    <row r="106" spans="1:9" ht="20.100000000000001" customHeight="1" thickBot="1" x14ac:dyDescent="0.35">
      <c r="A106" s="11"/>
    </row>
    <row r="107" spans="1:9" ht="20.100000000000001" customHeight="1" x14ac:dyDescent="0.3">
      <c r="A107" s="12"/>
    </row>
    <row r="108" spans="1:9" ht="20.100000000000001" customHeight="1" x14ac:dyDescent="0.3">
      <c r="A108" s="12"/>
    </row>
    <row r="109" spans="1:9" s="15" customFormat="1" ht="20.100000000000001" customHeight="1" x14ac:dyDescent="0.3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8" t="s">
        <v>89</v>
      </c>
    </row>
    <row r="200" spans="1:1" ht="20.100000000000001" customHeight="1" x14ac:dyDescent="0.3">
      <c r="A200" s="18" t="s">
        <v>90</v>
      </c>
    </row>
    <row r="201" spans="1:1" ht="20.100000000000001" customHeight="1" x14ac:dyDescent="0.3">
      <c r="A201" s="18" t="s">
        <v>91</v>
      </c>
    </row>
    <row r="202" spans="1:1" ht="20.100000000000001" customHeight="1" x14ac:dyDescent="0.3">
      <c r="A202" s="18" t="s">
        <v>92</v>
      </c>
    </row>
    <row r="203" spans="1:1" ht="20.100000000000001" customHeight="1" x14ac:dyDescent="0.3">
      <c r="A203" s="18" t="s">
        <v>93</v>
      </c>
    </row>
    <row r="204" spans="1:1" ht="20.100000000000001" customHeight="1" x14ac:dyDescent="0.3">
      <c r="A204" s="18" t="s">
        <v>94</v>
      </c>
    </row>
    <row r="205" spans="1:1" ht="20.100000000000001" customHeight="1" x14ac:dyDescent="0.3">
      <c r="A205" s="18" t="s">
        <v>95</v>
      </c>
    </row>
    <row r="206" spans="1:1" ht="20.100000000000001" customHeight="1" x14ac:dyDescent="0.3">
      <c r="A206" s="18" t="s">
        <v>96</v>
      </c>
    </row>
    <row r="207" spans="1:1" ht="20.100000000000001" customHeight="1" x14ac:dyDescent="0.3">
      <c r="A207" s="18" t="s">
        <v>97</v>
      </c>
    </row>
    <row r="208" spans="1:1" ht="20.100000000000001" customHeight="1" x14ac:dyDescent="0.3">
      <c r="A208" s="19" t="s">
        <v>98</v>
      </c>
    </row>
    <row r="209" spans="1:1" ht="20.100000000000001" customHeight="1" x14ac:dyDescent="0.3">
      <c r="A209" s="19" t="s">
        <v>99</v>
      </c>
    </row>
    <row r="210" spans="1:1" ht="20.100000000000001" customHeight="1" x14ac:dyDescent="0.3">
      <c r="A210" s="18" t="s">
        <v>100</v>
      </c>
    </row>
    <row r="211" spans="1:1" ht="20.100000000000001" customHeight="1" x14ac:dyDescent="0.3">
      <c r="A211" s="18" t="s">
        <v>101</v>
      </c>
    </row>
    <row r="212" spans="1:1" ht="20.100000000000001" customHeight="1" x14ac:dyDescent="0.3">
      <c r="A212" s="18" t="s">
        <v>175</v>
      </c>
    </row>
    <row r="213" spans="1:1" ht="20.100000000000001" customHeight="1" x14ac:dyDescent="0.3">
      <c r="A213" s="18" t="s">
        <v>102</v>
      </c>
    </row>
    <row r="214" spans="1:1" ht="20.100000000000001" customHeight="1" x14ac:dyDescent="0.3">
      <c r="A214" s="18" t="s">
        <v>103</v>
      </c>
    </row>
    <row r="215" spans="1:1" ht="20.100000000000001" customHeight="1" x14ac:dyDescent="0.3">
      <c r="A215" s="18" t="s">
        <v>104</v>
      </c>
    </row>
    <row r="216" spans="1:1" ht="20.100000000000001" customHeight="1" x14ac:dyDescent="0.3">
      <c r="A216" s="18" t="s">
        <v>105</v>
      </c>
    </row>
    <row r="217" spans="1:1" ht="20.100000000000001" customHeight="1" x14ac:dyDescent="0.3">
      <c r="A217" s="18" t="s">
        <v>106</v>
      </c>
    </row>
    <row r="218" spans="1:1" ht="20.100000000000001" customHeight="1" x14ac:dyDescent="0.3">
      <c r="A218" s="18" t="s">
        <v>107</v>
      </c>
    </row>
    <row r="219" spans="1:1" ht="20.100000000000001" customHeight="1" x14ac:dyDescent="0.3">
      <c r="A219" s="18" t="s">
        <v>108</v>
      </c>
    </row>
    <row r="220" spans="1:1" ht="20.100000000000001" customHeight="1" x14ac:dyDescent="0.3">
      <c r="A220" s="18" t="s">
        <v>109</v>
      </c>
    </row>
    <row r="221" spans="1:1" ht="20.100000000000001" customHeight="1" x14ac:dyDescent="0.3">
      <c r="A221" s="18" t="s">
        <v>110</v>
      </c>
    </row>
    <row r="222" spans="1:1" ht="20.100000000000001" customHeight="1" x14ac:dyDescent="0.3">
      <c r="A222" s="18" t="s">
        <v>111</v>
      </c>
    </row>
    <row r="223" spans="1:1" ht="20.100000000000001" customHeight="1" x14ac:dyDescent="0.3">
      <c r="A223" s="18" t="s">
        <v>112</v>
      </c>
    </row>
    <row r="224" spans="1:1" ht="20.100000000000001" customHeight="1" x14ac:dyDescent="0.3">
      <c r="A224" s="18" t="s">
        <v>176</v>
      </c>
    </row>
    <row r="225" spans="1:1" ht="20.100000000000001" customHeight="1" x14ac:dyDescent="0.3">
      <c r="A225" s="18" t="s">
        <v>113</v>
      </c>
    </row>
    <row r="226" spans="1:1" ht="20.100000000000001" customHeight="1" x14ac:dyDescent="0.3">
      <c r="A226" s="18" t="s">
        <v>114</v>
      </c>
    </row>
    <row r="227" spans="1:1" ht="20.100000000000001" customHeight="1" x14ac:dyDescent="0.3">
      <c r="A227" s="18" t="s">
        <v>115</v>
      </c>
    </row>
    <row r="228" spans="1:1" ht="20.100000000000001" customHeight="1" x14ac:dyDescent="0.3">
      <c r="A228" s="18" t="s">
        <v>116</v>
      </c>
    </row>
    <row r="229" spans="1:1" ht="20.100000000000001" customHeight="1" x14ac:dyDescent="0.3">
      <c r="A229" s="18" t="s">
        <v>117</v>
      </c>
    </row>
    <row r="230" spans="1:1" ht="20.100000000000001" customHeight="1" x14ac:dyDescent="0.3">
      <c r="A230" s="18" t="s">
        <v>118</v>
      </c>
    </row>
    <row r="231" spans="1:1" ht="20.100000000000001" customHeight="1" x14ac:dyDescent="0.3">
      <c r="A231" s="18" t="s">
        <v>119</v>
      </c>
    </row>
    <row r="232" spans="1:1" ht="20.100000000000001" customHeight="1" x14ac:dyDescent="0.3">
      <c r="A232" s="18" t="s">
        <v>120</v>
      </c>
    </row>
    <row r="233" spans="1:1" ht="20.100000000000001" customHeight="1" x14ac:dyDescent="0.3">
      <c r="A233" s="18" t="s">
        <v>121</v>
      </c>
    </row>
    <row r="234" spans="1:1" ht="20.100000000000001" customHeight="1" x14ac:dyDescent="0.3">
      <c r="A234" s="18" t="s">
        <v>122</v>
      </c>
    </row>
    <row r="235" spans="1:1" ht="20.100000000000001" customHeight="1" x14ac:dyDescent="0.3">
      <c r="A235" s="18" t="s">
        <v>123</v>
      </c>
    </row>
    <row r="236" spans="1:1" ht="20.100000000000001" customHeight="1" x14ac:dyDescent="0.3">
      <c r="A236" s="20" t="s">
        <v>124</v>
      </c>
    </row>
    <row r="237" spans="1:1" ht="20.100000000000001" customHeight="1" x14ac:dyDescent="0.3">
      <c r="A237" s="18" t="s">
        <v>125</v>
      </c>
    </row>
    <row r="238" spans="1:1" ht="20.100000000000001" customHeight="1" x14ac:dyDescent="0.3">
      <c r="A238" s="18" t="s">
        <v>126</v>
      </c>
    </row>
    <row r="239" spans="1:1" ht="20.100000000000001" customHeight="1" x14ac:dyDescent="0.3">
      <c r="A239" s="18" t="s">
        <v>127</v>
      </c>
    </row>
    <row r="240" spans="1:1" ht="20.100000000000001" customHeight="1" x14ac:dyDescent="0.3">
      <c r="A240" s="18" t="s">
        <v>128</v>
      </c>
    </row>
    <row r="241" spans="1:1" ht="20.100000000000001" customHeight="1" x14ac:dyDescent="0.3">
      <c r="A241" s="18" t="s">
        <v>129</v>
      </c>
    </row>
    <row r="242" spans="1:1" ht="20.100000000000001" customHeight="1" x14ac:dyDescent="0.3">
      <c r="A242" s="18" t="s">
        <v>130</v>
      </c>
    </row>
    <row r="243" spans="1:1" ht="20.100000000000001" customHeight="1" x14ac:dyDescent="0.3">
      <c r="A243" s="18" t="s">
        <v>131</v>
      </c>
    </row>
    <row r="244" spans="1:1" ht="20.100000000000001" customHeight="1" x14ac:dyDescent="0.3">
      <c r="A244" s="18" t="s">
        <v>132</v>
      </c>
    </row>
    <row r="245" spans="1:1" ht="20.100000000000001" customHeight="1" x14ac:dyDescent="0.3">
      <c r="A245" s="18" t="s">
        <v>133</v>
      </c>
    </row>
    <row r="246" spans="1:1" ht="20.100000000000001" customHeight="1" x14ac:dyDescent="0.3">
      <c r="A246" s="18" t="s">
        <v>134</v>
      </c>
    </row>
    <row r="247" spans="1:1" ht="20.100000000000001" customHeight="1" x14ac:dyDescent="0.3">
      <c r="A247" s="18" t="s">
        <v>135</v>
      </c>
    </row>
    <row r="248" spans="1:1" ht="20.100000000000001" customHeight="1" x14ac:dyDescent="0.3">
      <c r="A248" s="18" t="s">
        <v>126</v>
      </c>
    </row>
    <row r="249" spans="1:1" ht="20.100000000000001" customHeight="1" x14ac:dyDescent="0.3">
      <c r="A249" s="18" t="s">
        <v>136</v>
      </c>
    </row>
    <row r="250" spans="1:1" ht="20.100000000000001" customHeight="1" x14ac:dyDescent="0.3">
      <c r="A250" s="18" t="s">
        <v>137</v>
      </c>
    </row>
    <row r="251" spans="1:1" ht="20.100000000000001" customHeight="1" x14ac:dyDescent="0.3">
      <c r="A251" s="20" t="s">
        <v>138</v>
      </c>
    </row>
    <row r="252" spans="1:1" ht="20.100000000000001" customHeight="1" x14ac:dyDescent="0.3">
      <c r="A252" s="21" t="s">
        <v>139</v>
      </c>
    </row>
    <row r="253" spans="1:1" ht="20.100000000000001" customHeight="1" x14ac:dyDescent="0.3">
      <c r="A253" s="18" t="s">
        <v>140</v>
      </c>
    </row>
    <row r="254" spans="1:1" ht="20.100000000000001" customHeight="1" x14ac:dyDescent="0.3">
      <c r="A254" s="18" t="s">
        <v>141</v>
      </c>
    </row>
    <row r="255" spans="1:1" ht="20.100000000000001" customHeight="1" x14ac:dyDescent="0.3">
      <c r="A255" s="22" t="s">
        <v>142</v>
      </c>
    </row>
    <row r="256" spans="1:1" ht="20.100000000000001" customHeight="1" x14ac:dyDescent="0.3">
      <c r="A256" s="22" t="s">
        <v>143</v>
      </c>
    </row>
    <row r="257" spans="1:1" ht="20.100000000000001" customHeight="1" x14ac:dyDescent="0.3">
      <c r="A257" s="23" t="s">
        <v>144</v>
      </c>
    </row>
    <row r="258" spans="1:1" ht="20.100000000000001" customHeight="1" x14ac:dyDescent="0.3">
      <c r="A258" s="18" t="s">
        <v>145</v>
      </c>
    </row>
    <row r="259" spans="1:1" ht="20.100000000000001" customHeight="1" x14ac:dyDescent="0.3">
      <c r="A259" s="23" t="s">
        <v>146</v>
      </c>
    </row>
    <row r="260" spans="1:1" ht="20.100000000000001" customHeight="1" x14ac:dyDescent="0.3">
      <c r="A260" s="18" t="s">
        <v>147</v>
      </c>
    </row>
    <row r="261" spans="1:1" ht="20.100000000000001" customHeight="1" x14ac:dyDescent="0.3">
      <c r="A261" s="23" t="s">
        <v>148</v>
      </c>
    </row>
    <row r="262" spans="1:1" ht="20.100000000000001" customHeight="1" x14ac:dyDescent="0.3">
      <c r="A262" s="18" t="s">
        <v>149</v>
      </c>
    </row>
    <row r="263" spans="1:1" ht="20.100000000000001" customHeight="1" x14ac:dyDescent="0.3">
      <c r="A263" s="18" t="s">
        <v>150</v>
      </c>
    </row>
    <row r="264" spans="1:1" ht="20.100000000000001" customHeight="1" x14ac:dyDescent="0.3">
      <c r="A264" s="23" t="s">
        <v>151</v>
      </c>
    </row>
    <row r="265" spans="1:1" ht="20.100000000000001" customHeight="1" x14ac:dyDescent="0.3">
      <c r="A265" s="23" t="s">
        <v>152</v>
      </c>
    </row>
    <row r="266" spans="1:1" ht="20.100000000000001" customHeight="1" x14ac:dyDescent="0.3">
      <c r="A266" s="23" t="s">
        <v>153</v>
      </c>
    </row>
    <row r="267" spans="1:1" ht="20.100000000000001" customHeight="1" x14ac:dyDescent="0.3">
      <c r="A267" s="18" t="s">
        <v>154</v>
      </c>
    </row>
    <row r="268" spans="1:1" ht="20.100000000000001" customHeight="1" x14ac:dyDescent="0.3">
      <c r="A268" s="18" t="s">
        <v>155</v>
      </c>
    </row>
    <row r="269" spans="1:1" ht="20.100000000000001" customHeight="1" x14ac:dyDescent="0.3">
      <c r="A269" s="18" t="s">
        <v>156</v>
      </c>
    </row>
    <row r="270" spans="1:1" ht="20.100000000000001" customHeight="1" x14ac:dyDescent="0.3">
      <c r="A270" s="18" t="s">
        <v>157</v>
      </c>
    </row>
    <row r="271" spans="1:1" ht="20.100000000000001" customHeight="1" x14ac:dyDescent="0.3">
      <c r="A271" s="23" t="s">
        <v>158</v>
      </c>
    </row>
    <row r="272" spans="1:1" ht="20.100000000000001" customHeight="1" x14ac:dyDescent="0.3">
      <c r="A272" s="23" t="s">
        <v>159</v>
      </c>
    </row>
    <row r="273" spans="1:1" ht="20.100000000000001" customHeight="1" x14ac:dyDescent="0.3">
      <c r="A273" s="18" t="s">
        <v>160</v>
      </c>
    </row>
    <row r="274" spans="1:1" ht="20.100000000000001" customHeight="1" x14ac:dyDescent="0.3">
      <c r="A274" s="23" t="s">
        <v>161</v>
      </c>
    </row>
    <row r="275" spans="1:1" ht="20.100000000000001" customHeight="1" x14ac:dyDescent="0.3">
      <c r="A275" s="23" t="s">
        <v>162</v>
      </c>
    </row>
    <row r="276" spans="1:1" ht="20.100000000000001" customHeight="1" x14ac:dyDescent="0.3">
      <c r="A276" s="18" t="s">
        <v>163</v>
      </c>
    </row>
    <row r="277" spans="1:1" ht="20.100000000000001" customHeight="1" x14ac:dyDescent="0.3">
      <c r="A277" s="18" t="s">
        <v>164</v>
      </c>
    </row>
    <row r="278" spans="1:1" ht="20.100000000000001" customHeight="1" x14ac:dyDescent="0.3">
      <c r="A278" s="23" t="s">
        <v>165</v>
      </c>
    </row>
    <row r="279" spans="1:1" ht="20.100000000000001" customHeight="1" x14ac:dyDescent="0.3">
      <c r="A279" s="18" t="s">
        <v>166</v>
      </c>
    </row>
    <row r="280" spans="1:1" ht="20.100000000000001" customHeight="1" x14ac:dyDescent="0.3">
      <c r="A280" s="18" t="s">
        <v>167</v>
      </c>
    </row>
    <row r="281" spans="1:1" ht="20.100000000000001" customHeight="1" x14ac:dyDescent="0.3">
      <c r="A281" s="18" t="s">
        <v>168</v>
      </c>
    </row>
    <row r="282" spans="1:1" ht="20.100000000000001" customHeight="1" x14ac:dyDescent="0.3">
      <c r="A282" s="18" t="s">
        <v>169</v>
      </c>
    </row>
    <row r="283" spans="1:1" ht="20.100000000000001" customHeight="1" x14ac:dyDescent="0.3">
      <c r="A283" s="23" t="s">
        <v>170</v>
      </c>
    </row>
    <row r="284" spans="1:1" ht="20.100000000000001" customHeight="1" x14ac:dyDescent="0.3">
      <c r="A284" s="23" t="s">
        <v>171</v>
      </c>
    </row>
    <row r="285" spans="1:1" ht="20.100000000000001" customHeight="1" x14ac:dyDescent="0.3">
      <c r="A285" s="23" t="s">
        <v>172</v>
      </c>
    </row>
    <row r="286" spans="1:1" ht="20.100000000000001" customHeight="1" thickBot="1" x14ac:dyDescent="0.35">
      <c r="A286" s="18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2025-10-23T20:24:28Z</dcterms:modified>
</cp:coreProperties>
</file>