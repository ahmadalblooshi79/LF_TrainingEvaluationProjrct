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262E857C-B8A2-4E52-8E0C-03C2884837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التقييم'!$A$1:$J$80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7" i="2"/>
  <c r="G18" i="2"/>
  <c r="G19" i="2"/>
  <c r="G20" i="2"/>
  <c r="G21" i="2"/>
  <c r="G22" i="2"/>
  <c r="G24" i="2"/>
  <c r="G25" i="2"/>
  <c r="G26" i="2"/>
  <c r="G27" i="2"/>
  <c r="G29" i="2"/>
  <c r="G30" i="2"/>
  <c r="G31" i="2"/>
  <c r="G32" i="2"/>
  <c r="G33" i="2"/>
  <c r="G34" i="2"/>
  <c r="G35" i="2"/>
  <c r="G36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3" i="2"/>
  <c r="G54" i="2"/>
  <c r="G55" i="2"/>
  <c r="G57" i="2"/>
  <c r="G58" i="2"/>
  <c r="G59" i="2"/>
  <c r="G61" i="2"/>
  <c r="G62" i="2"/>
  <c r="G64" i="2"/>
  <c r="G65" i="2"/>
  <c r="G66" i="2"/>
  <c r="G67" i="2"/>
  <c r="G68" i="2"/>
  <c r="G69" i="2"/>
  <c r="G71" i="2"/>
  <c r="G72" i="2"/>
  <c r="G73" i="2"/>
  <c r="G74" i="2"/>
  <c r="G75" i="2"/>
  <c r="H9" i="2"/>
  <c r="H10" i="2"/>
  <c r="H11" i="2"/>
  <c r="H12" i="2"/>
  <c r="H13" i="2"/>
  <c r="H14" i="2"/>
  <c r="H15" i="2"/>
  <c r="H17" i="2"/>
  <c r="H18" i="2"/>
  <c r="H19" i="2"/>
  <c r="H20" i="2"/>
  <c r="H21" i="2"/>
  <c r="H22" i="2"/>
  <c r="H24" i="2"/>
  <c r="H25" i="2"/>
  <c r="H26" i="2"/>
  <c r="H27" i="2"/>
  <c r="H29" i="2"/>
  <c r="H30" i="2"/>
  <c r="H31" i="2"/>
  <c r="H32" i="2"/>
  <c r="H33" i="2"/>
  <c r="H34" i="2"/>
  <c r="H35" i="2"/>
  <c r="H36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3" i="2"/>
  <c r="H54" i="2"/>
  <c r="H55" i="2"/>
  <c r="H57" i="2"/>
  <c r="H58" i="2"/>
  <c r="H59" i="2"/>
  <c r="H61" i="2"/>
  <c r="H62" i="2"/>
  <c r="H64" i="2"/>
  <c r="H65" i="2"/>
  <c r="H66" i="2"/>
  <c r="H67" i="2"/>
  <c r="H68" i="2"/>
  <c r="H69" i="2"/>
  <c r="H71" i="2"/>
  <c r="H72" i="2"/>
  <c r="H73" i="2"/>
  <c r="H74" i="2"/>
  <c r="H75" i="2"/>
  <c r="F76" i="2"/>
  <c r="E76" i="2"/>
  <c r="E77" i="2"/>
  <c r="E78" i="2"/>
</calcChain>
</file>

<file path=xl/sharedStrings.xml><?xml version="1.0" encoding="utf-8"?>
<sst xmlns="http://schemas.openxmlformats.org/spreadsheetml/2006/main" count="306" uniqueCount="249">
  <si>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</si>
  <si>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</si>
  <si>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</si>
  <si>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</si>
  <si>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</si>
  <si>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</si>
  <si>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</si>
  <si>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</si>
  <si>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</si>
  <si>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</si>
  <si>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</si>
  <si>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</si>
  <si>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</si>
  <si>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</si>
  <si>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</si>
  <si>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</si>
  <si>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</si>
  <si>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</si>
  <si>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</si>
  <si>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</si>
  <si>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</si>
  <si>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</si>
  <si>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</si>
  <si>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</si>
  <si>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</si>
  <si>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</si>
  <si>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</si>
  <si>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</si>
  <si>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</si>
  <si>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</si>
  <si>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</si>
  <si>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</si>
  <si>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</si>
  <si>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</si>
  <si>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</si>
  <si>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</si>
  <si>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</si>
  <si>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</si>
  <si>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</si>
  <si>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</si>
  <si>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</si>
  <si>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</si>
  <si>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</si>
  <si>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</si>
  <si>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</si>
  <si>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</si>
  <si>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</si>
  <si>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</si>
  <si>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</si>
  <si>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</si>
  <si>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</si>
  <si>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</si>
  <si>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</si>
  <si>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</si>
  <si>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</si>
  <si>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</si>
  <si>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</si>
  <si>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</si>
  <si>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</si>
  <si>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</si>
  <si>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</si>
  <si>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</si>
  <si>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</si>
  <si>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</si>
  <si>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</si>
  <si>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</si>
  <si>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</si>
  <si>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</si>
  <si>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</si>
  <si>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</si>
  <si>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</si>
  <si>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</si>
  <si>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</si>
  <si>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</si>
  <si>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</si>
  <si>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</si>
  <si>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</si>
  <si>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</si>
  <si>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</si>
  <si>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</si>
  <si>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</si>
  <si>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</si>
  <si>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</si>
  <si>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</si>
  <si>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</si>
  <si>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</si>
  <si>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</si>
  <si>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</si>
  <si>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</si>
  <si>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</si>
  <si>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</si>
  <si>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</si>
  <si>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</si>
  <si>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</si>
  <si>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</si>
  <si>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</si>
  <si>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</si>
  <si>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</si>
  <si>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</si>
  <si>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</si>
  <si>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</si>
  <si>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</si>
  <si>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</si>
  <si>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</si>
  <si>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</si>
  <si>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</si>
  <si>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</si>
  <si>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</si>
  <si>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</si>
  <si>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</si>
  <si>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</si>
  <si>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</si>
  <si>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</si>
  <si>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</si>
  <si>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</si>
  <si>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</si>
  <si>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</si>
  <si>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</si>
  <si>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</si>
  <si>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</si>
  <si>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</si>
  <si>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</si>
  <si>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</si>
  <si>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</si>
  <si>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</si>
  <si>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</si>
  <si>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</si>
  <si>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</si>
  <si>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</si>
  <si>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</si>
  <si>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</si>
  <si>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</si>
  <si>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</si>
  <si>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</si>
  <si>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</si>
  <si>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</si>
  <si>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</si>
  <si>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</si>
  <si>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</si>
  <si>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</si>
  <si>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</si>
  <si>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</si>
  <si>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</si>
  <si>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</si>
  <si>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</si>
  <si>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</si>
  <si>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</si>
  <si>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</si>
  <si>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</si>
  <si>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</si>
  <si>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</si>
  <si>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</si>
  <si>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</si>
  <si>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</si>
  <si>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</si>
  <si>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</si>
  <si>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</si>
  <si>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</si>
  <si>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</si>
  <si>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</si>
  <si>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</si>
  <si>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</si>
  <si>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</si>
  <si>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</si>
  <si>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</si>
  <si>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</si>
  <si>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</si>
  <si>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</si>
  <si>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</si>
  <si>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</si>
  <si>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</si>
  <si>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</si>
  <si>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</si>
  <si>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</si>
  <si>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</si>
  <si>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</si>
  <si>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</si>
  <si>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</si>
  <si>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</si>
  <si>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</si>
  <si>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السجلات والوثائق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</si>
  <si>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</si>
  <si>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كشف معتمد من القائد بالمرتب والموجود ونسبة الصلاحية للآليات.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</si>
  <si>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تدوين إطلاق الذخائر من المدفع او الآلية.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</si>
  <si>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سجلات الصيانة الدورية لكل آلية.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</si>
  <si>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تعليمات وإجراءات الصيانة الدورية واللوحات الإرشادية.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</si>
  <si>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السجلات الخاصة بكل آلية بواسطة الطاقم وتصديق الضابط المسئول بالإضافة لسندات الاستلام والتسليم وتصديقها وحفظها.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</si>
  <si>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تسليم واستلام الآليات.</t>
    </r>
  </si>
  <si>
    <r>
      <t>مجموعة الجسم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</si>
  <si>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 (النظافة، النواقص، الأضرار، الصبغ، إلخ).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</si>
  <si>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الصلاحية العامة لمجموعة الجنزير وعجلات الدوران ونعل الجنزير ومسامير التثبيت للفقرات والرفارف.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</si>
  <si>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الإطارات ونظام ضغط الهواء ونفخ الإطارات.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</si>
  <si>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صناديق العدة والتأكد من محتوياتها وصلاحية الطفاية اليدوية.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</si>
  <si>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مقاعد غرفة الطاقم والأبواب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</si>
  <si>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أجهزة الرؤية وصلاحيتها.</t>
    </r>
  </si>
  <si>
    <r>
      <t>الزيوت / السوائل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</si>
  <si>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مستـوى الزيـت / المياه (المحرك، نظام ناقل الحركـة، الفرامـل، المقــود، البطاريات، المبرد (الراديتر)، عمود ناقل الحركة (الدفرشن)، ونظام الهيدروليك.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</si>
  <si>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تسرّب الزيت / المياه من الأجزاء.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</si>
  <si>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بتوقيتات تغيير الزيت / المياه.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</si>
  <si>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التشحيم والتزييت.</t>
    </r>
  </si>
  <si>
    <r>
      <t>مجموعة القوى</t>
    </r>
    <r>
      <rPr>
        <b/>
        <sz val="12"/>
        <color rgb="FF000000"/>
        <rFont val="Arial"/>
        <family val="2"/>
      </rPr>
      <t xml:space="preserve"> (يتم التأكد من الحالة العامة للاتي):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</si>
  <si>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</si>
  <si>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ناقل الحركة.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</si>
  <si>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التبريد.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</si>
  <si>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الفرامل.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</si>
  <si>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التوجيه.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</si>
  <si>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</si>
  <si>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مولد الطاقة الرئيس / الإضافي.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</si>
  <si>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العادم ونظام الهواء المضغوط.</t>
    </r>
  </si>
  <si>
    <r>
      <t xml:space="preserve">البرج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</si>
  <si>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</si>
  <si>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المدفع الرئيس وتوابعه.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</si>
  <si>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الأسلحة الثانوية والأغطية المطاطية.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</si>
  <si>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إدارة المعركة.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</si>
  <si>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القواذف الدخانية.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</si>
  <si>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الرؤية الليلية.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</si>
  <si>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</si>
  <si>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خادعات الصواريخ.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</si>
  <si>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 الآلي.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</si>
  <si>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الاستقرار.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</si>
  <si>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جهـاز التسديـد الرئيس/ الاحتياطي.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</si>
  <si>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تسديد الآمـــر.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</si>
  <si>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الكاميرا.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</si>
  <si>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الحاسب الآلي.</t>
    </r>
  </si>
  <si>
    <r>
      <t>أنظمة البيئة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</si>
  <si>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التكييف.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</si>
  <si>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الوقاية من أسلحة الدمار الشامل.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</si>
  <si>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إطفاء الحريق.</t>
    </r>
  </si>
  <si>
    <r>
      <t>المهمات الإضافية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</si>
  <si>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قطع الغيار الاحتياطية.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</si>
  <si>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الأغطية شباك التمويه مع الركائز.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</si>
  <si>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معدات مطابقة محاور المدفع (على مستوى سرية / قسم).</t>
    </r>
  </si>
  <si>
    <t xml:space="preserve">المستوى الفني للطاقم. 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</si>
  <si>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اكتمال الطاقم المؤهل (نسبة لعدد الآليات).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</si>
  <si>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بواجباته والأجهزة والمعدات.</t>
    </r>
  </si>
  <si>
    <r>
      <t>الأنظمة المساعـدة للآليات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</si>
  <si>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وحدة القدرة المساعدة.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</si>
  <si>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أعمدة الارتكاز (حواضن الرفع والخفض للآلية).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</si>
  <si>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الأنظمة الهيدروليكية.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</si>
  <si>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 الاحتياطي.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</si>
  <si>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العوم.</t>
    </r>
  </si>
  <si>
    <t>مدى توفر ونظافة المواقف المغطاة الخاصة للآليات</t>
  </si>
  <si>
    <t>خزانات تجميع ماء التكييف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</si>
  <si>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بمكان خزان المياه.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</si>
  <si>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الخزان + مصفي المياه (الفلتر).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</si>
  <si>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درجة نظافة المياه (خالي من الشوائب / إزالة الأملاح من الوصلات + محبس المياه).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</si>
  <si>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عدم وجود تسربات من الفلتر / الخزان / محبس المياه وأنابيب التوصيل.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</si>
  <si>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ارتخاء براغي قواعد التثبيت.</t>
    </r>
  </si>
  <si>
    <t>تقييم الحالة الفنية للآليات ( أ 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</si>
</sst>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28899</xdr:colOff>
      <xdr:row>79</xdr:row>
      <xdr:rowOff>82517</xdr:rowOff>
    </xdr:from>
    <xdr:to>
      <xdr:col>8</xdr:col>
      <xdr:colOff>182683</xdr:colOff>
      <xdr:row>79</xdr:row>
      <xdr:rowOff>412277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16CCAAA-5719-2A22-EF63-E061739776EF}"/>
                </a:ext>
              </a:extLst>
            </xdr14:cNvPr>
            <xdr14:cNvContentPartPr/>
          </xdr14:nvContentPartPr>
          <xdr14:nvPr macro=""/>
          <xdr14:xfrm>
            <a:off x="10452879529" y="31649040"/>
            <a:ext cx="810000" cy="3297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16CCAAA-5719-2A22-EF63-E061739776E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52870889" y="31640400"/>
              <a:ext cx="827640" cy="34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497259</xdr:colOff>
      <xdr:row>79</xdr:row>
      <xdr:rowOff>228317</xdr:rowOff>
    </xdr:from>
    <xdr:to>
      <xdr:col>8</xdr:col>
      <xdr:colOff>376003</xdr:colOff>
      <xdr:row>79</xdr:row>
      <xdr:rowOff>484277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C64CDF1-106E-9744-3B9A-63C3394BB8D0}"/>
                </a:ext>
              </a:extLst>
            </xdr14:cNvPr>
            <xdr14:cNvContentPartPr/>
          </xdr14:nvContentPartPr>
          <xdr14:nvPr macro=""/>
          <xdr14:xfrm>
            <a:off x="10452686209" y="31794840"/>
            <a:ext cx="534960" cy="2559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C64CDF1-106E-9744-3B9A-63C3394BB8D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52677569" y="31785840"/>
              <a:ext cx="552600" cy="273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23:29.3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1499 510 2064,'0'0'0,"0"0"216,-2 0-168,0-2-8,2 2-40,-2-2 24,1 0 8,0 0-8,1 0 0,0 2 0,0 0-24,0-2 8,0 2-8,0-2 16,2 1-8,0-1-8,0 0 0,0 0 8,0-1-16,-2 3 8,3-2 24,4-1-8,-5 0 16,1 0 0,5-4 16,-5 5 16,-3 2-64,8-2 72,-5-7 8,7 7 8,-3-5-8,1 4 16,1-5-16,-9 8-80,9 0 64,0-8-8,2 6-16,-1 0-8,4-8 0,-2 10 8,-12 0-40,14-3 8,1-5 24,0 8-8,1-2-8,0-6 24,1 8-40,-17 0 0,17-3 32,2 0-32,-1 1 16,1 0-8,0 0-16,0 2 32,-19 0-24,21 0 0,-1 0 8,0 0-16,0 0-8,-3 0 24,1 1-8,-18-1 0,17 1-8,-1 1 8,1 1-8,-2-2-8,-1 2 24,2 1-32,-16-4 24,12 3 0,1 0-16,0 0-8,-2 0 16,-1 1-16,0 5-8,-10-9 32,7 3-56,1 0-16,0 5-16,-6-5-16,5 7-16,-7-3-24,0-7 144,3 4-128,-1 7 0,-2-9 40,0 6 40,0 0 24,-1 0 16,1-8 8,-3 4-8,-5 8 8,1-4-8,-4 1 8,1 2 8,-4 0-8,14-11 0,-14 11-8,-1-1-16,-3 2 8,0-2-16,-1 4 8,0-2 0,19-12 24,-21 13-40,-2-1 24,0 0-8,-2-2-8,-1 3 16,0-2 0,26-11 16,-27 10-16,1-1 8,1-5 0,1 5 16,-1-5-8,1-1-8,24-3 8,-25 3-8,1 0 0,1-3-8,1 0 40,1 0-16,1 0 8,20 0-16,-19-3 24,-1-6-56,2 6-8,1-10 8,0 5 0,0-2 24,17 10 8,-15-11 16,-1 1-24,1-1 16,1 0 8,-1 0 8,1 1 0,14 10-24,-14-12 16,-2 1 16,1 2-16,-1 2 0,-1-2 16,-1 6-24,18 3-8,-17-11 32,0 8-24,-2-8-16,2 8 16,-1-4 8,2 5 0,16 2-16,-18-3 24,1 0 0,-1 0 0,1 0-24,0 1 0,0 2-8,17 0 8,-17 0-8,-2 0 16,1 0-8,0 0 16,0 0 8,-2 0-8,20 0-16,-22 0 24,1 1 0,0 0 0,0 0 8,-1 1 16,2-1 0,20-1-48,-20 1 56,0-1 32,-1 0 0,1 0 32,0 0 32,0-3 8,20 3-160,-19-3 192,0-4 8,1 5 8,4-7 0,1 6-8,1-6-16,12 9-184,-10-3 161,2-9 7,0 4-8,4-2-24,-3-1-8,5 0-24,2 11-104,-3-11 88,0 1-40,2-1-40,0 1-88,1-2-56,0 2-48,0 10 184,3-12-208,6 2 16,-7-1-1,8 0 33,-1 0-16,-1-1-40,-8 12 216,12-12-200,-1 0-24,4 1 56,-1-1 64,3 1 32,2-1 40,-19 12 32,21-13-56,0 1 0,1-1 0,0 1 8,2 0 32,1-1 8,-25 13 8,26-12 0,3 0 8,-1 0-16,2 1 0,-1-1-8,2 2 8,-31 10 8,28-11 0,3 2 0,0-1 16,0 0-8,1 3 0,-1-1 0,-31 8-8,32-3 8,1-7-8,2 7 0,-3-5 0,1 6 0,-2-1-8,-31 3 8,28-3-8,2 1-8,-1 0-24,-1 0-16,1 2-40,-2 0 16,-27 0 80,26 0-64,-1 0 24,-3 1 24,0 2 24,-2 4-8,-2-4 0,-18-3 0,16 8 0,-1-5 0,0 6 0,-3-1 0,1 1-8,-3 0 0,-10-9 8,10 10-16,-1-1 0,-8 2 8,9 0-8,-8 1 0,1-1 8,-3-11 8,3 12-24,-2 0 8,-1 0 0,0 0-8,-2 1 24,-8 0 0,10-13 0,-8 14 16,0 0-8,-5 0 0,1 1-32,-4-2 0,-4 2 0,20-15 24,-19 14-24,-3 0 0,-2 1-8,0-1 16,-3-1 0,-1 2 16,28-15 0,-28 14 8,-1 1 8,-3-2-16,2 1-8,0 1 0,-1 0 0,31-15 8,-32 18-8,-2-2 0,-3-2-16,-1 1 8,0-1-8,-2 2 8,40-16 16,-39 16-24,-2 0-8,-2 0 24,-2-1-8,0 1 24,-2 1 16,47-17-24,-49 18 16,-1 0-16,-2 0-16,0 0-8,-3-1 16,2 2-8,53-19 16,-53 18-24,-1 0 0,3-3 8,0 1 8,1-1 32,4-3-16,46-12-8,-43 13 32,3-3-24,2-1-8,5 0 16,2-6-40,1 7 16,30-10 8,-26 4-24,3 4-8,3-7-8,2 2-1728,18-3 1768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23:30.4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1394 53 2176,'0'0'0,"-10"2"40,10-2-40,-15 3 48,-4 6 24,1-1 24,0 0 56,0 0 80,-1 1 96,19-9-328,-21 9 392,0 0 48,-3 3 0,0-2-47,-2 2-1,0-1-48,0 0-32,26-11-312,-27 11 280,-1 2-40,0 0-72,-2 1-40,0-1-32,0 1-40,30-14-56,-31 14 56,1-2-24,1 0 8,-1-1 0,3 0-24,1-2-32,26-9 16,-26 9-152,5-1-288,1-5-480,2 4-337,2-5 201,4-1 296,12-1 760,-10 1-392,3-1-1448,7 0 1840</inkml:trace>
  <inkml:trace contextRef="#ctx0" brushRef="#br0" timeOffset="1">1101 0 4897,'0'0'0,"0"0"0,-8 1 1088,-5 1-408,-3 2-264,-1 6-144,0-2-128,-3 3-88,20-11-56,-18 12 32,-3 2-24,0-1 0,1 0-32,-2 0 8,0-1-8,22-12 24,-22 13-16,0-1 0,0 0-48,0-2-48,2 1-96,0-1-96,20-10 304,-19 8-424,1 1-80,2-1-48,-1 0-56,1 0-25,2-5 17,14-3 616,-14 8-520,0-6 160,2 2 144,1-1 120,0 0 64,1 0 16,10-3 16,-9 3-8,1-2 0,5 2 8,-7-2-8,8 0 16,-5 0-8,7-1 0,-3 1 8,-1-1 0,2 1 0,-1-1 0,1 0 8,-1 0 24,3 0-40,0 0 88,-1 0 40,0 0 72,1-2 32,0 0-8,0 0-40,0 2-184,2-2 104,-1 1-80,2-2-56,5-5-24,-5 6 0,5-1 16,-8 3 40,2-7-24,7 5 0,-7-1 24,4 0 16,-6 1 56,3 0 104,-3 2-176,0 0 224,0 0-72,0 0-32,-3 0-120,1 0-16,-8 3 16,10-3 0,-8 3 24,-5 5-16,0-4 0,-3 6 40,0-3 8,-1 2 16,17-9-72,-21 10 112,-1-1-8,-1 2-16,-1-1 16,1-1-31,0 0 55,23-9-128,-25 8 112,2 0 16,-2 0 0,2-5-24,-1 5 0,2-5-8,22-3-96,-21 2 96,2 0-48,0 0-16,1-1 32,2-1-56,0 0 32,16 0-40,-15 0 0,1-3-8,1-5 0,2 8-16,0-8-8,3 5-16,8 3 48,-3-10-152,-5 2-80,7 6-56,-2-10-65,1 3 9,2 1 32,0 8 312,0-10-288,2 1 32,5 0 88,-4-1 40,9 3 56,-2-3 32,-10 10 40,11-10-16,0 0 32,2-2 8,1 4 8,0-2 16,3 2-8,-17 8-40,15-9 40,3 0 24,0 6 0,1-7-8,2 7 16,-1-8 0,-20 11-72,23-3 72,-1-7 8,0 10-24,-1-2-8,-1 0 8,1 0 8,-21 2-64,18 0 56,1 0 8,-2 3-32,-1 8-16,0-3-16,-2 2-32,-14-10 32,12 11-24,0 3 0,-2 1 8,-1 2-16,-1 1-24,-5 0-16,-3-18 72,8 19-72,-5 3 8,4 1 0,-5 1 16,5 0 0,-5 0 8,-2-24 40,7 24-16,-4 3 8,3 0 24,-3 0-8,9-1 32,-4-1 40,-8-25-80,10 25 104,3-1 80,2-2-8,1-2-8,4 1 24,3-5-48,-23-16-144,23 15 169,4-3-1,3-3-40,3-5-32,3 4-56,0-7-72,-36-1 32,40 1-112,1-1-128,0 0-361,3-8-287,0 5 120,2-9 160,-46 12 608,46-12-312,4 0-1224,-50 12 1536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80"/>
  <sheetViews>
    <sheetView rightToLeft="1" tabSelected="1" view="pageBreakPreview" zoomScale="130" zoomScaleNormal="100" zoomScaleSheetLayoutView="130" workbookViewId="0">
      <selection activeCell="A5" sqref="A5:XFD13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3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57" t="s">
        <v>248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25">
      <c r="B2" s="13" t="s">
        <v>8</v>
      </c>
      <c r="C2" s="63" t="s">
        <v>36</v>
      </c>
      <c r="D2" s="63"/>
      <c r="E2" s="13" t="s">
        <v>7</v>
      </c>
      <c r="F2" s="58">
        <v>45931</v>
      </c>
      <c r="G2" s="58"/>
      <c r="H2" s="58"/>
      <c r="I2" s="58"/>
      <c r="J2" s="58"/>
    </row>
    <row r="3" spans="1:10" ht="30" customHeight="1" x14ac:dyDescent="0.25">
      <c r="B3" s="13" t="s">
        <v>9</v>
      </c>
      <c r="C3" s="63" t="s">
        <v>77</v>
      </c>
      <c r="D3" s="63"/>
      <c r="E3" s="13" t="s">
        <v>6</v>
      </c>
      <c r="F3" s="63" t="s">
        <v>92</v>
      </c>
      <c r="G3" s="63"/>
      <c r="H3" s="63"/>
      <c r="I3" s="63"/>
      <c r="J3" s="63"/>
    </row>
    <row r="4" spans="1:10" ht="30" customHeight="1" thickBot="1" x14ac:dyDescent="0.3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5">
      <c r="A5" s="11"/>
      <c r="B5" s="59" t="s">
        <v>0</v>
      </c>
      <c r="C5" s="60"/>
      <c r="D5" s="60"/>
      <c r="E5" s="68" t="s">
        <v>1</v>
      </c>
      <c r="F5" s="68"/>
      <c r="G5" s="68"/>
      <c r="H5" s="68"/>
      <c r="I5" s="68" t="s">
        <v>2</v>
      </c>
      <c r="J5" s="69"/>
    </row>
    <row r="6" spans="1:10" ht="24.95" customHeight="1" thickBot="1" x14ac:dyDescent="0.3">
      <c r="A6" s="11"/>
      <c r="B6" s="61"/>
      <c r="C6" s="62"/>
      <c r="D6" s="62"/>
      <c r="E6" s="12" t="s">
        <v>3</v>
      </c>
      <c r="F6" s="12" t="s">
        <v>4</v>
      </c>
      <c r="G6" s="12" t="s">
        <v>23</v>
      </c>
      <c r="H6" s="12" t="s">
        <v>24</v>
      </c>
      <c r="I6" s="70"/>
      <c r="J6" s="71"/>
    </row>
    <row r="7" spans="1:10" ht="24.95" customHeight="1" thickBot="1" x14ac:dyDescent="0.3">
      <c r="A7" s="11"/>
      <c r="B7" s="66" t="s">
        <v>21</v>
      </c>
      <c r="C7" s="67"/>
      <c r="D7" s="67"/>
      <c r="E7" s="33" t="s">
        <v>18</v>
      </c>
      <c r="F7" s="33" t="s">
        <v>19</v>
      </c>
      <c r="G7" s="33" t="s">
        <v>22</v>
      </c>
      <c r="H7" s="33" t="s">
        <v>20</v>
      </c>
      <c r="I7" s="72" t="s">
        <v>25</v>
      </c>
      <c r="J7" s="73"/>
    </row>
    <row r="8" spans="1:10" ht="30" customHeight="1" x14ac:dyDescent="0.25">
      <c r="A8" s="11"/>
      <c r="B8" s="86" t="s">
        <v>180</v>
      </c>
      <c r="C8" s="87"/>
      <c r="D8" s="87"/>
      <c r="E8" s="30"/>
      <c r="F8" s="37"/>
      <c r="G8" s="38"/>
      <c r="H8" s="39"/>
      <c r="I8" s="50"/>
      <c r="J8" s="51"/>
    </row>
    <row r="9" spans="1:10" ht="30" customHeight="1" x14ac:dyDescent="0.25">
      <c r="A9" s="11"/>
      <c r="B9" s="88" t="s">
        <v>181</v>
      </c>
      <c r="C9" s="89"/>
      <c r="D9" s="89"/>
      <c r="E9" s="9">
        <v>5</v>
      </c>
      <c r="F9" s="27">
        <v>4</v>
      </c>
      <c r="G9" s="35">
        <f>IFERROR(F9/E9,"")</f>
        <v>0.8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4"/>
      <c r="J9" s="45"/>
    </row>
    <row r="10" spans="1:10" ht="39.950000000000003" customHeight="1" x14ac:dyDescent="0.25">
      <c r="A10" s="11"/>
      <c r="B10" s="88" t="s">
        <v>182</v>
      </c>
      <c r="C10" s="89"/>
      <c r="D10" s="89"/>
      <c r="E10" s="9">
        <v>5</v>
      </c>
      <c r="F10" s="27">
        <v>4</v>
      </c>
      <c r="G10" s="35">
        <f t="shared" ref="G10:G73" si="0">IFERROR(F10/E10,"")</f>
        <v>0.8</v>
      </c>
      <c r="H10" s="36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0" customHeight="1" x14ac:dyDescent="0.25">
      <c r="A11" s="11"/>
      <c r="B11" s="88" t="s">
        <v>183</v>
      </c>
      <c r="C11" s="89"/>
      <c r="D11" s="89"/>
      <c r="E11" s="9">
        <v>5</v>
      </c>
      <c r="F11" s="27">
        <v>4.25</v>
      </c>
      <c r="G11" s="35">
        <f t="shared" si="0"/>
        <v>0.85</v>
      </c>
      <c r="H11" s="36" t="str">
        <f t="shared" si="1"/>
        <v>جيد جداً</v>
      </c>
      <c r="I11" s="44"/>
      <c r="J11" s="45"/>
    </row>
    <row r="12" spans="1:10" ht="30" customHeight="1" x14ac:dyDescent="0.25">
      <c r="A12" s="11"/>
      <c r="B12" s="88" t="s">
        <v>184</v>
      </c>
      <c r="C12" s="89"/>
      <c r="D12" s="89"/>
      <c r="E12" s="9">
        <v>5</v>
      </c>
      <c r="F12" s="27">
        <v>4.25</v>
      </c>
      <c r="G12" s="35">
        <f t="shared" si="0"/>
        <v>0.85</v>
      </c>
      <c r="H12" s="36" t="str">
        <f t="shared" si="1"/>
        <v>جيد جداً</v>
      </c>
      <c r="I12" s="44"/>
      <c r="J12" s="45"/>
    </row>
    <row r="13" spans="1:10" ht="30" customHeight="1" x14ac:dyDescent="0.25">
      <c r="A13" s="11"/>
      <c r="B13" s="88" t="s">
        <v>185</v>
      </c>
      <c r="C13" s="89"/>
      <c r="D13" s="89"/>
      <c r="E13" s="9">
        <v>5</v>
      </c>
      <c r="F13" s="27">
        <v>3.75</v>
      </c>
      <c r="G13" s="35">
        <f t="shared" si="0"/>
        <v>0.75</v>
      </c>
      <c r="H13" s="36" t="str">
        <f t="shared" si="1"/>
        <v>جيد</v>
      </c>
      <c r="I13" s="44"/>
      <c r="J13" s="45"/>
    </row>
    <row r="14" spans="1:10" ht="39.950000000000003" customHeight="1" x14ac:dyDescent="0.25">
      <c r="A14" s="11"/>
      <c r="B14" s="88" t="s">
        <v>186</v>
      </c>
      <c r="C14" s="89"/>
      <c r="D14" s="89"/>
      <c r="E14" s="9">
        <v>5</v>
      </c>
      <c r="F14" s="27">
        <v>3.75</v>
      </c>
      <c r="G14" s="35">
        <f t="shared" si="0"/>
        <v>0.75</v>
      </c>
      <c r="H14" s="36" t="str">
        <f t="shared" si="1"/>
        <v>جيد</v>
      </c>
      <c r="I14" s="44"/>
      <c r="J14" s="45"/>
    </row>
    <row r="15" spans="1:10" ht="30" customHeight="1" thickBot="1" x14ac:dyDescent="0.3">
      <c r="A15" s="11"/>
      <c r="B15" s="84" t="s">
        <v>187</v>
      </c>
      <c r="C15" s="85"/>
      <c r="D15" s="85"/>
      <c r="E15" s="31">
        <v>5</v>
      </c>
      <c r="F15" s="29">
        <v>3.75</v>
      </c>
      <c r="G15" s="40">
        <f t="shared" si="0"/>
        <v>0.75</v>
      </c>
      <c r="H15" s="41" t="str">
        <f t="shared" si="1"/>
        <v>جيد</v>
      </c>
      <c r="I15" s="46"/>
      <c r="J15" s="47"/>
    </row>
    <row r="16" spans="1:10" ht="30" customHeight="1" x14ac:dyDescent="0.25">
      <c r="A16" s="11"/>
      <c r="B16" s="86" t="s">
        <v>188</v>
      </c>
      <c r="C16" s="87"/>
      <c r="D16" s="87"/>
      <c r="E16" s="32"/>
      <c r="F16" s="37"/>
      <c r="G16" s="38"/>
      <c r="H16" s="39"/>
      <c r="I16" s="50"/>
      <c r="J16" s="51"/>
    </row>
    <row r="17" spans="1:10" ht="39.950000000000003" customHeight="1" x14ac:dyDescent="0.25">
      <c r="A17" s="11"/>
      <c r="B17" s="88" t="s">
        <v>189</v>
      </c>
      <c r="C17" s="89"/>
      <c r="D17" s="89"/>
      <c r="E17" s="9">
        <v>5</v>
      </c>
      <c r="F17" s="27">
        <v>3.75</v>
      </c>
      <c r="G17" s="35">
        <f t="shared" si="0"/>
        <v>0.75</v>
      </c>
      <c r="H17" s="36" t="str">
        <f t="shared" si="1"/>
        <v>جيد</v>
      </c>
      <c r="I17" s="44"/>
      <c r="J17" s="45"/>
    </row>
    <row r="18" spans="1:10" ht="39.950000000000003" customHeight="1" x14ac:dyDescent="0.25">
      <c r="A18" s="11"/>
      <c r="B18" s="88" t="s">
        <v>190</v>
      </c>
      <c r="C18" s="89"/>
      <c r="D18" s="89"/>
      <c r="E18" s="9">
        <v>5</v>
      </c>
      <c r="F18" s="27" t="s">
        <v>17</v>
      </c>
      <c r="G18" s="35" t="str">
        <f t="shared" si="0"/>
        <v/>
      </c>
      <c r="H18" s="36" t="str">
        <f t="shared" si="1"/>
        <v>تم الإلغاء</v>
      </c>
      <c r="I18" s="44"/>
      <c r="J18" s="45"/>
    </row>
    <row r="19" spans="1:10" ht="30" customHeight="1" x14ac:dyDescent="0.25">
      <c r="A19" s="11"/>
      <c r="B19" s="88" t="s">
        <v>191</v>
      </c>
      <c r="C19" s="89"/>
      <c r="D19" s="89"/>
      <c r="E19" s="9">
        <v>6</v>
      </c>
      <c r="F19" s="27">
        <v>4.25</v>
      </c>
      <c r="G19" s="35">
        <f t="shared" si="0"/>
        <v>0.70833333333333337</v>
      </c>
      <c r="H19" s="36" t="str">
        <f t="shared" si="1"/>
        <v>جيد</v>
      </c>
      <c r="I19" s="44"/>
      <c r="J19" s="45"/>
    </row>
    <row r="20" spans="1:10" ht="30" customHeight="1" x14ac:dyDescent="0.25">
      <c r="A20" s="11"/>
      <c r="B20" s="88" t="s">
        <v>192</v>
      </c>
      <c r="C20" s="89"/>
      <c r="D20" s="89"/>
      <c r="E20" s="9">
        <v>6</v>
      </c>
      <c r="F20" s="27">
        <v>4.25</v>
      </c>
      <c r="G20" s="35">
        <f t="shared" si="0"/>
        <v>0.70833333333333337</v>
      </c>
      <c r="H20" s="36" t="str">
        <f t="shared" si="1"/>
        <v>جيد</v>
      </c>
      <c r="I20" s="44"/>
      <c r="J20" s="45"/>
    </row>
    <row r="21" spans="1:10" ht="30" customHeight="1" x14ac:dyDescent="0.25">
      <c r="A21" s="11"/>
      <c r="B21" s="88" t="s">
        <v>193</v>
      </c>
      <c r="C21" s="89"/>
      <c r="D21" s="89"/>
      <c r="E21" s="9">
        <v>5</v>
      </c>
      <c r="F21" s="27">
        <v>4.25</v>
      </c>
      <c r="G21" s="35">
        <f t="shared" si="0"/>
        <v>0.85</v>
      </c>
      <c r="H21" s="36" t="str">
        <f t="shared" si="1"/>
        <v>جيد جداً</v>
      </c>
      <c r="I21" s="44"/>
      <c r="J21" s="45"/>
    </row>
    <row r="22" spans="1:10" ht="30" customHeight="1" thickBot="1" x14ac:dyDescent="0.3">
      <c r="A22" s="11"/>
      <c r="B22" s="84" t="s">
        <v>194</v>
      </c>
      <c r="C22" s="85"/>
      <c r="D22" s="85"/>
      <c r="E22" s="31">
        <v>5</v>
      </c>
      <c r="F22" s="29">
        <v>4</v>
      </c>
      <c r="G22" s="40">
        <f t="shared" si="0"/>
        <v>0.8</v>
      </c>
      <c r="H22" s="41" t="str">
        <f t="shared" si="1"/>
        <v>جيد جداً</v>
      </c>
      <c r="I22" s="46"/>
      <c r="J22" s="47"/>
    </row>
    <row r="23" spans="1:10" ht="30" customHeight="1" x14ac:dyDescent="0.25">
      <c r="A23" s="11"/>
      <c r="B23" s="86" t="s">
        <v>195</v>
      </c>
      <c r="C23" s="87"/>
      <c r="D23" s="87"/>
      <c r="E23" s="32"/>
      <c r="F23" s="37"/>
      <c r="G23" s="38"/>
      <c r="H23" s="39"/>
      <c r="I23" s="50"/>
      <c r="J23" s="51"/>
    </row>
    <row r="24" spans="1:10" ht="51" customHeight="1" x14ac:dyDescent="0.25">
      <c r="A24" s="11"/>
      <c r="B24" s="88" t="s">
        <v>196</v>
      </c>
      <c r="C24" s="89"/>
      <c r="D24" s="89"/>
      <c r="E24" s="9">
        <v>10</v>
      </c>
      <c r="F24" s="27">
        <v>7</v>
      </c>
      <c r="G24" s="35">
        <f t="shared" si="0"/>
        <v>0.7</v>
      </c>
      <c r="H24" s="36" t="str">
        <f t="shared" si="1"/>
        <v>جيد</v>
      </c>
      <c r="I24" s="44"/>
      <c r="J24" s="45"/>
    </row>
    <row r="25" spans="1:10" ht="30" customHeight="1" x14ac:dyDescent="0.25">
      <c r="A25" s="11"/>
      <c r="B25" s="88" t="s">
        <v>197</v>
      </c>
      <c r="C25" s="89"/>
      <c r="D25" s="89"/>
      <c r="E25" s="9">
        <v>6</v>
      </c>
      <c r="F25" s="27">
        <v>4.75</v>
      </c>
      <c r="G25" s="35">
        <f t="shared" si="0"/>
        <v>0.79166666666666663</v>
      </c>
      <c r="H25" s="36" t="str">
        <f t="shared" si="1"/>
        <v>جيد</v>
      </c>
      <c r="I25" s="44"/>
      <c r="J25" s="45"/>
    </row>
    <row r="26" spans="1:10" ht="30" customHeight="1" x14ac:dyDescent="0.25">
      <c r="A26" s="11"/>
      <c r="B26" s="88" t="s">
        <v>198</v>
      </c>
      <c r="C26" s="89"/>
      <c r="D26" s="89"/>
      <c r="E26" s="9">
        <v>6</v>
      </c>
      <c r="F26" s="27">
        <v>4.5</v>
      </c>
      <c r="G26" s="35">
        <f t="shared" si="0"/>
        <v>0.75</v>
      </c>
      <c r="H26" s="36" t="str">
        <f t="shared" si="1"/>
        <v>جيد</v>
      </c>
      <c r="I26" s="44"/>
      <c r="J26" s="45"/>
    </row>
    <row r="27" spans="1:10" ht="30" customHeight="1" thickBot="1" x14ac:dyDescent="0.3">
      <c r="A27" s="11"/>
      <c r="B27" s="84" t="s">
        <v>199</v>
      </c>
      <c r="C27" s="85"/>
      <c r="D27" s="85"/>
      <c r="E27" s="31">
        <v>6</v>
      </c>
      <c r="F27" s="29">
        <v>4</v>
      </c>
      <c r="G27" s="40">
        <f t="shared" si="0"/>
        <v>0.66666666666666663</v>
      </c>
      <c r="H27" s="41" t="str">
        <f t="shared" si="1"/>
        <v>مقبول</v>
      </c>
      <c r="I27" s="46"/>
      <c r="J27" s="47"/>
    </row>
    <row r="28" spans="1:10" ht="30" customHeight="1" x14ac:dyDescent="0.25">
      <c r="A28" s="11"/>
      <c r="B28" s="86" t="s">
        <v>200</v>
      </c>
      <c r="C28" s="87"/>
      <c r="D28" s="87"/>
      <c r="E28" s="32"/>
      <c r="F28" s="37"/>
      <c r="G28" s="38"/>
      <c r="H28" s="39"/>
      <c r="I28" s="50"/>
      <c r="J28" s="51"/>
    </row>
    <row r="29" spans="1:10" ht="30" customHeight="1" x14ac:dyDescent="0.25">
      <c r="A29" s="11"/>
      <c r="B29" s="88" t="s">
        <v>201</v>
      </c>
      <c r="C29" s="89"/>
      <c r="D29" s="89"/>
      <c r="E29" s="9">
        <v>5</v>
      </c>
      <c r="F29" s="27">
        <v>3.75</v>
      </c>
      <c r="G29" s="35">
        <f t="shared" si="0"/>
        <v>0.75</v>
      </c>
      <c r="H29" s="36" t="str">
        <f t="shared" si="1"/>
        <v>جيد</v>
      </c>
      <c r="I29" s="44"/>
      <c r="J29" s="45"/>
    </row>
    <row r="30" spans="1:10" ht="30" customHeight="1" x14ac:dyDescent="0.25">
      <c r="A30" s="11"/>
      <c r="B30" s="88" t="s">
        <v>202</v>
      </c>
      <c r="C30" s="89"/>
      <c r="D30" s="89"/>
      <c r="E30" s="9">
        <v>5</v>
      </c>
      <c r="F30" s="27">
        <v>3.75</v>
      </c>
      <c r="G30" s="35">
        <f t="shared" si="0"/>
        <v>0.75</v>
      </c>
      <c r="H30" s="36" t="str">
        <f t="shared" si="1"/>
        <v>جيد</v>
      </c>
      <c r="I30" s="44"/>
      <c r="J30" s="45"/>
    </row>
    <row r="31" spans="1:10" ht="30" customHeight="1" x14ac:dyDescent="0.25">
      <c r="A31" s="11"/>
      <c r="B31" s="88" t="s">
        <v>203</v>
      </c>
      <c r="C31" s="89"/>
      <c r="D31" s="89"/>
      <c r="E31" s="9">
        <v>5</v>
      </c>
      <c r="F31" s="27">
        <v>4</v>
      </c>
      <c r="G31" s="35">
        <f t="shared" si="0"/>
        <v>0.8</v>
      </c>
      <c r="H31" s="36" t="str">
        <f t="shared" si="1"/>
        <v>جيد جداً</v>
      </c>
      <c r="I31" s="44"/>
      <c r="J31" s="45"/>
    </row>
    <row r="32" spans="1:10" ht="30" customHeight="1" x14ac:dyDescent="0.25">
      <c r="A32" s="11"/>
      <c r="B32" s="88" t="s">
        <v>204</v>
      </c>
      <c r="C32" s="89"/>
      <c r="D32" s="89"/>
      <c r="E32" s="9">
        <v>5</v>
      </c>
      <c r="F32" s="27">
        <v>3.75</v>
      </c>
      <c r="G32" s="35">
        <f t="shared" si="0"/>
        <v>0.75</v>
      </c>
      <c r="H32" s="36" t="str">
        <f t="shared" si="1"/>
        <v>جيد</v>
      </c>
      <c r="I32" s="44"/>
      <c r="J32" s="45"/>
    </row>
    <row r="33" spans="1:10" ht="30" customHeight="1" x14ac:dyDescent="0.25">
      <c r="A33" s="11"/>
      <c r="B33" s="88" t="s">
        <v>205</v>
      </c>
      <c r="C33" s="89"/>
      <c r="D33" s="89"/>
      <c r="E33" s="9">
        <v>5</v>
      </c>
      <c r="F33" s="27">
        <v>3.75</v>
      </c>
      <c r="G33" s="35">
        <f t="shared" si="0"/>
        <v>0.75</v>
      </c>
      <c r="H33" s="36" t="str">
        <f t="shared" si="1"/>
        <v>جيد</v>
      </c>
      <c r="I33" s="44"/>
      <c r="J33" s="45"/>
    </row>
    <row r="34" spans="1:10" ht="30" customHeight="1" x14ac:dyDescent="0.25">
      <c r="A34" s="11"/>
      <c r="B34" s="88" t="s">
        <v>206</v>
      </c>
      <c r="C34" s="89"/>
      <c r="D34" s="89"/>
      <c r="E34" s="9">
        <v>5</v>
      </c>
      <c r="F34" s="27">
        <v>4.25</v>
      </c>
      <c r="G34" s="35">
        <f t="shared" si="0"/>
        <v>0.85</v>
      </c>
      <c r="H34" s="36" t="str">
        <f t="shared" si="1"/>
        <v>جيد جداً</v>
      </c>
      <c r="I34" s="44"/>
      <c r="J34" s="45"/>
    </row>
    <row r="35" spans="1:10" ht="30" customHeight="1" x14ac:dyDescent="0.25">
      <c r="A35" s="11"/>
      <c r="B35" s="88" t="s">
        <v>207</v>
      </c>
      <c r="C35" s="89"/>
      <c r="D35" s="89"/>
      <c r="E35" s="9">
        <v>5</v>
      </c>
      <c r="F35" s="27">
        <v>3.75</v>
      </c>
      <c r="G35" s="35">
        <f t="shared" si="0"/>
        <v>0.75</v>
      </c>
      <c r="H35" s="36" t="str">
        <f t="shared" si="1"/>
        <v>جيد</v>
      </c>
      <c r="I35" s="44"/>
      <c r="J35" s="45"/>
    </row>
    <row r="36" spans="1:10" ht="30" customHeight="1" thickBot="1" x14ac:dyDescent="0.3">
      <c r="A36" s="11"/>
      <c r="B36" s="84" t="s">
        <v>208</v>
      </c>
      <c r="C36" s="85"/>
      <c r="D36" s="85"/>
      <c r="E36" s="31">
        <v>5</v>
      </c>
      <c r="F36" s="29">
        <v>3.75</v>
      </c>
      <c r="G36" s="40">
        <f t="shared" si="0"/>
        <v>0.75</v>
      </c>
      <c r="H36" s="41" t="str">
        <f t="shared" si="1"/>
        <v>جيد</v>
      </c>
      <c r="I36" s="46"/>
      <c r="J36" s="47"/>
    </row>
    <row r="37" spans="1:10" ht="30" customHeight="1" x14ac:dyDescent="0.25">
      <c r="A37" s="11"/>
      <c r="B37" s="86" t="s">
        <v>209</v>
      </c>
      <c r="C37" s="87"/>
      <c r="D37" s="87"/>
      <c r="E37" s="30"/>
      <c r="F37" s="37"/>
      <c r="G37" s="38"/>
      <c r="H37" s="39"/>
      <c r="I37" s="50"/>
      <c r="J37" s="51"/>
    </row>
    <row r="38" spans="1:10" ht="30" customHeight="1" x14ac:dyDescent="0.25">
      <c r="A38" s="11"/>
      <c r="B38" s="88" t="s">
        <v>210</v>
      </c>
      <c r="C38" s="89"/>
      <c r="D38" s="89"/>
      <c r="E38" s="9">
        <v>5</v>
      </c>
      <c r="F38" s="27">
        <v>4</v>
      </c>
      <c r="G38" s="35">
        <f t="shared" si="0"/>
        <v>0.8</v>
      </c>
      <c r="H38" s="36" t="str">
        <f t="shared" si="1"/>
        <v>جيد جداً</v>
      </c>
      <c r="I38" s="44"/>
      <c r="J38" s="45"/>
    </row>
    <row r="39" spans="1:10" ht="30" customHeight="1" x14ac:dyDescent="0.25">
      <c r="A39" s="11"/>
      <c r="B39" s="88" t="s">
        <v>211</v>
      </c>
      <c r="C39" s="89"/>
      <c r="D39" s="89"/>
      <c r="E39" s="9">
        <v>5</v>
      </c>
      <c r="F39" s="27">
        <v>4</v>
      </c>
      <c r="G39" s="35">
        <f t="shared" si="0"/>
        <v>0.8</v>
      </c>
      <c r="H39" s="36" t="str">
        <f t="shared" si="1"/>
        <v>جيد جداً</v>
      </c>
      <c r="I39" s="44"/>
      <c r="J39" s="45"/>
    </row>
    <row r="40" spans="1:10" ht="30" customHeight="1" x14ac:dyDescent="0.25">
      <c r="A40" s="11"/>
      <c r="B40" s="88" t="s">
        <v>212</v>
      </c>
      <c r="C40" s="89"/>
      <c r="D40" s="89"/>
      <c r="E40" s="9">
        <v>5</v>
      </c>
      <c r="F40" s="27">
        <v>3.75</v>
      </c>
      <c r="G40" s="35">
        <f t="shared" si="0"/>
        <v>0.75</v>
      </c>
      <c r="H40" s="36" t="str">
        <f t="shared" si="1"/>
        <v>جيد</v>
      </c>
      <c r="I40" s="44"/>
      <c r="J40" s="45"/>
    </row>
    <row r="41" spans="1:10" ht="30" customHeight="1" x14ac:dyDescent="0.25">
      <c r="A41" s="11"/>
      <c r="B41" s="88" t="s">
        <v>213</v>
      </c>
      <c r="C41" s="89"/>
      <c r="D41" s="89"/>
      <c r="E41" s="9">
        <v>5</v>
      </c>
      <c r="F41" s="27">
        <v>3.75</v>
      </c>
      <c r="G41" s="35">
        <f t="shared" si="0"/>
        <v>0.75</v>
      </c>
      <c r="H41" s="36" t="str">
        <f t="shared" si="1"/>
        <v>جيد</v>
      </c>
      <c r="I41" s="44"/>
      <c r="J41" s="45"/>
    </row>
    <row r="42" spans="1:10" ht="30" customHeight="1" x14ac:dyDescent="0.25">
      <c r="A42" s="11"/>
      <c r="B42" s="88" t="s">
        <v>214</v>
      </c>
      <c r="C42" s="89"/>
      <c r="D42" s="89"/>
      <c r="E42" s="9">
        <v>5</v>
      </c>
      <c r="F42" s="27">
        <v>3.75</v>
      </c>
      <c r="G42" s="35">
        <f t="shared" si="0"/>
        <v>0.75</v>
      </c>
      <c r="H42" s="36" t="str">
        <f t="shared" si="1"/>
        <v>جيد</v>
      </c>
      <c r="I42" s="44"/>
      <c r="J42" s="45"/>
    </row>
    <row r="43" spans="1:10" ht="30" customHeight="1" x14ac:dyDescent="0.25">
      <c r="A43" s="11"/>
      <c r="B43" s="88" t="s">
        <v>215</v>
      </c>
      <c r="C43" s="89"/>
      <c r="D43" s="89"/>
      <c r="E43" s="9">
        <v>5</v>
      </c>
      <c r="F43" s="27">
        <v>4</v>
      </c>
      <c r="G43" s="35">
        <f t="shared" si="0"/>
        <v>0.8</v>
      </c>
      <c r="H43" s="36" t="str">
        <f t="shared" si="1"/>
        <v>جيد جداً</v>
      </c>
      <c r="I43" s="44"/>
      <c r="J43" s="45"/>
    </row>
    <row r="44" spans="1:10" ht="30" customHeight="1" x14ac:dyDescent="0.25">
      <c r="A44" s="11"/>
      <c r="B44" s="88" t="s">
        <v>216</v>
      </c>
      <c r="C44" s="89"/>
      <c r="D44" s="89"/>
      <c r="E44" s="9">
        <v>5</v>
      </c>
      <c r="F44" s="27">
        <v>4</v>
      </c>
      <c r="G44" s="35">
        <f t="shared" si="0"/>
        <v>0.8</v>
      </c>
      <c r="H44" s="36" t="str">
        <f t="shared" si="1"/>
        <v>جيد جداً</v>
      </c>
      <c r="I44" s="44"/>
      <c r="J44" s="45"/>
    </row>
    <row r="45" spans="1:10" ht="30" customHeight="1" x14ac:dyDescent="0.25">
      <c r="A45" s="11"/>
      <c r="B45" s="88" t="s">
        <v>217</v>
      </c>
      <c r="C45" s="89"/>
      <c r="D45" s="89"/>
      <c r="E45" s="9">
        <v>5</v>
      </c>
      <c r="F45" s="27">
        <v>3.75</v>
      </c>
      <c r="G45" s="35">
        <f t="shared" si="0"/>
        <v>0.75</v>
      </c>
      <c r="H45" s="36" t="str">
        <f t="shared" si="1"/>
        <v>جيد</v>
      </c>
      <c r="I45" s="44"/>
      <c r="J45" s="45"/>
    </row>
    <row r="46" spans="1:10" ht="30" customHeight="1" x14ac:dyDescent="0.25">
      <c r="A46" s="11"/>
      <c r="B46" s="88" t="s">
        <v>218</v>
      </c>
      <c r="C46" s="89"/>
      <c r="D46" s="89"/>
      <c r="E46" s="9">
        <v>5</v>
      </c>
      <c r="F46" s="27">
        <v>3.75</v>
      </c>
      <c r="G46" s="35">
        <f t="shared" si="0"/>
        <v>0.75</v>
      </c>
      <c r="H46" s="36" t="str">
        <f t="shared" si="1"/>
        <v>جيد</v>
      </c>
      <c r="I46" s="44"/>
      <c r="J46" s="45"/>
    </row>
    <row r="47" spans="1:10" ht="30" customHeight="1" x14ac:dyDescent="0.25">
      <c r="A47" s="11"/>
      <c r="B47" s="88" t="s">
        <v>219</v>
      </c>
      <c r="C47" s="89"/>
      <c r="D47" s="89"/>
      <c r="E47" s="9">
        <v>5</v>
      </c>
      <c r="F47" s="27">
        <v>4</v>
      </c>
      <c r="G47" s="35">
        <f t="shared" si="0"/>
        <v>0.8</v>
      </c>
      <c r="H47" s="36" t="str">
        <f t="shared" si="1"/>
        <v>جيد جداً</v>
      </c>
      <c r="I47" s="44"/>
      <c r="J47" s="45"/>
    </row>
    <row r="48" spans="1:10" ht="30" customHeight="1" x14ac:dyDescent="0.25">
      <c r="A48" s="11"/>
      <c r="B48" s="88" t="s">
        <v>220</v>
      </c>
      <c r="C48" s="89"/>
      <c r="D48" s="89"/>
      <c r="E48" s="9">
        <v>5</v>
      </c>
      <c r="F48" s="27">
        <v>4</v>
      </c>
      <c r="G48" s="35">
        <f t="shared" si="0"/>
        <v>0.8</v>
      </c>
      <c r="H48" s="36" t="str">
        <f t="shared" si="1"/>
        <v>جيد جداً</v>
      </c>
      <c r="I48" s="44"/>
      <c r="J48" s="45"/>
    </row>
    <row r="49" spans="1:10" ht="30" customHeight="1" x14ac:dyDescent="0.25">
      <c r="A49" s="11"/>
      <c r="B49" s="88" t="s">
        <v>221</v>
      </c>
      <c r="C49" s="89"/>
      <c r="D49" s="89"/>
      <c r="E49" s="9">
        <v>5</v>
      </c>
      <c r="F49" s="27">
        <v>4</v>
      </c>
      <c r="G49" s="35">
        <f t="shared" si="0"/>
        <v>0.8</v>
      </c>
      <c r="H49" s="36" t="str">
        <f t="shared" si="1"/>
        <v>جيد جداً</v>
      </c>
      <c r="I49" s="44"/>
      <c r="J49" s="45"/>
    </row>
    <row r="50" spans="1:10" ht="30" customHeight="1" x14ac:dyDescent="0.25">
      <c r="A50" s="11"/>
      <c r="B50" s="88" t="s">
        <v>222</v>
      </c>
      <c r="C50" s="89"/>
      <c r="D50" s="89"/>
      <c r="E50" s="9">
        <v>5</v>
      </c>
      <c r="F50" s="27">
        <v>4</v>
      </c>
      <c r="G50" s="35">
        <f t="shared" si="0"/>
        <v>0.8</v>
      </c>
      <c r="H50" s="36" t="str">
        <f t="shared" si="1"/>
        <v>جيد جداً</v>
      </c>
      <c r="I50" s="44"/>
      <c r="J50" s="45"/>
    </row>
    <row r="51" spans="1:10" ht="30" customHeight="1" thickBot="1" x14ac:dyDescent="0.3">
      <c r="A51" s="11"/>
      <c r="B51" s="84" t="s">
        <v>223</v>
      </c>
      <c r="C51" s="85"/>
      <c r="D51" s="85"/>
      <c r="E51" s="31">
        <v>5</v>
      </c>
      <c r="F51" s="29">
        <v>4</v>
      </c>
      <c r="G51" s="40">
        <f t="shared" si="0"/>
        <v>0.8</v>
      </c>
      <c r="H51" s="41" t="str">
        <f t="shared" si="1"/>
        <v>جيد جداً</v>
      </c>
      <c r="I51" s="46"/>
      <c r="J51" s="47"/>
    </row>
    <row r="52" spans="1:10" ht="30" customHeight="1" x14ac:dyDescent="0.25">
      <c r="A52" s="11"/>
      <c r="B52" s="86" t="s">
        <v>224</v>
      </c>
      <c r="C52" s="87"/>
      <c r="D52" s="87"/>
      <c r="E52" s="32"/>
      <c r="F52" s="37"/>
      <c r="G52" s="38"/>
      <c r="H52" s="39"/>
      <c r="I52" s="50"/>
      <c r="J52" s="51"/>
    </row>
    <row r="53" spans="1:10" ht="30" customHeight="1" x14ac:dyDescent="0.25">
      <c r="A53" s="11"/>
      <c r="B53" s="88" t="s">
        <v>225</v>
      </c>
      <c r="C53" s="89"/>
      <c r="D53" s="89"/>
      <c r="E53" s="9">
        <v>6</v>
      </c>
      <c r="F53" s="27">
        <v>5</v>
      </c>
      <c r="G53" s="35">
        <f t="shared" si="0"/>
        <v>0.83333333333333337</v>
      </c>
      <c r="H53" s="36" t="str">
        <f t="shared" si="1"/>
        <v>جيد جداً</v>
      </c>
      <c r="I53" s="44"/>
      <c r="J53" s="45"/>
    </row>
    <row r="54" spans="1:10" ht="30" customHeight="1" x14ac:dyDescent="0.25">
      <c r="A54" s="11"/>
      <c r="B54" s="88" t="s">
        <v>226</v>
      </c>
      <c r="C54" s="89"/>
      <c r="D54" s="89"/>
      <c r="E54" s="9">
        <v>7</v>
      </c>
      <c r="F54" s="27">
        <v>5</v>
      </c>
      <c r="G54" s="35">
        <f t="shared" si="0"/>
        <v>0.7142857142857143</v>
      </c>
      <c r="H54" s="36" t="str">
        <f t="shared" si="1"/>
        <v>جيد</v>
      </c>
      <c r="I54" s="44"/>
      <c r="J54" s="45"/>
    </row>
    <row r="55" spans="1:10" ht="30" customHeight="1" thickBot="1" x14ac:dyDescent="0.3">
      <c r="A55" s="11"/>
      <c r="B55" s="84" t="s">
        <v>227</v>
      </c>
      <c r="C55" s="85"/>
      <c r="D55" s="85"/>
      <c r="E55" s="31">
        <v>6</v>
      </c>
      <c r="F55" s="29">
        <v>4.75</v>
      </c>
      <c r="G55" s="40">
        <f t="shared" si="0"/>
        <v>0.79166666666666663</v>
      </c>
      <c r="H55" s="41" t="str">
        <f t="shared" si="1"/>
        <v>جيد</v>
      </c>
      <c r="I55" s="46"/>
      <c r="J55" s="47"/>
    </row>
    <row r="56" spans="1:10" ht="30" customHeight="1" x14ac:dyDescent="0.25">
      <c r="A56" s="11"/>
      <c r="B56" s="86" t="s">
        <v>228</v>
      </c>
      <c r="C56" s="87"/>
      <c r="D56" s="87"/>
      <c r="E56" s="30"/>
      <c r="F56" s="37"/>
      <c r="G56" s="38"/>
      <c r="H56" s="39"/>
      <c r="I56" s="50"/>
      <c r="J56" s="51"/>
    </row>
    <row r="57" spans="1:10" ht="30" customHeight="1" x14ac:dyDescent="0.25">
      <c r="A57" s="11"/>
      <c r="B57" s="88" t="s">
        <v>229</v>
      </c>
      <c r="C57" s="89"/>
      <c r="D57" s="89"/>
      <c r="E57" s="9">
        <v>10</v>
      </c>
      <c r="F57" s="27">
        <v>7</v>
      </c>
      <c r="G57" s="35">
        <f t="shared" si="0"/>
        <v>0.7</v>
      </c>
      <c r="H57" s="36" t="str">
        <f t="shared" si="1"/>
        <v>جيد</v>
      </c>
      <c r="I57" s="44"/>
      <c r="J57" s="45"/>
    </row>
    <row r="58" spans="1:10" ht="30" customHeight="1" x14ac:dyDescent="0.25">
      <c r="A58" s="11"/>
      <c r="B58" s="88" t="s">
        <v>230</v>
      </c>
      <c r="C58" s="89"/>
      <c r="D58" s="89"/>
      <c r="E58" s="9">
        <v>6</v>
      </c>
      <c r="F58" s="27">
        <v>5.25</v>
      </c>
      <c r="G58" s="35">
        <f t="shared" si="0"/>
        <v>0.875</v>
      </c>
      <c r="H58" s="36" t="str">
        <f t="shared" si="1"/>
        <v>جيد جداً</v>
      </c>
      <c r="I58" s="44"/>
      <c r="J58" s="45"/>
    </row>
    <row r="59" spans="1:10" ht="39.950000000000003" customHeight="1" thickBot="1" x14ac:dyDescent="0.3">
      <c r="A59" s="11"/>
      <c r="B59" s="84" t="s">
        <v>231</v>
      </c>
      <c r="C59" s="85"/>
      <c r="D59" s="85"/>
      <c r="E59" s="31">
        <v>9</v>
      </c>
      <c r="F59" s="29">
        <v>7</v>
      </c>
      <c r="G59" s="40">
        <f t="shared" si="0"/>
        <v>0.77777777777777779</v>
      </c>
      <c r="H59" s="41" t="str">
        <f t="shared" si="1"/>
        <v>جيد</v>
      </c>
      <c r="I59" s="46"/>
      <c r="J59" s="47"/>
    </row>
    <row r="60" spans="1:10" ht="30" customHeight="1" x14ac:dyDescent="0.25">
      <c r="A60" s="11"/>
      <c r="B60" s="86" t="s">
        <v>232</v>
      </c>
      <c r="C60" s="87"/>
      <c r="D60" s="87"/>
      <c r="E60" s="32"/>
      <c r="F60" s="37"/>
      <c r="G60" s="38"/>
      <c r="H60" s="39"/>
      <c r="I60" s="50"/>
      <c r="J60" s="51"/>
    </row>
    <row r="61" spans="1:10" ht="30" customHeight="1" x14ac:dyDescent="0.25">
      <c r="A61" s="11"/>
      <c r="B61" s="88" t="s">
        <v>233</v>
      </c>
      <c r="C61" s="89"/>
      <c r="D61" s="89"/>
      <c r="E61" s="9">
        <v>10</v>
      </c>
      <c r="F61" s="27">
        <v>8.25</v>
      </c>
      <c r="G61" s="35">
        <f t="shared" si="0"/>
        <v>0.82499999999999996</v>
      </c>
      <c r="H61" s="36" t="str">
        <f t="shared" si="1"/>
        <v>جيد جداً</v>
      </c>
      <c r="I61" s="44"/>
      <c r="J61" s="45"/>
    </row>
    <row r="62" spans="1:10" ht="30" customHeight="1" thickBot="1" x14ac:dyDescent="0.3">
      <c r="A62" s="11"/>
      <c r="B62" s="84" t="s">
        <v>234</v>
      </c>
      <c r="C62" s="85"/>
      <c r="D62" s="85"/>
      <c r="E62" s="31">
        <v>10</v>
      </c>
      <c r="F62" s="29">
        <v>8.75</v>
      </c>
      <c r="G62" s="40">
        <f t="shared" si="0"/>
        <v>0.875</v>
      </c>
      <c r="H62" s="41" t="str">
        <f t="shared" si="1"/>
        <v>جيد جداً</v>
      </c>
      <c r="I62" s="46"/>
      <c r="J62" s="47"/>
    </row>
    <row r="63" spans="1:10" ht="30" customHeight="1" x14ac:dyDescent="0.25">
      <c r="A63" s="11"/>
      <c r="B63" s="86" t="s">
        <v>235</v>
      </c>
      <c r="C63" s="87"/>
      <c r="D63" s="87"/>
      <c r="E63" s="32"/>
      <c r="F63" s="37"/>
      <c r="G63" s="38"/>
      <c r="H63" s="39"/>
      <c r="I63" s="50"/>
      <c r="J63" s="51"/>
    </row>
    <row r="64" spans="1:10" ht="30" customHeight="1" x14ac:dyDescent="0.25">
      <c r="A64" s="11"/>
      <c r="B64" s="88" t="s">
        <v>236</v>
      </c>
      <c r="C64" s="89"/>
      <c r="D64" s="89"/>
      <c r="E64" s="9">
        <v>8</v>
      </c>
      <c r="F64" s="27">
        <v>6.25</v>
      </c>
      <c r="G64" s="35">
        <f t="shared" si="0"/>
        <v>0.78125</v>
      </c>
      <c r="H64" s="36" t="str">
        <f t="shared" si="1"/>
        <v>جيد</v>
      </c>
      <c r="I64" s="44"/>
      <c r="J64" s="45"/>
    </row>
    <row r="65" spans="1:10" ht="30" customHeight="1" x14ac:dyDescent="0.25">
      <c r="A65" s="11"/>
      <c r="B65" s="88" t="s">
        <v>237</v>
      </c>
      <c r="C65" s="89"/>
      <c r="D65" s="89"/>
      <c r="E65" s="9">
        <v>8</v>
      </c>
      <c r="F65" s="27">
        <v>6</v>
      </c>
      <c r="G65" s="35">
        <f t="shared" si="0"/>
        <v>0.75</v>
      </c>
      <c r="H65" s="36" t="str">
        <f t="shared" si="1"/>
        <v>جيد</v>
      </c>
      <c r="I65" s="44"/>
      <c r="J65" s="45"/>
    </row>
    <row r="66" spans="1:10" ht="30" customHeight="1" x14ac:dyDescent="0.25">
      <c r="A66" s="11"/>
      <c r="B66" s="88" t="s">
        <v>238</v>
      </c>
      <c r="C66" s="89"/>
      <c r="D66" s="89"/>
      <c r="E66" s="9">
        <v>8</v>
      </c>
      <c r="F66" s="27">
        <v>7</v>
      </c>
      <c r="G66" s="35">
        <f t="shared" si="0"/>
        <v>0.875</v>
      </c>
      <c r="H66" s="36" t="str">
        <f t="shared" si="1"/>
        <v>جيد جداً</v>
      </c>
      <c r="I66" s="44"/>
      <c r="J66" s="45"/>
    </row>
    <row r="67" spans="1:10" ht="30" customHeight="1" x14ac:dyDescent="0.25">
      <c r="A67" s="11"/>
      <c r="B67" s="88" t="s">
        <v>239</v>
      </c>
      <c r="C67" s="89"/>
      <c r="D67" s="89"/>
      <c r="E67" s="9">
        <v>8</v>
      </c>
      <c r="F67" s="27">
        <v>7</v>
      </c>
      <c r="G67" s="35">
        <f t="shared" si="0"/>
        <v>0.875</v>
      </c>
      <c r="H67" s="36" t="str">
        <f t="shared" si="1"/>
        <v>جيد جداً</v>
      </c>
      <c r="I67" s="44"/>
      <c r="J67" s="45"/>
    </row>
    <row r="68" spans="1:10" ht="30" customHeight="1" thickBot="1" x14ac:dyDescent="0.3">
      <c r="A68" s="11"/>
      <c r="B68" s="84" t="s">
        <v>240</v>
      </c>
      <c r="C68" s="85"/>
      <c r="D68" s="85"/>
      <c r="E68" s="31">
        <v>10</v>
      </c>
      <c r="F68" s="29">
        <v>8</v>
      </c>
      <c r="G68" s="40">
        <f t="shared" si="0"/>
        <v>0.8</v>
      </c>
      <c r="H68" s="41" t="str">
        <f t="shared" si="1"/>
        <v>جيد جداً</v>
      </c>
      <c r="I68" s="46"/>
      <c r="J68" s="47"/>
    </row>
    <row r="69" spans="1:10" ht="30" customHeight="1" thickBot="1" x14ac:dyDescent="0.3">
      <c r="A69" s="11"/>
      <c r="B69" s="90" t="s">
        <v>241</v>
      </c>
      <c r="C69" s="91"/>
      <c r="D69" s="91"/>
      <c r="E69" s="10">
        <v>10</v>
      </c>
      <c r="F69" s="42">
        <v>8.25</v>
      </c>
      <c r="G69" s="43">
        <f t="shared" si="0"/>
        <v>0.82499999999999996</v>
      </c>
      <c r="H69" s="28" t="str">
        <f t="shared" si="1"/>
        <v>جيد جداً</v>
      </c>
      <c r="I69" s="48"/>
      <c r="J69" s="49"/>
    </row>
    <row r="70" spans="1:10" ht="30" customHeight="1" x14ac:dyDescent="0.25">
      <c r="A70" s="11"/>
      <c r="B70" s="86" t="s">
        <v>242</v>
      </c>
      <c r="C70" s="87"/>
      <c r="D70" s="87"/>
      <c r="E70" s="32"/>
      <c r="F70" s="37"/>
      <c r="G70" s="38"/>
      <c r="H70" s="39"/>
      <c r="I70" s="50"/>
      <c r="J70" s="51"/>
    </row>
    <row r="71" spans="1:10" ht="30" customHeight="1" x14ac:dyDescent="0.25">
      <c r="A71" s="11"/>
      <c r="B71" s="88" t="s">
        <v>243</v>
      </c>
      <c r="C71" s="89"/>
      <c r="D71" s="89"/>
      <c r="E71" s="9">
        <v>6</v>
      </c>
      <c r="F71" s="27">
        <v>5.25</v>
      </c>
      <c r="G71" s="35">
        <f t="shared" si="0"/>
        <v>0.875</v>
      </c>
      <c r="H71" s="36" t="str">
        <f t="shared" si="1"/>
        <v>جيد جداً</v>
      </c>
      <c r="I71" s="44"/>
      <c r="J71" s="45"/>
    </row>
    <row r="72" spans="1:10" ht="30" customHeight="1" x14ac:dyDescent="0.25">
      <c r="A72" s="11"/>
      <c r="B72" s="88" t="s">
        <v>244</v>
      </c>
      <c r="C72" s="89"/>
      <c r="D72" s="89"/>
      <c r="E72" s="9">
        <v>8</v>
      </c>
      <c r="F72" s="27">
        <v>5.75</v>
      </c>
      <c r="G72" s="35">
        <f t="shared" si="0"/>
        <v>0.71875</v>
      </c>
      <c r="H72" s="36" t="str">
        <f t="shared" si="1"/>
        <v>جيد</v>
      </c>
      <c r="I72" s="44"/>
      <c r="J72" s="45"/>
    </row>
    <row r="73" spans="1:10" ht="39.950000000000003" customHeight="1" x14ac:dyDescent="0.25">
      <c r="A73" s="11"/>
      <c r="B73" s="88" t="s">
        <v>245</v>
      </c>
      <c r="C73" s="89"/>
      <c r="D73" s="89"/>
      <c r="E73" s="9">
        <v>5</v>
      </c>
      <c r="F73" s="27">
        <v>4.25</v>
      </c>
      <c r="G73" s="35">
        <f t="shared" si="0"/>
        <v>0.85</v>
      </c>
      <c r="H73" s="36" t="str">
        <f t="shared" si="1"/>
        <v>جيد جداً</v>
      </c>
      <c r="I73" s="44"/>
      <c r="J73" s="45"/>
    </row>
    <row r="74" spans="1:10" ht="39.950000000000003" customHeight="1" x14ac:dyDescent="0.25">
      <c r="A74" s="11"/>
      <c r="B74" s="88" t="s">
        <v>246</v>
      </c>
      <c r="C74" s="89"/>
      <c r="D74" s="89"/>
      <c r="E74" s="9">
        <v>5</v>
      </c>
      <c r="F74" s="27">
        <v>4.25</v>
      </c>
      <c r="G74" s="35">
        <f t="shared" ref="G74:G75" si="2">IFERROR(F74/E74,"")</f>
        <v>0.85</v>
      </c>
      <c r="H74" s="36" t="str">
        <f t="shared" ref="H74:H75" si="3">_xlfn.IFS(F74="أدخل العلامة","",F74="لا ينطبق","تم الإلغاء",G74&gt;=90%,"ممتاز",G74&gt;=80%,"جيد جداً",G74&gt;=70%,"جيد",G74&gt;=60%,"مقبول",G74&lt;60%,"راسب")</f>
        <v>جيد جداً</v>
      </c>
      <c r="I74" s="44"/>
      <c r="J74" s="45"/>
    </row>
    <row r="75" spans="1:10" ht="30" customHeight="1" thickBot="1" x14ac:dyDescent="0.3">
      <c r="A75" s="11"/>
      <c r="B75" s="84" t="s">
        <v>247</v>
      </c>
      <c r="C75" s="85"/>
      <c r="D75" s="85"/>
      <c r="E75" s="31">
        <v>5</v>
      </c>
      <c r="F75" s="29">
        <v>3.75</v>
      </c>
      <c r="G75" s="40">
        <f t="shared" si="2"/>
        <v>0.75</v>
      </c>
      <c r="H75" s="41" t="str">
        <f t="shared" si="3"/>
        <v>جيد</v>
      </c>
      <c r="I75" s="46"/>
      <c r="J75" s="47"/>
    </row>
    <row r="76" spans="1:10" ht="30" customHeight="1" thickBot="1" x14ac:dyDescent="0.3">
      <c r="A76" s="4"/>
      <c r="B76" s="80" t="s">
        <v>5</v>
      </c>
      <c r="C76" s="81"/>
      <c r="D76" s="81"/>
      <c r="E76" s="34">
        <f>SUM(E8:E75)</f>
        <v>350</v>
      </c>
      <c r="F76" s="34">
        <f>SUM(F8:F75)</f>
        <v>270.75</v>
      </c>
      <c r="G76" s="54"/>
      <c r="H76" s="55"/>
      <c r="I76" s="55"/>
      <c r="J76" s="56"/>
    </row>
    <row r="77" spans="1:10" ht="30" customHeight="1" thickBot="1" x14ac:dyDescent="0.3">
      <c r="A77" s="4"/>
      <c r="B77" s="82" t="s">
        <v>54</v>
      </c>
      <c r="C77" s="83"/>
      <c r="D77" s="83"/>
      <c r="E77" s="64">
        <f>F76/E76/100*100</f>
        <v>0.77357142857142858</v>
      </c>
      <c r="F77" s="64"/>
      <c r="G77" s="64"/>
      <c r="H77" s="64"/>
      <c r="I77" s="64"/>
      <c r="J77" s="65"/>
    </row>
    <row r="78" spans="1:10" ht="30" customHeight="1" thickBot="1" x14ac:dyDescent="0.3">
      <c r="A78" s="4"/>
      <c r="B78" s="82" t="s">
        <v>55</v>
      </c>
      <c r="C78" s="83"/>
      <c r="D78" s="83"/>
      <c r="E78" s="78" t="str">
        <f>_xlfn.IFS(E77&gt;=90%,"ممتاز",E77&gt;=80%,"جيد جداً",E77&gt;=70%,"جيد",E77&gt;=60%,"مقبول",E77&lt;60%,"راسب")</f>
        <v>جيد</v>
      </c>
      <c r="F78" s="78"/>
      <c r="G78" s="78"/>
      <c r="H78" s="78"/>
      <c r="I78" s="78"/>
      <c r="J78" s="79"/>
    </row>
    <row r="79" spans="1:10" ht="42" customHeight="1" x14ac:dyDescent="0.25">
      <c r="B79" s="74" t="s">
        <v>174</v>
      </c>
      <c r="C79" s="74"/>
      <c r="D79" s="74"/>
      <c r="E79" s="52" t="s">
        <v>52</v>
      </c>
      <c r="F79" s="52"/>
      <c r="G79" s="76" t="s">
        <v>92</v>
      </c>
      <c r="H79" s="76"/>
      <c r="I79" s="76"/>
      <c r="J79" s="76"/>
    </row>
    <row r="80" spans="1:10" ht="51" customHeight="1" x14ac:dyDescent="0.25">
      <c r="A80" s="5"/>
      <c r="B80" s="75"/>
      <c r="C80" s="75"/>
      <c r="D80" s="75"/>
      <c r="E80" s="53" t="s">
        <v>53</v>
      </c>
      <c r="F80" s="53"/>
      <c r="G80" s="77"/>
      <c r="H80" s="77"/>
      <c r="I80" s="77"/>
      <c r="J80" s="77"/>
    </row>
  </sheetData>
  <sheetProtection formatCells="0" formatColumns="0" formatRows="0" insertColumns="0" insertRows="0" insertHyperlinks="0" deleteColumns="0" deleteRows="0" selectLockedCells="1" sort="0" autoFilter="0" pivotTables="0"/>
  <mergeCells count="157">
    <mergeCell ref="B71:D71"/>
    <mergeCell ref="B72:D72"/>
    <mergeCell ref="B73:D73"/>
    <mergeCell ref="B74:D74"/>
    <mergeCell ref="B75:D7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9:D29"/>
    <mergeCell ref="B30:D30"/>
    <mergeCell ref="B31:D31"/>
    <mergeCell ref="B32:D32"/>
    <mergeCell ref="B33:D33"/>
    <mergeCell ref="B34:D34"/>
    <mergeCell ref="I32:J32"/>
    <mergeCell ref="I33:J33"/>
    <mergeCell ref="I34:J34"/>
    <mergeCell ref="I8:J8"/>
    <mergeCell ref="B76:D76"/>
    <mergeCell ref="B77:D77"/>
    <mergeCell ref="B78:D7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I63:J63"/>
    <mergeCell ref="I64:J64"/>
    <mergeCell ref="I65:J65"/>
    <mergeCell ref="B27:D27"/>
    <mergeCell ref="B28:D28"/>
    <mergeCell ref="B79:D80"/>
    <mergeCell ref="G79:J79"/>
    <mergeCell ref="G80:J80"/>
    <mergeCell ref="E78:J7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B1:J1"/>
    <mergeCell ref="F2:J2"/>
    <mergeCell ref="B5:D6"/>
    <mergeCell ref="C2:D2"/>
    <mergeCell ref="C3:D3"/>
    <mergeCell ref="F3:J3"/>
    <mergeCell ref="E77:J77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9:J9"/>
    <mergeCell ref="I66:J66"/>
    <mergeCell ref="I67:J67"/>
    <mergeCell ref="I68:J68"/>
    <mergeCell ref="I69:J69"/>
    <mergeCell ref="I70:J70"/>
    <mergeCell ref="I71:J71"/>
    <mergeCell ref="E79:F79"/>
    <mergeCell ref="E80:F80"/>
    <mergeCell ref="G76:J76"/>
    <mergeCell ref="I72:J72"/>
    <mergeCell ref="I73:J73"/>
    <mergeCell ref="I74:J74"/>
    <mergeCell ref="I75:J75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8">
    <cfRule type="expression" dxfId="14" priority="57">
      <formula>$E78="راسب"</formula>
    </cfRule>
  </conditionalFormatting>
  <conditionalFormatting sqref="E78:J78">
    <cfRule type="expression" dxfId="13" priority="60">
      <formula>$E78="جيد جداً"</formula>
    </cfRule>
    <cfRule type="expression" dxfId="12" priority="59">
      <formula>$E78="جيد"</formula>
    </cfRule>
    <cfRule type="expression" dxfId="11" priority="58">
      <formula>$E78="مقبول"</formula>
    </cfRule>
    <cfRule type="expression" dxfId="10" priority="61">
      <formula>$E78="ممتاز"</formula>
    </cfRule>
  </conditionalFormatting>
  <conditionalFormatting sqref="F8:F7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9:J79">
    <cfRule type="containsText" dxfId="6" priority="15" operator="containsText" text="أدخل اسم المحكم">
      <formula>NOT(ISERROR(SEARCH("أدخل اسم المحكم",G79)))</formula>
    </cfRule>
  </conditionalFormatting>
  <conditionalFormatting sqref="H8:H75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F9:F15 F17:F18 F73:F75 F21:F22 F29:F36 F38:F51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G79:J79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7E2C8733-43FE-448E-A1A9-0AA2C064FF6E}">
          <x14:formula1>
            <xm:f>'بيانات التقييم'!$A$111:$A$137</xm:f>
          </x14:formula1>
          <xm:sqref>F19 F20 F25 F26 F27 F53 F55 F58 F71</xm:sqref>
        </x14:dataValidation>
        <x14:dataValidation type="list" allowBlank="1" showInputMessage="1" showErrorMessage="1" xr:uid="{11F5BBD6-8C6A-4153-8D01-59FD04F69BF3}">
          <x14:formula1>
            <xm:f>'بيانات التقييم'!$A$111:$A$153</xm:f>
          </x14:formula1>
          <xm:sqref>F24 F57 F61 F62 F68 F69</xm:sqref>
        </x14:dataValidation>
        <x14:dataValidation type="list" allowBlank="1" showInputMessage="1" showErrorMessage="1" xr:uid="{0DB51D11-7198-47AE-A193-2D2151F95274}">
          <x14:formula1>
            <xm:f>'بيانات التقييم'!$A$111:$A$141</xm:f>
          </x14:formula1>
          <xm:sqref>F54</xm:sqref>
        </x14:dataValidation>
        <x14:dataValidation type="list" allowBlank="1" showInputMessage="1" showErrorMessage="1" xr:uid="{AF21D6C4-2DBC-443A-A278-36D97ABEFA4F}">
          <x14:formula1>
            <xm:f>'بيانات التقييم'!$A$111:$A$145</xm:f>
          </x14:formula1>
          <xm:sqref>F64:F67 F72</xm:sqref>
        </x14:dataValidation>
        <x14:dataValidation type="list" allowBlank="1" showInputMessage="1" showErrorMessage="1" xr:uid="{4CAA7EF8-0FC6-40B2-A182-4F2290093312}">
          <x14:formula1>
            <xm:f>'بيانات التقييم'!$A$111:$A$149</xm:f>
          </x14:formula1>
          <xm:sqref>F59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5" workbookViewId="0">
      <selection activeCell="C33" sqref="C33"/>
    </sheetView>
  </sheetViews>
  <sheetFormatPr defaultRowHeight="20.100000000000001" customHeight="1" x14ac:dyDescent="0.25"/>
  <cols>
    <col min="1" max="1" width="42.5703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0" t="s">
        <v>177</v>
      </c>
    </row>
    <row r="30" spans="1:3" ht="20.100000000000001" customHeight="1" thickBot="1" x14ac:dyDescent="0.3">
      <c r="A30" s="2" t="s">
        <v>32</v>
      </c>
      <c r="C30" s="20" t="s">
        <v>178</v>
      </c>
    </row>
    <row r="31" spans="1:3" ht="20.100000000000001" customHeight="1" thickBot="1" x14ac:dyDescent="0.3">
      <c r="A31" s="2" t="s">
        <v>33</v>
      </c>
      <c r="C31" s="20" t="s">
        <v>179</v>
      </c>
    </row>
    <row r="32" spans="1:3" ht="20.100000000000001" customHeight="1" thickBot="1" x14ac:dyDescent="0.3">
      <c r="A32" s="2" t="s">
        <v>16</v>
      </c>
      <c r="C32" s="20"/>
    </row>
    <row r="33" spans="1:9" ht="20.100000000000001" customHeight="1" thickBot="1" x14ac:dyDescent="0.3">
      <c r="A33" s="2" t="s">
        <v>14</v>
      </c>
      <c r="C33" s="20"/>
    </row>
    <row r="34" spans="1:9" ht="20.100000000000001" customHeight="1" thickBot="1" x14ac:dyDescent="0.3">
      <c r="A34" s="2" t="s">
        <v>34</v>
      </c>
      <c r="C34" s="20"/>
    </row>
    <row r="35" spans="1:9" ht="20.100000000000001" customHeight="1" x14ac:dyDescent="0.25">
      <c r="A35" s="19"/>
    </row>
    <row r="36" spans="1:9" s="18" customFormat="1" ht="20.100000000000001" customHeight="1" x14ac:dyDescent="0.25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5">
      <c r="A107" s="15"/>
    </row>
    <row r="108" spans="1:9" ht="20.100000000000001" customHeight="1" x14ac:dyDescent="0.25">
      <c r="A108" s="15"/>
    </row>
    <row r="109" spans="1:9" s="18" customFormat="1" ht="20.100000000000001" customHeight="1" x14ac:dyDescent="0.25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59</v>
      </c>
    </row>
    <row r="199" spans="1:1" ht="20.100000000000001" customHeight="1" x14ac:dyDescent="0.25">
      <c r="A199" s="21" t="s">
        <v>89</v>
      </c>
    </row>
    <row r="200" spans="1:1" ht="20.100000000000001" customHeight="1" x14ac:dyDescent="0.25">
      <c r="A200" s="21" t="s">
        <v>90</v>
      </c>
    </row>
    <row r="201" spans="1:1" ht="20.100000000000001" customHeight="1" x14ac:dyDescent="0.25">
      <c r="A201" s="21" t="s">
        <v>91</v>
      </c>
    </row>
    <row r="202" spans="1:1" ht="20.100000000000001" customHeight="1" x14ac:dyDescent="0.25">
      <c r="A202" s="21" t="s">
        <v>92</v>
      </c>
    </row>
    <row r="203" spans="1:1" ht="20.100000000000001" customHeight="1" x14ac:dyDescent="0.25">
      <c r="A203" s="21" t="s">
        <v>93</v>
      </c>
    </row>
    <row r="204" spans="1:1" ht="20.100000000000001" customHeight="1" x14ac:dyDescent="0.25">
      <c r="A204" s="21" t="s">
        <v>94</v>
      </c>
    </row>
    <row r="205" spans="1:1" ht="20.100000000000001" customHeight="1" x14ac:dyDescent="0.25">
      <c r="A205" s="21" t="s">
        <v>95</v>
      </c>
    </row>
    <row r="206" spans="1:1" ht="20.100000000000001" customHeight="1" x14ac:dyDescent="0.25">
      <c r="A206" s="21" t="s">
        <v>96</v>
      </c>
    </row>
    <row r="207" spans="1:1" ht="20.100000000000001" customHeight="1" x14ac:dyDescent="0.25">
      <c r="A207" s="21" t="s">
        <v>97</v>
      </c>
    </row>
    <row r="208" spans="1:1" ht="20.100000000000001" customHeight="1" x14ac:dyDescent="0.25">
      <c r="A208" s="22" t="s">
        <v>98</v>
      </c>
    </row>
    <row r="209" spans="1:1" ht="20.100000000000001" customHeight="1" x14ac:dyDescent="0.25">
      <c r="A209" s="22" t="s">
        <v>99</v>
      </c>
    </row>
    <row r="210" spans="1:1" ht="20.100000000000001" customHeight="1" x14ac:dyDescent="0.25">
      <c r="A210" s="21" t="s">
        <v>100</v>
      </c>
    </row>
    <row r="211" spans="1:1" ht="20.100000000000001" customHeight="1" x14ac:dyDescent="0.25">
      <c r="A211" s="21" t="s">
        <v>101</v>
      </c>
    </row>
    <row r="212" spans="1:1" ht="20.100000000000001" customHeight="1" x14ac:dyDescent="0.25">
      <c r="A212" s="21" t="s">
        <v>175</v>
      </c>
    </row>
    <row r="213" spans="1:1" ht="20.100000000000001" customHeight="1" x14ac:dyDescent="0.25">
      <c r="A213" s="21" t="s">
        <v>102</v>
      </c>
    </row>
    <row r="214" spans="1:1" ht="20.100000000000001" customHeight="1" x14ac:dyDescent="0.25">
      <c r="A214" s="21" t="s">
        <v>103</v>
      </c>
    </row>
    <row r="215" spans="1:1" ht="20.100000000000001" customHeight="1" x14ac:dyDescent="0.25">
      <c r="A215" s="21" t="s">
        <v>104</v>
      </c>
    </row>
    <row r="216" spans="1:1" ht="20.100000000000001" customHeight="1" x14ac:dyDescent="0.25">
      <c r="A216" s="21" t="s">
        <v>105</v>
      </c>
    </row>
    <row r="217" spans="1:1" ht="20.100000000000001" customHeight="1" x14ac:dyDescent="0.25">
      <c r="A217" s="21" t="s">
        <v>106</v>
      </c>
    </row>
    <row r="218" spans="1:1" ht="20.100000000000001" customHeight="1" x14ac:dyDescent="0.25">
      <c r="A218" s="21" t="s">
        <v>107</v>
      </c>
    </row>
    <row r="219" spans="1:1" ht="20.100000000000001" customHeight="1" x14ac:dyDescent="0.25">
      <c r="A219" s="21" t="s">
        <v>108</v>
      </c>
    </row>
    <row r="220" spans="1:1" ht="20.100000000000001" customHeight="1" x14ac:dyDescent="0.25">
      <c r="A220" s="21" t="s">
        <v>109</v>
      </c>
    </row>
    <row r="221" spans="1:1" ht="20.100000000000001" customHeight="1" x14ac:dyDescent="0.25">
      <c r="A221" s="21" t="s">
        <v>110</v>
      </c>
    </row>
    <row r="222" spans="1:1" ht="20.100000000000001" customHeight="1" x14ac:dyDescent="0.25">
      <c r="A222" s="21" t="s">
        <v>111</v>
      </c>
    </row>
    <row r="223" spans="1:1" ht="20.100000000000001" customHeight="1" x14ac:dyDescent="0.25">
      <c r="A223" s="21" t="s">
        <v>112</v>
      </c>
    </row>
    <row r="224" spans="1:1" ht="20.100000000000001" customHeight="1" x14ac:dyDescent="0.25">
      <c r="A224" s="21" t="s">
        <v>176</v>
      </c>
    </row>
    <row r="225" spans="1:1" ht="20.100000000000001" customHeight="1" x14ac:dyDescent="0.25">
      <c r="A225" s="21" t="s">
        <v>113</v>
      </c>
    </row>
    <row r="226" spans="1:1" ht="20.100000000000001" customHeight="1" x14ac:dyDescent="0.25">
      <c r="A226" s="21" t="s">
        <v>114</v>
      </c>
    </row>
    <row r="227" spans="1:1" ht="20.100000000000001" customHeight="1" x14ac:dyDescent="0.25">
      <c r="A227" s="21" t="s">
        <v>115</v>
      </c>
    </row>
    <row r="228" spans="1:1" ht="20.100000000000001" customHeight="1" x14ac:dyDescent="0.25">
      <c r="A228" s="21" t="s">
        <v>116</v>
      </c>
    </row>
    <row r="229" spans="1:1" ht="20.100000000000001" customHeight="1" x14ac:dyDescent="0.25">
      <c r="A229" s="21" t="s">
        <v>117</v>
      </c>
    </row>
    <row r="230" spans="1:1" ht="20.100000000000001" customHeight="1" x14ac:dyDescent="0.25">
      <c r="A230" s="21" t="s">
        <v>118</v>
      </c>
    </row>
    <row r="231" spans="1:1" ht="20.100000000000001" customHeight="1" x14ac:dyDescent="0.25">
      <c r="A231" s="21" t="s">
        <v>119</v>
      </c>
    </row>
    <row r="232" spans="1:1" ht="20.100000000000001" customHeight="1" x14ac:dyDescent="0.25">
      <c r="A232" s="21" t="s">
        <v>120</v>
      </c>
    </row>
    <row r="233" spans="1:1" ht="20.100000000000001" customHeight="1" x14ac:dyDescent="0.25">
      <c r="A233" s="21" t="s">
        <v>121</v>
      </c>
    </row>
    <row r="234" spans="1:1" ht="20.100000000000001" customHeight="1" x14ac:dyDescent="0.25">
      <c r="A234" s="21" t="s">
        <v>122</v>
      </c>
    </row>
    <row r="235" spans="1:1" ht="20.100000000000001" customHeight="1" x14ac:dyDescent="0.25">
      <c r="A235" s="21" t="s">
        <v>123</v>
      </c>
    </row>
    <row r="236" spans="1:1" ht="20.100000000000001" customHeight="1" x14ac:dyDescent="0.25">
      <c r="A236" s="23" t="s">
        <v>124</v>
      </c>
    </row>
    <row r="237" spans="1:1" ht="20.100000000000001" customHeight="1" x14ac:dyDescent="0.25">
      <c r="A237" s="21" t="s">
        <v>125</v>
      </c>
    </row>
    <row r="238" spans="1:1" ht="20.100000000000001" customHeight="1" x14ac:dyDescent="0.25">
      <c r="A238" s="21" t="s">
        <v>126</v>
      </c>
    </row>
    <row r="239" spans="1:1" ht="20.100000000000001" customHeight="1" x14ac:dyDescent="0.25">
      <c r="A239" s="21" t="s">
        <v>127</v>
      </c>
    </row>
    <row r="240" spans="1:1" ht="20.100000000000001" customHeight="1" x14ac:dyDescent="0.25">
      <c r="A240" s="21" t="s">
        <v>128</v>
      </c>
    </row>
    <row r="241" spans="1:1" ht="20.100000000000001" customHeight="1" x14ac:dyDescent="0.25">
      <c r="A241" s="21" t="s">
        <v>129</v>
      </c>
    </row>
    <row r="242" spans="1:1" ht="20.100000000000001" customHeight="1" x14ac:dyDescent="0.25">
      <c r="A242" s="21" t="s">
        <v>130</v>
      </c>
    </row>
    <row r="243" spans="1:1" ht="20.100000000000001" customHeight="1" x14ac:dyDescent="0.25">
      <c r="A243" s="21" t="s">
        <v>131</v>
      </c>
    </row>
    <row r="244" spans="1:1" ht="20.100000000000001" customHeight="1" x14ac:dyDescent="0.25">
      <c r="A244" s="21" t="s">
        <v>132</v>
      </c>
    </row>
    <row r="245" spans="1:1" ht="20.100000000000001" customHeight="1" x14ac:dyDescent="0.25">
      <c r="A245" s="21" t="s">
        <v>133</v>
      </c>
    </row>
    <row r="246" spans="1:1" ht="20.100000000000001" customHeight="1" x14ac:dyDescent="0.25">
      <c r="A246" s="21" t="s">
        <v>134</v>
      </c>
    </row>
    <row r="247" spans="1:1" ht="20.100000000000001" customHeight="1" x14ac:dyDescent="0.25">
      <c r="A247" s="21" t="s">
        <v>135</v>
      </c>
    </row>
    <row r="248" spans="1:1" ht="20.100000000000001" customHeight="1" x14ac:dyDescent="0.25">
      <c r="A248" s="21" t="s">
        <v>126</v>
      </c>
    </row>
    <row r="249" spans="1:1" ht="20.100000000000001" customHeight="1" x14ac:dyDescent="0.25">
      <c r="A249" s="21" t="s">
        <v>136</v>
      </c>
    </row>
    <row r="250" spans="1:1" ht="20.100000000000001" customHeight="1" x14ac:dyDescent="0.25">
      <c r="A250" s="21" t="s">
        <v>137</v>
      </c>
    </row>
    <row r="251" spans="1:1" ht="20.100000000000001" customHeight="1" x14ac:dyDescent="0.25">
      <c r="A251" s="23" t="s">
        <v>138</v>
      </c>
    </row>
    <row r="252" spans="1:1" ht="20.100000000000001" customHeight="1" x14ac:dyDescent="0.25">
      <c r="A252" s="24" t="s">
        <v>139</v>
      </c>
    </row>
    <row r="253" spans="1:1" ht="20.100000000000001" customHeight="1" x14ac:dyDescent="0.25">
      <c r="A253" s="21" t="s">
        <v>140</v>
      </c>
    </row>
    <row r="254" spans="1:1" ht="20.100000000000001" customHeight="1" x14ac:dyDescent="0.25">
      <c r="A254" s="21" t="s">
        <v>141</v>
      </c>
    </row>
    <row r="255" spans="1:1" ht="20.100000000000001" customHeight="1" x14ac:dyDescent="0.25">
      <c r="A255" s="25" t="s">
        <v>142</v>
      </c>
    </row>
    <row r="256" spans="1:1" ht="20.100000000000001" customHeight="1" x14ac:dyDescent="0.25">
      <c r="A256" s="25" t="s">
        <v>143</v>
      </c>
    </row>
    <row r="257" spans="1:1" ht="20.100000000000001" customHeight="1" x14ac:dyDescent="0.25">
      <c r="A257" s="26" t="s">
        <v>144</v>
      </c>
    </row>
    <row r="258" spans="1:1" ht="20.100000000000001" customHeight="1" x14ac:dyDescent="0.25">
      <c r="A258" s="21" t="s">
        <v>145</v>
      </c>
    </row>
    <row r="259" spans="1:1" ht="20.100000000000001" customHeight="1" x14ac:dyDescent="0.25">
      <c r="A259" s="26" t="s">
        <v>146</v>
      </c>
    </row>
    <row r="260" spans="1:1" ht="20.100000000000001" customHeight="1" x14ac:dyDescent="0.25">
      <c r="A260" s="21" t="s">
        <v>147</v>
      </c>
    </row>
    <row r="261" spans="1:1" ht="20.100000000000001" customHeight="1" x14ac:dyDescent="0.25">
      <c r="A261" s="26" t="s">
        <v>148</v>
      </c>
    </row>
    <row r="262" spans="1:1" ht="20.100000000000001" customHeight="1" x14ac:dyDescent="0.25">
      <c r="A262" s="21" t="s">
        <v>149</v>
      </c>
    </row>
    <row r="263" spans="1:1" ht="20.100000000000001" customHeight="1" x14ac:dyDescent="0.25">
      <c r="A263" s="21" t="s">
        <v>150</v>
      </c>
    </row>
    <row r="264" spans="1:1" ht="20.100000000000001" customHeight="1" x14ac:dyDescent="0.25">
      <c r="A264" s="26" t="s">
        <v>151</v>
      </c>
    </row>
    <row r="265" spans="1:1" ht="20.100000000000001" customHeight="1" x14ac:dyDescent="0.25">
      <c r="A265" s="26" t="s">
        <v>152</v>
      </c>
    </row>
    <row r="266" spans="1:1" ht="20.100000000000001" customHeight="1" x14ac:dyDescent="0.25">
      <c r="A266" s="26" t="s">
        <v>153</v>
      </c>
    </row>
    <row r="267" spans="1:1" ht="20.100000000000001" customHeight="1" x14ac:dyDescent="0.25">
      <c r="A267" s="21" t="s">
        <v>154</v>
      </c>
    </row>
    <row r="268" spans="1:1" ht="20.100000000000001" customHeight="1" x14ac:dyDescent="0.25">
      <c r="A268" s="21" t="s">
        <v>155</v>
      </c>
    </row>
    <row r="269" spans="1:1" ht="20.100000000000001" customHeight="1" x14ac:dyDescent="0.25">
      <c r="A269" s="21" t="s">
        <v>156</v>
      </c>
    </row>
    <row r="270" spans="1:1" ht="20.100000000000001" customHeight="1" x14ac:dyDescent="0.25">
      <c r="A270" s="21" t="s">
        <v>157</v>
      </c>
    </row>
    <row r="271" spans="1:1" ht="20.100000000000001" customHeight="1" x14ac:dyDescent="0.25">
      <c r="A271" s="26" t="s">
        <v>158</v>
      </c>
    </row>
    <row r="272" spans="1:1" ht="20.100000000000001" customHeight="1" x14ac:dyDescent="0.25">
      <c r="A272" s="26" t="s">
        <v>159</v>
      </c>
    </row>
    <row r="273" spans="1:1" ht="20.100000000000001" customHeight="1" x14ac:dyDescent="0.25">
      <c r="A273" s="21" t="s">
        <v>160</v>
      </c>
    </row>
    <row r="274" spans="1:1" ht="20.100000000000001" customHeight="1" x14ac:dyDescent="0.25">
      <c r="A274" s="26" t="s">
        <v>161</v>
      </c>
    </row>
    <row r="275" spans="1:1" ht="20.100000000000001" customHeight="1" x14ac:dyDescent="0.25">
      <c r="A275" s="26" t="s">
        <v>162</v>
      </c>
    </row>
    <row r="276" spans="1:1" ht="20.100000000000001" customHeight="1" x14ac:dyDescent="0.25">
      <c r="A276" s="21" t="s">
        <v>163</v>
      </c>
    </row>
    <row r="277" spans="1:1" ht="20.100000000000001" customHeight="1" x14ac:dyDescent="0.25">
      <c r="A277" s="21" t="s">
        <v>164</v>
      </c>
    </row>
    <row r="278" spans="1:1" ht="20.100000000000001" customHeight="1" x14ac:dyDescent="0.25">
      <c r="A278" s="26" t="s">
        <v>165</v>
      </c>
    </row>
    <row r="279" spans="1:1" ht="20.100000000000001" customHeight="1" x14ac:dyDescent="0.25">
      <c r="A279" s="21" t="s">
        <v>166</v>
      </c>
    </row>
    <row r="280" spans="1:1" ht="20.100000000000001" customHeight="1" x14ac:dyDescent="0.25">
      <c r="A280" s="21" t="s">
        <v>167</v>
      </c>
    </row>
    <row r="281" spans="1:1" ht="20.100000000000001" customHeight="1" x14ac:dyDescent="0.25">
      <c r="A281" s="21" t="s">
        <v>168</v>
      </c>
    </row>
    <row r="282" spans="1:1" ht="20.100000000000001" customHeight="1" x14ac:dyDescent="0.25">
      <c r="A282" s="21" t="s">
        <v>169</v>
      </c>
    </row>
    <row r="283" spans="1:1" ht="20.100000000000001" customHeight="1" x14ac:dyDescent="0.25">
      <c r="A283" s="26" t="s">
        <v>170</v>
      </c>
    </row>
    <row r="284" spans="1:1" ht="20.100000000000001" customHeight="1" x14ac:dyDescent="0.25">
      <c r="A284" s="26" t="s">
        <v>171</v>
      </c>
    </row>
    <row r="285" spans="1:1" ht="20.100000000000001" customHeight="1" x14ac:dyDescent="0.25">
      <c r="A285" s="26" t="s">
        <v>172</v>
      </c>
    </row>
    <row r="286" spans="1:1" ht="20.100000000000001" customHeight="1" thickBot="1" x14ac:dyDescent="0.3">
      <c r="A286" s="21" t="s">
        <v>173</v>
      </c>
    </row>
    <row r="287" spans="1:1" ht="20.100000000000001" customHeight="1" thickBot="1" x14ac:dyDescent="0.3">
      <c r="A287" s="2" t="s">
        <v>58</v>
      </c>
    </row>
    <row r="288" spans="1:1" ht="20.100000000000001" customHeight="1" thickBot="1" x14ac:dyDescent="0.3">
      <c r="A288" s="2" t="s">
        <v>58</v>
      </c>
    </row>
    <row r="289" spans="1:1" ht="20.100000000000001" customHeight="1" thickBot="1" x14ac:dyDescent="0.3">
      <c r="A289" s="2" t="s">
        <v>58</v>
      </c>
    </row>
    <row r="290" spans="1:1" ht="20.100000000000001" customHeight="1" thickBot="1" x14ac:dyDescent="0.3">
      <c r="A290" s="2" t="s">
        <v>58</v>
      </c>
    </row>
    <row r="291" spans="1:1" ht="20.100000000000001" customHeight="1" thickBot="1" x14ac:dyDescent="0.3">
      <c r="A291" s="2" t="s">
        <v>58</v>
      </c>
    </row>
    <row r="292" spans="1:1" ht="20.100000000000001" customHeight="1" thickBot="1" x14ac:dyDescent="0.3">
      <c r="A292" s="2" t="s">
        <v>58</v>
      </c>
    </row>
    <row r="293" spans="1:1" ht="20.100000000000001" customHeight="1" thickBot="1" x14ac:dyDescent="0.3">
      <c r="A293" s="2" t="s">
        <v>58</v>
      </c>
    </row>
    <row r="294" spans="1:1" ht="20.100000000000001" customHeight="1" thickBot="1" x14ac:dyDescent="0.3">
      <c r="A294" s="2" t="s">
        <v>58</v>
      </c>
    </row>
    <row r="295" spans="1:1" ht="20.100000000000001" customHeight="1" thickBot="1" x14ac:dyDescent="0.3">
      <c r="A295" s="2" t="s">
        <v>58</v>
      </c>
    </row>
    <row r="296" spans="1:1" ht="20.100000000000001" customHeight="1" thickBot="1" x14ac:dyDescent="0.3">
      <c r="A296" s="2" t="s">
        <v>58</v>
      </c>
    </row>
    <row r="297" spans="1:1" ht="20.100000000000001" customHeight="1" thickBot="1" x14ac:dyDescent="0.3">
      <c r="A297" s="2" t="s">
        <v>58</v>
      </c>
    </row>
    <row r="298" spans="1:1" ht="20.100000000000001" customHeight="1" thickBot="1" x14ac:dyDescent="0.3">
      <c r="A298" s="2" t="s">
        <v>58</v>
      </c>
    </row>
    <row r="299" spans="1:1" ht="20.100000000000001" customHeight="1" thickBot="1" x14ac:dyDescent="0.3">
      <c r="A299" s="2" t="s">
        <v>58</v>
      </c>
    </row>
    <row r="300" spans="1:1" ht="20.100000000000001" customHeight="1" thickBot="1" x14ac:dyDescent="0.3">
      <c r="A300" s="2" t="s">
        <v>58</v>
      </c>
    </row>
    <row r="301" spans="1:1" ht="20.100000000000001" customHeight="1" thickBot="1" x14ac:dyDescent="0.3">
      <c r="A301" s="2" t="s">
        <v>58</v>
      </c>
    </row>
    <row r="302" spans="1:1" ht="20.100000000000001" customHeight="1" thickBot="1" x14ac:dyDescent="0.3">
      <c r="A302" s="2" t="s">
        <v>58</v>
      </c>
    </row>
    <row r="303" spans="1:1" ht="20.100000000000001" customHeight="1" thickBot="1" x14ac:dyDescent="0.3">
      <c r="A303" s="2" t="s">
        <v>58</v>
      </c>
    </row>
    <row r="304" spans="1:1" ht="20.100000000000001" customHeight="1" thickBot="1" x14ac:dyDescent="0.3">
      <c r="A304" s="2" t="s">
        <v>58</v>
      </c>
    </row>
    <row r="305" spans="1:1" ht="20.100000000000001" customHeight="1" thickBot="1" x14ac:dyDescent="0.3">
      <c r="A305" s="2" t="s">
        <v>58</v>
      </c>
    </row>
    <row r="306" spans="1:1" ht="20.100000000000001" customHeight="1" thickBot="1" x14ac:dyDescent="0.3">
      <c r="A306" s="2" t="s">
        <v>58</v>
      </c>
    </row>
    <row r="307" spans="1:1" ht="20.100000000000001" customHeight="1" thickBot="1" x14ac:dyDescent="0.3">
      <c r="A307" s="2" t="s">
        <v>58</v>
      </c>
    </row>
    <row r="308" spans="1:1" ht="20.100000000000001" customHeight="1" thickBot="1" x14ac:dyDescent="0.3">
      <c r="A308" s="2" t="s">
        <v>58</v>
      </c>
    </row>
    <row r="309" spans="1:1" ht="20.100000000000001" customHeight="1" thickBot="1" x14ac:dyDescent="0.3">
      <c r="A309" s="2" t="s">
        <v>58</v>
      </c>
    </row>
    <row r="310" spans="1:1" ht="20.100000000000001" customHeight="1" thickBot="1" x14ac:dyDescent="0.3">
      <c r="A310" s="2" t="s">
        <v>58</v>
      </c>
    </row>
    <row r="311" spans="1:1" ht="20.100000000000001" customHeight="1" thickBot="1" x14ac:dyDescent="0.3">
      <c r="A311" s="2" t="s">
        <v>58</v>
      </c>
    </row>
    <row r="312" spans="1:1" ht="20.100000000000001" customHeight="1" thickBot="1" x14ac:dyDescent="0.3">
      <c r="A312" s="2" t="s">
        <v>58</v>
      </c>
    </row>
    <row r="313" spans="1:1" ht="20.100000000000001" customHeight="1" thickBot="1" x14ac:dyDescent="0.3">
      <c r="A313" s="2" t="s">
        <v>58</v>
      </c>
    </row>
    <row r="314" spans="1:1" ht="20.100000000000001" customHeight="1" thickBot="1" x14ac:dyDescent="0.3">
      <c r="A314" s="2" t="s">
        <v>58</v>
      </c>
    </row>
    <row r="315" spans="1:1" ht="20.100000000000001" customHeight="1" thickBot="1" x14ac:dyDescent="0.3">
      <c r="A315" s="2" t="s">
        <v>58</v>
      </c>
    </row>
    <row r="316" spans="1:1" ht="20.100000000000001" customHeight="1" thickBot="1" x14ac:dyDescent="0.3">
      <c r="A316" s="2" t="s">
        <v>58</v>
      </c>
    </row>
    <row r="317" spans="1:1" ht="20.100000000000001" customHeight="1" thickBot="1" x14ac:dyDescent="0.3">
      <c r="A317" s="2" t="s">
        <v>58</v>
      </c>
    </row>
    <row r="318" spans="1:1" ht="20.100000000000001" customHeight="1" thickBot="1" x14ac:dyDescent="0.3">
      <c r="A318" s="2" t="s">
        <v>58</v>
      </c>
    </row>
    <row r="319" spans="1:1" ht="20.100000000000001" customHeight="1" thickBot="1" x14ac:dyDescent="0.3">
      <c r="A319" s="2" t="s">
        <v>58</v>
      </c>
    </row>
    <row r="320" spans="1:1" ht="20.100000000000001" customHeight="1" thickBot="1" x14ac:dyDescent="0.3">
      <c r="A320" s="2" t="s">
        <v>58</v>
      </c>
    </row>
    <row r="321" spans="1:1" ht="20.100000000000001" customHeight="1" thickBot="1" x14ac:dyDescent="0.3">
      <c r="A321" s="2" t="s">
        <v>58</v>
      </c>
    </row>
    <row r="322" spans="1:1" ht="20.100000000000001" customHeight="1" thickBot="1" x14ac:dyDescent="0.3">
      <c r="A322" s="2" t="s">
        <v>58</v>
      </c>
    </row>
    <row r="323" spans="1:1" ht="20.100000000000001" customHeight="1" thickBot="1" x14ac:dyDescent="0.3">
      <c r="A323" s="2" t="s">
        <v>58</v>
      </c>
    </row>
    <row r="324" spans="1:1" ht="20.100000000000001" customHeight="1" thickBot="1" x14ac:dyDescent="0.3">
      <c r="A324" s="2" t="s">
        <v>58</v>
      </c>
    </row>
    <row r="325" spans="1:1" ht="20.100000000000001" customHeight="1" thickBot="1" x14ac:dyDescent="0.3">
      <c r="A325" s="2" t="s">
        <v>58</v>
      </c>
    </row>
    <row r="326" spans="1:1" ht="20.100000000000001" customHeight="1" thickBot="1" x14ac:dyDescent="0.3">
      <c r="A326" s="2" t="s">
        <v>58</v>
      </c>
    </row>
    <row r="327" spans="1:1" ht="20.100000000000001" customHeight="1" thickBot="1" x14ac:dyDescent="0.3">
      <c r="A327" s="2" t="s">
        <v>58</v>
      </c>
    </row>
    <row r="328" spans="1:1" ht="20.100000000000001" customHeight="1" thickBot="1" x14ac:dyDescent="0.3">
      <c r="A328" s="2" t="s">
        <v>58</v>
      </c>
    </row>
    <row r="329" spans="1:1" ht="20.100000000000001" customHeight="1" thickBot="1" x14ac:dyDescent="0.3">
      <c r="A329" s="2" t="s">
        <v>58</v>
      </c>
    </row>
    <row r="330" spans="1:1" ht="20.100000000000001" customHeight="1" thickBot="1" x14ac:dyDescent="0.3">
      <c r="A330" s="2" t="s">
        <v>58</v>
      </c>
    </row>
    <row r="331" spans="1:1" ht="20.100000000000001" customHeight="1" thickBot="1" x14ac:dyDescent="0.3">
      <c r="A331" s="2" t="s">
        <v>58</v>
      </c>
    </row>
    <row r="332" spans="1:1" ht="20.100000000000001" customHeight="1" thickBot="1" x14ac:dyDescent="0.3">
      <c r="A332" s="2" t="s">
        <v>58</v>
      </c>
    </row>
    <row r="333" spans="1:1" ht="20.100000000000001" customHeight="1" thickBot="1" x14ac:dyDescent="0.3">
      <c r="A333" s="2" t="s">
        <v>58</v>
      </c>
    </row>
    <row r="334" spans="1:1" ht="20.100000000000001" customHeight="1" thickBot="1" x14ac:dyDescent="0.3">
      <c r="A334" s="2" t="s">
        <v>58</v>
      </c>
    </row>
    <row r="335" spans="1:1" ht="20.100000000000001" customHeight="1" thickBot="1" x14ac:dyDescent="0.3">
      <c r="A335" s="2" t="s">
        <v>58</v>
      </c>
    </row>
    <row r="336" spans="1:1" ht="20.100000000000001" customHeight="1" thickBot="1" x14ac:dyDescent="0.3">
      <c r="A336" s="2" t="s">
        <v>58</v>
      </c>
    </row>
    <row r="337" spans="1:1" ht="20.100000000000001" customHeight="1" thickBot="1" x14ac:dyDescent="0.3">
      <c r="A337" s="2" t="s">
        <v>58</v>
      </c>
    </row>
    <row r="338" spans="1:1" ht="20.100000000000001" customHeight="1" thickBot="1" x14ac:dyDescent="0.3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2026-06-04T03:57:24Z</dcterms:modified>
</cp:coreProperties>
</file>