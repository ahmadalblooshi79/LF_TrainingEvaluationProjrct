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FFB91BC-EBE1-42A4-B6C3-DFE700E41F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<sst xmlns="http://schemas.openxmlformats.org/spreadsheetml/2006/main" count="269" uniqueCount="213">
  <si>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</si>
  <si>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</si>
  <si>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</si>
  <si>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</si>
  <si>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</si>
  <si>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</si>
  <si>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</si>
  <si>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</si>
  <si>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</si>
  <si>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</si>
  <si>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</si>
  <si>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</si>
  <si>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</si>
  <si>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</si>
  <si>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</si>
  <si>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</si>
  <si>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</si>
  <si>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</si>
  <si>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</si>
  <si>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</si>
  <si>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</si>
  <si>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</si>
  <si>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</si>
  <si>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</si>
  <si>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</si>
  <si>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</si>
  <si>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</si>
  <si>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</si>
  <si>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</si>
  <si>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</si>
  <si>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</si>
  <si>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</si>
  <si>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</si>
  <si>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</si>
  <si>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</si>
  <si>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</si>
  <si>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</si>
  <si>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</si>
  <si>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</si>
  <si>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</si>
  <si>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</si>
  <si>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</si>
  <si>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</si>
  <si>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</si>
  <si>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</si>
  <si>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</si>
  <si>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</si>
  <si>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</si>
  <si>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</si>
  <si>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</si>
  <si>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</si>
  <si>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</si>
  <si>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</si>
  <si>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</si>
  <si>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</si>
  <si>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</si>
  <si>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</si>
  <si>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</si>
  <si>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</si>
  <si>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</si>
  <si>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</si>
  <si>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</si>
  <si>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</si>
  <si>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</si>
  <si>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</si>
  <si>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</si>
  <si>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</si>
  <si>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</si>
  <si>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</si>
  <si>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</si>
  <si>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</si>
  <si>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</si>
  <si>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</si>
  <si>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</si>
  <si>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</si>
  <si>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</si>
  <si>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</si>
  <si>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</si>
  <si>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</si>
  <si>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</si>
  <si>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</si>
  <si>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</si>
  <si>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</si>
  <si>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</si>
  <si>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</si>
  <si>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</si>
  <si>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</si>
  <si>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</si>
  <si>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</si>
  <si>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</si>
  <si>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</si>
  <si>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</si>
  <si>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</si>
  <si>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</si>
  <si>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</si>
  <si>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</si>
  <si>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</si>
  <si>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</si>
  <si>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</si>
  <si>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</si>
  <si>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</si>
  <si>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</si>
  <si>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</si>
  <si>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</si>
  <si>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</si>
  <si>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</si>
  <si>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</si>
  <si>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</si>
  <si>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</si>
  <si>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</si>
  <si>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</si>
  <si>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</si>
  <si>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</si>
  <si>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</si>
  <si>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</si>
  <si>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</si>
  <si>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</si>
  <si>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</si>
  <si>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</si>
  <si>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</si>
  <si>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</si>
  <si>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</si>
  <si>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</si>
  <si>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</si>
  <si>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</si>
  <si>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</si>
  <si>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</si>
  <si>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</si>
  <si>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</si>
  <si>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</si>
  <si>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</si>
  <si>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</si>
  <si>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</si>
  <si>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</si>
  <si>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</si>
  <si>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</si>
  <si>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</si>
  <si>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</si>
  <si>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</si>
  <si>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</si>
  <si>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</si>
  <si>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</si>
  <si>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</si>
  <si>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</si>
  <si>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</si>
  <si>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</si>
  <si>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</si>
  <si>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</si>
  <si>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</si>
  <si>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</si>
  <si>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</si>
  <si>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</si>
  <si>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</si>
  <si>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</si>
  <si>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</si>
  <si>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</si>
  <si>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</si>
  <si>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</si>
  <si>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</si>
  <si>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</si>
  <si>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</si>
  <si>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</si>
  <si>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</si>
  <si>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</si>
  <si>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</si>
  <si>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</si>
  <si>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</si>
  <si>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</si>
  <si>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</si>
  <si>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</si>
  <si>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</si>
  <si>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</si>
  <si>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</si>
  <si>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</si>
  <si>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</si>
  <si>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</si>
  <si>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</si>
  <si>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</si>
  <si>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</si>
  <si>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</si>
  <si>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الانتشار.</t>
  </si>
  <si>
    <t>1.   إبلاغ المرؤوسين بالبدء بتنفيذ خطة التحرك لمناطق الانتشار.</t>
  </si>
  <si>
    <t>2.   إرسال مجموعات الحماية والاستطلاع والأدلاء إلى مناطق الانتشار.</t>
  </si>
  <si>
    <t>3.   تحميل وثائق العمليات.</t>
  </si>
  <si>
    <t>4.   يبدأ الضابط المسؤول عن مجموعة المؤخرة في تنفيذ تعليمات التحرك.</t>
  </si>
  <si>
    <t>إجراءات القادة والقوات أثناء التحرك لمناطق الانتشار.</t>
  </si>
  <si>
    <t>1.   التقيد بتنفيذ إجراءات التحرك حسب أمر / جدول التحرك.</t>
  </si>
  <si>
    <t>2.   سيطرة القادة على قواتهم أثناء التحرك.</t>
  </si>
  <si>
    <t>3.   توفر الحماية للقوات أثناء التحرك.</t>
  </si>
  <si>
    <t>4.   تحقيـق الاتصال بالمستـوى الأعلى والادنى.</t>
  </si>
  <si>
    <t>إجراءات دخول القوات في مناطق الانتشار وتأمينها.</t>
  </si>
  <si>
    <t>1.   فتح نقاط ضبط وسيطرة من قبل الشرطة العسكرية / شرطة الوحدة.</t>
  </si>
  <si>
    <t>2.   وجود جماعة الإرشاد (الإدلاء) والقيام بأداء المهام والواجبات المطلوبة.</t>
  </si>
  <si>
    <t>3.   وجود عناصر من الوحدات لتأمين المواقع.</t>
  </si>
  <si>
    <t>4.   قيام الوحدات باحتلال مواقعها وقيام الأسلحة العضوية والمساندة باحتلال مواقع النيران المخصصة.</t>
  </si>
  <si>
    <t>5.   تسلسل الدخول لمناطق الانتشار حسب جدول التنقل.</t>
  </si>
  <si>
    <t>تجهيز وإعداد مناطق الانتشار والإجراءات المتخذة فيها.</t>
  </si>
  <si>
    <t>1.   التأكد من توزيع المعدات بالطريقة الصحيحة مع تقسيم منطقة الانتشار إلى قطاعات.</t>
  </si>
  <si>
    <t>2.   جاهزية القوة للقيام بالدفاع عن منطقة الانتشار حسب خطة الدفاع والحراسة.</t>
  </si>
  <si>
    <t>3.   وجود خطة / تعليمات التجهيز الهندسي.</t>
  </si>
  <si>
    <t>4.   وجود خطة النيـــران.</t>
  </si>
  <si>
    <t>5.   التأكد من التخفية والتمويه.</t>
  </si>
  <si>
    <t>6.   التأكد من فتح وإدامة مراكز القيادة والسيطرة والاتصالات.</t>
  </si>
  <si>
    <t>7.   وجود خطة التأمين الكيميائي.</t>
  </si>
  <si>
    <t>8.   التأكد من تأمين مناطق الانتشار بالاتصالات.</t>
  </si>
  <si>
    <t>9.   التأكد من تجهيز نقاط المراقبة الجوية والاستطلاع.</t>
  </si>
  <si>
    <t>10.   وجود تعليمات الإنـــذار.</t>
  </si>
  <si>
    <t>إجراءات الإسناد الإداري.</t>
  </si>
  <si>
    <t>1.   التزويد ( الوقود / الأرزاق / المياه، الخ..).</t>
  </si>
  <si>
    <t>2.   تنفيذ إجراءات الإخـلاء الطبي.</t>
  </si>
  <si>
    <t>3.   تنفيذ إجراءات إنقـاذ الآليات.</t>
  </si>
  <si>
    <t>4.   تحديد الطرق الرئيسة والتبادلية المؤديـة من وإلى مناطق الانتشــار.</t>
  </si>
  <si>
    <r>
      <rPr>
        <b/>
        <sz val="14"/>
        <color rgb="FF000000"/>
        <rFont val="Arial"/>
        <family val="2"/>
      </rPr>
      <t>تقييم تحرك وحدات المناورة من معسكرات السلم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</si>
</sst>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578414</xdr:colOff>
      <xdr:row>43</xdr:row>
      <xdr:rowOff>182898</xdr:rowOff>
    </xdr:from>
    <xdr:to>
      <xdr:col>8</xdr:col>
      <xdr:colOff>85769</xdr:colOff>
      <xdr:row>43</xdr:row>
      <xdr:rowOff>493578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A1B96FF-5CD9-8033-2AB4-128BE20E2E76}"/>
                </a:ext>
              </a:extLst>
            </xdr14:cNvPr>
            <xdr14:cNvContentPartPr/>
          </xdr14:nvContentPartPr>
          <xdr14:nvPr macro=""/>
          <xdr14:xfrm>
            <a:off x="10424701431" y="17192160"/>
            <a:ext cx="817920" cy="310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A1B96FF-5CD9-8033-2AB4-128BE20E2E7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4695425" y="17186040"/>
              <a:ext cx="829933" cy="32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23849</xdr:colOff>
      <xdr:row>43</xdr:row>
      <xdr:rowOff>238338</xdr:rowOff>
    </xdr:from>
    <xdr:to>
      <xdr:col>9</xdr:col>
      <xdr:colOff>592565</xdr:colOff>
      <xdr:row>43</xdr:row>
      <xdr:rowOff>568818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F235AD1-6CBC-0C0F-25C7-4AB91D745269}"/>
                </a:ext>
              </a:extLst>
            </xdr14:cNvPr>
            <xdr14:cNvContentPartPr/>
          </xdr14:nvContentPartPr>
          <xdr14:nvPr macro=""/>
          <xdr14:xfrm>
            <a:off x="10423539351" y="17247600"/>
            <a:ext cx="1224000" cy="330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F235AD1-6CBC-0C0F-25C7-4AB91D74526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533231" y="17241480"/>
              <a:ext cx="1236240" cy="342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4:03:36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1310 862 3960,'0'0'0,"0"0"4041,0 0-1432,0 0-2609,5-4 1600,-5 4-328,0-5-111,-8 5-425,8 0-736,-6-4 600,6 4-104,0 0-200,-2-5-8,2 5-288,0 0 312,0 0 8,0 0 32,0-5 64,0 5-416,0-4 361,0-1 103,0 1-8,0-1-80,0 5-376,0-7 352,-6 0-224,0-11-64,1 13 24,5 5-88,-7-7 0,-1-11 40,2 13 40,-1-13-72,7 18-8,-15-7-8,10-16 16,0 4 16,5 1-24,0 18 0,-5-21 56,5 0-16,-3-2-8,-5 0 8,8 23-40,-3-21 16,1-2-40,-5 5-16,4 0 16,3 18 24,-5-7 32,2-21 48,-4 21-64,5-18 8,2 25-24,-5-7 24,5-16-48,-4 18 72,4-16-32,0 21-16,-5-4-24,-3-17 32,8 14 8,0-11 56,0 18-72,0-7 16,0 0 40,5-14-72,3 16 16,-8 5 0,2-6 104,0-15 40,3 21-16,-3-7-80,-2 7-48,7-7 72,-1 0-144,-1 0 72,-3 2-8,-2 5 8,5-4 24,-3-1-40,6 1 56,13-1-48,-21 5 8,6 0-56,16-5 96,-2 1-40,0 4-48,-20 0 48,22-5 88,1 5-88,-3-4 0,11 4 64,-31 0-64,23-5 56,3 0-112,-4 5 8,2-4-56,-24 4 104,29 0-136,-5-5 128,5 5 8,-6-4 40,-23 4-40,30-5 8,-2 0 16,3-2 8,-3 1-8,-28 6-24,34-7-16,-2 0 56,5-12-64,0 15 0,-37 4 24,42-21-32,-5 16 8,0-15 64,-6 15 0,-31 5-40,32-7 64,-5-11-48,-1 18-32,-11-5-8,-15 5 24,18-5-24,-10 1 8,2-1 16,-2 1 40,-8 4-40,9 0 48,-1-5-32,-4 5-32,0 0 8,-4 0 8,3 0-32,-1-5 48,-2 5 8,0 0 16,0 0-40,0 0-40,0 0 56,0 0 0,0 0-8,0 0-8,-9 0 40,5 3-64,-4-1 24,-14 3-16,22-5 16,-2 4-128,-20 3 104,15 0-8,-15 0 24,22-7 8,-19 7 48,14 2 8,-28 9-32,15-11-24,18-7 0,-20 19 80,-11-10-160,4 14 0,-1-4-8,28-19 88,-30 18-64,-1 0 48,2 1-24,-3-1 32,32-18 8,-33 19 8,2-10-8,-1 16 32,0-15-32,32-10 0,-33 25-32,4-16 24,4 16 32,-1-15 16,26-10-40,-21 25 40,-4-16-96,-3 14 72,5-13 8,23-10-24,-18 23 0,-3-17-24,3 4 0,10 8-8,8-18 32,-27 5-8,11 2 72,9 0-56,-17 2-56,24-9 48,-6 7 0,-23 0 24,23 0-8,-19-1 24,25-6-40,-5 7-16,-19 0 40,7-2 16,9 0-64,8-5 24,-21 4 16,3 1-88,2-3 64,-5 3 48,21-5-40,-23 2 8,-5 3 32,3-3-48,4 0 40,21-2-32,-19 0 40,-1 0-8,1-4-24,4-1-8,15 5 0,-19-7-40,0-11 72,0 13-24,2-13 16,17 18-24,-23-7 40,6-16-24,-4 16-16,2-16-56,19 23 56,-17-7-24,12-19 80,-21 8-72,19-1 40,7 19-24,-28-18 0,22 0-24,-23-5 40,14 2 24,15 21-40,-19-23 24,0 2-40,13 0-8,-20 3-32,26 18 56,-9-19 0,-11 1 40,1-1 64,12 13 16,7 6-120,-19-23 40,17 18 104,-4-14-64,-2 15 80,8 4-160,-9-5 144,4-2-48,1 0 64,-4 3-40,8 4-120,-4-5 144,4 1-72,0 4 8,0-5 57,0 5-137,0 0 64,0 0-8,0 0-96,0 0-32,0 0 64,1 0 8,7 7-33,2 2 66,9 12 15,-19-21-48,2 9 72,4 16-56,13-4-16,-12 0-32,-7-21 32,9 18 0,9 1 56,-11-1 8,-2-9 8,-5-9-72,21 24 0,-16-15-24,18 14 64,-15-16-16,-8-7-24,22 9 16,-15 9-8,10-15-32,-10 4 24,-7-7 0,5 7 0,0-3 16,0-2-56,-1 1 24,-4-3 16,3 2-40,-3 0 56,0 1-16,0-3-56,0 0 56,0 0-16,0 0-64,0 0-16,-7 0-9,7 0 105,-5 2-128,-21-2-16,7 2 48,-7 1 32,26-3 64,-33 4-80,-1 3-56,-2 2 16,0 1 32,36-10 88,-37 18 40,0-11 48,-1 2-8,0 10-16,38-19-64,-33 6-48,-6 18 56,3-6-88,-3-9 56,39-9 24,-36 26-24,4-17 64,1 11 8,8-13-32,23-7-16,-21 10 0,4-3-64,9-1 104,6-3-16,2-3-24,-6 2 80,1 0-64,0-2-16,5 0 40,0 0-40,2-7 8,1 1-56,4-15-48,-7 21 96,24-7-56,-4-14 48,-4 14-24,1-14 8,-17 21 24,19-4-184,-9-15-136,7 15-120,-9-1-240,-8 5 680,10-7-992,-4 0-377,-1 0-743,0 1-2089,-5 6 4201,0-5-7722,0 5 7722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4:03:37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1908 524 3752,'0'0'0,"2"0"3385,6 0-2049,1 2-856,-9-2-480,27 5 553,-8 2-201,-1 2 56,6 9 32,-24-18-440,24 7 520,2 14 144,3-14 8,-3 2 112,-26-9-784,28 10 881,6-4-105,3-1 32,2-3 96,-39-2-904,42 0 960,4 0 40,1-7-167,0-13-297,-47 20-536,55-7 440,-3-14-152,2 14 0,3-21-88,-57 28-200,58-23 272,11 0-216,-3-2 48,3-5 24,-69 30-128,64-30 40,-8 2 40,-1 1 104,0 4-144,-55 23-40,47-23-96,-4 2 136,-8 0-24,-6 14 24,-29 7-40,21-23 8,-11 19-96,-1-15 56,-2 15 88,-7 4-56,3-7 168,-3-12 24,0 15 0,-5-15-16,5 19-176,-7-5 280,-15-13-160,1 13-88,0-1 72,21 6-104,-27-21 16,7 16 105,-9-16-89,2 17-88,27 4 56,-27-19-121,-5 15 170,4-3-49,-10-12 40,38 19-40,-30 0 88,-14-4-8,2-1 80,1 1 8,41 4-168,-42-5 80,-4 5 0,1-5-24,6 5 24,39 0-80,-44-4 96,0 4-48,3 0-48,-4 0 24,45 0-24,-46 0-16,-1 0 72,2 2 96,-5 0-216,50-2 64,-52 5-152,0 2 40,-1 11 56,4-11 56,49-7 0,-50 21 208,2-12-72,1 14-136,2-14 88,45-9-88,-48 21 24,3-2 16,1-1 72,0-9 16,44-9-128,-47 23 96,-1-4 48,-11 2-64,0 2 16,59-23-96,-78 23 200,-3 0 24,-2 0 24,-10-2-64,93-21-184,-90 27 96,-2 3-24,-8 5-24,7-1-24,93-34-24,-85 33-24,-3 3-80,3 1-24,-6 7 16,91-44 112,-90 46-288,7 3-120,3 1-400,-3 1-553,83-51 1361,-83 51-2424,-8-3-9091,91-48 11515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A34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2" t="s">
        <v>212</v>
      </c>
      <c r="C1" s="72"/>
      <c r="D1" s="72"/>
      <c r="E1" s="72"/>
      <c r="F1" s="72"/>
      <c r="G1" s="72"/>
      <c r="H1" s="72"/>
      <c r="I1" s="72"/>
      <c r="J1" s="72"/>
    </row>
    <row r="2" spans="1:10" ht="30" customHeight="1" x14ac:dyDescent="0.3">
      <c r="B2" s="12" t="s">
        <v>8</v>
      </c>
      <c r="C2" s="78" t="s">
        <v>45</v>
      </c>
      <c r="D2" s="78"/>
      <c r="E2" s="12" t="s">
        <v>7</v>
      </c>
      <c r="F2" s="73">
        <v>45929</v>
      </c>
      <c r="G2" s="73"/>
      <c r="H2" s="73"/>
      <c r="I2" s="73"/>
      <c r="J2" s="73"/>
    </row>
    <row r="3" spans="1:10" ht="30" customHeight="1" x14ac:dyDescent="0.3">
      <c r="B3" s="12" t="s">
        <v>9</v>
      </c>
      <c r="C3" s="78" t="s">
        <v>86</v>
      </c>
      <c r="D3" s="78"/>
      <c r="E3" s="12" t="s">
        <v>6</v>
      </c>
      <c r="F3" s="78" t="s">
        <v>104</v>
      </c>
      <c r="G3" s="78"/>
      <c r="H3" s="78"/>
      <c r="I3" s="78"/>
      <c r="J3" s="78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4" t="s">
        <v>0</v>
      </c>
      <c r="C5" s="75"/>
      <c r="D5" s="75"/>
      <c r="E5" s="48" t="s">
        <v>1</v>
      </c>
      <c r="F5" s="48"/>
      <c r="G5" s="48"/>
      <c r="H5" s="48"/>
      <c r="I5" s="48" t="s">
        <v>2</v>
      </c>
      <c r="J5" s="49"/>
    </row>
    <row r="6" spans="1:10" ht="24.9" customHeight="1" thickBot="1" x14ac:dyDescent="0.35">
      <c r="A6" s="10"/>
      <c r="B6" s="76"/>
      <c r="C6" s="77"/>
      <c r="D6" s="77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" customHeight="1" thickBot="1" x14ac:dyDescent="0.35">
      <c r="A7" s="10"/>
      <c r="B7" s="79" t="s">
        <v>21</v>
      </c>
      <c r="C7" s="80"/>
      <c r="D7" s="80"/>
      <c r="E7" s="32" t="s">
        <v>18</v>
      </c>
      <c r="F7" s="32" t="s">
        <v>19</v>
      </c>
      <c r="G7" s="32" t="s">
        <v>22</v>
      </c>
      <c r="H7" s="32" t="s">
        <v>20</v>
      </c>
      <c r="I7" s="52" t="s">
        <v>25</v>
      </c>
      <c r="J7" s="53"/>
    </row>
    <row r="8" spans="1:10" ht="30" customHeight="1" x14ac:dyDescent="0.3">
      <c r="A8" s="10"/>
      <c r="B8" s="81" t="s">
        <v>180</v>
      </c>
      <c r="C8" s="82"/>
      <c r="D8" s="82"/>
      <c r="E8" s="30"/>
      <c r="F8" s="36"/>
      <c r="G8" s="37"/>
      <c r="H8" s="38"/>
      <c r="I8" s="56"/>
      <c r="J8" s="57"/>
    </row>
    <row r="9" spans="1:10" ht="30" customHeight="1" x14ac:dyDescent="0.3">
      <c r="A9" s="10"/>
      <c r="B9" s="83" t="s">
        <v>181</v>
      </c>
      <c r="C9" s="84"/>
      <c r="D9" s="84"/>
      <c r="E9" s="28">
        <v>5</v>
      </c>
      <c r="F9" s="26">
        <v>4.25</v>
      </c>
      <c r="G9" s="34">
        <f>IFERROR(F9/E9,"")</f>
        <v>0.85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6"/>
      <c r="J9" s="47"/>
    </row>
    <row r="10" spans="1:10" ht="30" customHeight="1" x14ac:dyDescent="0.3">
      <c r="A10" s="10"/>
      <c r="B10" s="83" t="s">
        <v>182</v>
      </c>
      <c r="C10" s="84"/>
      <c r="D10" s="84"/>
      <c r="E10" s="28">
        <v>6</v>
      </c>
      <c r="F10" s="26">
        <v>5</v>
      </c>
      <c r="G10" s="34">
        <f t="shared" ref="G10:G39" si="0">IFERROR(F10/E10,"")</f>
        <v>0.83333333333333337</v>
      </c>
      <c r="H10" s="35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0" customHeight="1" x14ac:dyDescent="0.3">
      <c r="A11" s="10"/>
      <c r="B11" s="83" t="s">
        <v>183</v>
      </c>
      <c r="C11" s="84"/>
      <c r="D11" s="84"/>
      <c r="E11" s="28">
        <v>6</v>
      </c>
      <c r="F11" s="26">
        <v>5.25</v>
      </c>
      <c r="G11" s="34">
        <f t="shared" si="0"/>
        <v>0.875</v>
      </c>
      <c r="H11" s="35" t="str">
        <f t="shared" si="1"/>
        <v>جيد جداً</v>
      </c>
      <c r="I11" s="46"/>
      <c r="J11" s="47"/>
    </row>
    <row r="12" spans="1:10" ht="30" customHeight="1" thickBot="1" x14ac:dyDescent="0.35">
      <c r="A12" s="10"/>
      <c r="B12" s="85" t="s">
        <v>184</v>
      </c>
      <c r="C12" s="86"/>
      <c r="D12" s="86"/>
      <c r="E12" s="29">
        <v>5</v>
      </c>
      <c r="F12" s="27">
        <v>4</v>
      </c>
      <c r="G12" s="39">
        <f t="shared" si="0"/>
        <v>0.8</v>
      </c>
      <c r="H12" s="40" t="str">
        <f t="shared" si="1"/>
        <v>جيد جداً</v>
      </c>
      <c r="I12" s="54"/>
      <c r="J12" s="55"/>
    </row>
    <row r="13" spans="1:10" ht="30" customHeight="1" x14ac:dyDescent="0.3">
      <c r="A13" s="10"/>
      <c r="B13" s="81" t="s">
        <v>185</v>
      </c>
      <c r="C13" s="82"/>
      <c r="D13" s="82"/>
      <c r="E13" s="30"/>
      <c r="F13" s="36"/>
      <c r="G13" s="37"/>
      <c r="H13" s="38"/>
      <c r="I13" s="56"/>
      <c r="J13" s="57"/>
    </row>
    <row r="14" spans="1:10" ht="30" customHeight="1" x14ac:dyDescent="0.3">
      <c r="A14" s="10"/>
      <c r="B14" s="83" t="s">
        <v>186</v>
      </c>
      <c r="C14" s="84"/>
      <c r="D14" s="84"/>
      <c r="E14" s="9">
        <v>8</v>
      </c>
      <c r="F14" s="26">
        <v>6.25</v>
      </c>
      <c r="G14" s="34">
        <f t="shared" si="0"/>
        <v>0.78125</v>
      </c>
      <c r="H14" s="35" t="str">
        <f t="shared" si="1"/>
        <v>جيد</v>
      </c>
      <c r="I14" s="46"/>
      <c r="J14" s="47"/>
    </row>
    <row r="15" spans="1:10" ht="30" customHeight="1" x14ac:dyDescent="0.3">
      <c r="A15" s="10"/>
      <c r="B15" s="83" t="s">
        <v>187</v>
      </c>
      <c r="C15" s="84"/>
      <c r="D15" s="84"/>
      <c r="E15" s="9">
        <v>8</v>
      </c>
      <c r="F15" s="26">
        <v>6.5</v>
      </c>
      <c r="G15" s="34">
        <f t="shared" si="0"/>
        <v>0.8125</v>
      </c>
      <c r="H15" s="35" t="str">
        <f t="shared" si="1"/>
        <v>جيد جداً</v>
      </c>
      <c r="I15" s="46"/>
      <c r="J15" s="47"/>
    </row>
    <row r="16" spans="1:10" ht="30" customHeight="1" x14ac:dyDescent="0.3">
      <c r="A16" s="10"/>
      <c r="B16" s="83" t="s">
        <v>188</v>
      </c>
      <c r="C16" s="84"/>
      <c r="D16" s="84"/>
      <c r="E16" s="9">
        <v>5</v>
      </c>
      <c r="F16" s="26">
        <v>4.25</v>
      </c>
      <c r="G16" s="34">
        <f t="shared" si="0"/>
        <v>0.85</v>
      </c>
      <c r="H16" s="35" t="str">
        <f t="shared" si="1"/>
        <v>جيد جداً</v>
      </c>
      <c r="I16" s="46"/>
      <c r="J16" s="47"/>
    </row>
    <row r="17" spans="1:10" ht="30" customHeight="1" thickBot="1" x14ac:dyDescent="0.35">
      <c r="A17" s="10"/>
      <c r="B17" s="85" t="s">
        <v>189</v>
      </c>
      <c r="C17" s="86"/>
      <c r="D17" s="86"/>
      <c r="E17" s="31">
        <v>6</v>
      </c>
      <c r="F17" s="27">
        <v>4.75</v>
      </c>
      <c r="G17" s="39">
        <f t="shared" si="0"/>
        <v>0.79166666666666663</v>
      </c>
      <c r="H17" s="40" t="str">
        <f t="shared" si="1"/>
        <v>جيد</v>
      </c>
      <c r="I17" s="54"/>
      <c r="J17" s="55"/>
    </row>
    <row r="18" spans="1:10" ht="30" customHeight="1" x14ac:dyDescent="0.3">
      <c r="A18" s="10"/>
      <c r="B18" s="81" t="s">
        <v>190</v>
      </c>
      <c r="C18" s="82"/>
      <c r="D18" s="82"/>
      <c r="E18" s="30"/>
      <c r="F18" s="36"/>
      <c r="G18" s="37"/>
      <c r="H18" s="38"/>
      <c r="I18" s="56"/>
      <c r="J18" s="57"/>
    </row>
    <row r="19" spans="1:10" ht="30" customHeight="1" x14ac:dyDescent="0.3">
      <c r="A19" s="10"/>
      <c r="B19" s="83" t="s">
        <v>191</v>
      </c>
      <c r="C19" s="84"/>
      <c r="D19" s="84"/>
      <c r="E19" s="28">
        <v>6</v>
      </c>
      <c r="F19" s="26">
        <v>5</v>
      </c>
      <c r="G19" s="34">
        <f t="shared" si="0"/>
        <v>0.83333333333333337</v>
      </c>
      <c r="H19" s="35" t="str">
        <f t="shared" si="1"/>
        <v>جيد جداً</v>
      </c>
      <c r="I19" s="46"/>
      <c r="J19" s="47"/>
    </row>
    <row r="20" spans="1:10" ht="30" customHeight="1" x14ac:dyDescent="0.3">
      <c r="A20" s="10"/>
      <c r="B20" s="83" t="s">
        <v>192</v>
      </c>
      <c r="C20" s="84"/>
      <c r="D20" s="84"/>
      <c r="E20" s="28">
        <v>6</v>
      </c>
      <c r="F20" s="26">
        <v>5.25</v>
      </c>
      <c r="G20" s="34">
        <f t="shared" si="0"/>
        <v>0.875</v>
      </c>
      <c r="H20" s="35" t="str">
        <f t="shared" si="1"/>
        <v>جيد جداً</v>
      </c>
      <c r="I20" s="46"/>
      <c r="J20" s="47"/>
    </row>
    <row r="21" spans="1:10" ht="30" customHeight="1" x14ac:dyDescent="0.3">
      <c r="A21" s="10"/>
      <c r="B21" s="83" t="s">
        <v>193</v>
      </c>
      <c r="C21" s="84"/>
      <c r="D21" s="84"/>
      <c r="E21" s="28">
        <v>6</v>
      </c>
      <c r="F21" s="26">
        <v>4.75</v>
      </c>
      <c r="G21" s="34">
        <f t="shared" si="0"/>
        <v>0.79166666666666663</v>
      </c>
      <c r="H21" s="35" t="str">
        <f t="shared" si="1"/>
        <v>جيد</v>
      </c>
      <c r="I21" s="46"/>
      <c r="J21" s="47"/>
    </row>
    <row r="22" spans="1:10" ht="39.9" customHeight="1" x14ac:dyDescent="0.3">
      <c r="A22" s="10"/>
      <c r="B22" s="83" t="s">
        <v>194</v>
      </c>
      <c r="C22" s="84"/>
      <c r="D22" s="84"/>
      <c r="E22" s="28">
        <v>6</v>
      </c>
      <c r="F22" s="26">
        <v>4.75</v>
      </c>
      <c r="G22" s="34">
        <f t="shared" si="0"/>
        <v>0.79166666666666663</v>
      </c>
      <c r="H22" s="35" t="str">
        <f t="shared" si="1"/>
        <v>جيد</v>
      </c>
      <c r="I22" s="46"/>
      <c r="J22" s="47"/>
    </row>
    <row r="23" spans="1:10" ht="30" customHeight="1" thickBot="1" x14ac:dyDescent="0.35">
      <c r="A23" s="10"/>
      <c r="B23" s="85" t="s">
        <v>195</v>
      </c>
      <c r="C23" s="86"/>
      <c r="D23" s="86"/>
      <c r="E23" s="29">
        <v>6</v>
      </c>
      <c r="F23" s="27">
        <v>5</v>
      </c>
      <c r="G23" s="39">
        <f t="shared" si="0"/>
        <v>0.83333333333333337</v>
      </c>
      <c r="H23" s="40" t="str">
        <f t="shared" si="1"/>
        <v>جيد جداً</v>
      </c>
      <c r="I23" s="54"/>
      <c r="J23" s="55"/>
    </row>
    <row r="24" spans="1:10" ht="30" customHeight="1" x14ac:dyDescent="0.3">
      <c r="A24" s="10"/>
      <c r="B24" s="81" t="s">
        <v>196</v>
      </c>
      <c r="C24" s="82"/>
      <c r="D24" s="82"/>
      <c r="E24" s="30"/>
      <c r="F24" s="36"/>
      <c r="G24" s="37"/>
      <c r="H24" s="38"/>
      <c r="I24" s="56"/>
      <c r="J24" s="57"/>
    </row>
    <row r="25" spans="1:10" ht="39.9" customHeight="1" x14ac:dyDescent="0.3">
      <c r="A25" s="10"/>
      <c r="B25" s="70" t="s">
        <v>197</v>
      </c>
      <c r="C25" s="71"/>
      <c r="D25" s="71"/>
      <c r="E25" s="28">
        <v>5</v>
      </c>
      <c r="F25" s="26">
        <v>4</v>
      </c>
      <c r="G25" s="34">
        <f t="shared" si="0"/>
        <v>0.8</v>
      </c>
      <c r="H25" s="35" t="str">
        <f t="shared" si="1"/>
        <v>جيد جداً</v>
      </c>
      <c r="I25" s="46"/>
      <c r="J25" s="47"/>
    </row>
    <row r="26" spans="1:10" ht="39.9" customHeight="1" x14ac:dyDescent="0.3">
      <c r="A26" s="10"/>
      <c r="B26" s="70" t="s">
        <v>198</v>
      </c>
      <c r="C26" s="71"/>
      <c r="D26" s="71"/>
      <c r="E26" s="28">
        <v>5</v>
      </c>
      <c r="F26" s="26">
        <v>3.5</v>
      </c>
      <c r="G26" s="34">
        <f t="shared" si="0"/>
        <v>0.7</v>
      </c>
      <c r="H26" s="35" t="str">
        <f t="shared" si="1"/>
        <v>جيد</v>
      </c>
      <c r="I26" s="46"/>
      <c r="J26" s="47"/>
    </row>
    <row r="27" spans="1:10" ht="30" customHeight="1" x14ac:dyDescent="0.3">
      <c r="A27" s="10"/>
      <c r="B27" s="70" t="s">
        <v>199</v>
      </c>
      <c r="C27" s="71"/>
      <c r="D27" s="71"/>
      <c r="E27" s="28">
        <v>5</v>
      </c>
      <c r="F27" s="26">
        <v>3.75</v>
      </c>
      <c r="G27" s="34">
        <f t="shared" si="0"/>
        <v>0.75</v>
      </c>
      <c r="H27" s="35" t="str">
        <f t="shared" si="1"/>
        <v>جيد</v>
      </c>
      <c r="I27" s="46"/>
      <c r="J27" s="47"/>
    </row>
    <row r="28" spans="1:10" ht="30" customHeight="1" x14ac:dyDescent="0.3">
      <c r="A28" s="10"/>
      <c r="B28" s="70" t="s">
        <v>200</v>
      </c>
      <c r="C28" s="71"/>
      <c r="D28" s="71"/>
      <c r="E28" s="28">
        <v>5</v>
      </c>
      <c r="F28" s="26">
        <v>4</v>
      </c>
      <c r="G28" s="34">
        <f t="shared" si="0"/>
        <v>0.8</v>
      </c>
      <c r="H28" s="35" t="str">
        <f t="shared" si="1"/>
        <v>جيد جداً</v>
      </c>
      <c r="I28" s="46"/>
      <c r="J28" s="47"/>
    </row>
    <row r="29" spans="1:10" ht="30" customHeight="1" x14ac:dyDescent="0.3">
      <c r="A29" s="10"/>
      <c r="B29" s="70" t="s">
        <v>201</v>
      </c>
      <c r="C29" s="71"/>
      <c r="D29" s="71"/>
      <c r="E29" s="28">
        <v>5</v>
      </c>
      <c r="F29" s="26">
        <v>3.75</v>
      </c>
      <c r="G29" s="34">
        <f t="shared" si="0"/>
        <v>0.75</v>
      </c>
      <c r="H29" s="35" t="str">
        <f t="shared" si="1"/>
        <v>جيد</v>
      </c>
      <c r="I29" s="46"/>
      <c r="J29" s="47"/>
    </row>
    <row r="30" spans="1:10" ht="30" customHeight="1" x14ac:dyDescent="0.3">
      <c r="A30" s="10"/>
      <c r="B30" s="70" t="s">
        <v>202</v>
      </c>
      <c r="C30" s="71"/>
      <c r="D30" s="71"/>
      <c r="E30" s="28">
        <v>5</v>
      </c>
      <c r="F30" s="26">
        <v>3.5</v>
      </c>
      <c r="G30" s="34">
        <f t="shared" si="0"/>
        <v>0.7</v>
      </c>
      <c r="H30" s="35" t="str">
        <f t="shared" si="1"/>
        <v>جيد</v>
      </c>
      <c r="I30" s="46"/>
      <c r="J30" s="47"/>
    </row>
    <row r="31" spans="1:10" ht="30" customHeight="1" x14ac:dyDescent="0.3">
      <c r="A31" s="10"/>
      <c r="B31" s="70" t="s">
        <v>203</v>
      </c>
      <c r="C31" s="71"/>
      <c r="D31" s="71"/>
      <c r="E31" s="28">
        <v>5</v>
      </c>
      <c r="F31" s="26">
        <v>4</v>
      </c>
      <c r="G31" s="34">
        <f t="shared" si="0"/>
        <v>0.8</v>
      </c>
      <c r="H31" s="35" t="str">
        <f t="shared" si="1"/>
        <v>جيد جداً</v>
      </c>
      <c r="I31" s="46"/>
      <c r="J31" s="47"/>
    </row>
    <row r="32" spans="1:10" ht="30" customHeight="1" x14ac:dyDescent="0.3">
      <c r="A32" s="10"/>
      <c r="B32" s="70" t="s">
        <v>204</v>
      </c>
      <c r="C32" s="71"/>
      <c r="D32" s="71"/>
      <c r="E32" s="28">
        <v>5</v>
      </c>
      <c r="F32" s="26">
        <v>3.75</v>
      </c>
      <c r="G32" s="34">
        <f t="shared" si="0"/>
        <v>0.75</v>
      </c>
      <c r="H32" s="35" t="str">
        <f t="shared" si="1"/>
        <v>جيد</v>
      </c>
      <c r="I32" s="46"/>
      <c r="J32" s="47"/>
    </row>
    <row r="33" spans="1:10" ht="30" customHeight="1" x14ac:dyDescent="0.3">
      <c r="A33" s="10"/>
      <c r="B33" s="70" t="s">
        <v>205</v>
      </c>
      <c r="C33" s="71"/>
      <c r="D33" s="71"/>
      <c r="E33" s="28">
        <v>5</v>
      </c>
      <c r="F33" s="26">
        <v>3.75</v>
      </c>
      <c r="G33" s="34">
        <f t="shared" si="0"/>
        <v>0.75</v>
      </c>
      <c r="H33" s="35" t="str">
        <f t="shared" si="1"/>
        <v>جيد</v>
      </c>
      <c r="I33" s="46"/>
      <c r="J33" s="47"/>
    </row>
    <row r="34" spans="1:10" ht="30" customHeight="1" thickBot="1" x14ac:dyDescent="0.35">
      <c r="A34" s="10"/>
      <c r="B34" s="85" t="s">
        <v>206</v>
      </c>
      <c r="C34" s="86"/>
      <c r="D34" s="86"/>
      <c r="E34" s="29">
        <v>5</v>
      </c>
      <c r="F34" s="27">
        <v>4</v>
      </c>
      <c r="G34" s="39">
        <f t="shared" si="0"/>
        <v>0.8</v>
      </c>
      <c r="H34" s="40" t="str">
        <f t="shared" si="1"/>
        <v>جيد جداً</v>
      </c>
      <c r="I34" s="54"/>
      <c r="J34" s="55"/>
    </row>
    <row r="35" spans="1:10" ht="30" customHeight="1" x14ac:dyDescent="0.3">
      <c r="A35" s="10"/>
      <c r="B35" s="87" t="s">
        <v>207</v>
      </c>
      <c r="C35" s="88"/>
      <c r="D35" s="88"/>
      <c r="E35" s="30"/>
      <c r="F35" s="36"/>
      <c r="G35" s="37"/>
      <c r="H35" s="38"/>
      <c r="I35" s="56"/>
      <c r="J35" s="57"/>
    </row>
    <row r="36" spans="1:10" ht="30" customHeight="1" x14ac:dyDescent="0.3">
      <c r="A36" s="10"/>
      <c r="B36" s="70" t="s">
        <v>208</v>
      </c>
      <c r="C36" s="71"/>
      <c r="D36" s="71"/>
      <c r="E36" s="9">
        <v>6</v>
      </c>
      <c r="F36" s="26">
        <v>4.75</v>
      </c>
      <c r="G36" s="34">
        <f t="shared" si="0"/>
        <v>0.79166666666666663</v>
      </c>
      <c r="H36" s="35" t="str">
        <f t="shared" si="1"/>
        <v>جيد</v>
      </c>
      <c r="I36" s="46"/>
      <c r="J36" s="47"/>
    </row>
    <row r="37" spans="1:10" ht="30" customHeight="1" x14ac:dyDescent="0.3">
      <c r="A37" s="10"/>
      <c r="B37" s="70" t="s">
        <v>209</v>
      </c>
      <c r="C37" s="71"/>
      <c r="D37" s="71"/>
      <c r="E37" s="9">
        <v>5</v>
      </c>
      <c r="F37" s="26">
        <v>4</v>
      </c>
      <c r="G37" s="34">
        <f t="shared" si="0"/>
        <v>0.8</v>
      </c>
      <c r="H37" s="35" t="str">
        <f t="shared" si="1"/>
        <v>جيد جداً</v>
      </c>
      <c r="I37" s="46"/>
      <c r="J37" s="47"/>
    </row>
    <row r="38" spans="1:10" ht="30" customHeight="1" x14ac:dyDescent="0.3">
      <c r="A38" s="10"/>
      <c r="B38" s="70" t="s">
        <v>210</v>
      </c>
      <c r="C38" s="71"/>
      <c r="D38" s="71"/>
      <c r="E38" s="9">
        <v>5</v>
      </c>
      <c r="F38" s="26">
        <v>3.75</v>
      </c>
      <c r="G38" s="34">
        <f t="shared" si="0"/>
        <v>0.75</v>
      </c>
      <c r="H38" s="35" t="str">
        <f t="shared" si="1"/>
        <v>جيد</v>
      </c>
      <c r="I38" s="46"/>
      <c r="J38" s="47"/>
    </row>
    <row r="39" spans="1:10" ht="30" customHeight="1" thickBot="1" x14ac:dyDescent="0.35">
      <c r="A39" s="10"/>
      <c r="B39" s="89" t="s">
        <v>211</v>
      </c>
      <c r="C39" s="90"/>
      <c r="D39" s="90"/>
      <c r="E39" s="31">
        <v>5</v>
      </c>
      <c r="F39" s="27">
        <v>4</v>
      </c>
      <c r="G39" s="39">
        <f t="shared" si="0"/>
        <v>0.8</v>
      </c>
      <c r="H39" s="40" t="str">
        <f t="shared" si="1"/>
        <v>جيد جداً</v>
      </c>
      <c r="I39" s="54"/>
      <c r="J39" s="55"/>
    </row>
    <row r="40" spans="1:10" ht="30" customHeight="1" thickBot="1" x14ac:dyDescent="0.35">
      <c r="A40" s="4"/>
      <c r="B40" s="66" t="s">
        <v>5</v>
      </c>
      <c r="C40" s="67"/>
      <c r="D40" s="67"/>
      <c r="E40" s="33">
        <f>SUM(E8:E39)</f>
        <v>150</v>
      </c>
      <c r="F40" s="33">
        <f>SUM(F8:F39)</f>
        <v>119.5</v>
      </c>
      <c r="G40" s="43"/>
      <c r="H40" s="44"/>
      <c r="I40" s="44"/>
      <c r="J40" s="45"/>
    </row>
    <row r="41" spans="1:10" ht="30" customHeight="1" thickBot="1" x14ac:dyDescent="0.35">
      <c r="A41" s="4"/>
      <c r="B41" s="68" t="s">
        <v>54</v>
      </c>
      <c r="C41" s="69"/>
      <c r="D41" s="69"/>
      <c r="E41" s="64">
        <f>F40/E40/100*100</f>
        <v>0.79666666666666675</v>
      </c>
      <c r="F41" s="64"/>
      <c r="G41" s="64"/>
      <c r="H41" s="64"/>
      <c r="I41" s="64"/>
      <c r="J41" s="65"/>
    </row>
    <row r="42" spans="1:10" ht="30" customHeight="1" thickBot="1" x14ac:dyDescent="0.35">
      <c r="A42" s="4"/>
      <c r="B42" s="68" t="s">
        <v>55</v>
      </c>
      <c r="C42" s="69"/>
      <c r="D42" s="69"/>
      <c r="E42" s="62" t="str">
        <f>_xlfn.IFS(E41&gt;=90%,"ممتاز",E41&gt;=80%,"جيد جداً",E41&gt;=70%,"جيد",E41&gt;=60%,"مقبول",E41&lt;60%,"راسب")</f>
        <v>جيد</v>
      </c>
      <c r="F42" s="62"/>
      <c r="G42" s="62"/>
      <c r="H42" s="62"/>
      <c r="I42" s="62"/>
      <c r="J42" s="63"/>
    </row>
    <row r="43" spans="1:10" ht="42" customHeight="1" x14ac:dyDescent="0.3">
      <c r="B43" s="58" t="s">
        <v>174</v>
      </c>
      <c r="C43" s="58"/>
      <c r="D43" s="58"/>
      <c r="E43" s="41" t="s">
        <v>52</v>
      </c>
      <c r="F43" s="41"/>
      <c r="G43" s="60" t="s">
        <v>104</v>
      </c>
      <c r="H43" s="60"/>
      <c r="I43" s="60"/>
      <c r="J43" s="60"/>
    </row>
    <row r="44" spans="1:10" ht="51" customHeight="1" x14ac:dyDescent="0.3">
      <c r="A44" s="5"/>
      <c r="B44" s="59"/>
      <c r="C44" s="59"/>
      <c r="D44" s="59"/>
      <c r="E44" s="42" t="s">
        <v>53</v>
      </c>
      <c r="F44" s="42"/>
      <c r="G44" s="61"/>
      <c r="H44" s="61"/>
      <c r="I44" s="61"/>
      <c r="J44" s="6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B35:D35"/>
    <mergeCell ref="B36:D36"/>
    <mergeCell ref="B37:D37"/>
    <mergeCell ref="B38:D38"/>
    <mergeCell ref="B39:D39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B1:J1"/>
    <mergeCell ref="F2:J2"/>
    <mergeCell ref="B5:D6"/>
    <mergeCell ref="C2:D2"/>
    <mergeCell ref="C3:D3"/>
    <mergeCell ref="F3:J3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F25:F34 F37:F39 F12 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F10 F11 F17 F19 F20 F21 F22 F23 F36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F14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2025-10-27T19:08:56Z</dcterms:modified>
</cp:coreProperties>
</file>