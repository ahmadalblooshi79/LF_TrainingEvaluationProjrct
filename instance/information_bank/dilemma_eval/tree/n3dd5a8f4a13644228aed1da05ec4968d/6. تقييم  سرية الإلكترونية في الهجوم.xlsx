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8D3D0F8-0BB7-7148-A041-C400A3C54DD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<sst xmlns="http://schemas.openxmlformats.org/spreadsheetml/2006/main" count="251" uniqueCount="195">
  <si>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</si>
  <si>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</si>
  <si>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</si>
  <si>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</si>
  <si>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</si>
  <si>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</si>
  <si>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</si>
  <si>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</si>
  <si>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</si>
  <si>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</si>
  <si>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</si>
  <si>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</si>
  <si>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</si>
  <si>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</si>
  <si>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</si>
  <si>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</si>
  <si>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</si>
  <si>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</si>
  <si>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</si>
  <si>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</si>
  <si>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</si>
  <si>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</si>
  <si>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</si>
  <si>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</si>
  <si>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</si>
  <si>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</si>
  <si>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</si>
  <si>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</si>
  <si>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</si>
  <si>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</si>
  <si>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</si>
  <si>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</si>
  <si>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</si>
  <si>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</si>
  <si>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</si>
  <si>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</si>
  <si>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</si>
  <si>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</si>
  <si>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</si>
  <si>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</si>
  <si>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</si>
  <si>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</si>
  <si>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</si>
  <si>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</si>
  <si>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</si>
  <si>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</si>
  <si>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</si>
  <si>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</si>
  <si>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</si>
  <si>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</si>
  <si>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</si>
  <si>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</si>
  <si>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</si>
  <si>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</si>
  <si>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</si>
  <si>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</si>
  <si>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</si>
  <si>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</si>
  <si>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</si>
  <si>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</si>
  <si>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</si>
  <si>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</si>
  <si>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</si>
  <si>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</si>
  <si>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</si>
  <si>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</si>
  <si>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</si>
  <si>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</si>
  <si>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</si>
  <si>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</si>
  <si>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</si>
  <si>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</si>
  <si>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</si>
  <si>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</si>
  <si>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</si>
  <si>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</si>
  <si>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</si>
  <si>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</si>
  <si>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</si>
  <si>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</si>
  <si>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</si>
  <si>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</si>
  <si>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</si>
  <si>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</si>
  <si>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</si>
  <si>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</si>
  <si>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</si>
  <si>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</si>
  <si>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</si>
  <si>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</si>
  <si>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</si>
  <si>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</si>
  <si>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</si>
  <si>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</si>
  <si>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</si>
  <si>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</si>
  <si>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</si>
  <si>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</si>
  <si>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</si>
  <si>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</si>
  <si>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</si>
  <si>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</si>
  <si>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</si>
  <si>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</si>
  <si>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</si>
  <si>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</si>
  <si>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</si>
  <si>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</si>
  <si>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</si>
  <si>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</si>
  <si>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</si>
  <si>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</si>
  <si>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</si>
  <si>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</si>
  <si>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</si>
  <si>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</si>
  <si>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</si>
  <si>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</si>
  <si>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</si>
  <si>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</si>
  <si>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</si>
  <si>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</si>
  <si>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</si>
  <si>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</si>
  <si>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</si>
  <si>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</si>
  <si>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</si>
  <si>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</si>
  <si>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</si>
  <si>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</si>
  <si>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</si>
  <si>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</si>
  <si>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</si>
  <si>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</si>
  <si>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</si>
  <si>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</si>
  <si>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</si>
  <si>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</si>
  <si>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</si>
  <si>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</si>
  <si>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</si>
  <si>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</si>
  <si>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</si>
  <si>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</si>
  <si>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</si>
  <si>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</si>
  <si>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</si>
  <si>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</si>
  <si>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</si>
  <si>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</si>
  <si>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</si>
  <si>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</si>
  <si>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</si>
  <si>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</si>
  <si>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</si>
  <si>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</si>
  <si>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</si>
  <si>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</si>
  <si>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</si>
  <si>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</si>
  <si>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</si>
  <si>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</si>
  <si>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</si>
  <si>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</si>
  <si>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</si>
  <si>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</si>
  <si>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</si>
  <si>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</si>
  <si>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</si>
  <si>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</si>
  <si>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</si>
  <si>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</si>
  <si>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</si>
  <si>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</si>
  <si>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</si>
  <si>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</si>
  <si>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</si>
  <si>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</si>
  <si>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</si>
  <si>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</si>
  <si>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معرفة قائد السرية بمناطق التجمع التعبوية المخصصة للحرب الإلكترونية.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</si>
  <si>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معرفة قائد السرية بالمقتربات وممرات الحركة من منطقة التجمع وحتى الأهداف المنتخبة. 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</si>
  <si>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معرفة قائد السرية بخط البدء وخط الانفتاح المنتخب لمجموعة اللواء وتوزيع المحطات على خط البدء.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</si>
  <si>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توزيع المحطات من قبل قائد السرية بما يشكل قاعدة تحديد اتجاه مناسبة.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</si>
  <si>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استغلال كامل الإمكانيات لتوفير الإسناد المباشر.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</si>
  <si>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توفير غطاء إلكتروني مستمر لحماية العناصـر الأماميـة والجانبيـة والخلفية.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</si>
  <si>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المباشر مع باقي الوحدات المجاورة فيما يتعلق بالمعلومات.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</si>
  <si>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عناصر حماية من القوة (مسؤولية مجموعة اللواء).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</si>
  <si>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حرية الحركة والمناورة على شكل وثبات بالتزامن مع حركة القوات.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</si>
  <si>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أن تكون جميع محطات الحرب الإلكترونية خارج مدى تأثير أسلحة العدو.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</si>
  <si>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استخدام الإعاقة اللاسلكية في جميع مراحل الهجوم وتتمركز في مواقع متقدمة وخارج مدى تأثير أسلحة العدو.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</si>
  <si>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على الجهد الرئيس والجهد المساند 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</si>
  <si>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بما يضمن توفير التغطية الكاملة عن طريق الحركة بشكل وثبات خلف القوة ومستفيدة من مدى الاستطلاع.</t>
    </r>
  </si>
  <si>
    <r>
      <rPr>
        <b/>
        <sz val="14"/>
        <color rgb="FF000000"/>
        <rFont val="Arial"/>
        <family val="2"/>
      </rPr>
      <t>تقييم سرية الحرب الإلكترونية في إسناد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</si>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</sst>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228170</xdr:colOff>
      <xdr:row>24</xdr:row>
      <xdr:rowOff>106830</xdr:rowOff>
    </xdr:from>
    <xdr:to>
      <xdr:col>8</xdr:col>
      <xdr:colOff>577823</xdr:colOff>
      <xdr:row>25</xdr:row>
      <xdr:rowOff>6033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2E33245-47D0-DDCC-429A-AD2A2D991CF8}"/>
                </a:ext>
              </a:extLst>
            </xdr14:cNvPr>
            <xdr14:cNvContentPartPr/>
          </xdr14:nvContentPartPr>
          <xdr14:nvPr macro=""/>
          <xdr14:xfrm>
            <a:off x="10420650167" y="11327400"/>
            <a:ext cx="1010160" cy="5436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2E33245-47D0-DDCC-429A-AD2A2D991C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0644047" y="11321280"/>
              <a:ext cx="1022400" cy="55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292610</xdr:colOff>
      <xdr:row>24</xdr:row>
      <xdr:rowOff>356670</xdr:rowOff>
    </xdr:from>
    <xdr:to>
      <xdr:col>7</xdr:col>
      <xdr:colOff>310250</xdr:colOff>
      <xdr:row>24</xdr:row>
      <xdr:rowOff>389070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D94EF27-F674-B974-7F92-87AE7AAD6223}"/>
                </a:ext>
              </a:extLst>
            </xdr14:cNvPr>
            <xdr14:cNvContentPartPr/>
          </xdr14:nvContentPartPr>
          <xdr14:nvPr macro=""/>
          <xdr14:xfrm>
            <a:off x="10421578247" y="11577240"/>
            <a:ext cx="17640" cy="324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D94EF27-F674-B974-7F92-87AE7AAD622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1572127" y="11571120"/>
              <a:ext cx="29880" cy="44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10:40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2319 821 4480,'0'0'0,"0"-6"1641,0 6-1641,0-17 848,2 1-296,3 8 24,-5-12-160,0 20-416,3-8 240,-3-14-88,4 6-56,1-2-48,-5 18-48,0-19 56,3-3-16,-3-2 8,5 0 24,-5 24-72,0-24 64,0 3 25,0-3 23,0-2 24,0 26-136,0-24 184,-5-4 104,0 3-16,-2-3-304,7 28 32,-5-28-40,2-2-32,1-3 16,-5-3 272,7 36-216,-3-36 160,-1 2-48,-1 3-24,0 1-16,5 30-72,-2-26 56,2 2-32,-3 5-24,1 1-16,2 18 16,0-16 0,0 8 0,0-10 0,0 12-16,0 6 16,0-4-56,0 2 40,0 0-88,0 2-56,0 0 160,0 0-208,0 0-16,5 0 64,2 6 64,-7-6 96,5 6-40,11 12 24,-13-14-16,14 12 32,-17-16 0,5 4 0,19 12-48,-20-12 24,20 1-48,-24-5 72,8 6-32,16 0 0,-5 0 8,-5-2 0,-14-4 24,20 4-48,-1 0 8,7-4 0,-4 0 8,-22 0 32,29 0-16,-8 0-17,6 0 25,-5 0 73,-22 0-65,19 0-16,-2 4 32,0 0-32,-1-4-9,-16 0 25,17 4 17,-12-4-17,12 4 32,-10 0-97,-7-4 65,12 4 41,-5 0-41,-2 0 0,0 0 64,-5-4-64,5 4-16,0 0 24,-3 2-8,-2 0-24,0-6 24,0 6 0,0 0 16,0-2-24,0 0 16,0-4-8,0 4-24,0 0-41,0 0 41,-2-1-24,2-3 48,-5 4 8,-2 0-8,-10 2-8,12 0 16,5-6-8,-17 18-32,0-14 0,-2 16 24,-3-14-16,22-6 24,-26 24 0,-8-6-8,-2 1 16,-12 5-16,48-24 8,-48 22 8,-12 4-8,-3 2-16,-9 1 40,72-29-24,-82 34 0,-7 2-8,-14 3 16,-8 5 8,111-44-16,-120 44 8,-8 1 32,11 1-16,-4-4-16,121-42-8,-110 39 16,1 1 8,-1-4-56,14-3 8,96-33 24,-97 34-16,11 2-32,-1-1 72,3 3-16,84-38-8,-84 40 0,7 0 16,0 3-24,7 1 0,70-44 8,-70 43 0,13-3 40,-1-4-32,12-4-8,46-32 0,-33 27 8,1-1-64,6-4 32,14-6 8,12-16 16,-7 6-32,-1 10 16,8-16-24,0 0-80,0 0 120,8 0-240,11 0-64,-5-2-32,15-6 128,-29 8 208,27-18-120,6 0 112,11-6 0,4-6-48,-48 30 56,53-31-40,2-5-16,3-2 48,2-3 8,-60 41 0,65-46 16,7-2-24,0-3 24,7-1-32,-79 52 16,75-55 56,0 1 16,-6 1-32,3-1 72,-72 54-112,65-48 16,0 3-16,-5 7 16,-7 4-8,-53 34-8,44-29 0,-11 5-8,-4 6 16,-7 2-16,-22 16 8,17-6 8,-13 0 40,1 0 40,-5 4 232,0 2-320,0-2 400,-7 2-32,-12 0-63,0 0-257,19 0-48,-22 0-64,-7 6 24,-2 0-1,-5 12 17,36-18 24,-39 16-16,3 2-16,-2 2 24,-3 1-24,41-21 32,-39 26-40,-2 4 16,-2 2-24,2 3 8,41-35 40,-45 36-48,-1 2 16,3-4-32,-1-3 40,44-31 24,-41 28-24,5-2-24,7-4 48,5-3 0,24-19 0,-19 18-16,9-2-8,-9-10-8,19 10-40,0-16 72,-5 4-80,5-4-40,0 0-160,5 0-104,-5 0 384,22 0-392,-3 0 32,3-4 176,7-2 80,-29 6 104,41-8-64,-8-10 24,6 2-24,-3 1 24,-36 15 40,36-16-56,-5-2 16,3 2-24,-8 0 96,-26 16-32,29-18 40,-2 2 32,-1-1 8,3-3-64,-29 20-16,22-20 40,-1 0-16,1-4 8,-3 2-8,-19 22-24,17-19 32,-12-3 16,14 6 8,-17-2 16,-2 18-72,8-16 112,-6 0 24,-2 0 24,0 1 48,0 15-208,0-18 184,0 0 0,-10-2-32,6 2 0,4 18-152,-17-16 128,12 10 32,-2 0 24,2 0-40,5 6-144,-5-2 96,3 0-104,2 2-136,0 0-360,0 0 504,0 0-888,0 0-120,0 4 80,0 2 184,0-6 744,2 18-465,3-12 161,0 14 64,2-14 112,-7-6 128,17 22-88,-12-16 8,-1 14-24,4-14 48,-8-6 56,4 15-56,13-11-32,-14 2 16,1 0-64,-4-6 136,8 4-80,-4 0 24,13-4 24,-17 0 72,0 0-40,5 0 32,0 0 48,0-2 8,0 0 16,-5 2-104,4-6 104,13 0-24,-17-2 24,7-7 24,-7 15-128,5-6 96,0-2-16,2-12-32,-2 4-56,-5 16 8,5-18 0,2 0 32,12 0-16,-16 10 8,-3 8-24,17-17 32,-15 13-40,5 0-24,-2 0-56,-5 4 88,2-2-40,1 2-136,-3 0-32,0 4 8,0-4 200,5 4-200,-5 2 104,4 0 80,1 9 8,-5-15 8,0 4-16,3 12 16,1-12-48,-4 12 40,0-16 8,5 4-24,-5 0 24,0 0 16,0 0-16,0-4 0,0 0 24,0 0 8,0 0 8,0 0-8,0 0-160,0 4 232,0-4-144,0 4-16,0-4 56,0 6-16,0 12-40,3-14-1760,-3-4 1816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10:41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90 9986,'0'0'0,"-24"-32"96,7 6-152,10 0-56,7 26 112,0-4-216,21 2-609,1 2-4568,-22 0 5393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6" zoomScale="130" zoomScaleNormal="100" zoomScaleSheetLayoutView="130" workbookViewId="0">
      <selection activeCell="G25" sqref="G25:J25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8" t="s">
        <v>193</v>
      </c>
      <c r="C1" s="58"/>
      <c r="D1" s="58"/>
      <c r="E1" s="58"/>
      <c r="F1" s="58"/>
      <c r="G1" s="58"/>
      <c r="H1" s="58"/>
      <c r="I1" s="58"/>
      <c r="J1" s="58"/>
    </row>
    <row r="2" spans="1:10" ht="30" customHeight="1">
      <c r="B2" s="12" t="s">
        <v>8</v>
      </c>
      <c r="C2" s="64" t="s">
        <v>14</v>
      </c>
      <c r="D2" s="64"/>
      <c r="E2" s="12" t="s">
        <v>7</v>
      </c>
      <c r="F2" s="59">
        <v>45953</v>
      </c>
      <c r="G2" s="59"/>
      <c r="H2" s="59"/>
      <c r="I2" s="59"/>
      <c r="J2" s="59"/>
    </row>
    <row r="3" spans="1:10" ht="30" customHeight="1">
      <c r="B3" s="12" t="s">
        <v>9</v>
      </c>
      <c r="C3" s="64" t="s">
        <v>60</v>
      </c>
      <c r="D3" s="64"/>
      <c r="E3" s="12" t="s">
        <v>6</v>
      </c>
      <c r="F3" s="64" t="s">
        <v>123</v>
      </c>
      <c r="G3" s="64"/>
      <c r="H3" s="64"/>
      <c r="I3" s="64"/>
      <c r="J3" s="64"/>
    </row>
    <row r="4" spans="1:10" ht="30" customHeight="1" thickBot="1">
      <c r="B4" s="6"/>
      <c r="C4" s="7"/>
      <c r="D4" s="7" t="s">
        <v>194</v>
      </c>
      <c r="E4" s="6"/>
      <c r="F4" s="7"/>
      <c r="G4" s="7"/>
      <c r="H4" s="8"/>
      <c r="I4" s="7"/>
      <c r="J4" s="7"/>
    </row>
    <row r="5" spans="1:10" ht="24.95" customHeight="1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69"/>
      <c r="J6" s="70"/>
    </row>
    <row r="7" spans="1:10" ht="24.95" customHeight="1" thickBot="1">
      <c r="A7" s="10"/>
      <c r="B7" s="65" t="s">
        <v>21</v>
      </c>
      <c r="C7" s="66"/>
      <c r="D7" s="66"/>
      <c r="E7" s="28" t="s">
        <v>18</v>
      </c>
      <c r="F7" s="28" t="s">
        <v>19</v>
      </c>
      <c r="G7" s="28" t="s">
        <v>22</v>
      </c>
      <c r="H7" s="28" t="s">
        <v>20</v>
      </c>
      <c r="I7" s="71" t="s">
        <v>25</v>
      </c>
      <c r="J7" s="72"/>
    </row>
    <row r="8" spans="1:10" ht="39.950000000000003" customHeight="1">
      <c r="A8" s="10"/>
      <c r="B8" s="75" t="s">
        <v>180</v>
      </c>
      <c r="C8" s="76"/>
      <c r="D8" s="7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50000000000003" customHeight="1">
      <c r="A9" s="10"/>
      <c r="B9" s="77" t="s">
        <v>181</v>
      </c>
      <c r="C9" s="78"/>
      <c r="D9" s="78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50000000000003" customHeight="1">
      <c r="A10" s="10"/>
      <c r="B10" s="77" t="s">
        <v>182</v>
      </c>
      <c r="C10" s="78"/>
      <c r="D10" s="78"/>
      <c r="E10" s="9">
        <v>5</v>
      </c>
      <c r="F10" s="26">
        <v>4</v>
      </c>
      <c r="G10" s="30">
        <f t="shared" ref="G10:G20" si="0">IFERROR(F10/E10,"")</f>
        <v>0.8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50000000000003" customHeight="1">
      <c r="A11" s="10"/>
      <c r="B11" s="77" t="s">
        <v>183</v>
      </c>
      <c r="C11" s="78"/>
      <c r="D11" s="78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4"/>
      <c r="J11" s="45"/>
    </row>
    <row r="12" spans="1:10" ht="39.950000000000003" customHeight="1">
      <c r="A12" s="10"/>
      <c r="B12" s="77" t="s">
        <v>184</v>
      </c>
      <c r="C12" s="78"/>
      <c r="D12" s="78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4"/>
      <c r="J12" s="45"/>
    </row>
    <row r="13" spans="1:10" ht="39.950000000000003" customHeight="1">
      <c r="A13" s="10"/>
      <c r="B13" s="77" t="s">
        <v>185</v>
      </c>
      <c r="C13" s="78"/>
      <c r="D13" s="78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4"/>
      <c r="J13" s="45"/>
    </row>
    <row r="14" spans="1:10" ht="39.950000000000003" customHeight="1">
      <c r="A14" s="10"/>
      <c r="B14" s="77" t="s">
        <v>186</v>
      </c>
      <c r="C14" s="78"/>
      <c r="D14" s="78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4"/>
      <c r="J14" s="45"/>
    </row>
    <row r="15" spans="1:10" ht="39.950000000000003" customHeight="1">
      <c r="A15" s="10"/>
      <c r="B15" s="77" t="s">
        <v>187</v>
      </c>
      <c r="C15" s="78"/>
      <c r="D15" s="78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50000000000003" customHeight="1">
      <c r="A16" s="10"/>
      <c r="B16" s="77" t="s">
        <v>188</v>
      </c>
      <c r="C16" s="78"/>
      <c r="D16" s="78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4"/>
      <c r="J16" s="45"/>
    </row>
    <row r="17" spans="1:10" ht="39.950000000000003" customHeight="1">
      <c r="A17" s="10"/>
      <c r="B17" s="77" t="s">
        <v>189</v>
      </c>
      <c r="C17" s="78"/>
      <c r="D17" s="78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4"/>
      <c r="J17" s="45"/>
    </row>
    <row r="18" spans="1:10" ht="39.950000000000003" customHeight="1">
      <c r="A18" s="10"/>
      <c r="B18" s="77" t="s">
        <v>190</v>
      </c>
      <c r="C18" s="78"/>
      <c r="D18" s="78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4"/>
      <c r="J18" s="45"/>
    </row>
    <row r="19" spans="1:10" ht="39.950000000000003" customHeight="1">
      <c r="A19" s="10"/>
      <c r="B19" s="77" t="s">
        <v>191</v>
      </c>
      <c r="C19" s="78"/>
      <c r="D19" s="78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4"/>
      <c r="J19" s="45"/>
    </row>
    <row r="20" spans="1:10" ht="63.75" customHeight="1" thickBot="1">
      <c r="A20" s="10"/>
      <c r="B20" s="81" t="s">
        <v>192</v>
      </c>
      <c r="C20" s="82"/>
      <c r="D20" s="82"/>
      <c r="E20" s="36">
        <v>5</v>
      </c>
      <c r="F20" s="27">
        <v>3.5</v>
      </c>
      <c r="G20" s="37">
        <f t="shared" si="0"/>
        <v>0.7</v>
      </c>
      <c r="H20" s="38" t="str">
        <f t="shared" si="1"/>
        <v>جيد</v>
      </c>
      <c r="I20" s="79"/>
      <c r="J20" s="80"/>
    </row>
    <row r="21" spans="1:10" ht="30" customHeight="1" thickBot="1">
      <c r="A21" s="4"/>
      <c r="B21" s="54" t="s">
        <v>5</v>
      </c>
      <c r="C21" s="55"/>
      <c r="D21" s="55"/>
      <c r="E21" s="29">
        <f>SUM(E8:E20)</f>
        <v>65</v>
      </c>
      <c r="F21" s="29">
        <f>SUM(F8:F20)</f>
        <v>47.75</v>
      </c>
      <c r="G21" s="41"/>
      <c r="H21" s="42"/>
      <c r="I21" s="42"/>
      <c r="J21" s="43"/>
    </row>
    <row r="22" spans="1:10" ht="30" customHeight="1" thickBot="1">
      <c r="A22" s="4"/>
      <c r="B22" s="56" t="s">
        <v>54</v>
      </c>
      <c r="C22" s="57"/>
      <c r="D22" s="57"/>
      <c r="E22" s="52">
        <f>F21/E21/100*100</f>
        <v>0.73461538461538467</v>
      </c>
      <c r="F22" s="52"/>
      <c r="G22" s="52"/>
      <c r="H22" s="52"/>
      <c r="I22" s="52"/>
      <c r="J22" s="53"/>
    </row>
    <row r="23" spans="1:10" ht="30" customHeight="1" thickBot="1">
      <c r="A23" s="4"/>
      <c r="B23" s="56" t="s">
        <v>55</v>
      </c>
      <c r="C23" s="57"/>
      <c r="D23" s="57"/>
      <c r="E23" s="50" t="str">
        <f>_xlfn.IFS(E22&gt;=90%,"ممتاز",E22&gt;=80%,"جيد جداً",E22&gt;=70%,"جيد",E22&gt;=60%,"مقبول",E22&lt;60%,"راسب")</f>
        <v>جيد</v>
      </c>
      <c r="F23" s="50"/>
      <c r="G23" s="50"/>
      <c r="H23" s="50"/>
      <c r="I23" s="50"/>
      <c r="J23" s="51"/>
    </row>
    <row r="24" spans="1:10" ht="42" customHeight="1">
      <c r="B24" s="46" t="s">
        <v>174</v>
      </c>
      <c r="C24" s="46"/>
      <c r="D24" s="46"/>
      <c r="E24" s="39" t="s">
        <v>52</v>
      </c>
      <c r="F24" s="39"/>
      <c r="G24" s="48" t="s">
        <v>123</v>
      </c>
      <c r="H24" s="48"/>
      <c r="I24" s="48"/>
      <c r="J24" s="48"/>
    </row>
    <row r="25" spans="1:10" ht="51" customHeight="1">
      <c r="A25" s="5"/>
      <c r="B25" s="47"/>
      <c r="C25" s="47"/>
      <c r="D25" s="47"/>
      <c r="E25" s="40" t="s">
        <v>53</v>
      </c>
      <c r="F25" s="40"/>
      <c r="G25" s="49"/>
      <c r="H25" s="49"/>
      <c r="I25" s="49"/>
      <c r="J25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2025-10-20T15:45:10Z</dcterms:modified>
</cp:coreProperties>
</file>