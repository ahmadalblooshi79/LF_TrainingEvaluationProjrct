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codeName="ThisWorkbook"/>
  <xr:revisionPtr revIDLastSave="0" documentId="13_ncr:1_{BA63F648-4222-4ABD-A6BF-E05EA9834F26}" xr6:coauthVersionLast="47" xr6:coauthVersionMax="47" xr10:uidLastSave="{00000000-0000-0000-0000-000000000000}"/>
  <bookViews>
    <workbookView xWindow="-120" yWindow="-120" windowWidth="29040" windowHeight="15720" xr2:uid="{00000000-000D-0000-FFFF-FFFF0000000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التقييم'!$A$1:$J$35</definedName>
    <definedName name="_xlnm.Print_Titles" localSheetId="0">'قائمة التقييم'!$7:$7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 i="2" l="1"/>
  <c r="H9" i="2" s="1"/>
  <c r="G10" i="2" l="1"/>
  <c r="H10" i="2" s="1"/>
  <c r="G11" i="2"/>
  <c r="H11" i="2" s="1"/>
  <c r="G12" i="2"/>
  <c r="H12" i="2" s="1"/>
  <c r="G13" i="2"/>
  <c r="H13" i="2" s="1"/>
  <c r="G14" i="2"/>
  <c r="H14" i="2" s="1"/>
  <c r="G15" i="2"/>
  <c r="H15" i="2" s="1"/>
  <c r="G16" i="2"/>
  <c r="H16" i="2" s="1"/>
  <c r="G17" i="2"/>
  <c r="H17" i="2" s="1"/>
  <c r="G18" i="2"/>
  <c r="H18" i="2" s="1"/>
  <c r="G19" i="2"/>
  <c r="H19" i="2" s="1"/>
  <c r="G20" i="2"/>
  <c r="H20" i="2" s="1"/>
  <c r="G21" i="2"/>
  <c r="H21" i="2" s="1"/>
  <c r="G22" i="2"/>
  <c r="H22" i="2" s="1"/>
  <c r="G23" i="2"/>
  <c r="H23" i="2" s="1"/>
  <c r="G24" i="2"/>
  <c r="H24" i="2" s="1"/>
  <c r="G25" i="2"/>
  <c r="H25" i="2" s="1"/>
  <c r="G26" i="2"/>
  <c r="H26" i="2" s="1"/>
  <c r="G28" i="2"/>
  <c r="H28" i="2" s="1"/>
  <c r="G29" i="2"/>
  <c r="H29" i="2" s="1"/>
  <c r="G30" i="2"/>
  <c r="H30" i="2" s="1"/>
  <c r="G8" i="2" l="1"/>
  <c r="H8" i="2" s="1"/>
  <c r="F31" i="2" l="1"/>
  <c r="E31" i="2" l="1"/>
  <c r="E32" i="2" l="1"/>
  <c r="E33" i="2" s="1"/>
</calcChain>
</file>

<file path=xl/sharedStrings.xml><?xml version="1.0" encoding="utf-8"?>
<sst xmlns="http://schemas.openxmlformats.org/spreadsheetml/2006/main" count="74" uniqueCount="52">
  <si>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</si>
  <si>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</si>
  <si>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</si>
  <si>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</si>
  <si>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</si>
  <si>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</si>
  <si>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</si>
  <si>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</si>
  <si>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</si>
  <si>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</si>
  <si>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</si>
  <si>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</si>
  <si>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</si>
  <si>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</si>
  <si>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</si>
  <si>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</si>
  <si>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</si>
  <si>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</si>
  <si>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</si>
  <si>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</si>
  <si>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</si>
  <si>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</si>
  <si>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</si>
  <si>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</si>
  <si>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</si>
  <si>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</si>
  <si>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</si>
  <si>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</si>
  <si>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التنسيق مع قيادة مجموعة اللواء بدفع دورية استطلاع كيميائي اشعاعي مع وحدات الاستطلاع الأخرى لكل مرحلة من مراحل الهجوم لتأمين خط البدء.</t>
  </si>
  <si>
    <t xml:space="preserve">ب. انتخاب مواقع ثابتة لدورية الاستطلاع الكيميائي الاشعاعي أثناء مرحلتي الاقتحام وتطهير الأهداف للتمكن من القيام بالمراقبة والكشف. </t>
  </si>
  <si>
    <t>جـ. اعطاء إنذار مبكر فور الكشف عن أي تلوث كيميائي إشعاعي نووي.</t>
  </si>
  <si>
    <t>1.    تحرك قيادة سرية الدفاع الكيميائي مع حركة قيادة مجموعة اللـواء ، ليتمكن قائد السرية الإلمام بالموقف.</t>
  </si>
  <si>
    <t>2.    إلمام قائد السرية بالموقف.</t>
  </si>
  <si>
    <t xml:space="preserve">3.    توزيع دوريات الاستطلاع الكيميائي البيولوجي الاشعاعي النووي على رتل التحرك بجانب أو مع قوة المناورة وحسب اتجاه الريح </t>
  </si>
  <si>
    <t xml:space="preserve">4.    استعداد الدوريات لإيجاد ممرات وطرق نظيفة وآمنة حولها ، عند استخدام العدو لأسلحة التدمير الشامل. </t>
  </si>
  <si>
    <t>5.    تحرك دورية القيادة لتأمين قيادة مجموعة اللواء.</t>
  </si>
  <si>
    <t>6.    دفع دورية الاستطلاع الكيميائي/1 الإشعاعي للأمام للالتحاق بعناصر الاستطلاع الأمامية أو ضمن مقدمة الحرس.</t>
  </si>
  <si>
    <t>7.    دفع دورية الاستطلاع الكيميائي الإشعاعي/2 بموقع مناسب لتأمين الجسم الرئيس.</t>
  </si>
  <si>
    <t>8.    تحرك دورية الإستطلاع البيولوجي مع الآليات الإدارية التابعة لمجموعة اللواء.</t>
  </si>
  <si>
    <t>9.    إبلاغ قائد فصيل الاستطلاع قائد السرية بالموقف والمعلومات التخصصية بصفة مستمرة.</t>
  </si>
  <si>
    <r>
      <t>10.</t>
    </r>
    <r>
      <rPr>
        <sz val="7"/>
        <color rgb="FF000000"/>
        <rFont val="Arial"/>
        <family val="2"/>
      </rPr>
      <t xml:space="preserve">        </t>
    </r>
    <r>
      <rPr>
        <sz val="12"/>
        <color rgb="FF000000"/>
        <rFont val="Arial"/>
        <family val="2"/>
      </rPr>
      <t>قيام قائد وحدة الاستطلاع عند الاصطدام بموقع دفاعي بوضع مدرعات الاستطلاع في مواقع توفر التخفية (البدن مخفي) ثم الرد على رماية العدو مع إبلاغ قائد السرية فوراً.</t>
    </r>
  </si>
  <si>
    <r>
      <t>11.</t>
    </r>
    <r>
      <rPr>
        <sz val="7"/>
        <color rgb="FF000000"/>
        <rFont val="Arial"/>
        <family val="2"/>
      </rPr>
      <t xml:space="preserve">        </t>
    </r>
    <r>
      <rPr>
        <sz val="12"/>
        <color rgb="FF000000"/>
        <rFont val="Arial"/>
        <family val="2"/>
      </rPr>
      <t>انتخاب مواقع مراقبة تمكن طاقم الدورية من تقديم الإنذار المبكر عند استخدام العدو لأسلحة التدمير الشامل فور حدوثه.</t>
    </r>
  </si>
  <si>
    <r>
      <t>12.</t>
    </r>
    <r>
      <rPr>
        <sz val="7"/>
        <color rgb="FF000000"/>
        <rFont val="Arial"/>
        <family val="2"/>
      </rPr>
      <t xml:space="preserve">        </t>
    </r>
    <r>
      <rPr>
        <sz val="12"/>
        <color rgb="FF000000"/>
        <rFont val="Arial"/>
        <family val="2"/>
      </rPr>
      <t>استطلاع محاور التقدم بالتنسيق مع استطلاع مجموعة اللواء للتأكد من خلوها من مخاطر أسلحة التدمير الشامل وذلك بتواجدها في الأمام بقدر الإمكان.</t>
    </r>
  </si>
  <si>
    <r>
      <t>13.</t>
    </r>
    <r>
      <rPr>
        <sz val="7"/>
        <color rgb="FF000000"/>
        <rFont val="Arial"/>
        <family val="2"/>
      </rPr>
      <t xml:space="preserve">        </t>
    </r>
    <r>
      <rPr>
        <sz val="12"/>
        <color rgb="FF000000"/>
        <rFont val="Arial"/>
        <family val="2"/>
      </rPr>
      <t>انتخاب ممرات تقدم غير ملوثة لتستخدمها الوحدات التعبوية وذلك في حالة استخدام العدو أسلحة التدمير الشامل.</t>
    </r>
  </si>
  <si>
    <r>
      <t>14.</t>
    </r>
    <r>
      <rPr>
        <sz val="7"/>
        <color rgb="FF000000"/>
        <rFont val="Arial"/>
        <family val="2"/>
      </rPr>
      <t xml:space="preserve">        </t>
    </r>
    <r>
      <rPr>
        <sz val="12"/>
        <color rgb="FF000000"/>
        <rFont val="Arial"/>
        <family val="2"/>
      </rPr>
      <t>دراسة اتجاه الرياح عند توزيع الدوريات على رتل التحرك بحيث تتحرك بجانب أو مع قوة المناورة وحسب إتجاه الرياح</t>
    </r>
    <r>
      <rPr>
        <b/>
        <sz val="12"/>
        <color rgb="FF000000"/>
        <rFont val="Arial"/>
        <family val="2"/>
      </rPr>
      <t>.</t>
    </r>
  </si>
  <si>
    <r>
      <t>15.</t>
    </r>
    <r>
      <rPr>
        <sz val="7"/>
        <color rgb="FF000000"/>
        <rFont val="Arial"/>
        <family val="2"/>
      </rPr>
      <t xml:space="preserve">        </t>
    </r>
    <r>
      <rPr>
        <sz val="12"/>
        <color rgb="FF000000"/>
        <rFont val="Arial"/>
        <family val="2"/>
      </rPr>
      <t>تحديد مناطق التطهير على طول طرق التقدم للقوات الصديقة لإدامة عمليات التطهير. كما يجب أن يكون فصيل التطهير مستعدا للقيام بعمليات التطهير العملياتي وحسب الضرورة للمحافظة على الزخم، أما التطهير الكلي ينفذ بعد تنفيذ المهمة.</t>
    </r>
  </si>
  <si>
    <r>
      <t>16.</t>
    </r>
    <r>
      <rPr>
        <sz val="7"/>
        <color rgb="FF000000"/>
        <rFont val="Arial"/>
        <family val="2"/>
      </rPr>
      <t xml:space="preserve">        </t>
    </r>
    <r>
      <rPr>
        <sz val="12"/>
        <color rgb="FF000000"/>
        <rFont val="Arial"/>
        <family val="2"/>
      </rPr>
      <t>استعداد وحدات التطهير للقيام بعمليات التطهير العملياتي وحسب الضرورة للمحافظة على الزخم.</t>
    </r>
  </si>
  <si>
    <r>
      <t>17.</t>
    </r>
    <r>
      <rPr>
        <sz val="7"/>
        <color rgb="FF000000"/>
        <rFont val="Arial"/>
        <family val="2"/>
      </rPr>
      <t xml:space="preserve">        </t>
    </r>
    <r>
      <rPr>
        <sz val="12"/>
        <color rgb="FF000000"/>
        <rFont val="Arial"/>
        <family val="2"/>
      </rPr>
      <t>انتخاب مواقع ثابتة لدوريات الاستطلاع الكيميائي أثناء مرحلتي الاقتحام وتطهير الأهداف وذلك للقيام بالمراقبة والكشف من خلاله.</t>
    </r>
  </si>
  <si>
    <r>
      <t>18.</t>
    </r>
    <r>
      <rPr>
        <sz val="7"/>
        <color rgb="FF000000"/>
        <rFont val="Arial"/>
        <family val="2"/>
      </rPr>
      <t xml:space="preserve">        </t>
    </r>
    <r>
      <rPr>
        <sz val="12"/>
        <color rgb="FF000000"/>
        <rFont val="Arial"/>
        <family val="2"/>
      </rPr>
      <t>الاستطلاع الكيميائي المستمر للأمام وللأجنحة وبالتالي الإنذار المبكر لكل القوة حال الكشف عن أي تلوث كيميائي بيولوجي إشعاعي نووي.</t>
    </r>
  </si>
  <si>
    <r>
      <t>19.</t>
    </r>
    <r>
      <rPr>
        <sz val="7"/>
        <color rgb="FF000000"/>
        <rFont val="Arial"/>
        <family val="2"/>
      </rPr>
      <t xml:space="preserve">        </t>
    </r>
    <r>
      <rPr>
        <sz val="12"/>
        <color rgb="FF000000"/>
        <rFont val="Arial"/>
        <family val="2"/>
      </rPr>
      <t>يقوم قائد سرية لدفاع الكيميائي مع قائد فصيل التطهير عند تحضير خطة التأمين الكيميائي بتقييم عمليات التطهير المطلوبة وأفضل الطرق لتنفيذها.</t>
    </r>
  </si>
  <si>
    <r>
      <t>20.</t>
    </r>
    <r>
      <rPr>
        <sz val="7"/>
        <color rgb="FF000000"/>
        <rFont val="Arial"/>
        <family val="2"/>
      </rPr>
      <t xml:space="preserve">        </t>
    </r>
    <r>
      <rPr>
        <sz val="12"/>
        <color rgb="FF000000"/>
        <rFont val="Arial"/>
        <family val="2"/>
      </rPr>
      <t>العمل عند خط البدء واقتحام وتطهير الأهداف كما يلي:</t>
    </r>
  </si>
  <si>
    <t>تقييم سرية الدفاع الكيميائي في إسناد الهجوم (المدبر)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</si>
</sst>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9"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2"/>
      <color rgb="FF000000"/>
      <name val="Arial"/>
      <family val="2"/>
    </font>
    <font>
      <sz val="7"/>
      <color rgb="FF000000"/>
      <name val="Arial"/>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18">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50">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2" xfId="0" applyFont="1" applyBorder="1" applyAlignment="1">
      <alignment horizontal="center" vertical="center" wrapText="1" readingOrder="2"/>
    </xf>
    <xf numFmtId="0" fontId="2" fillId="0" borderId="7"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5" fillId="3" borderId="10"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2" xfId="0" applyFont="1" applyBorder="1" applyAlignment="1" applyProtection="1">
      <alignment horizontal="center" vertical="center" wrapText="1" readingOrder="2"/>
      <protection locked="0"/>
    </xf>
    <xf numFmtId="0" fontId="5" fillId="3" borderId="16" xfId="0" applyFont="1" applyFill="1" applyBorder="1" applyAlignment="1" applyProtection="1">
      <alignment horizontal="center" vertical="center" wrapText="1" readingOrder="2"/>
      <protection locked="0"/>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0" fontId="6" fillId="3" borderId="15" xfId="0" applyFont="1" applyFill="1" applyBorder="1" applyAlignment="1" applyProtection="1">
      <alignment horizontal="center" vertical="center" wrapText="1" readingOrder="2"/>
      <protection locked="0"/>
    </xf>
    <xf numFmtId="0" fontId="6" fillId="3" borderId="16" xfId="0" applyFont="1" applyFill="1" applyBorder="1" applyAlignment="1" applyProtection="1">
      <alignment horizontal="center" vertical="center" wrapText="1" readingOrder="2"/>
      <protection locked="0"/>
    </xf>
    <xf numFmtId="0" fontId="3" fillId="0" borderId="2" xfId="0" applyFont="1" applyBorder="1" applyAlignment="1" applyProtection="1">
      <alignment horizontal="center"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0" xfId="0" applyFont="1" applyFill="1" applyBorder="1" applyAlignment="1" applyProtection="1">
      <alignment horizontal="center"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16" xfId="0" applyFont="1" applyFill="1" applyBorder="1" applyAlignment="1" applyProtection="1">
      <alignment horizontal="center" vertical="center" wrapText="1" readingOrder="2"/>
      <protection locked="0"/>
    </xf>
    <xf numFmtId="0" fontId="5" fillId="3" borderId="17" xfId="0" applyFont="1" applyFill="1" applyBorder="1" applyAlignment="1" applyProtection="1">
      <alignment horizontal="center" vertical="center" wrapText="1" readingOrder="2"/>
      <protection locked="0"/>
    </xf>
    <xf numFmtId="49" fontId="4" fillId="0" borderId="0" xfId="0" applyNumberFormat="1" applyFont="1" applyAlignment="1" applyProtection="1">
      <alignment horizontal="center" vertical="center" wrapText="1" readingOrder="2"/>
      <protection locked="0"/>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9" xfId="0" applyFont="1" applyFill="1" applyBorder="1" applyAlignment="1" applyProtection="1">
      <alignment horizontal="center" vertical="center" wrapText="1" readingOrder="2"/>
      <protection locked="0"/>
    </xf>
    <xf numFmtId="0" fontId="6" fillId="3" borderId="10"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0" fontId="5" fillId="0" borderId="0" xfId="0" applyFont="1" applyAlignment="1" applyProtection="1">
      <alignment horizontal="left" vertical="center" wrapText="1" readingOrder="2"/>
      <protection locked="0"/>
    </xf>
    <xf numFmtId="0" fontId="2" fillId="0" borderId="12" xfId="0" applyFont="1" applyBorder="1" applyAlignment="1">
      <alignment horizontal="center" vertical="center" wrapText="1" readingOrder="2"/>
    </xf>
    <xf numFmtId="0" fontId="2" fillId="0" borderId="13" xfId="0" applyFont="1" applyBorder="1" applyAlignment="1">
      <alignment horizontal="center" vertical="center" wrapText="1" readingOrder="2"/>
    </xf>
    <xf numFmtId="0" fontId="2" fillId="0" borderId="14" xfId="0" applyFont="1" applyBorder="1" applyAlignment="1">
      <alignment horizontal="center" vertical="center" wrapText="1" readingOrder="2"/>
    </xf>
    <xf numFmtId="10" fontId="2" fillId="0" borderId="7" xfId="0" applyNumberFormat="1" applyFont="1" applyBorder="1" applyAlignment="1">
      <alignment horizontal="center" vertical="center" wrapText="1" readingOrder="2"/>
    </xf>
    <xf numFmtId="10" fontId="2" fillId="0" borderId="8" xfId="0" applyNumberFormat="1" applyFont="1" applyBorder="1" applyAlignment="1">
      <alignment horizontal="center" vertical="center" wrapText="1" readingOrder="2"/>
    </xf>
    <xf numFmtId="0" fontId="5" fillId="0" borderId="0" xfId="0" applyFont="1" applyBorder="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7" xfId="0" applyFont="1" applyBorder="1" applyAlignment="1">
      <alignment horizontal="center" vertical="center" wrapText="1" readingOrder="1"/>
    </xf>
    <xf numFmtId="0" fontId="2" fillId="0" borderId="8" xfId="0" applyFont="1" applyBorder="1" applyAlignment="1">
      <alignment horizontal="center" vertical="center" wrapText="1" readingOrder="1"/>
    </xf>
    <xf numFmtId="0" fontId="7" fillId="0" borderId="2" xfId="0" applyFont="1" applyBorder="1" applyAlignment="1">
      <alignment horizontal="right" vertical="center" wrapText="1" readingOrder="2"/>
    </xf>
    <xf numFmtId="0" fontId="5" fillId="0" borderId="1" xfId="0" applyFont="1" applyBorder="1" applyAlignment="1" applyProtection="1">
      <alignment horizontal="left"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5" fillId="3" borderId="6" xfId="0" applyFont="1" applyFill="1" applyBorder="1" applyAlignment="1" applyProtection="1">
      <alignment horizontal="center" vertical="center" wrapText="1" readingOrder="2"/>
      <protection locked="0"/>
    </xf>
    <xf numFmtId="0" fontId="5" fillId="3" borderId="7" xfId="0" applyFont="1" applyFill="1" applyBorder="1" applyAlignment="1" applyProtection="1">
      <alignment horizontal="center" vertical="center" wrapText="1" readingOrder="2"/>
      <protection locked="0"/>
    </xf>
    <xf numFmtId="0" fontId="7" fillId="0" borderId="2" xfId="0" applyFont="1" applyBorder="1" applyAlignment="1">
      <alignment horizontal="right" vertical="center" wrapText="1" indent="2" readingOrder="2"/>
    </xf>
  </cellXfs>
  <cellStyles count="1">
    <cellStyle name="Normal" xfId="0" builtinId="0"/>
  </cellStyles>
  <dxfs count="24">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35"/>
  <sheetViews>
    <sheetView rightToLeft="1" tabSelected="1" view="pageBreakPreview" topLeftCell="A28" zoomScale="130" zoomScaleNormal="100" zoomScaleSheetLayoutView="130" workbookViewId="0">
      <selection activeCell="B1" sqref="B1:J1"/>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2" customWidth="1"/>
    <col min="9" max="9" width="9.28515625" style="1" customWidth="1"/>
    <col min="10" max="10" width="15.42578125" style="1" customWidth="1"/>
    <col min="11" max="16384" width="9" style="1"/>
  </cols>
  <sheetData>
    <row r="1" spans="1:10" ht="45" customHeight="1" x14ac:dyDescent="0.25">
      <c r="B1" s="26" t="s">
        <v>51</v>
      </c>
      <c r="C1" s="26"/>
      <c r="D1" s="26"/>
      <c r="E1" s="26"/>
      <c r="F1" s="26"/>
      <c r="G1" s="26"/>
      <c r="H1" s="26"/>
      <c r="I1" s="26"/>
      <c r="J1" s="26"/>
    </row>
    <row r="2" spans="1:10" ht="30" customHeight="1" x14ac:dyDescent="0.25">
      <c r="B2" s="12" t="s">
        <v>8</v>
      </c>
      <c r="C2" s="32" t="s">
        <v>23</v>
      </c>
      <c r="D2" s="32"/>
      <c r="E2" s="12" t="s">
        <v>7</v>
      </c>
      <c r="F2" s="27" t="s">
        <v>22</v>
      </c>
      <c r="G2" s="27"/>
      <c r="H2" s="27"/>
      <c r="I2" s="27"/>
      <c r="J2" s="27"/>
    </row>
    <row r="3" spans="1:10" ht="30" customHeight="1" x14ac:dyDescent="0.25">
      <c r="B3" s="12" t="s">
        <v>9</v>
      </c>
      <c r="C3" s="32" t="s">
        <v>25</v>
      </c>
      <c r="D3" s="32"/>
      <c r="E3" s="12" t="s">
        <v>6</v>
      </c>
      <c r="F3" s="32" t="s">
        <v>24</v>
      </c>
      <c r="G3" s="32"/>
      <c r="H3" s="32"/>
      <c r="I3" s="32"/>
      <c r="J3" s="32"/>
    </row>
    <row r="4" spans="1:10" ht="30" customHeight="1" thickBot="1" x14ac:dyDescent="0.3">
      <c r="B4" s="5"/>
      <c r="C4" s="6"/>
      <c r="D4" s="6"/>
      <c r="E4" s="5"/>
      <c r="F4" s="6"/>
      <c r="G4" s="6"/>
      <c r="H4" s="7"/>
      <c r="I4" s="6"/>
      <c r="J4" s="6"/>
    </row>
    <row r="5" spans="1:10" ht="24.95" customHeight="1" x14ac:dyDescent="0.25">
      <c r="A5" s="10"/>
      <c r="B5" s="28" t="s">
        <v>0</v>
      </c>
      <c r="C5" s="29"/>
      <c r="D5" s="29"/>
      <c r="E5" s="20" t="s">
        <v>1</v>
      </c>
      <c r="F5" s="20"/>
      <c r="G5" s="20"/>
      <c r="H5" s="20"/>
      <c r="I5" s="20" t="s">
        <v>2</v>
      </c>
      <c r="J5" s="21"/>
    </row>
    <row r="6" spans="1:10" ht="24.95" customHeight="1" thickBot="1" x14ac:dyDescent="0.3">
      <c r="A6" s="10"/>
      <c r="B6" s="30"/>
      <c r="C6" s="31"/>
      <c r="D6" s="31"/>
      <c r="E6" s="11" t="s">
        <v>3</v>
      </c>
      <c r="F6" s="11" t="s">
        <v>4</v>
      </c>
      <c r="G6" s="11" t="s">
        <v>15</v>
      </c>
      <c r="H6" s="11" t="s">
        <v>16</v>
      </c>
      <c r="I6" s="22"/>
      <c r="J6" s="23"/>
    </row>
    <row r="7" spans="1:10" ht="24.95" customHeight="1" x14ac:dyDescent="0.25">
      <c r="A7" s="10"/>
      <c r="B7" s="17" t="s">
        <v>13</v>
      </c>
      <c r="C7" s="18"/>
      <c r="D7" s="18"/>
      <c r="E7" s="14" t="s">
        <v>10</v>
      </c>
      <c r="F7" s="14" t="s">
        <v>11</v>
      </c>
      <c r="G7" s="14" t="s">
        <v>14</v>
      </c>
      <c r="H7" s="14" t="s">
        <v>12</v>
      </c>
      <c r="I7" s="24" t="s">
        <v>17</v>
      </c>
      <c r="J7" s="25"/>
    </row>
    <row r="8" spans="1:10" ht="39.950000000000003" customHeight="1" x14ac:dyDescent="0.25">
      <c r="A8" s="10"/>
      <c r="B8" s="43" t="s">
        <v>31</v>
      </c>
      <c r="C8" s="43"/>
      <c r="D8" s="43"/>
      <c r="E8" s="8">
        <v>5</v>
      </c>
      <c r="F8" s="13" t="s">
        <v>26</v>
      </c>
      <c r="G8" s="15" t="str">
        <f>IFERROR(F8/E8,"")</f>
        <v/>
      </c>
      <c r="H8" s="16" t="str">
        <f>_xlfn.IFS(F8="أدخل العلامة","",F8="لا ينطبق","تم الإلغاء",G8&gt;=90%,"ممتاز",G8&gt;=80%,"جيد جداً",G8&gt;=70%,"جيد",G8&gt;=60%,"مقبول",G8&lt;60%,"راسب")</f>
        <v/>
      </c>
      <c r="I8" s="19"/>
      <c r="J8" s="19"/>
    </row>
    <row r="9" spans="1:10" ht="39.950000000000003" customHeight="1" x14ac:dyDescent="0.25">
      <c r="A9" s="10"/>
      <c r="B9" s="43" t="s">
        <v>32</v>
      </c>
      <c r="C9" s="43"/>
      <c r="D9" s="43"/>
      <c r="E9" s="8">
        <v>5</v>
      </c>
      <c r="F9" s="13" t="s">
        <v>26</v>
      </c>
      <c r="G9" s="15" t="str">
        <f>IFERROR(F9/E9,"")</f>
        <v/>
      </c>
      <c r="H9" s="16" t="str">
        <f>_xlfn.IFS(F9="أدخل العلامة","",F9="لا ينطبق","تم الإلغاء",G9&gt;=90%,"ممتاز",G9&gt;=80%,"جيد جداً",G9&gt;=70%,"جيد",G9&gt;=60%,"مقبول",G9&lt;60%,"راسب")</f>
        <v/>
      </c>
      <c r="I9" s="19"/>
      <c r="J9" s="19"/>
    </row>
    <row r="10" spans="1:10" ht="51" customHeight="1" x14ac:dyDescent="0.25">
      <c r="A10" s="10"/>
      <c r="B10" s="43" t="s">
        <v>33</v>
      </c>
      <c r="C10" s="43"/>
      <c r="D10" s="43"/>
      <c r="E10" s="8">
        <v>5</v>
      </c>
      <c r="F10" s="13" t="s">
        <v>26</v>
      </c>
      <c r="G10" s="15" t="str">
        <f t="shared" ref="G10:G30" si="0">IFERROR(F10/E10,"")</f>
        <v/>
      </c>
      <c r="H10" s="16" t="str">
        <f t="shared" ref="H10:H30" si="1">_xlfn.IFS(F10="أدخل العلامة","",F10="لا ينطبق","تم الإلغاء",G10&gt;=90%,"ممتاز",G10&gt;=80%,"جيد جداً",G10&gt;=70%,"جيد",G10&gt;=60%,"مقبول",G10&lt;60%,"راسب")</f>
        <v/>
      </c>
      <c r="I10" s="19"/>
      <c r="J10" s="19"/>
    </row>
    <row r="11" spans="1:10" ht="39.950000000000003" customHeight="1" x14ac:dyDescent="0.25">
      <c r="A11" s="10"/>
      <c r="B11" s="43" t="s">
        <v>34</v>
      </c>
      <c r="C11" s="43"/>
      <c r="D11" s="43"/>
      <c r="E11" s="8">
        <v>5</v>
      </c>
      <c r="F11" s="13" t="s">
        <v>26</v>
      </c>
      <c r="G11" s="15" t="str">
        <f t="shared" si="0"/>
        <v/>
      </c>
      <c r="H11" s="16" t="str">
        <f t="shared" si="1"/>
        <v/>
      </c>
      <c r="I11" s="19"/>
      <c r="J11" s="19"/>
    </row>
    <row r="12" spans="1:10" ht="39.950000000000003" customHeight="1" x14ac:dyDescent="0.25">
      <c r="A12" s="10"/>
      <c r="B12" s="43" t="s">
        <v>35</v>
      </c>
      <c r="C12" s="43"/>
      <c r="D12" s="43"/>
      <c r="E12" s="8">
        <v>5</v>
      </c>
      <c r="F12" s="13" t="s">
        <v>26</v>
      </c>
      <c r="G12" s="15" t="str">
        <f t="shared" si="0"/>
        <v/>
      </c>
      <c r="H12" s="16" t="str">
        <f t="shared" si="1"/>
        <v/>
      </c>
      <c r="I12" s="19"/>
      <c r="J12" s="19"/>
    </row>
    <row r="13" spans="1:10" ht="39.950000000000003" customHeight="1" x14ac:dyDescent="0.25">
      <c r="A13" s="10"/>
      <c r="B13" s="43" t="s">
        <v>36</v>
      </c>
      <c r="C13" s="43"/>
      <c r="D13" s="43"/>
      <c r="E13" s="8">
        <v>5</v>
      </c>
      <c r="F13" s="13" t="s">
        <v>26</v>
      </c>
      <c r="G13" s="15" t="str">
        <f t="shared" si="0"/>
        <v/>
      </c>
      <c r="H13" s="16" t="str">
        <f t="shared" si="1"/>
        <v/>
      </c>
      <c r="I13" s="19"/>
      <c r="J13" s="19"/>
    </row>
    <row r="14" spans="1:10" ht="39.950000000000003" customHeight="1" x14ac:dyDescent="0.25">
      <c r="A14" s="10"/>
      <c r="B14" s="43" t="s">
        <v>37</v>
      </c>
      <c r="C14" s="43"/>
      <c r="D14" s="43"/>
      <c r="E14" s="8">
        <v>5</v>
      </c>
      <c r="F14" s="13" t="s">
        <v>26</v>
      </c>
      <c r="G14" s="15" t="str">
        <f t="shared" si="0"/>
        <v/>
      </c>
      <c r="H14" s="16" t="str">
        <f t="shared" si="1"/>
        <v/>
      </c>
      <c r="I14" s="19"/>
      <c r="J14" s="19"/>
    </row>
    <row r="15" spans="1:10" ht="39.950000000000003" customHeight="1" x14ac:dyDescent="0.25">
      <c r="A15" s="10"/>
      <c r="B15" s="43" t="s">
        <v>38</v>
      </c>
      <c r="C15" s="43"/>
      <c r="D15" s="43"/>
      <c r="E15" s="8">
        <v>5</v>
      </c>
      <c r="F15" s="13" t="s">
        <v>26</v>
      </c>
      <c r="G15" s="15" t="str">
        <f t="shared" si="0"/>
        <v/>
      </c>
      <c r="H15" s="16" t="str">
        <f t="shared" si="1"/>
        <v/>
      </c>
      <c r="I15" s="19"/>
      <c r="J15" s="19"/>
    </row>
    <row r="16" spans="1:10" ht="39.950000000000003" customHeight="1" x14ac:dyDescent="0.25">
      <c r="A16" s="10"/>
      <c r="B16" s="43" t="s">
        <v>39</v>
      </c>
      <c r="C16" s="43"/>
      <c r="D16" s="43"/>
      <c r="E16" s="8">
        <v>5</v>
      </c>
      <c r="F16" s="13" t="s">
        <v>26</v>
      </c>
      <c r="G16" s="15" t="str">
        <f t="shared" si="0"/>
        <v/>
      </c>
      <c r="H16" s="16" t="str">
        <f t="shared" si="1"/>
        <v/>
      </c>
      <c r="I16" s="19"/>
      <c r="J16" s="19"/>
    </row>
    <row r="17" spans="1:10" ht="53.25" customHeight="1" x14ac:dyDescent="0.25">
      <c r="A17" s="10"/>
      <c r="B17" s="43" t="s">
        <v>40</v>
      </c>
      <c r="C17" s="43"/>
      <c r="D17" s="43"/>
      <c r="E17" s="8">
        <v>5</v>
      </c>
      <c r="F17" s="13" t="s">
        <v>26</v>
      </c>
      <c r="G17" s="15" t="str">
        <f t="shared" si="0"/>
        <v/>
      </c>
      <c r="H17" s="16" t="str">
        <f t="shared" si="1"/>
        <v/>
      </c>
      <c r="I17" s="19"/>
      <c r="J17" s="19"/>
    </row>
    <row r="18" spans="1:10" ht="39.950000000000003" customHeight="1" x14ac:dyDescent="0.25">
      <c r="A18" s="10"/>
      <c r="B18" s="43" t="s">
        <v>41</v>
      </c>
      <c r="C18" s="43"/>
      <c r="D18" s="43"/>
      <c r="E18" s="8">
        <v>5</v>
      </c>
      <c r="F18" s="13" t="s">
        <v>26</v>
      </c>
      <c r="G18" s="15" t="str">
        <f t="shared" si="0"/>
        <v/>
      </c>
      <c r="H18" s="16" t="str">
        <f t="shared" si="1"/>
        <v/>
      </c>
      <c r="I18" s="19"/>
      <c r="J18" s="19"/>
    </row>
    <row r="19" spans="1:10" ht="51" customHeight="1" x14ac:dyDescent="0.25">
      <c r="A19" s="10"/>
      <c r="B19" s="43" t="s">
        <v>42</v>
      </c>
      <c r="C19" s="43"/>
      <c r="D19" s="43"/>
      <c r="E19" s="8">
        <v>5</v>
      </c>
      <c r="F19" s="13" t="s">
        <v>26</v>
      </c>
      <c r="G19" s="15" t="str">
        <f t="shared" si="0"/>
        <v/>
      </c>
      <c r="H19" s="16" t="str">
        <f t="shared" si="1"/>
        <v/>
      </c>
      <c r="I19" s="19"/>
      <c r="J19" s="19"/>
    </row>
    <row r="20" spans="1:10" ht="39.950000000000003" customHeight="1" x14ac:dyDescent="0.25">
      <c r="A20" s="10"/>
      <c r="B20" s="43" t="s">
        <v>43</v>
      </c>
      <c r="C20" s="43"/>
      <c r="D20" s="43"/>
      <c r="E20" s="8">
        <v>5</v>
      </c>
      <c r="F20" s="13" t="s">
        <v>26</v>
      </c>
      <c r="G20" s="15" t="str">
        <f t="shared" si="0"/>
        <v/>
      </c>
      <c r="H20" s="16" t="str">
        <f t="shared" si="1"/>
        <v/>
      </c>
      <c r="I20" s="19"/>
      <c r="J20" s="19"/>
    </row>
    <row r="21" spans="1:10" ht="39.950000000000003" customHeight="1" x14ac:dyDescent="0.25">
      <c r="A21" s="10"/>
      <c r="B21" s="43" t="s">
        <v>44</v>
      </c>
      <c r="C21" s="43"/>
      <c r="D21" s="43"/>
      <c r="E21" s="8">
        <v>5</v>
      </c>
      <c r="F21" s="13" t="s">
        <v>26</v>
      </c>
      <c r="G21" s="15" t="str">
        <f t="shared" si="0"/>
        <v/>
      </c>
      <c r="H21" s="16" t="str">
        <f t="shared" si="1"/>
        <v/>
      </c>
      <c r="I21" s="19"/>
      <c r="J21" s="19"/>
    </row>
    <row r="22" spans="1:10" ht="66" customHeight="1" x14ac:dyDescent="0.25">
      <c r="A22" s="10"/>
      <c r="B22" s="43" t="s">
        <v>45</v>
      </c>
      <c r="C22" s="43"/>
      <c r="D22" s="43"/>
      <c r="E22" s="8">
        <v>5</v>
      </c>
      <c r="F22" s="13" t="s">
        <v>26</v>
      </c>
      <c r="G22" s="15" t="str">
        <f t="shared" si="0"/>
        <v/>
      </c>
      <c r="H22" s="16" t="str">
        <f t="shared" si="1"/>
        <v/>
      </c>
      <c r="I22" s="19"/>
      <c r="J22" s="19"/>
    </row>
    <row r="23" spans="1:10" ht="39.950000000000003" customHeight="1" x14ac:dyDescent="0.25">
      <c r="A23" s="10"/>
      <c r="B23" s="43" t="s">
        <v>46</v>
      </c>
      <c r="C23" s="43"/>
      <c r="D23" s="43"/>
      <c r="E23" s="8">
        <v>5</v>
      </c>
      <c r="F23" s="13" t="s">
        <v>26</v>
      </c>
      <c r="G23" s="15" t="str">
        <f t="shared" si="0"/>
        <v/>
      </c>
      <c r="H23" s="16" t="str">
        <f t="shared" si="1"/>
        <v/>
      </c>
      <c r="I23" s="19"/>
      <c r="J23" s="19"/>
    </row>
    <row r="24" spans="1:10" ht="39.950000000000003" customHeight="1" x14ac:dyDescent="0.25">
      <c r="A24" s="10"/>
      <c r="B24" s="43" t="s">
        <v>47</v>
      </c>
      <c r="C24" s="43"/>
      <c r="D24" s="43"/>
      <c r="E24" s="8">
        <v>5</v>
      </c>
      <c r="F24" s="13" t="s">
        <v>26</v>
      </c>
      <c r="G24" s="15" t="str">
        <f t="shared" si="0"/>
        <v/>
      </c>
      <c r="H24" s="16" t="str">
        <f t="shared" si="1"/>
        <v/>
      </c>
      <c r="I24" s="19"/>
      <c r="J24" s="19"/>
    </row>
    <row r="25" spans="1:10" ht="39.950000000000003" customHeight="1" x14ac:dyDescent="0.25">
      <c r="A25" s="10"/>
      <c r="B25" s="43" t="s">
        <v>48</v>
      </c>
      <c r="C25" s="43"/>
      <c r="D25" s="43"/>
      <c r="E25" s="8">
        <v>5</v>
      </c>
      <c r="F25" s="13" t="s">
        <v>26</v>
      </c>
      <c r="G25" s="15" t="str">
        <f t="shared" si="0"/>
        <v/>
      </c>
      <c r="H25" s="16" t="str">
        <f t="shared" si="1"/>
        <v/>
      </c>
      <c r="I25" s="19"/>
      <c r="J25" s="19"/>
    </row>
    <row r="26" spans="1:10" ht="51" customHeight="1" x14ac:dyDescent="0.25">
      <c r="A26" s="10"/>
      <c r="B26" s="43" t="s">
        <v>49</v>
      </c>
      <c r="C26" s="43"/>
      <c r="D26" s="43"/>
      <c r="E26" s="8">
        <v>5</v>
      </c>
      <c r="F26" s="13" t="s">
        <v>26</v>
      </c>
      <c r="G26" s="15" t="str">
        <f t="shared" si="0"/>
        <v/>
      </c>
      <c r="H26" s="16" t="str">
        <f t="shared" si="1"/>
        <v/>
      </c>
      <c r="I26" s="19"/>
      <c r="J26" s="19"/>
    </row>
    <row r="27" spans="1:10" ht="39.950000000000003" customHeight="1" x14ac:dyDescent="0.25">
      <c r="A27" s="10"/>
      <c r="B27" s="43" t="s">
        <v>50</v>
      </c>
      <c r="C27" s="43"/>
      <c r="D27" s="43"/>
      <c r="E27" s="8"/>
      <c r="F27" s="13"/>
      <c r="G27" s="15"/>
      <c r="H27" s="16"/>
      <c r="I27" s="19"/>
      <c r="J27" s="19"/>
    </row>
    <row r="28" spans="1:10" ht="52.5" customHeight="1" x14ac:dyDescent="0.25">
      <c r="A28" s="10"/>
      <c r="B28" s="49" t="s">
        <v>28</v>
      </c>
      <c r="C28" s="49"/>
      <c r="D28" s="49"/>
      <c r="E28" s="8">
        <v>5</v>
      </c>
      <c r="F28" s="13" t="s">
        <v>26</v>
      </c>
      <c r="G28" s="15" t="str">
        <f t="shared" si="0"/>
        <v/>
      </c>
      <c r="H28" s="16" t="str">
        <f t="shared" si="1"/>
        <v/>
      </c>
      <c r="I28" s="19"/>
      <c r="J28" s="19"/>
    </row>
    <row r="29" spans="1:10" ht="39.950000000000003" customHeight="1" x14ac:dyDescent="0.25">
      <c r="A29" s="10"/>
      <c r="B29" s="49" t="s">
        <v>29</v>
      </c>
      <c r="C29" s="49"/>
      <c r="D29" s="49"/>
      <c r="E29" s="8">
        <v>5</v>
      </c>
      <c r="F29" s="13" t="s">
        <v>26</v>
      </c>
      <c r="G29" s="15" t="str">
        <f t="shared" si="0"/>
        <v/>
      </c>
      <c r="H29" s="16" t="str">
        <f t="shared" si="1"/>
        <v/>
      </c>
      <c r="I29" s="19"/>
      <c r="J29" s="19"/>
    </row>
    <row r="30" spans="1:10" ht="39.950000000000003" customHeight="1" thickBot="1" x14ac:dyDescent="0.3">
      <c r="A30" s="10"/>
      <c r="B30" s="49" t="s">
        <v>30</v>
      </c>
      <c r="C30" s="49"/>
      <c r="D30" s="49"/>
      <c r="E30" s="8">
        <v>5</v>
      </c>
      <c r="F30" s="13" t="s">
        <v>26</v>
      </c>
      <c r="G30" s="15" t="str">
        <f t="shared" si="0"/>
        <v/>
      </c>
      <c r="H30" s="16" t="str">
        <f t="shared" si="1"/>
        <v/>
      </c>
      <c r="I30" s="19"/>
      <c r="J30" s="19"/>
    </row>
    <row r="31" spans="1:10" ht="30" customHeight="1" thickBot="1" x14ac:dyDescent="0.3">
      <c r="A31" s="3"/>
      <c r="B31" s="47" t="s">
        <v>5</v>
      </c>
      <c r="C31" s="48"/>
      <c r="D31" s="48"/>
      <c r="E31" s="9">
        <f>SUM(E8:E30)</f>
        <v>110</v>
      </c>
      <c r="F31" s="9">
        <f>SUM(F8:F30)</f>
        <v>0</v>
      </c>
      <c r="G31" s="34"/>
      <c r="H31" s="35"/>
      <c r="I31" s="35"/>
      <c r="J31" s="36"/>
    </row>
    <row r="32" spans="1:10" ht="30" customHeight="1" thickBot="1" x14ac:dyDescent="0.3">
      <c r="A32" s="3"/>
      <c r="B32" s="47" t="s">
        <v>20</v>
      </c>
      <c r="C32" s="48"/>
      <c r="D32" s="48"/>
      <c r="E32" s="37">
        <f>F31/E31/100*100</f>
        <v>0</v>
      </c>
      <c r="F32" s="37"/>
      <c r="G32" s="37"/>
      <c r="H32" s="37"/>
      <c r="I32" s="37"/>
      <c r="J32" s="38"/>
    </row>
    <row r="33" spans="1:10" ht="30" customHeight="1" thickBot="1" x14ac:dyDescent="0.3">
      <c r="A33" s="3"/>
      <c r="B33" s="47" t="s">
        <v>21</v>
      </c>
      <c r="C33" s="48"/>
      <c r="D33" s="48"/>
      <c r="E33" s="41" t="str">
        <f>_xlfn.IFS(E32&gt;=90%,"ممتاز",E32&gt;=80%,"جيد جداً",E32&gt;=70%,"جيد",E32&gt;=60%,"مقبول",E32&lt;60%,"راسب")</f>
        <v>راسب</v>
      </c>
      <c r="F33" s="41"/>
      <c r="G33" s="41"/>
      <c r="H33" s="41"/>
      <c r="I33" s="41"/>
      <c r="J33" s="42"/>
    </row>
    <row r="34" spans="1:10" ht="42" customHeight="1" x14ac:dyDescent="0.25">
      <c r="B34" s="45" t="s">
        <v>27</v>
      </c>
      <c r="C34" s="45"/>
      <c r="D34" s="45"/>
      <c r="E34" s="44" t="s">
        <v>18</v>
      </c>
      <c r="F34" s="44"/>
      <c r="G34" s="39" t="s">
        <v>24</v>
      </c>
      <c r="H34" s="39"/>
      <c r="I34" s="39"/>
      <c r="J34" s="39"/>
    </row>
    <row r="35" spans="1:10" ht="51" customHeight="1" x14ac:dyDescent="0.25">
      <c r="A35" s="4"/>
      <c r="B35" s="46"/>
      <c r="C35" s="46"/>
      <c r="D35" s="46"/>
      <c r="E35" s="33" t="s">
        <v>19</v>
      </c>
      <c r="F35" s="33"/>
      <c r="G35" s="40"/>
      <c r="H35" s="40"/>
      <c r="I35" s="40"/>
      <c r="J35" s="40"/>
    </row>
  </sheetData>
  <sheetProtection sheet="1" formatCells="0" formatColumns="0" formatRows="0" insertColumns="0" insertRows="0" insertHyperlinks="0" deleteColumns="0" deleteRows="0" selectLockedCells="1" sort="0" autoFilter="0" pivotTables="0"/>
  <mergeCells count="67">
    <mergeCell ref="B27:D27"/>
    <mergeCell ref="B28:D28"/>
    <mergeCell ref="B29:D29"/>
    <mergeCell ref="B22:D22"/>
    <mergeCell ref="B23:D23"/>
    <mergeCell ref="B24:D24"/>
    <mergeCell ref="B25:D25"/>
    <mergeCell ref="B26:D26"/>
    <mergeCell ref="B8:D8"/>
    <mergeCell ref="B9:D9"/>
    <mergeCell ref="B10:D10"/>
    <mergeCell ref="B11:D11"/>
    <mergeCell ref="B12:D12"/>
    <mergeCell ref="B13:D13"/>
    <mergeCell ref="B14:D14"/>
    <mergeCell ref="B15:D15"/>
    <mergeCell ref="I9:J9"/>
    <mergeCell ref="E34:F34"/>
    <mergeCell ref="B34:D35"/>
    <mergeCell ref="B31:D31"/>
    <mergeCell ref="B32:D32"/>
    <mergeCell ref="B33:D33"/>
    <mergeCell ref="B30:D30"/>
    <mergeCell ref="B16:D16"/>
    <mergeCell ref="B17:D17"/>
    <mergeCell ref="B18:D18"/>
    <mergeCell ref="B19:D19"/>
    <mergeCell ref="B20:D20"/>
    <mergeCell ref="B21:D21"/>
    <mergeCell ref="E35:F35"/>
    <mergeCell ref="G31:J31"/>
    <mergeCell ref="I19:J19"/>
    <mergeCell ref="I20:J20"/>
    <mergeCell ref="I21:J21"/>
    <mergeCell ref="I22:J22"/>
    <mergeCell ref="I23:J23"/>
    <mergeCell ref="I24:J24"/>
    <mergeCell ref="I25:J25"/>
    <mergeCell ref="I26:J26"/>
    <mergeCell ref="I27:J27"/>
    <mergeCell ref="E32:J32"/>
    <mergeCell ref="G34:J34"/>
    <mergeCell ref="G35:J35"/>
    <mergeCell ref="E33:J33"/>
    <mergeCell ref="I29:J29"/>
    <mergeCell ref="B1:J1"/>
    <mergeCell ref="F2:J2"/>
    <mergeCell ref="B5:D6"/>
    <mergeCell ref="C2:D2"/>
    <mergeCell ref="C3:D3"/>
    <mergeCell ref="F3:J3"/>
    <mergeCell ref="B7:D7"/>
    <mergeCell ref="I30:J30"/>
    <mergeCell ref="E5:H5"/>
    <mergeCell ref="I5:J6"/>
    <mergeCell ref="I7:J7"/>
    <mergeCell ref="I10:J10"/>
    <mergeCell ref="I8:J8"/>
    <mergeCell ref="I11:J11"/>
    <mergeCell ref="I12:J12"/>
    <mergeCell ref="I13:J13"/>
    <mergeCell ref="I14:J14"/>
    <mergeCell ref="I15:J15"/>
    <mergeCell ref="I16:J16"/>
    <mergeCell ref="I17:J17"/>
    <mergeCell ref="I18:J18"/>
    <mergeCell ref="I28:J28"/>
  </mergeCells>
  <conditionalFormatting sqref="E33">
    <cfRule type="expression" dxfId="23" priority="57">
      <formula>$E33="راسب"</formula>
    </cfRule>
  </conditionalFormatting>
  <conditionalFormatting sqref="E33:J33">
    <cfRule type="expression" dxfId="22" priority="58">
      <formula>$E33="مقبول"</formula>
    </cfRule>
    <cfRule type="expression" dxfId="21" priority="59">
      <formula>$E33="جيد"</formula>
    </cfRule>
    <cfRule type="expression" dxfId="20" priority="60">
      <formula>$E33="جيد جداً"</formula>
    </cfRule>
    <cfRule type="expression" dxfId="19" priority="61">
      <formula>$E33="ممتاز"</formula>
    </cfRule>
  </conditionalFormatting>
  <conditionalFormatting sqref="H8 H10:H30">
    <cfRule type="containsText" dxfId="18" priority="39" operator="containsText" text="ممتاز">
      <formula>NOT(ISERROR(SEARCH("ممتاز",H8)))</formula>
    </cfRule>
    <cfRule type="containsText" dxfId="17" priority="40" operator="containsText" text="جيد جداً">
      <formula>NOT(ISERROR(SEARCH("جيد جداً",H8)))</formula>
    </cfRule>
    <cfRule type="containsText" dxfId="16" priority="41" operator="containsText" text="جيد">
      <formula>NOT(ISERROR(SEARCH("جيد",H8)))</formula>
    </cfRule>
    <cfRule type="containsText" dxfId="15" priority="42" operator="containsText" text="مقبول">
      <formula>NOT(ISERROR(SEARCH("مقبول",H8)))</formula>
    </cfRule>
    <cfRule type="containsText" dxfId="14" priority="43" operator="containsText" text="راسب">
      <formula>NOT(ISERROR(SEARCH("راسب",H8)))</formula>
    </cfRule>
  </conditionalFormatting>
  <conditionalFormatting sqref="H8 H10:H30">
    <cfRule type="containsText" dxfId="13" priority="38" operator="containsText" text="أدخل العلامة">
      <formula>NOT(ISERROR(SEARCH("أدخل العلامة",H8)))</formula>
    </cfRule>
  </conditionalFormatting>
  <conditionalFormatting sqref="F2:J2">
    <cfRule type="containsText" dxfId="12" priority="19" operator="containsText" text="أدخل التاريخ">
      <formula>NOT(ISERROR(SEARCH("أدخل التاريخ",F2)))</formula>
    </cfRule>
  </conditionalFormatting>
  <conditionalFormatting sqref="C2:D2">
    <cfRule type="containsText" dxfId="11" priority="18" operator="containsText" text="أدخل الوحدة الخاضعة للتقييم">
      <formula>NOT(ISERROR(SEARCH("أدخل الوحدة الخاضعة للتقييم",C2)))</formula>
    </cfRule>
  </conditionalFormatting>
  <conditionalFormatting sqref="C3:D3">
    <cfRule type="containsText" dxfId="10" priority="17" operator="containsText" text="أدخل أسم قائد الوحدة الخاضعة للتقييم">
      <formula>NOT(ISERROR(SEARCH("أدخل أسم قائد الوحدة الخاضعة للتقييم",C3)))</formula>
    </cfRule>
  </conditionalFormatting>
  <conditionalFormatting sqref="F3:J3">
    <cfRule type="containsText" dxfId="9" priority="16" operator="containsText" text="أدخل أسم المحكم">
      <formula>NOT(ISERROR(SEARCH("أدخل أسم المحكم",F3)))</formula>
    </cfRule>
  </conditionalFormatting>
  <conditionalFormatting sqref="G34:J34">
    <cfRule type="containsText" dxfId="8" priority="15" operator="containsText" text="أدخل اسم المحكم">
      <formula>NOT(ISERROR(SEARCH("أدخل اسم المحكم",G34)))</formula>
    </cfRule>
  </conditionalFormatting>
  <conditionalFormatting sqref="F8 F10:F30">
    <cfRule type="containsText" dxfId="7" priority="14" operator="containsText" text="أدخل العلامة">
      <formula>NOT(ISERROR(SEARCH("أدخل العلامة",F8)))</formula>
    </cfRule>
  </conditionalFormatting>
  <conditionalFormatting sqref="H9">
    <cfRule type="containsText" dxfId="6" priority="6" operator="containsText" text="ممتاز">
      <formula>NOT(ISERROR(SEARCH("ممتاز",H9)))</formula>
    </cfRule>
    <cfRule type="containsText" dxfId="5" priority="7" operator="containsText" text="جيد جداً">
      <formula>NOT(ISERROR(SEARCH("جيد جداً",H9)))</formula>
    </cfRule>
    <cfRule type="containsText" dxfId="4" priority="8" operator="containsText" text="جيد">
      <formula>NOT(ISERROR(SEARCH("جيد",H9)))</formula>
    </cfRule>
    <cfRule type="containsText" dxfId="3" priority="9" operator="containsText" text="مقبول">
      <formula>NOT(ISERROR(SEARCH("مقبول",H9)))</formula>
    </cfRule>
    <cfRule type="containsText" dxfId="2" priority="10" operator="containsText" text="راسب">
      <formula>NOT(ISERROR(SEARCH("راسب",H9)))</formula>
    </cfRule>
  </conditionalFormatting>
  <conditionalFormatting sqref="H9">
    <cfRule type="containsText" dxfId="1" priority="5" operator="containsText" text="أدخل العلامة">
      <formula>NOT(ISERROR(SEARCH("أدخل العلامة",H9)))</formula>
    </cfRule>
  </conditionalFormatting>
  <conditionalFormatting sqref="F9">
    <cfRule type="containsText" dxfId="0" priority="4" operator="containsText" text="أدخل العلامة">
      <formula>NOT(ISERROR(SEARCH("أدخل العلامة",F9)))</formula>
    </cfRule>
  </conditionalFormatting>
  <dataValidations count="2">
    <dataValidation type="list" allowBlank="1" showInputMessage="1" showErrorMessage="1" sqref="F2:J2" xr:uid="{00000000-0002-0000-0000-000000000000}">
      <formula1>#REF!</formula1>
    </dataValidation>
    <dataValidation type="list" allowBlank="1" showInputMessage="1" showErrorMessage="1" sqref="C2:D3 G34:J34 F3:J3 F8:F26 F28:F30" xr:uid="{00000000-0002-0000-0000-000001000000}">
      <formula1>#REF!</formula1>
    </dataValidation>
  </dataValidations>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2026-09-13T06:42:44Z</dcterms:modified>
</cp:coreProperties>
</file>