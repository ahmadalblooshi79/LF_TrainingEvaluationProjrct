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9BC95E2-17CF-4138-A9D9-4DC1804120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<sst xmlns="http://schemas.openxmlformats.org/spreadsheetml/2006/main" count="245" uniqueCount="189">
  <si>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</si>
  <si>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</si>
  <si>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</si>
  <si>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</si>
  <si>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</si>
  <si>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</si>
  <si>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</si>
  <si>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</si>
  <si>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</si>
  <si>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</si>
  <si>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</si>
  <si>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</si>
  <si>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</si>
  <si>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</si>
  <si>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</si>
  <si>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</si>
  <si>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</si>
  <si>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</si>
  <si>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</si>
  <si>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</si>
  <si>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</si>
  <si>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</si>
  <si>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</si>
  <si>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</si>
  <si>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</si>
  <si>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</si>
  <si>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</si>
  <si>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</si>
  <si>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</si>
  <si>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</si>
  <si>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</si>
  <si>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</si>
  <si>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</si>
  <si>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</si>
  <si>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</si>
  <si>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</si>
  <si>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</si>
  <si>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</si>
  <si>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</si>
  <si>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</si>
  <si>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</si>
  <si>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</si>
  <si>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</si>
  <si>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</si>
  <si>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</si>
  <si>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</si>
  <si>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</si>
  <si>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</si>
  <si>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</si>
  <si>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</si>
  <si>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</si>
  <si>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</si>
  <si>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</si>
  <si>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</si>
  <si>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</si>
  <si>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</si>
  <si>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</si>
  <si>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</si>
  <si>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</si>
  <si>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</si>
  <si>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</si>
  <si>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</si>
  <si>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</si>
  <si>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</si>
  <si>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</si>
  <si>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</si>
  <si>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</si>
  <si>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</si>
  <si>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</si>
  <si>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</si>
  <si>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</si>
  <si>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</si>
  <si>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</si>
  <si>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</si>
  <si>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</si>
  <si>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</si>
  <si>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</si>
  <si>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</si>
  <si>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</si>
  <si>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</si>
  <si>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</si>
  <si>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</si>
  <si>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</si>
  <si>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</si>
  <si>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</si>
  <si>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</si>
  <si>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</si>
  <si>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</si>
  <si>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</si>
  <si>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</si>
  <si>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</si>
  <si>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</si>
  <si>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</si>
  <si>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</si>
  <si>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</si>
  <si>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</si>
  <si>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</si>
  <si>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</si>
  <si>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</si>
  <si>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</si>
  <si>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</si>
  <si>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</si>
  <si>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</si>
  <si>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</si>
  <si>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</si>
  <si>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</si>
  <si>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</si>
  <si>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</si>
  <si>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</si>
  <si>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</si>
  <si>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</si>
  <si>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</si>
  <si>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</si>
  <si>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</si>
  <si>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</si>
  <si>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</si>
  <si>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</si>
  <si>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</si>
  <si>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</si>
  <si>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</si>
  <si>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</si>
  <si>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</si>
  <si>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</si>
  <si>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</si>
  <si>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</si>
  <si>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</si>
  <si>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</si>
  <si>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</si>
  <si>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</si>
  <si>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</si>
  <si>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</si>
  <si>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</si>
  <si>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</si>
  <si>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</si>
  <si>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</si>
  <si>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</si>
  <si>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</si>
  <si>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</si>
  <si>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</si>
  <si>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</si>
  <si>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</si>
  <si>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</si>
  <si>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</si>
  <si>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</si>
  <si>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</si>
  <si>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</si>
  <si>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</si>
  <si>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</si>
  <si>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</si>
  <si>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</si>
  <si>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</si>
  <si>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</si>
  <si>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</si>
  <si>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</si>
  <si>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</si>
  <si>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</si>
  <si>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</si>
  <si>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</si>
  <si>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</si>
  <si>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</si>
  <si>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</si>
  <si>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</si>
  <si>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</si>
  <si>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</si>
  <si>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</si>
  <si>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</si>
  <si>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</si>
  <si>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</si>
  <si>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</si>
  <si>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</si>
  <si>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</si>
  <si>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</si>
  <si>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</si>
  <si>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</si>
  <si>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</si>
  <si>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</si>
  <si>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</si>
  <si>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</si>
  <si>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</si>
  <si>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</si>
  <si>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</si>
  <si>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</si>
  <si>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</si>
  <si>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</si>
  <si>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</si>
  <si>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</si>
  <si>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</si>
  <si>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قسم المدفعية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</si>
  <si>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ركن/ محمد سعيد الجاري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</si>
</sst>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0" borderId="22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477846</xdr:colOff>
      <xdr:row>18</xdr:row>
      <xdr:rowOff>155847</xdr:rowOff>
    </xdr:from>
    <xdr:to>
      <xdr:col>8</xdr:col>
      <xdr:colOff>166435</xdr:colOff>
      <xdr:row>18</xdr:row>
      <xdr:rowOff>551127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687C00-AD9A-F737-D1E7-79C78126EBF1}"/>
                </a:ext>
              </a:extLst>
            </xdr14:cNvPr>
            <xdr14:cNvContentPartPr/>
          </xdr14:nvContentPartPr>
          <xdr14:nvPr macro=""/>
          <xdr14:xfrm>
            <a:off x="10436885220" y="7159320"/>
            <a:ext cx="346680" cy="395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687C00-AD9A-F737-D1E7-79C78126EB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876580" y="7150320"/>
              <a:ext cx="364320" cy="41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68875</xdr:colOff>
      <xdr:row>18</xdr:row>
      <xdr:rowOff>51807</xdr:rowOff>
    </xdr:from>
    <xdr:to>
      <xdr:col>8</xdr:col>
      <xdr:colOff>128275</xdr:colOff>
      <xdr:row>18</xdr:row>
      <xdr:rowOff>159447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D26EC06-F630-7BAC-A27C-D4C685017DFF}"/>
                </a:ext>
              </a:extLst>
            </xdr14:cNvPr>
            <xdr14:cNvContentPartPr/>
          </xdr14:nvContentPartPr>
          <xdr14:nvPr macro=""/>
          <xdr14:xfrm>
            <a:off x="10436923380" y="7055280"/>
            <a:ext cx="59400" cy="10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D26EC06-F630-7BAC-A27C-D4C685017D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914380" y="7046280"/>
              <a:ext cx="7704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169315</xdr:colOff>
      <xdr:row>18</xdr:row>
      <xdr:rowOff>186807</xdr:rowOff>
    </xdr:from>
    <xdr:to>
      <xdr:col>8</xdr:col>
      <xdr:colOff>583675</xdr:colOff>
      <xdr:row>18</xdr:row>
      <xdr:rowOff>370767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B66F1FF-1564-D3BD-B76E-5A2B53F6DBF2}"/>
                </a:ext>
              </a:extLst>
            </xdr14:cNvPr>
            <xdr14:cNvContentPartPr/>
          </xdr14:nvContentPartPr>
          <xdr14:nvPr macro=""/>
          <xdr14:xfrm>
            <a:off x="10436467980" y="7190280"/>
            <a:ext cx="414360" cy="183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B66F1FF-1564-D3BD-B76E-5A2B53F6DBF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36458980" y="7181640"/>
              <a:ext cx="43200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183355</xdr:colOff>
      <xdr:row>18</xdr:row>
      <xdr:rowOff>86007</xdr:rowOff>
    </xdr:from>
    <xdr:to>
      <xdr:col>8</xdr:col>
      <xdr:colOff>343195</xdr:colOff>
      <xdr:row>18</xdr:row>
      <xdr:rowOff>187167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5FE1156-157F-55D9-3272-2CF14F24C0B3}"/>
                </a:ext>
              </a:extLst>
            </xdr14:cNvPr>
            <xdr14:cNvContentPartPr/>
          </xdr14:nvContentPartPr>
          <xdr14:nvPr macro=""/>
          <xdr14:xfrm>
            <a:off x="10436708460" y="7089480"/>
            <a:ext cx="159840" cy="1011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5FE1156-157F-55D9-3272-2CF14F24C0B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36699820" y="7080840"/>
              <a:ext cx="17748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657126</xdr:colOff>
      <xdr:row>17</xdr:row>
      <xdr:rowOff>338247</xdr:rowOff>
    </xdr:from>
    <xdr:to>
      <xdr:col>8</xdr:col>
      <xdr:colOff>582955</xdr:colOff>
      <xdr:row>18</xdr:row>
      <xdr:rowOff>585687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3C42C4C-0C93-CA05-AB2F-6871A82379D0}"/>
                </a:ext>
              </a:extLst>
            </xdr14:cNvPr>
            <xdr14:cNvContentPartPr/>
          </xdr14:nvContentPartPr>
          <xdr14:nvPr macro=""/>
          <xdr14:xfrm>
            <a:off x="10436468700" y="6808320"/>
            <a:ext cx="583920" cy="7808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3C42C4C-0C93-CA05-AB2F-6871A82379D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36459700" y="6799680"/>
              <a:ext cx="601560" cy="79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193795</xdr:colOff>
      <xdr:row>18</xdr:row>
      <xdr:rowOff>443127</xdr:rowOff>
    </xdr:from>
    <xdr:to>
      <xdr:col>8</xdr:col>
      <xdr:colOff>305035</xdr:colOff>
      <xdr:row>18</xdr:row>
      <xdr:rowOff>498927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779F45F-E699-BD95-AD91-78271F0D5126}"/>
                </a:ext>
              </a:extLst>
            </xdr14:cNvPr>
            <xdr14:cNvContentPartPr/>
          </xdr14:nvContentPartPr>
          <xdr14:nvPr macro=""/>
          <xdr14:xfrm>
            <a:off x="10436746620" y="7446600"/>
            <a:ext cx="111240" cy="55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779F45F-E699-BD95-AD91-78271F0D512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36737980" y="7437960"/>
              <a:ext cx="12888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245635</xdr:colOff>
      <xdr:row>18</xdr:row>
      <xdr:rowOff>595407</xdr:rowOff>
    </xdr:from>
    <xdr:to>
      <xdr:col>8</xdr:col>
      <xdr:colOff>245995</xdr:colOff>
      <xdr:row>18</xdr:row>
      <xdr:rowOff>595767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E34A309-26AD-7B27-9E4E-75B93CDD1E7C}"/>
                </a:ext>
              </a:extLst>
            </xdr14:cNvPr>
            <xdr14:cNvContentPartPr/>
          </xdr14:nvContentPartPr>
          <xdr14:nvPr macro=""/>
          <xdr14:xfrm>
            <a:off x="10436805660" y="759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E34A309-26AD-7B27-9E4E-75B93CDD1E7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36796660" y="75902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09.7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873 0,'0'0,"0"0,0 0,0 0,0 0,0 0,0 10,10-1,-8-6,-4 4,10 12,-5-13,-6 7,13 16,-8-20,5 11,-7 9,0-20,0 20,0 10,0-27,-9 24,-9 22,12-40,-16 41,-23 18,31-54,-27 40,-22 14,43-53,-33 29,-29 15,56-48,-21 17,-53 31,70-48,-49 17,-3 2,58-28,-25 16,-5-7,37-14,-11 7,28-13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10.2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0,'0'0,"0"0,0 0,0 0,0 0,0 0,0 0,0 0,0 0,0 0,0 0,0 0,0 0,10 0,-8 0,-4 10,12-10,-9 0,7 19,2-9,-9-9,17 17,-8 1,-9-16,17 23,1 13,-16-34,14 28,2 15,-16-40,13 52,-16-60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11.7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1044 1,'0'0,"0"0,0 0,0 0,0 0,0 0,0 0,0 0,0 0,0 0,0 0,0 0,0 0,0 0,0 0,10 9,-10 1,0-9,9 8,1 0,-8-7,6 15,11 3,-16-17,3 13,4 13,-9-25,8 1,0 15,-7-18,6 15,-8 2,0-16,0 4,0 12,0-16,-10 4,10 2,0-7,-9 6,-1-8,9 0,-8 9,0-9,8 0,-8 0,0-9,7 7,-6 4,-2-12,9 9,-7-7,-2 8,9 0,-7-10,-2 10,9 0,2-10,-11 10,9 0,2 10,9-10,-9 0,-2 10,1-1,0-7,10 15,-10 3,0-18,9 5,-9 13,0-18,0 15,0-8,0-7,0 6,0 2,0-9,0 7,0-7,-9-11,-1 10,0-10,10 9,-9 2,4-1,0 0,0 0,0 0,1 0,-1 0,-5 10,9-10,-7 0,7 0,-8 0,-1 9,9-7,-7-4,-2 12,9-9,-17-2,-1 10,16-7,-14-4,8 12,7-8,-25-4,8 2,16 0,-23 0,7 0,16 0,-14 0,-2 0,16 0,-13 0,-3-10,16 9,-23-7,-3-2,24 9,-9-7,-15-12,24 17,-10-13,-4-3,16 16,-13-13,-3-4,16 18,-23-24,16 6,9 18,-17-15,8-2,9 16,-7-4,8-2,0 7,-10-6,5 3,1 0,-1 1,10 18,4-14,-8 0,-2 10,1 9,0-16,0 3,0 14,0-17,-9 13,-1 3,9-16,-17 23,-2 3,18-25,-15 11,-2 4,16-15,-23 12,7 3,16-16,-33 23,-2-7,32-16,-27 13,14 3,16-15,-23 12,7-16,16 0,-13 9,6 1,9-9,-17 8,-1-9,16 0,-4 0,2 0,10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12.2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1 281,'0'0,"0"0,0 0,0 0,0 0,0 0,0 0,0 0,0 0,0 0,0 0,0 0,10-10,9 0,-16 9,13-7,13-11,-25 16,21-4,13-22,-32 25,17-2,16-13,-33 16,16-13,7-3,-24 15,19-12,5-3,-24 16,9-13,15 6,-24 9,9-17,-4 8,-8 9,15-7,-7-2,-8 9,5-7,-6 7,-11 2,0-1,9 0,2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13.3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244 1572,'0'0,"0"0,0 0,0 0,0 0,0 0,0 0,0 0,0 0,0 0,0 0,0 0,0 0,0 0,-10 0,0 0,9 0,-17 0,-1 0,16 0,-13 0,-13 0,24 0,-9 0,-15-10,24 8,-19-6,5-1,16 7,-14-16,-2-10,16 23,6-39,7-32,-9 65,17-46,30-58,-41 98,73-120,54-46,-114 156,124-110,19-17,-138 131,95-69,-5 5,-98 75,62-53,143-88,-189 129,136-29,-102 33,-57 18,38 14,-10 7,-32-16,27 71,-24 22,-7-81,-32 86,1 34,24-116,-58 125,-33 20,81-138,-95 111,-44 17,131-131,-117 118,-34 13,149-132,-123 100,-25 3,145-105,-88 75,19-8,83-74,-39 22,5-6,40-24,-3 0,30-15,-16 9,90-56,13-10,-89 56,120-65,55-29,-161 88,160-92,30-16,-185 105,101-56,-2 9,-118 58,43-21,-22 11,-32 16,-12-4,-61 46,57-33,-86 55,-48 26,123-74,-112 80,-60 32,164-106,-144 106,0 10,147-115,-102 75,22-18,91-65,-46 34,22-8,33-32,-17-2,33-14,-9 9,46-26,49-31,-81 49,86-49,52-29,-129 73,126-59,23-23,-144 80,105-35,-47 22,-73 24,30-9,-15 14,-25 0,1 9,-34 11,25-17,-49 51,53-54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13.7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309 1,'0'0,"-10"0,9 0,-8 0,0 9,7-7,-15-4,-12 12,24-9,-19 7,-5 12,25-17,-40 13,15 3,24-16,-19 23,-14-7,32-16,-17 14,23-17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3:14.0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1,'0'0,"0"0,0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6" t="s">
        <v>187</v>
      </c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3">
      <c r="B2" s="12" t="s">
        <v>8</v>
      </c>
      <c r="C2" s="52" t="s">
        <v>48</v>
      </c>
      <c r="D2" s="52"/>
      <c r="E2" s="12" t="s">
        <v>7</v>
      </c>
      <c r="F2" s="47">
        <v>45939</v>
      </c>
      <c r="G2" s="47"/>
      <c r="H2" s="47"/>
      <c r="I2" s="47"/>
      <c r="J2" s="47"/>
    </row>
    <row r="3" spans="1:10" ht="30" customHeight="1" x14ac:dyDescent="0.3">
      <c r="B3" s="12" t="s">
        <v>9</v>
      </c>
      <c r="C3" s="52" t="s">
        <v>60</v>
      </c>
      <c r="D3" s="52"/>
      <c r="E3" s="12" t="s">
        <v>6</v>
      </c>
      <c r="F3" s="52" t="s">
        <v>176</v>
      </c>
      <c r="G3" s="52"/>
      <c r="H3" s="52"/>
      <c r="I3" s="52"/>
      <c r="J3" s="52"/>
    </row>
    <row r="4" spans="1:10" ht="30" customHeight="1" thickBot="1" x14ac:dyDescent="0.35">
      <c r="B4" s="6"/>
      <c r="C4" s="66" t="s">
        <v>188</v>
      </c>
      <c r="D4" s="66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8" t="s">
        <v>0</v>
      </c>
      <c r="C5" s="49"/>
      <c r="D5" s="49"/>
      <c r="E5" s="39" t="s">
        <v>1</v>
      </c>
      <c r="F5" s="39"/>
      <c r="G5" s="39"/>
      <c r="H5" s="39"/>
      <c r="I5" s="39" t="s">
        <v>2</v>
      </c>
      <c r="J5" s="40"/>
    </row>
    <row r="6" spans="1:10" ht="24.9" customHeight="1" thickBot="1" x14ac:dyDescent="0.35">
      <c r="A6" s="10"/>
      <c r="B6" s="50"/>
      <c r="C6" s="51"/>
      <c r="D6" s="51"/>
      <c r="E6" s="11" t="s">
        <v>3</v>
      </c>
      <c r="F6" s="11" t="s">
        <v>4</v>
      </c>
      <c r="G6" s="11" t="s">
        <v>23</v>
      </c>
      <c r="H6" s="11" t="s">
        <v>24</v>
      </c>
      <c r="I6" s="41"/>
      <c r="J6" s="42"/>
    </row>
    <row r="7" spans="1:10" ht="24.9" customHeight="1" x14ac:dyDescent="0.3">
      <c r="A7" s="10"/>
      <c r="B7" s="37" t="s">
        <v>21</v>
      </c>
      <c r="C7" s="38"/>
      <c r="D7" s="38"/>
      <c r="E7" s="27" t="s">
        <v>18</v>
      </c>
      <c r="F7" s="27" t="s">
        <v>19</v>
      </c>
      <c r="G7" s="27" t="s">
        <v>22</v>
      </c>
      <c r="H7" s="27" t="s">
        <v>20</v>
      </c>
      <c r="I7" s="43" t="s">
        <v>25</v>
      </c>
      <c r="J7" s="44"/>
    </row>
    <row r="8" spans="1:10" ht="30" customHeight="1" x14ac:dyDescent="0.3">
      <c r="A8" s="10"/>
      <c r="B8" s="36" t="s">
        <v>186</v>
      </c>
      <c r="C8" s="36"/>
      <c r="D8" s="36"/>
      <c r="E8" s="9">
        <v>5</v>
      </c>
      <c r="F8" s="26">
        <v>3.75</v>
      </c>
      <c r="G8" s="29">
        <f>IFERROR(F8/E8,"")</f>
        <v>0.75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5"/>
      <c r="J8" s="45"/>
    </row>
    <row r="9" spans="1:10" ht="30" customHeight="1" x14ac:dyDescent="0.3">
      <c r="A9" s="10"/>
      <c r="B9" s="36" t="s">
        <v>185</v>
      </c>
      <c r="C9" s="36"/>
      <c r="D9" s="36"/>
      <c r="E9" s="9">
        <v>5</v>
      </c>
      <c r="F9" s="31">
        <v>3.25</v>
      </c>
      <c r="G9" s="29">
        <f>IFERROR(F9/E9,"")</f>
        <v>0.65</v>
      </c>
      <c r="H9" s="30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45"/>
      <c r="J9" s="45"/>
    </row>
    <row r="10" spans="1:10" ht="30" customHeight="1" x14ac:dyDescent="0.3">
      <c r="A10" s="10"/>
      <c r="B10" s="36" t="s">
        <v>184</v>
      </c>
      <c r="C10" s="36"/>
      <c r="D10" s="36"/>
      <c r="E10" s="9">
        <v>5</v>
      </c>
      <c r="F10" s="31">
        <v>4</v>
      </c>
      <c r="G10" s="29">
        <f t="shared" ref="G10:G14" si="0">IFERROR(F10/E10,"")</f>
        <v>0.8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5"/>
      <c r="J10" s="45"/>
    </row>
    <row r="11" spans="1:10" ht="30" customHeight="1" x14ac:dyDescent="0.3">
      <c r="A11" s="10"/>
      <c r="B11" s="36" t="s">
        <v>183</v>
      </c>
      <c r="C11" s="36"/>
      <c r="D11" s="36"/>
      <c r="E11" s="9">
        <v>5</v>
      </c>
      <c r="F11" s="31">
        <v>3.75</v>
      </c>
      <c r="G11" s="29">
        <f t="shared" si="0"/>
        <v>0.75</v>
      </c>
      <c r="H11" s="30" t="str">
        <f t="shared" si="1"/>
        <v>جيد</v>
      </c>
      <c r="I11" s="45"/>
      <c r="J11" s="45"/>
    </row>
    <row r="12" spans="1:10" ht="30" customHeight="1" x14ac:dyDescent="0.3">
      <c r="A12" s="10"/>
      <c r="B12" s="36" t="s">
        <v>182</v>
      </c>
      <c r="C12" s="36"/>
      <c r="D12" s="36"/>
      <c r="E12" s="9">
        <v>5</v>
      </c>
      <c r="F12" s="31">
        <v>3.75</v>
      </c>
      <c r="G12" s="29">
        <f t="shared" si="0"/>
        <v>0.75</v>
      </c>
      <c r="H12" s="30" t="str">
        <f t="shared" si="1"/>
        <v>جيد</v>
      </c>
      <c r="I12" s="45"/>
      <c r="J12" s="45"/>
    </row>
    <row r="13" spans="1:10" ht="30" customHeight="1" x14ac:dyDescent="0.3">
      <c r="A13" s="10"/>
      <c r="B13" s="36" t="s">
        <v>181</v>
      </c>
      <c r="C13" s="36"/>
      <c r="D13" s="36"/>
      <c r="E13" s="9">
        <v>5</v>
      </c>
      <c r="F13" s="31">
        <v>4</v>
      </c>
      <c r="G13" s="29">
        <f t="shared" si="0"/>
        <v>0.8</v>
      </c>
      <c r="H13" s="30" t="str">
        <f t="shared" si="1"/>
        <v>جيد جداً</v>
      </c>
      <c r="I13" s="45"/>
      <c r="J13" s="45"/>
    </row>
    <row r="14" spans="1:10" ht="30" customHeight="1" x14ac:dyDescent="0.3">
      <c r="A14" s="10"/>
      <c r="B14" s="36" t="s">
        <v>180</v>
      </c>
      <c r="C14" s="36"/>
      <c r="D14" s="36"/>
      <c r="E14" s="9">
        <v>5</v>
      </c>
      <c r="F14" s="31">
        <v>3.75</v>
      </c>
      <c r="G14" s="29">
        <f t="shared" si="0"/>
        <v>0.75</v>
      </c>
      <c r="H14" s="30" t="str">
        <f t="shared" si="1"/>
        <v>جيد</v>
      </c>
      <c r="I14" s="45"/>
      <c r="J14" s="45"/>
    </row>
    <row r="15" spans="1:10" ht="30" customHeight="1" thickBot="1" x14ac:dyDescent="0.35">
      <c r="A15" s="4"/>
      <c r="B15" s="32" t="s">
        <v>5</v>
      </c>
      <c r="C15" s="33"/>
      <c r="D15" s="33"/>
      <c r="E15" s="28">
        <f>SUM(E8:E14)</f>
        <v>35</v>
      </c>
      <c r="F15" s="28">
        <f>SUM(F8:F14)</f>
        <v>26.25</v>
      </c>
      <c r="G15" s="55"/>
      <c r="H15" s="56"/>
      <c r="I15" s="56"/>
      <c r="J15" s="57"/>
    </row>
    <row r="16" spans="1:10" ht="30" customHeight="1" thickBot="1" x14ac:dyDescent="0.35">
      <c r="A16" s="4"/>
      <c r="B16" s="34" t="s">
        <v>54</v>
      </c>
      <c r="C16" s="35"/>
      <c r="D16" s="35"/>
      <c r="E16" s="64">
        <f>F15/E15/100*100</f>
        <v>0.75</v>
      </c>
      <c r="F16" s="64"/>
      <c r="G16" s="64"/>
      <c r="H16" s="64"/>
      <c r="I16" s="64"/>
      <c r="J16" s="65"/>
    </row>
    <row r="17" spans="1:10" ht="30" customHeight="1" thickBot="1" x14ac:dyDescent="0.35">
      <c r="A17" s="4"/>
      <c r="B17" s="34" t="s">
        <v>55</v>
      </c>
      <c r="C17" s="35"/>
      <c r="D17" s="35"/>
      <c r="E17" s="62" t="str">
        <f>_xlfn.IFS(E16&gt;=90%,"ممتاز",E16&gt;=80%,"جيد جداً",E16&gt;=70%,"جيد",E16&gt;=60%,"مقبول",E16&lt;60%,"راسب")</f>
        <v>جيد</v>
      </c>
      <c r="F17" s="62"/>
      <c r="G17" s="62"/>
      <c r="H17" s="62"/>
      <c r="I17" s="62"/>
      <c r="J17" s="63"/>
    </row>
    <row r="18" spans="1:10" ht="42" customHeight="1" x14ac:dyDescent="0.3">
      <c r="B18" s="58" t="s">
        <v>174</v>
      </c>
      <c r="C18" s="58"/>
      <c r="D18" s="58"/>
      <c r="E18" s="53" t="s">
        <v>52</v>
      </c>
      <c r="F18" s="53"/>
      <c r="G18" s="60" t="s">
        <v>176</v>
      </c>
      <c r="H18" s="60"/>
      <c r="I18" s="60"/>
      <c r="J18" s="60"/>
    </row>
    <row r="19" spans="1:10" ht="51" customHeight="1" x14ac:dyDescent="0.3">
      <c r="A19" s="5"/>
      <c r="B19" s="59"/>
      <c r="C19" s="59"/>
      <c r="D19" s="59"/>
      <c r="E19" s="54" t="s">
        <v>53</v>
      </c>
      <c r="F19" s="54"/>
      <c r="G19" s="61"/>
      <c r="H19" s="61"/>
      <c r="I19" s="61"/>
      <c r="J19" s="61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  <mergeCell ref="B1:J1"/>
    <mergeCell ref="F2:J2"/>
    <mergeCell ref="B5:D6"/>
    <mergeCell ref="C2:D2"/>
    <mergeCell ref="C3:D3"/>
    <mergeCell ref="F3:J3"/>
    <mergeCell ref="C4:D4"/>
    <mergeCell ref="B7:D7"/>
    <mergeCell ref="E5:H5"/>
    <mergeCell ref="I5:J6"/>
    <mergeCell ref="I7:J7"/>
    <mergeCell ref="I10:J10"/>
    <mergeCell ref="I8:J8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2025-10-13T16:35:08Z</dcterms:modified>
</cp:coreProperties>
</file>