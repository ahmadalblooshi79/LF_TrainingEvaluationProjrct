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16EC9F21-28BC-BB4C-9DF3-327BB501534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F33" i="2"/>
  <c r="E33" i="2"/>
  <c r="E34" i="2"/>
  <c r="E35" i="2"/>
</calcChain>
</file>

<file path=xl/sharedStrings.xml><?xml version="1.0" encoding="utf-8"?>
<sst xmlns="http://schemas.openxmlformats.org/spreadsheetml/2006/main" count="263" uniqueCount="206">
  <si>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</si>
  <si>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</si>
  <si>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</si>
  <si>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</si>
  <si>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</si>
  <si>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</si>
  <si>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</si>
  <si>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</si>
  <si>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</si>
  <si>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</si>
  <si>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</si>
  <si>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</si>
  <si>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</si>
  <si>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</si>
  <si>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</si>
  <si>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</si>
  <si>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</si>
  <si>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</si>
  <si>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</si>
  <si>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</si>
  <si>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</si>
  <si>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</si>
  <si>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</si>
  <si>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</si>
  <si>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</si>
  <si>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</si>
  <si>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</si>
  <si>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</si>
  <si>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</si>
  <si>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</si>
  <si>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</si>
  <si>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</si>
  <si>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</si>
  <si>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</si>
  <si>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</si>
  <si>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</si>
  <si>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</si>
  <si>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</si>
  <si>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</si>
  <si>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</si>
  <si>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</si>
  <si>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</si>
  <si>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</si>
  <si>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</si>
  <si>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</si>
  <si>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</si>
  <si>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</si>
  <si>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</si>
  <si>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</si>
  <si>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</si>
  <si>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</si>
  <si>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</si>
  <si>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</si>
  <si>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</si>
  <si>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</si>
  <si>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</si>
  <si>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</si>
  <si>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</si>
  <si>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</si>
  <si>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</si>
  <si>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</si>
  <si>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</si>
  <si>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</si>
  <si>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</si>
  <si>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</si>
  <si>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</si>
  <si>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</si>
  <si>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</si>
  <si>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</si>
  <si>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</si>
  <si>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</si>
  <si>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</si>
  <si>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</si>
  <si>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</si>
  <si>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</si>
  <si>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</si>
  <si>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</si>
  <si>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</si>
  <si>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</si>
  <si>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</si>
  <si>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</si>
  <si>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</si>
  <si>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</si>
  <si>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</si>
  <si>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</si>
  <si>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</si>
  <si>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</si>
  <si>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</si>
  <si>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</si>
  <si>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</si>
  <si>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</si>
  <si>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</si>
  <si>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</si>
  <si>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</si>
  <si>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</si>
  <si>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</si>
  <si>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</si>
  <si>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</si>
  <si>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</si>
  <si>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</si>
  <si>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</si>
  <si>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</si>
  <si>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</si>
  <si>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</si>
  <si>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</si>
  <si>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</si>
  <si>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</si>
  <si>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</si>
  <si>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</si>
  <si>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</si>
  <si>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</si>
  <si>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</si>
  <si>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</si>
  <si>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</si>
  <si>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</si>
  <si>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</si>
  <si>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</si>
  <si>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</si>
  <si>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</si>
  <si>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</si>
  <si>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</si>
  <si>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</si>
  <si>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</si>
  <si>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</si>
  <si>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</si>
  <si>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</si>
  <si>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</si>
  <si>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</si>
  <si>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</si>
  <si>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</si>
  <si>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</si>
  <si>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</si>
  <si>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</si>
  <si>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</si>
  <si>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</si>
  <si>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</si>
  <si>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</si>
  <si>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</si>
  <si>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</si>
  <si>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</si>
  <si>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</si>
  <si>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</si>
  <si>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</si>
  <si>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</si>
  <si>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</si>
  <si>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</si>
  <si>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</si>
  <si>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</si>
  <si>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</si>
  <si>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</si>
  <si>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</si>
  <si>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</si>
  <si>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</si>
  <si>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</si>
  <si>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</si>
  <si>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</si>
  <si>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</si>
  <si>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</si>
  <si>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</si>
  <si>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</si>
  <si>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</si>
  <si>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</si>
  <si>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</si>
  <si>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</si>
  <si>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</si>
  <si>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</si>
  <si>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</si>
  <si>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</si>
  <si>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</si>
  <si>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</si>
  <si>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</si>
  <si>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</si>
  <si>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</si>
  <si>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</si>
  <si>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</si>
  <si>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</si>
  <si>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</si>
  <si>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</si>
  <si>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</si>
  <si>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</si>
  <si>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</si>
  <si>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يعمل القادة في السرية على فهم الموقف باستخدام معدات الاتصال المتوفرة، والخرائط، وملخصات الاستخبارات، وتقارير الموقف، ومصادر المعلومات المتوفرة الأخرى.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</si>
  <si>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تستلم قيادة سرية الاستطلاع أمر العمليات من مجموعة اللواء وتقوم بما يلي:</t>
    </r>
  </si>
  <si>
    <t>أ. التخطيط من خلال خطوات إجراءات المعركة الثمانية.</t>
  </si>
  <si>
    <t>ب. تنفيذ الاستطلاع من الخارطة.</t>
  </si>
  <si>
    <t>جـ. تنفيذ التحضير الاستخباري لميدان المعركة.</t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</si>
  <si>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وضع خطة الاستطلاع بالتنسيق مع ركن استخبارات اللواء.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</si>
  <si>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أسلوب العمل في الدفاع السريع بناءً على قصد القائد ومتغيرات المهمة.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</si>
  <si>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تخطيط وتنسيق عمليات التزويد قبل واثناء وبعد العملية خلال ساعات الرؤية المحدودة للحد من فرص اعتراضها من قبل قوات العدو.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</si>
  <si>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إصدار الأوامر للمرؤوسين وتقديم إيجازات تأكيدية من قبل القادة المرؤوسين مباشرة بعد استلام أمر العمليات لضمان فهمهم لقصد القائد ومفهوم عملياته.</t>
    </r>
  </si>
  <si>
    <t>مرحلة التحضير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</si>
  <si>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تقوم سرية الاستطلاع بالتحضير لتنفيذ واجباتها في الدفاع السريع من خلال الإجراءات التالية:</t>
    </r>
  </si>
  <si>
    <t>أ. تنقيح الخطة بناءً على المعلومات الاستخبارية المحدثة باستمرار.</t>
  </si>
  <si>
    <t>ب. تنفيذ خطة المراقبة والاستطلاع.</t>
  </si>
  <si>
    <t>جـ. تنفيذ تفقدات وتفتيشات ما قبل القتال.</t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</si>
  <si>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توضيع القوات حسب الخطة.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</si>
  <si>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تنفيذ التجارب.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</si>
  <si>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الاستمرار بعملية الاستطلاع والمراقبة وجمع المعلومات حسب متطلبات القائد من المعلومات الهامة.</t>
    </r>
  </si>
  <si>
    <t>مرحلة التنفيذ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</si>
  <si>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اتجاه اقتراب وهجوم قوات العدو وتحديد قوتها وتكوينها وأماكن تمركزها ومناطق المأوى ومناطق التشكيل وخط البدء.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</si>
  <si>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وتحديد مواقع المدفعية الصاروخية التي يمكنها استخدام ذخائر أسلحة التدمير الشامـل.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</si>
  <si>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توقيت وأسلوب هجوم العدو والاتجاه المحتمل لتركيز مجهوده الرئيس.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</si>
  <si>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تحديد أماكن مواقع المدفعية والهاونات والمقذوفات الموجهة المضادة للدبابات ومراكز القيادة والسيطرة ووسائل الحرب الإلكترونية.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</si>
  <si>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مناطق وحجم قوات الإبرار الجوي (إن وجد).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</si>
  <si>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اكتشاف والحصول على معلومات عن طبيعة الأرض قد تؤثر على أعمال قواتنا وقوات العدو.</t>
    </r>
  </si>
  <si>
    <r>
      <rPr>
        <b/>
        <sz val="14"/>
        <color rgb="FF000000"/>
        <rFont val="Arial"/>
        <family val="2"/>
      </rPr>
      <t>تقييم سرية الاستطلاع في الدفاع السريع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</si>
</sst>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5" borderId="3" xfId="0" applyFont="1" applyFill="1" applyBorder="1" applyAlignment="1">
      <alignment horizontal="center" vertical="center" wrapText="1" readingOrder="2"/>
    </xf>
    <xf numFmtId="0" fontId="7" fillId="6" borderId="4" xfId="0" applyFont="1" applyFill="1" applyBorder="1" applyAlignment="1">
      <alignment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5" borderId="23" xfId="0" applyFont="1" applyFill="1" applyBorder="1" applyAlignment="1">
      <alignment horizontal="right" vertical="center" wrapText="1" indent="2" readingOrder="2"/>
    </xf>
    <xf numFmtId="0" fontId="13" fillId="5" borderId="3" xfId="0" applyFont="1" applyFill="1" applyBorder="1" applyAlignment="1">
      <alignment horizontal="right" vertical="center" wrapText="1" indent="2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7" fillId="6" borderId="24" xfId="0" applyFont="1" applyFill="1" applyBorder="1" applyAlignment="1">
      <alignment vertical="center" wrapText="1" readingOrder="2"/>
    </xf>
    <xf numFmtId="0" fontId="7" fillId="6" borderId="25" xfId="0" applyFont="1" applyFill="1" applyBorder="1" applyAlignment="1">
      <alignment vertical="center" wrapText="1" readingOrder="2"/>
    </xf>
    <xf numFmtId="0" fontId="7" fillId="6" borderId="26" xfId="0" applyFont="1" applyFill="1" applyBorder="1" applyAlignment="1">
      <alignment vertical="center" wrapText="1" readingOrder="2"/>
    </xf>
    <xf numFmtId="0" fontId="7" fillId="6" borderId="5" xfId="0" applyFont="1" applyFill="1" applyBorder="1" applyAlignment="1">
      <alignment vertical="center" wrapText="1" readingOrder="2"/>
    </xf>
    <xf numFmtId="0" fontId="7" fillId="6" borderId="4" xfId="0" applyFont="1" applyFill="1" applyBorder="1" applyAlignment="1">
      <alignment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364774</xdr:colOff>
      <xdr:row>35</xdr:row>
      <xdr:rowOff>477663</xdr:rowOff>
    </xdr:from>
    <xdr:to>
      <xdr:col>9</xdr:col>
      <xdr:colOff>186903</xdr:colOff>
      <xdr:row>36</xdr:row>
      <xdr:rowOff>588813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6C9224C-049F-E282-10C5-10DD525F4595}"/>
                </a:ext>
              </a:extLst>
            </xdr14:cNvPr>
            <xdr14:cNvContentPartPr/>
          </xdr14:nvContentPartPr>
          <xdr14:nvPr macro=""/>
          <xdr14:xfrm>
            <a:off x="10398399916" y="15688800"/>
            <a:ext cx="1796400" cy="6422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6C9224C-049F-E282-10C5-10DD525F459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91276" y="15680160"/>
              <a:ext cx="1814040" cy="65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433524</xdr:colOff>
      <xdr:row>36</xdr:row>
      <xdr:rowOff>494133</xdr:rowOff>
    </xdr:from>
    <xdr:to>
      <xdr:col>7</xdr:col>
      <xdr:colOff>451164</xdr:colOff>
      <xdr:row>36</xdr:row>
      <xdr:rowOff>503853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AF6256A-9D27-0953-5EBC-A0D9E8BDDA33}"/>
                </a:ext>
              </a:extLst>
            </xdr14:cNvPr>
            <xdr14:cNvContentPartPr/>
          </xdr14:nvContentPartPr>
          <xdr14:nvPr macro=""/>
          <xdr14:xfrm>
            <a:off x="10399451836" y="16236360"/>
            <a:ext cx="17640" cy="9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AF6256A-9D27-0953-5EBC-A0D9E8BDDA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43196" y="16227720"/>
              <a:ext cx="35280" cy="27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58:35.0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4751 1093 16227,'0'0'0,"-14"-20"1400,-3 1-2016,17 19 616,-15-22-1120,6-4 120,9 2 328,-3-3 407,3 27 265,0-29-48,0-1-16,0-1-16,0 3-24,0 28 104,3-30-208,-3 3 0,0 1 56,4 1-40,-4 25 192,0-24-80,0 1 152,0 3 72,-4 3 48,4 17-192,-5-14 216,-10 2 40,1 8-64,-5 0-7,19 4-185,-24-5 48,0 4-16,-8 1 88,3 4 144,29-4-264,-31 17 624,0-1 160,0 3-40,4 2-136,27-21-608,-21 23 304,6 1-216,-4 1-176,9-1-48,10-24 136,-5 25-232,1-4-24,1-1 16,3 0-48,0-20 288,0 17-304,5-3-8,12-1-32,0-2-40,-17-11 384,21 4-368,3 12-56,5-13-57,7 1-55,-36-4 536,34 0-568,5 0 64,1-5 16,4-11 112,-44 16 376,43-13-224,-2-3 8,2 2 72,-4 1 32,-39 13 112,33-12-136,-4 7-16,0-6 24,-7 10 32,-22 1 96,21-3-24,-4 1 64,-7 2 88,-5 0 72,-5 0-200,12 0 240,-12 3 32,2 1 24,-2 8-32,0-12-264,0 4 232,-5 10 56,-9-2 64,-1 0 56,15-12-408,-19 16 408,-2 1-72,-11 2-152,1-1-56,31-18-128,-36 20 40,-5-3-64,-5 0-48,-2 0 0,48-17 72,-50 14-64,4-9 96,0 10 24,3-12 16,43-3-72,-41 4 72,0 9-64,-2-10 24,-3 11-32,46-14 0,-43 5 0,-3 10 0,8-3 73,-6-1 63,44-11-136,-45 14 216,-3 2 48,-3 1 8,5 1 0,46-18-272,-45 19 240,-1-1-56,-2 1-16,0-4-24,48-15-144,-43 13 160,2-9 8,2 9-64,1-10 16,38-3-120,-39 3 56,-2 1 48,5 0-24,-5-1-80,41-3 0,-43 0-64,5 0-112,-3-4 16,0-10 24,41 14 136,-41-16-96,2-5 136,3-5 56,7-5-152,29 31 56,-26-34-192,4-5-400,8-3-624,9-9-145,5 51 1361,-5-60-1424,5-5 200,20-5 512,4-3 239,-24 73 473,28-71-216,9 0-120,1 0-48,5 4-8,-43 67 392,36-62-376,3 4 240,-3 6 160,5 7 72,-41 45-96,38-43 120,-4 6 16,0 7-40,-3 6-8,-31 24-88,24-17 48,-2 6 24,-6 7 24,-3 1 16,-13 3-112,2 0 96,3 0 8,0 3 0,-5 11 144,0-14-248,0 15 432,0 7 193,-17 8 103,-3 5-32,20-35-696,-26 41 592,-5 6-152,-8 2-40,-2 0 40,41-49-440,-45 52 448,-8-3 56,0 2-7,-15 3-97,68-54-400,-69 55 312,-6 0-32,-7 0-16,-2-3-64,84-52-200,-84 51 120,-5-3 0,2-2-48,3-2-8,84-44-64,-84 37 152,7-5-64,0-5 0,5-7 32,72-20-120,-67 16 80,-3-3-96,5-9-32,2 7-40,63-11 88,-60 0-56,5 0 40,0 0 32,6-1 32,49 1-48,-50-6 0,4-5 56,3 7 24,4-8-56,39 12-24,-33-3 32,-1-1-48,3 1-16,2 2 0,29 1 32,-29 0-48,3 0-32,-1 0-8,-2 11-48,29-11 136,-26 3-192,-1 11 8,-4-1-32,2 3 48,29-16 168,-29 17-80,-2 0 16,5 0 32,-1-2 64,27-15-32,-26 15-16,4-4 8,3-7 16,-3 1-40,22-5 32,-14 2-64,4-2-184,5 0-112,-2-1-192,7 1 552,-2-6-697,-3-8 17,3 3-96,-1-2-120,3 13 896,0-17-1016,5-4-9,9-6 105,1-6 248,-15 33 672,14-36-432,8-1 176,2-1 152,5 2 136,-29 36-32,31-37 160,-2 2 152,9-1 64,-1 1-72,-37 35-304,43-34 264,3-2-152,-1 3-56,3-1 40,-48 34-96,48-34 88,3 2-8,-1 0-48,6 4 0,-56 28-32,53-27-8,0 4-24,0 2 16,-3-1-32,-50 22 48,48-18-16,-2 1-8,-5 3 8,-5 2 24,-36 12-8,31-4 16,0 0 40,-7 4 56,-4 0 32,-20 0-144,19 4 200,-5 9 16,-9-9 49,10 17 55,-15-21-320,0 19 312,0 1 80,-3 4 72,-11 3 104,14-27-568,-17 31 616,-5 6-88,-9 3-128,-5 4-112,36-44-288,-39 43 288,-11 1 32,2-4 25,-8 1-65,56-41-280,-60 42 184,0 1-104,-7 3 0,-5-4 8,72-42-88,-77 43 32,-5-3-48,3-2-48,-8-4-24,87-34 88,-89 33-40,0-5 64,2-3 32,3-4-48,84-21-8,-84 20-8,2-2-32,5 1 56,3-2 40,74-17-56,-68 17 80,-1 1 32,4 1-88,0 1-24,65-20 0,-63 22-80,8 4-16,4 1 32,3 1-80,48-28 144,-38 30-160,-1-1-64,10-1 32,3-4 8,26-24 184,-17 22-185,10-7-71,5-2-288,2-9-24,0-4 568,12 15-568,2-13 72,10 3 264,7-2 144,-31-3 88,41 0 16,12-2 144,7-14 0,12 1-24,-72 15-136,77-20 128,8-4-56,4-5-64,2-3 56,-91 32-64,96-37 56,3-5 16,7-3 96,4-2 8,-110 47-176,116-51 168,-1-5 24,1-3-56,1-4 48,-117 63-184,116-67 184,7-2-24,-1-7-72,1 1-104,-123 75 16,123-77-80,-6-1-72,-8 0 88,-6 1-40,-103 77 104,94-77-40,-10 6 104,-2 2 32,-10 3-32,-72 66-64,65-62 136,-7 2 64,-13 5 72,-1 2 33,-44 53-305,36-48 272,-10 9-96,-6 11 80,-8 12 216,-12 16-472,0-3 664,0 2 64,-3 1-16,-9 0-192,12 0-520,-19 13 240,-10 2 0,-7 8-304,-5 10 56,41-33 8,-43 41 72,-5 9 0,2 4 8,0 5-64,46-59-16,-45 67 32,4 3-64,0 5 40,2 3-8,39-78 0,-36 80-32,0 1 56,5-3-16,2 3 16,29-81-24,-24 80 16,5-2-176,2 3-136,5-1-848,12-80 1144,-7 79-2352,2 1-1505,5 1 240,0 7-1960,0-88 5577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5T07:58:35.4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 1 15955,'0'0'0,"-14"3"6361,14-3-6361,-15 13-1848,1-11-2929,9 3-560,5-2-336,0-3 5673,12 0-4145,-12 0 4145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7"/>
  <sheetViews>
    <sheetView rightToLeft="1" tabSelected="1" view="pageBreakPreview" topLeftCell="A37" zoomScale="130" zoomScaleNormal="100" zoomScaleSheetLayoutView="130" workbookViewId="0">
      <selection activeCell="G37" sqref="G37:J3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3" t="s">
        <v>205</v>
      </c>
      <c r="C1" s="63"/>
      <c r="D1" s="63"/>
      <c r="E1" s="63"/>
      <c r="F1" s="63"/>
      <c r="G1" s="63"/>
      <c r="H1" s="63"/>
      <c r="I1" s="63"/>
      <c r="J1" s="63"/>
    </row>
    <row r="2" spans="1:10" ht="30" customHeight="1" x14ac:dyDescent="0.2">
      <c r="B2" s="11" t="s">
        <v>8</v>
      </c>
      <c r="C2" s="69" t="s">
        <v>10</v>
      </c>
      <c r="D2" s="69"/>
      <c r="E2" s="11" t="s">
        <v>7</v>
      </c>
      <c r="F2" s="64" t="s">
        <v>56</v>
      </c>
      <c r="G2" s="64"/>
      <c r="H2" s="64"/>
      <c r="I2" s="64"/>
      <c r="J2" s="64"/>
    </row>
    <row r="3" spans="1:10" ht="30" customHeight="1" x14ac:dyDescent="0.2">
      <c r="B3" s="11" t="s">
        <v>9</v>
      </c>
      <c r="C3" s="69" t="s">
        <v>65</v>
      </c>
      <c r="D3" s="69"/>
      <c r="E3" s="11" t="s">
        <v>6</v>
      </c>
      <c r="F3" s="69" t="s">
        <v>113</v>
      </c>
      <c r="G3" s="69"/>
      <c r="H3" s="69"/>
      <c r="I3" s="69"/>
      <c r="J3" s="6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5" t="s">
        <v>0</v>
      </c>
      <c r="C5" s="66"/>
      <c r="D5" s="66"/>
      <c r="E5" s="55" t="s">
        <v>1</v>
      </c>
      <c r="F5" s="55"/>
      <c r="G5" s="55"/>
      <c r="H5" s="55"/>
      <c r="I5" s="55" t="s">
        <v>2</v>
      </c>
      <c r="J5" s="56"/>
    </row>
    <row r="6" spans="1:10" ht="24.95" customHeight="1" thickBot="1" x14ac:dyDescent="0.25">
      <c r="A6" s="9"/>
      <c r="B6" s="67"/>
      <c r="C6" s="68"/>
      <c r="D6" s="68"/>
      <c r="E6" s="10" t="s">
        <v>3</v>
      </c>
      <c r="F6" s="10" t="s">
        <v>4</v>
      </c>
      <c r="G6" s="10" t="s">
        <v>23</v>
      </c>
      <c r="H6" s="10" t="s">
        <v>24</v>
      </c>
      <c r="I6" s="57"/>
      <c r="J6" s="58"/>
    </row>
    <row r="7" spans="1:10" ht="24.95" customHeight="1" thickBot="1" x14ac:dyDescent="0.25">
      <c r="A7" s="9"/>
      <c r="B7" s="51" t="s">
        <v>21</v>
      </c>
      <c r="C7" s="52"/>
      <c r="D7" s="52"/>
      <c r="E7" s="27" t="s">
        <v>18</v>
      </c>
      <c r="F7" s="27" t="s">
        <v>19</v>
      </c>
      <c r="G7" s="27" t="s">
        <v>22</v>
      </c>
      <c r="H7" s="27" t="s">
        <v>20</v>
      </c>
      <c r="I7" s="59" t="s">
        <v>25</v>
      </c>
      <c r="J7" s="60"/>
    </row>
    <row r="8" spans="1:10" ht="30" customHeight="1" x14ac:dyDescent="0.2">
      <c r="A8" s="9"/>
      <c r="B8" s="83" t="s">
        <v>180</v>
      </c>
      <c r="C8" s="84"/>
      <c r="D8" s="84"/>
      <c r="E8" s="84"/>
      <c r="F8" s="84"/>
      <c r="G8" s="84"/>
      <c r="H8" s="84"/>
      <c r="I8" s="84"/>
      <c r="J8" s="85"/>
    </row>
    <row r="9" spans="1:10" ht="57" customHeight="1" x14ac:dyDescent="0.2">
      <c r="A9" s="9"/>
      <c r="B9" s="79" t="s">
        <v>181</v>
      </c>
      <c r="C9" s="80"/>
      <c r="D9" s="80"/>
      <c r="E9" s="31">
        <v>5</v>
      </c>
      <c r="F9" s="25">
        <v>3.75</v>
      </c>
      <c r="G9" s="29">
        <f>IFERROR(F9/E9,"")</f>
        <v>0.75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3"/>
      <c r="J9" s="54"/>
    </row>
    <row r="10" spans="1:10" ht="39.950000000000003" customHeight="1" x14ac:dyDescent="0.2">
      <c r="A10" s="9"/>
      <c r="B10" s="79" t="s">
        <v>182</v>
      </c>
      <c r="C10" s="80"/>
      <c r="D10" s="80"/>
      <c r="E10" s="31"/>
      <c r="F10" s="25"/>
      <c r="G10" s="29"/>
      <c r="H10" s="30"/>
      <c r="I10" s="53"/>
      <c r="J10" s="54"/>
    </row>
    <row r="11" spans="1:10" ht="30" customHeight="1" x14ac:dyDescent="0.2">
      <c r="A11" s="9"/>
      <c r="B11" s="77" t="s">
        <v>183</v>
      </c>
      <c r="C11" s="78"/>
      <c r="D11" s="78"/>
      <c r="E11" s="31">
        <v>5</v>
      </c>
      <c r="F11" s="25">
        <v>3.75</v>
      </c>
      <c r="G11" s="29">
        <f t="shared" ref="G10:G32" si="0">IFERROR(F11/E11,"")</f>
        <v>0.75</v>
      </c>
      <c r="H11" s="30" t="str">
        <f t="shared" ref="H10:H32" si="1">_xlfn.IFS(F11="أدخل العلامة","",F11="لا ينطبق","تم الإلغاء",G11&gt;=90%,"ممتاز",G11&gt;=80%,"جيد جداً",G11&gt;=70%,"جيد",G11&gt;=60%,"مقبول",G11&lt;60%,"راسب")</f>
        <v>جيد</v>
      </c>
      <c r="I11" s="53"/>
      <c r="J11" s="54"/>
    </row>
    <row r="12" spans="1:10" ht="30" customHeight="1" x14ac:dyDescent="0.2">
      <c r="A12" s="9"/>
      <c r="B12" s="77" t="s">
        <v>184</v>
      </c>
      <c r="C12" s="78"/>
      <c r="D12" s="78"/>
      <c r="E12" s="31">
        <v>5</v>
      </c>
      <c r="F12" s="25">
        <v>4.25</v>
      </c>
      <c r="G12" s="29">
        <f t="shared" si="0"/>
        <v>0.85</v>
      </c>
      <c r="H12" s="30" t="str">
        <f t="shared" si="1"/>
        <v>جيد جداً</v>
      </c>
      <c r="I12" s="53"/>
      <c r="J12" s="54"/>
    </row>
    <row r="13" spans="1:10" ht="30" customHeight="1" x14ac:dyDescent="0.2">
      <c r="A13" s="9"/>
      <c r="B13" s="77" t="s">
        <v>185</v>
      </c>
      <c r="C13" s="78"/>
      <c r="D13" s="78"/>
      <c r="E13" s="31">
        <v>5</v>
      </c>
      <c r="F13" s="25">
        <v>3.75</v>
      </c>
      <c r="G13" s="29">
        <f t="shared" si="0"/>
        <v>0.75</v>
      </c>
      <c r="H13" s="30" t="str">
        <f t="shared" si="1"/>
        <v>جيد</v>
      </c>
      <c r="I13" s="53"/>
      <c r="J13" s="54"/>
    </row>
    <row r="14" spans="1:10" ht="30" customHeight="1" x14ac:dyDescent="0.2">
      <c r="A14" s="9"/>
      <c r="B14" s="79" t="s">
        <v>186</v>
      </c>
      <c r="C14" s="80"/>
      <c r="D14" s="80"/>
      <c r="E14" s="31">
        <v>5</v>
      </c>
      <c r="F14" s="25">
        <v>4.25</v>
      </c>
      <c r="G14" s="29">
        <f t="shared" si="0"/>
        <v>0.85</v>
      </c>
      <c r="H14" s="30" t="str">
        <f t="shared" si="1"/>
        <v>جيد جداً</v>
      </c>
      <c r="I14" s="53"/>
      <c r="J14" s="54"/>
    </row>
    <row r="15" spans="1:10" ht="39.950000000000003" customHeight="1" x14ac:dyDescent="0.2">
      <c r="A15" s="9"/>
      <c r="B15" s="79" t="s">
        <v>187</v>
      </c>
      <c r="C15" s="80"/>
      <c r="D15" s="80"/>
      <c r="E15" s="31">
        <v>5</v>
      </c>
      <c r="F15" s="25">
        <v>3.75</v>
      </c>
      <c r="G15" s="29">
        <f t="shared" si="0"/>
        <v>0.75</v>
      </c>
      <c r="H15" s="30" t="str">
        <f t="shared" si="1"/>
        <v>جيد</v>
      </c>
      <c r="I15" s="53"/>
      <c r="J15" s="54"/>
    </row>
    <row r="16" spans="1:10" ht="39.950000000000003" customHeight="1" x14ac:dyDescent="0.2">
      <c r="A16" s="9"/>
      <c r="B16" s="79" t="s">
        <v>188</v>
      </c>
      <c r="C16" s="80"/>
      <c r="D16" s="80"/>
      <c r="E16" s="31">
        <v>5</v>
      </c>
      <c r="F16" s="25">
        <v>3.5</v>
      </c>
      <c r="G16" s="29">
        <f t="shared" si="0"/>
        <v>0.7</v>
      </c>
      <c r="H16" s="30" t="str">
        <f t="shared" si="1"/>
        <v>جيد</v>
      </c>
      <c r="I16" s="53"/>
      <c r="J16" s="54"/>
    </row>
    <row r="17" spans="1:10" ht="51" customHeight="1" thickBot="1" x14ac:dyDescent="0.25">
      <c r="A17" s="9"/>
      <c r="B17" s="81" t="s">
        <v>189</v>
      </c>
      <c r="C17" s="82"/>
      <c r="D17" s="82"/>
      <c r="E17" s="36">
        <v>5</v>
      </c>
      <c r="F17" s="26">
        <v>3.75</v>
      </c>
      <c r="G17" s="37">
        <f t="shared" si="0"/>
        <v>0.75</v>
      </c>
      <c r="H17" s="38" t="str">
        <f t="shared" si="1"/>
        <v>جيد</v>
      </c>
      <c r="I17" s="45"/>
      <c r="J17" s="46"/>
    </row>
    <row r="18" spans="1:10" ht="30" customHeight="1" x14ac:dyDescent="0.2">
      <c r="A18" s="9"/>
      <c r="B18" s="86" t="s">
        <v>190</v>
      </c>
      <c r="C18" s="87"/>
      <c r="D18" s="87"/>
      <c r="E18" s="32"/>
      <c r="F18" s="33"/>
      <c r="G18" s="34"/>
      <c r="H18" s="35"/>
      <c r="I18" s="61"/>
      <c r="J18" s="62"/>
    </row>
    <row r="19" spans="1:10" ht="39.950000000000003" customHeight="1" x14ac:dyDescent="0.2">
      <c r="A19" s="9"/>
      <c r="B19" s="79" t="s">
        <v>191</v>
      </c>
      <c r="C19" s="80"/>
      <c r="D19" s="80"/>
      <c r="E19" s="31"/>
      <c r="F19" s="25"/>
      <c r="G19" s="29"/>
      <c r="H19" s="30"/>
      <c r="I19" s="53"/>
      <c r="J19" s="54"/>
    </row>
    <row r="20" spans="1:10" ht="30" customHeight="1" x14ac:dyDescent="0.2">
      <c r="A20" s="9"/>
      <c r="B20" s="77" t="s">
        <v>192</v>
      </c>
      <c r="C20" s="78"/>
      <c r="D20" s="78"/>
      <c r="E20" s="31">
        <v>5</v>
      </c>
      <c r="F20" s="25">
        <v>3.75</v>
      </c>
      <c r="G20" s="29">
        <f t="shared" si="0"/>
        <v>0.75</v>
      </c>
      <c r="H20" s="30" t="str">
        <f t="shared" si="1"/>
        <v>جيد</v>
      </c>
      <c r="I20" s="53"/>
      <c r="J20" s="54"/>
    </row>
    <row r="21" spans="1:10" ht="30" customHeight="1" x14ac:dyDescent="0.2">
      <c r="A21" s="9"/>
      <c r="B21" s="77" t="s">
        <v>193</v>
      </c>
      <c r="C21" s="78"/>
      <c r="D21" s="78"/>
      <c r="E21" s="31">
        <v>5</v>
      </c>
      <c r="F21" s="25">
        <v>3.75</v>
      </c>
      <c r="G21" s="29">
        <f t="shared" si="0"/>
        <v>0.75</v>
      </c>
      <c r="H21" s="30" t="str">
        <f t="shared" si="1"/>
        <v>جيد</v>
      </c>
      <c r="I21" s="53"/>
      <c r="J21" s="54"/>
    </row>
    <row r="22" spans="1:10" ht="30" customHeight="1" x14ac:dyDescent="0.2">
      <c r="A22" s="9"/>
      <c r="B22" s="77" t="s">
        <v>194</v>
      </c>
      <c r="C22" s="78"/>
      <c r="D22" s="78"/>
      <c r="E22" s="31">
        <v>5</v>
      </c>
      <c r="F22" s="25">
        <v>4.25</v>
      </c>
      <c r="G22" s="29">
        <f t="shared" si="0"/>
        <v>0.85</v>
      </c>
      <c r="H22" s="30" t="str">
        <f t="shared" si="1"/>
        <v>جيد جداً</v>
      </c>
      <c r="I22" s="53"/>
      <c r="J22" s="54"/>
    </row>
    <row r="23" spans="1:10" ht="30" customHeight="1" x14ac:dyDescent="0.2">
      <c r="A23" s="9"/>
      <c r="B23" s="79" t="s">
        <v>195</v>
      </c>
      <c r="C23" s="80"/>
      <c r="D23" s="80"/>
      <c r="E23" s="31">
        <v>5</v>
      </c>
      <c r="F23" s="25">
        <v>3.75</v>
      </c>
      <c r="G23" s="29">
        <f t="shared" si="0"/>
        <v>0.75</v>
      </c>
      <c r="H23" s="30" t="str">
        <f t="shared" si="1"/>
        <v>جيد</v>
      </c>
      <c r="I23" s="53"/>
      <c r="J23" s="54"/>
    </row>
    <row r="24" spans="1:10" ht="30" customHeight="1" x14ac:dyDescent="0.2">
      <c r="A24" s="9"/>
      <c r="B24" s="79" t="s">
        <v>196</v>
      </c>
      <c r="C24" s="80"/>
      <c r="D24" s="80"/>
      <c r="E24" s="31">
        <v>5</v>
      </c>
      <c r="F24" s="25">
        <v>4.25</v>
      </c>
      <c r="G24" s="29">
        <f t="shared" si="0"/>
        <v>0.85</v>
      </c>
      <c r="H24" s="30" t="str">
        <f t="shared" si="1"/>
        <v>جيد جداً</v>
      </c>
      <c r="I24" s="53"/>
      <c r="J24" s="54"/>
    </row>
    <row r="25" spans="1:10" ht="39.950000000000003" customHeight="1" thickBot="1" x14ac:dyDescent="0.25">
      <c r="A25" s="9"/>
      <c r="B25" s="81" t="s">
        <v>197</v>
      </c>
      <c r="C25" s="82"/>
      <c r="D25" s="82"/>
      <c r="E25" s="36">
        <v>5</v>
      </c>
      <c r="F25" s="26">
        <v>3.75</v>
      </c>
      <c r="G25" s="37">
        <f t="shared" si="0"/>
        <v>0.75</v>
      </c>
      <c r="H25" s="38" t="str">
        <f t="shared" si="1"/>
        <v>جيد</v>
      </c>
      <c r="I25" s="45"/>
      <c r="J25" s="46"/>
    </row>
    <row r="26" spans="1:10" ht="30" customHeight="1" x14ac:dyDescent="0.2">
      <c r="A26" s="9"/>
      <c r="B26" s="83" t="s">
        <v>198</v>
      </c>
      <c r="C26" s="84"/>
      <c r="D26" s="84"/>
      <c r="E26" s="84"/>
      <c r="F26" s="84"/>
      <c r="G26" s="84"/>
      <c r="H26" s="84"/>
      <c r="I26" s="84"/>
      <c r="J26" s="85"/>
    </row>
    <row r="27" spans="1:10" ht="39.950000000000003" customHeight="1" x14ac:dyDescent="0.2">
      <c r="A27" s="9"/>
      <c r="B27" s="79" t="s">
        <v>199</v>
      </c>
      <c r="C27" s="80"/>
      <c r="D27" s="80"/>
      <c r="E27" s="31">
        <v>5</v>
      </c>
      <c r="F27" s="25">
        <v>3.75</v>
      </c>
      <c r="G27" s="29">
        <f t="shared" si="0"/>
        <v>0.75</v>
      </c>
      <c r="H27" s="30" t="str">
        <f t="shared" si="1"/>
        <v>جيد</v>
      </c>
      <c r="I27" s="53"/>
      <c r="J27" s="54"/>
    </row>
    <row r="28" spans="1:10" ht="39.950000000000003" customHeight="1" x14ac:dyDescent="0.2">
      <c r="A28" s="9"/>
      <c r="B28" s="79" t="s">
        <v>200</v>
      </c>
      <c r="C28" s="80"/>
      <c r="D28" s="80"/>
      <c r="E28" s="31">
        <v>5</v>
      </c>
      <c r="F28" s="25">
        <v>3.75</v>
      </c>
      <c r="G28" s="29">
        <f t="shared" si="0"/>
        <v>0.75</v>
      </c>
      <c r="H28" s="30" t="str">
        <f t="shared" si="1"/>
        <v>جيد</v>
      </c>
      <c r="I28" s="53"/>
      <c r="J28" s="54"/>
    </row>
    <row r="29" spans="1:10" ht="39.950000000000003" customHeight="1" x14ac:dyDescent="0.2">
      <c r="A29" s="9"/>
      <c r="B29" s="79" t="s">
        <v>201</v>
      </c>
      <c r="C29" s="80"/>
      <c r="D29" s="80"/>
      <c r="E29" s="31">
        <v>5</v>
      </c>
      <c r="F29" s="25">
        <v>3.75</v>
      </c>
      <c r="G29" s="29">
        <f t="shared" si="0"/>
        <v>0.75</v>
      </c>
      <c r="H29" s="30" t="str">
        <f t="shared" si="1"/>
        <v>جيد</v>
      </c>
      <c r="I29" s="53"/>
      <c r="J29" s="54"/>
    </row>
    <row r="30" spans="1:10" ht="39.950000000000003" customHeight="1" x14ac:dyDescent="0.2">
      <c r="A30" s="9"/>
      <c r="B30" s="79" t="s">
        <v>202</v>
      </c>
      <c r="C30" s="80"/>
      <c r="D30" s="80"/>
      <c r="E30" s="31">
        <v>5</v>
      </c>
      <c r="F30" s="25">
        <v>3.75</v>
      </c>
      <c r="G30" s="29">
        <f t="shared" si="0"/>
        <v>0.75</v>
      </c>
      <c r="H30" s="30" t="str">
        <f t="shared" si="1"/>
        <v>جيد</v>
      </c>
      <c r="I30" s="53"/>
      <c r="J30" s="54"/>
    </row>
    <row r="31" spans="1:10" ht="30" customHeight="1" x14ac:dyDescent="0.2">
      <c r="A31" s="9"/>
      <c r="B31" s="79" t="s">
        <v>203</v>
      </c>
      <c r="C31" s="80"/>
      <c r="D31" s="80"/>
      <c r="E31" s="31">
        <v>5</v>
      </c>
      <c r="F31" s="25">
        <v>3.75</v>
      </c>
      <c r="G31" s="29">
        <f t="shared" si="0"/>
        <v>0.75</v>
      </c>
      <c r="H31" s="30" t="str">
        <f t="shared" si="1"/>
        <v>جيد</v>
      </c>
      <c r="I31" s="53"/>
      <c r="J31" s="54"/>
    </row>
    <row r="32" spans="1:10" ht="39.950000000000003" customHeight="1" thickBot="1" x14ac:dyDescent="0.25">
      <c r="A32" s="9"/>
      <c r="B32" s="81" t="s">
        <v>204</v>
      </c>
      <c r="C32" s="82"/>
      <c r="D32" s="82"/>
      <c r="E32" s="36">
        <v>5</v>
      </c>
      <c r="F32" s="26">
        <v>3.75</v>
      </c>
      <c r="G32" s="37">
        <f t="shared" si="0"/>
        <v>0.75</v>
      </c>
      <c r="H32" s="38" t="str">
        <f t="shared" si="1"/>
        <v>جيد</v>
      </c>
      <c r="I32" s="45"/>
      <c r="J32" s="46"/>
    </row>
    <row r="33" spans="1:10" ht="30" customHeight="1" thickBot="1" x14ac:dyDescent="0.25">
      <c r="A33" s="4"/>
      <c r="B33" s="47" t="s">
        <v>5</v>
      </c>
      <c r="C33" s="48"/>
      <c r="D33" s="48"/>
      <c r="E33" s="28">
        <f>SUM(E8:E32)</f>
        <v>100</v>
      </c>
      <c r="F33" s="28">
        <f>SUM(F8:F32)</f>
        <v>76.75</v>
      </c>
      <c r="G33" s="72"/>
      <c r="H33" s="73"/>
      <c r="I33" s="73"/>
      <c r="J33" s="74"/>
    </row>
    <row r="34" spans="1:10" ht="30" customHeight="1" thickBot="1" x14ac:dyDescent="0.25">
      <c r="A34" s="4"/>
      <c r="B34" s="49" t="s">
        <v>54</v>
      </c>
      <c r="C34" s="50"/>
      <c r="D34" s="50"/>
      <c r="E34" s="75">
        <f>F33/E33/100*100</f>
        <v>0.76749999999999996</v>
      </c>
      <c r="F34" s="75"/>
      <c r="G34" s="75"/>
      <c r="H34" s="75"/>
      <c r="I34" s="75"/>
      <c r="J34" s="76"/>
    </row>
    <row r="35" spans="1:10" ht="30" customHeight="1" thickBot="1" x14ac:dyDescent="0.25">
      <c r="A35" s="4"/>
      <c r="B35" s="49" t="s">
        <v>55</v>
      </c>
      <c r="C35" s="50"/>
      <c r="D35" s="50"/>
      <c r="E35" s="43" t="str">
        <f>_xlfn.IFS(E34&gt;=90%,"ممتاز",E34&gt;=80%,"جيد جداً",E34&gt;=70%,"جيد",E34&gt;=60%,"مقبول",E34&lt;60%,"راسب")</f>
        <v>جيد</v>
      </c>
      <c r="F35" s="43"/>
      <c r="G35" s="43"/>
      <c r="H35" s="43"/>
      <c r="I35" s="43"/>
      <c r="J35" s="44"/>
    </row>
    <row r="36" spans="1:10" ht="42" customHeight="1" x14ac:dyDescent="0.2">
      <c r="B36" s="39" t="s">
        <v>174</v>
      </c>
      <c r="C36" s="39"/>
      <c r="D36" s="39"/>
      <c r="E36" s="70" t="s">
        <v>52</v>
      </c>
      <c r="F36" s="70"/>
      <c r="G36" s="41" t="s">
        <v>113</v>
      </c>
      <c r="H36" s="41"/>
      <c r="I36" s="41"/>
      <c r="J36" s="41"/>
    </row>
    <row r="37" spans="1:10" ht="51" customHeight="1" x14ac:dyDescent="0.2">
      <c r="A37" s="5"/>
      <c r="B37" s="40"/>
      <c r="C37" s="40"/>
      <c r="D37" s="40"/>
      <c r="E37" s="71" t="s">
        <v>53</v>
      </c>
      <c r="F37" s="71"/>
      <c r="G37" s="42"/>
      <c r="H37" s="42"/>
      <c r="I37" s="42"/>
      <c r="J37" s="4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9">
    <mergeCell ref="B21:D21"/>
    <mergeCell ref="B22:D22"/>
    <mergeCell ref="B23:D23"/>
    <mergeCell ref="B24:D24"/>
    <mergeCell ref="B25:D25"/>
    <mergeCell ref="B8:J8"/>
    <mergeCell ref="B17:D17"/>
    <mergeCell ref="B18:D18"/>
    <mergeCell ref="B19:D19"/>
    <mergeCell ref="B20:D20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24:J24"/>
    <mergeCell ref="I25:J25"/>
    <mergeCell ref="I27:J27"/>
    <mergeCell ref="E34:J34"/>
    <mergeCell ref="I29:J29"/>
    <mergeCell ref="B26:J26"/>
    <mergeCell ref="B27:D27"/>
    <mergeCell ref="B28:D28"/>
    <mergeCell ref="B29:D29"/>
    <mergeCell ref="B30:D30"/>
    <mergeCell ref="B31:D31"/>
    <mergeCell ref="I19:J19"/>
    <mergeCell ref="I20:J20"/>
    <mergeCell ref="I21:J21"/>
    <mergeCell ref="I22:J22"/>
    <mergeCell ref="I23:J23"/>
    <mergeCell ref="B1:J1"/>
    <mergeCell ref="F2:J2"/>
    <mergeCell ref="B5:D6"/>
    <mergeCell ref="C2:D2"/>
    <mergeCell ref="C3:D3"/>
    <mergeCell ref="F3:J3"/>
    <mergeCell ref="B7:D7"/>
    <mergeCell ref="I30:J30"/>
    <mergeCell ref="I31:J31"/>
    <mergeCell ref="E5:H5"/>
    <mergeCell ref="I5:J6"/>
    <mergeCell ref="I7:J7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B36:D37"/>
    <mergeCell ref="G36:J36"/>
    <mergeCell ref="G37:J37"/>
    <mergeCell ref="E35:J35"/>
    <mergeCell ref="I32:J32"/>
    <mergeCell ref="B33:D33"/>
    <mergeCell ref="B34:D34"/>
    <mergeCell ref="B35:D35"/>
    <mergeCell ref="E36:F36"/>
    <mergeCell ref="E37:F37"/>
    <mergeCell ref="G33:J33"/>
    <mergeCell ref="B32:D3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5">
    <cfRule type="expression" dxfId="21" priority="57">
      <formula>$E35="راسب"</formula>
    </cfRule>
  </conditionalFormatting>
  <conditionalFormatting sqref="E35:J35">
    <cfRule type="expression" dxfId="20" priority="60">
      <formula>$E35="جيد جداً"</formula>
    </cfRule>
    <cfRule type="expression" dxfId="19" priority="59">
      <formula>$E35="جيد"</formula>
    </cfRule>
    <cfRule type="expression" dxfId="18" priority="58">
      <formula>$E35="مقبول"</formula>
    </cfRule>
    <cfRule type="expression" dxfId="17" priority="61">
      <formula>$E35="ممتاز"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2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36:J36">
    <cfRule type="containsText" dxfId="12" priority="15" operator="containsText" text="أدخل اسم المحكم">
      <formula>NOT(ISERROR(SEARCH("أدخل اسم المحكم",G36)))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2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F27:F32 F20:F25 F11:F17 F9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G36:J36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134" sqref="A13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45931</v>
      </c>
    </row>
    <row r="40" spans="1:9" ht="20.100000000000001" customHeight="1" thickBot="1" x14ac:dyDescent="0.3">
      <c r="A40" s="12">
        <v>45932</v>
      </c>
    </row>
    <row r="41" spans="1:9" ht="20.100000000000001" customHeight="1" thickBot="1" x14ac:dyDescent="0.3">
      <c r="A41" s="12">
        <v>45933</v>
      </c>
    </row>
    <row r="42" spans="1:9" ht="20.100000000000001" customHeight="1" thickBot="1" x14ac:dyDescent="0.3">
      <c r="A42" s="12">
        <v>45934</v>
      </c>
    </row>
    <row r="43" spans="1:9" ht="20.100000000000001" customHeight="1" thickBot="1" x14ac:dyDescent="0.3">
      <c r="A43" s="12">
        <v>45935</v>
      </c>
    </row>
    <row r="44" spans="1:9" ht="20.100000000000001" customHeight="1" thickBot="1" x14ac:dyDescent="0.3">
      <c r="A44" s="12">
        <v>45936</v>
      </c>
    </row>
    <row r="45" spans="1:9" ht="20.100000000000001" customHeight="1" thickBot="1" x14ac:dyDescent="0.3">
      <c r="A45" s="12">
        <v>45937</v>
      </c>
    </row>
    <row r="46" spans="1:9" ht="20.100000000000001" customHeight="1" thickBot="1" x14ac:dyDescent="0.3">
      <c r="A46" s="12">
        <v>45938</v>
      </c>
    </row>
    <row r="47" spans="1:9" ht="20.100000000000001" customHeight="1" thickBot="1" x14ac:dyDescent="0.3">
      <c r="A47" s="12">
        <v>45939</v>
      </c>
    </row>
    <row r="48" spans="1:9" ht="20.100000000000001" customHeight="1" thickBot="1" x14ac:dyDescent="0.3">
      <c r="A48" s="12">
        <v>45940</v>
      </c>
    </row>
    <row r="49" spans="1:1" ht="20.100000000000001" customHeight="1" thickBot="1" x14ac:dyDescent="0.3">
      <c r="A49" s="12">
        <v>45941</v>
      </c>
    </row>
    <row r="50" spans="1:1" ht="20.100000000000001" customHeight="1" thickBot="1" x14ac:dyDescent="0.3">
      <c r="A50" s="12">
        <v>45942</v>
      </c>
    </row>
    <row r="51" spans="1:1" ht="20.100000000000001" customHeight="1" thickBot="1" x14ac:dyDescent="0.3">
      <c r="A51" s="12">
        <v>45943</v>
      </c>
    </row>
    <row r="52" spans="1:1" ht="20.100000000000001" customHeight="1" thickBot="1" x14ac:dyDescent="0.3">
      <c r="A52" s="12">
        <v>45944</v>
      </c>
    </row>
    <row r="53" spans="1:1" ht="20.100000000000001" customHeight="1" thickBot="1" x14ac:dyDescent="0.3">
      <c r="A53" s="12">
        <v>45945</v>
      </c>
    </row>
    <row r="54" spans="1:1" ht="20.100000000000001" customHeight="1" thickBot="1" x14ac:dyDescent="0.3">
      <c r="A54" s="12">
        <v>45946</v>
      </c>
    </row>
    <row r="55" spans="1:1" ht="20.100000000000001" customHeight="1" thickBot="1" x14ac:dyDescent="0.3">
      <c r="A55" s="12">
        <v>45947</v>
      </c>
    </row>
    <row r="56" spans="1:1" ht="20.100000000000001" customHeight="1" thickBot="1" x14ac:dyDescent="0.3">
      <c r="A56" s="12">
        <v>45948</v>
      </c>
    </row>
    <row r="57" spans="1:1" ht="20.100000000000001" customHeight="1" thickBot="1" x14ac:dyDescent="0.3">
      <c r="A57" s="12">
        <v>45949</v>
      </c>
    </row>
    <row r="58" spans="1:1" ht="20.100000000000001" customHeight="1" thickBot="1" x14ac:dyDescent="0.3">
      <c r="A58" s="12">
        <v>45950</v>
      </c>
    </row>
    <row r="59" spans="1:1" ht="20.100000000000001" customHeight="1" thickBot="1" x14ac:dyDescent="0.3">
      <c r="A59" s="12">
        <v>45951</v>
      </c>
    </row>
    <row r="60" spans="1:1" ht="20.100000000000001" customHeight="1" thickBot="1" x14ac:dyDescent="0.3">
      <c r="A60" s="12">
        <v>45952</v>
      </c>
    </row>
    <row r="61" spans="1:1" ht="20.100000000000001" customHeight="1" thickBot="1" x14ac:dyDescent="0.3">
      <c r="A61" s="12">
        <v>45953</v>
      </c>
    </row>
    <row r="62" spans="1:1" ht="20.100000000000001" customHeight="1" thickBot="1" x14ac:dyDescent="0.3">
      <c r="A62" s="12">
        <v>45954</v>
      </c>
    </row>
    <row r="63" spans="1:1" ht="20.100000000000001" customHeight="1" thickBot="1" x14ac:dyDescent="0.3">
      <c r="A63" s="12">
        <v>45955</v>
      </c>
    </row>
    <row r="64" spans="1:1" ht="20.100000000000001" customHeight="1" thickBot="1" x14ac:dyDescent="0.3">
      <c r="A64" s="12">
        <v>45956</v>
      </c>
    </row>
    <row r="65" spans="1:1" ht="20.100000000000001" customHeight="1" thickBot="1" x14ac:dyDescent="0.3">
      <c r="A65" s="12">
        <v>45957</v>
      </c>
    </row>
    <row r="66" spans="1:1" ht="20.100000000000001" customHeight="1" thickBot="1" x14ac:dyDescent="0.3">
      <c r="A66" s="12">
        <v>45958</v>
      </c>
    </row>
    <row r="67" spans="1:1" ht="20.100000000000001" customHeight="1" thickBot="1" x14ac:dyDescent="0.3">
      <c r="A67" s="12">
        <v>45959</v>
      </c>
    </row>
    <row r="68" spans="1:1" ht="20.100000000000001" customHeight="1" thickBot="1" x14ac:dyDescent="0.3">
      <c r="A68" s="12">
        <v>45960</v>
      </c>
    </row>
    <row r="69" spans="1:1" ht="20.100000000000001" customHeight="1" thickBot="1" x14ac:dyDescent="0.3">
      <c r="A69" s="12">
        <v>45961</v>
      </c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2025-10-22T07:13:41Z</dcterms:modified>
</cp:coreProperties>
</file>