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486C7094-6A08-0842-8810-52ED6726259E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التقييم'!$A$1:$J$53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2" l="1"/>
  <c r="H11" i="2"/>
  <c r="G13" i="2"/>
  <c r="H13" i="2"/>
  <c r="G14" i="2"/>
  <c r="H14" i="2"/>
  <c r="G15" i="2"/>
  <c r="H15" i="2"/>
  <c r="G16" i="2"/>
  <c r="H16" i="2"/>
  <c r="G17" i="2"/>
  <c r="H17" i="2"/>
  <c r="G19" i="2"/>
  <c r="H19" i="2"/>
  <c r="G20" i="2"/>
  <c r="H20" i="2"/>
  <c r="G23" i="2"/>
  <c r="H23" i="2"/>
  <c r="G24" i="2"/>
  <c r="H24" i="2"/>
  <c r="G25" i="2"/>
  <c r="H25" i="2"/>
  <c r="G27" i="2"/>
  <c r="H27" i="2"/>
  <c r="G28" i="2"/>
  <c r="H28" i="2"/>
  <c r="G29" i="2"/>
  <c r="H29" i="2"/>
  <c r="G30" i="2"/>
  <c r="H30" i="2"/>
  <c r="G33" i="2"/>
  <c r="H33" i="2"/>
  <c r="G34" i="2"/>
  <c r="H34" i="2"/>
  <c r="G36" i="2"/>
  <c r="H36" i="2"/>
  <c r="G37" i="2"/>
  <c r="H37" i="2"/>
  <c r="G38" i="2"/>
  <c r="H38" i="2"/>
  <c r="G39" i="2"/>
  <c r="H39" i="2"/>
  <c r="G40" i="2"/>
  <c r="H40" i="2"/>
  <c r="G41" i="2"/>
  <c r="H41" i="2"/>
  <c r="G42" i="2"/>
  <c r="H42" i="2"/>
  <c r="G43" i="2"/>
  <c r="H43" i="2"/>
  <c r="G44" i="2"/>
  <c r="H44" i="2"/>
  <c r="G45" i="2"/>
  <c r="H45" i="2"/>
  <c r="G46" i="2"/>
  <c r="H46" i="2"/>
  <c r="G47" i="2"/>
  <c r="H47" i="2"/>
  <c r="G48" i="2"/>
  <c r="H48" i="2"/>
  <c r="F49" i="2"/>
  <c r="E49" i="2"/>
  <c r="E50" i="2"/>
  <c r="E51" i="2"/>
</calcChain>
</file>

<file path=xl/sharedStrings.xml><?xml version="1.0" encoding="utf-8"?>
<sst xmlns="http://schemas.openxmlformats.org/spreadsheetml/2006/main" count="274" uniqueCount="218">
  <si>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</si>
  <si>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</si>
  <si>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</si>
  <si>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</si>
  <si>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</si>
  <si>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</si>
  <si>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</si>
  <si>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</si>
  <si>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</si>
  <si>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</si>
  <si>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</si>
  <si>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</si>
  <si>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</si>
  <si>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</si>
  <si>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</si>
  <si>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</si>
  <si>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</si>
  <si>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</si>
  <si>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</si>
  <si>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</si>
  <si>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</si>
  <si>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</si>
  <si>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</si>
  <si>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</si>
  <si>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</si>
  <si>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</si>
  <si>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</si>
  <si>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</si>
  <si>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</si>
  <si>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</si>
  <si>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</si>
  <si>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</si>
  <si>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</si>
  <si>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</si>
  <si>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</si>
  <si>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</si>
  <si>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</si>
  <si>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</si>
  <si>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</si>
  <si>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</si>
  <si>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</si>
  <si>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</si>
  <si>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</si>
  <si>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</si>
  <si>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</si>
  <si>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</si>
  <si>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</si>
  <si>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</si>
  <si>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</si>
  <si>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</si>
  <si>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</si>
  <si>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</si>
  <si>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</si>
  <si>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</si>
  <si>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</si>
  <si>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</si>
  <si>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</si>
  <si>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</si>
  <si>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</si>
  <si>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</si>
  <si>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</si>
  <si>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</si>
  <si>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</si>
  <si>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</si>
  <si>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</si>
  <si>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</si>
  <si>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</si>
  <si>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</si>
  <si>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</si>
  <si>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</si>
  <si>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</si>
  <si>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</si>
  <si>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</si>
  <si>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</si>
  <si>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</si>
  <si>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</si>
  <si>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</si>
  <si>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</si>
  <si>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</si>
  <si>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</si>
  <si>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</si>
  <si>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</si>
  <si>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</si>
  <si>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</si>
  <si>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</si>
  <si>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</si>
  <si>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</si>
  <si>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</si>
  <si>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</si>
  <si>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</si>
  <si>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</si>
  <si>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</si>
  <si>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</si>
  <si>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</si>
  <si>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</si>
  <si>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</si>
  <si>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</si>
  <si>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</si>
  <si>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</si>
  <si>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</si>
  <si>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</si>
  <si>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</si>
  <si>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</si>
  <si>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</si>
  <si>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</si>
  <si>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</si>
  <si>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</si>
  <si>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</si>
  <si>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</si>
  <si>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</si>
  <si>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</si>
  <si>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</si>
  <si>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</si>
  <si>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</si>
  <si>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</si>
  <si>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</si>
  <si>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</si>
  <si>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</si>
  <si>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</si>
  <si>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</si>
  <si>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</si>
  <si>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</si>
  <si>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</si>
  <si>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</si>
  <si>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</si>
  <si>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</si>
  <si>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</si>
  <si>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</si>
  <si>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</si>
  <si>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</si>
  <si>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</si>
  <si>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</si>
  <si>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</si>
  <si>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</si>
  <si>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</si>
  <si>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</si>
  <si>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</si>
  <si>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</si>
  <si>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</si>
  <si>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</si>
  <si>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</si>
  <si>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</si>
  <si>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</si>
  <si>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</si>
  <si>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</si>
  <si>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</si>
  <si>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</si>
  <si>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</si>
  <si>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</si>
  <si>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</si>
  <si>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</si>
  <si>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</si>
  <si>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</si>
  <si>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</si>
  <si>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</si>
  <si>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</si>
  <si>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</si>
  <si>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</si>
  <si>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</si>
  <si>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</si>
  <si>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</si>
  <si>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</si>
  <si>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</si>
  <si>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</si>
  <si>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</si>
  <si>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</si>
  <si>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</si>
  <si>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</si>
  <si>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</si>
  <si>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</si>
  <si>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</si>
  <si>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</si>
  <si>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</si>
  <si>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</si>
  <si>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</si>
  <si>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4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</si>
  <si>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إجراءات التخطيط.</t>
  </si>
  <si>
    <t>ملاحظة: يتم التخطيط لواجب تأسيس قاعدة إسناد بالنيران بنفس الأسلوب وبنفس الإجراءات للهجوم المدبر.</t>
  </si>
  <si>
    <t>(3)   ممرات الحركة من منطقة التجمع وحتى الأهداف.</t>
  </si>
  <si>
    <t>(4)   تأشير خط البدء وخط الانفتاح المحتمل.</t>
  </si>
  <si>
    <t>(5)   تحديد المكان الأولي لتأسيس قاعدة الإسناد بالنيران (حسب أمر عمليات الكتيبة/ مجموعة القتال)</t>
  </si>
  <si>
    <t>(6)   تأشير الأماكن المحتملة لكمائن العدو على طول طرق الحركة.</t>
  </si>
  <si>
    <t>جـ.   الحصول على المعلومات الاستخبارية من المستوى الأعلى.</t>
  </si>
  <si>
    <t>إجراءات التحضير.</t>
  </si>
  <si>
    <t>ملاحظة:     يتم التحضير للهجوم في منطقة الحشد قبل الحركة إلى منطقة التجمع ويشمل التحضير الأفراد والمعدات والأسلحة والآليات ويتم تنفيذ الإجراءات التالية:</t>
  </si>
  <si>
    <t>أ.    أسلوب الحركة والتشكيلة حتى منطقة التشكيل.</t>
  </si>
  <si>
    <t>ب.  الحركة من منطقة التشكيل وحتى موقع تأسيس قاعدة الإسناد بالنيران.</t>
  </si>
  <si>
    <t>جـ.  العمل عند التماس مع العدو أثناء الحركة.</t>
  </si>
  <si>
    <t>د.   أسلوب تأسيس قاعدة الإسناد (موقع الفصائل والأسلحة الملحقة وأقواس المسؤولية) .</t>
  </si>
  <si>
    <t>هـ.   إجراءات السيطرة لتقديم نيران الإسناد وتحويل أو رفع النيران.</t>
  </si>
  <si>
    <t>و.   العمل عند التعرض لهجوم من قبل قوات العدو.</t>
  </si>
  <si>
    <t>إجراءات التنفيذ.</t>
  </si>
  <si>
    <r>
      <t>1.</t>
    </r>
    <r>
      <rPr>
        <sz val="7"/>
        <color theme="1"/>
        <rFont val="Arial"/>
        <family val="2"/>
      </rPr>
      <t xml:space="preserve"> </t>
    </r>
    <r>
      <rPr>
        <sz val="12"/>
        <color rgb="FF000000"/>
        <rFont val="Arial"/>
        <family val="2"/>
      </rPr>
      <t xml:space="preserve">   تستلم السرية أمر العمليات من المستوى الأعلى ويتم القيام بما يلي:</t>
    </r>
  </si>
  <si>
    <r>
      <t>أ‌.</t>
    </r>
    <r>
      <rPr>
        <sz val="7"/>
        <color rgb="FF000000"/>
        <rFont val="Arial"/>
        <family val="2"/>
      </rPr>
      <t xml:space="preserve">      </t>
    </r>
    <r>
      <rPr>
        <sz val="12"/>
        <color rgb="FF000000"/>
        <rFont val="Arial"/>
        <family val="2"/>
      </rPr>
      <t xml:space="preserve">   البدء بإجراءات التخطيط من خلال إجراءات المعركة الثمانية </t>
    </r>
    <r>
      <rPr>
        <sz val="12"/>
        <color theme="1"/>
        <rFont val="Arial"/>
        <family val="2"/>
      </rPr>
      <t>(استلام المهمة - إصدار الأمر الإنذاري - عمل خطة أولية - بدء الحركة – الاستطلاع - إكمال الخطة - إصدار الأمر – الإشراف والمراقبة)</t>
    </r>
    <r>
      <rPr>
        <sz val="12"/>
        <color rgb="FF000000"/>
        <rFont val="Arial"/>
        <family val="2"/>
      </rPr>
      <t>.</t>
    </r>
  </si>
  <si>
    <r>
      <t>ب‌.</t>
    </r>
    <r>
      <rPr>
        <sz val="7"/>
        <color rgb="FF000000"/>
        <rFont val="Arial"/>
        <family val="2"/>
      </rPr>
      <t xml:space="preserve">    </t>
    </r>
    <r>
      <rPr>
        <sz val="12"/>
        <color rgb="FF000000"/>
        <rFont val="Arial"/>
        <family val="2"/>
      </rPr>
      <t xml:space="preserve"> تنفيذ الاستطلاع من الخارطة وتحديد ما يلي بشكل أولي:</t>
    </r>
  </si>
  <si>
    <r>
      <t>(1)</t>
    </r>
    <r>
      <rPr>
        <sz val="7"/>
        <color rgb="FF000000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مناطق التجمع للفصائل والوحدات المساندة للسرايا.</t>
    </r>
  </si>
  <si>
    <r>
      <t>(2)</t>
    </r>
    <r>
      <rPr>
        <sz val="7"/>
        <color rgb="FF000000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طرق الحركة لمنطقة التجمع.</t>
    </r>
  </si>
  <si>
    <r>
      <t>2.</t>
    </r>
    <r>
      <rPr>
        <sz val="7"/>
        <color theme="1"/>
        <rFont val="Arial"/>
        <family val="2"/>
      </rPr>
      <t xml:space="preserve"> </t>
    </r>
    <r>
      <rPr>
        <sz val="12"/>
        <color rgb="FF000000"/>
        <rFont val="Arial"/>
        <family val="2"/>
      </rPr>
      <t xml:space="preserve">  إصدار أمر العمليات للوحدات المرؤوسة، وتقديم ايجازات تأكيدية من قبل القادة المرؤوسين للتأكد من أنهم يفهمون قصد قائد السرية ومفهوم عملياته.</t>
    </r>
  </si>
  <si>
    <r>
      <t>1.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تنقيح الخطة بناءً على الاستخبارات المحدثة باستمرار. </t>
    </r>
  </si>
  <si>
    <r>
      <t>2.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تنفيذ تفتيشات وتفقدات ما قبل القتال.</t>
    </r>
  </si>
  <si>
    <r>
      <t>3.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الإشراف على إجراءات المعركة للفصائل لضمان أن إجراءات التخطيط والتحضير تتم بطريقة صحيحة وتتفق مع قصد القائد.</t>
    </r>
  </si>
  <si>
    <r>
      <t>4.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تنفيذ التجارب على تأسيس قاعدة الاسناد بالنيران مع التركيز على ما يلي:  </t>
    </r>
  </si>
  <si>
    <r>
      <t>5.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إجراء التعديلات على الخطة بناءً على التجارب وحسب الحاجة.</t>
    </r>
  </si>
  <si>
    <r>
      <t>6.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>توضيع القوات للحركة.</t>
    </r>
  </si>
  <si>
    <r>
      <t>1.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  بالأمر أو حسب التوقيتات الموضوعة في أمر العمليات، تتحرك السرية من منطقة التجمع إلى منطقة التشكيل بأسلوب حركة وتشكيلة مناسبين.</t>
    </r>
  </si>
  <si>
    <r>
      <t>2.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 يسيطر قائد السرية على الحركة على طول الطريق ويعدل التشكيلة وأسلوب الحركة والسرعة والمسافة بين الوحدات حسب طبيعة الأرض والموقف.</t>
    </r>
  </si>
  <si>
    <r>
      <t>3.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تطبيق إجراءات التماس إذا حصل أثناء الحركة.</t>
    </r>
  </si>
  <si>
    <r>
      <t>4.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على مسافة (6 – 8) كم من الحد الأمامي لمنطقة معركة العدو، تبدأ السرية بالتحول من تشكيل المسير إلى تشكيل ما قبل المعركة (خط الفتح التعبوي) (التحول من تشكيل ارتال كتائب الى ارتال سرايا).</t>
    </r>
  </si>
  <si>
    <r>
      <t>5.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 قبل الوصول إلى منطقة التشكيل تنفصل السرية وتتحرك باتجاه موقع قاعدة الإسناد بالنيران، ويراعى الاستفادة من طبيعة الأرض واستخدام الدخان لحجب حركة السرية وحسب الضرورة.</t>
    </r>
  </si>
  <si>
    <r>
      <t>6.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تحتل الفصائل مواقعها حسب أوامر قائد السرية (يتم الدخول للموقع من الخلف ومراعاة عدم ظهور الآليات على الأفق). </t>
    </r>
  </si>
  <si>
    <r>
      <t>7.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التأكد من احتلال الفصائل لمواقعها بشكل صحيح وتخصيص أقواس المسؤولية وتأكيد إجراءات السيطرة على النيران.</t>
    </r>
  </si>
  <si>
    <r>
      <t>8.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الحصول على تقرير من قادة الفصائل باحتلال المواقع المخصصة لهم ضمن قاعدة الإسناد وجاهزيتهم لتقديم النيران بالأمر.</t>
    </r>
  </si>
  <si>
    <r>
      <t>9.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 بالأمر، تبدأ السرية بتقديم نيران الإسناد المباشرة لباقي وحدات السرية وتعمل على إسكات قوات العدو.</t>
    </r>
  </si>
  <si>
    <r>
      <t>10.</t>
    </r>
    <r>
      <rPr>
        <sz val="7"/>
        <color rgb="FF000000"/>
        <rFont val="Arial"/>
        <family val="2"/>
      </rPr>
      <t xml:space="preserve">    </t>
    </r>
    <r>
      <rPr>
        <sz val="12"/>
        <color rgb="FF000000"/>
        <rFont val="Arial"/>
        <family val="2"/>
      </rPr>
      <t xml:space="preserve">  مراقبة حركة القوات الصديقة من خط البدء وتحويل أو قطع النيران في الوقت المناسب لمنع الإصابة بالنيران الصديقة.</t>
    </r>
  </si>
  <si>
    <r>
      <t>11.</t>
    </r>
    <r>
      <rPr>
        <sz val="7"/>
        <color rgb="FF000000"/>
        <rFont val="Arial"/>
        <family val="2"/>
      </rPr>
      <t xml:space="preserve">    </t>
    </r>
    <r>
      <rPr>
        <sz val="12"/>
        <color rgb="FF000000"/>
        <rFont val="Arial"/>
        <family val="2"/>
      </rPr>
      <t xml:space="preserve">  الاستمرار بتقديم الإسناد حتى تنهي القوات المقتحمة احتلال الأهداف. </t>
    </r>
  </si>
  <si>
    <r>
      <t>12.</t>
    </r>
    <r>
      <rPr>
        <sz val="7"/>
        <color rgb="FF000000"/>
        <rFont val="Arial"/>
        <family val="2"/>
      </rPr>
      <t xml:space="preserve">    </t>
    </r>
    <r>
      <rPr>
        <sz val="12"/>
        <color rgb="FF000000"/>
        <rFont val="Arial"/>
        <family val="2"/>
      </rPr>
      <t xml:space="preserve">  الاستعداد للالتحاق بالكتيبة/ مجموعة القتال حسب الأوامر.</t>
    </r>
  </si>
  <si>
    <r>
      <t>13.</t>
    </r>
    <r>
      <rPr>
        <sz val="7"/>
        <color rgb="FF000000"/>
        <rFont val="Arial"/>
        <family val="2"/>
      </rPr>
      <t xml:space="preserve">    </t>
    </r>
    <r>
      <rPr>
        <sz val="12"/>
        <color rgb="FF000000"/>
        <rFont val="Arial"/>
        <family val="2"/>
      </rPr>
      <t xml:space="preserve">  التثبت وإعادة التنظيم والاستعداد للعمليات المستقبلية.</t>
    </r>
  </si>
  <si>
    <r>
      <rPr>
        <b/>
        <sz val="14"/>
        <color rgb="FF000000"/>
        <rFont val="Arial"/>
        <family val="2"/>
      </rPr>
      <t>تقييم سرية فريق القتال المشاة الآلي/الدروع في تنفيذ الهجوم السريع (تأسيس قاعدة الاسناد)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</si>
</sst>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9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7"/>
      <color theme="1"/>
      <name val="Arial"/>
      <family val="2"/>
    </font>
    <font>
      <sz val="7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6" fillId="0" borderId="4" xfId="0" applyFont="1" applyBorder="1" applyAlignment="1">
      <alignment vertical="center" wrapText="1"/>
    </xf>
    <xf numFmtId="0" fontId="16" fillId="0" borderId="3" xfId="0" applyFont="1" applyBorder="1" applyAlignment="1">
      <alignment vertical="center" wrapText="1"/>
    </xf>
    <xf numFmtId="0" fontId="2" fillId="0" borderId="12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right" vertical="center" wrapText="1" indent="2" readingOrder="2"/>
    </xf>
    <xf numFmtId="0" fontId="13" fillId="0" borderId="3" xfId="0" applyFont="1" applyBorder="1" applyAlignment="1">
      <alignment horizontal="right" vertical="center" wrapText="1" indent="2" readingOrder="2"/>
    </xf>
    <xf numFmtId="0" fontId="14" fillId="0" borderId="23" xfId="0" applyFont="1" applyBorder="1" applyAlignment="1">
      <alignment horizontal="right" vertical="center" wrapText="1" readingOrder="2"/>
    </xf>
    <xf numFmtId="0" fontId="14" fillId="0" borderId="3" xfId="0" applyFont="1" applyBorder="1" applyAlignment="1">
      <alignment horizontal="right" vertical="center" wrapText="1" readingOrder="2"/>
    </xf>
    <xf numFmtId="0" fontId="14" fillId="0" borderId="11" xfId="0" applyFont="1" applyBorder="1" applyAlignment="1">
      <alignment horizontal="right" vertical="center" wrapText="1" readingOrder="2"/>
    </xf>
    <xf numFmtId="0" fontId="14" fillId="0" borderId="12" xfId="0" applyFont="1" applyBorder="1" applyAlignment="1">
      <alignment horizontal="right" vertical="center" wrapText="1" readingOrder="2"/>
    </xf>
    <xf numFmtId="0" fontId="13" fillId="0" borderId="23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13" fillId="0" borderId="23" xfId="0" applyFont="1" applyBorder="1" applyAlignment="1">
      <alignment horizontal="right" vertical="center" wrapText="1" indent="4" readingOrder="2"/>
    </xf>
    <xf numFmtId="0" fontId="13" fillId="0" borderId="3" xfId="0" applyFont="1" applyBorder="1" applyAlignment="1">
      <alignment horizontal="right" vertical="center" wrapText="1" indent="4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13" fillId="0" borderId="11" xfId="0" applyFont="1" applyBorder="1" applyAlignment="1">
      <alignment horizontal="right" vertical="center" wrapText="1" readingOrder="2"/>
    </xf>
    <xf numFmtId="0" fontId="13" fillId="0" borderId="12" xfId="0" applyFont="1" applyBorder="1" applyAlignment="1">
      <alignment horizontal="right" vertical="center" wrapText="1" readingOrder="2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 /><Relationship Id="rId1" Type="http://schemas.openxmlformats.org/officeDocument/2006/relationships/customXml" Target="../ink/ink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260025</xdr:colOff>
      <xdr:row>52</xdr:row>
      <xdr:rowOff>10307</xdr:rowOff>
    </xdr:from>
    <xdr:to>
      <xdr:col>8</xdr:col>
      <xdr:colOff>161724</xdr:colOff>
      <xdr:row>52</xdr:row>
      <xdr:rowOff>578747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3B23BCC3-0558-CDD1-FFDB-DD3C76BD9851}"/>
                </a:ext>
              </a:extLst>
            </xdr14:cNvPr>
            <xdr14:cNvContentPartPr/>
          </xdr14:nvContentPartPr>
          <xdr14:nvPr macro=""/>
          <xdr14:xfrm>
            <a:off x="10399083185" y="26686080"/>
            <a:ext cx="1217880" cy="56844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3B23BCC3-0558-CDD1-FFDB-DD3C76BD985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074185" y="26677440"/>
              <a:ext cx="1235520" cy="5860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7T08:23:35.25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3382 652 12570,'0'0'0,"0"-2"1481,0-1-769,-2 1-312,2 2-400,-5-2 232,5 1-128,-2-1-32,-1 2-88,3 0 16,0 0-56,-2 3-16,-1 0-64,-1 1 8,4-4 128,-15 16-160,10-2 16,-12 5 24,3 5 48,14-24 72,-17 27-40,0 4 24,-2 5 0,-7 6 56,26-42-40,-27 49 40,-2 2-16,-9 6 40,2-1 8,36-56-72,-44 60 168,1 1 80,0-2 104,-3-4 56,46-55-408,-48 51 440,10-5 8,-3-7-72,9-3-48,32-36-328,-31 27 248,7-6-96,2-5 8,6-12-40,16-4-120,-12 12 56,0-12 56,7 0-248,-2-2-200,7 2 336,-10-11-576,8-3-192,-1-6 0,-2-6 32,5 26 736,-5-30-520,3-2 168,0-1 176,-1 2 119,3 31 57,-2-29 17,2 4-50,0 0 9,0 6 40,0 19-16,-3-19 8,3 6 57,0 8-33,-4-1 112,4 6-144,-3-3 24,-2 2-160,3 1-81,-3 0-207,5 0 424,-5 2-416,-7 10 88,5-8 40,-10 15 8,17-19 280,-12 14-136,0 1 16,0-2 40,0 0 112,12-13-32,-12 4-24,10 11 152,-13-13-72,11 3 64,4-5-120,-3 2 152,-2-2 24,1 0 64,1 0-32,3 0-208,-2 0 216,-3-1-136,5-2-56,-3-1-200,3 4 176,-2-6-280,2-5-200,0 7-56,0-9 32,0 13 504,5-4-512,0-8 256,-3 9-8,1-1 144,-3 4 120,0-3-48,0 2 64,2 1 112,-2 0-16,0 0-112,0 3 200,-2-1-88,-1 3 8,1 8 16,2-13-136,-8 4 16,-4 11 8,3-2 40,-3 1 56,12-14-120,-12 13 184,0 0 72,0-9 72,7 11 64,5-15-392,-15 2 448,11 1 72,-11 0-16,13-3-79,2 0-425,-12 0 440,5 0-112,-8-1 176,13-2 24,2 3-528,-12-12 512,7 7 80,-10-14-256,11 1-168,4 18-168,-12-26 104,9-5-104,1-9-8,2-10-56,0 50 64,2-58-56,13-10-48,-1-7 16,1-5 80,-15 80 8,19-83-72,2 7 8,1-2-24,0 2 0,-22 76 88,21-72-48,1-2 16,4 6-8,1 4 40,-27 64 0,24-60-16,0 10 16,-5 9-16,1 10 40,-20 31-24,14-20 0,-12 8 8,3 11 8,0 1-128,-5 0 112,0 0-104,0 17-80,-5 4 56,-7 15 8,12-36 120,-17 47-80,-2 11 24,-5 7-48,0 8 104,24-73 0,-26 78-56,-1 3-8,1-1 16,-3-1-40,29-79 88,-29 74 8,-7 0 64,2-1 8,-2-2 72,36-71-152,-38 69 168,-3-5 96,-3 0 80,-1-3 0,45-61-344,-39 57 328,-4-4-120,7-9-32,7-6-56,29-38-120,-31 33 112,7-6 16,0-8-64,7-5 40,17-14-104,-17 3 72,12 1-48,-7-1-24,10-3-96,2 0 96,0 0-264,-5-5-136,5-12-152,0 0-128,0 17 680,5-25-576,4-7 64,-4-3 88,14-2 152,-19 37 272,15-37-208,2 0-8,4 2-16,1 0-33,-22 35 265,19-32-384,-2 3-48,0 5-32,-3 4-48,-14 20 512,15-13-424,-6 9-32,-4 3 160,-5 1 32,0 0 264,0 0-128,0 3 152,0 9 72,0-7 128,-12 12 8,12-17-232,-12 14 288,0 2 32,0-1-64,-2 2 40,14-17-296,-20 16 232,6-1-32,-5 0-72,4-2-64,15-13-64,-12 11 16,-2-7-16,2 0-8,9 1-24,3-5 32,-4 4-56,-1-4-56,0 0 16,0 0-112,5 0 208,-5 0-184,5 0-16,-2 0 48,-1 0 24,3 0 128,0 0-120,-2 0 8,2 0-112,-2 4 104,2-4 120,0 4-120,-5 14 64,0-6 104,0 5 8,5-17-56,-9 19 104,4-1 40,-10 1 40,11-1 24,4-18-208,-12 17 280,9-1 40,-14-5 64,12-6 40,5-5-424,-12 2 440,10 1-24,-3-3-15,0-3-73,5 3-328,-7-12 216,-5-5-120,10-6-72,-10-7-88,12 30 64,0-38-88,-3-9-104,1-9 40,2-8-72,0 64 224,2-71-280,15-13-25,-2-4-175,1-6-8,-16 94 488,17-98-408,3-1 80,6-1 16,8 5 80,-34 95 232,36-85-184,-3 15 112,-1 13 120,-1 10-24,-31 47-24,29-37 64,-3 8-80,-4 6 160,-3 6 72,-19 17-216,17-5 200,-5 0-16,-10 3-104,3 2-88,-5 0 8,3 3-48,-3 13 112,-3-1-88,-2 8 64,5-23-40,-16 30 96,1 7 24,-2 6 112,-2 4 8,19-47-240,-22 48 280,-4 3 40,0 3 0,-8 4-71,34-58-249,-34 60 320,-4 3-96,-3-2 40,-3-2 128,44-59-392,-45 59 312,-1-1-64,-7 0 0,0-1-24,53-57-224,-53 57 160,-4 0-24,-4-2-24,-1-1-40,62-54-72,-60 50 72,7-9 72,5-7-24,9-8-120,39-26 0,-31 19 128,9-8-24,10-8-24,8 0-80,4-3 0,-3 0-128,3 0-224,0-2-56,3-2 56,-3 4 352,14-14-368,-2 1 160,5-3 72,2 1 64,-19 15 72,22-17-80,-1 1 16,1 0-72,0 1 8,-22 15 128,21-13-192,-1-1-136,-4 2-88,-4 7-97,-12 5 513,12-13-352,-9 10 136,4-1 184,-7-1 320,0 5-288,0-5 264,-7 0 56,-8 0 41,3 1-97,12 4-264,-24-5 224,-5 2-16,-4 2 0,-10 1-56,43 0-152,-46 4 136,-7 10 0,-7-2-48,-5 3 112,65-15-200,-68 18 272,-1 0 32,-1 3 48,-5 2-88,75-23-264,-72 27 208,-2-1 8,-1 1 0,3 1-16,72-28-200,-70 27 232,10 0-16,10-1-72,6-6 48,44-20-192,-31 17 145,9-5-33,10-7-104,12-1-177,0-4 169,3 3-272,18 0-32,3 0 80,15-3 152,-39 0 72,53-3-24,14-14 40,15-8 16,5-6-8,-87 31-24,103-37 96,10-5 80,7-7 56,20-2 40,-140 51-272,149-58 353,12-6 39,5-6-8,2-5-8,-168 75-376,176-77 368,0-3-64,2-1-128,-5 2-8,-173 79-168,159-80 0,-13 3 16,-13 2 48,-11 1-40,-122 74-24,108-69 48,-16 2-48,-18 4 0,-18 8-8,-56 55 8,38-49 8,-16 12-16,-20 9 48,-2 5-40,0 23 0,-24-18-80,-9 4-64,-18 8-56,-19 2 56,70 4 144,-77 0-40,-14 11 120,-13 12-32,-11 9-24,115-32-24,-127 43 16,-11 10-80,-8 9 88,-11 8-32,157-70 8,-158 75-56,4 1-80,5 2-144,11-4-64,138-74 344,-129 72-408,18-2-96,7-3-369,20-2-463,84-65 1336,-69 63-2480,11-2-3386,15-7 65,43-54 5801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53"/>
  <sheetViews>
    <sheetView rightToLeft="1" tabSelected="1" view="pageBreakPreview" topLeftCell="C42" zoomScale="130" zoomScaleNormal="100" zoomScaleSheetLayoutView="130" workbookViewId="0">
      <selection activeCell="G52" sqref="G52:J52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76" t="s">
        <v>217</v>
      </c>
      <c r="C1" s="76"/>
      <c r="D1" s="76"/>
      <c r="E1" s="76"/>
      <c r="F1" s="76"/>
      <c r="G1" s="76"/>
      <c r="H1" s="76"/>
      <c r="I1" s="76"/>
      <c r="J1" s="76"/>
    </row>
    <row r="2" spans="1:10" ht="30" customHeight="1" x14ac:dyDescent="0.2">
      <c r="B2" s="12" t="s">
        <v>8</v>
      </c>
      <c r="C2" s="82" t="s">
        <v>39</v>
      </c>
      <c r="D2" s="82"/>
      <c r="E2" s="12" t="s">
        <v>7</v>
      </c>
      <c r="F2" s="77">
        <v>45957</v>
      </c>
      <c r="G2" s="77"/>
      <c r="H2" s="77"/>
      <c r="I2" s="77"/>
      <c r="J2" s="77"/>
    </row>
    <row r="3" spans="1:10" ht="30" customHeight="1" x14ac:dyDescent="0.2">
      <c r="B3" s="12" t="s">
        <v>9</v>
      </c>
      <c r="C3" s="82" t="s">
        <v>80</v>
      </c>
      <c r="D3" s="82"/>
      <c r="E3" s="12" t="s">
        <v>6</v>
      </c>
      <c r="F3" s="82" t="s">
        <v>142</v>
      </c>
      <c r="G3" s="82"/>
      <c r="H3" s="82"/>
      <c r="I3" s="82"/>
      <c r="J3" s="82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0"/>
      <c r="B5" s="78" t="s">
        <v>0</v>
      </c>
      <c r="C5" s="79"/>
      <c r="D5" s="79"/>
      <c r="E5" s="87" t="s">
        <v>1</v>
      </c>
      <c r="F5" s="87"/>
      <c r="G5" s="87"/>
      <c r="H5" s="87"/>
      <c r="I5" s="87" t="s">
        <v>2</v>
      </c>
      <c r="J5" s="88"/>
    </row>
    <row r="6" spans="1:10" ht="24.95" customHeight="1" thickBot="1" x14ac:dyDescent="0.25">
      <c r="A6" s="10"/>
      <c r="B6" s="80"/>
      <c r="C6" s="81"/>
      <c r="D6" s="81"/>
      <c r="E6" s="11" t="s">
        <v>3</v>
      </c>
      <c r="F6" s="11" t="s">
        <v>4</v>
      </c>
      <c r="G6" s="11" t="s">
        <v>23</v>
      </c>
      <c r="H6" s="11" t="s">
        <v>24</v>
      </c>
      <c r="I6" s="89"/>
      <c r="J6" s="90"/>
    </row>
    <row r="7" spans="1:10" ht="24.95" customHeight="1" thickBot="1" x14ac:dyDescent="0.25">
      <c r="A7" s="10"/>
      <c r="B7" s="85" t="s">
        <v>21</v>
      </c>
      <c r="C7" s="86"/>
      <c r="D7" s="86"/>
      <c r="E7" s="28" t="s">
        <v>18</v>
      </c>
      <c r="F7" s="28" t="s">
        <v>19</v>
      </c>
      <c r="G7" s="28" t="s">
        <v>22</v>
      </c>
      <c r="H7" s="28" t="s">
        <v>20</v>
      </c>
      <c r="I7" s="91" t="s">
        <v>25</v>
      </c>
      <c r="J7" s="92"/>
    </row>
    <row r="8" spans="1:10" ht="39.950000000000003" customHeight="1" x14ac:dyDescent="0.2">
      <c r="A8" s="10"/>
      <c r="B8" s="49" t="s">
        <v>176</v>
      </c>
      <c r="C8" s="50"/>
      <c r="D8" s="50"/>
      <c r="E8" s="38"/>
      <c r="F8" s="32"/>
      <c r="G8" s="33"/>
      <c r="H8" s="34"/>
      <c r="I8" s="57"/>
      <c r="J8" s="58"/>
    </row>
    <row r="9" spans="1:10" ht="39.950000000000003" customHeight="1" x14ac:dyDescent="0.2">
      <c r="A9" s="10"/>
      <c r="B9" s="47" t="s">
        <v>177</v>
      </c>
      <c r="C9" s="48"/>
      <c r="D9" s="48"/>
      <c r="E9" s="9"/>
      <c r="F9" s="26"/>
      <c r="G9" s="30"/>
      <c r="H9" s="31"/>
      <c r="I9" s="53"/>
      <c r="J9" s="54"/>
    </row>
    <row r="10" spans="1:10" ht="39.950000000000003" customHeight="1" x14ac:dyDescent="0.2">
      <c r="A10" s="10"/>
      <c r="B10" s="43" t="s">
        <v>192</v>
      </c>
      <c r="C10" s="44"/>
      <c r="D10" s="44"/>
      <c r="E10" s="39"/>
      <c r="F10" s="26"/>
      <c r="G10" s="30"/>
      <c r="H10" s="31"/>
      <c r="I10" s="53"/>
      <c r="J10" s="54"/>
    </row>
    <row r="11" spans="1:10" ht="58.5" customHeight="1" x14ac:dyDescent="0.2">
      <c r="A11" s="10"/>
      <c r="B11" s="41" t="s">
        <v>193</v>
      </c>
      <c r="C11" s="42"/>
      <c r="D11" s="42"/>
      <c r="E11" s="9">
        <v>5</v>
      </c>
      <c r="F11" s="26">
        <v>3.75</v>
      </c>
      <c r="G11" s="30">
        <f t="shared" ref="G11:G48" si="0">IFERROR(F11/E11,"")</f>
        <v>0.75</v>
      </c>
      <c r="H11" s="31" t="str">
        <f t="shared" ref="H11:H48" si="1">_xlfn.IFS(F11="أدخل العلامة","",F11="لا ينطبق","تم الإلغاء",G11&gt;=90%,"ممتاز",G11&gt;=80%,"جيد جداً",G11&gt;=70%,"جيد",G11&gt;=60%,"مقبول",G11&lt;60%,"راسب")</f>
        <v>جيد</v>
      </c>
      <c r="I11" s="53"/>
      <c r="J11" s="54"/>
    </row>
    <row r="12" spans="1:10" ht="39.950000000000003" customHeight="1" x14ac:dyDescent="0.2">
      <c r="A12" s="10"/>
      <c r="B12" s="41" t="s">
        <v>194</v>
      </c>
      <c r="C12" s="42"/>
      <c r="D12" s="42"/>
      <c r="E12" s="39"/>
      <c r="F12" s="26"/>
      <c r="G12" s="30"/>
      <c r="H12" s="31"/>
      <c r="I12" s="53"/>
      <c r="J12" s="54"/>
    </row>
    <row r="13" spans="1:10" ht="39.950000000000003" customHeight="1" x14ac:dyDescent="0.2">
      <c r="A13" s="10"/>
      <c r="B13" s="51" t="s">
        <v>195</v>
      </c>
      <c r="C13" s="52"/>
      <c r="D13" s="52"/>
      <c r="E13" s="9">
        <v>5</v>
      </c>
      <c r="F13" s="26">
        <v>3.75</v>
      </c>
      <c r="G13" s="30">
        <f t="shared" si="0"/>
        <v>0.75</v>
      </c>
      <c r="H13" s="31" t="str">
        <f t="shared" si="1"/>
        <v>جيد</v>
      </c>
      <c r="I13" s="53"/>
      <c r="J13" s="54"/>
    </row>
    <row r="14" spans="1:10" ht="39.950000000000003" customHeight="1" x14ac:dyDescent="0.2">
      <c r="A14" s="10"/>
      <c r="B14" s="51" t="s">
        <v>196</v>
      </c>
      <c r="C14" s="52"/>
      <c r="D14" s="52"/>
      <c r="E14" s="9">
        <v>5</v>
      </c>
      <c r="F14" s="26">
        <v>3.5</v>
      </c>
      <c r="G14" s="30">
        <f t="shared" si="0"/>
        <v>0.7</v>
      </c>
      <c r="H14" s="31" t="str">
        <f t="shared" si="1"/>
        <v>جيد</v>
      </c>
      <c r="I14" s="53"/>
      <c r="J14" s="54"/>
    </row>
    <row r="15" spans="1:10" ht="39.950000000000003" customHeight="1" x14ac:dyDescent="0.2">
      <c r="A15" s="10"/>
      <c r="B15" s="51" t="s">
        <v>178</v>
      </c>
      <c r="C15" s="52"/>
      <c r="D15" s="52"/>
      <c r="E15" s="9">
        <v>5</v>
      </c>
      <c r="F15" s="26">
        <v>3.75</v>
      </c>
      <c r="G15" s="30">
        <f t="shared" si="0"/>
        <v>0.75</v>
      </c>
      <c r="H15" s="31" t="str">
        <f t="shared" si="1"/>
        <v>جيد</v>
      </c>
      <c r="I15" s="53"/>
      <c r="J15" s="54"/>
    </row>
    <row r="16" spans="1:10" ht="39.950000000000003" customHeight="1" x14ac:dyDescent="0.2">
      <c r="A16" s="10"/>
      <c r="B16" s="51" t="s">
        <v>179</v>
      </c>
      <c r="C16" s="52"/>
      <c r="D16" s="52"/>
      <c r="E16" s="9">
        <v>5</v>
      </c>
      <c r="F16" s="26">
        <v>3.75</v>
      </c>
      <c r="G16" s="30">
        <f t="shared" si="0"/>
        <v>0.75</v>
      </c>
      <c r="H16" s="31" t="str">
        <f t="shared" si="1"/>
        <v>جيد</v>
      </c>
      <c r="I16" s="53"/>
      <c r="J16" s="54"/>
    </row>
    <row r="17" spans="1:10" ht="39.950000000000003" customHeight="1" x14ac:dyDescent="0.2">
      <c r="A17" s="10"/>
      <c r="B17" s="51" t="s">
        <v>180</v>
      </c>
      <c r="C17" s="52"/>
      <c r="D17" s="52"/>
      <c r="E17" s="9">
        <v>5</v>
      </c>
      <c r="F17" s="26">
        <v>3.5</v>
      </c>
      <c r="G17" s="30">
        <f t="shared" si="0"/>
        <v>0.7</v>
      </c>
      <c r="H17" s="31" t="str">
        <f t="shared" si="1"/>
        <v>جيد</v>
      </c>
      <c r="I17" s="53"/>
      <c r="J17" s="54"/>
    </row>
    <row r="18" spans="1:10" ht="39.950000000000003" customHeight="1" x14ac:dyDescent="0.2">
      <c r="A18" s="10"/>
      <c r="B18" s="51" t="s">
        <v>181</v>
      </c>
      <c r="C18" s="52"/>
      <c r="D18" s="52"/>
      <c r="E18" s="9"/>
      <c r="F18" s="26"/>
      <c r="G18" s="30"/>
      <c r="H18" s="31"/>
      <c r="I18" s="53"/>
      <c r="J18" s="54"/>
    </row>
    <row r="19" spans="1:10" ht="39.950000000000003" customHeight="1" x14ac:dyDescent="0.2">
      <c r="A19" s="10"/>
      <c r="B19" s="41" t="s">
        <v>182</v>
      </c>
      <c r="C19" s="42"/>
      <c r="D19" s="42"/>
      <c r="E19" s="9">
        <v>5</v>
      </c>
      <c r="F19" s="26">
        <v>3.75</v>
      </c>
      <c r="G19" s="30">
        <f t="shared" si="0"/>
        <v>0.75</v>
      </c>
      <c r="H19" s="31" t="str">
        <f t="shared" si="1"/>
        <v>جيد</v>
      </c>
      <c r="I19" s="53"/>
      <c r="J19" s="54"/>
    </row>
    <row r="20" spans="1:10" ht="60" customHeight="1" thickBot="1" x14ac:dyDescent="0.25">
      <c r="A20" s="10"/>
      <c r="B20" s="45" t="s">
        <v>197</v>
      </c>
      <c r="C20" s="46"/>
      <c r="D20" s="46"/>
      <c r="E20" s="40">
        <v>5</v>
      </c>
      <c r="F20" s="27">
        <v>3.5</v>
      </c>
      <c r="G20" s="36">
        <f t="shared" si="0"/>
        <v>0.7</v>
      </c>
      <c r="H20" s="37" t="str">
        <f t="shared" si="1"/>
        <v>جيد</v>
      </c>
      <c r="I20" s="55"/>
      <c r="J20" s="56"/>
    </row>
    <row r="21" spans="1:10" ht="39.950000000000003" customHeight="1" x14ac:dyDescent="0.2">
      <c r="A21" s="10"/>
      <c r="B21" s="49" t="s">
        <v>183</v>
      </c>
      <c r="C21" s="50"/>
      <c r="D21" s="50"/>
      <c r="E21" s="38"/>
      <c r="F21" s="32"/>
      <c r="G21" s="33"/>
      <c r="H21" s="34"/>
      <c r="I21" s="57"/>
      <c r="J21" s="58"/>
    </row>
    <row r="22" spans="1:10" ht="60" customHeight="1" x14ac:dyDescent="0.2">
      <c r="A22" s="10"/>
      <c r="B22" s="47" t="s">
        <v>184</v>
      </c>
      <c r="C22" s="48"/>
      <c r="D22" s="48"/>
      <c r="E22" s="9"/>
      <c r="F22" s="26"/>
      <c r="G22" s="30"/>
      <c r="H22" s="31"/>
      <c r="I22" s="53"/>
      <c r="J22" s="54"/>
    </row>
    <row r="23" spans="1:10" ht="39.950000000000003" customHeight="1" x14ac:dyDescent="0.2">
      <c r="A23" s="10"/>
      <c r="B23" s="47" t="s">
        <v>198</v>
      </c>
      <c r="C23" s="48"/>
      <c r="D23" s="48"/>
      <c r="E23" s="9">
        <v>5</v>
      </c>
      <c r="F23" s="26">
        <v>3.75</v>
      </c>
      <c r="G23" s="30">
        <f t="shared" si="0"/>
        <v>0.75</v>
      </c>
      <c r="H23" s="31" t="str">
        <f t="shared" si="1"/>
        <v>جيد</v>
      </c>
      <c r="I23" s="53"/>
      <c r="J23" s="54"/>
    </row>
    <row r="24" spans="1:10" ht="39.950000000000003" customHeight="1" x14ac:dyDescent="0.2">
      <c r="A24" s="10"/>
      <c r="B24" s="47" t="s">
        <v>199</v>
      </c>
      <c r="C24" s="48"/>
      <c r="D24" s="48"/>
      <c r="E24" s="9">
        <v>5</v>
      </c>
      <c r="F24" s="26">
        <v>3.75</v>
      </c>
      <c r="G24" s="30">
        <f t="shared" si="0"/>
        <v>0.75</v>
      </c>
      <c r="H24" s="31" t="str">
        <f t="shared" si="1"/>
        <v>جيد</v>
      </c>
      <c r="I24" s="53"/>
      <c r="J24" s="54"/>
    </row>
    <row r="25" spans="1:10" ht="39.950000000000003" customHeight="1" x14ac:dyDescent="0.2">
      <c r="A25" s="10"/>
      <c r="B25" s="47" t="s">
        <v>200</v>
      </c>
      <c r="C25" s="48"/>
      <c r="D25" s="48"/>
      <c r="E25" s="9">
        <v>5</v>
      </c>
      <c r="F25" s="26">
        <v>3.75</v>
      </c>
      <c r="G25" s="30">
        <f t="shared" si="0"/>
        <v>0.75</v>
      </c>
      <c r="H25" s="31" t="str">
        <f t="shared" si="1"/>
        <v>جيد</v>
      </c>
      <c r="I25" s="53"/>
      <c r="J25" s="54"/>
    </row>
    <row r="26" spans="1:10" ht="39.950000000000003" customHeight="1" x14ac:dyDescent="0.2">
      <c r="A26" s="10"/>
      <c r="B26" s="43" t="s">
        <v>201</v>
      </c>
      <c r="C26" s="44"/>
      <c r="D26" s="44"/>
      <c r="E26" s="39"/>
      <c r="F26" s="26"/>
      <c r="G26" s="30"/>
      <c r="H26" s="31"/>
      <c r="I26" s="53"/>
      <c r="J26" s="54"/>
    </row>
    <row r="27" spans="1:10" ht="39.950000000000003" customHeight="1" x14ac:dyDescent="0.2">
      <c r="A27" s="10"/>
      <c r="B27" s="41" t="s">
        <v>185</v>
      </c>
      <c r="C27" s="42"/>
      <c r="D27" s="42"/>
      <c r="E27" s="9">
        <v>5</v>
      </c>
      <c r="F27" s="26">
        <v>3.5</v>
      </c>
      <c r="G27" s="30">
        <f t="shared" si="0"/>
        <v>0.7</v>
      </c>
      <c r="H27" s="31" t="str">
        <f t="shared" si="1"/>
        <v>جيد</v>
      </c>
      <c r="I27" s="53"/>
      <c r="J27" s="54"/>
    </row>
    <row r="28" spans="1:10" ht="39.950000000000003" customHeight="1" x14ac:dyDescent="0.2">
      <c r="A28" s="10"/>
      <c r="B28" s="41" t="s">
        <v>186</v>
      </c>
      <c r="C28" s="42"/>
      <c r="D28" s="42"/>
      <c r="E28" s="9">
        <v>5</v>
      </c>
      <c r="F28" s="26">
        <v>3.5</v>
      </c>
      <c r="G28" s="30">
        <f t="shared" si="0"/>
        <v>0.7</v>
      </c>
      <c r="H28" s="31" t="str">
        <f t="shared" si="1"/>
        <v>جيد</v>
      </c>
      <c r="I28" s="53"/>
      <c r="J28" s="54"/>
    </row>
    <row r="29" spans="1:10" ht="39.950000000000003" customHeight="1" x14ac:dyDescent="0.2">
      <c r="A29" s="10"/>
      <c r="B29" s="41" t="s">
        <v>187</v>
      </c>
      <c r="C29" s="42"/>
      <c r="D29" s="42"/>
      <c r="E29" s="9">
        <v>5</v>
      </c>
      <c r="F29" s="26">
        <v>3.75</v>
      </c>
      <c r="G29" s="30">
        <f t="shared" si="0"/>
        <v>0.75</v>
      </c>
      <c r="H29" s="31" t="str">
        <f t="shared" si="1"/>
        <v>جيد</v>
      </c>
      <c r="I29" s="53"/>
      <c r="J29" s="54"/>
    </row>
    <row r="30" spans="1:10" ht="39.950000000000003" customHeight="1" x14ac:dyDescent="0.2">
      <c r="A30" s="10"/>
      <c r="B30" s="41" t="s">
        <v>188</v>
      </c>
      <c r="C30" s="42"/>
      <c r="D30" s="42"/>
      <c r="E30" s="9">
        <v>5</v>
      </c>
      <c r="F30" s="26">
        <v>3.5</v>
      </c>
      <c r="G30" s="30">
        <f t="shared" si="0"/>
        <v>0.7</v>
      </c>
      <c r="H30" s="31" t="str">
        <f t="shared" si="1"/>
        <v>جيد</v>
      </c>
      <c r="I30" s="53"/>
      <c r="J30" s="54"/>
    </row>
    <row r="31" spans="1:10" ht="39.950000000000003" customHeight="1" x14ac:dyDescent="0.2">
      <c r="A31" s="10"/>
      <c r="B31" s="41" t="s">
        <v>189</v>
      </c>
      <c r="C31" s="42"/>
      <c r="D31" s="42"/>
      <c r="E31" s="9"/>
      <c r="F31" s="26"/>
      <c r="G31" s="30"/>
      <c r="H31" s="31"/>
      <c r="I31" s="53"/>
      <c r="J31" s="54"/>
    </row>
    <row r="32" spans="1:10" ht="39.950000000000003" customHeight="1" x14ac:dyDescent="0.2">
      <c r="A32" s="10"/>
      <c r="B32" s="41" t="s">
        <v>190</v>
      </c>
      <c r="C32" s="42"/>
      <c r="D32" s="42"/>
      <c r="E32" s="9"/>
      <c r="F32" s="26"/>
      <c r="G32" s="30"/>
      <c r="H32" s="31"/>
      <c r="I32" s="53"/>
      <c r="J32" s="54"/>
    </row>
    <row r="33" spans="1:10" ht="39.950000000000003" customHeight="1" x14ac:dyDescent="0.2">
      <c r="A33" s="10"/>
      <c r="B33" s="43" t="s">
        <v>202</v>
      </c>
      <c r="C33" s="44"/>
      <c r="D33" s="44"/>
      <c r="E33" s="9">
        <v>5</v>
      </c>
      <c r="F33" s="26">
        <v>3.75</v>
      </c>
      <c r="G33" s="30">
        <f t="shared" si="0"/>
        <v>0.75</v>
      </c>
      <c r="H33" s="31" t="str">
        <f t="shared" si="1"/>
        <v>جيد</v>
      </c>
      <c r="I33" s="53"/>
      <c r="J33" s="54"/>
    </row>
    <row r="34" spans="1:10" ht="39.950000000000003" customHeight="1" thickBot="1" x14ac:dyDescent="0.25">
      <c r="A34" s="10"/>
      <c r="B34" s="45" t="s">
        <v>203</v>
      </c>
      <c r="C34" s="46"/>
      <c r="D34" s="46"/>
      <c r="E34" s="35">
        <v>5</v>
      </c>
      <c r="F34" s="27">
        <v>3.75</v>
      </c>
      <c r="G34" s="36">
        <f t="shared" si="0"/>
        <v>0.75</v>
      </c>
      <c r="H34" s="37" t="str">
        <f t="shared" si="1"/>
        <v>جيد</v>
      </c>
      <c r="I34" s="55"/>
      <c r="J34" s="56"/>
    </row>
    <row r="35" spans="1:10" ht="39.950000000000003" customHeight="1" x14ac:dyDescent="0.2">
      <c r="A35" s="10"/>
      <c r="B35" s="49" t="s">
        <v>191</v>
      </c>
      <c r="C35" s="50"/>
      <c r="D35" s="50"/>
      <c r="E35" s="38"/>
      <c r="F35" s="32"/>
      <c r="G35" s="33"/>
      <c r="H35" s="34"/>
      <c r="I35" s="57"/>
      <c r="J35" s="58"/>
    </row>
    <row r="36" spans="1:10" ht="39.950000000000003" customHeight="1" x14ac:dyDescent="0.2">
      <c r="A36" s="10"/>
      <c r="B36" s="47" t="s">
        <v>204</v>
      </c>
      <c r="C36" s="48"/>
      <c r="D36" s="48"/>
      <c r="E36" s="9">
        <v>5</v>
      </c>
      <c r="F36" s="26">
        <v>3.5</v>
      </c>
      <c r="G36" s="30">
        <f t="shared" si="0"/>
        <v>0.7</v>
      </c>
      <c r="H36" s="31" t="str">
        <f t="shared" si="1"/>
        <v>جيد</v>
      </c>
      <c r="I36" s="53"/>
      <c r="J36" s="54"/>
    </row>
    <row r="37" spans="1:10" ht="60" customHeight="1" x14ac:dyDescent="0.2">
      <c r="A37" s="10"/>
      <c r="B37" s="47" t="s">
        <v>205</v>
      </c>
      <c r="C37" s="48"/>
      <c r="D37" s="48"/>
      <c r="E37" s="9">
        <v>5</v>
      </c>
      <c r="F37" s="26">
        <v>3.5</v>
      </c>
      <c r="G37" s="30">
        <f t="shared" si="0"/>
        <v>0.7</v>
      </c>
      <c r="H37" s="31" t="str">
        <f t="shared" si="1"/>
        <v>جيد</v>
      </c>
      <c r="I37" s="53"/>
      <c r="J37" s="54"/>
    </row>
    <row r="38" spans="1:10" ht="39.950000000000003" customHeight="1" x14ac:dyDescent="0.2">
      <c r="A38" s="10"/>
      <c r="B38" s="47" t="s">
        <v>206</v>
      </c>
      <c r="C38" s="48"/>
      <c r="D38" s="48"/>
      <c r="E38" s="9">
        <v>5</v>
      </c>
      <c r="F38" s="26">
        <v>3.75</v>
      </c>
      <c r="G38" s="30">
        <f t="shared" si="0"/>
        <v>0.75</v>
      </c>
      <c r="H38" s="31" t="str">
        <f t="shared" si="1"/>
        <v>جيد</v>
      </c>
      <c r="I38" s="53"/>
      <c r="J38" s="54"/>
    </row>
    <row r="39" spans="1:10" ht="60" customHeight="1" x14ac:dyDescent="0.2">
      <c r="A39" s="10"/>
      <c r="B39" s="47" t="s">
        <v>207</v>
      </c>
      <c r="C39" s="48"/>
      <c r="D39" s="48"/>
      <c r="E39" s="9">
        <v>5</v>
      </c>
      <c r="F39" s="26">
        <v>3.75</v>
      </c>
      <c r="G39" s="30">
        <f t="shared" si="0"/>
        <v>0.75</v>
      </c>
      <c r="H39" s="31" t="str">
        <f t="shared" si="1"/>
        <v>جيد</v>
      </c>
      <c r="I39" s="53"/>
      <c r="J39" s="54"/>
    </row>
    <row r="40" spans="1:10" ht="60" customHeight="1" x14ac:dyDescent="0.2">
      <c r="A40" s="10"/>
      <c r="B40" s="47" t="s">
        <v>208</v>
      </c>
      <c r="C40" s="48"/>
      <c r="D40" s="48"/>
      <c r="E40" s="9">
        <v>5</v>
      </c>
      <c r="F40" s="26">
        <v>3.5</v>
      </c>
      <c r="G40" s="30">
        <f t="shared" si="0"/>
        <v>0.7</v>
      </c>
      <c r="H40" s="31" t="str">
        <f t="shared" si="1"/>
        <v>جيد</v>
      </c>
      <c r="I40" s="53"/>
      <c r="J40" s="54"/>
    </row>
    <row r="41" spans="1:10" ht="39.950000000000003" customHeight="1" x14ac:dyDescent="0.2">
      <c r="A41" s="10"/>
      <c r="B41" s="47" t="s">
        <v>209</v>
      </c>
      <c r="C41" s="48"/>
      <c r="D41" s="48"/>
      <c r="E41" s="9">
        <v>5</v>
      </c>
      <c r="F41" s="26">
        <v>3.75</v>
      </c>
      <c r="G41" s="30">
        <f t="shared" si="0"/>
        <v>0.75</v>
      </c>
      <c r="H41" s="31" t="str">
        <f t="shared" si="1"/>
        <v>جيد</v>
      </c>
      <c r="I41" s="53"/>
      <c r="J41" s="54"/>
    </row>
    <row r="42" spans="1:10" ht="39.950000000000003" customHeight="1" x14ac:dyDescent="0.2">
      <c r="A42" s="10"/>
      <c r="B42" s="47" t="s">
        <v>210</v>
      </c>
      <c r="C42" s="48"/>
      <c r="D42" s="48"/>
      <c r="E42" s="9">
        <v>5</v>
      </c>
      <c r="F42" s="26">
        <v>3.5</v>
      </c>
      <c r="G42" s="30">
        <f t="shared" si="0"/>
        <v>0.7</v>
      </c>
      <c r="H42" s="31" t="str">
        <f t="shared" si="1"/>
        <v>جيد</v>
      </c>
      <c r="I42" s="53"/>
      <c r="J42" s="54"/>
    </row>
    <row r="43" spans="1:10" ht="39.950000000000003" customHeight="1" x14ac:dyDescent="0.2">
      <c r="A43" s="10"/>
      <c r="B43" s="47" t="s">
        <v>211</v>
      </c>
      <c r="C43" s="48"/>
      <c r="D43" s="48"/>
      <c r="E43" s="9">
        <v>5</v>
      </c>
      <c r="F43" s="26">
        <v>3.5</v>
      </c>
      <c r="G43" s="30">
        <f t="shared" si="0"/>
        <v>0.7</v>
      </c>
      <c r="H43" s="31" t="str">
        <f t="shared" si="1"/>
        <v>جيد</v>
      </c>
      <c r="I43" s="53"/>
      <c r="J43" s="54"/>
    </row>
    <row r="44" spans="1:10" ht="39.950000000000003" customHeight="1" x14ac:dyDescent="0.2">
      <c r="A44" s="10"/>
      <c r="B44" s="47" t="s">
        <v>212</v>
      </c>
      <c r="C44" s="48"/>
      <c r="D44" s="48"/>
      <c r="E44" s="9">
        <v>5</v>
      </c>
      <c r="F44" s="26">
        <v>3.75</v>
      </c>
      <c r="G44" s="30">
        <f t="shared" si="0"/>
        <v>0.75</v>
      </c>
      <c r="H44" s="31" t="str">
        <f t="shared" si="1"/>
        <v>جيد</v>
      </c>
      <c r="I44" s="53"/>
      <c r="J44" s="54"/>
    </row>
    <row r="45" spans="1:10" ht="39.950000000000003" customHeight="1" x14ac:dyDescent="0.2">
      <c r="A45" s="10"/>
      <c r="B45" s="47" t="s">
        <v>213</v>
      </c>
      <c r="C45" s="48"/>
      <c r="D45" s="48"/>
      <c r="E45" s="9">
        <v>5</v>
      </c>
      <c r="F45" s="26">
        <v>3.75</v>
      </c>
      <c r="G45" s="30">
        <f t="shared" si="0"/>
        <v>0.75</v>
      </c>
      <c r="H45" s="31" t="str">
        <f t="shared" si="1"/>
        <v>جيد</v>
      </c>
      <c r="I45" s="53"/>
      <c r="J45" s="54"/>
    </row>
    <row r="46" spans="1:10" ht="39.950000000000003" customHeight="1" x14ac:dyDescent="0.2">
      <c r="A46" s="10"/>
      <c r="B46" s="47" t="s">
        <v>214</v>
      </c>
      <c r="C46" s="48"/>
      <c r="D46" s="48"/>
      <c r="E46" s="9">
        <v>5</v>
      </c>
      <c r="F46" s="26">
        <v>3.75</v>
      </c>
      <c r="G46" s="30">
        <f t="shared" si="0"/>
        <v>0.75</v>
      </c>
      <c r="H46" s="31" t="str">
        <f t="shared" si="1"/>
        <v>جيد</v>
      </c>
      <c r="I46" s="53"/>
      <c r="J46" s="54"/>
    </row>
    <row r="47" spans="1:10" ht="39.950000000000003" customHeight="1" x14ac:dyDescent="0.2">
      <c r="A47" s="10"/>
      <c r="B47" s="47" t="s">
        <v>215</v>
      </c>
      <c r="C47" s="48"/>
      <c r="D47" s="48"/>
      <c r="E47" s="9">
        <v>5</v>
      </c>
      <c r="F47" s="26">
        <v>3.75</v>
      </c>
      <c r="G47" s="30">
        <f t="shared" si="0"/>
        <v>0.75</v>
      </c>
      <c r="H47" s="31" t="str">
        <f t="shared" si="1"/>
        <v>جيد</v>
      </c>
      <c r="I47" s="53"/>
      <c r="J47" s="54"/>
    </row>
    <row r="48" spans="1:10" ht="39.950000000000003" customHeight="1" thickBot="1" x14ac:dyDescent="0.25">
      <c r="A48" s="10"/>
      <c r="B48" s="74" t="s">
        <v>216</v>
      </c>
      <c r="C48" s="75"/>
      <c r="D48" s="75"/>
      <c r="E48" s="35">
        <v>5</v>
      </c>
      <c r="F48" s="27">
        <v>3.75</v>
      </c>
      <c r="G48" s="36">
        <f t="shared" si="0"/>
        <v>0.75</v>
      </c>
      <c r="H48" s="37" t="str">
        <f t="shared" si="1"/>
        <v>جيد</v>
      </c>
      <c r="I48" s="55"/>
      <c r="J48" s="56"/>
    </row>
    <row r="49" spans="1:10" ht="30" customHeight="1" thickBot="1" x14ac:dyDescent="0.25">
      <c r="A49" s="4"/>
      <c r="B49" s="59" t="s">
        <v>5</v>
      </c>
      <c r="C49" s="60"/>
      <c r="D49" s="60"/>
      <c r="E49" s="29">
        <f>SUM(E8:E48)</f>
        <v>150</v>
      </c>
      <c r="F49" s="29">
        <f>SUM(F8:F48)</f>
        <v>109.75</v>
      </c>
      <c r="G49" s="71"/>
      <c r="H49" s="72"/>
      <c r="I49" s="72"/>
      <c r="J49" s="73"/>
    </row>
    <row r="50" spans="1:10" ht="30" customHeight="1" thickBot="1" x14ac:dyDescent="0.25">
      <c r="A50" s="4"/>
      <c r="B50" s="61" t="s">
        <v>54</v>
      </c>
      <c r="C50" s="62"/>
      <c r="D50" s="62"/>
      <c r="E50" s="83">
        <f>F49/E49/100*100</f>
        <v>0.73166666666666669</v>
      </c>
      <c r="F50" s="83"/>
      <c r="G50" s="83"/>
      <c r="H50" s="83"/>
      <c r="I50" s="83"/>
      <c r="J50" s="84"/>
    </row>
    <row r="51" spans="1:10" ht="30" customHeight="1" thickBot="1" x14ac:dyDescent="0.25">
      <c r="A51" s="4"/>
      <c r="B51" s="61" t="s">
        <v>55</v>
      </c>
      <c r="C51" s="62"/>
      <c r="D51" s="62"/>
      <c r="E51" s="67" t="str">
        <f>_xlfn.IFS(E50&gt;=90%,"ممتاز",E50&gt;=80%,"جيد جداً",E50&gt;=70%,"جيد",E50&gt;=60%,"مقبول",E50&lt;60%,"راسب")</f>
        <v>جيد</v>
      </c>
      <c r="F51" s="67"/>
      <c r="G51" s="67"/>
      <c r="H51" s="67"/>
      <c r="I51" s="67"/>
      <c r="J51" s="68"/>
    </row>
    <row r="52" spans="1:10" ht="42" customHeight="1" x14ac:dyDescent="0.2">
      <c r="B52" s="63" t="s">
        <v>175</v>
      </c>
      <c r="C52" s="63"/>
      <c r="D52" s="63"/>
      <c r="E52" s="69" t="s">
        <v>52</v>
      </c>
      <c r="F52" s="69"/>
      <c r="G52" s="65" t="s">
        <v>142</v>
      </c>
      <c r="H52" s="65"/>
      <c r="I52" s="65"/>
      <c r="J52" s="65"/>
    </row>
    <row r="53" spans="1:10" ht="51" customHeight="1" x14ac:dyDescent="0.2">
      <c r="A53" s="5"/>
      <c r="B53" s="64"/>
      <c r="C53" s="64"/>
      <c r="D53" s="64"/>
      <c r="E53" s="70" t="s">
        <v>53</v>
      </c>
      <c r="F53" s="70"/>
      <c r="G53" s="66"/>
      <c r="H53" s="66"/>
      <c r="I53" s="66"/>
      <c r="J53" s="66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03">
    <mergeCell ref="B1:J1"/>
    <mergeCell ref="F2:J2"/>
    <mergeCell ref="B5:D6"/>
    <mergeCell ref="C2:D2"/>
    <mergeCell ref="C3:D3"/>
    <mergeCell ref="F3:J3"/>
    <mergeCell ref="E50:J50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  <mergeCell ref="B52:D53"/>
    <mergeCell ref="G52:J52"/>
    <mergeCell ref="G53:J53"/>
    <mergeCell ref="E51:J51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E52:F52"/>
    <mergeCell ref="E53:F53"/>
    <mergeCell ref="G49:J49"/>
    <mergeCell ref="B46:D46"/>
    <mergeCell ref="B47:D47"/>
    <mergeCell ref="B48:D48"/>
    <mergeCell ref="I32:J32"/>
    <mergeCell ref="I33:J33"/>
    <mergeCell ref="I34:J34"/>
    <mergeCell ref="I35:J35"/>
    <mergeCell ref="I36:J36"/>
    <mergeCell ref="I8:J8"/>
    <mergeCell ref="B49:D49"/>
    <mergeCell ref="B50:D50"/>
    <mergeCell ref="B51:D51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6:J26"/>
    <mergeCell ref="I27:J27"/>
    <mergeCell ref="I9:J9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44:D44"/>
    <mergeCell ref="B45:D45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51">
    <cfRule type="expression" dxfId="14" priority="57">
      <formula>$E51="راسب"</formula>
    </cfRule>
  </conditionalFormatting>
  <conditionalFormatting sqref="E51:J51">
    <cfRule type="expression" dxfId="13" priority="58">
      <formula>$E51="مقبول"</formula>
    </cfRule>
    <cfRule type="expression" dxfId="12" priority="59">
      <formula>$E51="جيد"</formula>
    </cfRule>
    <cfRule type="expression" dxfId="11" priority="60">
      <formula>$E51="جيد جداً"</formula>
    </cfRule>
    <cfRule type="expression" dxfId="10" priority="61">
      <formula>$E51="ممتاز"</formula>
    </cfRule>
  </conditionalFormatting>
  <conditionalFormatting sqref="F8:F48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52:J52">
    <cfRule type="containsText" dxfId="6" priority="15" operator="containsText" text="أدخل اسم المحكم">
      <formula>NOT(ISERROR(SEARCH("أدخل اسم المحكم",G52)))</formula>
    </cfRule>
  </conditionalFormatting>
  <conditionalFormatting sqref="H8:H48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F36:F48 F33:F34 F27:F30 F23:F25 F19:F20 F13:F17 F11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G52:J52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62" workbookViewId="0">
      <selection activeCell="A199" sqref="A199:A285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19" t="s">
        <v>62</v>
      </c>
    </row>
    <row r="3" spans="1:3" ht="20.100000000000001" customHeight="1" thickBot="1" x14ac:dyDescent="0.3">
      <c r="A3" s="2" t="s">
        <v>26</v>
      </c>
      <c r="C3" s="19" t="s">
        <v>63</v>
      </c>
    </row>
    <row r="4" spans="1:3" ht="20.100000000000001" customHeight="1" thickBot="1" x14ac:dyDescent="0.3">
      <c r="A4" s="2" t="s">
        <v>36</v>
      </c>
      <c r="C4" s="19" t="s">
        <v>64</v>
      </c>
    </row>
    <row r="5" spans="1:3" ht="20.100000000000001" customHeight="1" thickBot="1" x14ac:dyDescent="0.3">
      <c r="A5" s="2" t="s">
        <v>37</v>
      </c>
      <c r="C5" s="19" t="s">
        <v>65</v>
      </c>
    </row>
    <row r="6" spans="1:3" ht="20.100000000000001" customHeight="1" thickBot="1" x14ac:dyDescent="0.3">
      <c r="A6" s="2" t="s">
        <v>38</v>
      </c>
      <c r="C6" s="19" t="s">
        <v>66</v>
      </c>
    </row>
    <row r="7" spans="1:3" ht="20.100000000000001" customHeight="1" thickBot="1" x14ac:dyDescent="0.3">
      <c r="A7" s="2" t="s">
        <v>39</v>
      </c>
      <c r="C7" s="19" t="s">
        <v>67</v>
      </c>
    </row>
    <row r="8" spans="1:3" ht="20.100000000000001" customHeight="1" thickBot="1" x14ac:dyDescent="0.3">
      <c r="A8" s="2" t="s">
        <v>40</v>
      </c>
      <c r="C8" s="19" t="s">
        <v>68</v>
      </c>
    </row>
    <row r="9" spans="1:3" ht="20.100000000000001" customHeight="1" thickBot="1" x14ac:dyDescent="0.3">
      <c r="A9" s="2" t="s">
        <v>41</v>
      </c>
      <c r="C9" s="19" t="s">
        <v>69</v>
      </c>
    </row>
    <row r="10" spans="1:3" ht="20.100000000000001" customHeight="1" thickBot="1" x14ac:dyDescent="0.3">
      <c r="A10" s="2" t="s">
        <v>42</v>
      </c>
      <c r="C10" s="19" t="s">
        <v>70</v>
      </c>
    </row>
    <row r="11" spans="1:3" ht="20.100000000000001" customHeight="1" thickBot="1" x14ac:dyDescent="0.3">
      <c r="A11" s="2" t="s">
        <v>43</v>
      </c>
      <c r="C11" s="19" t="s">
        <v>71</v>
      </c>
    </row>
    <row r="12" spans="1:3" ht="20.100000000000001" customHeight="1" thickBot="1" x14ac:dyDescent="0.3">
      <c r="A12" s="2" t="s">
        <v>44</v>
      </c>
      <c r="C12" s="19" t="s">
        <v>72</v>
      </c>
    </row>
    <row r="13" spans="1:3" ht="20.100000000000001" customHeight="1" thickBot="1" x14ac:dyDescent="0.3">
      <c r="A13" s="2" t="s">
        <v>45</v>
      </c>
      <c r="C13" s="19" t="s">
        <v>73</v>
      </c>
    </row>
    <row r="14" spans="1:3" ht="20.100000000000001" customHeight="1" thickBot="1" x14ac:dyDescent="0.3">
      <c r="A14" s="2" t="s">
        <v>46</v>
      </c>
      <c r="C14" s="19" t="s">
        <v>74</v>
      </c>
    </row>
    <row r="15" spans="1:3" ht="20.100000000000001" customHeight="1" thickBot="1" x14ac:dyDescent="0.3">
      <c r="A15" s="2" t="s">
        <v>47</v>
      </c>
      <c r="C15" s="19" t="s">
        <v>75</v>
      </c>
    </row>
    <row r="16" spans="1:3" ht="20.100000000000001" customHeight="1" thickBot="1" x14ac:dyDescent="0.3">
      <c r="A16" s="2" t="s">
        <v>10</v>
      </c>
      <c r="C16" s="19" t="s">
        <v>76</v>
      </c>
    </row>
    <row r="17" spans="1:3" ht="20.100000000000001" customHeight="1" thickBot="1" x14ac:dyDescent="0.3">
      <c r="A17" s="2" t="s">
        <v>27</v>
      </c>
      <c r="C17" s="19" t="s">
        <v>77</v>
      </c>
    </row>
    <row r="18" spans="1:3" ht="20.100000000000001" customHeight="1" thickBot="1" x14ac:dyDescent="0.3">
      <c r="A18" s="2" t="s">
        <v>48</v>
      </c>
      <c r="C18" s="19" t="s">
        <v>78</v>
      </c>
    </row>
    <row r="19" spans="1:3" ht="20.100000000000001" customHeight="1" thickBot="1" x14ac:dyDescent="0.3">
      <c r="A19" s="2" t="s">
        <v>49</v>
      </c>
      <c r="C19" s="19" t="s">
        <v>79</v>
      </c>
    </row>
    <row r="20" spans="1:3" ht="20.100000000000001" customHeight="1" thickBot="1" x14ac:dyDescent="0.3">
      <c r="A20" s="2" t="s">
        <v>50</v>
      </c>
      <c r="C20" s="19" t="s">
        <v>80</v>
      </c>
    </row>
    <row r="21" spans="1:3" ht="20.100000000000001" customHeight="1" thickBot="1" x14ac:dyDescent="0.3">
      <c r="A21" s="2" t="s">
        <v>51</v>
      </c>
      <c r="C21" s="19" t="s">
        <v>81</v>
      </c>
    </row>
    <row r="22" spans="1:3" ht="20.100000000000001" customHeight="1" thickBot="1" x14ac:dyDescent="0.3">
      <c r="A22" s="2" t="s">
        <v>11</v>
      </c>
      <c r="C22" s="19" t="s">
        <v>82</v>
      </c>
    </row>
    <row r="23" spans="1:3" ht="20.100000000000001" customHeight="1" thickBot="1" x14ac:dyDescent="0.3">
      <c r="A23" s="2" t="s">
        <v>12</v>
      </c>
      <c r="C23" s="19" t="s">
        <v>83</v>
      </c>
    </row>
    <row r="24" spans="1:3" ht="20.100000000000001" customHeight="1" thickBot="1" x14ac:dyDescent="0.3">
      <c r="A24" s="2" t="s">
        <v>15</v>
      </c>
      <c r="C24" s="19" t="s">
        <v>84</v>
      </c>
    </row>
    <row r="25" spans="1:3" ht="20.100000000000001" customHeight="1" thickBot="1" x14ac:dyDescent="0.3">
      <c r="A25" s="2" t="s">
        <v>28</v>
      </c>
      <c r="C25" s="19" t="s">
        <v>85</v>
      </c>
    </row>
    <row r="26" spans="1:3" ht="20.100000000000001" customHeight="1" thickBot="1" x14ac:dyDescent="0.3">
      <c r="A26" s="2" t="s">
        <v>29</v>
      </c>
      <c r="C26" s="19" t="s">
        <v>86</v>
      </c>
    </row>
    <row r="27" spans="1:3" ht="20.100000000000001" customHeight="1" thickBot="1" x14ac:dyDescent="0.3">
      <c r="A27" s="2" t="s">
        <v>13</v>
      </c>
      <c r="C27" s="19" t="s">
        <v>87</v>
      </c>
    </row>
    <row r="28" spans="1:3" ht="20.100000000000001" customHeight="1" thickBot="1" x14ac:dyDescent="0.3">
      <c r="A28" s="2" t="s">
        <v>30</v>
      </c>
      <c r="C28" s="19" t="s">
        <v>88</v>
      </c>
    </row>
    <row r="29" spans="1:3" ht="20.100000000000001" customHeight="1" thickBot="1" x14ac:dyDescent="0.3">
      <c r="A29" s="2" t="s">
        <v>31</v>
      </c>
      <c r="C29" s="2"/>
    </row>
    <row r="30" spans="1:3" ht="20.100000000000001" customHeight="1" thickBot="1" x14ac:dyDescent="0.3">
      <c r="A30" s="2" t="s">
        <v>32</v>
      </c>
      <c r="C30" s="2"/>
    </row>
    <row r="31" spans="1:3" ht="20.100000000000001" customHeight="1" thickBot="1" x14ac:dyDescent="0.3">
      <c r="A31" s="2" t="s">
        <v>33</v>
      </c>
      <c r="C31" s="2"/>
    </row>
    <row r="32" spans="1:3" ht="20.100000000000001" customHeight="1" thickBot="1" x14ac:dyDescent="0.3">
      <c r="A32" s="2" t="s">
        <v>16</v>
      </c>
      <c r="C32" s="2"/>
    </row>
    <row r="33" spans="1:9" ht="20.100000000000001" customHeight="1" thickBot="1" x14ac:dyDescent="0.3">
      <c r="A33" s="2" t="s">
        <v>14</v>
      </c>
      <c r="C33" s="2"/>
    </row>
    <row r="34" spans="1:9" ht="20.100000000000001" customHeight="1" thickBot="1" x14ac:dyDescent="0.3">
      <c r="A34" s="2" t="s">
        <v>34</v>
      </c>
      <c r="C34" s="2"/>
    </row>
    <row r="35" spans="1:9" ht="20.100000000000001" customHeight="1" x14ac:dyDescent="0.2">
      <c r="A35" s="18"/>
    </row>
    <row r="36" spans="1:9" s="17" customFormat="1" ht="20.100000000000001" customHeight="1" x14ac:dyDescent="0.2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3">
        <v>45901</v>
      </c>
    </row>
    <row r="40" spans="1:9" ht="20.100000000000001" customHeight="1" thickBot="1" x14ac:dyDescent="0.3">
      <c r="A40" s="13">
        <v>45902</v>
      </c>
    </row>
    <row r="41" spans="1:9" ht="20.100000000000001" customHeight="1" thickBot="1" x14ac:dyDescent="0.3">
      <c r="A41" s="13">
        <v>45903</v>
      </c>
    </row>
    <row r="42" spans="1:9" ht="20.100000000000001" customHeight="1" thickBot="1" x14ac:dyDescent="0.3">
      <c r="A42" s="13">
        <v>45904</v>
      </c>
    </row>
    <row r="43" spans="1:9" ht="20.100000000000001" customHeight="1" thickBot="1" x14ac:dyDescent="0.3">
      <c r="A43" s="13">
        <v>45905</v>
      </c>
    </row>
    <row r="44" spans="1:9" ht="20.100000000000001" customHeight="1" thickBot="1" x14ac:dyDescent="0.3">
      <c r="A44" s="13">
        <v>45906</v>
      </c>
    </row>
    <row r="45" spans="1:9" ht="20.100000000000001" customHeight="1" thickBot="1" x14ac:dyDescent="0.3">
      <c r="A45" s="13">
        <v>45907</v>
      </c>
    </row>
    <row r="46" spans="1:9" ht="20.100000000000001" customHeight="1" thickBot="1" x14ac:dyDescent="0.3">
      <c r="A46" s="13">
        <v>45908</v>
      </c>
    </row>
    <row r="47" spans="1:9" ht="20.100000000000001" customHeight="1" thickBot="1" x14ac:dyDescent="0.3">
      <c r="A47" s="13">
        <v>45909</v>
      </c>
    </row>
    <row r="48" spans="1:9" ht="20.100000000000001" customHeight="1" thickBot="1" x14ac:dyDescent="0.3">
      <c r="A48" s="13">
        <v>45910</v>
      </c>
    </row>
    <row r="49" spans="1:1" ht="20.100000000000001" customHeight="1" thickBot="1" x14ac:dyDescent="0.3">
      <c r="A49" s="13">
        <v>45911</v>
      </c>
    </row>
    <row r="50" spans="1:1" ht="20.100000000000001" customHeight="1" thickBot="1" x14ac:dyDescent="0.3">
      <c r="A50" s="13">
        <v>45912</v>
      </c>
    </row>
    <row r="51" spans="1:1" ht="20.100000000000001" customHeight="1" thickBot="1" x14ac:dyDescent="0.3">
      <c r="A51" s="13">
        <v>45913</v>
      </c>
    </row>
    <row r="52" spans="1:1" ht="20.100000000000001" customHeight="1" thickBot="1" x14ac:dyDescent="0.3">
      <c r="A52" s="13">
        <v>45914</v>
      </c>
    </row>
    <row r="53" spans="1:1" ht="20.100000000000001" customHeight="1" thickBot="1" x14ac:dyDescent="0.3">
      <c r="A53" s="13">
        <v>45915</v>
      </c>
    </row>
    <row r="54" spans="1:1" ht="20.100000000000001" customHeight="1" thickBot="1" x14ac:dyDescent="0.3">
      <c r="A54" s="13">
        <v>45916</v>
      </c>
    </row>
    <row r="55" spans="1:1" ht="20.100000000000001" customHeight="1" thickBot="1" x14ac:dyDescent="0.3">
      <c r="A55" s="13">
        <v>45917</v>
      </c>
    </row>
    <row r="56" spans="1:1" ht="20.100000000000001" customHeight="1" thickBot="1" x14ac:dyDescent="0.3">
      <c r="A56" s="13">
        <v>45918</v>
      </c>
    </row>
    <row r="57" spans="1:1" ht="20.100000000000001" customHeight="1" thickBot="1" x14ac:dyDescent="0.3">
      <c r="A57" s="13">
        <v>45919</v>
      </c>
    </row>
    <row r="58" spans="1:1" ht="20.100000000000001" customHeight="1" thickBot="1" x14ac:dyDescent="0.3">
      <c r="A58" s="13">
        <v>45920</v>
      </c>
    </row>
    <row r="59" spans="1:1" ht="20.100000000000001" customHeight="1" thickBot="1" x14ac:dyDescent="0.3">
      <c r="A59" s="13">
        <v>45921</v>
      </c>
    </row>
    <row r="60" spans="1:1" ht="20.100000000000001" customHeight="1" thickBot="1" x14ac:dyDescent="0.3">
      <c r="A60" s="13">
        <v>45922</v>
      </c>
    </row>
    <row r="61" spans="1:1" ht="20.100000000000001" customHeight="1" thickBot="1" x14ac:dyDescent="0.3">
      <c r="A61" s="13">
        <v>45923</v>
      </c>
    </row>
    <row r="62" spans="1:1" ht="20.100000000000001" customHeight="1" thickBot="1" x14ac:dyDescent="0.3">
      <c r="A62" s="13">
        <v>45924</v>
      </c>
    </row>
    <row r="63" spans="1:1" ht="20.100000000000001" customHeight="1" thickBot="1" x14ac:dyDescent="0.3">
      <c r="A63" s="13">
        <v>45925</v>
      </c>
    </row>
    <row r="64" spans="1:1" ht="20.100000000000001" customHeight="1" thickBot="1" x14ac:dyDescent="0.3">
      <c r="A64" s="13">
        <v>45926</v>
      </c>
    </row>
    <row r="65" spans="1:1" ht="20.100000000000001" customHeight="1" thickBot="1" x14ac:dyDescent="0.3">
      <c r="A65" s="13">
        <v>45927</v>
      </c>
    </row>
    <row r="66" spans="1:1" ht="20.100000000000001" customHeight="1" thickBot="1" x14ac:dyDescent="0.3">
      <c r="A66" s="13">
        <v>45928</v>
      </c>
    </row>
    <row r="67" spans="1:1" ht="20.100000000000001" customHeight="1" thickBot="1" x14ac:dyDescent="0.3">
      <c r="A67" s="13">
        <v>45929</v>
      </c>
    </row>
    <row r="68" spans="1:1" ht="20.100000000000001" customHeight="1" thickBot="1" x14ac:dyDescent="0.3">
      <c r="A68" s="13">
        <v>45930</v>
      </c>
    </row>
    <row r="69" spans="1:1" ht="20.100000000000001" customHeight="1" thickBot="1" x14ac:dyDescent="0.3">
      <c r="A69" s="13">
        <v>45931</v>
      </c>
    </row>
    <row r="70" spans="1:1" ht="20.100000000000001" customHeight="1" thickBot="1" x14ac:dyDescent="0.3">
      <c r="A70" s="13">
        <v>45932</v>
      </c>
    </row>
    <row r="71" spans="1:1" ht="20.100000000000001" customHeight="1" thickBot="1" x14ac:dyDescent="0.3">
      <c r="A71" s="13">
        <v>45933</v>
      </c>
    </row>
    <row r="72" spans="1:1" ht="20.100000000000001" customHeight="1" thickBot="1" x14ac:dyDescent="0.3">
      <c r="A72" s="13">
        <v>45934</v>
      </c>
    </row>
    <row r="73" spans="1:1" ht="20.100000000000001" customHeight="1" thickBot="1" x14ac:dyDescent="0.3">
      <c r="A73" s="13">
        <v>45935</v>
      </c>
    </row>
    <row r="74" spans="1:1" ht="20.100000000000001" customHeight="1" thickBot="1" x14ac:dyDescent="0.3">
      <c r="A74" s="13">
        <v>45936</v>
      </c>
    </row>
    <row r="75" spans="1:1" ht="20.100000000000001" customHeight="1" thickBot="1" x14ac:dyDescent="0.3">
      <c r="A75" s="13">
        <v>45937</v>
      </c>
    </row>
    <row r="76" spans="1:1" ht="20.100000000000001" customHeight="1" thickBot="1" x14ac:dyDescent="0.3">
      <c r="A76" s="13">
        <v>45938</v>
      </c>
    </row>
    <row r="77" spans="1:1" ht="20.100000000000001" customHeight="1" thickBot="1" x14ac:dyDescent="0.3">
      <c r="A77" s="13">
        <v>45939</v>
      </c>
    </row>
    <row r="78" spans="1:1" ht="20.100000000000001" customHeight="1" thickBot="1" x14ac:dyDescent="0.3">
      <c r="A78" s="13">
        <v>45940</v>
      </c>
    </row>
    <row r="79" spans="1:1" ht="20.100000000000001" customHeight="1" thickBot="1" x14ac:dyDescent="0.3">
      <c r="A79" s="13">
        <v>45941</v>
      </c>
    </row>
    <row r="80" spans="1:1" ht="20.100000000000001" customHeight="1" thickBot="1" x14ac:dyDescent="0.3">
      <c r="A80" s="13">
        <v>45942</v>
      </c>
    </row>
    <row r="81" spans="1:1" ht="20.100000000000001" customHeight="1" thickBot="1" x14ac:dyDescent="0.3">
      <c r="A81" s="13">
        <v>45943</v>
      </c>
    </row>
    <row r="82" spans="1:1" ht="20.100000000000001" customHeight="1" thickBot="1" x14ac:dyDescent="0.3">
      <c r="A82" s="13">
        <v>45944</v>
      </c>
    </row>
    <row r="83" spans="1:1" ht="20.100000000000001" customHeight="1" thickBot="1" x14ac:dyDescent="0.3">
      <c r="A83" s="13">
        <v>45945</v>
      </c>
    </row>
    <row r="84" spans="1:1" ht="20.100000000000001" customHeight="1" thickBot="1" x14ac:dyDescent="0.3">
      <c r="A84" s="13">
        <v>45946</v>
      </c>
    </row>
    <row r="85" spans="1:1" ht="20.100000000000001" customHeight="1" thickBot="1" x14ac:dyDescent="0.3">
      <c r="A85" s="13">
        <v>45947</v>
      </c>
    </row>
    <row r="86" spans="1:1" ht="20.100000000000001" customHeight="1" thickBot="1" x14ac:dyDescent="0.3">
      <c r="A86" s="13">
        <v>45948</v>
      </c>
    </row>
    <row r="87" spans="1:1" ht="20.100000000000001" customHeight="1" thickBot="1" x14ac:dyDescent="0.3">
      <c r="A87" s="13">
        <v>45949</v>
      </c>
    </row>
    <row r="88" spans="1:1" ht="20.100000000000001" customHeight="1" thickBot="1" x14ac:dyDescent="0.3">
      <c r="A88" s="13">
        <v>45950</v>
      </c>
    </row>
    <row r="89" spans="1:1" ht="20.100000000000001" customHeight="1" thickBot="1" x14ac:dyDescent="0.3">
      <c r="A89" s="13">
        <v>45951</v>
      </c>
    </row>
    <row r="90" spans="1:1" ht="20.100000000000001" customHeight="1" thickBot="1" x14ac:dyDescent="0.3">
      <c r="A90" s="13">
        <v>45952</v>
      </c>
    </row>
    <row r="91" spans="1:1" ht="20.100000000000001" customHeight="1" thickBot="1" x14ac:dyDescent="0.3">
      <c r="A91" s="13">
        <v>45953</v>
      </c>
    </row>
    <row r="92" spans="1:1" ht="20.100000000000001" customHeight="1" thickBot="1" x14ac:dyDescent="0.3">
      <c r="A92" s="13">
        <v>45954</v>
      </c>
    </row>
    <row r="93" spans="1:1" ht="20.100000000000001" customHeight="1" thickBot="1" x14ac:dyDescent="0.3">
      <c r="A93" s="13">
        <v>45955</v>
      </c>
    </row>
    <row r="94" spans="1:1" ht="20.100000000000001" customHeight="1" thickBot="1" x14ac:dyDescent="0.3">
      <c r="A94" s="13">
        <v>45956</v>
      </c>
    </row>
    <row r="95" spans="1:1" ht="20.100000000000001" customHeight="1" thickBot="1" x14ac:dyDescent="0.3">
      <c r="A95" s="13">
        <v>45957</v>
      </c>
    </row>
    <row r="96" spans="1:1" ht="20.100000000000001" customHeight="1" thickBot="1" x14ac:dyDescent="0.3">
      <c r="A96" s="13">
        <v>45958</v>
      </c>
    </row>
    <row r="97" spans="1:9" ht="20.100000000000001" customHeight="1" thickBot="1" x14ac:dyDescent="0.3">
      <c r="A97" s="13">
        <v>45959</v>
      </c>
    </row>
    <row r="98" spans="1:9" ht="20.100000000000001" customHeight="1" thickBot="1" x14ac:dyDescent="0.3">
      <c r="A98" s="13">
        <v>45960</v>
      </c>
    </row>
    <row r="99" spans="1:9" ht="20.100000000000001" customHeight="1" thickBot="1" x14ac:dyDescent="0.3">
      <c r="A99" s="13">
        <v>45961</v>
      </c>
    </row>
    <row r="100" spans="1:9" ht="20.100000000000001" customHeight="1" thickBot="1" x14ac:dyDescent="0.3">
      <c r="A100" s="13">
        <v>45962</v>
      </c>
    </row>
    <row r="101" spans="1:9" ht="20.100000000000001" customHeight="1" thickBot="1" x14ac:dyDescent="0.3">
      <c r="A101" s="13">
        <v>45963</v>
      </c>
    </row>
    <row r="102" spans="1:9" ht="20.100000000000001" customHeight="1" thickBot="1" x14ac:dyDescent="0.3">
      <c r="A102" s="13">
        <v>45964</v>
      </c>
    </row>
    <row r="103" spans="1:9" ht="20.100000000000001" customHeight="1" thickBot="1" x14ac:dyDescent="0.3">
      <c r="A103" s="13">
        <v>45965</v>
      </c>
    </row>
    <row r="104" spans="1:9" ht="20.100000000000001" customHeight="1" thickBot="1" x14ac:dyDescent="0.3">
      <c r="A104" s="13">
        <v>45966</v>
      </c>
    </row>
    <row r="105" spans="1:9" ht="20.100000000000001" customHeight="1" thickBot="1" x14ac:dyDescent="0.3">
      <c r="A105" s="13">
        <v>45967</v>
      </c>
    </row>
    <row r="106" spans="1:9" ht="20.100000000000001" customHeight="1" thickBot="1" x14ac:dyDescent="0.3">
      <c r="A106" s="13">
        <v>45968</v>
      </c>
    </row>
    <row r="107" spans="1:9" ht="20.100000000000001" customHeight="1" x14ac:dyDescent="0.2">
      <c r="A107" s="14"/>
    </row>
    <row r="108" spans="1:9" ht="20.100000000000001" customHeight="1" x14ac:dyDescent="0.2">
      <c r="A108" s="14"/>
    </row>
    <row r="109" spans="1:9" s="17" customFormat="1" ht="20.100000000000001" customHeight="1" x14ac:dyDescent="0.2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20" t="s">
        <v>89</v>
      </c>
    </row>
    <row r="200" spans="1:1" ht="20.100000000000001" customHeight="1" x14ac:dyDescent="0.2">
      <c r="A200" s="20" t="s">
        <v>90</v>
      </c>
    </row>
    <row r="201" spans="1:1" ht="20.100000000000001" customHeight="1" x14ac:dyDescent="0.2">
      <c r="A201" s="20" t="s">
        <v>91</v>
      </c>
    </row>
    <row r="202" spans="1:1" ht="20.100000000000001" customHeight="1" x14ac:dyDescent="0.2">
      <c r="A202" s="20" t="s">
        <v>92</v>
      </c>
    </row>
    <row r="203" spans="1:1" ht="20.100000000000001" customHeight="1" x14ac:dyDescent="0.2">
      <c r="A203" s="20" t="s">
        <v>93</v>
      </c>
    </row>
    <row r="204" spans="1:1" ht="20.100000000000001" customHeight="1" x14ac:dyDescent="0.2">
      <c r="A204" s="20" t="s">
        <v>94</v>
      </c>
    </row>
    <row r="205" spans="1:1" ht="20.100000000000001" customHeight="1" x14ac:dyDescent="0.2">
      <c r="A205" s="20" t="s">
        <v>95</v>
      </c>
    </row>
    <row r="206" spans="1:1" ht="20.100000000000001" customHeight="1" x14ac:dyDescent="0.2">
      <c r="A206" s="20" t="s">
        <v>96</v>
      </c>
    </row>
    <row r="207" spans="1:1" ht="20.100000000000001" customHeight="1" x14ac:dyDescent="0.2">
      <c r="A207" s="20" t="s">
        <v>97</v>
      </c>
    </row>
    <row r="208" spans="1:1" ht="20.100000000000001" customHeight="1" x14ac:dyDescent="0.2">
      <c r="A208" s="21" t="s">
        <v>98</v>
      </c>
    </row>
    <row r="209" spans="1:1" ht="20.100000000000001" customHeight="1" x14ac:dyDescent="0.2">
      <c r="A209" s="21" t="s">
        <v>99</v>
      </c>
    </row>
    <row r="210" spans="1:1" ht="20.100000000000001" customHeight="1" x14ac:dyDescent="0.2">
      <c r="A210" s="20" t="s">
        <v>100</v>
      </c>
    </row>
    <row r="211" spans="1:1" ht="20.100000000000001" customHeight="1" x14ac:dyDescent="0.2">
      <c r="A211" s="20" t="s">
        <v>101</v>
      </c>
    </row>
    <row r="212" spans="1:1" ht="20.100000000000001" customHeight="1" x14ac:dyDescent="0.2">
      <c r="A212" s="20" t="s">
        <v>102</v>
      </c>
    </row>
    <row r="213" spans="1:1" ht="20.100000000000001" customHeight="1" x14ac:dyDescent="0.2">
      <c r="A213" s="20" t="s">
        <v>103</v>
      </c>
    </row>
    <row r="214" spans="1:1" ht="20.100000000000001" customHeight="1" x14ac:dyDescent="0.2">
      <c r="A214" s="20" t="s">
        <v>104</v>
      </c>
    </row>
    <row r="215" spans="1:1" ht="20.100000000000001" customHeight="1" x14ac:dyDescent="0.2">
      <c r="A215" s="20" t="s">
        <v>105</v>
      </c>
    </row>
    <row r="216" spans="1:1" ht="20.100000000000001" customHeight="1" x14ac:dyDescent="0.2">
      <c r="A216" s="20" t="s">
        <v>106</v>
      </c>
    </row>
    <row r="217" spans="1:1" ht="20.100000000000001" customHeight="1" x14ac:dyDescent="0.2">
      <c r="A217" s="20" t="s">
        <v>107</v>
      </c>
    </row>
    <row r="218" spans="1:1" ht="20.100000000000001" customHeight="1" x14ac:dyDescent="0.2">
      <c r="A218" s="20" t="s">
        <v>108</v>
      </c>
    </row>
    <row r="219" spans="1:1" ht="20.100000000000001" customHeight="1" x14ac:dyDescent="0.2">
      <c r="A219" s="20" t="s">
        <v>109</v>
      </c>
    </row>
    <row r="220" spans="1:1" ht="20.100000000000001" customHeight="1" x14ac:dyDescent="0.2">
      <c r="A220" s="20" t="s">
        <v>110</v>
      </c>
    </row>
    <row r="221" spans="1:1" ht="20.100000000000001" customHeight="1" x14ac:dyDescent="0.2">
      <c r="A221" s="20" t="s">
        <v>111</v>
      </c>
    </row>
    <row r="222" spans="1:1" ht="20.100000000000001" customHeight="1" x14ac:dyDescent="0.2">
      <c r="A222" s="20" t="s">
        <v>112</v>
      </c>
    </row>
    <row r="223" spans="1:1" ht="20.100000000000001" customHeight="1" x14ac:dyDescent="0.2">
      <c r="A223" s="20" t="s">
        <v>113</v>
      </c>
    </row>
    <row r="224" spans="1:1" ht="20.100000000000001" customHeight="1" x14ac:dyDescent="0.2">
      <c r="A224" s="20" t="s">
        <v>114</v>
      </c>
    </row>
    <row r="225" spans="1:1" ht="20.100000000000001" customHeight="1" x14ac:dyDescent="0.2">
      <c r="A225" s="20" t="s">
        <v>115</v>
      </c>
    </row>
    <row r="226" spans="1:1" ht="20.100000000000001" customHeight="1" x14ac:dyDescent="0.2">
      <c r="A226" s="20" t="s">
        <v>116</v>
      </c>
    </row>
    <row r="227" spans="1:1" ht="20.100000000000001" customHeight="1" x14ac:dyDescent="0.2">
      <c r="A227" s="20" t="s">
        <v>117</v>
      </c>
    </row>
    <row r="228" spans="1:1" ht="20.100000000000001" customHeight="1" x14ac:dyDescent="0.2">
      <c r="A228" s="20" t="s">
        <v>118</v>
      </c>
    </row>
    <row r="229" spans="1:1" ht="20.100000000000001" customHeight="1" x14ac:dyDescent="0.2">
      <c r="A229" s="20" t="s">
        <v>119</v>
      </c>
    </row>
    <row r="230" spans="1:1" ht="20.100000000000001" customHeight="1" x14ac:dyDescent="0.2">
      <c r="A230" s="20" t="s">
        <v>120</v>
      </c>
    </row>
    <row r="231" spans="1:1" ht="20.100000000000001" customHeight="1" x14ac:dyDescent="0.2">
      <c r="A231" s="20" t="s">
        <v>121</v>
      </c>
    </row>
    <row r="232" spans="1:1" ht="20.100000000000001" customHeight="1" x14ac:dyDescent="0.2">
      <c r="A232" s="20" t="s">
        <v>122</v>
      </c>
    </row>
    <row r="233" spans="1:1" ht="20.100000000000001" customHeight="1" x14ac:dyDescent="0.2">
      <c r="A233" s="20" t="s">
        <v>123</v>
      </c>
    </row>
    <row r="234" spans="1:1" ht="20.100000000000001" customHeight="1" x14ac:dyDescent="0.2">
      <c r="A234" s="20" t="s">
        <v>124</v>
      </c>
    </row>
    <row r="235" spans="1:1" ht="20.100000000000001" customHeight="1" x14ac:dyDescent="0.2">
      <c r="A235" s="22" t="s">
        <v>125</v>
      </c>
    </row>
    <row r="236" spans="1:1" ht="20.100000000000001" customHeight="1" x14ac:dyDescent="0.2">
      <c r="A236" s="20" t="s">
        <v>126</v>
      </c>
    </row>
    <row r="237" spans="1:1" ht="20.100000000000001" customHeight="1" x14ac:dyDescent="0.2">
      <c r="A237" s="20" t="s">
        <v>127</v>
      </c>
    </row>
    <row r="238" spans="1:1" ht="20.100000000000001" customHeight="1" x14ac:dyDescent="0.2">
      <c r="A238" s="20" t="s">
        <v>128</v>
      </c>
    </row>
    <row r="239" spans="1:1" ht="20.100000000000001" customHeight="1" x14ac:dyDescent="0.2">
      <c r="A239" s="20" t="s">
        <v>129</v>
      </c>
    </row>
    <row r="240" spans="1:1" ht="20.100000000000001" customHeight="1" x14ac:dyDescent="0.2">
      <c r="A240" s="20" t="s">
        <v>130</v>
      </c>
    </row>
    <row r="241" spans="1:1" ht="20.100000000000001" customHeight="1" x14ac:dyDescent="0.2">
      <c r="A241" s="20" t="s">
        <v>131</v>
      </c>
    </row>
    <row r="242" spans="1:1" ht="20.100000000000001" customHeight="1" x14ac:dyDescent="0.2">
      <c r="A242" s="20" t="s">
        <v>132</v>
      </c>
    </row>
    <row r="243" spans="1:1" ht="20.100000000000001" customHeight="1" x14ac:dyDescent="0.2">
      <c r="A243" s="20" t="s">
        <v>133</v>
      </c>
    </row>
    <row r="244" spans="1:1" ht="20.100000000000001" customHeight="1" x14ac:dyDescent="0.2">
      <c r="A244" s="20" t="s">
        <v>134</v>
      </c>
    </row>
    <row r="245" spans="1:1" ht="20.100000000000001" customHeight="1" x14ac:dyDescent="0.2">
      <c r="A245" s="20" t="s">
        <v>135</v>
      </c>
    </row>
    <row r="246" spans="1:1" ht="20.100000000000001" customHeight="1" x14ac:dyDescent="0.2">
      <c r="A246" s="20" t="s">
        <v>136</v>
      </c>
    </row>
    <row r="247" spans="1:1" ht="20.100000000000001" customHeight="1" x14ac:dyDescent="0.2">
      <c r="A247" s="20" t="s">
        <v>127</v>
      </c>
    </row>
    <row r="248" spans="1:1" ht="20.100000000000001" customHeight="1" x14ac:dyDescent="0.2">
      <c r="A248" s="20" t="s">
        <v>137</v>
      </c>
    </row>
    <row r="249" spans="1:1" ht="20.100000000000001" customHeight="1" x14ac:dyDescent="0.2">
      <c r="A249" s="20" t="s">
        <v>138</v>
      </c>
    </row>
    <row r="250" spans="1:1" ht="20.100000000000001" customHeight="1" x14ac:dyDescent="0.2">
      <c r="A250" s="22" t="s">
        <v>139</v>
      </c>
    </row>
    <row r="251" spans="1:1" ht="20.100000000000001" customHeight="1" x14ac:dyDescent="0.2">
      <c r="A251" s="23" t="s">
        <v>140</v>
      </c>
    </row>
    <row r="252" spans="1:1" ht="20.100000000000001" customHeight="1" x14ac:dyDescent="0.2">
      <c r="A252" s="20" t="s">
        <v>141</v>
      </c>
    </row>
    <row r="253" spans="1:1" ht="20.100000000000001" customHeight="1" x14ac:dyDescent="0.2">
      <c r="A253" s="20" t="s">
        <v>142</v>
      </c>
    </row>
    <row r="254" spans="1:1" ht="20.100000000000001" customHeight="1" x14ac:dyDescent="0.2">
      <c r="A254" s="24" t="s">
        <v>143</v>
      </c>
    </row>
    <row r="255" spans="1:1" ht="20.100000000000001" customHeight="1" x14ac:dyDescent="0.2">
      <c r="A255" s="24" t="s">
        <v>144</v>
      </c>
    </row>
    <row r="256" spans="1:1" ht="20.100000000000001" customHeight="1" x14ac:dyDescent="0.2">
      <c r="A256" s="25" t="s">
        <v>145</v>
      </c>
    </row>
    <row r="257" spans="1:1" ht="20.100000000000001" customHeight="1" x14ac:dyDescent="0.2">
      <c r="A257" s="20" t="s">
        <v>146</v>
      </c>
    </row>
    <row r="258" spans="1:1" ht="20.100000000000001" customHeight="1" x14ac:dyDescent="0.2">
      <c r="A258" s="25" t="s">
        <v>147</v>
      </c>
    </row>
    <row r="259" spans="1:1" ht="20.100000000000001" customHeight="1" x14ac:dyDescent="0.2">
      <c r="A259" s="20" t="s">
        <v>148</v>
      </c>
    </row>
    <row r="260" spans="1:1" ht="20.100000000000001" customHeight="1" x14ac:dyDescent="0.2">
      <c r="A260" s="25" t="s">
        <v>149</v>
      </c>
    </row>
    <row r="261" spans="1:1" ht="20.100000000000001" customHeight="1" x14ac:dyDescent="0.2">
      <c r="A261" s="20" t="s">
        <v>150</v>
      </c>
    </row>
    <row r="262" spans="1:1" ht="20.100000000000001" customHeight="1" x14ac:dyDescent="0.2">
      <c r="A262" s="20" t="s">
        <v>151</v>
      </c>
    </row>
    <row r="263" spans="1:1" ht="20.100000000000001" customHeight="1" x14ac:dyDescent="0.2">
      <c r="A263" s="25" t="s">
        <v>152</v>
      </c>
    </row>
    <row r="264" spans="1:1" ht="20.100000000000001" customHeight="1" x14ac:dyDescent="0.2">
      <c r="A264" s="25" t="s">
        <v>153</v>
      </c>
    </row>
    <row r="265" spans="1:1" ht="20.100000000000001" customHeight="1" x14ac:dyDescent="0.2">
      <c r="A265" s="25" t="s">
        <v>154</v>
      </c>
    </row>
    <row r="266" spans="1:1" ht="20.100000000000001" customHeight="1" x14ac:dyDescent="0.2">
      <c r="A266" s="20" t="s">
        <v>155</v>
      </c>
    </row>
    <row r="267" spans="1:1" ht="20.100000000000001" customHeight="1" x14ac:dyDescent="0.2">
      <c r="A267" s="20" t="s">
        <v>156</v>
      </c>
    </row>
    <row r="268" spans="1:1" ht="20.100000000000001" customHeight="1" x14ac:dyDescent="0.2">
      <c r="A268" s="20" t="s">
        <v>157</v>
      </c>
    </row>
    <row r="269" spans="1:1" ht="20.100000000000001" customHeight="1" x14ac:dyDescent="0.2">
      <c r="A269" s="20" t="s">
        <v>158</v>
      </c>
    </row>
    <row r="270" spans="1:1" ht="20.100000000000001" customHeight="1" x14ac:dyDescent="0.2">
      <c r="A270" s="25" t="s">
        <v>159</v>
      </c>
    </row>
    <row r="271" spans="1:1" ht="20.100000000000001" customHeight="1" x14ac:dyDescent="0.2">
      <c r="A271" s="25" t="s">
        <v>160</v>
      </c>
    </row>
    <row r="272" spans="1:1" ht="20.100000000000001" customHeight="1" x14ac:dyDescent="0.2">
      <c r="A272" s="20" t="s">
        <v>161</v>
      </c>
    </row>
    <row r="273" spans="1:1" ht="20.100000000000001" customHeight="1" x14ac:dyDescent="0.2">
      <c r="A273" s="25" t="s">
        <v>162</v>
      </c>
    </row>
    <row r="274" spans="1:1" ht="20.100000000000001" customHeight="1" x14ac:dyDescent="0.2">
      <c r="A274" s="25" t="s">
        <v>163</v>
      </c>
    </row>
    <row r="275" spans="1:1" ht="20.100000000000001" customHeight="1" x14ac:dyDescent="0.2">
      <c r="A275" s="20" t="s">
        <v>164</v>
      </c>
    </row>
    <row r="276" spans="1:1" ht="20.100000000000001" customHeight="1" x14ac:dyDescent="0.2">
      <c r="A276" s="20" t="s">
        <v>165</v>
      </c>
    </row>
    <row r="277" spans="1:1" ht="20.100000000000001" customHeight="1" x14ac:dyDescent="0.2">
      <c r="A277" s="25" t="s">
        <v>166</v>
      </c>
    </row>
    <row r="278" spans="1:1" ht="20.100000000000001" customHeight="1" x14ac:dyDescent="0.2">
      <c r="A278" s="20" t="s">
        <v>167</v>
      </c>
    </row>
    <row r="279" spans="1:1" ht="20.100000000000001" customHeight="1" x14ac:dyDescent="0.2">
      <c r="A279" s="20" t="s">
        <v>168</v>
      </c>
    </row>
    <row r="280" spans="1:1" ht="20.100000000000001" customHeight="1" x14ac:dyDescent="0.2">
      <c r="A280" s="20" t="s">
        <v>169</v>
      </c>
    </row>
    <row r="281" spans="1:1" ht="20.100000000000001" customHeight="1" x14ac:dyDescent="0.2">
      <c r="A281" s="20" t="s">
        <v>170</v>
      </c>
    </row>
    <row r="282" spans="1:1" ht="20.100000000000001" customHeight="1" x14ac:dyDescent="0.2">
      <c r="A282" s="25" t="s">
        <v>171</v>
      </c>
    </row>
    <row r="283" spans="1:1" ht="20.100000000000001" customHeight="1" x14ac:dyDescent="0.2">
      <c r="A283" s="25" t="s">
        <v>172</v>
      </c>
    </row>
    <row r="284" spans="1:1" ht="20.100000000000001" customHeight="1" x14ac:dyDescent="0.2">
      <c r="A284" s="25" t="s">
        <v>173</v>
      </c>
    </row>
    <row r="285" spans="1:1" ht="20.100000000000001" customHeight="1" thickBot="1" x14ac:dyDescent="0.25">
      <c r="A285" s="20" t="s">
        <v>174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2025-10-22T03:41:18Z</dcterms:modified>
</cp:coreProperties>
</file>