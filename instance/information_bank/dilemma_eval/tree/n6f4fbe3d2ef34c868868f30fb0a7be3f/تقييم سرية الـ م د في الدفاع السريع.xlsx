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0159864-E982-45E1-B339-C6D925EFAE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21" i="2"/>
  <c r="H21" i="2"/>
  <c r="G22" i="2"/>
  <c r="H22" i="2"/>
  <c r="G23" i="2"/>
  <c r="H23" i="2"/>
  <c r="G24" i="2"/>
  <c r="H24" i="2"/>
  <c r="G25" i="2"/>
  <c r="H25" i="2"/>
  <c r="G26" i="2"/>
  <c r="H26" i="2"/>
  <c r="G29" i="2"/>
  <c r="H29" i="2"/>
  <c r="G30" i="2"/>
  <c r="H30" i="2"/>
  <c r="G31" i="2"/>
  <c r="H31" i="2"/>
  <c r="G32" i="2"/>
  <c r="H32" i="2"/>
  <c r="G33" i="2"/>
  <c r="H33" i="2"/>
  <c r="G34" i="2"/>
  <c r="H34" i="2"/>
  <c r="F35" i="2"/>
  <c r="E36" i="2" s="1"/>
  <c r="E37" i="2" s="1"/>
  <c r="E35" i="2"/>
</calcChain>
</file>

<file path=xl/sharedStrings.xml><?xml version="1.0" encoding="utf-8"?>
<sst xmlns="http://schemas.openxmlformats.org/spreadsheetml/2006/main" count="264" uniqueCount="208">
  <si>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</si>
  <si>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</si>
  <si>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</si>
  <si>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</si>
  <si>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</si>
  <si>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</si>
  <si>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</si>
  <si>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</si>
  <si>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</si>
  <si>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</si>
  <si>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</si>
  <si>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</si>
  <si>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</si>
  <si>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</si>
  <si>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</si>
  <si>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</si>
  <si>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</si>
  <si>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</si>
  <si>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</si>
  <si>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</si>
  <si>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</si>
  <si>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</si>
  <si>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</si>
  <si>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</si>
  <si>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</si>
  <si>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</si>
  <si>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</si>
  <si>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</si>
  <si>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</si>
  <si>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</si>
  <si>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</si>
  <si>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</si>
  <si>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</si>
  <si>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</si>
  <si>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</si>
  <si>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</si>
  <si>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</si>
  <si>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</si>
  <si>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</si>
  <si>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</si>
  <si>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</si>
  <si>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</si>
  <si>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</si>
  <si>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</si>
  <si>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</si>
  <si>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</si>
  <si>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</si>
  <si>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</si>
  <si>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</si>
  <si>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</si>
  <si>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</si>
  <si>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</si>
  <si>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</si>
  <si>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</si>
  <si>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</si>
  <si>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</si>
  <si>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</si>
  <si>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</si>
  <si>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</si>
  <si>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</si>
  <si>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</si>
  <si>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</si>
  <si>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</si>
  <si>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</si>
  <si>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</si>
  <si>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</si>
  <si>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</si>
  <si>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</si>
  <si>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</si>
  <si>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</si>
  <si>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</si>
  <si>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</si>
  <si>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</si>
  <si>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</si>
  <si>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</si>
  <si>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</si>
  <si>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</si>
  <si>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</si>
  <si>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</si>
  <si>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</si>
  <si>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</si>
  <si>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</si>
  <si>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</si>
  <si>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</si>
  <si>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</si>
  <si>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</si>
  <si>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</si>
  <si>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</si>
  <si>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</si>
  <si>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</si>
  <si>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</si>
  <si>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</si>
  <si>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</si>
  <si>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</si>
  <si>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</si>
  <si>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</si>
  <si>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</si>
  <si>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</si>
  <si>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</si>
  <si>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</si>
  <si>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</si>
  <si>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</si>
  <si>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</si>
  <si>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</si>
  <si>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</si>
  <si>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</si>
  <si>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</si>
  <si>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</si>
  <si>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</si>
  <si>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</si>
  <si>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</si>
  <si>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</si>
  <si>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</si>
  <si>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</si>
  <si>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</si>
  <si>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</si>
  <si>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</si>
  <si>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</si>
  <si>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</si>
  <si>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</si>
  <si>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</si>
  <si>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</si>
  <si>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</si>
  <si>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</si>
  <si>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</si>
  <si>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</si>
  <si>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</si>
  <si>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</si>
  <si>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</si>
  <si>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</si>
  <si>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</si>
  <si>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</si>
  <si>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</si>
  <si>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</si>
  <si>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</si>
  <si>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</si>
  <si>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</si>
  <si>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</si>
  <si>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</si>
  <si>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</si>
  <si>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</si>
  <si>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</si>
  <si>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</si>
  <si>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</si>
  <si>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</si>
  <si>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</si>
  <si>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</si>
  <si>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</si>
  <si>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</si>
  <si>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</si>
  <si>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</si>
  <si>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</si>
  <si>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</si>
  <si>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</si>
  <si>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</si>
  <si>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</si>
  <si>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</si>
  <si>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</si>
  <si>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</si>
  <si>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</si>
  <si>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</si>
  <si>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</si>
  <si>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</si>
  <si>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</si>
  <si>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</si>
  <si>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</si>
  <si>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</si>
  <si>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</si>
  <si>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</si>
  <si>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</si>
  <si>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</si>
  <si>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</si>
  <si>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</si>
  <si>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</si>
  <si>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</si>
  <si>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</si>
  <si>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</si>
  <si>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</si>
  <si>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</si>
  <si>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</si>
  <si>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</si>
  <si>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أ. البدء بعملية التخطيط من خلال خطوات إجراءات المعركة الثمانية.</t>
  </si>
  <si>
    <t>ب. تنفيذ الاستطلاع من الخارطة أو الأرض إذا أمكن.</t>
  </si>
  <si>
    <t>جـ. تنفيذ التحضير الاستخباري لميدان المعركة.</t>
  </si>
  <si>
    <t>مرحلة التحضير</t>
  </si>
  <si>
    <t>أ. تنقيح الخطة بناءً على المعلومات الاستخبارية المحدثة باستمرار.</t>
  </si>
  <si>
    <t>ب. تنفيذ خطة المراقبة.</t>
  </si>
  <si>
    <t>جـ. تنفيذ تفقدات وتفتيشات ما قبل القتال.</t>
  </si>
  <si>
    <t>مرحلة التنفيذ</t>
  </si>
  <si>
    <t>أ. تحديد اتجاه اقتراب وهجوم قوات العدو.</t>
  </si>
  <si>
    <t>ب. تحديد تكوين قوات العدو وأماكن تمركزها.</t>
  </si>
  <si>
    <t>جـ. تحديد مواقع المدفعية والهاونات.</t>
  </si>
  <si>
    <t>د. تحديد مواقع المقذوفات الموجهة المضادة للدبابات.</t>
  </si>
  <si>
    <t>هـ. تحديد مواقع مراكز القيادة والسيطرة ووسائل الحرب الإلكترونية.</t>
  </si>
  <si>
    <t>1.    فهم قائد/ نائب سرية الـ م/د للموقف باستخدام معدات الاتصال المتوفرة، والخرائط، وملخصات الاستخبارات، وتقارير الموقف، ومصادر المعلومات المتوفرة الأخرى.</t>
  </si>
  <si>
    <t>2.    تستلم قيادة سرية الـ م/د أمر العمليات من مجموعة اللواء وتقوم بما يلي:</t>
  </si>
  <si>
    <t>3.    وضع خطة سرية الـ م/د بالتنسيق مع ركن استخبارات اللواء.</t>
  </si>
  <si>
    <t>4.    تحديد أسلوب العمل في الدفاع السريع بناءً على قصد القائد ومتغيرات المهمة.</t>
  </si>
  <si>
    <t>5.    تخطيط وتنسيق عمليات التزويد قبل واثناء وبعد العملية.</t>
  </si>
  <si>
    <t>6.    التخطيط لإعادة التزويد خلال ساعات الرؤية المحدودة للحد من فرص اعتراضها من قبل قوات العدو</t>
  </si>
  <si>
    <t>7.    إصدار الأوامر للمرؤوسين وتقديم إيجازات تأكيدية من قبل القادة المرؤوسين مباشرة بعد استلام أمر العمليات لضمان فهمهم لقصد القائد ومفهوم عملياته</t>
  </si>
  <si>
    <t>1.    تقوم سرية الـ م/د بالتحضير لتنفيذ واجباتها في الدفاع السريع من خلال الإجراءات التالية:</t>
  </si>
  <si>
    <t>2.    توضيع القوات حسب الخطة.</t>
  </si>
  <si>
    <t xml:space="preserve">3.    تنفيذ التجارب. </t>
  </si>
  <si>
    <t>4.    الاستمرار في المراقبة وجمع المعلومات حسب متطلبات القائد من المعلومات الهامة.</t>
  </si>
  <si>
    <t>1.    تنفذ سرية الـ م/د المهام في الدفاع السريع، وتقوم بالإجراءات التالية:</t>
  </si>
  <si>
    <t>2.    جمع معلومات عن طبيعة الأرض التي تؤثر على أعمال قواتنا وقوات العدو.</t>
  </si>
  <si>
    <t>تقييم سرية الـ م/د في الدفاع السريع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</si>
</sst>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12" fillId="0" borderId="3" xfId="0" applyFont="1" applyBorder="1" applyAlignment="1">
      <alignment horizontal="right" vertical="center" wrapText="1" indent="3" readingOrder="2"/>
    </xf>
    <xf numFmtId="0" fontId="1" fillId="5" borderId="24" xfId="0" applyFont="1" applyFill="1" applyBorder="1" applyAlignment="1">
      <alignment vertical="center" wrapText="1" readingOrder="2"/>
    </xf>
    <xf numFmtId="0" fontId="1" fillId="5" borderId="25" xfId="0" applyFont="1" applyFill="1" applyBorder="1" applyAlignment="1">
      <alignment vertical="center" wrapText="1" readingOrder="2"/>
    </xf>
    <xf numFmtId="0" fontId="1" fillId="5" borderId="26" xfId="0" applyFont="1" applyFill="1" applyBorder="1" applyAlignment="1">
      <alignment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651597</xdr:colOff>
      <xdr:row>37</xdr:row>
      <xdr:rowOff>524057</xdr:rowOff>
    </xdr:from>
    <xdr:to>
      <xdr:col>9</xdr:col>
      <xdr:colOff>266703</xdr:colOff>
      <xdr:row>39</xdr:row>
      <xdr:rowOff>57420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حبر 2">
              <a:extLst>
                <a:ext uri="{FF2B5EF4-FFF2-40B4-BE49-F238E27FC236}">
                  <a16:creationId xmlns:a16="http://schemas.microsoft.com/office/drawing/2014/main" id="{F5584F45-385D-F833-ADDD-DCE33D984158}"/>
                </a:ext>
              </a:extLst>
            </xdr14:cNvPr>
            <xdr14:cNvContentPartPr/>
          </xdr14:nvContentPartPr>
          <xdr14:nvPr macro=""/>
          <xdr14:xfrm>
            <a:off x="11438173025" y="15919920"/>
            <a:ext cx="1762560" cy="711000"/>
          </xdr14:xfrm>
        </xdr:contentPart>
      </mc:Choice>
      <mc:Fallback xmlns="">
        <xdr:pic>
          <xdr:nvPicPr>
            <xdr:cNvPr id="3" name="حبر 2">
              <a:extLst>
                <a:ext uri="{FF2B5EF4-FFF2-40B4-BE49-F238E27FC236}">
                  <a16:creationId xmlns:a16="http://schemas.microsoft.com/office/drawing/2014/main" id="{F5584F45-385D-F833-ADDD-DCE33D98415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164385" y="15910920"/>
              <a:ext cx="1780200" cy="728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6T07:09:53.5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576 987,'0'0,"0"0,0 0,0 0,0 0,0 0,0 0,0 0,0 0,0 0,0 0,0 0,0 0,0 0,-12 16,-3 1,12-15,-9 12,-15 19,22-28,-18 22,-6 5,25-27,-5 23,-33 20,33-40,-11 32,7-7,12-28,2 6,-1 5,0-13,13-6,16 3,-24 0,45-16,49-49,-83 55,120-60,47-27,-155 82,139-101,-12 20,-131 80,106-49,-5-32,-106 82,74-35,104-112,-168 138,80-65,-38 40,-60 41,33-48,-2 7,-36 42,18-18,-12 9,-10 13,38-27,-10-3,-26 28,4-6,7-5,-14 14,12 4,-27 14,12-13,-11 10,-14 20,22-27,-32 37,-5 22,35-55,-28 44,-8 11,37-54,-29 26,7 12,22-41,-17 16,23 8,0-26,-12-12,24 23,-10-14,11-6,1-14,-11 15,22 4,-11-18,-11 14,21 4,-9-2,-12 0,-21 16,17-14,-12 29,0 1,12-27,-26 23,-1 5,23-28,-5 22,-2 5,10-27,4 6,-2-10,12-2,17-15,-24 13,18 6,-9-19,-11 13,21-10,4 13,-22 0,17 0,-10 0,-11 0,11 0,-11 0,-4 16,-13-16,15 0,0 16,0-8,0 0,0 0,15-16,0 8,-3 16,-10-14,11-4,14-14,-23 13,34 6,4-19,-34 13,40-26,36-20,-69 41,82-49,28-40,-104 82,85-35,34-47,-119 82,84-34,-36 0,-59 41,51-16,-19 8,-35 13,14-10,-7 13,-12 0,9 0,-3 0,-29 16,-21 16,34-27,-97 55,-33 21,114-68,-107 71,-65 12,165-79,-175 97,-75 47,239-136,-153 79,-84 59,239-141,-214 117,-12 23,221-135,-162 92,-2 26,175-122,-128 67,37-9,105-68,-44 23,7-3,48-28,-25 22,-7-43,35 13,-2 22,8-18,-13-2,-2 1,13 0,19-16,10 0,-20 13,42-44,63-33,-95 67,106-71,58-29,-150 94,147-108,47-19,-189 123,138-99,36-7,-177 107,101-87,34 12,-140 82,55-66,43 0,-105 69,71-74,-7 21,-73 56,45-62,-1 22,-48 42,38-50,-16 8,-26 41,4-32,-8-9,0 41,0-16,-12-9,10 29,-26-25,-13 13,34 14,-40-12,-10 14,48 0,-52-16,-23 16,72 0,-47 16,-25-16,74 0,-49 16,-11 0,60-13,-50 11,18 19,35-28,-29 22,9 5,23-26,-34 21,11 21,21-40,-3 16,-5 25,14-41,0 16,14 25,-12-41,38 0,29 24,-56-26,101 4,41 6,-132-13,134 11,26-14,-156 0,86 16,26 0,-117-13,54 10,-19 4,-49-15,26 28,-7-13,-21-15,45 44,-38-30,-12-14,12 28,1 3,-11-28,-6 22,3 5,0-27,-14 23,14-12,0-13,-14 10,14 3,0-13,0 10,0 3,0-13,14-6,14 3,-25 0,35-16,88-16,-105 27,98-39,35-20,-129 54,147-61,23-10,-163 68,146-55,-53 3,-106 55,47-12,18-10,-72 26,32-5,-31-5,-11 14,-32 20,-53-1,68-14,-111 58,-54 4,150-55,-165 78,-56 8,209-79,-183 79,-40 17,219-93,-146 75,-46 18,201-95,-150 60,-35 35,188-95,-156 78,6 1,157-83,-126 69,27-18,107-55,-45 28,-8 11,62-41,-7 16,2-8,15-13,-12 10,-18 4,28-15,4-4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9"/>
  <sheetViews>
    <sheetView rightToLeft="1" tabSelected="1" view="pageBreakPreview" topLeftCell="A29" zoomScale="130" zoomScaleNormal="100" zoomScaleSheetLayoutView="130" workbookViewId="0">
      <selection activeCell="F34" sqref="F3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21875" style="1" customWidth="1"/>
    <col min="8" max="8" width="9.21875" style="3" customWidth="1"/>
    <col min="9" max="9" width="9.2187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207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2" t="s">
        <v>8</v>
      </c>
      <c r="C2" s="68" t="s">
        <v>27</v>
      </c>
      <c r="D2" s="68"/>
      <c r="E2" s="12" t="s">
        <v>7</v>
      </c>
      <c r="F2" s="63">
        <v>45955</v>
      </c>
      <c r="G2" s="63"/>
      <c r="H2" s="63"/>
      <c r="I2" s="63"/>
      <c r="J2" s="63"/>
    </row>
    <row r="3" spans="1:10" ht="30" customHeight="1" x14ac:dyDescent="0.3">
      <c r="B3" s="12" t="s">
        <v>9</v>
      </c>
      <c r="C3" s="68" t="s">
        <v>70</v>
      </c>
      <c r="D3" s="68"/>
      <c r="E3" s="12" t="s">
        <v>6</v>
      </c>
      <c r="F3" s="68" t="s">
        <v>115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4" t="s">
        <v>0</v>
      </c>
      <c r="C5" s="65"/>
      <c r="D5" s="65"/>
      <c r="E5" s="56" t="s">
        <v>1</v>
      </c>
      <c r="F5" s="56"/>
      <c r="G5" s="56"/>
      <c r="H5" s="56"/>
      <c r="I5" s="56" t="s">
        <v>2</v>
      </c>
      <c r="J5" s="57"/>
    </row>
    <row r="6" spans="1:10" ht="24.9" customHeight="1" thickBot="1" x14ac:dyDescent="0.35">
      <c r="A6" s="10"/>
      <c r="B6" s="66"/>
      <c r="C6" s="67"/>
      <c r="D6" s="67"/>
      <c r="E6" s="11" t="s">
        <v>3</v>
      </c>
      <c r="F6" s="11" t="s">
        <v>4</v>
      </c>
      <c r="G6" s="11" t="s">
        <v>23</v>
      </c>
      <c r="H6" s="11" t="s">
        <v>24</v>
      </c>
      <c r="I6" s="58"/>
      <c r="J6" s="59"/>
    </row>
    <row r="7" spans="1:10" ht="24.9" customHeight="1" thickBot="1" x14ac:dyDescent="0.35">
      <c r="A7" s="10"/>
      <c r="B7" s="54" t="s">
        <v>21</v>
      </c>
      <c r="C7" s="55"/>
      <c r="D7" s="55"/>
      <c r="E7" s="28" t="s">
        <v>18</v>
      </c>
      <c r="F7" s="28" t="s">
        <v>19</v>
      </c>
      <c r="G7" s="28" t="s">
        <v>22</v>
      </c>
      <c r="H7" s="28" t="s">
        <v>20</v>
      </c>
      <c r="I7" s="60" t="s">
        <v>25</v>
      </c>
      <c r="J7" s="61"/>
    </row>
    <row r="8" spans="1:10" ht="30" customHeight="1" x14ac:dyDescent="0.3">
      <c r="A8" s="10"/>
      <c r="B8" s="75" t="s">
        <v>180</v>
      </c>
      <c r="C8" s="76"/>
      <c r="D8" s="76"/>
      <c r="E8" s="76"/>
      <c r="F8" s="76"/>
      <c r="G8" s="76"/>
      <c r="H8" s="76"/>
      <c r="I8" s="76"/>
      <c r="J8" s="77"/>
    </row>
    <row r="9" spans="1:10" ht="55.5" customHeight="1" x14ac:dyDescent="0.3">
      <c r="A9" s="10"/>
      <c r="B9" s="71" t="s">
        <v>194</v>
      </c>
      <c r="C9" s="72"/>
      <c r="D9" s="72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1"/>
      <c r="J9" s="42"/>
    </row>
    <row r="10" spans="1:10" ht="30" customHeight="1" x14ac:dyDescent="0.3">
      <c r="A10" s="10"/>
      <c r="B10" s="71" t="s">
        <v>195</v>
      </c>
      <c r="C10" s="72"/>
      <c r="D10" s="72"/>
      <c r="E10" s="9"/>
      <c r="F10" s="26"/>
      <c r="G10" s="30"/>
      <c r="H10" s="31"/>
      <c r="I10" s="41"/>
      <c r="J10" s="42"/>
    </row>
    <row r="11" spans="1:10" ht="30" customHeight="1" x14ac:dyDescent="0.3">
      <c r="A11" s="10"/>
      <c r="B11" s="73" t="s">
        <v>181</v>
      </c>
      <c r="C11" s="74"/>
      <c r="D11" s="74"/>
      <c r="E11" s="9">
        <v>5</v>
      </c>
      <c r="F11" s="26">
        <v>3.5</v>
      </c>
      <c r="G11" s="30">
        <f t="shared" ref="G11:G34" si="0">IFERROR(F11/E11,"")</f>
        <v>0.7</v>
      </c>
      <c r="H11" s="31" t="str">
        <f t="shared" ref="H11:H34" si="1">_xlfn.IFS(F11="أدخل العلامة","",F11="لا ينطبق","تم الإلغاء",G11&gt;=90%,"ممتاز",G11&gt;=80%,"جيد جداً",G11&gt;=70%,"جيد",G11&gt;=60%,"مقبول",G11&lt;60%,"راسب")</f>
        <v>جيد</v>
      </c>
      <c r="I11" s="41"/>
      <c r="J11" s="42"/>
    </row>
    <row r="12" spans="1:10" ht="30" customHeight="1" x14ac:dyDescent="0.3">
      <c r="A12" s="10"/>
      <c r="B12" s="73" t="s">
        <v>182</v>
      </c>
      <c r="C12" s="74"/>
      <c r="D12" s="74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1"/>
      <c r="J12" s="42"/>
    </row>
    <row r="13" spans="1:10" ht="30" customHeight="1" x14ac:dyDescent="0.3">
      <c r="A13" s="10"/>
      <c r="B13" s="73" t="s">
        <v>183</v>
      </c>
      <c r="C13" s="74"/>
      <c r="D13" s="74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1"/>
      <c r="J13" s="42"/>
    </row>
    <row r="14" spans="1:10" ht="30" customHeight="1" x14ac:dyDescent="0.3">
      <c r="A14" s="10"/>
      <c r="B14" s="71" t="s">
        <v>196</v>
      </c>
      <c r="C14" s="72"/>
      <c r="D14" s="72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1"/>
      <c r="J14" s="42"/>
    </row>
    <row r="15" spans="1:10" ht="39.9" customHeight="1" x14ac:dyDescent="0.3">
      <c r="A15" s="10"/>
      <c r="B15" s="71" t="s">
        <v>197</v>
      </c>
      <c r="C15" s="72"/>
      <c r="D15" s="72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1"/>
      <c r="J15" s="42"/>
    </row>
    <row r="16" spans="1:10" ht="30" customHeight="1" x14ac:dyDescent="0.3">
      <c r="A16" s="10"/>
      <c r="B16" s="71" t="s">
        <v>198</v>
      </c>
      <c r="C16" s="72"/>
      <c r="D16" s="72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41"/>
      <c r="J16" s="42"/>
    </row>
    <row r="17" spans="1:10" ht="39.9" customHeight="1" x14ac:dyDescent="0.3">
      <c r="A17" s="10"/>
      <c r="B17" s="71" t="s">
        <v>199</v>
      </c>
      <c r="C17" s="72"/>
      <c r="D17" s="72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41"/>
      <c r="J17" s="42"/>
    </row>
    <row r="18" spans="1:10" ht="57" customHeight="1" thickBot="1" x14ac:dyDescent="0.35">
      <c r="A18" s="10"/>
      <c r="B18" s="78" t="s">
        <v>200</v>
      </c>
      <c r="C18" s="79"/>
      <c r="D18" s="79"/>
      <c r="E18" s="32">
        <v>5</v>
      </c>
      <c r="F18" s="27">
        <v>3.75</v>
      </c>
      <c r="G18" s="33">
        <f t="shared" si="0"/>
        <v>0.75</v>
      </c>
      <c r="H18" s="34" t="str">
        <f t="shared" si="1"/>
        <v>جيد</v>
      </c>
      <c r="I18" s="43"/>
      <c r="J18" s="44"/>
    </row>
    <row r="19" spans="1:10" ht="30" customHeight="1" x14ac:dyDescent="0.3">
      <c r="A19" s="10"/>
      <c r="B19" s="75" t="s">
        <v>184</v>
      </c>
      <c r="C19" s="76"/>
      <c r="D19" s="76"/>
      <c r="E19" s="76"/>
      <c r="F19" s="76"/>
      <c r="G19" s="76"/>
      <c r="H19" s="76"/>
      <c r="I19" s="76"/>
      <c r="J19" s="77"/>
    </row>
    <row r="20" spans="1:10" ht="39.9" customHeight="1" x14ac:dyDescent="0.3">
      <c r="A20" s="10"/>
      <c r="B20" s="71" t="s">
        <v>201</v>
      </c>
      <c r="C20" s="72"/>
      <c r="D20" s="72"/>
      <c r="E20" s="9"/>
      <c r="F20" s="26"/>
      <c r="G20" s="30"/>
      <c r="H20" s="31"/>
      <c r="I20" s="41"/>
      <c r="J20" s="42"/>
    </row>
    <row r="21" spans="1:10" ht="30" customHeight="1" x14ac:dyDescent="0.3">
      <c r="A21" s="10"/>
      <c r="B21" s="73" t="s">
        <v>185</v>
      </c>
      <c r="C21" s="74"/>
      <c r="D21" s="74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41"/>
      <c r="J21" s="42"/>
    </row>
    <row r="22" spans="1:10" ht="30" customHeight="1" x14ac:dyDescent="0.3">
      <c r="A22" s="10"/>
      <c r="B22" s="73" t="s">
        <v>186</v>
      </c>
      <c r="C22" s="74"/>
      <c r="D22" s="74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1"/>
      <c r="J22" s="42"/>
    </row>
    <row r="23" spans="1:10" ht="30" customHeight="1" x14ac:dyDescent="0.3">
      <c r="A23" s="10"/>
      <c r="B23" s="73" t="s">
        <v>187</v>
      </c>
      <c r="C23" s="74"/>
      <c r="D23" s="74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41"/>
      <c r="J23" s="42"/>
    </row>
    <row r="24" spans="1:10" ht="30" customHeight="1" x14ac:dyDescent="0.3">
      <c r="A24" s="10"/>
      <c r="B24" s="71" t="s">
        <v>202</v>
      </c>
      <c r="C24" s="72"/>
      <c r="D24" s="72"/>
      <c r="E24" s="9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41"/>
      <c r="J24" s="42"/>
    </row>
    <row r="25" spans="1:10" ht="30" customHeight="1" x14ac:dyDescent="0.3">
      <c r="A25" s="10"/>
      <c r="B25" s="71" t="s">
        <v>203</v>
      </c>
      <c r="C25" s="72"/>
      <c r="D25" s="72"/>
      <c r="E25" s="9">
        <v>5</v>
      </c>
      <c r="F25" s="26">
        <v>4</v>
      </c>
      <c r="G25" s="30">
        <f t="shared" si="0"/>
        <v>0.8</v>
      </c>
      <c r="H25" s="31" t="str">
        <f t="shared" si="1"/>
        <v>جيد جداً</v>
      </c>
      <c r="I25" s="41"/>
      <c r="J25" s="42"/>
    </row>
    <row r="26" spans="1:10" ht="39.9" customHeight="1" thickBot="1" x14ac:dyDescent="0.35">
      <c r="A26" s="10"/>
      <c r="B26" s="78" t="s">
        <v>204</v>
      </c>
      <c r="C26" s="79"/>
      <c r="D26" s="79"/>
      <c r="E26" s="32">
        <v>5</v>
      </c>
      <c r="F26" s="27">
        <v>3.5</v>
      </c>
      <c r="G26" s="33">
        <f t="shared" si="0"/>
        <v>0.7</v>
      </c>
      <c r="H26" s="34" t="str">
        <f t="shared" si="1"/>
        <v>جيد</v>
      </c>
      <c r="I26" s="43"/>
      <c r="J26" s="44"/>
    </row>
    <row r="27" spans="1:10" ht="30" customHeight="1" x14ac:dyDescent="0.3">
      <c r="A27" s="10"/>
      <c r="B27" s="75" t="s">
        <v>188</v>
      </c>
      <c r="C27" s="76"/>
      <c r="D27" s="76"/>
      <c r="E27" s="76"/>
      <c r="F27" s="76"/>
      <c r="G27" s="76"/>
      <c r="H27" s="76"/>
      <c r="I27" s="76"/>
      <c r="J27" s="77"/>
    </row>
    <row r="28" spans="1:10" ht="30" customHeight="1" x14ac:dyDescent="0.3">
      <c r="A28" s="10"/>
      <c r="B28" s="71" t="s">
        <v>205</v>
      </c>
      <c r="C28" s="72"/>
      <c r="D28" s="72"/>
      <c r="E28" s="9"/>
      <c r="F28" s="26"/>
      <c r="G28" s="30"/>
      <c r="H28" s="31"/>
      <c r="I28" s="41"/>
      <c r="J28" s="42"/>
    </row>
    <row r="29" spans="1:10" ht="30" customHeight="1" x14ac:dyDescent="0.3">
      <c r="A29" s="10"/>
      <c r="B29" s="73" t="s">
        <v>189</v>
      </c>
      <c r="C29" s="74"/>
      <c r="D29" s="74"/>
      <c r="E29" s="9">
        <v>5</v>
      </c>
      <c r="F29" s="26">
        <v>3.5</v>
      </c>
      <c r="G29" s="30">
        <f t="shared" si="0"/>
        <v>0.7</v>
      </c>
      <c r="H29" s="31" t="str">
        <f t="shared" si="1"/>
        <v>جيد</v>
      </c>
      <c r="I29" s="41"/>
      <c r="J29" s="42"/>
    </row>
    <row r="30" spans="1:10" ht="30" customHeight="1" x14ac:dyDescent="0.3">
      <c r="A30" s="10"/>
      <c r="B30" s="73" t="s">
        <v>190</v>
      </c>
      <c r="C30" s="74"/>
      <c r="D30" s="74"/>
      <c r="E30" s="9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41"/>
      <c r="J30" s="42"/>
    </row>
    <row r="31" spans="1:10" ht="30" customHeight="1" x14ac:dyDescent="0.3">
      <c r="A31" s="10"/>
      <c r="B31" s="73" t="s">
        <v>191</v>
      </c>
      <c r="C31" s="74"/>
      <c r="D31" s="74"/>
      <c r="E31" s="9">
        <v>5</v>
      </c>
      <c r="F31" s="26">
        <v>4</v>
      </c>
      <c r="G31" s="30">
        <f t="shared" si="0"/>
        <v>0.8</v>
      </c>
      <c r="H31" s="31" t="str">
        <f t="shared" si="1"/>
        <v>جيد جداً</v>
      </c>
      <c r="I31" s="41"/>
      <c r="J31" s="42"/>
    </row>
    <row r="32" spans="1:10" ht="30" customHeight="1" x14ac:dyDescent="0.3">
      <c r="A32" s="10"/>
      <c r="B32" s="73" t="s">
        <v>192</v>
      </c>
      <c r="C32" s="74"/>
      <c r="D32" s="74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1"/>
      <c r="J32" s="42"/>
    </row>
    <row r="33" spans="1:10" ht="30" customHeight="1" x14ac:dyDescent="0.3">
      <c r="A33" s="10"/>
      <c r="B33" s="73" t="s">
        <v>193</v>
      </c>
      <c r="C33" s="74"/>
      <c r="D33" s="74"/>
      <c r="E33" s="9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41"/>
      <c r="J33" s="42"/>
    </row>
    <row r="34" spans="1:10" ht="39.9" customHeight="1" thickBot="1" x14ac:dyDescent="0.35">
      <c r="A34" s="10"/>
      <c r="B34" s="78" t="s">
        <v>206</v>
      </c>
      <c r="C34" s="79"/>
      <c r="D34" s="79"/>
      <c r="E34" s="32">
        <v>5</v>
      </c>
      <c r="F34" s="27">
        <v>3.5</v>
      </c>
      <c r="G34" s="33">
        <f t="shared" si="0"/>
        <v>0.7</v>
      </c>
      <c r="H34" s="34" t="str">
        <f t="shared" si="1"/>
        <v>جيد</v>
      </c>
      <c r="I34" s="43"/>
      <c r="J34" s="44"/>
    </row>
    <row r="35" spans="1:10" ht="30" customHeight="1" thickBot="1" x14ac:dyDescent="0.35">
      <c r="A35" s="4"/>
      <c r="B35" s="45" t="s">
        <v>5</v>
      </c>
      <c r="C35" s="46"/>
      <c r="D35" s="46"/>
      <c r="E35" s="29">
        <f>SUM(E8:E34)</f>
        <v>105</v>
      </c>
      <c r="F35" s="29">
        <f>SUM(F8:F34)</f>
        <v>77.25</v>
      </c>
      <c r="G35" s="51"/>
      <c r="H35" s="52"/>
      <c r="I35" s="52"/>
      <c r="J35" s="53"/>
    </row>
    <row r="36" spans="1:10" ht="30" customHeight="1" thickBot="1" x14ac:dyDescent="0.35">
      <c r="A36" s="4"/>
      <c r="B36" s="47" t="s">
        <v>54</v>
      </c>
      <c r="C36" s="48"/>
      <c r="D36" s="48"/>
      <c r="E36" s="69">
        <f>F35/E35/100*100</f>
        <v>0.73571428571428577</v>
      </c>
      <c r="F36" s="69"/>
      <c r="G36" s="69"/>
      <c r="H36" s="69"/>
      <c r="I36" s="69"/>
      <c r="J36" s="70"/>
    </row>
    <row r="37" spans="1:10" ht="30" customHeight="1" thickBot="1" x14ac:dyDescent="0.35">
      <c r="A37" s="4"/>
      <c r="B37" s="47" t="s">
        <v>55</v>
      </c>
      <c r="C37" s="48"/>
      <c r="D37" s="48"/>
      <c r="E37" s="39" t="str">
        <f>_xlfn.IFS(E36&gt;=90%,"ممتاز",E36&gt;=80%,"جيد جداً",E36&gt;=70%,"جيد",E36&gt;=60%,"مقبول",E36&lt;60%,"راسب")</f>
        <v>جيد</v>
      </c>
      <c r="F37" s="39"/>
      <c r="G37" s="39"/>
      <c r="H37" s="39"/>
      <c r="I37" s="39"/>
      <c r="J37" s="40"/>
    </row>
    <row r="38" spans="1:10" ht="42" customHeight="1" x14ac:dyDescent="0.3">
      <c r="B38" s="35" t="s">
        <v>174</v>
      </c>
      <c r="C38" s="35"/>
      <c r="D38" s="35"/>
      <c r="E38" s="49" t="s">
        <v>52</v>
      </c>
      <c r="F38" s="49"/>
      <c r="G38" s="37" t="s">
        <v>115</v>
      </c>
      <c r="H38" s="37"/>
      <c r="I38" s="37"/>
      <c r="J38" s="37"/>
    </row>
    <row r="39" spans="1:10" ht="51" customHeight="1" x14ac:dyDescent="0.3">
      <c r="A39" s="5"/>
      <c r="B39" s="36"/>
      <c r="C39" s="36"/>
      <c r="D39" s="36"/>
      <c r="E39" s="50" t="s">
        <v>53</v>
      </c>
      <c r="F39" s="50"/>
      <c r="G39" s="38"/>
      <c r="H39" s="38"/>
      <c r="I39" s="38"/>
      <c r="J39" s="3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2">
    <mergeCell ref="B12:D12"/>
    <mergeCell ref="B13:D13"/>
    <mergeCell ref="B32:D32"/>
    <mergeCell ref="B33:D33"/>
    <mergeCell ref="B34:D34"/>
    <mergeCell ref="B27:J27"/>
    <mergeCell ref="B17:D17"/>
    <mergeCell ref="B18:D18"/>
    <mergeCell ref="B20:D20"/>
    <mergeCell ref="B21:D21"/>
    <mergeCell ref="B22:D22"/>
    <mergeCell ref="B23:D23"/>
    <mergeCell ref="B24:D24"/>
    <mergeCell ref="B25:D25"/>
    <mergeCell ref="B19:J19"/>
    <mergeCell ref="B26:D26"/>
    <mergeCell ref="B8:J8"/>
    <mergeCell ref="I9:J9"/>
    <mergeCell ref="B9:D9"/>
    <mergeCell ref="B10:D10"/>
    <mergeCell ref="B11:D11"/>
    <mergeCell ref="I25:J25"/>
    <mergeCell ref="I26:J26"/>
    <mergeCell ref="E36:J36"/>
    <mergeCell ref="I29:J29"/>
    <mergeCell ref="B14:D14"/>
    <mergeCell ref="B15:D15"/>
    <mergeCell ref="B16:D16"/>
    <mergeCell ref="B28:D28"/>
    <mergeCell ref="B29:D29"/>
    <mergeCell ref="B30:D30"/>
    <mergeCell ref="B31:D31"/>
    <mergeCell ref="I20:J20"/>
    <mergeCell ref="I21:J21"/>
    <mergeCell ref="I22:J22"/>
    <mergeCell ref="I23:J23"/>
    <mergeCell ref="I24:J24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B38:D39"/>
    <mergeCell ref="G38:J38"/>
    <mergeCell ref="G39:J39"/>
    <mergeCell ref="E37:J37"/>
    <mergeCell ref="I32:J32"/>
    <mergeCell ref="I33:J33"/>
    <mergeCell ref="I34:J34"/>
    <mergeCell ref="B35:D35"/>
    <mergeCell ref="B36:D36"/>
    <mergeCell ref="B37:D37"/>
    <mergeCell ref="E38:F38"/>
    <mergeCell ref="E39:F39"/>
    <mergeCell ref="G35:J35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7">
    <cfRule type="expression" dxfId="21" priority="57">
      <formula>$E37="راسب"</formula>
    </cfRule>
  </conditionalFormatting>
  <conditionalFormatting sqref="E37:J37">
    <cfRule type="expression" dxfId="20" priority="60">
      <formula>$E37="جيد جداً"</formula>
    </cfRule>
    <cfRule type="expression" dxfId="19" priority="59">
      <formula>$E37="جيد"</formula>
    </cfRule>
    <cfRule type="expression" dxfId="18" priority="58">
      <formula>$E37="مقبول"</formula>
    </cfRule>
    <cfRule type="expression" dxfId="17" priority="61">
      <formula>$E37="ممتاز"</formula>
    </cfRule>
  </conditionalFormatting>
  <conditionalFormatting sqref="F9:F18">
    <cfRule type="containsText" dxfId="16" priority="4" operator="containsText" text="أدخل العلامة">
      <formula>NOT(ISERROR(SEARCH("أدخل العلامة",F9)))</formula>
    </cfRule>
  </conditionalFormatting>
  <conditionalFormatting sqref="F20:F26 F28:F34">
    <cfRule type="containsText" dxfId="15" priority="14" operator="containsText" text="أدخل العلامة">
      <formula>NOT(ISERROR(SEARCH("أدخل العلامة",F20)))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8:J38">
    <cfRule type="containsText" dxfId="12" priority="15" operator="containsText" text="أدخل اسم المحكم">
      <formula>NOT(ISERROR(SEARCH("أدخل اسم المحكم",G38)))</formula>
    </cfRule>
  </conditionalFormatting>
  <conditionalFormatting sqref="H9:H18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0:H26 H28:H34">
    <cfRule type="containsText" dxfId="5" priority="38" operator="containsText" text="أدخل العلامة">
      <formula>NOT(ISERROR(SEARCH("أدخل العلامة",H20)))</formula>
    </cfRule>
    <cfRule type="containsText" dxfId="4" priority="39" operator="containsText" text="ممتاز">
      <formula>NOT(ISERROR(SEARCH("ممتاز",H20)))</formula>
    </cfRule>
    <cfRule type="containsText" dxfId="3" priority="40" operator="containsText" text="جيد جداً">
      <formula>NOT(ISERROR(SEARCH("جيد جداً",H20)))</formula>
    </cfRule>
    <cfRule type="containsText" dxfId="2" priority="41" operator="containsText" text="جيد">
      <formula>NOT(ISERROR(SEARCH("جيد",H20)))</formula>
    </cfRule>
    <cfRule type="containsText" dxfId="1" priority="42" operator="containsText" text="مقبول">
      <formula>NOT(ISERROR(SEARCH("مقبول",H20)))</formula>
    </cfRule>
    <cfRule type="containsText" dxfId="0" priority="43" operator="containsText" text="راسب">
      <formula>NOT(ISERROR(SEARCH("راسب",H20)))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F29:F34 F21:F26 F11:F18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G38:J38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2025-10-26T19:31:11Z</dcterms:modified>
</cp:coreProperties>
</file>