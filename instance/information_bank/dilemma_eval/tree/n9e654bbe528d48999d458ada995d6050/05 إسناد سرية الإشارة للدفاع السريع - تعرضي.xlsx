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CC3A0081-724A-6A47-8D9D-44167E17D0C5}" xr6:coauthVersionLast="47" xr6:coauthVersionMax="47" xr10:uidLastSave="{00000000-0000-0000-0000-000000000000}"/>
  <bookViews>
    <workbookView xWindow="-105" yWindow="-105" windowWidth="23250" windowHeight="12570" activeTab="1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8" i="2"/>
  <c r="H38" i="2"/>
  <c r="G39" i="2"/>
  <c r="H39" i="2"/>
  <c r="G40" i="2"/>
  <c r="H40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F52" i="2"/>
  <c r="E52" i="2"/>
  <c r="E53" i="2"/>
  <c r="E54" i="2"/>
</calcChain>
</file>

<file path=xl/sharedStrings.xml><?xml version="1.0" encoding="utf-8"?>
<sst xmlns="http://schemas.openxmlformats.org/spreadsheetml/2006/main" count="283" uniqueCount="226">
  <si>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</si>
  <si>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</si>
  <si>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</si>
  <si>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</si>
  <si>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</si>
  <si>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</si>
  <si>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</si>
  <si>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</si>
  <si>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</si>
  <si>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</si>
  <si>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</si>
  <si>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</si>
  <si>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</si>
  <si>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</si>
  <si>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</si>
  <si>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</si>
  <si>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</si>
  <si>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</si>
  <si>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</si>
  <si>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</si>
  <si>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</si>
  <si>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</si>
  <si>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</si>
  <si>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</si>
  <si>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</si>
  <si>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</si>
  <si>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</si>
  <si>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</si>
  <si>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</si>
  <si>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</si>
  <si>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</si>
  <si>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</si>
  <si>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</si>
  <si>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</si>
  <si>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</si>
  <si>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</si>
  <si>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</si>
  <si>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</si>
  <si>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</si>
  <si>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</si>
  <si>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</si>
  <si>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</si>
  <si>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</si>
  <si>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</si>
  <si>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</si>
  <si>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</si>
  <si>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</si>
  <si>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</si>
  <si>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</si>
  <si>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</si>
  <si>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</si>
  <si>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</si>
  <si>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</si>
  <si>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</si>
  <si>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</si>
  <si>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</si>
  <si>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</si>
  <si>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</si>
  <si>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</si>
  <si>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</si>
  <si>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</si>
  <si>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</si>
  <si>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</si>
  <si>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</si>
  <si>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</si>
  <si>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</si>
  <si>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</si>
  <si>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</si>
  <si>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</si>
  <si>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</si>
  <si>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</si>
  <si>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</si>
  <si>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</si>
  <si>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</si>
  <si>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</si>
  <si>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</si>
  <si>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</si>
  <si>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</si>
  <si>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</si>
  <si>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</si>
  <si>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</si>
  <si>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</si>
  <si>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</si>
  <si>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</si>
  <si>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</si>
  <si>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</si>
  <si>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</si>
  <si>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</si>
  <si>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</si>
  <si>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</si>
  <si>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</si>
  <si>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</si>
  <si>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</si>
  <si>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</si>
  <si>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</si>
  <si>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</si>
  <si>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</si>
  <si>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</si>
  <si>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</si>
  <si>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</si>
  <si>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</si>
  <si>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</si>
  <si>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</si>
  <si>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</si>
  <si>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</si>
  <si>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</si>
  <si>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</si>
  <si>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</si>
  <si>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</si>
  <si>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</si>
  <si>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</si>
  <si>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</si>
  <si>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</si>
  <si>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</si>
  <si>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</si>
  <si>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</si>
  <si>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</si>
  <si>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</si>
  <si>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</si>
  <si>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</si>
  <si>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</si>
  <si>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</si>
  <si>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</si>
  <si>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</si>
  <si>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</si>
  <si>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</si>
  <si>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</si>
  <si>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</si>
  <si>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</si>
  <si>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</si>
  <si>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</si>
  <si>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</si>
  <si>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</si>
  <si>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</si>
  <si>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</si>
  <si>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</si>
  <si>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</si>
  <si>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</si>
  <si>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</si>
  <si>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</si>
  <si>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</si>
  <si>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</si>
  <si>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</si>
  <si>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</si>
  <si>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</si>
  <si>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</si>
  <si>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</si>
  <si>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</si>
  <si>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</si>
  <si>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</si>
  <si>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</si>
  <si>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</si>
  <si>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</si>
  <si>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</si>
  <si>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</si>
  <si>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</si>
  <si>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</si>
  <si>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</si>
  <si>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</si>
  <si>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</si>
  <si>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</si>
  <si>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</si>
  <si>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</si>
  <si>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</si>
  <si>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</si>
  <si>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</si>
  <si>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</si>
  <si>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</si>
  <si>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</si>
  <si>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</si>
  <si>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</si>
  <si>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</si>
  <si>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</si>
  <si>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</si>
  <si>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</si>
  <si>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</si>
  <si>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</si>
  <si>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</si>
  <si>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</si>
  <si>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</si>
  <si>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إسناد سرية الإشارة للدفاع السريع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</si>
  <si>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تجهيز البنية التحتية لأنظمة الاتصالات المختلفة وكما يلي:</t>
    </r>
  </si>
  <si>
    <t>ب. تحديد وتجهيز محطات اعادة البث لأجهزة التردد العالي جدا (VHF).</t>
  </si>
  <si>
    <t>هـ. فتح أجهزه الاتصالات اللاسلكية بما فيها محطات إعادة البث وعددها (3) آليات وعلي حسب الموقف.</t>
  </si>
  <si>
    <t>و. فتح منظومة الاتصالات التعبوية (الزاجل) في المواقع المحددة وعددها (3) آليات.</t>
  </si>
  <si>
    <t>ط. توضيع آلية الزاجل الثالثة مع المنطقة الإدارية لمجموعة اللواء وربطها مع شلتر العمليات (C).</t>
  </si>
  <si>
    <t>ي. فتح منظومة اتصالات الاقمار الصناعية (الياه سات) في المواقع حسب المهمة.</t>
  </si>
  <si>
    <t>ك. تفعيل الدوائر الخاصة بشبكة الشريان.</t>
  </si>
  <si>
    <r>
      <t>2.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 xml:space="preserve">أنتخاب مواقع آليات الزاجل وشلاتر الاتصال حسب طبيعة الأرض والمسافات وكما يلي: </t>
    </r>
  </si>
  <si>
    <t>أ‌. مواقع توفر التخفية والتستر.</t>
  </si>
  <si>
    <t>جـ. الربط عن طريق الشريان او الفايبر الميداني.</t>
  </si>
  <si>
    <t>د. ادامة تفعيل النظام.</t>
  </si>
  <si>
    <r>
      <t>4.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توزيع بدالات الوريد على المواقع الرئيسية وكما يلي:</t>
    </r>
  </si>
  <si>
    <t>هـ. بدالة الوريد الخامسة مع قيادة الكتيبة/3 ويتم توزيع الهواتف وعددها (47) والاسلاك (44) كيلو علي حسب مركز عمليات الكتيبة وقادة السرايا والفصائل المعينة.</t>
  </si>
  <si>
    <r>
      <t>5.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التأكد من فرض الصمت اللاسلكي وكما يلي:</t>
    </r>
  </si>
  <si>
    <t>أ. فرض الصمت اللاسلكي بعد تأمين الاتصال السلكي.</t>
  </si>
  <si>
    <t>ب. يفرض الصمت اللاسلكي بالكلمة الرمزية.</t>
  </si>
  <si>
    <t>جـ. يفرض الصمت الاسلكي عن طريق القائد.</t>
  </si>
  <si>
    <t>أ. ربط أنظمة القيادة والسيطرة عن طريق الزاجل وبدالة الوريد.</t>
  </si>
  <si>
    <t>ب. فحص وتفعيل نظام القيادة والسيطرة الالي عن طريق الربط ببدالات الوريد مع القيادات في الميدان.</t>
  </si>
  <si>
    <t>د. ادامة نظام القيادة والسيطرة الالي في جميع المراحل.</t>
  </si>
  <si>
    <r>
      <t>7.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تنفيذ اجراءات التخفية والتستر والتمويه لآليات الاتصالات وكما يلي:</t>
    </r>
  </si>
  <si>
    <t>أ. توفر التخفية والتستر.</t>
  </si>
  <si>
    <t>ب. بعيد عن مدى أسلحة العدو.</t>
  </si>
  <si>
    <t>جـ. أرض صلبة.</t>
  </si>
  <si>
    <r>
      <t>8.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أمن الأتصالات.</t>
    </r>
  </si>
  <si>
    <t>أ. تخفية الأجهزة والمعدات والهوائيات كلما كان ذلك ممكناً.</t>
  </si>
  <si>
    <t>ب. دفن الأسلاك والكوابل والتفتيش الدوري على مساراتها.</t>
  </si>
  <si>
    <t>جـ. تعيين حراسات وتنفيذ دوريات.</t>
  </si>
  <si>
    <t>د. التقيد الكامل بقواعد أصول المخابرة واستخدام الأسماء الرمزية والكلمات المرمزة للدلالة على القادة والوظائف أو أماكن الوحدات.</t>
  </si>
  <si>
    <t>هـ. المناورة بالترددات والشبكات وتغيير مفاتيح الشيفرة والترددات والنداءات والعناوين والرموز</t>
  </si>
  <si>
    <t>و. الإيجاز قدر الإمكان في التحدث من خلال أجهزة ومعدات الاتصال.</t>
  </si>
  <si>
    <r>
      <t xml:space="preserve">ملاحظة: </t>
    </r>
    <r>
      <rPr>
        <sz val="14"/>
        <color rgb="FF000000"/>
        <rFont val="Arial"/>
        <family val="2"/>
      </rPr>
      <t>تقييم البنود التي تنفذ أثناء الدفاع السريع.</t>
    </r>
  </si>
  <si>
    <t>أ. التأكد من توصيل شبكة الشريان بجميع مواقع الدفاع السريع.</t>
  </si>
  <si>
    <t>جـ. تحديد مواقع انفتاح أنظمة اتصالات المنطقة التعبوية (الزاجل) عن شلتر العمليات وحسب طبيعة الارض.</t>
  </si>
  <si>
    <t>ز. توضيع آلية الزاجل الأولى مع مركز قيادة اللواء وربطها مع شلتر العمليات (A).</t>
  </si>
  <si>
    <t>ح. توضيع آلية الزاجل الثانية مع مركز قيادة اللواء البديل وربطها مع شلتر العمليات (B).</t>
  </si>
  <si>
    <t>ب‌. على مسافة مناسبة من شلاتر مركز قيادة اللواء (كيلو فأكثر).</t>
  </si>
  <si>
    <r>
      <t>3.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تأمين الاتصالات السلكية في مواقع الدفاع السريع ببدالات الوريد والهواتف الميدانية.</t>
    </r>
  </si>
  <si>
    <t>أ. بدالة وريد الأولى مع مركز قيادة اللواء وتوزيع الهواتف الميدانيه وعددها (12) والاسلاك (6) كيلو متر في الخلايا وقيادات السرايا المعينة في الموقع.</t>
  </si>
  <si>
    <t>ب. بدالة الوريد الثانية مع مركز قيادة اللواء البديل ويتم توزيع الهواتف الميدانية عددها (12) والاسلاك (6) كيلو علي حسب الخلايا والسرايا المعينة.</t>
  </si>
  <si>
    <t>جـ. بدالة الوريد الثالثة مع مركز قيادة الكتيبة/1 ويتم توزيع الهواتف وعددها (47) والاسلاك (44) كيلو علي حسب مركز عمليات الكتيبة وقادة السرايا والفصائل المعينة.</t>
  </si>
  <si>
    <t>د. بدالة الوريد الرابعة مع مركز قيادة الكتيبة/2 ويتم توزيع الهواتف وعددها (47) والاسلاك (44) كيلو علي حسب مركز عمليات الكتيبة وقادة السرايا والفصائل المعينة.</t>
  </si>
  <si>
    <t>و. بدالة الوريد السادسة في كتيبة الاسناد الإداري ويتم توزيع الهواتف وعددها (14) والاسلاك (10) كيلو علي حسب مركز عمليات الكتيبة وقادة السرايا والفصائل المعينة.</t>
  </si>
  <si>
    <r>
      <t>6.</t>
    </r>
    <r>
      <rPr>
        <b/>
        <sz val="7"/>
        <color theme="1"/>
        <rFont val="Times New Roman"/>
        <family val="1"/>
      </rPr>
      <t xml:space="preserve">             </t>
    </r>
    <r>
      <rPr>
        <b/>
        <sz val="12"/>
        <color theme="1"/>
        <rFont val="Arial"/>
        <family val="2"/>
      </rPr>
      <t>تحضير نظام القيادة والسيطرة وفحص الاتصالات في مراكز القيادة وكما يلي:</t>
    </r>
  </si>
  <si>
    <t>د. تجهيز مركز عمليات مجموعة اللواء بمزودات الخدمة وربطها بالشريان مع شلاتر عمليات الكتائب وذلك لتفعيل نظام القيادة والسيطرة الآلي (C4I).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</si>
</sst>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horizontal="center" vertical="center" wrapText="1" readingOrder="2"/>
    </xf>
    <xf numFmtId="0" fontId="13" fillId="0" borderId="23" xfId="0" applyFont="1" applyBorder="1" applyAlignment="1">
      <alignment horizontal="right" vertical="center" wrapText="1" indent="3" readingOrder="2"/>
    </xf>
    <xf numFmtId="0" fontId="13" fillId="0" borderId="3" xfId="0" applyFont="1" applyBorder="1" applyAlignment="1">
      <alignment horizontal="right" vertical="center" wrapText="1" indent="3" readingOrder="2"/>
    </xf>
    <xf numFmtId="0" fontId="13" fillId="0" borderId="11" xfId="0" applyFont="1" applyBorder="1" applyAlignment="1">
      <alignment horizontal="right" vertical="center" wrapText="1" indent="3" readingOrder="2"/>
    </xf>
    <xf numFmtId="0" fontId="13" fillId="0" borderId="12" xfId="0" applyFont="1" applyBorder="1" applyAlignment="1">
      <alignment horizontal="right" vertical="center" wrapText="1" indent="3" readingOrder="2"/>
    </xf>
    <xf numFmtId="0" fontId="6" fillId="0" borderId="24" xfId="0" applyFont="1" applyBorder="1" applyAlignment="1" applyProtection="1">
      <alignment vertical="center" wrapText="1" readingOrder="2"/>
      <protection locked="0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6"/>
  <sheetViews>
    <sheetView rightToLeft="1" view="pageBreakPreview" topLeftCell="C1" zoomScale="130" zoomScaleNormal="100" zoomScaleSheetLayoutView="130" workbookViewId="0">
      <selection activeCell="F2" sqref="F2:J2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6" t="s">
        <v>180</v>
      </c>
      <c r="C1" s="66"/>
      <c r="D1" s="66"/>
      <c r="E1" s="66"/>
      <c r="F1" s="66"/>
      <c r="G1" s="66"/>
      <c r="H1" s="66"/>
      <c r="I1" s="66"/>
      <c r="J1" s="66"/>
    </row>
    <row r="2" spans="1:10" ht="30" customHeight="1">
      <c r="B2" s="13" t="s">
        <v>8</v>
      </c>
      <c r="C2" s="72" t="s">
        <v>15</v>
      </c>
      <c r="D2" s="72"/>
      <c r="E2" s="13" t="s">
        <v>7</v>
      </c>
      <c r="F2" s="67">
        <v>45956</v>
      </c>
      <c r="G2" s="67"/>
      <c r="H2" s="67"/>
      <c r="I2" s="67"/>
      <c r="J2" s="67"/>
    </row>
    <row r="3" spans="1:10" ht="30" customHeight="1">
      <c r="B3" s="13" t="s">
        <v>9</v>
      </c>
      <c r="C3" s="72" t="s">
        <v>75</v>
      </c>
      <c r="D3" s="72"/>
      <c r="E3" s="13" t="s">
        <v>6</v>
      </c>
      <c r="F3" s="72" t="s">
        <v>122</v>
      </c>
      <c r="G3" s="72"/>
      <c r="H3" s="72"/>
      <c r="I3" s="72"/>
      <c r="J3" s="72"/>
    </row>
    <row r="4" spans="1:10" ht="30" customHeight="1" thickBot="1">
      <c r="B4" s="48" t="s">
        <v>212</v>
      </c>
      <c r="C4" s="48"/>
      <c r="D4" s="48"/>
      <c r="E4" s="6"/>
      <c r="F4" s="7"/>
      <c r="G4" s="7"/>
      <c r="H4" s="8"/>
      <c r="I4" s="7"/>
      <c r="J4" s="7"/>
    </row>
    <row r="5" spans="1:10" ht="24.95" customHeight="1">
      <c r="A5" s="11"/>
      <c r="B5" s="68" t="s">
        <v>0</v>
      </c>
      <c r="C5" s="69"/>
      <c r="D5" s="69"/>
      <c r="E5" s="77" t="s">
        <v>1</v>
      </c>
      <c r="F5" s="77"/>
      <c r="G5" s="77"/>
      <c r="H5" s="77"/>
      <c r="I5" s="77" t="s">
        <v>2</v>
      </c>
      <c r="J5" s="78"/>
    </row>
    <row r="6" spans="1:10" ht="24.95" customHeight="1" thickBot="1">
      <c r="A6" s="11"/>
      <c r="B6" s="70"/>
      <c r="C6" s="71"/>
      <c r="D6" s="71"/>
      <c r="E6" s="12" t="s">
        <v>3</v>
      </c>
      <c r="F6" s="12" t="s">
        <v>4</v>
      </c>
      <c r="G6" s="12" t="s">
        <v>23</v>
      </c>
      <c r="H6" s="12" t="s">
        <v>24</v>
      </c>
      <c r="I6" s="79"/>
      <c r="J6" s="80"/>
    </row>
    <row r="7" spans="1:10" ht="24.95" customHeight="1" thickBot="1">
      <c r="A7" s="11"/>
      <c r="B7" s="75" t="s">
        <v>21</v>
      </c>
      <c r="C7" s="76"/>
      <c r="D7" s="76"/>
      <c r="E7" s="30" t="s">
        <v>18</v>
      </c>
      <c r="F7" s="30" t="s">
        <v>19</v>
      </c>
      <c r="G7" s="30" t="s">
        <v>22</v>
      </c>
      <c r="H7" s="30" t="s">
        <v>20</v>
      </c>
      <c r="I7" s="81" t="s">
        <v>25</v>
      </c>
      <c r="J7" s="82"/>
    </row>
    <row r="8" spans="1:10" ht="39.950000000000003" customHeight="1">
      <c r="A8" s="11"/>
      <c r="B8" s="49" t="s">
        <v>181</v>
      </c>
      <c r="C8" s="50"/>
      <c r="D8" s="50"/>
      <c r="E8" s="34"/>
      <c r="F8" s="35"/>
      <c r="G8" s="36"/>
      <c r="H8" s="37"/>
      <c r="I8" s="60"/>
      <c r="J8" s="61"/>
    </row>
    <row r="9" spans="1:10" ht="39.950000000000003" customHeight="1">
      <c r="A9" s="11"/>
      <c r="B9" s="44" t="s">
        <v>213</v>
      </c>
      <c r="C9" s="45"/>
      <c r="D9" s="45"/>
      <c r="E9" s="9">
        <v>5</v>
      </c>
      <c r="F9" s="27">
        <v>3.75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3"/>
      <c r="J9" s="54"/>
    </row>
    <row r="10" spans="1:10" ht="39.950000000000003" customHeight="1">
      <c r="A10" s="11"/>
      <c r="B10" s="44" t="s">
        <v>182</v>
      </c>
      <c r="C10" s="45"/>
      <c r="D10" s="45"/>
      <c r="E10" s="9">
        <v>5</v>
      </c>
      <c r="F10" s="27">
        <v>4</v>
      </c>
      <c r="G10" s="31">
        <f t="shared" ref="G10:G51" si="0">IFERROR(F10/E10,"")</f>
        <v>0.8</v>
      </c>
      <c r="H10" s="32" t="str">
        <f t="shared" ref="H10:H51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3"/>
      <c r="J10" s="54"/>
    </row>
    <row r="11" spans="1:10" ht="39.950000000000003" customHeight="1">
      <c r="A11" s="11"/>
      <c r="B11" s="44" t="s">
        <v>214</v>
      </c>
      <c r="C11" s="45"/>
      <c r="D11" s="45"/>
      <c r="E11" s="9">
        <v>5</v>
      </c>
      <c r="F11" s="27">
        <v>3.75</v>
      </c>
      <c r="G11" s="31">
        <f t="shared" si="0"/>
        <v>0.75</v>
      </c>
      <c r="H11" s="32" t="str">
        <f t="shared" si="1"/>
        <v>جيد</v>
      </c>
      <c r="I11" s="53"/>
      <c r="J11" s="54"/>
    </row>
    <row r="12" spans="1:10" ht="51" customHeight="1">
      <c r="A12" s="11"/>
      <c r="B12" s="44" t="s">
        <v>225</v>
      </c>
      <c r="C12" s="45"/>
      <c r="D12" s="45"/>
      <c r="E12" s="9">
        <v>5</v>
      </c>
      <c r="F12" s="27">
        <v>3.75</v>
      </c>
      <c r="G12" s="31">
        <f t="shared" si="0"/>
        <v>0.75</v>
      </c>
      <c r="H12" s="32" t="str">
        <f t="shared" si="1"/>
        <v>جيد</v>
      </c>
      <c r="I12" s="53"/>
      <c r="J12" s="54"/>
    </row>
    <row r="13" spans="1:10" ht="39.950000000000003" customHeight="1">
      <c r="A13" s="11"/>
      <c r="B13" s="44" t="s">
        <v>183</v>
      </c>
      <c r="C13" s="45"/>
      <c r="D13" s="45"/>
      <c r="E13" s="9">
        <v>5</v>
      </c>
      <c r="F13" s="27">
        <v>3.5</v>
      </c>
      <c r="G13" s="31">
        <f t="shared" si="0"/>
        <v>0.7</v>
      </c>
      <c r="H13" s="32" t="str">
        <f t="shared" si="1"/>
        <v>جيد</v>
      </c>
      <c r="I13" s="53"/>
      <c r="J13" s="54"/>
    </row>
    <row r="14" spans="1:10" ht="39.950000000000003" customHeight="1">
      <c r="A14" s="11"/>
      <c r="B14" s="44" t="s">
        <v>184</v>
      </c>
      <c r="C14" s="45"/>
      <c r="D14" s="45"/>
      <c r="E14" s="9">
        <v>5</v>
      </c>
      <c r="F14" s="27">
        <v>4</v>
      </c>
      <c r="G14" s="31">
        <f t="shared" si="0"/>
        <v>0.8</v>
      </c>
      <c r="H14" s="32" t="str">
        <f t="shared" si="1"/>
        <v>جيد جداً</v>
      </c>
      <c r="I14" s="53"/>
      <c r="J14" s="54"/>
    </row>
    <row r="15" spans="1:10" ht="39.950000000000003" customHeight="1">
      <c r="A15" s="11"/>
      <c r="B15" s="44" t="s">
        <v>215</v>
      </c>
      <c r="C15" s="45"/>
      <c r="D15" s="45"/>
      <c r="E15" s="9">
        <v>5</v>
      </c>
      <c r="F15" s="27">
        <v>3.75</v>
      </c>
      <c r="G15" s="31">
        <f t="shared" si="0"/>
        <v>0.75</v>
      </c>
      <c r="H15" s="32" t="str">
        <f t="shared" si="1"/>
        <v>جيد</v>
      </c>
      <c r="I15" s="53"/>
      <c r="J15" s="54"/>
    </row>
    <row r="16" spans="1:10" ht="39.950000000000003" customHeight="1">
      <c r="A16" s="11"/>
      <c r="B16" s="44" t="s">
        <v>216</v>
      </c>
      <c r="C16" s="45"/>
      <c r="D16" s="45"/>
      <c r="E16" s="9">
        <v>5</v>
      </c>
      <c r="F16" s="27">
        <v>3.5</v>
      </c>
      <c r="G16" s="31">
        <f t="shared" si="0"/>
        <v>0.7</v>
      </c>
      <c r="H16" s="32" t="str">
        <f t="shared" si="1"/>
        <v>جيد</v>
      </c>
      <c r="I16" s="53"/>
      <c r="J16" s="54"/>
    </row>
    <row r="17" spans="1:10" ht="39.950000000000003" customHeight="1">
      <c r="A17" s="11"/>
      <c r="B17" s="44" t="s">
        <v>185</v>
      </c>
      <c r="C17" s="45"/>
      <c r="D17" s="45"/>
      <c r="E17" s="9">
        <v>5</v>
      </c>
      <c r="F17" s="27">
        <v>3.5</v>
      </c>
      <c r="G17" s="31">
        <f t="shared" si="0"/>
        <v>0.7</v>
      </c>
      <c r="H17" s="32" t="str">
        <f t="shared" si="1"/>
        <v>جيد</v>
      </c>
      <c r="I17" s="53"/>
      <c r="J17" s="54"/>
    </row>
    <row r="18" spans="1:10" ht="39.950000000000003" customHeight="1">
      <c r="A18" s="11"/>
      <c r="B18" s="44" t="s">
        <v>186</v>
      </c>
      <c r="C18" s="45"/>
      <c r="D18" s="45"/>
      <c r="E18" s="9">
        <v>0</v>
      </c>
      <c r="F18" s="27" t="s">
        <v>17</v>
      </c>
      <c r="G18" s="31" t="str">
        <f t="shared" si="0"/>
        <v/>
      </c>
      <c r="H18" s="32" t="str">
        <f t="shared" si="1"/>
        <v>تم الإلغاء</v>
      </c>
      <c r="I18" s="53"/>
      <c r="J18" s="54"/>
    </row>
    <row r="19" spans="1:10" ht="39.950000000000003" customHeight="1" thickBot="1">
      <c r="A19" s="11"/>
      <c r="B19" s="46" t="s">
        <v>187</v>
      </c>
      <c r="C19" s="47"/>
      <c r="D19" s="47"/>
      <c r="E19" s="38">
        <v>5</v>
      </c>
      <c r="F19" s="28">
        <v>3.5</v>
      </c>
      <c r="G19" s="39">
        <f t="shared" si="0"/>
        <v>0.7</v>
      </c>
      <c r="H19" s="40" t="str">
        <f t="shared" si="1"/>
        <v>جيد</v>
      </c>
      <c r="I19" s="62"/>
      <c r="J19" s="63"/>
    </row>
    <row r="20" spans="1:10" ht="39.950000000000003" customHeight="1">
      <c r="A20" s="11"/>
      <c r="B20" s="49" t="s">
        <v>188</v>
      </c>
      <c r="C20" s="50"/>
      <c r="D20" s="50"/>
      <c r="E20" s="34"/>
      <c r="F20" s="35"/>
      <c r="G20" s="36"/>
      <c r="H20" s="37"/>
      <c r="I20" s="60"/>
      <c r="J20" s="61"/>
    </row>
    <row r="21" spans="1:10" ht="39.950000000000003" customHeight="1">
      <c r="A21" s="11"/>
      <c r="B21" s="44" t="s">
        <v>189</v>
      </c>
      <c r="C21" s="45"/>
      <c r="D21" s="45"/>
      <c r="E21" s="9">
        <v>5</v>
      </c>
      <c r="F21" s="27">
        <v>4.25</v>
      </c>
      <c r="G21" s="31">
        <f t="shared" si="0"/>
        <v>0.85</v>
      </c>
      <c r="H21" s="32" t="str">
        <f t="shared" si="1"/>
        <v>جيد جداً</v>
      </c>
      <c r="I21" s="53"/>
      <c r="J21" s="54"/>
    </row>
    <row r="22" spans="1:10" ht="39.950000000000003" customHeight="1">
      <c r="A22" s="11"/>
      <c r="B22" s="44" t="s">
        <v>217</v>
      </c>
      <c r="C22" s="45"/>
      <c r="D22" s="45"/>
      <c r="E22" s="9">
        <v>5</v>
      </c>
      <c r="F22" s="27">
        <v>3.75</v>
      </c>
      <c r="G22" s="31">
        <f t="shared" si="0"/>
        <v>0.75</v>
      </c>
      <c r="H22" s="32" t="str">
        <f t="shared" si="1"/>
        <v>جيد</v>
      </c>
      <c r="I22" s="53"/>
      <c r="J22" s="54"/>
    </row>
    <row r="23" spans="1:10" ht="39.950000000000003" customHeight="1">
      <c r="A23" s="11"/>
      <c r="B23" s="44" t="s">
        <v>190</v>
      </c>
      <c r="C23" s="45"/>
      <c r="D23" s="45"/>
      <c r="E23" s="9">
        <v>5</v>
      </c>
      <c r="F23" s="27">
        <v>3.75</v>
      </c>
      <c r="G23" s="31">
        <f t="shared" si="0"/>
        <v>0.75</v>
      </c>
      <c r="H23" s="32" t="str">
        <f t="shared" si="1"/>
        <v>جيد</v>
      </c>
      <c r="I23" s="53"/>
      <c r="J23" s="54"/>
    </row>
    <row r="24" spans="1:10" ht="39.950000000000003" customHeight="1" thickBot="1">
      <c r="A24" s="11"/>
      <c r="B24" s="46" t="s">
        <v>191</v>
      </c>
      <c r="C24" s="47"/>
      <c r="D24" s="47"/>
      <c r="E24" s="38">
        <v>5</v>
      </c>
      <c r="F24" s="28">
        <v>4</v>
      </c>
      <c r="G24" s="39">
        <f t="shared" si="0"/>
        <v>0.8</v>
      </c>
      <c r="H24" s="40" t="str">
        <f t="shared" si="1"/>
        <v>جيد جداً</v>
      </c>
      <c r="I24" s="62"/>
      <c r="J24" s="63"/>
    </row>
    <row r="25" spans="1:10" ht="39.950000000000003" customHeight="1" thickBot="1">
      <c r="A25" s="11"/>
      <c r="B25" s="51" t="s">
        <v>218</v>
      </c>
      <c r="C25" s="52"/>
      <c r="D25" s="52"/>
      <c r="E25" s="10">
        <v>5</v>
      </c>
      <c r="F25" s="41">
        <v>3.5</v>
      </c>
      <c r="G25" s="42">
        <f t="shared" si="0"/>
        <v>0.7</v>
      </c>
      <c r="H25" s="29" t="str">
        <f t="shared" si="1"/>
        <v>جيد</v>
      </c>
      <c r="I25" s="64"/>
      <c r="J25" s="65"/>
    </row>
    <row r="26" spans="1:10" ht="45.75" customHeight="1">
      <c r="A26" s="11"/>
      <c r="B26" s="49" t="s">
        <v>192</v>
      </c>
      <c r="C26" s="50"/>
      <c r="D26" s="50"/>
      <c r="E26" s="34"/>
      <c r="F26" s="35"/>
      <c r="G26" s="36"/>
      <c r="H26" s="37"/>
      <c r="I26" s="60"/>
      <c r="J26" s="61"/>
    </row>
    <row r="27" spans="1:10" ht="54.75" customHeight="1">
      <c r="A27" s="11"/>
      <c r="B27" s="44" t="s">
        <v>219</v>
      </c>
      <c r="C27" s="45"/>
      <c r="D27" s="45"/>
      <c r="E27" s="9">
        <v>5</v>
      </c>
      <c r="F27" s="27">
        <v>3.5</v>
      </c>
      <c r="G27" s="31">
        <f t="shared" si="0"/>
        <v>0.7</v>
      </c>
      <c r="H27" s="32" t="str">
        <f t="shared" si="1"/>
        <v>جيد</v>
      </c>
      <c r="I27" s="53"/>
      <c r="J27" s="54"/>
    </row>
    <row r="28" spans="1:10" ht="45.75" customHeight="1">
      <c r="A28" s="11"/>
      <c r="B28" s="44" t="s">
        <v>220</v>
      </c>
      <c r="C28" s="45"/>
      <c r="D28" s="45"/>
      <c r="E28" s="9">
        <v>5</v>
      </c>
      <c r="F28" s="27">
        <v>3.5</v>
      </c>
      <c r="G28" s="31">
        <f t="shared" si="0"/>
        <v>0.7</v>
      </c>
      <c r="H28" s="32" t="str">
        <f t="shared" si="1"/>
        <v>جيد</v>
      </c>
      <c r="I28" s="53"/>
      <c r="J28" s="54"/>
    </row>
    <row r="29" spans="1:10" ht="54" customHeight="1">
      <c r="A29" s="11"/>
      <c r="B29" s="44" t="s">
        <v>221</v>
      </c>
      <c r="C29" s="45"/>
      <c r="D29" s="45"/>
      <c r="E29" s="9">
        <v>5</v>
      </c>
      <c r="F29" s="27">
        <v>3.5</v>
      </c>
      <c r="G29" s="31">
        <f t="shared" si="0"/>
        <v>0.7</v>
      </c>
      <c r="H29" s="32" t="str">
        <f t="shared" si="1"/>
        <v>جيد</v>
      </c>
      <c r="I29" s="53"/>
      <c r="J29" s="54"/>
    </row>
    <row r="30" spans="1:10" ht="55.5" customHeight="1">
      <c r="A30" s="11"/>
      <c r="B30" s="44" t="s">
        <v>222</v>
      </c>
      <c r="C30" s="45"/>
      <c r="D30" s="45"/>
      <c r="E30" s="9">
        <v>5</v>
      </c>
      <c r="F30" s="27">
        <v>3.5</v>
      </c>
      <c r="G30" s="31">
        <f t="shared" si="0"/>
        <v>0.7</v>
      </c>
      <c r="H30" s="32" t="str">
        <f t="shared" si="1"/>
        <v>جيد</v>
      </c>
      <c r="I30" s="53"/>
      <c r="J30" s="54"/>
    </row>
    <row r="31" spans="1:10" ht="56.25" customHeight="1">
      <c r="A31" s="11"/>
      <c r="B31" s="44" t="s">
        <v>193</v>
      </c>
      <c r="C31" s="45"/>
      <c r="D31" s="45"/>
      <c r="E31" s="9">
        <v>5</v>
      </c>
      <c r="F31" s="27">
        <v>3.75</v>
      </c>
      <c r="G31" s="31">
        <f t="shared" si="0"/>
        <v>0.75</v>
      </c>
      <c r="H31" s="32" t="str">
        <f t="shared" si="1"/>
        <v>جيد</v>
      </c>
      <c r="I31" s="53"/>
      <c r="J31" s="54"/>
    </row>
    <row r="32" spans="1:10" ht="50.25" customHeight="1" thickBot="1">
      <c r="A32" s="11"/>
      <c r="B32" s="46" t="s">
        <v>223</v>
      </c>
      <c r="C32" s="47"/>
      <c r="D32" s="47"/>
      <c r="E32" s="38">
        <v>5</v>
      </c>
      <c r="F32" s="28">
        <v>3.75</v>
      </c>
      <c r="G32" s="39">
        <f t="shared" si="0"/>
        <v>0.75</v>
      </c>
      <c r="H32" s="40" t="str">
        <f t="shared" si="1"/>
        <v>جيد</v>
      </c>
      <c r="I32" s="62"/>
      <c r="J32" s="63"/>
    </row>
    <row r="33" spans="1:10" ht="39.950000000000003" customHeight="1">
      <c r="A33" s="11"/>
      <c r="B33" s="49" t="s">
        <v>194</v>
      </c>
      <c r="C33" s="50"/>
      <c r="D33" s="50"/>
      <c r="E33" s="43"/>
      <c r="F33" s="35"/>
      <c r="G33" s="36"/>
      <c r="H33" s="37"/>
      <c r="I33" s="60"/>
      <c r="J33" s="61"/>
    </row>
    <row r="34" spans="1:10" ht="39.950000000000003" customHeight="1">
      <c r="A34" s="11"/>
      <c r="B34" s="44" t="s">
        <v>195</v>
      </c>
      <c r="C34" s="45"/>
      <c r="D34" s="45"/>
      <c r="E34" s="9">
        <v>5</v>
      </c>
      <c r="F34" s="27">
        <v>3.75</v>
      </c>
      <c r="G34" s="31">
        <f t="shared" si="0"/>
        <v>0.75</v>
      </c>
      <c r="H34" s="32" t="str">
        <f t="shared" si="1"/>
        <v>جيد</v>
      </c>
      <c r="I34" s="53"/>
      <c r="J34" s="54"/>
    </row>
    <row r="35" spans="1:10" ht="39.950000000000003" customHeight="1">
      <c r="A35" s="11"/>
      <c r="B35" s="44" t="s">
        <v>196</v>
      </c>
      <c r="C35" s="45"/>
      <c r="D35" s="45"/>
      <c r="E35" s="9">
        <v>5</v>
      </c>
      <c r="F35" s="27">
        <v>3.75</v>
      </c>
      <c r="G35" s="31">
        <f t="shared" si="0"/>
        <v>0.75</v>
      </c>
      <c r="H35" s="32" t="str">
        <f t="shared" si="1"/>
        <v>جيد</v>
      </c>
      <c r="I35" s="53"/>
      <c r="J35" s="54"/>
    </row>
    <row r="36" spans="1:10" ht="39.950000000000003" customHeight="1" thickBot="1">
      <c r="A36" s="11"/>
      <c r="B36" s="46" t="s">
        <v>197</v>
      </c>
      <c r="C36" s="47"/>
      <c r="D36" s="47"/>
      <c r="E36" s="38">
        <v>5</v>
      </c>
      <c r="F36" s="28">
        <v>3.75</v>
      </c>
      <c r="G36" s="39">
        <f t="shared" si="0"/>
        <v>0.75</v>
      </c>
      <c r="H36" s="40" t="str">
        <f t="shared" si="1"/>
        <v>جيد</v>
      </c>
      <c r="I36" s="62"/>
      <c r="J36" s="63"/>
    </row>
    <row r="37" spans="1:10" ht="39.950000000000003" customHeight="1">
      <c r="A37" s="11"/>
      <c r="B37" s="49" t="s">
        <v>224</v>
      </c>
      <c r="C37" s="50"/>
      <c r="D37" s="50"/>
      <c r="E37" s="34"/>
      <c r="F37" s="35"/>
      <c r="G37" s="36"/>
      <c r="H37" s="37"/>
      <c r="I37" s="60"/>
      <c r="J37" s="61"/>
    </row>
    <row r="38" spans="1:10" ht="39.950000000000003" customHeight="1">
      <c r="A38" s="11"/>
      <c r="B38" s="44" t="s">
        <v>198</v>
      </c>
      <c r="C38" s="45"/>
      <c r="D38" s="45"/>
      <c r="E38" s="9">
        <v>5</v>
      </c>
      <c r="F38" s="27">
        <v>3.75</v>
      </c>
      <c r="G38" s="31">
        <f t="shared" si="0"/>
        <v>0.75</v>
      </c>
      <c r="H38" s="32" t="str">
        <f t="shared" si="1"/>
        <v>جيد</v>
      </c>
      <c r="I38" s="53"/>
      <c r="J38" s="54"/>
    </row>
    <row r="39" spans="1:10" ht="39.950000000000003" customHeight="1">
      <c r="A39" s="11"/>
      <c r="B39" s="44" t="s">
        <v>199</v>
      </c>
      <c r="C39" s="45"/>
      <c r="D39" s="45"/>
      <c r="E39" s="9">
        <v>5</v>
      </c>
      <c r="F39" s="27">
        <v>3.75</v>
      </c>
      <c r="G39" s="31">
        <f t="shared" si="0"/>
        <v>0.75</v>
      </c>
      <c r="H39" s="32" t="str">
        <f t="shared" si="1"/>
        <v>جيد</v>
      </c>
      <c r="I39" s="53"/>
      <c r="J39" s="54"/>
    </row>
    <row r="40" spans="1:10" ht="39.950000000000003" customHeight="1" thickBot="1">
      <c r="A40" s="11"/>
      <c r="B40" s="46" t="s">
        <v>200</v>
      </c>
      <c r="C40" s="47"/>
      <c r="D40" s="47"/>
      <c r="E40" s="38">
        <v>5</v>
      </c>
      <c r="F40" s="28">
        <v>3.75</v>
      </c>
      <c r="G40" s="39">
        <f t="shared" si="0"/>
        <v>0.75</v>
      </c>
      <c r="H40" s="40" t="str">
        <f t="shared" si="1"/>
        <v>جيد</v>
      </c>
      <c r="I40" s="62"/>
      <c r="J40" s="63"/>
    </row>
    <row r="41" spans="1:10" ht="39.950000000000003" customHeight="1">
      <c r="A41" s="11"/>
      <c r="B41" s="49" t="s">
        <v>201</v>
      </c>
      <c r="C41" s="50"/>
      <c r="D41" s="50"/>
      <c r="E41" s="34"/>
      <c r="F41" s="35"/>
      <c r="G41" s="36"/>
      <c r="H41" s="37"/>
      <c r="I41" s="60"/>
      <c r="J41" s="61"/>
    </row>
    <row r="42" spans="1:10" ht="39.950000000000003" customHeight="1">
      <c r="A42" s="11"/>
      <c r="B42" s="44" t="s">
        <v>202</v>
      </c>
      <c r="C42" s="45"/>
      <c r="D42" s="45"/>
      <c r="E42" s="9">
        <v>5</v>
      </c>
      <c r="F42" s="27">
        <v>3.75</v>
      </c>
      <c r="G42" s="31">
        <f t="shared" si="0"/>
        <v>0.75</v>
      </c>
      <c r="H42" s="32" t="str">
        <f t="shared" si="1"/>
        <v>جيد</v>
      </c>
      <c r="I42" s="53"/>
      <c r="J42" s="54"/>
    </row>
    <row r="43" spans="1:10" ht="39.950000000000003" customHeight="1">
      <c r="A43" s="11"/>
      <c r="B43" s="44" t="s">
        <v>203</v>
      </c>
      <c r="C43" s="45"/>
      <c r="D43" s="45"/>
      <c r="E43" s="9">
        <v>5</v>
      </c>
      <c r="F43" s="27">
        <v>3.75</v>
      </c>
      <c r="G43" s="31">
        <f t="shared" si="0"/>
        <v>0.75</v>
      </c>
      <c r="H43" s="32" t="str">
        <f t="shared" si="1"/>
        <v>جيد</v>
      </c>
      <c r="I43" s="53"/>
      <c r="J43" s="54"/>
    </row>
    <row r="44" spans="1:10" ht="39.950000000000003" customHeight="1" thickBot="1">
      <c r="A44" s="11"/>
      <c r="B44" s="46" t="s">
        <v>204</v>
      </c>
      <c r="C44" s="47"/>
      <c r="D44" s="47"/>
      <c r="E44" s="38">
        <v>5</v>
      </c>
      <c r="F44" s="28">
        <v>3.75</v>
      </c>
      <c r="G44" s="39">
        <f t="shared" si="0"/>
        <v>0.75</v>
      </c>
      <c r="H44" s="40" t="str">
        <f t="shared" si="1"/>
        <v>جيد</v>
      </c>
      <c r="I44" s="62"/>
      <c r="J44" s="63"/>
    </row>
    <row r="45" spans="1:10" ht="39.950000000000003" customHeight="1">
      <c r="A45" s="11"/>
      <c r="B45" s="49" t="s">
        <v>205</v>
      </c>
      <c r="C45" s="50"/>
      <c r="D45" s="50"/>
      <c r="E45" s="34"/>
      <c r="F45" s="35"/>
      <c r="G45" s="36"/>
      <c r="H45" s="37"/>
      <c r="I45" s="60"/>
      <c r="J45" s="61"/>
    </row>
    <row r="46" spans="1:10" ht="39.950000000000003" customHeight="1">
      <c r="A46" s="11"/>
      <c r="B46" s="44" t="s">
        <v>206</v>
      </c>
      <c r="C46" s="45"/>
      <c r="D46" s="45"/>
      <c r="E46" s="9">
        <v>5</v>
      </c>
      <c r="F46" s="27">
        <v>3.75</v>
      </c>
      <c r="G46" s="31">
        <f t="shared" si="0"/>
        <v>0.75</v>
      </c>
      <c r="H46" s="32" t="str">
        <f t="shared" si="1"/>
        <v>جيد</v>
      </c>
      <c r="I46" s="53"/>
      <c r="J46" s="54"/>
    </row>
    <row r="47" spans="1:10" ht="39.950000000000003" customHeight="1">
      <c r="A47" s="11"/>
      <c r="B47" s="44" t="s">
        <v>207</v>
      </c>
      <c r="C47" s="45"/>
      <c r="D47" s="45"/>
      <c r="E47" s="9">
        <v>5</v>
      </c>
      <c r="F47" s="27">
        <v>3.5</v>
      </c>
      <c r="G47" s="31">
        <f t="shared" si="0"/>
        <v>0.7</v>
      </c>
      <c r="H47" s="32" t="str">
        <f t="shared" si="1"/>
        <v>جيد</v>
      </c>
      <c r="I47" s="53"/>
      <c r="J47" s="54"/>
    </row>
    <row r="48" spans="1:10" ht="39.950000000000003" customHeight="1">
      <c r="A48" s="11"/>
      <c r="B48" s="44" t="s">
        <v>208</v>
      </c>
      <c r="C48" s="45"/>
      <c r="D48" s="45"/>
      <c r="E48" s="9">
        <v>5</v>
      </c>
      <c r="F48" s="27">
        <v>3.75</v>
      </c>
      <c r="G48" s="31">
        <f t="shared" si="0"/>
        <v>0.75</v>
      </c>
      <c r="H48" s="32" t="str">
        <f t="shared" si="1"/>
        <v>جيد</v>
      </c>
      <c r="I48" s="53"/>
      <c r="J48" s="54"/>
    </row>
    <row r="49" spans="1:10" ht="39.950000000000003" customHeight="1">
      <c r="A49" s="11"/>
      <c r="B49" s="44" t="s">
        <v>209</v>
      </c>
      <c r="C49" s="45"/>
      <c r="D49" s="45"/>
      <c r="E49" s="9">
        <v>5</v>
      </c>
      <c r="F49" s="27">
        <v>3.5</v>
      </c>
      <c r="G49" s="31">
        <f t="shared" si="0"/>
        <v>0.7</v>
      </c>
      <c r="H49" s="32" t="str">
        <f t="shared" si="1"/>
        <v>جيد</v>
      </c>
      <c r="I49" s="53"/>
      <c r="J49" s="54"/>
    </row>
    <row r="50" spans="1:10" ht="39.950000000000003" customHeight="1">
      <c r="A50" s="11"/>
      <c r="B50" s="44" t="s">
        <v>210</v>
      </c>
      <c r="C50" s="45"/>
      <c r="D50" s="45"/>
      <c r="E50" s="9">
        <v>5</v>
      </c>
      <c r="F50" s="27">
        <v>3.75</v>
      </c>
      <c r="G50" s="31">
        <f t="shared" si="0"/>
        <v>0.75</v>
      </c>
      <c r="H50" s="32" t="str">
        <f t="shared" si="1"/>
        <v>جيد</v>
      </c>
      <c r="I50" s="53"/>
      <c r="J50" s="54"/>
    </row>
    <row r="51" spans="1:10" ht="39.950000000000003" customHeight="1" thickBot="1">
      <c r="A51" s="11"/>
      <c r="B51" s="46" t="s">
        <v>211</v>
      </c>
      <c r="C51" s="47"/>
      <c r="D51" s="47"/>
      <c r="E51" s="38">
        <v>5</v>
      </c>
      <c r="F51" s="28">
        <v>3.5</v>
      </c>
      <c r="G51" s="39">
        <f t="shared" si="0"/>
        <v>0.7</v>
      </c>
      <c r="H51" s="40" t="str">
        <f t="shared" si="1"/>
        <v>جيد</v>
      </c>
      <c r="I51" s="62"/>
      <c r="J51" s="63"/>
    </row>
    <row r="52" spans="1:10" ht="30" customHeight="1" thickBot="1">
      <c r="A52" s="4"/>
      <c r="B52" s="89" t="s">
        <v>5</v>
      </c>
      <c r="C52" s="90"/>
      <c r="D52" s="90"/>
      <c r="E52" s="33">
        <f>SUM(E8:E51)</f>
        <v>180</v>
      </c>
      <c r="F52" s="33">
        <f>SUM(F8:F51)</f>
        <v>133.25</v>
      </c>
      <c r="G52" s="57"/>
      <c r="H52" s="58"/>
      <c r="I52" s="58"/>
      <c r="J52" s="59"/>
    </row>
    <row r="53" spans="1:10" ht="30" customHeight="1" thickBot="1">
      <c r="A53" s="4"/>
      <c r="B53" s="91" t="s">
        <v>54</v>
      </c>
      <c r="C53" s="92"/>
      <c r="D53" s="92"/>
      <c r="E53" s="73">
        <f>F52/E52/100*100</f>
        <v>0.74027777777777781</v>
      </c>
      <c r="F53" s="73"/>
      <c r="G53" s="73"/>
      <c r="H53" s="73"/>
      <c r="I53" s="73"/>
      <c r="J53" s="74"/>
    </row>
    <row r="54" spans="1:10" ht="30" customHeight="1" thickBot="1">
      <c r="A54" s="4"/>
      <c r="B54" s="91" t="s">
        <v>55</v>
      </c>
      <c r="C54" s="92"/>
      <c r="D54" s="92"/>
      <c r="E54" s="87" t="str">
        <f>_xlfn.IFS(E53&gt;=90%,"ممتاز",E53&gt;=80%,"جيد جداً",E53&gt;=70%,"جيد",E53&gt;=60%,"مقبول",E53&lt;60%,"راسب")</f>
        <v>جيد</v>
      </c>
      <c r="F54" s="87"/>
      <c r="G54" s="87"/>
      <c r="H54" s="87"/>
      <c r="I54" s="87"/>
      <c r="J54" s="88"/>
    </row>
    <row r="55" spans="1:10" ht="42" customHeight="1">
      <c r="B55" s="83" t="s">
        <v>174</v>
      </c>
      <c r="C55" s="83"/>
      <c r="D55" s="83"/>
      <c r="E55" s="55" t="s">
        <v>52</v>
      </c>
      <c r="F55" s="55"/>
      <c r="G55" s="85" t="s">
        <v>122</v>
      </c>
      <c r="H55" s="85"/>
      <c r="I55" s="85"/>
      <c r="J55" s="85"/>
    </row>
    <row r="56" spans="1:10" ht="51" customHeight="1">
      <c r="A56" s="5"/>
      <c r="B56" s="84"/>
      <c r="C56" s="84"/>
      <c r="D56" s="84"/>
      <c r="E56" s="56" t="s">
        <v>53</v>
      </c>
      <c r="F56" s="56"/>
      <c r="G56" s="86"/>
      <c r="H56" s="86"/>
      <c r="I56" s="86"/>
      <c r="J56" s="86"/>
    </row>
  </sheetData>
  <sheetProtection formatCells="0" formatColumns="0" formatRows="0" insertColumns="0" insertRows="0" insertHyperlinks="0" deleteColumns="0" deleteRows="0" selectLockedCells="1" sort="0" autoFilter="0" pivotTables="0"/>
  <mergeCells count="110">
    <mergeCell ref="I28:J28"/>
    <mergeCell ref="I29:J29"/>
    <mergeCell ref="B55:D56"/>
    <mergeCell ref="G55:J55"/>
    <mergeCell ref="G56:J56"/>
    <mergeCell ref="E54:J54"/>
    <mergeCell ref="I40:J40"/>
    <mergeCell ref="I41:J41"/>
    <mergeCell ref="I42:J42"/>
    <mergeCell ref="I43:J43"/>
    <mergeCell ref="I44:J44"/>
    <mergeCell ref="I49:J49"/>
    <mergeCell ref="I50:J50"/>
    <mergeCell ref="I51:J51"/>
    <mergeCell ref="B52:D52"/>
    <mergeCell ref="B53:D53"/>
    <mergeCell ref="B54:D54"/>
    <mergeCell ref="B32:D32"/>
    <mergeCell ref="B33:D33"/>
    <mergeCell ref="B34:D34"/>
    <mergeCell ref="B44:D44"/>
    <mergeCell ref="B45:D45"/>
    <mergeCell ref="B46:D46"/>
    <mergeCell ref="B47:D47"/>
    <mergeCell ref="B1:J1"/>
    <mergeCell ref="F2:J2"/>
    <mergeCell ref="B5:D6"/>
    <mergeCell ref="C2:D2"/>
    <mergeCell ref="C3:D3"/>
    <mergeCell ref="F3:J3"/>
    <mergeCell ref="E53:J53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36:J36"/>
    <mergeCell ref="I8:J8"/>
    <mergeCell ref="I11:J11"/>
    <mergeCell ref="I9:J9"/>
    <mergeCell ref="E55:F55"/>
    <mergeCell ref="E56:F56"/>
    <mergeCell ref="G52:J52"/>
    <mergeCell ref="I45:J45"/>
    <mergeCell ref="I46:J46"/>
    <mergeCell ref="I47:J47"/>
    <mergeCell ref="I48:J4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12:J12"/>
    <mergeCell ref="I13:J13"/>
    <mergeCell ref="I14:J14"/>
    <mergeCell ref="I15:J15"/>
    <mergeCell ref="I16:J16"/>
    <mergeCell ref="I17:J17"/>
    <mergeCell ref="I18:J18"/>
    <mergeCell ref="B21:D21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48:D48"/>
    <mergeCell ref="B49:D49"/>
    <mergeCell ref="B50:D50"/>
    <mergeCell ref="B51:D51"/>
    <mergeCell ref="B4:D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6:D26"/>
    <mergeCell ref="B27:D27"/>
    <mergeCell ref="B28:D28"/>
    <mergeCell ref="B29:D29"/>
    <mergeCell ref="B30:D30"/>
    <mergeCell ref="B31:D31"/>
    <mergeCell ref="B17:D17"/>
    <mergeCell ref="B18:D18"/>
    <mergeCell ref="B19:D19"/>
    <mergeCell ref="B20:D2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4">
    <cfRule type="expression" dxfId="14" priority="57">
      <formula>$E54="راسب"</formula>
    </cfRule>
  </conditionalFormatting>
  <conditionalFormatting sqref="E54:J54">
    <cfRule type="expression" dxfId="13" priority="58">
      <formula>$E54="مقبول"</formula>
    </cfRule>
    <cfRule type="expression" dxfId="12" priority="59">
      <formula>$E54="جيد"</formula>
    </cfRule>
    <cfRule type="expression" dxfId="11" priority="60">
      <formula>$E54="جيد جداً"</formula>
    </cfRule>
    <cfRule type="expression" dxfId="10" priority="61">
      <formula>$E54="ممتاز"</formula>
    </cfRule>
  </conditionalFormatting>
  <conditionalFormatting sqref="F8:F51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5:J55">
    <cfRule type="containsText" dxfId="6" priority="15" operator="containsText" text="أدخل اسم المحكم">
      <formula>NOT(ISERROR(SEARCH("أدخل اسم المحكم",G55)))</formula>
    </cfRule>
  </conditionalFormatting>
  <conditionalFormatting sqref="H8:H5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F46:F51 F42:F44 F38:F40 F34:F36 F27:F32 F21:F25 F9:F19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G55:J55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abSelected="1" topLeftCell="A321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0" t="s">
        <v>62</v>
      </c>
    </row>
    <row r="3" spans="1:3" ht="20.100000000000001" customHeight="1" thickBot="1">
      <c r="A3" s="2" t="s">
        <v>26</v>
      </c>
      <c r="C3" s="20" t="s">
        <v>63</v>
      </c>
    </row>
    <row r="4" spans="1:3" ht="20.100000000000001" customHeight="1" thickBot="1">
      <c r="A4" s="2" t="s">
        <v>36</v>
      </c>
      <c r="C4" s="20" t="s">
        <v>64</v>
      </c>
    </row>
    <row r="5" spans="1:3" ht="20.100000000000001" customHeight="1" thickBot="1">
      <c r="A5" s="2" t="s">
        <v>37</v>
      </c>
      <c r="C5" s="20" t="s">
        <v>65</v>
      </c>
    </row>
    <row r="6" spans="1:3" ht="20.100000000000001" customHeight="1" thickBot="1">
      <c r="A6" s="2" t="s">
        <v>38</v>
      </c>
      <c r="C6" s="20" t="s">
        <v>66</v>
      </c>
    </row>
    <row r="7" spans="1:3" ht="20.100000000000001" customHeight="1" thickBot="1">
      <c r="A7" s="2" t="s">
        <v>39</v>
      </c>
      <c r="C7" s="20" t="s">
        <v>67</v>
      </c>
    </row>
    <row r="8" spans="1:3" ht="20.100000000000001" customHeight="1" thickBot="1">
      <c r="A8" s="2" t="s">
        <v>40</v>
      </c>
      <c r="C8" s="20" t="s">
        <v>68</v>
      </c>
    </row>
    <row r="9" spans="1:3" ht="20.100000000000001" customHeight="1" thickBot="1">
      <c r="A9" s="2" t="s">
        <v>41</v>
      </c>
      <c r="C9" s="20" t="s">
        <v>69</v>
      </c>
    </row>
    <row r="10" spans="1:3" ht="20.100000000000001" customHeight="1" thickBot="1">
      <c r="A10" s="2" t="s">
        <v>42</v>
      </c>
      <c r="C10" s="20" t="s">
        <v>70</v>
      </c>
    </row>
    <row r="11" spans="1:3" ht="20.100000000000001" customHeight="1" thickBot="1">
      <c r="A11" s="2" t="s">
        <v>43</v>
      </c>
      <c r="C11" s="20" t="s">
        <v>71</v>
      </c>
    </row>
    <row r="12" spans="1:3" ht="20.100000000000001" customHeight="1" thickBot="1">
      <c r="A12" s="2" t="s">
        <v>44</v>
      </c>
      <c r="C12" s="20" t="s">
        <v>72</v>
      </c>
    </row>
    <row r="13" spans="1:3" ht="20.100000000000001" customHeight="1" thickBot="1">
      <c r="A13" s="2" t="s">
        <v>45</v>
      </c>
      <c r="C13" s="20" t="s">
        <v>73</v>
      </c>
    </row>
    <row r="14" spans="1:3" ht="20.100000000000001" customHeight="1" thickBot="1">
      <c r="A14" s="2" t="s">
        <v>46</v>
      </c>
      <c r="C14" s="20" t="s">
        <v>74</v>
      </c>
    </row>
    <row r="15" spans="1:3" ht="20.100000000000001" customHeight="1" thickBot="1">
      <c r="A15" s="2" t="s">
        <v>47</v>
      </c>
      <c r="C15" s="20" t="s">
        <v>75</v>
      </c>
    </row>
    <row r="16" spans="1:3" ht="20.100000000000001" customHeight="1" thickBot="1">
      <c r="A16" s="2" t="s">
        <v>10</v>
      </c>
      <c r="C16" s="20" t="s">
        <v>76</v>
      </c>
    </row>
    <row r="17" spans="1:3" ht="20.100000000000001" customHeight="1" thickBot="1">
      <c r="A17" s="2" t="s">
        <v>27</v>
      </c>
      <c r="C17" s="20" t="s">
        <v>77</v>
      </c>
    </row>
    <row r="18" spans="1:3" ht="20.100000000000001" customHeight="1" thickBot="1">
      <c r="A18" s="2" t="s">
        <v>48</v>
      </c>
      <c r="C18" s="20" t="s">
        <v>78</v>
      </c>
    </row>
    <row r="19" spans="1:3" ht="20.100000000000001" customHeight="1" thickBot="1">
      <c r="A19" s="2" t="s">
        <v>49</v>
      </c>
      <c r="C19" s="20" t="s">
        <v>79</v>
      </c>
    </row>
    <row r="20" spans="1:3" ht="20.100000000000001" customHeight="1" thickBot="1">
      <c r="A20" s="2" t="s">
        <v>50</v>
      </c>
      <c r="C20" s="20" t="s">
        <v>80</v>
      </c>
    </row>
    <row r="21" spans="1:3" ht="20.100000000000001" customHeight="1" thickBot="1">
      <c r="A21" s="2" t="s">
        <v>51</v>
      </c>
      <c r="C21" s="20" t="s">
        <v>81</v>
      </c>
    </row>
    <row r="22" spans="1:3" ht="20.100000000000001" customHeight="1" thickBot="1">
      <c r="A22" s="2" t="s">
        <v>11</v>
      </c>
      <c r="C22" s="20" t="s">
        <v>82</v>
      </c>
    </row>
    <row r="23" spans="1:3" ht="20.100000000000001" customHeight="1" thickBot="1">
      <c r="A23" s="2" t="s">
        <v>12</v>
      </c>
      <c r="C23" s="20" t="s">
        <v>83</v>
      </c>
    </row>
    <row r="24" spans="1:3" ht="20.100000000000001" customHeight="1" thickBot="1">
      <c r="A24" s="2" t="s">
        <v>15</v>
      </c>
      <c r="C24" s="20" t="s">
        <v>84</v>
      </c>
    </row>
    <row r="25" spans="1:3" ht="20.100000000000001" customHeight="1" thickBot="1">
      <c r="A25" s="2" t="s">
        <v>28</v>
      </c>
      <c r="C25" s="20" t="s">
        <v>85</v>
      </c>
    </row>
    <row r="26" spans="1:3" ht="20.100000000000001" customHeight="1" thickBot="1">
      <c r="A26" s="2" t="s">
        <v>29</v>
      </c>
      <c r="C26" s="20" t="s">
        <v>86</v>
      </c>
    </row>
    <row r="27" spans="1:3" ht="20.100000000000001" customHeight="1" thickBot="1">
      <c r="A27" s="2" t="s">
        <v>13</v>
      </c>
      <c r="C27" s="20" t="s">
        <v>87</v>
      </c>
    </row>
    <row r="28" spans="1:3" ht="20.100000000000001" customHeight="1" thickBot="1">
      <c r="A28" s="2" t="s">
        <v>30</v>
      </c>
      <c r="C28" s="20" t="s">
        <v>88</v>
      </c>
    </row>
    <row r="29" spans="1:3" ht="20.100000000000001" customHeight="1" thickBot="1">
      <c r="A29" s="2" t="s">
        <v>31</v>
      </c>
      <c r="C29" s="20" t="s">
        <v>177</v>
      </c>
    </row>
    <row r="30" spans="1:3" ht="20.100000000000001" customHeight="1" thickBot="1">
      <c r="A30" s="2" t="s">
        <v>32</v>
      </c>
      <c r="C30" s="20" t="s">
        <v>178</v>
      </c>
    </row>
    <row r="31" spans="1:3" ht="20.100000000000001" customHeight="1" thickBot="1">
      <c r="A31" s="2" t="s">
        <v>33</v>
      </c>
      <c r="C31" s="20" t="s">
        <v>179</v>
      </c>
    </row>
    <row r="32" spans="1:3" ht="20.100000000000001" customHeight="1" thickBot="1">
      <c r="A32" s="2" t="s">
        <v>16</v>
      </c>
      <c r="C32" s="20"/>
    </row>
    <row r="33" spans="1:9" ht="20.100000000000001" customHeight="1" thickBot="1">
      <c r="A33" s="2" t="s">
        <v>14</v>
      </c>
      <c r="C33" s="20"/>
    </row>
    <row r="34" spans="1:9" ht="20.100000000000001" customHeight="1" thickBot="1">
      <c r="A34" s="2" t="s">
        <v>34</v>
      </c>
      <c r="C34" s="20"/>
    </row>
    <row r="35" spans="1:9" ht="20.100000000000001" customHeight="1">
      <c r="A35" s="19"/>
    </row>
    <row r="36" spans="1:9" s="18" customFormat="1" ht="20.100000000000001" customHeight="1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4">
        <v>45931</v>
      </c>
    </row>
    <row r="40" spans="1:9" ht="20.100000000000001" customHeight="1" thickBot="1">
      <c r="A40" s="14">
        <v>45932</v>
      </c>
    </row>
    <row r="41" spans="1:9" ht="20.100000000000001" customHeight="1" thickBot="1">
      <c r="A41" s="14">
        <v>45933</v>
      </c>
    </row>
    <row r="42" spans="1:9" ht="20.100000000000001" customHeight="1" thickBot="1">
      <c r="A42" s="14">
        <v>45934</v>
      </c>
    </row>
    <row r="43" spans="1:9" ht="20.100000000000001" customHeight="1" thickBot="1">
      <c r="A43" s="14">
        <v>45935</v>
      </c>
    </row>
    <row r="44" spans="1:9" ht="20.100000000000001" customHeight="1" thickBot="1">
      <c r="A44" s="14">
        <v>45936</v>
      </c>
    </row>
    <row r="45" spans="1:9" ht="20.100000000000001" customHeight="1" thickBot="1">
      <c r="A45" s="14">
        <v>45937</v>
      </c>
    </row>
    <row r="46" spans="1:9" ht="20.100000000000001" customHeight="1" thickBot="1">
      <c r="A46" s="14">
        <v>45938</v>
      </c>
    </row>
    <row r="47" spans="1:9" ht="20.100000000000001" customHeight="1" thickBot="1">
      <c r="A47" s="14">
        <v>45939</v>
      </c>
    </row>
    <row r="48" spans="1:9" ht="20.100000000000001" customHeight="1" thickBot="1">
      <c r="A48" s="14">
        <v>45940</v>
      </c>
    </row>
    <row r="49" spans="1:1" ht="20.100000000000001" customHeight="1" thickBot="1">
      <c r="A49" s="14">
        <v>45941</v>
      </c>
    </row>
    <row r="50" spans="1:1" ht="20.100000000000001" customHeight="1" thickBot="1">
      <c r="A50" s="14">
        <v>45942</v>
      </c>
    </row>
    <row r="51" spans="1:1" ht="20.100000000000001" customHeight="1" thickBot="1">
      <c r="A51" s="14">
        <v>45943</v>
      </c>
    </row>
    <row r="52" spans="1:1" ht="20.100000000000001" customHeight="1" thickBot="1">
      <c r="A52" s="14">
        <v>45944</v>
      </c>
    </row>
    <row r="53" spans="1:1" ht="20.100000000000001" customHeight="1" thickBot="1">
      <c r="A53" s="14">
        <v>45945</v>
      </c>
    </row>
    <row r="54" spans="1:1" ht="20.100000000000001" customHeight="1" thickBot="1">
      <c r="A54" s="14">
        <v>45946</v>
      </c>
    </row>
    <row r="55" spans="1:1" ht="20.100000000000001" customHeight="1" thickBot="1">
      <c r="A55" s="14">
        <v>45947</v>
      </c>
    </row>
    <row r="56" spans="1:1" ht="20.100000000000001" customHeight="1" thickBot="1">
      <c r="A56" s="14">
        <v>45948</v>
      </c>
    </row>
    <row r="57" spans="1:1" ht="20.100000000000001" customHeight="1" thickBot="1">
      <c r="A57" s="14">
        <v>45949</v>
      </c>
    </row>
    <row r="58" spans="1:1" ht="20.100000000000001" customHeight="1" thickBot="1">
      <c r="A58" s="14">
        <v>45950</v>
      </c>
    </row>
    <row r="59" spans="1:1" ht="20.100000000000001" customHeight="1" thickBot="1">
      <c r="A59" s="14">
        <v>45951</v>
      </c>
    </row>
    <row r="60" spans="1:1" ht="20.100000000000001" customHeight="1" thickBot="1">
      <c r="A60" s="14">
        <v>45952</v>
      </c>
    </row>
    <row r="61" spans="1:1" ht="20.100000000000001" customHeight="1" thickBot="1">
      <c r="A61" s="14">
        <v>45953</v>
      </c>
    </row>
    <row r="62" spans="1:1" ht="20.100000000000001" customHeight="1" thickBot="1">
      <c r="A62" s="14">
        <v>45954</v>
      </c>
    </row>
    <row r="63" spans="1:1" ht="20.100000000000001" customHeight="1" thickBot="1">
      <c r="A63" s="14">
        <v>45955</v>
      </c>
    </row>
    <row r="64" spans="1:1" ht="20.100000000000001" customHeight="1" thickBot="1">
      <c r="A64" s="14">
        <v>45956</v>
      </c>
    </row>
    <row r="65" spans="1:1" ht="20.100000000000001" customHeight="1" thickBot="1">
      <c r="A65" s="14">
        <v>45957</v>
      </c>
    </row>
    <row r="66" spans="1:1" ht="20.100000000000001" customHeight="1" thickBot="1">
      <c r="A66" s="14">
        <v>45958</v>
      </c>
    </row>
    <row r="67" spans="1:1" ht="20.100000000000001" customHeight="1" thickBot="1">
      <c r="A67" s="14">
        <v>45959</v>
      </c>
    </row>
    <row r="68" spans="1:1" ht="20.100000000000001" customHeight="1" thickBot="1">
      <c r="A68" s="14">
        <v>45960</v>
      </c>
    </row>
    <row r="69" spans="1:1" ht="20.100000000000001" customHeight="1" thickBot="1">
      <c r="A69" s="14">
        <v>45961</v>
      </c>
    </row>
    <row r="70" spans="1:1" ht="20.100000000000001" customHeight="1" thickBot="1">
      <c r="A70" s="14"/>
    </row>
    <row r="71" spans="1:1" ht="20.100000000000001" customHeight="1" thickBot="1">
      <c r="A71" s="14"/>
    </row>
    <row r="72" spans="1:1" ht="20.100000000000001" customHeight="1" thickBot="1">
      <c r="A72" s="14"/>
    </row>
    <row r="73" spans="1:1" ht="20.100000000000001" customHeight="1" thickBot="1">
      <c r="A73" s="14"/>
    </row>
    <row r="74" spans="1:1" ht="20.100000000000001" customHeight="1" thickBot="1">
      <c r="A74" s="14"/>
    </row>
    <row r="75" spans="1:1" ht="20.100000000000001" customHeight="1" thickBot="1">
      <c r="A75" s="14"/>
    </row>
    <row r="76" spans="1:1" ht="20.100000000000001" customHeight="1" thickBot="1">
      <c r="A76" s="14"/>
    </row>
    <row r="77" spans="1:1" ht="20.100000000000001" customHeight="1" thickBot="1">
      <c r="A77" s="14"/>
    </row>
    <row r="78" spans="1:1" ht="20.100000000000001" customHeight="1" thickBot="1">
      <c r="A78" s="14"/>
    </row>
    <row r="79" spans="1:1" ht="20.100000000000001" customHeight="1" thickBot="1">
      <c r="A79" s="14"/>
    </row>
    <row r="80" spans="1:1" ht="20.100000000000001" customHeight="1" thickBot="1">
      <c r="A80" s="14"/>
    </row>
    <row r="81" spans="1:1" ht="20.100000000000001" customHeight="1" thickBot="1">
      <c r="A81" s="14"/>
    </row>
    <row r="82" spans="1:1" ht="20.100000000000001" customHeight="1" thickBot="1">
      <c r="A82" s="14"/>
    </row>
    <row r="83" spans="1:1" ht="20.100000000000001" customHeight="1" thickBot="1">
      <c r="A83" s="14"/>
    </row>
    <row r="84" spans="1:1" ht="20.100000000000001" customHeight="1" thickBot="1">
      <c r="A84" s="14"/>
    </row>
    <row r="85" spans="1:1" ht="20.100000000000001" customHeight="1" thickBot="1">
      <c r="A85" s="14"/>
    </row>
    <row r="86" spans="1:1" ht="20.100000000000001" customHeight="1" thickBot="1">
      <c r="A86" s="14"/>
    </row>
    <row r="87" spans="1:1" ht="20.100000000000001" customHeight="1" thickBot="1">
      <c r="A87" s="14"/>
    </row>
    <row r="88" spans="1:1" ht="20.100000000000001" customHeight="1" thickBot="1">
      <c r="A88" s="14"/>
    </row>
    <row r="89" spans="1:1" ht="20.100000000000001" customHeight="1" thickBot="1">
      <c r="A89" s="14"/>
    </row>
    <row r="90" spans="1:1" ht="20.100000000000001" customHeight="1" thickBot="1">
      <c r="A90" s="14"/>
    </row>
    <row r="91" spans="1:1" ht="20.100000000000001" customHeight="1" thickBot="1">
      <c r="A91" s="14"/>
    </row>
    <row r="92" spans="1:1" ht="20.100000000000001" customHeight="1" thickBot="1">
      <c r="A92" s="14"/>
    </row>
    <row r="93" spans="1:1" ht="20.100000000000001" customHeight="1" thickBot="1">
      <c r="A93" s="14"/>
    </row>
    <row r="94" spans="1:1" ht="20.100000000000001" customHeight="1" thickBot="1">
      <c r="A94" s="14"/>
    </row>
    <row r="95" spans="1:1" ht="20.100000000000001" customHeight="1" thickBot="1">
      <c r="A95" s="14"/>
    </row>
    <row r="96" spans="1:1" ht="20.100000000000001" customHeight="1" thickBot="1">
      <c r="A96" s="14"/>
    </row>
    <row r="97" spans="1:9" ht="20.100000000000001" customHeight="1" thickBot="1">
      <c r="A97" s="14"/>
    </row>
    <row r="98" spans="1:9" ht="20.100000000000001" customHeight="1" thickBot="1">
      <c r="A98" s="14"/>
    </row>
    <row r="99" spans="1:9" ht="20.100000000000001" customHeight="1" thickBot="1">
      <c r="A99" s="14"/>
    </row>
    <row r="100" spans="1:9" ht="20.100000000000001" customHeight="1" thickBot="1">
      <c r="A100" s="14"/>
    </row>
    <row r="101" spans="1:9" ht="20.100000000000001" customHeight="1" thickBot="1">
      <c r="A101" s="14"/>
    </row>
    <row r="102" spans="1:9" ht="20.100000000000001" customHeight="1" thickBot="1">
      <c r="A102" s="14"/>
    </row>
    <row r="103" spans="1:9" ht="20.100000000000001" customHeight="1" thickBot="1">
      <c r="A103" s="14"/>
    </row>
    <row r="104" spans="1:9" ht="20.100000000000001" customHeight="1" thickBot="1">
      <c r="A104" s="14"/>
    </row>
    <row r="105" spans="1:9" ht="20.100000000000001" customHeight="1" thickBot="1">
      <c r="A105" s="14"/>
    </row>
    <row r="106" spans="1:9" ht="20.100000000000001" customHeight="1" thickBot="1">
      <c r="A106" s="14"/>
    </row>
    <row r="107" spans="1:9" ht="20.100000000000001" customHeight="1">
      <c r="A107" s="15"/>
    </row>
    <row r="108" spans="1:9" ht="20.100000000000001" customHeight="1">
      <c r="A108" s="15"/>
    </row>
    <row r="109" spans="1:9" s="18" customFormat="1" ht="20.100000000000001" customHeight="1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1" t="s">
        <v>89</v>
      </c>
    </row>
    <row r="200" spans="1:1" ht="20.100000000000001" customHeight="1">
      <c r="A200" s="21" t="s">
        <v>90</v>
      </c>
    </row>
    <row r="201" spans="1:1" ht="20.100000000000001" customHeight="1">
      <c r="A201" s="21" t="s">
        <v>91</v>
      </c>
    </row>
    <row r="202" spans="1:1" ht="20.100000000000001" customHeight="1">
      <c r="A202" s="21" t="s">
        <v>92</v>
      </c>
    </row>
    <row r="203" spans="1:1" ht="20.100000000000001" customHeight="1">
      <c r="A203" s="21" t="s">
        <v>93</v>
      </c>
    </row>
    <row r="204" spans="1:1" ht="20.100000000000001" customHeight="1">
      <c r="A204" s="21" t="s">
        <v>94</v>
      </c>
    </row>
    <row r="205" spans="1:1" ht="20.100000000000001" customHeight="1">
      <c r="A205" s="21" t="s">
        <v>95</v>
      </c>
    </row>
    <row r="206" spans="1:1" ht="20.100000000000001" customHeight="1">
      <c r="A206" s="21" t="s">
        <v>96</v>
      </c>
    </row>
    <row r="207" spans="1:1" ht="20.100000000000001" customHeight="1">
      <c r="A207" s="21" t="s">
        <v>97</v>
      </c>
    </row>
    <row r="208" spans="1:1" ht="20.100000000000001" customHeight="1">
      <c r="A208" s="22" t="s">
        <v>98</v>
      </c>
    </row>
    <row r="209" spans="1:1" ht="20.100000000000001" customHeight="1">
      <c r="A209" s="22" t="s">
        <v>99</v>
      </c>
    </row>
    <row r="210" spans="1:1" ht="20.100000000000001" customHeight="1">
      <c r="A210" s="21" t="s">
        <v>100</v>
      </c>
    </row>
    <row r="211" spans="1:1" ht="20.100000000000001" customHeight="1">
      <c r="A211" s="21" t="s">
        <v>101</v>
      </c>
    </row>
    <row r="212" spans="1:1" ht="20.100000000000001" customHeight="1">
      <c r="A212" s="21" t="s">
        <v>175</v>
      </c>
    </row>
    <row r="213" spans="1:1" ht="20.100000000000001" customHeight="1">
      <c r="A213" s="21" t="s">
        <v>102</v>
      </c>
    </row>
    <row r="214" spans="1:1" ht="20.100000000000001" customHeight="1">
      <c r="A214" s="21" t="s">
        <v>103</v>
      </c>
    </row>
    <row r="215" spans="1:1" ht="20.100000000000001" customHeight="1">
      <c r="A215" s="21" t="s">
        <v>104</v>
      </c>
    </row>
    <row r="216" spans="1:1" ht="20.100000000000001" customHeight="1">
      <c r="A216" s="21" t="s">
        <v>105</v>
      </c>
    </row>
    <row r="217" spans="1:1" ht="20.100000000000001" customHeight="1">
      <c r="A217" s="21" t="s">
        <v>106</v>
      </c>
    </row>
    <row r="218" spans="1:1" ht="20.100000000000001" customHeight="1">
      <c r="A218" s="21" t="s">
        <v>107</v>
      </c>
    </row>
    <row r="219" spans="1:1" ht="20.100000000000001" customHeight="1">
      <c r="A219" s="21" t="s">
        <v>108</v>
      </c>
    </row>
    <row r="220" spans="1:1" ht="20.100000000000001" customHeight="1">
      <c r="A220" s="21" t="s">
        <v>109</v>
      </c>
    </row>
    <row r="221" spans="1:1" ht="20.100000000000001" customHeight="1">
      <c r="A221" s="21" t="s">
        <v>110</v>
      </c>
    </row>
    <row r="222" spans="1:1" ht="20.100000000000001" customHeight="1">
      <c r="A222" s="21" t="s">
        <v>111</v>
      </c>
    </row>
    <row r="223" spans="1:1" ht="20.100000000000001" customHeight="1">
      <c r="A223" s="21" t="s">
        <v>112</v>
      </c>
    </row>
    <row r="224" spans="1:1" ht="20.100000000000001" customHeight="1">
      <c r="A224" s="21" t="s">
        <v>176</v>
      </c>
    </row>
    <row r="225" spans="1:1" ht="20.100000000000001" customHeight="1">
      <c r="A225" s="21" t="s">
        <v>113</v>
      </c>
    </row>
    <row r="226" spans="1:1" ht="20.100000000000001" customHeight="1">
      <c r="A226" s="21" t="s">
        <v>114</v>
      </c>
    </row>
    <row r="227" spans="1:1" ht="20.100000000000001" customHeight="1">
      <c r="A227" s="21" t="s">
        <v>115</v>
      </c>
    </row>
    <row r="228" spans="1:1" ht="20.100000000000001" customHeight="1">
      <c r="A228" s="21" t="s">
        <v>116</v>
      </c>
    </row>
    <row r="229" spans="1:1" ht="20.100000000000001" customHeight="1">
      <c r="A229" s="21" t="s">
        <v>117</v>
      </c>
    </row>
    <row r="230" spans="1:1" ht="20.100000000000001" customHeight="1">
      <c r="A230" s="21" t="s">
        <v>118</v>
      </c>
    </row>
    <row r="231" spans="1:1" ht="20.100000000000001" customHeight="1">
      <c r="A231" s="21" t="s">
        <v>119</v>
      </c>
    </row>
    <row r="232" spans="1:1" ht="20.100000000000001" customHeight="1">
      <c r="A232" s="21" t="s">
        <v>120</v>
      </c>
    </row>
    <row r="233" spans="1:1" ht="20.100000000000001" customHeight="1">
      <c r="A233" s="21" t="s">
        <v>121</v>
      </c>
    </row>
    <row r="234" spans="1:1" ht="20.100000000000001" customHeight="1">
      <c r="A234" s="21" t="s">
        <v>122</v>
      </c>
    </row>
    <row r="235" spans="1:1" ht="20.100000000000001" customHeight="1">
      <c r="A235" s="21" t="s">
        <v>123</v>
      </c>
    </row>
    <row r="236" spans="1:1" ht="20.100000000000001" customHeight="1">
      <c r="A236" s="23" t="s">
        <v>124</v>
      </c>
    </row>
    <row r="237" spans="1:1" ht="20.100000000000001" customHeight="1">
      <c r="A237" s="21" t="s">
        <v>125</v>
      </c>
    </row>
    <row r="238" spans="1:1" ht="20.100000000000001" customHeight="1">
      <c r="A238" s="21" t="s">
        <v>126</v>
      </c>
    </row>
    <row r="239" spans="1:1" ht="20.100000000000001" customHeight="1">
      <c r="A239" s="21" t="s">
        <v>127</v>
      </c>
    </row>
    <row r="240" spans="1:1" ht="20.100000000000001" customHeight="1">
      <c r="A240" s="21" t="s">
        <v>128</v>
      </c>
    </row>
    <row r="241" spans="1:1" ht="20.100000000000001" customHeight="1">
      <c r="A241" s="21" t="s">
        <v>129</v>
      </c>
    </row>
    <row r="242" spans="1:1" ht="20.100000000000001" customHeight="1">
      <c r="A242" s="21" t="s">
        <v>130</v>
      </c>
    </row>
    <row r="243" spans="1:1" ht="20.100000000000001" customHeight="1">
      <c r="A243" s="21" t="s">
        <v>131</v>
      </c>
    </row>
    <row r="244" spans="1:1" ht="20.100000000000001" customHeight="1">
      <c r="A244" s="21" t="s">
        <v>132</v>
      </c>
    </row>
    <row r="245" spans="1:1" ht="20.100000000000001" customHeight="1">
      <c r="A245" s="21" t="s">
        <v>133</v>
      </c>
    </row>
    <row r="246" spans="1:1" ht="20.100000000000001" customHeight="1">
      <c r="A246" s="21" t="s">
        <v>134</v>
      </c>
    </row>
    <row r="247" spans="1:1" ht="20.100000000000001" customHeight="1">
      <c r="A247" s="21" t="s">
        <v>135</v>
      </c>
    </row>
    <row r="248" spans="1:1" ht="20.100000000000001" customHeight="1">
      <c r="A248" s="21" t="s">
        <v>126</v>
      </c>
    </row>
    <row r="249" spans="1:1" ht="20.100000000000001" customHeight="1">
      <c r="A249" s="21" t="s">
        <v>136</v>
      </c>
    </row>
    <row r="250" spans="1:1" ht="20.100000000000001" customHeight="1">
      <c r="A250" s="21" t="s">
        <v>137</v>
      </c>
    </row>
    <row r="251" spans="1:1" ht="20.100000000000001" customHeight="1">
      <c r="A251" s="23" t="s">
        <v>138</v>
      </c>
    </row>
    <row r="252" spans="1:1" ht="20.100000000000001" customHeight="1">
      <c r="A252" s="24" t="s">
        <v>139</v>
      </c>
    </row>
    <row r="253" spans="1:1" ht="20.100000000000001" customHeight="1">
      <c r="A253" s="21" t="s">
        <v>140</v>
      </c>
    </row>
    <row r="254" spans="1:1" ht="20.100000000000001" customHeight="1">
      <c r="A254" s="21" t="s">
        <v>141</v>
      </c>
    </row>
    <row r="255" spans="1:1" ht="20.100000000000001" customHeight="1">
      <c r="A255" s="25" t="s">
        <v>142</v>
      </c>
    </row>
    <row r="256" spans="1:1" ht="20.100000000000001" customHeight="1">
      <c r="A256" s="25" t="s">
        <v>143</v>
      </c>
    </row>
    <row r="257" spans="1:1" ht="20.100000000000001" customHeight="1">
      <c r="A257" s="26" t="s">
        <v>144</v>
      </c>
    </row>
    <row r="258" spans="1:1" ht="20.100000000000001" customHeight="1">
      <c r="A258" s="21" t="s">
        <v>145</v>
      </c>
    </row>
    <row r="259" spans="1:1" ht="20.100000000000001" customHeight="1">
      <c r="A259" s="26" t="s">
        <v>146</v>
      </c>
    </row>
    <row r="260" spans="1:1" ht="20.100000000000001" customHeight="1">
      <c r="A260" s="21" t="s">
        <v>147</v>
      </c>
    </row>
    <row r="261" spans="1:1" ht="20.100000000000001" customHeight="1">
      <c r="A261" s="26" t="s">
        <v>148</v>
      </c>
    </row>
    <row r="262" spans="1:1" ht="20.100000000000001" customHeight="1">
      <c r="A262" s="21" t="s">
        <v>149</v>
      </c>
    </row>
    <row r="263" spans="1:1" ht="20.100000000000001" customHeight="1">
      <c r="A263" s="21" t="s">
        <v>150</v>
      </c>
    </row>
    <row r="264" spans="1:1" ht="20.100000000000001" customHeight="1">
      <c r="A264" s="26" t="s">
        <v>151</v>
      </c>
    </row>
    <row r="265" spans="1:1" ht="20.100000000000001" customHeight="1">
      <c r="A265" s="26" t="s">
        <v>152</v>
      </c>
    </row>
    <row r="266" spans="1:1" ht="20.100000000000001" customHeight="1">
      <c r="A266" s="26" t="s">
        <v>153</v>
      </c>
    </row>
    <row r="267" spans="1:1" ht="20.100000000000001" customHeight="1">
      <c r="A267" s="21" t="s">
        <v>154</v>
      </c>
    </row>
    <row r="268" spans="1:1" ht="20.100000000000001" customHeight="1">
      <c r="A268" s="21" t="s">
        <v>155</v>
      </c>
    </row>
    <row r="269" spans="1:1" ht="20.100000000000001" customHeight="1">
      <c r="A269" s="21" t="s">
        <v>156</v>
      </c>
    </row>
    <row r="270" spans="1:1" ht="20.100000000000001" customHeight="1">
      <c r="A270" s="21" t="s">
        <v>157</v>
      </c>
    </row>
    <row r="271" spans="1:1" ht="20.100000000000001" customHeight="1">
      <c r="A271" s="26" t="s">
        <v>158</v>
      </c>
    </row>
    <row r="272" spans="1:1" ht="20.100000000000001" customHeight="1">
      <c r="A272" s="26" t="s">
        <v>159</v>
      </c>
    </row>
    <row r="273" spans="1:1" ht="20.100000000000001" customHeight="1">
      <c r="A273" s="21" t="s">
        <v>160</v>
      </c>
    </row>
    <row r="274" spans="1:1" ht="20.100000000000001" customHeight="1">
      <c r="A274" s="26" t="s">
        <v>161</v>
      </c>
    </row>
    <row r="275" spans="1:1" ht="20.100000000000001" customHeight="1">
      <c r="A275" s="26" t="s">
        <v>162</v>
      </c>
    </row>
    <row r="276" spans="1:1" ht="20.100000000000001" customHeight="1">
      <c r="A276" s="21" t="s">
        <v>163</v>
      </c>
    </row>
    <row r="277" spans="1:1" ht="20.100000000000001" customHeight="1">
      <c r="A277" s="21" t="s">
        <v>164</v>
      </c>
    </row>
    <row r="278" spans="1:1" ht="20.100000000000001" customHeight="1">
      <c r="A278" s="26" t="s">
        <v>165</v>
      </c>
    </row>
    <row r="279" spans="1:1" ht="20.100000000000001" customHeight="1">
      <c r="A279" s="21" t="s">
        <v>166</v>
      </c>
    </row>
    <row r="280" spans="1:1" ht="20.100000000000001" customHeight="1">
      <c r="A280" s="21" t="s">
        <v>167</v>
      </c>
    </row>
    <row r="281" spans="1:1" ht="20.100000000000001" customHeight="1">
      <c r="A281" s="21" t="s">
        <v>168</v>
      </c>
    </row>
    <row r="282" spans="1:1" ht="20.100000000000001" customHeight="1">
      <c r="A282" s="21" t="s">
        <v>169</v>
      </c>
    </row>
    <row r="283" spans="1:1" ht="20.100000000000001" customHeight="1">
      <c r="A283" s="26" t="s">
        <v>170</v>
      </c>
    </row>
    <row r="284" spans="1:1" ht="20.100000000000001" customHeight="1">
      <c r="A284" s="26" t="s">
        <v>171</v>
      </c>
    </row>
    <row r="285" spans="1:1" ht="20.100000000000001" customHeight="1">
      <c r="A285" s="26" t="s">
        <v>172</v>
      </c>
    </row>
    <row r="286" spans="1:1" ht="20.100000000000001" customHeight="1" thickBot="1">
      <c r="A286" s="21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2025-10-25T08:16:12Z</dcterms:modified>
</cp:coreProperties>
</file>