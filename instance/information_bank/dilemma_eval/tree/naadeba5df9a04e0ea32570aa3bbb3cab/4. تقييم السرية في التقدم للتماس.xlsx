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D686D901-0861-4E25-8682-0DF2C66C564E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التقييم'!$A$1:$J$57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20" i="2"/>
  <c r="H20" i="2" s="1"/>
  <c r="G21" i="2"/>
  <c r="H21" i="2" s="1"/>
  <c r="G22" i="2"/>
  <c r="H22" i="2" s="1"/>
  <c r="G23" i="2"/>
  <c r="H23" i="2" s="1"/>
  <c r="G26" i="2"/>
  <c r="H26" i="2" s="1"/>
  <c r="G27" i="2"/>
  <c r="H27" i="2" s="1"/>
  <c r="G28" i="2"/>
  <c r="H28" i="2" s="1"/>
  <c r="G30" i="2"/>
  <c r="H30" i="2" s="1"/>
  <c r="G31" i="2"/>
  <c r="H31" i="2" s="1"/>
  <c r="G32" i="2"/>
  <c r="H32" i="2" s="1"/>
  <c r="G33" i="2"/>
  <c r="H33" i="2" s="1"/>
  <c r="G34" i="2"/>
  <c r="H34" i="2" s="1"/>
  <c r="G37" i="2"/>
  <c r="H37" i="2" s="1"/>
  <c r="G38" i="2"/>
  <c r="H38" i="2" s="1"/>
  <c r="G39" i="2"/>
  <c r="H39" i="2" s="1"/>
  <c r="G40" i="2"/>
  <c r="H40" i="2" s="1"/>
  <c r="G41" i="2"/>
  <c r="H41" i="2" s="1"/>
  <c r="G43" i="2"/>
  <c r="H43" i="2" s="1"/>
  <c r="G44" i="2"/>
  <c r="H44" i="2" s="1"/>
  <c r="G45" i="2"/>
  <c r="H45" i="2" s="1"/>
  <c r="G46" i="2"/>
  <c r="H46" i="2" s="1"/>
  <c r="G48" i="2"/>
  <c r="H48" i="2" s="1"/>
  <c r="G49" i="2"/>
  <c r="H49" i="2" s="1"/>
  <c r="G50" i="2"/>
  <c r="H50" i="2" s="1"/>
  <c r="G51" i="2"/>
  <c r="H51" i="2" s="1"/>
  <c r="G52" i="2"/>
  <c r="H52" i="2" s="1"/>
  <c r="F53" i="2" l="1"/>
  <c r="E53" i="2" l="1"/>
  <c r="E54" i="2" l="1"/>
  <c r="E55" i="2" s="1"/>
</calcChain>
</file>

<file path=xl/sharedStrings.xml><?xml version="1.0" encoding="utf-8"?>
<sst xmlns="http://schemas.openxmlformats.org/spreadsheetml/2006/main" count="317" uniqueCount="226">
  <si>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</si>
  <si>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</si>
  <si>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</si>
  <si>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</si>
  <si>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</si>
  <si>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</si>
  <si>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</si>
  <si>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</si>
  <si>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</si>
  <si>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</si>
  <si>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</si>
  <si>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</si>
  <si>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</si>
  <si>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</si>
  <si>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</si>
  <si>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</si>
  <si>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</si>
  <si>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</si>
  <si>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</si>
  <si>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</si>
  <si>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</si>
  <si>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</si>
  <si>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</si>
  <si>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</si>
  <si>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</si>
  <si>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</si>
  <si>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</si>
  <si>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</si>
  <si>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</si>
  <si>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</si>
  <si>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</si>
  <si>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</si>
  <si>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</si>
  <si>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</si>
  <si>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</si>
  <si>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</si>
  <si>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</si>
  <si>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</si>
  <si>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</si>
  <si>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</si>
  <si>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</si>
  <si>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</si>
  <si>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</si>
  <si>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</si>
  <si>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</si>
  <si>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</si>
  <si>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</si>
  <si>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</si>
  <si>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</si>
  <si>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</si>
  <si>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</si>
  <si>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</si>
  <si>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</si>
  <si>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</si>
  <si>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</si>
  <si>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</si>
  <si>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</si>
  <si>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</si>
  <si>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</si>
  <si>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</si>
  <si>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</si>
  <si>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</si>
  <si>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</si>
  <si>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</si>
  <si>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</si>
  <si>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</si>
  <si>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</si>
  <si>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</si>
  <si>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</si>
  <si>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</si>
  <si>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</si>
  <si>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</si>
  <si>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</si>
  <si>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</si>
  <si>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</si>
  <si>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</si>
  <si>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</si>
  <si>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</si>
  <si>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</si>
  <si>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</si>
  <si>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</si>
  <si>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</si>
  <si>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</si>
  <si>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</si>
  <si>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</si>
  <si>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</si>
  <si>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</si>
  <si>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</si>
  <si>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</si>
  <si>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</si>
  <si>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</si>
  <si>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</si>
  <si>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</si>
  <si>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</si>
  <si>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</si>
  <si>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</si>
  <si>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</si>
  <si>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</si>
  <si>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</si>
  <si>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</si>
  <si>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</si>
  <si>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</si>
  <si>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</si>
  <si>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</si>
  <si>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</si>
  <si>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</si>
  <si>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</si>
  <si>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</si>
  <si>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</si>
  <si>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</si>
  <si>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</si>
  <si>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</si>
  <si>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</si>
  <si>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</si>
  <si>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</si>
  <si>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</si>
  <si>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</si>
  <si>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</si>
  <si>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</si>
  <si>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</si>
  <si>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</si>
  <si>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</si>
  <si>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</si>
  <si>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</si>
  <si>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</si>
  <si>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</si>
  <si>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</si>
  <si>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</si>
  <si>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</si>
  <si>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</si>
  <si>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</si>
  <si>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</si>
  <si>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</si>
  <si>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</si>
  <si>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</si>
  <si>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</si>
  <si>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</si>
  <si>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</si>
  <si>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</si>
  <si>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</si>
  <si>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</si>
  <si>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</si>
  <si>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</si>
  <si>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</si>
  <si>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</si>
  <si>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</si>
  <si>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</si>
  <si>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</si>
  <si>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</si>
  <si>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</si>
  <si>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</si>
  <si>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</si>
  <si>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</si>
  <si>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</si>
  <si>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</si>
  <si>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</si>
  <si>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</si>
  <si>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</si>
  <si>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</si>
  <si>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</si>
  <si>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</si>
  <si>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</si>
  <si>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</si>
  <si>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</si>
  <si>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</si>
  <si>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</si>
  <si>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</si>
  <si>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</si>
  <si>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</si>
  <si>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</si>
  <si>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</si>
  <si>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</si>
  <si>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</si>
  <si>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</si>
  <si>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</si>
  <si>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</si>
  <si>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</si>
  <si>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</si>
  <si>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</si>
  <si>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</si>
  <si>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التخطيط</t>
  </si>
  <si>
    <t>1.   تستلم السرية الأمر من المستوى الأعلى لتنفيذ التقدم للتماس وتقوم بما يلي:</t>
  </si>
  <si>
    <t>أ. البدء بالتخطيط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</si>
  <si>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ب. تنفيذ الاستطلاع من الخارطة.</t>
  </si>
  <si>
    <t>جـ.   إعداد وتطوير خطة المناورة لتشمل ما يلي:</t>
  </si>
  <si>
    <t>(2)  استخدام أحد الفصائل للعمل كقوة استطلاع إذا لم يكن هناك استطلاع تخصصي امام السرية.</t>
  </si>
  <si>
    <t>(3)  استخدام تشكيلة الحركة التي تُمكِّن من الانفتاح بسرعة والهجوم من أي اتجاه، وأن تكون الوحدات ضمن مسافات إسناد بعضها البعض لتسهيل رد الفعل.</t>
  </si>
  <si>
    <t xml:space="preserve">(4)  الحصول على التماس مع العدو بأصغر قوة ممكنة والمحافظة على حماية القوة لجميع الجهات. </t>
  </si>
  <si>
    <t>(5)  المحافظة على إمكانية حشد النيران بسرعة من أي اتجاه.</t>
  </si>
  <si>
    <t xml:space="preserve">د. مراجعة إجراءات السيطرة الموضوعة من قبل الكتيبة/ مجموعة القتال وإضافة أي إجراءات سيطرة ضرورية على مستوى السرية. </t>
  </si>
  <si>
    <t>هـ. تنسيق ومزامنة الوظائف القتالية التالية بناءً على متغيرات المهمة:</t>
  </si>
  <si>
    <t>(1) إسناد النيران غير المباشرة.</t>
  </si>
  <si>
    <t>(2) الإسناد الهندسي مع خطة المناورة.</t>
  </si>
  <si>
    <t>(3) الإسناد الإداري قبل وأثناء العملية.</t>
  </si>
  <si>
    <t>2.   إصدار أمر العمليات للوحدات المرؤوسة.</t>
  </si>
  <si>
    <t>إجراءات التحضير</t>
  </si>
  <si>
    <t>1.   تنفذ قيادة السرية الإجراءات التالية:</t>
  </si>
  <si>
    <t>أ. تنقيح الخطة بناءً على التحديث المستمر للمعلومات الاستخبارية.</t>
  </si>
  <si>
    <t>ب. تنفيذ تفقدات وتفتيشات ما قبل القتال.</t>
  </si>
  <si>
    <t>جـ. التنسيق مع الوحدات المجاورة حسب الحاجة.</t>
  </si>
  <si>
    <t>2.   إجراء التجارب على تنفيذ المهمة لتشمل ما يلي:</t>
  </si>
  <si>
    <t>أ. أسلوب الحركة والتشكيلات.</t>
  </si>
  <si>
    <t>ب. الإجراءات عند التماس.</t>
  </si>
  <si>
    <t>جـ.  التعامل مع الموانع.</t>
  </si>
  <si>
    <t>د. إجراءات التحول للهجوم عند التماس مع العدو.</t>
  </si>
  <si>
    <t>3.   توضيع القوات حسب دورها في الخطة استعداداً لبدء الحركة.</t>
  </si>
  <si>
    <t>إجراءات التنفيذ</t>
  </si>
  <si>
    <t>1.   الحركة من منطقة التجمع حسب أولوية الحركة والخطة الموضوعة:</t>
  </si>
  <si>
    <t>أ. بدء حركة العناصر الأمامية حسب التوقيتات المذكورة في أمر العمليات.</t>
  </si>
  <si>
    <t>ب. تحرك الجسم الرئيسي حسب خطة المناورة (التشكيلة وأسلوب الحركة والطرق).</t>
  </si>
  <si>
    <t>جـ. حركة عناصر الإسناد الناري حسب الخطة.</t>
  </si>
  <si>
    <t>د. حركة عناصر الإسناد الإداري.</t>
  </si>
  <si>
    <t>2.   إرسال المعلومات للمستوى الأعلى وحسب الأوامر التعبوية المستديمة .</t>
  </si>
  <si>
    <t>3.   تطبيق إجراءات العمل عند التماس مع العدو وكما يلي:</t>
  </si>
  <si>
    <t>أ. الرد على العدو.</t>
  </si>
  <si>
    <t>ب. إبلاغ المستوى الأعلى بحصول التماس.</t>
  </si>
  <si>
    <t>جـ. تطوير الموقف.</t>
  </si>
  <si>
    <t xml:space="preserve">د. ارسال تقرير مفصل بالموقف للمستوى الأعلى. </t>
  </si>
  <si>
    <t xml:space="preserve">(1) الهجوم السريع إذا كانت قوة العدو ضمن إمكانيات السرية . </t>
  </si>
  <si>
    <t>(2) الدفاع وتثبيت العدو إذا كانت قوة العدو خارج إمكانيات السرية وإسناد العمل الممكن الذي يقرره المستوى الأعلى .</t>
  </si>
  <si>
    <t>(3) تجاوز قوة العدو إذا كانت الأوامر تسمح بذلك، وإبلاغ المستوى الأعلى .</t>
  </si>
  <si>
    <t>و. تنفيذ المناورة المناسبة لتنفيذ العمل الممكن.</t>
  </si>
  <si>
    <t>4.   ارسال تقرير بالموقف.</t>
  </si>
  <si>
    <r>
      <rPr>
        <b/>
        <sz val="14"/>
        <color rgb="FF000000"/>
        <rFont val="Arial"/>
        <family val="2"/>
      </rPr>
      <t>تقييم سرية مشاة راجلة في التقدم للتماس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</si>
  <si>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(1)  التجميع للواجب بما يتلائم مع المهمة (حسب الواجب الرئيسي للسرية والذي قد يكون العمل كحرس مقدمة أو كجزء من الجسم الرئيسي أو احتياط للكتيبة/ مجموعة القتال).</t>
  </si>
  <si>
    <t>هـ. اتخاذ القرار للتعامل مع قوات العدو حسب الخيارات المتوفرة: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</si>
</sst>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15" xfId="0" applyFont="1" applyFill="1" applyBorder="1" applyAlignment="1">
      <alignment horizontal="right" vertical="center" wrapText="1" readingOrder="2"/>
    </xf>
    <xf numFmtId="0" fontId="13" fillId="6" borderId="3" xfId="0" applyFont="1" applyFill="1" applyBorder="1" applyAlignment="1">
      <alignment horizontal="right" vertical="center" wrapText="1" readingOrder="2"/>
    </xf>
    <xf numFmtId="0" fontId="13" fillId="6" borderId="15" xfId="0" applyFont="1" applyFill="1" applyBorder="1" applyAlignment="1">
      <alignment horizontal="right" vertical="center" wrapText="1" indent="2" readingOrder="2"/>
    </xf>
    <xf numFmtId="0" fontId="13" fillId="6" borderId="3" xfId="0" applyFont="1" applyFill="1" applyBorder="1" applyAlignment="1">
      <alignment horizontal="right" vertical="center" wrapText="1" indent="2" readingOrder="2"/>
    </xf>
    <xf numFmtId="0" fontId="13" fillId="6" borderId="15" xfId="0" applyFont="1" applyFill="1" applyBorder="1" applyAlignment="1">
      <alignment horizontal="right" vertical="center" wrapText="1" indent="4" readingOrder="2"/>
    </xf>
    <xf numFmtId="0" fontId="13" fillId="6" borderId="3" xfId="0" applyFont="1" applyFill="1" applyBorder="1" applyAlignment="1">
      <alignment horizontal="right" vertical="center" wrapText="1" indent="4" readingOrder="2"/>
    </xf>
    <xf numFmtId="0" fontId="6" fillId="5" borderId="5" xfId="0" applyFont="1" applyFill="1" applyBorder="1" applyAlignment="1">
      <alignment horizontal="right" vertical="center" wrapText="1" readingOrder="2"/>
    </xf>
    <xf numFmtId="0" fontId="6" fillId="5" borderId="4" xfId="0" applyFont="1" applyFill="1" applyBorder="1" applyAlignment="1">
      <alignment horizontal="right" vertical="center" wrapText="1" readingOrder="2"/>
    </xf>
    <xf numFmtId="0" fontId="6" fillId="5" borderId="6" xfId="0" applyFont="1" applyFill="1" applyBorder="1" applyAlignment="1">
      <alignment horizontal="right" vertical="center" wrapText="1" readingOrder="2"/>
    </xf>
    <xf numFmtId="0" fontId="13" fillId="6" borderId="11" xfId="0" applyFont="1" applyFill="1" applyBorder="1" applyAlignment="1">
      <alignment horizontal="right" vertical="center" wrapText="1" readingOrder="2"/>
    </xf>
    <xf numFmtId="0" fontId="13" fillId="6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7"/>
  <sheetViews>
    <sheetView rightToLeft="1" tabSelected="1" view="pageBreakPreview" zoomScale="130" zoomScaleNormal="100" zoomScaleSheetLayoutView="130" workbookViewId="0">
      <selection activeCell="B54" sqref="B54:D54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35" t="s">
        <v>223</v>
      </c>
      <c r="C1" s="35"/>
      <c r="D1" s="35"/>
      <c r="E1" s="35"/>
      <c r="F1" s="35"/>
      <c r="G1" s="35"/>
      <c r="H1" s="35"/>
      <c r="I1" s="35"/>
      <c r="J1" s="35"/>
    </row>
    <row r="2" spans="1:10" ht="30" customHeight="1" x14ac:dyDescent="0.2">
      <c r="B2" s="12" t="s">
        <v>8</v>
      </c>
      <c r="C2" s="41" t="s">
        <v>57</v>
      </c>
      <c r="D2" s="41"/>
      <c r="E2" s="12" t="s">
        <v>7</v>
      </c>
      <c r="F2" s="36" t="s">
        <v>56</v>
      </c>
      <c r="G2" s="36"/>
      <c r="H2" s="36"/>
      <c r="I2" s="36"/>
      <c r="J2" s="36"/>
    </row>
    <row r="3" spans="1:10" ht="30" customHeight="1" x14ac:dyDescent="0.2">
      <c r="B3" s="12" t="s">
        <v>9</v>
      </c>
      <c r="C3" s="41" t="s">
        <v>60</v>
      </c>
      <c r="D3" s="41"/>
      <c r="E3" s="12" t="s">
        <v>6</v>
      </c>
      <c r="F3" s="41" t="s">
        <v>59</v>
      </c>
      <c r="G3" s="41"/>
      <c r="H3" s="41"/>
      <c r="I3" s="41"/>
      <c r="J3" s="4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37" t="s">
        <v>0</v>
      </c>
      <c r="C5" s="38"/>
      <c r="D5" s="38"/>
      <c r="E5" s="48" t="s">
        <v>1</v>
      </c>
      <c r="F5" s="48"/>
      <c r="G5" s="48"/>
      <c r="H5" s="48"/>
      <c r="I5" s="48" t="s">
        <v>2</v>
      </c>
      <c r="J5" s="49"/>
    </row>
    <row r="6" spans="1:10" ht="24.95" customHeight="1" thickBot="1" x14ac:dyDescent="0.25">
      <c r="A6" s="10"/>
      <c r="B6" s="39"/>
      <c r="C6" s="40"/>
      <c r="D6" s="40"/>
      <c r="E6" s="11" t="s">
        <v>3</v>
      </c>
      <c r="F6" s="11" t="s">
        <v>4</v>
      </c>
      <c r="G6" s="11" t="s">
        <v>23</v>
      </c>
      <c r="H6" s="11" t="s">
        <v>24</v>
      </c>
      <c r="I6" s="50"/>
      <c r="J6" s="51"/>
    </row>
    <row r="7" spans="1:10" ht="24.95" customHeight="1" thickBot="1" x14ac:dyDescent="0.25">
      <c r="A7" s="10"/>
      <c r="B7" s="44" t="s">
        <v>21</v>
      </c>
      <c r="C7" s="45"/>
      <c r="D7" s="45"/>
      <c r="E7" s="28" t="s">
        <v>18</v>
      </c>
      <c r="F7" s="28" t="s">
        <v>19</v>
      </c>
      <c r="G7" s="28" t="s">
        <v>22</v>
      </c>
      <c r="H7" s="28" t="s">
        <v>20</v>
      </c>
      <c r="I7" s="52" t="s">
        <v>25</v>
      </c>
      <c r="J7" s="53"/>
    </row>
    <row r="8" spans="1:10" ht="30" customHeight="1" x14ac:dyDescent="0.2">
      <c r="A8" s="10"/>
      <c r="B8" s="77" t="s">
        <v>180</v>
      </c>
      <c r="C8" s="78"/>
      <c r="D8" s="78"/>
      <c r="E8" s="78"/>
      <c r="F8" s="78"/>
      <c r="G8" s="78"/>
      <c r="H8" s="78"/>
      <c r="I8" s="78"/>
      <c r="J8" s="79"/>
    </row>
    <row r="9" spans="1:10" ht="39.950000000000003" customHeight="1" x14ac:dyDescent="0.2">
      <c r="A9" s="10"/>
      <c r="B9" s="71" t="s">
        <v>181</v>
      </c>
      <c r="C9" s="72"/>
      <c r="D9" s="72"/>
      <c r="E9" s="9"/>
      <c r="F9" s="26"/>
      <c r="G9" s="30"/>
      <c r="H9" s="31"/>
      <c r="I9" s="46"/>
      <c r="J9" s="47"/>
    </row>
    <row r="10" spans="1:10" ht="72" customHeight="1" x14ac:dyDescent="0.2">
      <c r="A10" s="10"/>
      <c r="B10" s="73" t="s">
        <v>182</v>
      </c>
      <c r="C10" s="74"/>
      <c r="D10" s="74"/>
      <c r="E10" s="9">
        <v>5</v>
      </c>
      <c r="F10" s="26" t="s">
        <v>61</v>
      </c>
      <c r="G10" s="30" t="str">
        <f t="shared" ref="G10:G52" si="0">IFERROR(F10/E10,"")</f>
        <v/>
      </c>
      <c r="H10" s="31" t="str">
        <f t="shared" ref="H10:H52" si="1">_xlfn.IFS(F10="أدخل العلامة","",F10="لا ينطبق","تم الإلغاء",G10&gt;=90%,"ممتاز",G10&gt;=80%,"جيد جداً",G10&gt;=70%,"جيد",G10&gt;=60%,"مقبول",G10&lt;60%,"راسب")</f>
        <v/>
      </c>
      <c r="I10" s="46"/>
      <c r="J10" s="47"/>
    </row>
    <row r="11" spans="1:10" ht="30" customHeight="1" x14ac:dyDescent="0.2">
      <c r="A11" s="10"/>
      <c r="B11" s="73" t="s">
        <v>183</v>
      </c>
      <c r="C11" s="74"/>
      <c r="D11" s="74"/>
      <c r="E11" s="9">
        <v>5</v>
      </c>
      <c r="F11" s="26" t="s">
        <v>61</v>
      </c>
      <c r="G11" s="30" t="str">
        <f t="shared" si="0"/>
        <v/>
      </c>
      <c r="H11" s="31" t="str">
        <f t="shared" si="1"/>
        <v/>
      </c>
      <c r="I11" s="46"/>
      <c r="J11" s="47"/>
    </row>
    <row r="12" spans="1:10" ht="30" customHeight="1" x14ac:dyDescent="0.2">
      <c r="A12" s="10"/>
      <c r="B12" s="73" t="s">
        <v>184</v>
      </c>
      <c r="C12" s="74"/>
      <c r="D12" s="74"/>
      <c r="E12" s="9"/>
      <c r="F12" s="26"/>
      <c r="G12" s="30"/>
      <c r="H12" s="31"/>
      <c r="I12" s="46"/>
      <c r="J12" s="47"/>
    </row>
    <row r="13" spans="1:10" ht="75" customHeight="1" x14ac:dyDescent="0.2">
      <c r="A13" s="10"/>
      <c r="B13" s="75" t="s">
        <v>224</v>
      </c>
      <c r="C13" s="76"/>
      <c r="D13" s="76"/>
      <c r="E13" s="9">
        <v>5</v>
      </c>
      <c r="F13" s="26" t="s">
        <v>61</v>
      </c>
      <c r="G13" s="30" t="str">
        <f t="shared" si="0"/>
        <v/>
      </c>
      <c r="H13" s="31" t="str">
        <f t="shared" si="1"/>
        <v/>
      </c>
      <c r="I13" s="46"/>
      <c r="J13" s="47"/>
    </row>
    <row r="14" spans="1:10" ht="39.950000000000003" customHeight="1" x14ac:dyDescent="0.2">
      <c r="A14" s="10"/>
      <c r="B14" s="75" t="s">
        <v>185</v>
      </c>
      <c r="C14" s="76"/>
      <c r="D14" s="76"/>
      <c r="E14" s="9">
        <v>5</v>
      </c>
      <c r="F14" s="26" t="s">
        <v>61</v>
      </c>
      <c r="G14" s="30" t="str">
        <f t="shared" si="0"/>
        <v/>
      </c>
      <c r="H14" s="31" t="str">
        <f t="shared" si="1"/>
        <v/>
      </c>
      <c r="I14" s="46"/>
      <c r="J14" s="47"/>
    </row>
    <row r="15" spans="1:10" ht="62.25" customHeight="1" x14ac:dyDescent="0.2">
      <c r="A15" s="10"/>
      <c r="B15" s="75" t="s">
        <v>186</v>
      </c>
      <c r="C15" s="76"/>
      <c r="D15" s="76"/>
      <c r="E15" s="9">
        <v>5</v>
      </c>
      <c r="F15" s="26" t="s">
        <v>61</v>
      </c>
      <c r="G15" s="30" t="str">
        <f t="shared" si="0"/>
        <v/>
      </c>
      <c r="H15" s="31" t="str">
        <f t="shared" si="1"/>
        <v/>
      </c>
      <c r="I15" s="46"/>
      <c r="J15" s="47"/>
    </row>
    <row r="16" spans="1:10" ht="39.950000000000003" customHeight="1" x14ac:dyDescent="0.2">
      <c r="A16" s="10"/>
      <c r="B16" s="75" t="s">
        <v>187</v>
      </c>
      <c r="C16" s="76"/>
      <c r="D16" s="76"/>
      <c r="E16" s="9">
        <v>5</v>
      </c>
      <c r="F16" s="26" t="s">
        <v>61</v>
      </c>
      <c r="G16" s="30" t="str">
        <f t="shared" si="0"/>
        <v/>
      </c>
      <c r="H16" s="31" t="str">
        <f t="shared" si="1"/>
        <v/>
      </c>
      <c r="I16" s="46"/>
      <c r="J16" s="47"/>
    </row>
    <row r="17" spans="1:10" ht="39.950000000000003" customHeight="1" x14ac:dyDescent="0.2">
      <c r="A17" s="10"/>
      <c r="B17" s="75" t="s">
        <v>188</v>
      </c>
      <c r="C17" s="76"/>
      <c r="D17" s="76"/>
      <c r="E17" s="9">
        <v>5</v>
      </c>
      <c r="F17" s="26" t="s">
        <v>61</v>
      </c>
      <c r="G17" s="30" t="str">
        <f t="shared" si="0"/>
        <v/>
      </c>
      <c r="H17" s="31" t="str">
        <f t="shared" si="1"/>
        <v/>
      </c>
      <c r="I17" s="46"/>
      <c r="J17" s="47"/>
    </row>
    <row r="18" spans="1:10" ht="62.25" customHeight="1" x14ac:dyDescent="0.2">
      <c r="A18" s="10"/>
      <c r="B18" s="73" t="s">
        <v>189</v>
      </c>
      <c r="C18" s="74"/>
      <c r="D18" s="74"/>
      <c r="E18" s="9">
        <v>5</v>
      </c>
      <c r="F18" s="26" t="s">
        <v>61</v>
      </c>
      <c r="G18" s="30" t="str">
        <f t="shared" si="0"/>
        <v/>
      </c>
      <c r="H18" s="31" t="str">
        <f t="shared" si="1"/>
        <v/>
      </c>
      <c r="I18" s="46"/>
      <c r="J18" s="47"/>
    </row>
    <row r="19" spans="1:10" ht="39.950000000000003" customHeight="1" x14ac:dyDescent="0.2">
      <c r="A19" s="10"/>
      <c r="B19" s="73" t="s">
        <v>190</v>
      </c>
      <c r="C19" s="74"/>
      <c r="D19" s="74"/>
      <c r="E19" s="9"/>
      <c r="F19" s="26"/>
      <c r="G19" s="30"/>
      <c r="H19" s="31"/>
      <c r="I19" s="46"/>
      <c r="J19" s="47"/>
    </row>
    <row r="20" spans="1:10" ht="30" customHeight="1" x14ac:dyDescent="0.2">
      <c r="A20" s="10"/>
      <c r="B20" s="75" t="s">
        <v>191</v>
      </c>
      <c r="C20" s="76"/>
      <c r="D20" s="76"/>
      <c r="E20" s="9">
        <v>5</v>
      </c>
      <c r="F20" s="26" t="s">
        <v>61</v>
      </c>
      <c r="G20" s="30" t="str">
        <f t="shared" si="0"/>
        <v/>
      </c>
      <c r="H20" s="31" t="str">
        <f t="shared" si="1"/>
        <v/>
      </c>
      <c r="I20" s="46"/>
      <c r="J20" s="47"/>
    </row>
    <row r="21" spans="1:10" ht="30" customHeight="1" x14ac:dyDescent="0.2">
      <c r="A21" s="10"/>
      <c r="B21" s="75" t="s">
        <v>192</v>
      </c>
      <c r="C21" s="76"/>
      <c r="D21" s="76"/>
      <c r="E21" s="9">
        <v>5</v>
      </c>
      <c r="F21" s="26" t="s">
        <v>61</v>
      </c>
      <c r="G21" s="30" t="str">
        <f t="shared" si="0"/>
        <v/>
      </c>
      <c r="H21" s="31" t="str">
        <f t="shared" si="1"/>
        <v/>
      </c>
      <c r="I21" s="46"/>
      <c r="J21" s="47"/>
    </row>
    <row r="22" spans="1:10" ht="30" customHeight="1" x14ac:dyDescent="0.2">
      <c r="A22" s="10"/>
      <c r="B22" s="75" t="s">
        <v>193</v>
      </c>
      <c r="C22" s="76"/>
      <c r="D22" s="76"/>
      <c r="E22" s="9">
        <v>5</v>
      </c>
      <c r="F22" s="26" t="s">
        <v>61</v>
      </c>
      <c r="G22" s="30" t="str">
        <f t="shared" si="0"/>
        <v/>
      </c>
      <c r="H22" s="31" t="str">
        <f t="shared" si="1"/>
        <v/>
      </c>
      <c r="I22" s="46"/>
      <c r="J22" s="47"/>
    </row>
    <row r="23" spans="1:10" ht="30" customHeight="1" thickBot="1" x14ac:dyDescent="0.25">
      <c r="A23" s="10"/>
      <c r="B23" s="80" t="s">
        <v>194</v>
      </c>
      <c r="C23" s="81"/>
      <c r="D23" s="81"/>
      <c r="E23" s="32">
        <v>5</v>
      </c>
      <c r="F23" s="27" t="s">
        <v>61</v>
      </c>
      <c r="G23" s="33" t="str">
        <f t="shared" si="0"/>
        <v/>
      </c>
      <c r="H23" s="34" t="str">
        <f t="shared" si="1"/>
        <v/>
      </c>
      <c r="I23" s="54"/>
      <c r="J23" s="55"/>
    </row>
    <row r="24" spans="1:10" ht="30" customHeight="1" x14ac:dyDescent="0.2">
      <c r="A24" s="10"/>
      <c r="B24" s="77" t="s">
        <v>195</v>
      </c>
      <c r="C24" s="78"/>
      <c r="D24" s="78"/>
      <c r="E24" s="78"/>
      <c r="F24" s="78"/>
      <c r="G24" s="78"/>
      <c r="H24" s="78"/>
      <c r="I24" s="78"/>
      <c r="J24" s="79"/>
    </row>
    <row r="25" spans="1:10" ht="30" customHeight="1" x14ac:dyDescent="0.2">
      <c r="A25" s="10"/>
      <c r="B25" s="71" t="s">
        <v>196</v>
      </c>
      <c r="C25" s="72"/>
      <c r="D25" s="72"/>
      <c r="E25" s="9"/>
      <c r="F25" s="26"/>
      <c r="G25" s="30"/>
      <c r="H25" s="31"/>
      <c r="I25" s="46"/>
      <c r="J25" s="47"/>
    </row>
    <row r="26" spans="1:10" ht="39.950000000000003" customHeight="1" x14ac:dyDescent="0.2">
      <c r="A26" s="10"/>
      <c r="B26" s="73" t="s">
        <v>197</v>
      </c>
      <c r="C26" s="74"/>
      <c r="D26" s="74"/>
      <c r="E26" s="9">
        <v>5</v>
      </c>
      <c r="F26" s="26" t="s">
        <v>61</v>
      </c>
      <c r="G26" s="30" t="str">
        <f t="shared" si="0"/>
        <v/>
      </c>
      <c r="H26" s="31" t="str">
        <f t="shared" si="1"/>
        <v/>
      </c>
      <c r="I26" s="46"/>
      <c r="J26" s="47"/>
    </row>
    <row r="27" spans="1:10" ht="30" customHeight="1" x14ac:dyDescent="0.2">
      <c r="A27" s="10"/>
      <c r="B27" s="73" t="s">
        <v>198</v>
      </c>
      <c r="C27" s="74"/>
      <c r="D27" s="74"/>
      <c r="E27" s="9">
        <v>5</v>
      </c>
      <c r="F27" s="26" t="s">
        <v>61</v>
      </c>
      <c r="G27" s="30" t="str">
        <f t="shared" si="0"/>
        <v/>
      </c>
      <c r="H27" s="31" t="str">
        <f t="shared" si="1"/>
        <v/>
      </c>
      <c r="I27" s="46"/>
      <c r="J27" s="47"/>
    </row>
    <row r="28" spans="1:10" ht="30" customHeight="1" x14ac:dyDescent="0.2">
      <c r="A28" s="10"/>
      <c r="B28" s="73" t="s">
        <v>199</v>
      </c>
      <c r="C28" s="74"/>
      <c r="D28" s="74"/>
      <c r="E28" s="9">
        <v>5</v>
      </c>
      <c r="F28" s="26" t="s">
        <v>61</v>
      </c>
      <c r="G28" s="30" t="str">
        <f t="shared" si="0"/>
        <v/>
      </c>
      <c r="H28" s="31" t="str">
        <f t="shared" si="1"/>
        <v/>
      </c>
      <c r="I28" s="46"/>
      <c r="J28" s="47"/>
    </row>
    <row r="29" spans="1:10" ht="30" customHeight="1" x14ac:dyDescent="0.2">
      <c r="A29" s="10"/>
      <c r="B29" s="71" t="s">
        <v>200</v>
      </c>
      <c r="C29" s="72"/>
      <c r="D29" s="72"/>
      <c r="E29" s="9"/>
      <c r="F29" s="26"/>
      <c r="G29" s="30"/>
      <c r="H29" s="31"/>
      <c r="I29" s="46"/>
      <c r="J29" s="47"/>
    </row>
    <row r="30" spans="1:10" ht="30" customHeight="1" x14ac:dyDescent="0.2">
      <c r="A30" s="10"/>
      <c r="B30" s="73" t="s">
        <v>201</v>
      </c>
      <c r="C30" s="74"/>
      <c r="D30" s="74"/>
      <c r="E30" s="9">
        <v>5</v>
      </c>
      <c r="F30" s="26" t="s">
        <v>61</v>
      </c>
      <c r="G30" s="30" t="str">
        <f t="shared" si="0"/>
        <v/>
      </c>
      <c r="H30" s="31" t="str">
        <f t="shared" si="1"/>
        <v/>
      </c>
      <c r="I30" s="46"/>
      <c r="J30" s="47"/>
    </row>
    <row r="31" spans="1:10" ht="30" customHeight="1" x14ac:dyDescent="0.2">
      <c r="A31" s="10"/>
      <c r="B31" s="73" t="s">
        <v>202</v>
      </c>
      <c r="C31" s="74"/>
      <c r="D31" s="74"/>
      <c r="E31" s="9">
        <v>5</v>
      </c>
      <c r="F31" s="26" t="s">
        <v>61</v>
      </c>
      <c r="G31" s="30" t="str">
        <f t="shared" si="0"/>
        <v/>
      </c>
      <c r="H31" s="31" t="str">
        <f t="shared" si="1"/>
        <v/>
      </c>
      <c r="I31" s="46"/>
      <c r="J31" s="47"/>
    </row>
    <row r="32" spans="1:10" ht="30" customHeight="1" x14ac:dyDescent="0.2">
      <c r="A32" s="10"/>
      <c r="B32" s="73" t="s">
        <v>203</v>
      </c>
      <c r="C32" s="74"/>
      <c r="D32" s="74"/>
      <c r="E32" s="9">
        <v>5</v>
      </c>
      <c r="F32" s="26" t="s">
        <v>61</v>
      </c>
      <c r="G32" s="30" t="str">
        <f t="shared" si="0"/>
        <v/>
      </c>
      <c r="H32" s="31" t="str">
        <f t="shared" si="1"/>
        <v/>
      </c>
      <c r="I32" s="46"/>
      <c r="J32" s="47"/>
    </row>
    <row r="33" spans="1:10" ht="30" customHeight="1" x14ac:dyDescent="0.2">
      <c r="A33" s="10"/>
      <c r="B33" s="73" t="s">
        <v>204</v>
      </c>
      <c r="C33" s="74"/>
      <c r="D33" s="74"/>
      <c r="E33" s="9">
        <v>5</v>
      </c>
      <c r="F33" s="26" t="s">
        <v>61</v>
      </c>
      <c r="G33" s="30" t="str">
        <f t="shared" si="0"/>
        <v/>
      </c>
      <c r="H33" s="31" t="str">
        <f t="shared" si="1"/>
        <v/>
      </c>
      <c r="I33" s="46"/>
      <c r="J33" s="47"/>
    </row>
    <row r="34" spans="1:10" ht="30" customHeight="1" thickBot="1" x14ac:dyDescent="0.25">
      <c r="A34" s="10"/>
      <c r="B34" s="80" t="s">
        <v>205</v>
      </c>
      <c r="C34" s="81"/>
      <c r="D34" s="81"/>
      <c r="E34" s="32">
        <v>5</v>
      </c>
      <c r="F34" s="27" t="s">
        <v>61</v>
      </c>
      <c r="G34" s="33" t="str">
        <f t="shared" si="0"/>
        <v/>
      </c>
      <c r="H34" s="34" t="str">
        <f t="shared" si="1"/>
        <v/>
      </c>
      <c r="I34" s="54"/>
      <c r="J34" s="55"/>
    </row>
    <row r="35" spans="1:10" ht="30" customHeight="1" x14ac:dyDescent="0.2">
      <c r="A35" s="10"/>
      <c r="B35" s="77" t="s">
        <v>206</v>
      </c>
      <c r="C35" s="78"/>
      <c r="D35" s="78"/>
      <c r="E35" s="78"/>
      <c r="F35" s="78"/>
      <c r="G35" s="78"/>
      <c r="H35" s="78"/>
      <c r="I35" s="78"/>
      <c r="J35" s="79"/>
    </row>
    <row r="36" spans="1:10" ht="39.950000000000003" customHeight="1" x14ac:dyDescent="0.2">
      <c r="A36" s="10"/>
      <c r="B36" s="71" t="s">
        <v>207</v>
      </c>
      <c r="C36" s="72"/>
      <c r="D36" s="72"/>
      <c r="E36" s="9"/>
      <c r="F36" s="26"/>
      <c r="G36" s="30"/>
      <c r="H36" s="31"/>
      <c r="I36" s="46"/>
      <c r="J36" s="47"/>
    </row>
    <row r="37" spans="1:10" ht="39.950000000000003" customHeight="1" x14ac:dyDescent="0.2">
      <c r="A37" s="10"/>
      <c r="B37" s="73" t="s">
        <v>208</v>
      </c>
      <c r="C37" s="74"/>
      <c r="D37" s="74"/>
      <c r="E37" s="9">
        <v>5</v>
      </c>
      <c r="F37" s="26" t="s">
        <v>61</v>
      </c>
      <c r="G37" s="30" t="str">
        <f t="shared" si="0"/>
        <v/>
      </c>
      <c r="H37" s="31" t="str">
        <f t="shared" si="1"/>
        <v/>
      </c>
      <c r="I37" s="46"/>
      <c r="J37" s="47"/>
    </row>
    <row r="38" spans="1:10" ht="39.950000000000003" customHeight="1" x14ac:dyDescent="0.2">
      <c r="A38" s="10"/>
      <c r="B38" s="73" t="s">
        <v>209</v>
      </c>
      <c r="C38" s="74"/>
      <c r="D38" s="74"/>
      <c r="E38" s="9">
        <v>5</v>
      </c>
      <c r="F38" s="26" t="s">
        <v>61</v>
      </c>
      <c r="G38" s="30" t="str">
        <f t="shared" si="0"/>
        <v/>
      </c>
      <c r="H38" s="31" t="str">
        <f t="shared" si="1"/>
        <v/>
      </c>
      <c r="I38" s="46"/>
      <c r="J38" s="47"/>
    </row>
    <row r="39" spans="1:10" ht="30" customHeight="1" x14ac:dyDescent="0.2">
      <c r="A39" s="10"/>
      <c r="B39" s="73" t="s">
        <v>210</v>
      </c>
      <c r="C39" s="74"/>
      <c r="D39" s="74"/>
      <c r="E39" s="9">
        <v>5</v>
      </c>
      <c r="F39" s="26" t="s">
        <v>61</v>
      </c>
      <c r="G39" s="30" t="str">
        <f t="shared" si="0"/>
        <v/>
      </c>
      <c r="H39" s="31" t="str">
        <f t="shared" si="1"/>
        <v/>
      </c>
      <c r="I39" s="46"/>
      <c r="J39" s="47"/>
    </row>
    <row r="40" spans="1:10" ht="30" customHeight="1" x14ac:dyDescent="0.2">
      <c r="A40" s="10"/>
      <c r="B40" s="73" t="s">
        <v>211</v>
      </c>
      <c r="C40" s="74"/>
      <c r="D40" s="74"/>
      <c r="E40" s="9">
        <v>5</v>
      </c>
      <c r="F40" s="26" t="s">
        <v>61</v>
      </c>
      <c r="G40" s="30" t="str">
        <f t="shared" si="0"/>
        <v/>
      </c>
      <c r="H40" s="31" t="str">
        <f t="shared" si="1"/>
        <v/>
      </c>
      <c r="I40" s="46"/>
      <c r="J40" s="47"/>
    </row>
    <row r="41" spans="1:10" ht="39.950000000000003" customHeight="1" x14ac:dyDescent="0.2">
      <c r="A41" s="10"/>
      <c r="B41" s="71" t="s">
        <v>212</v>
      </c>
      <c r="C41" s="72"/>
      <c r="D41" s="72"/>
      <c r="E41" s="9">
        <v>5</v>
      </c>
      <c r="F41" s="26" t="s">
        <v>61</v>
      </c>
      <c r="G41" s="30" t="str">
        <f t="shared" si="0"/>
        <v/>
      </c>
      <c r="H41" s="31" t="str">
        <f t="shared" si="1"/>
        <v/>
      </c>
      <c r="I41" s="46"/>
      <c r="J41" s="47"/>
    </row>
    <row r="42" spans="1:10" ht="30" customHeight="1" x14ac:dyDescent="0.2">
      <c r="A42" s="10"/>
      <c r="B42" s="71" t="s">
        <v>213</v>
      </c>
      <c r="C42" s="72"/>
      <c r="D42" s="72"/>
      <c r="E42" s="9"/>
      <c r="F42" s="26"/>
      <c r="G42" s="30"/>
      <c r="H42" s="31"/>
      <c r="I42" s="46"/>
      <c r="J42" s="47"/>
    </row>
    <row r="43" spans="1:10" ht="30" customHeight="1" x14ac:dyDescent="0.2">
      <c r="A43" s="10"/>
      <c r="B43" s="73" t="s">
        <v>214</v>
      </c>
      <c r="C43" s="74"/>
      <c r="D43" s="74"/>
      <c r="E43" s="9">
        <v>5</v>
      </c>
      <c r="F43" s="26" t="s">
        <v>61</v>
      </c>
      <c r="G43" s="30" t="str">
        <f t="shared" si="0"/>
        <v/>
      </c>
      <c r="H43" s="31" t="str">
        <f t="shared" si="1"/>
        <v/>
      </c>
      <c r="I43" s="46"/>
      <c r="J43" s="47"/>
    </row>
    <row r="44" spans="1:10" ht="30" customHeight="1" x14ac:dyDescent="0.2">
      <c r="A44" s="10"/>
      <c r="B44" s="73" t="s">
        <v>215</v>
      </c>
      <c r="C44" s="74"/>
      <c r="D44" s="74"/>
      <c r="E44" s="9">
        <v>5</v>
      </c>
      <c r="F44" s="26" t="s">
        <v>61</v>
      </c>
      <c r="G44" s="30" t="str">
        <f t="shared" si="0"/>
        <v/>
      </c>
      <c r="H44" s="31" t="str">
        <f t="shared" si="1"/>
        <v/>
      </c>
      <c r="I44" s="46"/>
      <c r="J44" s="47"/>
    </row>
    <row r="45" spans="1:10" ht="30" customHeight="1" x14ac:dyDescent="0.2">
      <c r="A45" s="10"/>
      <c r="B45" s="73" t="s">
        <v>216</v>
      </c>
      <c r="C45" s="74"/>
      <c r="D45" s="74"/>
      <c r="E45" s="9">
        <v>5</v>
      </c>
      <c r="F45" s="26" t="s">
        <v>61</v>
      </c>
      <c r="G45" s="30" t="str">
        <f t="shared" si="0"/>
        <v/>
      </c>
      <c r="H45" s="31" t="str">
        <f t="shared" si="1"/>
        <v/>
      </c>
      <c r="I45" s="46"/>
      <c r="J45" s="47"/>
    </row>
    <row r="46" spans="1:10" ht="30" customHeight="1" x14ac:dyDescent="0.2">
      <c r="A46" s="10"/>
      <c r="B46" s="73" t="s">
        <v>217</v>
      </c>
      <c r="C46" s="74"/>
      <c r="D46" s="74"/>
      <c r="E46" s="9">
        <v>5</v>
      </c>
      <c r="F46" s="26" t="s">
        <v>61</v>
      </c>
      <c r="G46" s="30" t="str">
        <f t="shared" si="0"/>
        <v/>
      </c>
      <c r="H46" s="31" t="str">
        <f t="shared" si="1"/>
        <v/>
      </c>
      <c r="I46" s="46"/>
      <c r="J46" s="47"/>
    </row>
    <row r="47" spans="1:10" ht="39.950000000000003" customHeight="1" x14ac:dyDescent="0.2">
      <c r="A47" s="10"/>
      <c r="B47" s="73" t="s">
        <v>225</v>
      </c>
      <c r="C47" s="74"/>
      <c r="D47" s="74"/>
      <c r="E47" s="9"/>
      <c r="F47" s="26"/>
      <c r="G47" s="30"/>
      <c r="H47" s="31"/>
      <c r="I47" s="46"/>
      <c r="J47" s="47"/>
    </row>
    <row r="48" spans="1:10" ht="39.950000000000003" customHeight="1" x14ac:dyDescent="0.2">
      <c r="A48" s="10"/>
      <c r="B48" s="75" t="s">
        <v>218</v>
      </c>
      <c r="C48" s="76"/>
      <c r="D48" s="76"/>
      <c r="E48" s="9">
        <v>5</v>
      </c>
      <c r="F48" s="26" t="s">
        <v>61</v>
      </c>
      <c r="G48" s="30" t="str">
        <f t="shared" si="0"/>
        <v/>
      </c>
      <c r="H48" s="31" t="str">
        <f t="shared" si="1"/>
        <v/>
      </c>
      <c r="I48" s="46"/>
      <c r="J48" s="47"/>
    </row>
    <row r="49" spans="1:10" ht="60" customHeight="1" x14ac:dyDescent="0.2">
      <c r="A49" s="10"/>
      <c r="B49" s="75" t="s">
        <v>219</v>
      </c>
      <c r="C49" s="76"/>
      <c r="D49" s="76"/>
      <c r="E49" s="9">
        <v>5</v>
      </c>
      <c r="F49" s="26" t="s">
        <v>61</v>
      </c>
      <c r="G49" s="30" t="str">
        <f t="shared" si="0"/>
        <v/>
      </c>
      <c r="H49" s="31" t="str">
        <f t="shared" si="1"/>
        <v/>
      </c>
      <c r="I49" s="46"/>
      <c r="J49" s="47"/>
    </row>
    <row r="50" spans="1:10" ht="39.950000000000003" customHeight="1" x14ac:dyDescent="0.2">
      <c r="A50" s="10"/>
      <c r="B50" s="75" t="s">
        <v>220</v>
      </c>
      <c r="C50" s="76"/>
      <c r="D50" s="76"/>
      <c r="E50" s="9">
        <v>5</v>
      </c>
      <c r="F50" s="26" t="s">
        <v>61</v>
      </c>
      <c r="G50" s="30" t="str">
        <f t="shared" si="0"/>
        <v/>
      </c>
      <c r="H50" s="31" t="str">
        <f t="shared" si="1"/>
        <v/>
      </c>
      <c r="I50" s="46"/>
      <c r="J50" s="47"/>
    </row>
    <row r="51" spans="1:10" ht="30" customHeight="1" x14ac:dyDescent="0.2">
      <c r="A51" s="10"/>
      <c r="B51" s="73" t="s">
        <v>221</v>
      </c>
      <c r="C51" s="74"/>
      <c r="D51" s="74"/>
      <c r="E51" s="9">
        <v>5</v>
      </c>
      <c r="F51" s="26" t="s">
        <v>61</v>
      </c>
      <c r="G51" s="30" t="str">
        <f t="shared" si="0"/>
        <v/>
      </c>
      <c r="H51" s="31" t="str">
        <f t="shared" si="1"/>
        <v/>
      </c>
      <c r="I51" s="46"/>
      <c r="J51" s="47"/>
    </row>
    <row r="52" spans="1:10" ht="30" customHeight="1" thickBot="1" x14ac:dyDescent="0.25">
      <c r="A52" s="10"/>
      <c r="B52" s="80" t="s">
        <v>222</v>
      </c>
      <c r="C52" s="81"/>
      <c r="D52" s="81"/>
      <c r="E52" s="32">
        <v>5</v>
      </c>
      <c r="F52" s="27" t="s">
        <v>61</v>
      </c>
      <c r="G52" s="33" t="str">
        <f t="shared" si="0"/>
        <v/>
      </c>
      <c r="H52" s="34" t="str">
        <f t="shared" si="1"/>
        <v/>
      </c>
      <c r="I52" s="54"/>
      <c r="J52" s="55"/>
    </row>
    <row r="53" spans="1:10" ht="30" customHeight="1" thickBot="1" x14ac:dyDescent="0.25">
      <c r="A53" s="4"/>
      <c r="B53" s="67" t="s">
        <v>5</v>
      </c>
      <c r="C53" s="68"/>
      <c r="D53" s="68"/>
      <c r="E53" s="29">
        <f>SUM(E8:E52)</f>
        <v>170</v>
      </c>
      <c r="F53" s="29">
        <f>SUM(F8:F52)</f>
        <v>0</v>
      </c>
      <c r="G53" s="64"/>
      <c r="H53" s="65"/>
      <c r="I53" s="65"/>
      <c r="J53" s="66"/>
    </row>
    <row r="54" spans="1:10" ht="30" customHeight="1" thickBot="1" x14ac:dyDescent="0.25">
      <c r="A54" s="4"/>
      <c r="B54" s="69" t="s">
        <v>54</v>
      </c>
      <c r="C54" s="70"/>
      <c r="D54" s="70"/>
      <c r="E54" s="42">
        <f>F53/E53/100*100</f>
        <v>0</v>
      </c>
      <c r="F54" s="42"/>
      <c r="G54" s="42"/>
      <c r="H54" s="42"/>
      <c r="I54" s="42"/>
      <c r="J54" s="43"/>
    </row>
    <row r="55" spans="1:10" ht="30" customHeight="1" thickBot="1" x14ac:dyDescent="0.25">
      <c r="A55" s="4"/>
      <c r="B55" s="69" t="s">
        <v>55</v>
      </c>
      <c r="C55" s="70"/>
      <c r="D55" s="70"/>
      <c r="E55" s="60" t="str">
        <f>_xlfn.IFS(E54&gt;=90%,"ممتاز",E54&gt;=80%,"جيد جداً",E54&gt;=70%,"جيد",E54&gt;=60%,"مقبول",E54&lt;60%,"راسب")</f>
        <v>راسب</v>
      </c>
      <c r="F55" s="60"/>
      <c r="G55" s="60"/>
      <c r="H55" s="60"/>
      <c r="I55" s="60"/>
      <c r="J55" s="61"/>
    </row>
    <row r="56" spans="1:10" ht="42" customHeight="1" x14ac:dyDescent="0.2">
      <c r="B56" s="56" t="s">
        <v>174</v>
      </c>
      <c r="C56" s="56"/>
      <c r="D56" s="56"/>
      <c r="E56" s="62" t="s">
        <v>52</v>
      </c>
      <c r="F56" s="62"/>
      <c r="G56" s="58" t="s">
        <v>59</v>
      </c>
      <c r="H56" s="58"/>
      <c r="I56" s="58"/>
      <c r="J56" s="58"/>
    </row>
    <row r="57" spans="1:10" ht="51" customHeight="1" x14ac:dyDescent="0.2">
      <c r="A57" s="5"/>
      <c r="B57" s="57"/>
      <c r="C57" s="57"/>
      <c r="D57" s="57"/>
      <c r="E57" s="63" t="s">
        <v>53</v>
      </c>
      <c r="F57" s="63"/>
      <c r="G57" s="59"/>
      <c r="H57" s="59"/>
      <c r="I57" s="59"/>
      <c r="J57" s="5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8">
    <mergeCell ref="B46:D46"/>
    <mergeCell ref="B47:D47"/>
    <mergeCell ref="B48:D48"/>
    <mergeCell ref="B49:D49"/>
    <mergeCell ref="B50:D50"/>
    <mergeCell ref="B51:D51"/>
    <mergeCell ref="B52:D52"/>
    <mergeCell ref="B32:D32"/>
    <mergeCell ref="B33:D33"/>
    <mergeCell ref="B34:D34"/>
    <mergeCell ref="B36:D36"/>
    <mergeCell ref="B37:D37"/>
    <mergeCell ref="B38:D38"/>
    <mergeCell ref="B39:D39"/>
    <mergeCell ref="B40:D40"/>
    <mergeCell ref="B41:D41"/>
    <mergeCell ref="B35:J35"/>
    <mergeCell ref="B23:D23"/>
    <mergeCell ref="B25:D25"/>
    <mergeCell ref="B24:J24"/>
    <mergeCell ref="B26:D26"/>
    <mergeCell ref="B27:D27"/>
    <mergeCell ref="B28:D28"/>
    <mergeCell ref="B29:D29"/>
    <mergeCell ref="B30:D30"/>
    <mergeCell ref="B31:D31"/>
    <mergeCell ref="B9:D9"/>
    <mergeCell ref="B10:D10"/>
    <mergeCell ref="B11:D11"/>
    <mergeCell ref="B12:D12"/>
    <mergeCell ref="B13:D13"/>
    <mergeCell ref="B14:D14"/>
    <mergeCell ref="B15:D15"/>
    <mergeCell ref="B16:D16"/>
    <mergeCell ref="B8:J8"/>
    <mergeCell ref="I9:J9"/>
    <mergeCell ref="I32:J32"/>
    <mergeCell ref="I33:J33"/>
    <mergeCell ref="I34:J34"/>
    <mergeCell ref="I36:J36"/>
    <mergeCell ref="B53:D53"/>
    <mergeCell ref="B54:D54"/>
    <mergeCell ref="B55:D5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17:D17"/>
    <mergeCell ref="B18:D18"/>
    <mergeCell ref="B19:D19"/>
    <mergeCell ref="B20:D20"/>
    <mergeCell ref="B21:D21"/>
    <mergeCell ref="B22:D22"/>
    <mergeCell ref="B56:D57"/>
    <mergeCell ref="G56:J56"/>
    <mergeCell ref="G57:J57"/>
    <mergeCell ref="E55:J55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45:J45"/>
    <mergeCell ref="I46:J46"/>
    <mergeCell ref="I47:J47"/>
    <mergeCell ref="I48:J48"/>
    <mergeCell ref="E56:F56"/>
    <mergeCell ref="E57:F57"/>
    <mergeCell ref="G53:J53"/>
    <mergeCell ref="B42:D42"/>
    <mergeCell ref="B43:D43"/>
    <mergeCell ref="B44:D44"/>
    <mergeCell ref="B45:D45"/>
    <mergeCell ref="B1:J1"/>
    <mergeCell ref="F2:J2"/>
    <mergeCell ref="B5:D6"/>
    <mergeCell ref="C2:D2"/>
    <mergeCell ref="C3:D3"/>
    <mergeCell ref="F3:J3"/>
    <mergeCell ref="E54:J5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</mergeCells>
  <conditionalFormatting sqref="E55">
    <cfRule type="expression" dxfId="23" priority="57">
      <formula>$E55="راسب"</formula>
    </cfRule>
  </conditionalFormatting>
  <conditionalFormatting sqref="E55:J55">
    <cfRule type="expression" dxfId="22" priority="58">
      <formula>$E55="مقبول"</formula>
    </cfRule>
    <cfRule type="expression" dxfId="21" priority="59">
      <formula>$E55="جيد"</formula>
    </cfRule>
    <cfRule type="expression" dxfId="20" priority="60">
      <formula>$E55="جيد جداً"</formula>
    </cfRule>
    <cfRule type="expression" dxfId="19" priority="61">
      <formula>$E55="ممتاز"</formula>
    </cfRule>
  </conditionalFormatting>
  <conditionalFormatting sqref="H10:H23 H25:H34 H36:H52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3 H25:H34 H36:H52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6:J56">
    <cfRule type="containsText" dxfId="8" priority="15" operator="containsText" text="أدخل اسم المحكم">
      <formula>NOT(ISERROR(SEARCH("أدخل اسم المحكم",G56)))</formula>
    </cfRule>
  </conditionalFormatting>
  <conditionalFormatting sqref="F10:F23 F25:F34 F36:F52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F26:F28 F37:F41 F48:F52 F43:F46 F30:F34 F20:F23 F13:F18 F10:F11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G56:J56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7" workbookViewId="0">
      <selection activeCell="A70" sqref="A70:A106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9" t="s">
        <v>62</v>
      </c>
    </row>
    <row r="3" spans="1:3" ht="20.100000000000001" customHeight="1" thickBot="1" x14ac:dyDescent="0.25">
      <c r="A3" s="2" t="s">
        <v>26</v>
      </c>
      <c r="C3" s="19" t="s">
        <v>63</v>
      </c>
    </row>
    <row r="4" spans="1:3" ht="20.100000000000001" customHeight="1" thickBot="1" x14ac:dyDescent="0.25">
      <c r="A4" s="2" t="s">
        <v>36</v>
      </c>
      <c r="C4" s="19" t="s">
        <v>64</v>
      </c>
    </row>
    <row r="5" spans="1:3" ht="20.100000000000001" customHeight="1" thickBot="1" x14ac:dyDescent="0.25">
      <c r="A5" s="2" t="s">
        <v>37</v>
      </c>
      <c r="C5" s="19" t="s">
        <v>65</v>
      </c>
    </row>
    <row r="6" spans="1:3" ht="20.100000000000001" customHeight="1" thickBot="1" x14ac:dyDescent="0.25">
      <c r="A6" s="2" t="s">
        <v>38</v>
      </c>
      <c r="C6" s="19" t="s">
        <v>66</v>
      </c>
    </row>
    <row r="7" spans="1:3" ht="20.100000000000001" customHeight="1" thickBot="1" x14ac:dyDescent="0.25">
      <c r="A7" s="2" t="s">
        <v>39</v>
      </c>
      <c r="C7" s="19" t="s">
        <v>67</v>
      </c>
    </row>
    <row r="8" spans="1:3" ht="20.100000000000001" customHeight="1" thickBot="1" x14ac:dyDescent="0.25">
      <c r="A8" s="2" t="s">
        <v>40</v>
      </c>
      <c r="C8" s="19" t="s">
        <v>68</v>
      </c>
    </row>
    <row r="9" spans="1:3" ht="20.100000000000001" customHeight="1" thickBot="1" x14ac:dyDescent="0.25">
      <c r="A9" s="2" t="s">
        <v>41</v>
      </c>
      <c r="C9" s="19" t="s">
        <v>69</v>
      </c>
    </row>
    <row r="10" spans="1:3" ht="20.100000000000001" customHeight="1" thickBot="1" x14ac:dyDescent="0.25">
      <c r="A10" s="2" t="s">
        <v>42</v>
      </c>
      <c r="C10" s="19" t="s">
        <v>70</v>
      </c>
    </row>
    <row r="11" spans="1:3" ht="20.100000000000001" customHeight="1" thickBot="1" x14ac:dyDescent="0.25">
      <c r="A11" s="2" t="s">
        <v>43</v>
      </c>
      <c r="C11" s="19" t="s">
        <v>71</v>
      </c>
    </row>
    <row r="12" spans="1:3" ht="20.100000000000001" customHeight="1" thickBot="1" x14ac:dyDescent="0.25">
      <c r="A12" s="2" t="s">
        <v>44</v>
      </c>
      <c r="C12" s="19" t="s">
        <v>72</v>
      </c>
    </row>
    <row r="13" spans="1:3" ht="20.100000000000001" customHeight="1" thickBot="1" x14ac:dyDescent="0.25">
      <c r="A13" s="2" t="s">
        <v>45</v>
      </c>
      <c r="C13" s="19" t="s">
        <v>73</v>
      </c>
    </row>
    <row r="14" spans="1:3" ht="20.100000000000001" customHeight="1" thickBot="1" x14ac:dyDescent="0.25">
      <c r="A14" s="2" t="s">
        <v>46</v>
      </c>
      <c r="C14" s="19" t="s">
        <v>74</v>
      </c>
    </row>
    <row r="15" spans="1:3" ht="20.100000000000001" customHeight="1" thickBot="1" x14ac:dyDescent="0.25">
      <c r="A15" s="2" t="s">
        <v>47</v>
      </c>
      <c r="C15" s="19" t="s">
        <v>75</v>
      </c>
    </row>
    <row r="16" spans="1:3" ht="20.100000000000001" customHeight="1" thickBot="1" x14ac:dyDescent="0.25">
      <c r="A16" s="2" t="s">
        <v>10</v>
      </c>
      <c r="C16" s="19" t="s">
        <v>76</v>
      </c>
    </row>
    <row r="17" spans="1:3" ht="20.100000000000001" customHeight="1" thickBot="1" x14ac:dyDescent="0.25">
      <c r="A17" s="2" t="s">
        <v>27</v>
      </c>
      <c r="C17" s="19" t="s">
        <v>77</v>
      </c>
    </row>
    <row r="18" spans="1:3" ht="20.100000000000001" customHeight="1" thickBot="1" x14ac:dyDescent="0.25">
      <c r="A18" s="2" t="s">
        <v>48</v>
      </c>
      <c r="C18" s="19" t="s">
        <v>78</v>
      </c>
    </row>
    <row r="19" spans="1:3" ht="20.100000000000001" customHeight="1" thickBot="1" x14ac:dyDescent="0.25">
      <c r="A19" s="2" t="s">
        <v>49</v>
      </c>
      <c r="C19" s="19" t="s">
        <v>79</v>
      </c>
    </row>
    <row r="20" spans="1:3" ht="20.100000000000001" customHeight="1" thickBot="1" x14ac:dyDescent="0.25">
      <c r="A20" s="2" t="s">
        <v>50</v>
      </c>
      <c r="C20" s="19" t="s">
        <v>80</v>
      </c>
    </row>
    <row r="21" spans="1:3" ht="20.100000000000001" customHeight="1" thickBot="1" x14ac:dyDescent="0.25">
      <c r="A21" s="2" t="s">
        <v>51</v>
      </c>
      <c r="C21" s="19" t="s">
        <v>81</v>
      </c>
    </row>
    <row r="22" spans="1:3" ht="20.100000000000001" customHeight="1" thickBot="1" x14ac:dyDescent="0.25">
      <c r="A22" s="2" t="s">
        <v>11</v>
      </c>
      <c r="C22" s="19" t="s">
        <v>82</v>
      </c>
    </row>
    <row r="23" spans="1:3" ht="20.100000000000001" customHeight="1" thickBot="1" x14ac:dyDescent="0.25">
      <c r="A23" s="2" t="s">
        <v>12</v>
      </c>
      <c r="C23" s="19" t="s">
        <v>83</v>
      </c>
    </row>
    <row r="24" spans="1:3" ht="20.100000000000001" customHeight="1" thickBot="1" x14ac:dyDescent="0.25">
      <c r="A24" s="2" t="s">
        <v>15</v>
      </c>
      <c r="C24" s="19" t="s">
        <v>84</v>
      </c>
    </row>
    <row r="25" spans="1:3" ht="20.100000000000001" customHeight="1" thickBot="1" x14ac:dyDescent="0.25">
      <c r="A25" s="2" t="s">
        <v>28</v>
      </c>
      <c r="C25" s="19" t="s">
        <v>85</v>
      </c>
    </row>
    <row r="26" spans="1:3" ht="20.100000000000001" customHeight="1" thickBot="1" x14ac:dyDescent="0.25">
      <c r="A26" s="2" t="s">
        <v>29</v>
      </c>
      <c r="C26" s="19" t="s">
        <v>86</v>
      </c>
    </row>
    <row r="27" spans="1:3" ht="20.100000000000001" customHeight="1" thickBot="1" x14ac:dyDescent="0.25">
      <c r="A27" s="2" t="s">
        <v>13</v>
      </c>
      <c r="C27" s="19" t="s">
        <v>87</v>
      </c>
    </row>
    <row r="28" spans="1:3" ht="20.100000000000001" customHeight="1" thickBot="1" x14ac:dyDescent="0.25">
      <c r="A28" s="2" t="s">
        <v>30</v>
      </c>
      <c r="C28" s="19" t="s">
        <v>88</v>
      </c>
    </row>
    <row r="29" spans="1:3" ht="20.100000000000001" customHeight="1" thickBot="1" x14ac:dyDescent="0.25">
      <c r="A29" s="2" t="s">
        <v>31</v>
      </c>
      <c r="C29" s="19" t="s">
        <v>177</v>
      </c>
    </row>
    <row r="30" spans="1:3" ht="20.100000000000001" customHeight="1" thickBot="1" x14ac:dyDescent="0.25">
      <c r="A30" s="2" t="s">
        <v>32</v>
      </c>
      <c r="C30" s="19" t="s">
        <v>178</v>
      </c>
    </row>
    <row r="31" spans="1:3" ht="20.100000000000001" customHeight="1" thickBot="1" x14ac:dyDescent="0.25">
      <c r="A31" s="2" t="s">
        <v>33</v>
      </c>
      <c r="C31" s="19" t="s">
        <v>179</v>
      </c>
    </row>
    <row r="32" spans="1:3" ht="20.100000000000001" customHeight="1" thickBot="1" x14ac:dyDescent="0.25">
      <c r="A32" s="2" t="s">
        <v>16</v>
      </c>
      <c r="C32" s="19"/>
    </row>
    <row r="33" spans="1:9" ht="20.100000000000001" customHeight="1" thickBot="1" x14ac:dyDescent="0.25">
      <c r="A33" s="2" t="s">
        <v>14</v>
      </c>
      <c r="C33" s="19"/>
    </row>
    <row r="34" spans="1:9" ht="20.100000000000001" customHeight="1" thickBot="1" x14ac:dyDescent="0.25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3">
        <v>45931</v>
      </c>
    </row>
    <row r="40" spans="1:9" ht="20.100000000000001" customHeight="1" thickBot="1" x14ac:dyDescent="0.25">
      <c r="A40" s="13">
        <v>45932</v>
      </c>
    </row>
    <row r="41" spans="1:9" ht="20.100000000000001" customHeight="1" thickBot="1" x14ac:dyDescent="0.25">
      <c r="A41" s="13">
        <v>45933</v>
      </c>
    </row>
    <row r="42" spans="1:9" ht="20.100000000000001" customHeight="1" thickBot="1" x14ac:dyDescent="0.25">
      <c r="A42" s="13">
        <v>45934</v>
      </c>
    </row>
    <row r="43" spans="1:9" ht="20.100000000000001" customHeight="1" thickBot="1" x14ac:dyDescent="0.25">
      <c r="A43" s="13">
        <v>45935</v>
      </c>
    </row>
    <row r="44" spans="1:9" ht="20.100000000000001" customHeight="1" thickBot="1" x14ac:dyDescent="0.25">
      <c r="A44" s="13">
        <v>45936</v>
      </c>
    </row>
    <row r="45" spans="1:9" ht="20.100000000000001" customHeight="1" thickBot="1" x14ac:dyDescent="0.25">
      <c r="A45" s="13">
        <v>45937</v>
      </c>
    </row>
    <row r="46" spans="1:9" ht="20.100000000000001" customHeight="1" thickBot="1" x14ac:dyDescent="0.25">
      <c r="A46" s="13">
        <v>45938</v>
      </c>
    </row>
    <row r="47" spans="1:9" ht="20.100000000000001" customHeight="1" thickBot="1" x14ac:dyDescent="0.25">
      <c r="A47" s="13">
        <v>45939</v>
      </c>
    </row>
    <row r="48" spans="1:9" ht="20.100000000000001" customHeight="1" thickBot="1" x14ac:dyDescent="0.25">
      <c r="A48" s="13">
        <v>45940</v>
      </c>
    </row>
    <row r="49" spans="1:1" ht="20.100000000000001" customHeight="1" thickBot="1" x14ac:dyDescent="0.25">
      <c r="A49" s="13">
        <v>45941</v>
      </c>
    </row>
    <row r="50" spans="1:1" ht="20.100000000000001" customHeight="1" thickBot="1" x14ac:dyDescent="0.25">
      <c r="A50" s="13">
        <v>45942</v>
      </c>
    </row>
    <row r="51" spans="1:1" ht="20.100000000000001" customHeight="1" thickBot="1" x14ac:dyDescent="0.25">
      <c r="A51" s="13">
        <v>45943</v>
      </c>
    </row>
    <row r="52" spans="1:1" ht="20.100000000000001" customHeight="1" thickBot="1" x14ac:dyDescent="0.25">
      <c r="A52" s="13">
        <v>45944</v>
      </c>
    </row>
    <row r="53" spans="1:1" ht="20.100000000000001" customHeight="1" thickBot="1" x14ac:dyDescent="0.25">
      <c r="A53" s="13">
        <v>45945</v>
      </c>
    </row>
    <row r="54" spans="1:1" ht="20.100000000000001" customHeight="1" thickBot="1" x14ac:dyDescent="0.25">
      <c r="A54" s="13">
        <v>45946</v>
      </c>
    </row>
    <row r="55" spans="1:1" ht="20.100000000000001" customHeight="1" thickBot="1" x14ac:dyDescent="0.25">
      <c r="A55" s="13">
        <v>45947</v>
      </c>
    </row>
    <row r="56" spans="1:1" ht="20.100000000000001" customHeight="1" thickBot="1" x14ac:dyDescent="0.25">
      <c r="A56" s="13">
        <v>45948</v>
      </c>
    </row>
    <row r="57" spans="1:1" ht="20.100000000000001" customHeight="1" thickBot="1" x14ac:dyDescent="0.25">
      <c r="A57" s="13">
        <v>45949</v>
      </c>
    </row>
    <row r="58" spans="1:1" ht="20.100000000000001" customHeight="1" thickBot="1" x14ac:dyDescent="0.25">
      <c r="A58" s="13">
        <v>45950</v>
      </c>
    </row>
    <row r="59" spans="1:1" ht="20.100000000000001" customHeight="1" thickBot="1" x14ac:dyDescent="0.25">
      <c r="A59" s="13">
        <v>45951</v>
      </c>
    </row>
    <row r="60" spans="1:1" ht="20.100000000000001" customHeight="1" thickBot="1" x14ac:dyDescent="0.25">
      <c r="A60" s="13">
        <v>45952</v>
      </c>
    </row>
    <row r="61" spans="1:1" ht="20.100000000000001" customHeight="1" thickBot="1" x14ac:dyDescent="0.25">
      <c r="A61" s="13">
        <v>45953</v>
      </c>
    </row>
    <row r="62" spans="1:1" ht="20.100000000000001" customHeight="1" thickBot="1" x14ac:dyDescent="0.25">
      <c r="A62" s="13">
        <v>45954</v>
      </c>
    </row>
    <row r="63" spans="1:1" ht="20.100000000000001" customHeight="1" thickBot="1" x14ac:dyDescent="0.25">
      <c r="A63" s="13">
        <v>45955</v>
      </c>
    </row>
    <row r="64" spans="1:1" ht="20.100000000000001" customHeight="1" thickBot="1" x14ac:dyDescent="0.25">
      <c r="A64" s="13">
        <v>45956</v>
      </c>
    </row>
    <row r="65" spans="1:1" ht="20.100000000000001" customHeight="1" thickBot="1" x14ac:dyDescent="0.25">
      <c r="A65" s="13">
        <v>45957</v>
      </c>
    </row>
    <row r="66" spans="1:1" ht="20.100000000000001" customHeight="1" thickBot="1" x14ac:dyDescent="0.25">
      <c r="A66" s="13">
        <v>45958</v>
      </c>
    </row>
    <row r="67" spans="1:1" ht="20.100000000000001" customHeight="1" thickBot="1" x14ac:dyDescent="0.25">
      <c r="A67" s="13">
        <v>45959</v>
      </c>
    </row>
    <row r="68" spans="1:1" ht="20.100000000000001" customHeight="1" thickBot="1" x14ac:dyDescent="0.25">
      <c r="A68" s="13">
        <v>45960</v>
      </c>
    </row>
    <row r="69" spans="1:1" ht="20.100000000000001" customHeight="1" thickBot="1" x14ac:dyDescent="0.25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25">
      <c r="A111" s="2" t="s">
        <v>61</v>
      </c>
    </row>
    <row r="112" spans="1:9" ht="20.100000000000001" customHeight="1" thickBot="1" x14ac:dyDescent="0.25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2025-10-08T15:17:08Z</dcterms:modified>
</cp:coreProperties>
</file>