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9F036E2-F195-47AD-839E-1D68A6B2F80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H13" i="2" s="1"/>
  <c r="G20" i="2" l="1"/>
  <c r="H20" i="2" s="1"/>
  <c r="G19" i="2"/>
  <c r="H19" i="2" s="1"/>
  <c r="G18" i="2"/>
  <c r="H18" i="2" s="1"/>
  <c r="G17" i="2"/>
  <c r="H17" i="2" s="1"/>
  <c r="G16" i="2"/>
  <c r="H16" i="2" s="1"/>
  <c r="G12" i="2" l="1"/>
  <c r="H12" i="2" s="1"/>
  <c r="G11" i="2"/>
  <c r="H11" i="2" s="1"/>
  <c r="G10" i="2"/>
  <c r="H10" i="2" s="1"/>
  <c r="G9" i="2"/>
  <c r="H9" i="2" s="1"/>
  <c r="G8" i="2"/>
  <c r="H8" i="2" s="1"/>
  <c r="F21" i="2" l="1"/>
  <c r="E21" i="2"/>
  <c r="G15" i="2"/>
  <c r="H15" i="2" s="1"/>
  <c r="G7" i="2"/>
  <c r="H7" i="2" s="1"/>
  <c r="E22" i="2" l="1"/>
  <c r="E23" i="2" s="1"/>
</calcChain>
</file>

<file path=xl/sharedStrings.xml><?xml version="1.0" encoding="utf-8"?>
<sst xmlns="http://schemas.openxmlformats.org/spreadsheetml/2006/main" count="113" uniqueCount="86">
  <si>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</si>
  <si>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</si>
  <si>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</si>
  <si>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</si>
  <si>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</si>
  <si>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</si>
  <si>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</si>
  <si>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</si>
  <si>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</si>
  <si>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</si>
  <si>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</si>
  <si>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</si>
  <si>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</si>
  <si>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</si>
  <si>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</si>
  <si>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</si>
  <si>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</si>
  <si>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</si>
  <si>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</si>
  <si>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</si>
  <si>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</si>
  <si>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</si>
  <si>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</si>
  <si>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</si>
  <si>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</si>
  <si>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</si>
  <si>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</si>
  <si>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</si>
  <si>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</si>
  <si>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</si>
  <si>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</si>
  <si>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</si>
  <si>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</si>
  <si>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</si>
  <si>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</si>
  <si>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</si>
  <si>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</si>
  <si>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</si>
  <si>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</si>
  <si>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</si>
  <si>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</si>
  <si>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</si>
  <si>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</si>
  <si>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</si>
  <si>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</si>
  <si>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</si>
  <si>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</si>
  <si>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</si>
  <si>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</si>
  <si>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</si>
  <si>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</si>
  <si>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</si>
  <si>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</si>
  <si>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</si>
  <si>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</si>
  <si>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</si>
  <si>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</si>
  <si>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</si>
  <si>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</si>
  <si>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</si>
  <si>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</si>
  <si>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</si>
  <si>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</si>
  <si>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</si>
  <si>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</si>
  <si>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</si>
  <si>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</si>
  <si>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</si>
  <si>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</si>
  <si>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</si>
  <si>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</si>
  <si>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</si>
  <si>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</si>
  <si>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</si>
  <si>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</si>
  <si>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</si>
  <si>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t>اجراءات رد فعل الوحدة الطبية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</si>
  <si>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</si>
  <si>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</si>
  <si>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</si>
  <si>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</si>
  <si>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</si>
  <si>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</si>
  <si>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t>اجراءات رد فعل الوحدة المتأثرة بالمعضلة</t>
  </si>
  <si>
    <r>
      <t>7.</t>
    </r>
    <r>
      <rPr>
        <sz val="14"/>
        <color rgb="FF000000"/>
        <rFont val="Times New Roman"/>
        <family val="1"/>
      </rPr>
      <t xml:space="preserve">      طلب إخلاء </t>
    </r>
    <r>
      <rPr>
        <sz val="14"/>
        <color rgb="FF000000"/>
        <rFont val="Arial"/>
        <family val="2"/>
      </rPr>
      <t>المصابين حسب نموذج طلب الإخلاء الطبي المعتمد (9 أسطر)</t>
    </r>
  </si>
  <si>
    <t>تقييم إنقاذ وإخلاء المصابين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</si>
</sst>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27" xfId="0" applyFont="1" applyBorder="1" applyAlignment="1">
      <alignment horizontal="center" vertical="center" wrapText="1" readingOrder="2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9" fontId="3" fillId="0" borderId="27" xfId="0" applyNumberFormat="1" applyFont="1" applyBorder="1" applyAlignment="1">
      <alignment horizontal="center" vertical="center" wrapText="1" readingOrder="2"/>
    </xf>
    <xf numFmtId="0" fontId="2" fillId="0" borderId="27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5" fillId="0" borderId="26" xfId="0" applyFont="1" applyBorder="1" applyAlignment="1">
      <alignment horizontal="right" vertical="center" wrapText="1" readingOrder="2"/>
    </xf>
    <xf numFmtId="0" fontId="5" fillId="0" borderId="27" xfId="0" applyFont="1" applyBorder="1" applyAlignment="1">
      <alignment horizontal="right" vertical="center" wrapText="1" readingOrder="2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0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8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8" t="s">
        <v>85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59" t="s">
        <v>0</v>
      </c>
      <c r="C3" s="60"/>
      <c r="D3" s="60"/>
      <c r="E3" s="63" t="s">
        <v>1</v>
      </c>
      <c r="F3" s="63"/>
      <c r="G3" s="63"/>
      <c r="H3" s="63"/>
      <c r="I3" s="63" t="s">
        <v>2</v>
      </c>
      <c r="J3" s="64"/>
    </row>
    <row r="4" spans="1:10" ht="24.95" customHeight="1" thickBot="1" x14ac:dyDescent="0.25">
      <c r="A4" s="9"/>
      <c r="B4" s="61"/>
      <c r="C4" s="62"/>
      <c r="D4" s="62"/>
      <c r="E4" s="10" t="s">
        <v>3</v>
      </c>
      <c r="F4" s="10" t="s">
        <v>4</v>
      </c>
      <c r="G4" s="10" t="s">
        <v>19</v>
      </c>
      <c r="H4" s="10" t="s">
        <v>20</v>
      </c>
      <c r="I4" s="65"/>
      <c r="J4" s="66"/>
    </row>
    <row r="5" spans="1:10" ht="24.95" customHeight="1" thickBot="1" x14ac:dyDescent="0.25">
      <c r="A5" s="9"/>
      <c r="B5" s="92" t="s">
        <v>17</v>
      </c>
      <c r="C5" s="93"/>
      <c r="D5" s="93"/>
      <c r="E5" s="26" t="s">
        <v>14</v>
      </c>
      <c r="F5" s="26" t="s">
        <v>15</v>
      </c>
      <c r="G5" s="26" t="s">
        <v>18</v>
      </c>
      <c r="H5" s="26" t="s">
        <v>16</v>
      </c>
      <c r="I5" s="94" t="s">
        <v>21</v>
      </c>
      <c r="J5" s="95"/>
    </row>
    <row r="6" spans="1:10" ht="39.950000000000003" customHeight="1" x14ac:dyDescent="0.2">
      <c r="A6" s="9"/>
      <c r="B6" s="98" t="s">
        <v>83</v>
      </c>
      <c r="C6" s="99"/>
      <c r="D6" s="99"/>
      <c r="E6" s="38"/>
      <c r="F6" s="43"/>
      <c r="G6" s="39"/>
      <c r="H6" s="40"/>
      <c r="I6" s="96"/>
      <c r="J6" s="97"/>
    </row>
    <row r="7" spans="1:10" ht="39.950000000000003" customHeight="1" x14ac:dyDescent="0.2">
      <c r="A7" s="9"/>
      <c r="B7" s="54" t="s">
        <v>70</v>
      </c>
      <c r="C7" s="55"/>
      <c r="D7" s="55"/>
      <c r="E7" s="27">
        <v>3</v>
      </c>
      <c r="F7" s="41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56"/>
      <c r="J7" s="57"/>
    </row>
    <row r="8" spans="1:10" ht="39.950000000000003" customHeight="1" x14ac:dyDescent="0.2">
      <c r="A8" s="9"/>
      <c r="B8" s="54" t="s">
        <v>71</v>
      </c>
      <c r="C8" s="55"/>
      <c r="D8" s="55"/>
      <c r="E8" s="27">
        <v>3</v>
      </c>
      <c r="F8" s="41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56"/>
      <c r="J8" s="57"/>
    </row>
    <row r="9" spans="1:10" ht="39.950000000000003" customHeight="1" x14ac:dyDescent="0.2">
      <c r="A9" s="9"/>
      <c r="B9" s="54" t="s">
        <v>72</v>
      </c>
      <c r="C9" s="55"/>
      <c r="D9" s="55"/>
      <c r="E9" s="27">
        <v>3</v>
      </c>
      <c r="F9" s="41" t="s">
        <v>40</v>
      </c>
      <c r="G9" s="28" t="str">
        <f t="shared" si="0"/>
        <v/>
      </c>
      <c r="H9" s="29" t="str">
        <f t="shared" si="1"/>
        <v/>
      </c>
      <c r="I9" s="56"/>
      <c r="J9" s="57"/>
    </row>
    <row r="10" spans="1:10" ht="39.950000000000003" customHeight="1" x14ac:dyDescent="0.2">
      <c r="A10" s="9"/>
      <c r="B10" s="54" t="s">
        <v>73</v>
      </c>
      <c r="C10" s="55"/>
      <c r="D10" s="55"/>
      <c r="E10" s="27">
        <v>3</v>
      </c>
      <c r="F10" s="41" t="s">
        <v>40</v>
      </c>
      <c r="G10" s="28" t="str">
        <f t="shared" si="0"/>
        <v/>
      </c>
      <c r="H10" s="29" t="str">
        <f t="shared" si="1"/>
        <v/>
      </c>
      <c r="I10" s="56"/>
      <c r="J10" s="57"/>
    </row>
    <row r="11" spans="1:10" ht="39.950000000000003" customHeight="1" x14ac:dyDescent="0.2">
      <c r="A11" s="9"/>
      <c r="B11" s="54" t="s">
        <v>74</v>
      </c>
      <c r="C11" s="55"/>
      <c r="D11" s="55"/>
      <c r="E11" s="27">
        <v>3</v>
      </c>
      <c r="F11" s="41" t="s">
        <v>40</v>
      </c>
      <c r="G11" s="28" t="str">
        <f t="shared" si="0"/>
        <v/>
      </c>
      <c r="H11" s="29" t="str">
        <f t="shared" si="1"/>
        <v/>
      </c>
      <c r="I11" s="56"/>
      <c r="J11" s="57"/>
    </row>
    <row r="12" spans="1:10" ht="39.950000000000003" customHeight="1" x14ac:dyDescent="0.2">
      <c r="A12" s="9"/>
      <c r="B12" s="54" t="s">
        <v>75</v>
      </c>
      <c r="C12" s="55"/>
      <c r="D12" s="55"/>
      <c r="E12" s="27">
        <v>3</v>
      </c>
      <c r="F12" s="41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56"/>
      <c r="J12" s="57"/>
    </row>
    <row r="13" spans="1:10" ht="39.950000000000003" customHeight="1" thickBot="1" x14ac:dyDescent="0.25">
      <c r="A13" s="9"/>
      <c r="B13" s="48" t="s">
        <v>84</v>
      </c>
      <c r="C13" s="49"/>
      <c r="D13" s="49"/>
      <c r="E13" s="30">
        <v>3</v>
      </c>
      <c r="F13" s="42" t="s">
        <v>40</v>
      </c>
      <c r="G13" s="31" t="str">
        <f>IFERROR(F13/E13,"")</f>
        <v/>
      </c>
      <c r="H13" s="32" t="str">
        <f>_xlfn.IFS(F13="أدخل العلامة","",F13="لا ينطبق","تم الإلغاء",G13&gt;=90%,"ممتاز",G13&gt;=80%,"جيد جداً",G13&gt;=70%,"جيد",G13&gt;=60%,"مقبول",G13&lt;60%,"راسب")</f>
        <v/>
      </c>
      <c r="I13" s="50"/>
      <c r="J13" s="51"/>
    </row>
    <row r="14" spans="1:10" ht="39.950000000000003" customHeight="1" x14ac:dyDescent="0.2">
      <c r="A14" s="9"/>
      <c r="B14" s="84" t="s">
        <v>76</v>
      </c>
      <c r="C14" s="85"/>
      <c r="D14" s="85"/>
      <c r="E14" s="44"/>
      <c r="F14" s="45"/>
      <c r="G14" s="46"/>
      <c r="H14" s="47"/>
      <c r="I14" s="86"/>
      <c r="J14" s="87"/>
    </row>
    <row r="15" spans="1:10" ht="36.75" customHeight="1" x14ac:dyDescent="0.2">
      <c r="A15" s="9"/>
      <c r="B15" s="54" t="s">
        <v>77</v>
      </c>
      <c r="C15" s="55"/>
      <c r="D15" s="55"/>
      <c r="E15" s="27">
        <v>3</v>
      </c>
      <c r="F15" s="36" t="s">
        <v>40</v>
      </c>
      <c r="G15" s="28" t="str">
        <f t="shared" ref="G15" si="2">IFERROR(F15/E15,"")</f>
        <v/>
      </c>
      <c r="H15" s="29" t="str">
        <f t="shared" ref="H15" si="3">_xlfn.IFS(F15="أدخل العلامة","",F15="لا ينطبق","تم الإلغاء",G15&gt;=90%,"ممتاز",G15&gt;=80%,"جيد جداً",G15&gt;=70%,"جيد",G15&gt;=60%,"مقبول",G15&lt;60%,"راسب")</f>
        <v/>
      </c>
      <c r="I15" s="56"/>
      <c r="J15" s="57"/>
    </row>
    <row r="16" spans="1:10" ht="36.75" customHeight="1" x14ac:dyDescent="0.2">
      <c r="A16" s="9"/>
      <c r="B16" s="54" t="s">
        <v>78</v>
      </c>
      <c r="C16" s="55"/>
      <c r="D16" s="55"/>
      <c r="E16" s="27">
        <v>3</v>
      </c>
      <c r="F16" s="36" t="s">
        <v>40</v>
      </c>
      <c r="G16" s="28" t="str">
        <f>IFERROR(F16/E16,"")</f>
        <v/>
      </c>
      <c r="H16" s="29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56"/>
      <c r="J16" s="57"/>
    </row>
    <row r="17" spans="1:10" ht="36.75" customHeight="1" x14ac:dyDescent="0.2">
      <c r="A17" s="9"/>
      <c r="B17" s="54" t="s">
        <v>79</v>
      </c>
      <c r="C17" s="55"/>
      <c r="D17" s="55"/>
      <c r="E17" s="27">
        <v>3</v>
      </c>
      <c r="F17" s="36" t="s">
        <v>40</v>
      </c>
      <c r="G17" s="28" t="str">
        <f>IFERROR(F17/E17,"")</f>
        <v/>
      </c>
      <c r="H17" s="29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56"/>
      <c r="J17" s="57"/>
    </row>
    <row r="18" spans="1:10" ht="36.75" customHeight="1" x14ac:dyDescent="0.2">
      <c r="A18" s="9"/>
      <c r="B18" s="54" t="s">
        <v>80</v>
      </c>
      <c r="C18" s="55"/>
      <c r="D18" s="55"/>
      <c r="E18" s="27">
        <v>3</v>
      </c>
      <c r="F18" s="36" t="s">
        <v>40</v>
      </c>
      <c r="G18" s="28" t="str">
        <f t="shared" ref="G18:G20" si="4">IFERROR(F18/E18,"")</f>
        <v/>
      </c>
      <c r="H18" s="29" t="str">
        <f t="shared" ref="H18:H20" si="5">_xlfn.IFS(F18="أدخل العلامة","",F18="لا ينطبق","تم الإلغاء",G18&gt;=90%,"ممتاز",G18&gt;=80%,"جيد جداً",G18&gt;=70%,"جيد",G18&gt;=60%,"مقبول",G18&lt;60%,"راسب")</f>
        <v/>
      </c>
      <c r="I18" s="56"/>
      <c r="J18" s="57"/>
    </row>
    <row r="19" spans="1:10" ht="36.75" customHeight="1" x14ac:dyDescent="0.2">
      <c r="A19" s="9"/>
      <c r="B19" s="54" t="s">
        <v>81</v>
      </c>
      <c r="C19" s="55"/>
      <c r="D19" s="55"/>
      <c r="E19" s="27">
        <v>3</v>
      </c>
      <c r="F19" s="36" t="s">
        <v>40</v>
      </c>
      <c r="G19" s="28" t="str">
        <f t="shared" si="4"/>
        <v/>
      </c>
      <c r="H19" s="29" t="str">
        <f t="shared" si="5"/>
        <v/>
      </c>
      <c r="I19" s="56"/>
      <c r="J19" s="57"/>
    </row>
    <row r="20" spans="1:10" ht="36.75" customHeight="1" thickBot="1" x14ac:dyDescent="0.25">
      <c r="A20" s="9"/>
      <c r="B20" s="48" t="s">
        <v>82</v>
      </c>
      <c r="C20" s="49"/>
      <c r="D20" s="49"/>
      <c r="E20" s="30">
        <v>3</v>
      </c>
      <c r="F20" s="37" t="s">
        <v>40</v>
      </c>
      <c r="G20" s="31" t="str">
        <f t="shared" si="4"/>
        <v/>
      </c>
      <c r="H20" s="32" t="str">
        <f t="shared" si="5"/>
        <v/>
      </c>
      <c r="I20" s="50"/>
      <c r="J20" s="51"/>
    </row>
    <row r="21" spans="1:10" ht="30" customHeight="1" thickBot="1" x14ac:dyDescent="0.25">
      <c r="A21" s="4"/>
      <c r="B21" s="69" t="s">
        <v>5</v>
      </c>
      <c r="C21" s="70"/>
      <c r="D21" s="70"/>
      <c r="E21" s="35">
        <f>SUM(E6:E20)</f>
        <v>39</v>
      </c>
      <c r="F21" s="35">
        <f>SUM(F6:F20)</f>
        <v>0</v>
      </c>
      <c r="G21" s="81"/>
      <c r="H21" s="82"/>
      <c r="I21" s="82"/>
      <c r="J21" s="83"/>
    </row>
    <row r="22" spans="1:10" ht="30" customHeight="1" thickBot="1" x14ac:dyDescent="0.25">
      <c r="A22" s="4"/>
      <c r="B22" s="71" t="s">
        <v>33</v>
      </c>
      <c r="C22" s="72"/>
      <c r="D22" s="72"/>
      <c r="E22" s="88">
        <f>F21/E21/100*100</f>
        <v>0</v>
      </c>
      <c r="F22" s="88"/>
      <c r="G22" s="88"/>
      <c r="H22" s="88"/>
      <c r="I22" s="88"/>
      <c r="J22" s="89"/>
    </row>
    <row r="23" spans="1:10" ht="30" customHeight="1" thickBot="1" x14ac:dyDescent="0.25">
      <c r="A23" s="4"/>
      <c r="B23" s="71" t="s">
        <v>34</v>
      </c>
      <c r="C23" s="72"/>
      <c r="D23" s="72"/>
      <c r="E23" s="52" t="str">
        <f>_xlfn.IFS(E22&gt;=90%,"ممتاز",E22&gt;=80%,"جيد جداً",E22&gt;=70%,"جيد",E22&gt;=60%,"مقبول",E22&lt;60%,"راسب")</f>
        <v>راسب</v>
      </c>
      <c r="F23" s="52"/>
      <c r="G23" s="52"/>
      <c r="H23" s="52"/>
      <c r="I23" s="52"/>
      <c r="J23" s="53"/>
    </row>
    <row r="24" spans="1:10" ht="42" customHeight="1" x14ac:dyDescent="0.2">
      <c r="B24" s="73" t="s">
        <v>44</v>
      </c>
      <c r="C24" s="73"/>
      <c r="D24" s="73"/>
      <c r="E24" s="79" t="s">
        <v>31</v>
      </c>
      <c r="F24" s="79"/>
      <c r="G24" s="90" t="s">
        <v>38</v>
      </c>
      <c r="H24" s="90"/>
      <c r="I24" s="90"/>
      <c r="J24" s="90"/>
    </row>
    <row r="25" spans="1:10" ht="51" customHeight="1" x14ac:dyDescent="0.2">
      <c r="A25" s="5"/>
      <c r="B25" s="74"/>
      <c r="C25" s="74"/>
      <c r="D25" s="74"/>
      <c r="E25" s="80" t="s">
        <v>32</v>
      </c>
      <c r="F25" s="80"/>
      <c r="G25" s="91"/>
      <c r="H25" s="91"/>
      <c r="I25" s="91"/>
      <c r="J25" s="91"/>
    </row>
    <row r="26" spans="1:10" ht="15.75" x14ac:dyDescent="0.2">
      <c r="A26" s="23">
        <v>3</v>
      </c>
      <c r="B26" s="75" t="s">
        <v>41</v>
      </c>
      <c r="C26" s="76"/>
    </row>
    <row r="27" spans="1:10" ht="15.75" x14ac:dyDescent="0.2">
      <c r="A27" s="24">
        <v>2</v>
      </c>
      <c r="B27" s="77" t="s">
        <v>42</v>
      </c>
      <c r="C27" s="78"/>
    </row>
    <row r="28" spans="1:10" ht="15.75" x14ac:dyDescent="0.2">
      <c r="A28" s="25">
        <v>1</v>
      </c>
      <c r="B28" s="67" t="s">
        <v>43</v>
      </c>
      <c r="C28" s="68"/>
    </row>
  </sheetData>
  <sheetProtection formatCells="0" formatColumns="0" formatRows="0" insertColumns="0" insertRows="0" insertHyperlinks="0" deleteColumns="0" deleteRows="0" selectLockedCells="1" sort="0" autoFilter="0" pivotTables="0"/>
  <mergeCells count="50">
    <mergeCell ref="B5:D5"/>
    <mergeCell ref="I5:J5"/>
    <mergeCell ref="B7:D7"/>
    <mergeCell ref="B8:D8"/>
    <mergeCell ref="I8:J8"/>
    <mergeCell ref="I6:J6"/>
    <mergeCell ref="B6:D6"/>
    <mergeCell ref="I7:J7"/>
    <mergeCell ref="E24:F24"/>
    <mergeCell ref="E25:F25"/>
    <mergeCell ref="G21:J21"/>
    <mergeCell ref="B14:D14"/>
    <mergeCell ref="B9:D9"/>
    <mergeCell ref="I9:J9"/>
    <mergeCell ref="B10:D10"/>
    <mergeCell ref="I10:J10"/>
    <mergeCell ref="B11:D11"/>
    <mergeCell ref="I11:J11"/>
    <mergeCell ref="B12:D12"/>
    <mergeCell ref="I12:J12"/>
    <mergeCell ref="I14:J14"/>
    <mergeCell ref="E22:J22"/>
    <mergeCell ref="G24:J24"/>
    <mergeCell ref="G25:J25"/>
    <mergeCell ref="B28:C28"/>
    <mergeCell ref="B21:D21"/>
    <mergeCell ref="B22:D22"/>
    <mergeCell ref="B23:D23"/>
    <mergeCell ref="B24:D25"/>
    <mergeCell ref="B26:C26"/>
    <mergeCell ref="B27:C27"/>
    <mergeCell ref="B1:J1"/>
    <mergeCell ref="B3:D4"/>
    <mergeCell ref="E3:H3"/>
    <mergeCell ref="I3:J4"/>
    <mergeCell ref="B13:D13"/>
    <mergeCell ref="I13:J13"/>
    <mergeCell ref="E23:J23"/>
    <mergeCell ref="B15:D15"/>
    <mergeCell ref="I15:J15"/>
    <mergeCell ref="B16:D16"/>
    <mergeCell ref="I16:J16"/>
    <mergeCell ref="B17:D17"/>
    <mergeCell ref="I17:J17"/>
    <mergeCell ref="B18:D18"/>
    <mergeCell ref="I18:J18"/>
    <mergeCell ref="B19:D19"/>
    <mergeCell ref="I19:J19"/>
    <mergeCell ref="B20:D20"/>
    <mergeCell ref="I20:J20"/>
  </mergeCells>
  <conditionalFormatting sqref="E23">
    <cfRule type="expression" dxfId="100" priority="213">
      <formula>$E23="راسب"</formula>
    </cfRule>
  </conditionalFormatting>
  <conditionalFormatting sqref="E23:J23">
    <cfRule type="expression" dxfId="99" priority="214">
      <formula>$E23="مقبول"</formula>
    </cfRule>
    <cfRule type="expression" dxfId="98" priority="215">
      <formula>$E23="جيد"</formula>
    </cfRule>
    <cfRule type="expression" dxfId="97" priority="216">
      <formula>$E23="جيد جداً"</formula>
    </cfRule>
    <cfRule type="expression" dxfId="96" priority="217">
      <formula>$E23="ممتاز"</formula>
    </cfRule>
  </conditionalFormatting>
  <conditionalFormatting sqref="F14">
    <cfRule type="containsText" dxfId="95" priority="170" operator="containsText" text="أدخل العلامة">
      <formula>NOT(ISERROR(SEARCH("أدخل العلامة",F14)))</formula>
    </cfRule>
  </conditionalFormatting>
  <conditionalFormatting sqref="G24:J24">
    <cfRule type="containsText" dxfId="92" priority="171" operator="containsText" text="أدخل اسم المحكم">
      <formula>NOT(ISERROR(SEARCH("أدخل اسم المحكم",G24)))</formula>
    </cfRule>
  </conditionalFormatting>
  <conditionalFormatting sqref="H14">
    <cfRule type="containsText" dxfId="91" priority="161" operator="containsText" text="أدخل العلامة">
      <formula>NOT(ISERROR(SEARCH("أدخل العلامة",H14)))</formula>
    </cfRule>
    <cfRule type="containsText" dxfId="90" priority="162" operator="containsText" text="ممتاز">
      <formula>NOT(ISERROR(SEARCH("ممتاز",H14)))</formula>
    </cfRule>
    <cfRule type="containsText" dxfId="89" priority="163" operator="containsText" text="جيد جداً">
      <formula>NOT(ISERROR(SEARCH("جيد جداً",H14)))</formula>
    </cfRule>
    <cfRule type="containsText" dxfId="88" priority="164" operator="containsText" text="جيد">
      <formula>NOT(ISERROR(SEARCH("جيد",H14)))</formula>
    </cfRule>
    <cfRule type="containsText" dxfId="87" priority="165" operator="containsText" text="مقبول">
      <formula>NOT(ISERROR(SEARCH("مقبول",H14)))</formula>
    </cfRule>
    <cfRule type="containsText" dxfId="86" priority="166" operator="containsText" text="راسب">
      <formula>NOT(ISERROR(SEARCH("راسب",H14)))</formula>
    </cfRule>
  </conditionalFormatting>
  <conditionalFormatting sqref="F7">
    <cfRule type="containsText" dxfId="83" priority="133" operator="containsText" text="أدخل العلامة">
      <formula>NOT(ISERROR(SEARCH("أدخل العلامة",F7)))</formula>
    </cfRule>
  </conditionalFormatting>
  <conditionalFormatting sqref="H7">
    <cfRule type="containsText" dxfId="82" priority="127" operator="containsText" text="أدخل العلامة">
      <formula>NOT(ISERROR(SEARCH("أدخل العلامة",H7)))</formula>
    </cfRule>
    <cfRule type="containsText" dxfId="81" priority="128" operator="containsText" text="ممتاز">
      <formula>NOT(ISERROR(SEARCH("ممتاز",H7)))</formula>
    </cfRule>
    <cfRule type="containsText" dxfId="80" priority="129" operator="containsText" text="جيد جداً">
      <formula>NOT(ISERROR(SEARCH("جيد جداً",H7)))</formula>
    </cfRule>
    <cfRule type="containsText" dxfId="79" priority="130" operator="containsText" text="جيد">
      <formula>NOT(ISERROR(SEARCH("جيد",H7)))</formula>
    </cfRule>
    <cfRule type="containsText" dxfId="78" priority="131" operator="containsText" text="مقبول">
      <formula>NOT(ISERROR(SEARCH("مقبول",H7)))</formula>
    </cfRule>
    <cfRule type="containsText" dxfId="77" priority="132" operator="containsText" text="راسب">
      <formula>NOT(ISERROR(SEARCH("راسب",H7)))</formula>
    </cfRule>
  </conditionalFormatting>
  <conditionalFormatting sqref="F15">
    <cfRule type="containsText" dxfId="76" priority="105" operator="containsText" text="أدخل العلامة">
      <formula>NOT(ISERROR(SEARCH("أدخل العلامة",F15)))</formula>
    </cfRule>
  </conditionalFormatting>
  <conditionalFormatting sqref="H15">
    <cfRule type="containsText" dxfId="75" priority="99" operator="containsText" text="أدخل العلامة">
      <formula>NOT(ISERROR(SEARCH("أدخل العلامة",H15)))</formula>
    </cfRule>
    <cfRule type="containsText" dxfId="74" priority="100" operator="containsText" text="ممتاز">
      <formula>NOT(ISERROR(SEARCH("ممتاز",H15)))</formula>
    </cfRule>
    <cfRule type="containsText" dxfId="73" priority="101" operator="containsText" text="جيد جداً">
      <formula>NOT(ISERROR(SEARCH("جيد جداً",H15)))</formula>
    </cfRule>
    <cfRule type="containsText" dxfId="72" priority="102" operator="containsText" text="جيد">
      <formula>NOT(ISERROR(SEARCH("جيد",H15)))</formula>
    </cfRule>
    <cfRule type="containsText" dxfId="71" priority="103" operator="containsText" text="مقبول">
      <formula>NOT(ISERROR(SEARCH("مقبول",H15)))</formula>
    </cfRule>
    <cfRule type="containsText" dxfId="70" priority="104" operator="containsText" text="راسب">
      <formula>NOT(ISERROR(SEARCH("راسب",H15)))</formula>
    </cfRule>
  </conditionalFormatting>
  <conditionalFormatting sqref="F6">
    <cfRule type="containsText" dxfId="69" priority="98" operator="containsText" text="أدخل العلامة">
      <formula>NOT(ISERROR(SEARCH("أدخل العلامة",F6)))</formula>
    </cfRule>
  </conditionalFormatting>
  <conditionalFormatting sqref="H6">
    <cfRule type="containsText" dxfId="68" priority="92" operator="containsText" text="أدخل العلامة">
      <formula>NOT(ISERROR(SEARCH("أدخل العلامة",H6)))</formula>
    </cfRule>
    <cfRule type="containsText" dxfId="67" priority="93" operator="containsText" text="ممتاز">
      <formula>NOT(ISERROR(SEARCH("ممتاز",H6)))</formula>
    </cfRule>
    <cfRule type="containsText" dxfId="66" priority="94" operator="containsText" text="جيد جداً">
      <formula>NOT(ISERROR(SEARCH("جيد جداً",H6)))</formula>
    </cfRule>
    <cfRule type="containsText" dxfId="65" priority="95" operator="containsText" text="جيد">
      <formula>NOT(ISERROR(SEARCH("جيد",H6)))</formula>
    </cfRule>
    <cfRule type="containsText" dxfId="64" priority="96" operator="containsText" text="مقبول">
      <formula>NOT(ISERROR(SEARCH("مقبول",H6)))</formula>
    </cfRule>
    <cfRule type="containsText" dxfId="63" priority="97" operator="containsText" text="راسب">
      <formula>NOT(ISERROR(SEARCH("راسب",H6)))</formula>
    </cfRule>
  </conditionalFormatting>
  <conditionalFormatting sqref="F11">
    <cfRule type="containsText" dxfId="62" priority="91" operator="containsText" text="أدخل العلامة">
      <formula>NOT(ISERROR(SEARCH("أدخل العلامة",F11)))</formula>
    </cfRule>
  </conditionalFormatting>
  <conditionalFormatting sqref="H11">
    <cfRule type="containsText" dxfId="61" priority="85" operator="containsText" text="أدخل العلامة">
      <formula>NOT(ISERROR(SEARCH("أدخل العلامة",H11)))</formula>
    </cfRule>
    <cfRule type="containsText" dxfId="60" priority="86" operator="containsText" text="ممتاز">
      <formula>NOT(ISERROR(SEARCH("ممتاز",H11)))</formula>
    </cfRule>
    <cfRule type="containsText" dxfId="59" priority="87" operator="containsText" text="جيد جداً">
      <formula>NOT(ISERROR(SEARCH("جيد جداً",H11)))</formula>
    </cfRule>
    <cfRule type="containsText" dxfId="58" priority="88" operator="containsText" text="جيد">
      <formula>NOT(ISERROR(SEARCH("جيد",H11)))</formula>
    </cfRule>
    <cfRule type="containsText" dxfId="57" priority="89" operator="containsText" text="مقبول">
      <formula>NOT(ISERROR(SEARCH("مقبول",H11)))</formula>
    </cfRule>
    <cfRule type="containsText" dxfId="56" priority="90" operator="containsText" text="راسب">
      <formula>NOT(ISERROR(SEARCH("راسب",H11)))</formula>
    </cfRule>
  </conditionalFormatting>
  <conditionalFormatting sqref="F12">
    <cfRule type="containsText" dxfId="55" priority="84" operator="containsText" text="أدخل العلامة">
      <formula>NOT(ISERROR(SEARCH("أدخل العلامة",F12)))</formula>
    </cfRule>
  </conditionalFormatting>
  <conditionalFormatting sqref="H12">
    <cfRule type="containsText" dxfId="54" priority="78" operator="containsText" text="أدخل العلامة">
      <formula>NOT(ISERROR(SEARCH("أدخل العلامة",H12)))</formula>
    </cfRule>
    <cfRule type="containsText" dxfId="53" priority="79" operator="containsText" text="ممتاز">
      <formula>NOT(ISERROR(SEARCH("ممتاز",H12)))</formula>
    </cfRule>
    <cfRule type="containsText" dxfId="52" priority="80" operator="containsText" text="جيد جداً">
      <formula>NOT(ISERROR(SEARCH("جيد جداً",H12)))</formula>
    </cfRule>
    <cfRule type="containsText" dxfId="51" priority="81" operator="containsText" text="جيد">
      <formula>NOT(ISERROR(SEARCH("جيد",H12)))</formula>
    </cfRule>
    <cfRule type="containsText" dxfId="50" priority="82" operator="containsText" text="مقبول">
      <formula>NOT(ISERROR(SEARCH("مقبول",H12)))</formula>
    </cfRule>
    <cfRule type="containsText" dxfId="49" priority="83" operator="containsText" text="راسب">
      <formula>NOT(ISERROR(SEARCH("راسب",H12)))</formula>
    </cfRule>
  </conditionalFormatting>
  <conditionalFormatting sqref="F9:F10">
    <cfRule type="containsText" dxfId="48" priority="77" operator="containsText" text="أدخل العلامة">
      <formula>NOT(ISERROR(SEARCH("أدخل العلامة",F9)))</formula>
    </cfRule>
  </conditionalFormatting>
  <conditionalFormatting sqref="H9:H10">
    <cfRule type="containsText" dxfId="47" priority="71" operator="containsText" text="أدخل العلامة">
      <formula>NOT(ISERROR(SEARCH("أدخل العلامة",H9)))</formula>
    </cfRule>
    <cfRule type="containsText" dxfId="46" priority="72" operator="containsText" text="ممتاز">
      <formula>NOT(ISERROR(SEARCH("ممتاز",H9)))</formula>
    </cfRule>
    <cfRule type="containsText" dxfId="45" priority="73" operator="containsText" text="جيد جداً">
      <formula>NOT(ISERROR(SEARCH("جيد جداً",H9)))</formula>
    </cfRule>
    <cfRule type="containsText" dxfId="44" priority="74" operator="containsText" text="جيد">
      <formula>NOT(ISERROR(SEARCH("جيد",H9)))</formula>
    </cfRule>
    <cfRule type="containsText" dxfId="43" priority="75" operator="containsText" text="مقبول">
      <formula>NOT(ISERROR(SEARCH("مقبول",H9)))</formula>
    </cfRule>
    <cfRule type="containsText" dxfId="42" priority="76" operator="containsText" text="راسب">
      <formula>NOT(ISERROR(SEARCH("راسب",H9)))</formula>
    </cfRule>
  </conditionalFormatting>
  <conditionalFormatting sqref="F8">
    <cfRule type="containsText" dxfId="41" priority="70" operator="containsText" text="أدخل العلامة">
      <formula>NOT(ISERROR(SEARCH("أدخل العلامة",F8)))</formula>
    </cfRule>
  </conditionalFormatting>
  <conditionalFormatting sqref="H8">
    <cfRule type="containsText" dxfId="40" priority="64" operator="containsText" text="أدخل العلامة">
      <formula>NOT(ISERROR(SEARCH("أدخل العلامة",H8)))</formula>
    </cfRule>
    <cfRule type="containsText" dxfId="39" priority="65" operator="containsText" text="ممتاز">
      <formula>NOT(ISERROR(SEARCH("ممتاز",H8)))</formula>
    </cfRule>
    <cfRule type="containsText" dxfId="38" priority="66" operator="containsText" text="جيد جداً">
      <formula>NOT(ISERROR(SEARCH("جيد جداً",H8)))</formula>
    </cfRule>
    <cfRule type="containsText" dxfId="37" priority="67" operator="containsText" text="جيد">
      <formula>NOT(ISERROR(SEARCH("جيد",H8)))</formula>
    </cfRule>
    <cfRule type="containsText" dxfId="36" priority="68" operator="containsText" text="مقبول">
      <formula>NOT(ISERROR(SEARCH("مقبول",H8)))</formula>
    </cfRule>
    <cfRule type="containsText" dxfId="35" priority="69" operator="containsText" text="راسب">
      <formula>NOT(ISERROR(SEARCH("راسب",H8)))</formula>
    </cfRule>
  </conditionalFormatting>
  <conditionalFormatting sqref="F17">
    <cfRule type="containsText" dxfId="34" priority="56" operator="containsText" text="أدخل العلامة">
      <formula>NOT(ISERROR(SEARCH("أدخل العلامة",F17)))</formula>
    </cfRule>
  </conditionalFormatting>
  <conditionalFormatting sqref="H17">
    <cfRule type="containsText" dxfId="33" priority="50" operator="containsText" text="أدخل العلامة">
      <formula>NOT(ISERROR(SEARCH("أدخل العلامة",H17)))</formula>
    </cfRule>
    <cfRule type="containsText" dxfId="32" priority="51" operator="containsText" text="ممتاز">
      <formula>NOT(ISERROR(SEARCH("ممتاز",H17)))</formula>
    </cfRule>
    <cfRule type="containsText" dxfId="31" priority="52" operator="containsText" text="جيد جداً">
      <formula>NOT(ISERROR(SEARCH("جيد جداً",H17)))</formula>
    </cfRule>
    <cfRule type="containsText" dxfId="30" priority="53" operator="containsText" text="جيد">
      <formula>NOT(ISERROR(SEARCH("جيد",H17)))</formula>
    </cfRule>
    <cfRule type="containsText" dxfId="29" priority="54" operator="containsText" text="مقبول">
      <formula>NOT(ISERROR(SEARCH("مقبول",H17)))</formula>
    </cfRule>
    <cfRule type="containsText" dxfId="28" priority="55" operator="containsText" text="راسب">
      <formula>NOT(ISERROR(SEARCH("راسب",H17)))</formula>
    </cfRule>
  </conditionalFormatting>
  <conditionalFormatting sqref="F16">
    <cfRule type="containsText" dxfId="27" priority="42" operator="containsText" text="أدخل العلامة">
      <formula>NOT(ISERROR(SEARCH("أدخل العلامة",F16)))</formula>
    </cfRule>
  </conditionalFormatting>
  <conditionalFormatting sqref="H16">
    <cfRule type="containsText" dxfId="26" priority="36" operator="containsText" text="أدخل العلامة">
      <formula>NOT(ISERROR(SEARCH("أدخل العلامة",H16)))</formula>
    </cfRule>
    <cfRule type="containsText" dxfId="25" priority="37" operator="containsText" text="ممتاز">
      <formula>NOT(ISERROR(SEARCH("ممتاز",H16)))</formula>
    </cfRule>
    <cfRule type="containsText" dxfId="24" priority="38" operator="containsText" text="جيد جداً">
      <formula>NOT(ISERROR(SEARCH("جيد جداً",H16)))</formula>
    </cfRule>
    <cfRule type="containsText" dxfId="23" priority="39" operator="containsText" text="جيد">
      <formula>NOT(ISERROR(SEARCH("جيد",H16)))</formula>
    </cfRule>
    <cfRule type="containsText" dxfId="22" priority="40" operator="containsText" text="مقبول">
      <formula>NOT(ISERROR(SEARCH("مقبول",H16)))</formula>
    </cfRule>
    <cfRule type="containsText" dxfId="21" priority="41" operator="containsText" text="راسب">
      <formula>NOT(ISERROR(SEARCH("راسب",H16)))</formula>
    </cfRule>
  </conditionalFormatting>
  <conditionalFormatting sqref="F19:F20">
    <cfRule type="containsText" dxfId="20" priority="21" operator="containsText" text="أدخل العلامة">
      <formula>NOT(ISERROR(SEARCH("أدخل العلامة",F19)))</formula>
    </cfRule>
  </conditionalFormatting>
  <conditionalFormatting sqref="H19:H20">
    <cfRule type="containsText" dxfId="19" priority="15" operator="containsText" text="أدخل العلامة">
      <formula>NOT(ISERROR(SEARCH("أدخل العلامة",H19)))</formula>
    </cfRule>
    <cfRule type="containsText" dxfId="18" priority="16" operator="containsText" text="ممتاز">
      <formula>NOT(ISERROR(SEARCH("ممتاز",H19)))</formula>
    </cfRule>
    <cfRule type="containsText" dxfId="17" priority="17" operator="containsText" text="جيد جداً">
      <formula>NOT(ISERROR(SEARCH("جيد جداً",H19)))</formula>
    </cfRule>
    <cfRule type="containsText" dxfId="16" priority="18" operator="containsText" text="جيد">
      <formula>NOT(ISERROR(SEARCH("جيد",H19)))</formula>
    </cfRule>
    <cfRule type="containsText" dxfId="15" priority="19" operator="containsText" text="مقبول">
      <formula>NOT(ISERROR(SEARCH("مقبول",H19)))</formula>
    </cfRule>
    <cfRule type="containsText" dxfId="14" priority="20" operator="containsText" text="راسب">
      <formula>NOT(ISERROR(SEARCH("راسب",H19)))</formula>
    </cfRule>
  </conditionalFormatting>
  <conditionalFormatting sqref="F18">
    <cfRule type="containsText" dxfId="13" priority="14" operator="containsText" text="أدخل العلامة">
      <formula>NOT(ISERROR(SEARCH("أدخل العلامة",F18)))</formula>
    </cfRule>
  </conditionalFormatting>
  <conditionalFormatting sqref="H18">
    <cfRule type="containsText" dxfId="12" priority="8" operator="containsText" text="أدخل العلامة">
      <formula>NOT(ISERROR(SEARCH("أدخل العلامة",H18)))</formula>
    </cfRule>
    <cfRule type="containsText" dxfId="11" priority="9" operator="containsText" text="ممتاز">
      <formula>NOT(ISERROR(SEARCH("ممتاز",H18)))</formula>
    </cfRule>
    <cfRule type="containsText" dxfId="10" priority="10" operator="containsText" text="جيد جداً">
      <formula>NOT(ISERROR(SEARCH("جيد جداً",H18)))</formula>
    </cfRule>
    <cfRule type="containsText" dxfId="9" priority="11" operator="containsText" text="جيد">
      <formula>NOT(ISERROR(SEARCH("جيد",H18)))</formula>
    </cfRule>
    <cfRule type="containsText" dxfId="8" priority="12" operator="containsText" text="مقبول">
      <formula>NOT(ISERROR(SEARCH("مقبول",H18)))</formula>
    </cfRule>
    <cfRule type="containsText" dxfId="7" priority="13" operator="containsText" text="راسب">
      <formula>NOT(ISERROR(SEARCH("راسب",H18)))</formula>
    </cfRule>
  </conditionalFormatting>
  <conditionalFormatting sqref="F13">
    <cfRule type="containsText" dxfId="6" priority="7" operator="containsText" text="أدخل العلامة">
      <formula>NOT(ISERROR(SEARCH("أدخل العلامة",F13)))</formula>
    </cfRule>
  </conditionalFormatting>
  <conditionalFormatting sqref="H13">
    <cfRule type="containsText" dxfId="5" priority="1" operator="containsText" text="أدخل العلامة">
      <formula>NOT(ISERROR(SEARCH("أدخل العلامة",H13)))</formula>
    </cfRule>
    <cfRule type="containsText" dxfId="4" priority="2" operator="containsText" text="ممتاز">
      <formula>NOT(ISERROR(SEARCH("ممتاز",H13)))</formula>
    </cfRule>
    <cfRule type="containsText" dxfId="3" priority="3" operator="containsText" text="جيد جداً">
      <formula>NOT(ISERROR(SEARCH("جيد جداً",H13)))</formula>
    </cfRule>
    <cfRule type="containsText" dxfId="2" priority="4" operator="containsText" text="جيد">
      <formula>NOT(ISERROR(SEARCH("جيد",H13)))</formula>
    </cfRule>
    <cfRule type="containsText" dxfId="1" priority="5" operator="containsText" text="مقبول">
      <formula>NOT(ISERROR(SEARCH("مقبول",H13)))</formula>
    </cfRule>
    <cfRule type="containsText" dxfId="0" priority="6" operator="containsText" text="راسب">
      <formula>NOT(ISERROR(SEARCH("راسب",H13)))</formula>
    </cfRule>
  </conditionalFormatting>
  <dataValidations count="1">
    <dataValidation allowBlank="1" showInputMessage="1" showErrorMessage="1" sqref="E6:J6" xr:uid="{DAD17AAB-1B57-45CE-8E8B-23F0391D630D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G24:J24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F16 F11:F13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 F15 F17:F20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2026-09-03T04:45:29Z</dcterms:modified>
</cp:coreProperties>
</file>