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83D61537-23B2-4BA1-A7A7-C71E8D8C1183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التقييم'!$A$1:$J$23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5" i="2"/>
  <c r="H15" i="2" s="1"/>
  <c r="F16" i="2" l="1"/>
  <c r="E16" i="2" l="1"/>
  <c r="E17" i="2" l="1"/>
  <c r="E18" i="2" s="1"/>
</calcChain>
</file>

<file path=xl/sharedStrings.xml><?xml version="1.0" encoding="utf-8"?>
<sst xmlns="http://schemas.openxmlformats.org/spreadsheetml/2006/main" count="252" uniqueCount="188">
  <si>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</si>
  <si>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</si>
  <si>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</si>
  <si>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</si>
  <si>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</si>
  <si>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</si>
  <si>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</si>
  <si>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</si>
  <si>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</si>
  <si>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</si>
  <si>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</si>
  <si>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</si>
  <si>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</si>
  <si>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</si>
  <si>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</si>
  <si>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</si>
  <si>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</si>
  <si>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</si>
  <si>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</si>
  <si>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</si>
  <si>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</si>
  <si>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</si>
  <si>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</si>
  <si>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</si>
  <si>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</si>
  <si>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</si>
  <si>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</si>
  <si>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</si>
  <si>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</si>
  <si>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</si>
  <si>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</si>
  <si>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</si>
  <si>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</si>
  <si>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</si>
  <si>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</si>
  <si>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</si>
  <si>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</si>
  <si>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</si>
  <si>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</si>
  <si>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</si>
  <si>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</si>
  <si>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</si>
  <si>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</si>
  <si>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</si>
  <si>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</si>
  <si>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</si>
  <si>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</si>
  <si>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</si>
  <si>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</si>
  <si>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</si>
  <si>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</si>
  <si>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</si>
  <si>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</si>
  <si>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</si>
  <si>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</si>
  <si>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</si>
  <si>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</si>
  <si>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</si>
  <si>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</si>
  <si>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</si>
  <si>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</si>
  <si>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</si>
  <si>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</si>
  <si>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</si>
  <si>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</si>
  <si>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</si>
  <si>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</si>
  <si>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</si>
  <si>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</si>
  <si>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</si>
  <si>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</si>
  <si>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</si>
  <si>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</si>
  <si>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</si>
  <si>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</si>
  <si>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</si>
  <si>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</si>
  <si>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</si>
  <si>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</si>
  <si>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</si>
  <si>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</si>
  <si>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</si>
  <si>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</si>
  <si>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</si>
  <si>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</si>
  <si>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</si>
  <si>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</si>
  <si>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</si>
  <si>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</si>
  <si>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</si>
  <si>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</si>
  <si>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</si>
  <si>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</si>
  <si>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</si>
  <si>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</si>
  <si>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</si>
  <si>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</si>
  <si>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</si>
  <si>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</si>
  <si>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</si>
  <si>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</si>
  <si>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</si>
  <si>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</si>
  <si>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</si>
  <si>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</si>
  <si>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</si>
  <si>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</si>
  <si>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</si>
  <si>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</si>
  <si>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</si>
  <si>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</si>
  <si>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</si>
  <si>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</si>
  <si>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</si>
  <si>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</si>
  <si>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</si>
  <si>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</si>
  <si>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</si>
  <si>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</si>
  <si>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</si>
  <si>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</si>
  <si>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</si>
  <si>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</si>
  <si>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</si>
  <si>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</si>
  <si>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</si>
  <si>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</si>
  <si>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</si>
  <si>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</si>
  <si>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</si>
  <si>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</si>
  <si>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</si>
  <si>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</si>
  <si>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</si>
  <si>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</si>
  <si>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</si>
  <si>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</si>
  <si>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</si>
  <si>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</si>
  <si>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</si>
  <si>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</si>
  <si>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</si>
  <si>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</si>
  <si>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</si>
  <si>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</si>
  <si>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</si>
  <si>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</si>
  <si>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</si>
  <si>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</si>
  <si>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</si>
  <si>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</si>
  <si>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</si>
  <si>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</si>
  <si>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</si>
  <si>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</si>
  <si>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</si>
  <si>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</si>
  <si>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</si>
  <si>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</si>
  <si>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</si>
  <si>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</si>
  <si>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</si>
  <si>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</si>
  <si>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</si>
  <si>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</si>
  <si>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</si>
  <si>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</si>
  <si>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</si>
  <si>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</si>
  <si>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</si>
  <si>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</si>
  <si>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</si>
  <si>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</si>
  <si>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</si>
  <si>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</si>
  <si>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</si>
  <si>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</si>
  <si>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</si>
  <si>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</si>
  <si>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2.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إذا لم يتم كشف الهجوم الجوي المعادي قبل استهدافه إحدى  الوحدات الصديقة، تُصدر الوحدة المتأثرة بالهجوم إنذار حسب إجراءات الإنذار اللاسلكي المحددة مسبقاً</t>
    </r>
  </si>
  <si>
    <r>
      <t>3.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إصدار الإنذار على شبكات القيادة والعمليات والاستخبارات والإدارة والإمداد ويحدد الإنذار اتجاه الهجوم واتجاه طيران الطائرة المعادية.</t>
    </r>
  </si>
  <si>
    <r>
      <t>1.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الإنذار من القيادة على اللاسلكي إلى جميع الوحدات المرؤوسة حسب إجراءات الإنذار اللاسلكي المحددة مسبقاً.</t>
    </r>
  </si>
  <si>
    <r>
      <t>4.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يستخدم مركز القيادة الكلمة الرمزية للإشارة إلى الهجوم الجوي المعادي (تُكرر الكلمة الرمزية ثلاث مرات).</t>
    </r>
  </si>
  <si>
    <r>
      <t>5.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يمكن للقيادة تغيير وضعية أسلحة الدفاع الجوي بسبب وجود طائرات صديقة في منطقة العمليات، ويتخذ القائد هذا القرار حسب طبيعة الموقف.</t>
    </r>
  </si>
  <si>
    <r>
      <t>6.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تنفيذ إجراءات الدفاع السلبي </t>
    </r>
  </si>
  <si>
    <r>
      <t>7.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تنفيذ إجراءات الدفاع الإيجابي </t>
    </r>
  </si>
  <si>
    <r>
      <t>وصف المعضلة:</t>
    </r>
    <r>
      <rPr>
        <sz val="14"/>
        <color rgb="FF000000"/>
        <rFont val="Arial"/>
        <family val="2"/>
      </rPr>
      <t xml:space="preserve"> تقرير عمليات من ركن عمليات المكون البري إلى قيادة مجموعة اللواء يفيد وجود تهديد جوي وشيك في منطقة العمليات يشمل الطائرات المسيرة الإنتحارية والاستطلاع والطائرات المقاتلة والعمودية والضربات الصاروخية</t>
    </r>
  </si>
  <si>
    <r>
      <rPr>
        <b/>
        <sz val="14"/>
        <color rgb="FF000000"/>
        <rFont val="Arial"/>
        <family val="2"/>
      </rPr>
      <t>تقييم رد الفعل على الإنذار بتهديد جوي - اليوم/1 - تقييم معضلة/10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</si>
</sst>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4"/>
      <color theme="1"/>
      <name val="Times New Roman"/>
      <family val="1"/>
    </font>
    <font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49" fontId="5" fillId="0" borderId="24" xfId="0" applyNumberFormat="1" applyFont="1" applyBorder="1" applyAlignment="1" applyProtection="1">
      <alignment horizontal="right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3"/>
  <sheetViews>
    <sheetView rightToLeft="1" tabSelected="1" view="pageBreakPreview" topLeftCell="A7" zoomScale="136" zoomScaleNormal="100" zoomScaleSheetLayoutView="136" workbookViewId="0">
      <selection activeCell="F8" sqref="F8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42" t="s">
        <v>187</v>
      </c>
      <c r="C1" s="42"/>
      <c r="D1" s="42"/>
      <c r="E1" s="42"/>
      <c r="F1" s="42"/>
      <c r="G1" s="42"/>
      <c r="H1" s="42"/>
      <c r="I1" s="42"/>
      <c r="J1" s="42"/>
    </row>
    <row r="2" spans="1:10" ht="45" customHeight="1" x14ac:dyDescent="0.2">
      <c r="B2" s="53" t="s">
        <v>186</v>
      </c>
      <c r="C2" s="53"/>
      <c r="D2" s="53"/>
      <c r="E2" s="53"/>
      <c r="F2" s="53"/>
      <c r="G2" s="53"/>
      <c r="H2" s="53"/>
      <c r="I2" s="53"/>
      <c r="J2" s="53"/>
    </row>
    <row r="3" spans="1:10" ht="30" customHeight="1" x14ac:dyDescent="0.2">
      <c r="B3" s="11" t="s">
        <v>8</v>
      </c>
      <c r="C3" s="48" t="s">
        <v>57</v>
      </c>
      <c r="D3" s="48"/>
      <c r="E3" s="11" t="s">
        <v>7</v>
      </c>
      <c r="F3" s="43" t="s">
        <v>56</v>
      </c>
      <c r="G3" s="43"/>
      <c r="H3" s="43"/>
      <c r="I3" s="43"/>
      <c r="J3" s="43"/>
    </row>
    <row r="4" spans="1:10" ht="30" customHeight="1" x14ac:dyDescent="0.2">
      <c r="B4" s="11" t="s">
        <v>9</v>
      </c>
      <c r="C4" s="48" t="s">
        <v>60</v>
      </c>
      <c r="D4" s="48"/>
      <c r="E4" s="11" t="s">
        <v>6</v>
      </c>
      <c r="F4" s="48" t="s">
        <v>59</v>
      </c>
      <c r="G4" s="48"/>
      <c r="H4" s="48"/>
      <c r="I4" s="48"/>
      <c r="J4" s="48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9"/>
      <c r="B6" s="44" t="s">
        <v>0</v>
      </c>
      <c r="C6" s="45"/>
      <c r="D6" s="45"/>
      <c r="E6" s="49" t="s">
        <v>1</v>
      </c>
      <c r="F6" s="49"/>
      <c r="G6" s="49"/>
      <c r="H6" s="49"/>
      <c r="I6" s="49" t="s">
        <v>2</v>
      </c>
      <c r="J6" s="50"/>
    </row>
    <row r="7" spans="1:10" ht="24.95" customHeight="1" thickBot="1" x14ac:dyDescent="0.25">
      <c r="A7" s="9"/>
      <c r="B7" s="46"/>
      <c r="C7" s="47"/>
      <c r="D7" s="47"/>
      <c r="E7" s="10" t="s">
        <v>3</v>
      </c>
      <c r="F7" s="10" t="s">
        <v>4</v>
      </c>
      <c r="G7" s="10" t="s">
        <v>23</v>
      </c>
      <c r="H7" s="10" t="s">
        <v>24</v>
      </c>
      <c r="I7" s="51"/>
      <c r="J7" s="52"/>
    </row>
    <row r="8" spans="1:10" ht="24.95" customHeight="1" x14ac:dyDescent="0.2">
      <c r="A8" s="9"/>
      <c r="B8" s="33" t="s">
        <v>21</v>
      </c>
      <c r="C8" s="34"/>
      <c r="D8" s="34"/>
      <c r="E8" s="28" t="s">
        <v>18</v>
      </c>
      <c r="F8" s="28" t="s">
        <v>19</v>
      </c>
      <c r="G8" s="28" t="s">
        <v>22</v>
      </c>
      <c r="H8" s="28" t="s">
        <v>20</v>
      </c>
      <c r="I8" s="36" t="s">
        <v>25</v>
      </c>
      <c r="J8" s="37"/>
    </row>
    <row r="9" spans="1:10" ht="50.1" customHeight="1" x14ac:dyDescent="0.2">
      <c r="A9" s="9"/>
      <c r="B9" s="54" t="s">
        <v>181</v>
      </c>
      <c r="C9" s="54"/>
      <c r="D9" s="54"/>
      <c r="E9" s="30">
        <v>3</v>
      </c>
      <c r="F9" s="27" t="s">
        <v>61</v>
      </c>
      <c r="G9" s="31" t="str">
        <f>IFERROR(F9/E9,"")</f>
        <v/>
      </c>
      <c r="H9" s="32" t="str">
        <f>_xlfn.IFS(F9="أدخل العلامة","",F9="لا ينطبق","تم الإلغاء",G9&gt;=90%,"ممتاز",G9&gt;=80%,"جيد جداً",G9&gt;=70%,"جيد",G9&gt;=60%,"مقبول",G9&lt;60%,"راسب")</f>
        <v/>
      </c>
      <c r="I9" s="35"/>
      <c r="J9" s="35"/>
    </row>
    <row r="10" spans="1:10" ht="60" customHeight="1" x14ac:dyDescent="0.2">
      <c r="A10" s="9"/>
      <c r="B10" s="54" t="s">
        <v>179</v>
      </c>
      <c r="C10" s="54"/>
      <c r="D10" s="54"/>
      <c r="E10" s="30">
        <v>3</v>
      </c>
      <c r="F10" s="27" t="s">
        <v>61</v>
      </c>
      <c r="G10" s="31" t="str">
        <f t="shared" ref="G10:G15" si="0">IFERROR(F10/E10,"")</f>
        <v/>
      </c>
      <c r="H10" s="32" t="str">
        <f t="shared" ref="H10:H15" si="1">_xlfn.IFS(F10="أدخل العلامة","",F10="لا ينطبق","تم الإلغاء",G10&gt;=90%,"ممتاز",G10&gt;=80%,"جيد جداً",G10&gt;=70%,"جيد",G10&gt;=60%,"مقبول",G10&lt;60%,"راسب")</f>
        <v/>
      </c>
      <c r="I10" s="35"/>
      <c r="J10" s="35"/>
    </row>
    <row r="11" spans="1:10" ht="60" customHeight="1" x14ac:dyDescent="0.2">
      <c r="A11" s="9"/>
      <c r="B11" s="54" t="s">
        <v>180</v>
      </c>
      <c r="C11" s="54"/>
      <c r="D11" s="54"/>
      <c r="E11" s="30">
        <v>3</v>
      </c>
      <c r="F11" s="27" t="s">
        <v>61</v>
      </c>
      <c r="G11" s="31" t="str">
        <f t="shared" si="0"/>
        <v/>
      </c>
      <c r="H11" s="32" t="str">
        <f t="shared" si="1"/>
        <v/>
      </c>
      <c r="I11" s="35"/>
      <c r="J11" s="35"/>
    </row>
    <row r="12" spans="1:10" ht="39.950000000000003" customHeight="1" x14ac:dyDescent="0.2">
      <c r="A12" s="9"/>
      <c r="B12" s="54" t="s">
        <v>182</v>
      </c>
      <c r="C12" s="54"/>
      <c r="D12" s="54"/>
      <c r="E12" s="30">
        <v>3</v>
      </c>
      <c r="F12" s="27" t="s">
        <v>61</v>
      </c>
      <c r="G12" s="31" t="str">
        <f t="shared" si="0"/>
        <v/>
      </c>
      <c r="H12" s="32" t="str">
        <f t="shared" si="1"/>
        <v/>
      </c>
      <c r="I12" s="35"/>
      <c r="J12" s="35"/>
    </row>
    <row r="13" spans="1:10" ht="60" customHeight="1" x14ac:dyDescent="0.2">
      <c r="A13" s="9"/>
      <c r="B13" s="54" t="s">
        <v>183</v>
      </c>
      <c r="C13" s="54"/>
      <c r="D13" s="54"/>
      <c r="E13" s="30">
        <v>3</v>
      </c>
      <c r="F13" s="27" t="s">
        <v>61</v>
      </c>
      <c r="G13" s="31" t="str">
        <f t="shared" si="0"/>
        <v/>
      </c>
      <c r="H13" s="32" t="str">
        <f t="shared" si="1"/>
        <v/>
      </c>
      <c r="I13" s="35"/>
      <c r="J13" s="35"/>
    </row>
    <row r="14" spans="1:10" ht="39.950000000000003" customHeight="1" x14ac:dyDescent="0.2">
      <c r="A14" s="9"/>
      <c r="B14" s="54" t="s">
        <v>184</v>
      </c>
      <c r="C14" s="54"/>
      <c r="D14" s="54"/>
      <c r="E14" s="30">
        <v>3</v>
      </c>
      <c r="F14" s="27" t="s">
        <v>61</v>
      </c>
      <c r="G14" s="31" t="str">
        <f t="shared" si="0"/>
        <v/>
      </c>
      <c r="H14" s="32" t="str">
        <f t="shared" si="1"/>
        <v/>
      </c>
      <c r="I14" s="35"/>
      <c r="J14" s="35"/>
    </row>
    <row r="15" spans="1:10" ht="39.950000000000003" customHeight="1" x14ac:dyDescent="0.2">
      <c r="A15" s="9"/>
      <c r="B15" s="54" t="s">
        <v>185</v>
      </c>
      <c r="C15" s="54"/>
      <c r="D15" s="54"/>
      <c r="E15" s="30">
        <v>3</v>
      </c>
      <c r="F15" s="27" t="s">
        <v>61</v>
      </c>
      <c r="G15" s="31" t="str">
        <f t="shared" si="0"/>
        <v/>
      </c>
      <c r="H15" s="32" t="str">
        <f t="shared" si="1"/>
        <v/>
      </c>
      <c r="I15" s="35"/>
      <c r="J15" s="35"/>
    </row>
    <row r="16" spans="1:10" ht="30" customHeight="1" thickBot="1" x14ac:dyDescent="0.25">
      <c r="A16" s="4"/>
      <c r="B16" s="68" t="s">
        <v>5</v>
      </c>
      <c r="C16" s="69"/>
      <c r="D16" s="69"/>
      <c r="E16" s="29">
        <f>SUM(E9:E15)</f>
        <v>21</v>
      </c>
      <c r="F16" s="29">
        <f>SUM(F9:F15)</f>
        <v>0</v>
      </c>
      <c r="G16" s="60"/>
      <c r="H16" s="61"/>
      <c r="I16" s="61"/>
      <c r="J16" s="62"/>
    </row>
    <row r="17" spans="1:10" ht="30" customHeight="1" thickBot="1" x14ac:dyDescent="0.25">
      <c r="A17" s="4"/>
      <c r="B17" s="70" t="s">
        <v>54</v>
      </c>
      <c r="C17" s="71"/>
      <c r="D17" s="71"/>
      <c r="E17" s="63">
        <f>F16/E16/100*100</f>
        <v>0</v>
      </c>
      <c r="F17" s="63"/>
      <c r="G17" s="63"/>
      <c r="H17" s="63"/>
      <c r="I17" s="63"/>
      <c r="J17" s="64"/>
    </row>
    <row r="18" spans="1:10" ht="30" customHeight="1" thickBot="1" x14ac:dyDescent="0.25">
      <c r="A18" s="4"/>
      <c r="B18" s="70" t="s">
        <v>55</v>
      </c>
      <c r="C18" s="71"/>
      <c r="D18" s="71"/>
      <c r="E18" s="40" t="str">
        <f>_xlfn.IFS(E17&gt;=90%,"ممتاز",E17&gt;=80%,"جيد جداً",E17&gt;=70%,"جيد",E17&gt;=60%,"مقبول",E17&lt;60%,"راسب")</f>
        <v>راسب</v>
      </c>
      <c r="F18" s="40"/>
      <c r="G18" s="40"/>
      <c r="H18" s="40"/>
      <c r="I18" s="40"/>
      <c r="J18" s="41"/>
    </row>
    <row r="19" spans="1:10" ht="42" customHeight="1" x14ac:dyDescent="0.2">
      <c r="B19" s="72" t="s">
        <v>178</v>
      </c>
      <c r="C19" s="72"/>
      <c r="D19" s="72"/>
      <c r="E19" s="38" t="s">
        <v>52</v>
      </c>
      <c r="F19" s="38"/>
      <c r="G19" s="39" t="s">
        <v>59</v>
      </c>
      <c r="H19" s="39"/>
      <c r="I19" s="39"/>
      <c r="J19" s="39"/>
    </row>
    <row r="20" spans="1:10" ht="51" customHeight="1" x14ac:dyDescent="0.2">
      <c r="A20" s="5"/>
      <c r="B20" s="73"/>
      <c r="C20" s="73"/>
      <c r="D20" s="73"/>
      <c r="E20" s="59" t="s">
        <v>53</v>
      </c>
      <c r="F20" s="59"/>
      <c r="G20" s="65"/>
      <c r="H20" s="65"/>
      <c r="I20" s="65"/>
      <c r="J20" s="65"/>
    </row>
    <row r="21" spans="1:10" ht="15.75" x14ac:dyDescent="0.2">
      <c r="A21" s="24">
        <v>3</v>
      </c>
      <c r="B21" s="55" t="s">
        <v>175</v>
      </c>
      <c r="C21" s="56"/>
    </row>
    <row r="22" spans="1:10" ht="15.75" x14ac:dyDescent="0.2">
      <c r="A22" s="25">
        <v>2</v>
      </c>
      <c r="B22" s="57" t="s">
        <v>176</v>
      </c>
      <c r="C22" s="58"/>
    </row>
    <row r="23" spans="1:10" ht="15.75" x14ac:dyDescent="0.2">
      <c r="A23" s="26">
        <v>1</v>
      </c>
      <c r="B23" s="66" t="s">
        <v>177</v>
      </c>
      <c r="C23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B11:D11"/>
    <mergeCell ref="B12:D12"/>
    <mergeCell ref="B13:D13"/>
    <mergeCell ref="B23:C23"/>
    <mergeCell ref="B16:D16"/>
    <mergeCell ref="B17:D17"/>
    <mergeCell ref="B18:D18"/>
    <mergeCell ref="B19:D20"/>
    <mergeCell ref="B21:C21"/>
    <mergeCell ref="B22:C22"/>
    <mergeCell ref="E20:F20"/>
    <mergeCell ref="G16:J16"/>
    <mergeCell ref="E17:J17"/>
    <mergeCell ref="G20:J20"/>
    <mergeCell ref="B1:J1"/>
    <mergeCell ref="F3:J3"/>
    <mergeCell ref="B6:D7"/>
    <mergeCell ref="C3:D3"/>
    <mergeCell ref="C4:D4"/>
    <mergeCell ref="F4:J4"/>
    <mergeCell ref="E6:H6"/>
    <mergeCell ref="I6:J7"/>
    <mergeCell ref="B2:J2"/>
    <mergeCell ref="B8:D8"/>
    <mergeCell ref="I9:J9"/>
    <mergeCell ref="I8:J8"/>
    <mergeCell ref="I10:J10"/>
    <mergeCell ref="E19:F19"/>
    <mergeCell ref="G19:J19"/>
    <mergeCell ref="E18:J18"/>
    <mergeCell ref="I11:J11"/>
    <mergeCell ref="I12:J12"/>
    <mergeCell ref="I13:J13"/>
    <mergeCell ref="I14:J14"/>
    <mergeCell ref="I15:J15"/>
    <mergeCell ref="B14:D14"/>
    <mergeCell ref="B15:D15"/>
    <mergeCell ref="B9:D9"/>
    <mergeCell ref="B10:D10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8">
    <cfRule type="expression" dxfId="14" priority="57">
      <formula>$E18="راسب"</formula>
    </cfRule>
  </conditionalFormatting>
  <conditionalFormatting sqref="E18:J18">
    <cfRule type="expression" dxfId="13" priority="58">
      <formula>$E18="مقبول"</formula>
    </cfRule>
    <cfRule type="expression" dxfId="12" priority="59">
      <formula>$E18="جيد"</formula>
    </cfRule>
    <cfRule type="expression" dxfId="11" priority="60">
      <formula>$E18="جيد جداً"</formula>
    </cfRule>
    <cfRule type="expression" dxfId="10" priority="61">
      <formula>$E18="ممتاز"</formula>
    </cfRule>
  </conditionalFormatting>
  <conditionalFormatting sqref="F9:F15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19:J19">
    <cfRule type="containsText" dxfId="6" priority="15" operator="containsText" text="أدخل اسم المحكم">
      <formula>NOT(ISERROR(SEARCH("أدخل اسم المحكم",G19)))</formula>
    </cfRule>
  </conditionalFormatting>
  <conditionalFormatting sqref="H9:H15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G19:J19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F9:F15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2025-10-20T08:56:58Z</dcterms:modified>
</cp:coreProperties>
</file>