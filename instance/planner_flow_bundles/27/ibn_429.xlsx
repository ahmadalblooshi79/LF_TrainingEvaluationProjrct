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93A1D892-F4C2-454F-94BA-59B20D9B0409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التقييم'!$A$1:$J$28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F21" i="2" l="1"/>
  <c r="E21" i="2" l="1"/>
  <c r="E22" i="2" l="1"/>
  <c r="E23" i="2" s="1"/>
</calcChain>
</file>

<file path=xl/sharedStrings.xml><?xml version="1.0" encoding="utf-8"?>
<sst xmlns="http://schemas.openxmlformats.org/spreadsheetml/2006/main" count="260" uniqueCount="193">
  <si>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</si>
  <si>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</si>
  <si>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</si>
  <si>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</si>
  <si>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</si>
  <si>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</si>
  <si>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</si>
  <si>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</si>
  <si>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</si>
  <si>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</si>
  <si>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</si>
  <si>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</si>
  <si>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</si>
  <si>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</si>
  <si>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</si>
  <si>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</si>
  <si>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</si>
  <si>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</si>
  <si>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</si>
  <si>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</si>
  <si>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</si>
  <si>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</si>
  <si>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</si>
  <si>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</si>
  <si>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</si>
  <si>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</si>
  <si>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</si>
  <si>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</si>
  <si>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</si>
  <si>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</si>
  <si>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</si>
  <si>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</si>
  <si>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</si>
  <si>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</si>
  <si>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</si>
  <si>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</si>
  <si>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</si>
  <si>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</si>
  <si>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</si>
  <si>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</si>
  <si>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</si>
  <si>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</si>
  <si>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</si>
  <si>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</si>
  <si>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</si>
  <si>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</si>
  <si>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</si>
  <si>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</si>
  <si>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</si>
  <si>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</si>
  <si>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</si>
  <si>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</si>
  <si>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</si>
  <si>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</si>
  <si>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</si>
  <si>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</si>
  <si>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</si>
  <si>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</si>
  <si>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</si>
  <si>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</si>
  <si>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</si>
  <si>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</si>
  <si>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</si>
  <si>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</si>
  <si>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</si>
  <si>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</si>
  <si>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</si>
  <si>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</si>
  <si>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</si>
  <si>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</si>
  <si>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</si>
  <si>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</si>
  <si>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</si>
  <si>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</si>
  <si>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</si>
  <si>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</si>
  <si>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</si>
  <si>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</si>
  <si>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</si>
  <si>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</si>
  <si>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</si>
  <si>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</si>
  <si>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</si>
  <si>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</si>
  <si>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</si>
  <si>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</si>
  <si>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</si>
  <si>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</si>
  <si>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</si>
  <si>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</si>
  <si>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</si>
  <si>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</si>
  <si>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</si>
  <si>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</si>
  <si>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</si>
  <si>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</si>
  <si>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</si>
  <si>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</si>
  <si>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</si>
  <si>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</si>
  <si>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</si>
  <si>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</si>
  <si>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</si>
  <si>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</si>
  <si>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</si>
  <si>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</si>
  <si>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</si>
  <si>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</si>
  <si>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</si>
  <si>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</si>
  <si>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</si>
  <si>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</si>
  <si>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</si>
  <si>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</si>
  <si>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</si>
  <si>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</si>
  <si>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</si>
  <si>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</si>
  <si>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</si>
  <si>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</si>
  <si>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</si>
  <si>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</si>
  <si>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</si>
  <si>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</si>
  <si>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</si>
  <si>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</si>
  <si>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</si>
  <si>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</si>
  <si>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</si>
  <si>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</si>
  <si>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</si>
  <si>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</si>
  <si>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</si>
  <si>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</si>
  <si>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</si>
  <si>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</si>
  <si>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</si>
  <si>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</si>
  <si>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</si>
  <si>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</si>
  <si>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</si>
  <si>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</si>
  <si>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</si>
  <si>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</si>
  <si>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</si>
  <si>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</si>
  <si>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</si>
  <si>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</si>
  <si>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</si>
  <si>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</si>
  <si>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</si>
  <si>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</si>
  <si>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</si>
  <si>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</si>
  <si>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</si>
  <si>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</si>
  <si>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</si>
  <si>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</si>
  <si>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</si>
  <si>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</si>
  <si>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</si>
  <si>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</si>
  <si>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</si>
  <si>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</si>
  <si>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</si>
  <si>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</si>
  <si>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</si>
  <si>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</si>
  <si>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</si>
  <si>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</si>
  <si>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</si>
  <si>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</si>
  <si>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</si>
  <si>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</si>
  <si>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</si>
  <si>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</si>
  <si>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</si>
  <si>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</si>
  <si>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</si>
  <si>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رد المحطات الفرعية عند فرض الصمت اللاسلكي من قبل المحطة الرئيسية: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</si>
  <si>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التقيد بقواعد وأصول المخابرة الصحيحة أثناء الرد.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</si>
  <si>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وضع جميع المحطات على قدرة الارسال على الوضعية (RX).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</si>
  <si>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التزام المحطات في حالة خرق الصمت اللاسلكي بلوحة محادثة المأمور أو كلمة السر المتفق عليها وتوضيح سبب الخرق.</t>
    </r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</si>
  <si>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استثناء كل من الاستطلاع والمدفعية والدفاع الجوي والقوات الجوية من فرض الصمت اللاسلكي.</t>
    </r>
  </si>
  <si>
    <t>إجراءات الوحدات المستثناة أثناء فرض الصمت: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</si>
  <si>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عدم زيادة نشاط الاتصال.</t>
    </r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</si>
  <si>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إنشاء الشبكات أتصال بديلة أو احتياطية قدر الإمكان.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</si>
  <si>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التقيد بقواعد وأصول المخابرة الصحيحة.</t>
    </r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</si>
  <si>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استخدام أسماء رمزية للاحتفاظ على تردد لامكن قد الإمكان.</t>
    </r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</si>
  <si>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الاعتماد على منظومة القيادة والسيطرة كوسيلة رئيسية.</t>
    </r>
  </si>
  <si>
    <r>
      <t>1.</t>
    </r>
    <r>
      <rPr>
        <sz val="12"/>
        <color rgb="FF000000"/>
        <rFont val="Times New Roman"/>
        <family val="1"/>
      </rPr>
      <t xml:space="preserve">       </t>
    </r>
    <r>
      <rPr>
        <b/>
        <u/>
        <sz val="12"/>
        <color rgb="FF000000"/>
        <rFont val="Times New Roman"/>
        <family val="1"/>
      </rPr>
      <t>فرض الصمت اللاسلكي من قبل المحطة الرئيسية</t>
    </r>
    <r>
      <rPr>
        <sz val="12"/>
        <color rgb="FF000000"/>
        <rFont val="Times New Roman"/>
        <family val="1"/>
      </rPr>
      <t xml:space="preserve">: </t>
    </r>
    <r>
      <rPr>
        <sz val="12"/>
        <color rgb="FF000000"/>
        <rFont val="Arial"/>
        <family val="2"/>
      </rPr>
      <t>فرض الصمت اللاسلكي من قبل قيادة اللواء على الكتائب والوحدات المعينة باستخدام لوحة المأمور او كلمة سرية.</t>
    </r>
  </si>
  <si>
    <r>
      <t>وصف المعضلة:</t>
    </r>
    <r>
      <rPr>
        <sz val="14"/>
        <color rgb="FF000000"/>
        <rFont val="Arial"/>
        <family val="2"/>
      </rPr>
      <t xml:space="preserve"> يمتلك العدو وسائل حرب إلكترونية قادرة على تحديد أماكن بث الموجات اللاسلكية لذلك يتم فرض الصمت اللاسلكي لتضلل العدو من تحديد اتجاه حركة قواتنا</t>
    </r>
  </si>
  <si>
    <r>
      <rPr>
        <b/>
        <sz val="14"/>
        <color rgb="FF000000"/>
        <rFont val="Arial"/>
        <family val="2"/>
      </rPr>
      <t>تقييم إجراءات فرض الصمت اللاسلكي - اليوم/1 المعضلة/1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</si>
</sst>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26" xfId="0" applyNumberFormat="1" applyFont="1" applyBorder="1" applyAlignment="1" applyProtection="1">
      <alignment horizontal="right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8"/>
  <sheetViews>
    <sheetView rightToLeft="1" tabSelected="1" view="pageBreakPreview" topLeftCell="A13" zoomScale="115" zoomScaleNormal="100" zoomScaleSheetLayoutView="115" workbookViewId="0">
      <selection activeCell="F17" sqref="F17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73" t="s">
        <v>192</v>
      </c>
      <c r="C1" s="73"/>
      <c r="D1" s="73"/>
      <c r="E1" s="73"/>
      <c r="F1" s="73"/>
      <c r="G1" s="73"/>
      <c r="H1" s="73"/>
      <c r="I1" s="73"/>
      <c r="J1" s="73"/>
    </row>
    <row r="2" spans="1:10" ht="45" customHeight="1" x14ac:dyDescent="0.2">
      <c r="B2" s="84" t="s">
        <v>191</v>
      </c>
      <c r="C2" s="84"/>
      <c r="D2" s="84"/>
      <c r="E2" s="84"/>
      <c r="F2" s="84"/>
      <c r="G2" s="84"/>
      <c r="H2" s="84"/>
      <c r="I2" s="84"/>
      <c r="J2" s="84"/>
    </row>
    <row r="3" spans="1:10" ht="30" customHeight="1" x14ac:dyDescent="0.2">
      <c r="B3" s="11" t="s">
        <v>8</v>
      </c>
      <c r="C3" s="79" t="s">
        <v>57</v>
      </c>
      <c r="D3" s="79"/>
      <c r="E3" s="11" t="s">
        <v>7</v>
      </c>
      <c r="F3" s="74" t="s">
        <v>56</v>
      </c>
      <c r="G3" s="74"/>
      <c r="H3" s="74"/>
      <c r="I3" s="74"/>
      <c r="J3" s="74"/>
    </row>
    <row r="4" spans="1:10" ht="30" customHeight="1" x14ac:dyDescent="0.2">
      <c r="B4" s="11" t="s">
        <v>9</v>
      </c>
      <c r="C4" s="79" t="s">
        <v>60</v>
      </c>
      <c r="D4" s="79"/>
      <c r="E4" s="11" t="s">
        <v>6</v>
      </c>
      <c r="F4" s="79" t="s">
        <v>59</v>
      </c>
      <c r="G4" s="79"/>
      <c r="H4" s="79"/>
      <c r="I4" s="79"/>
      <c r="J4" s="7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75" t="s">
        <v>0</v>
      </c>
      <c r="C6" s="76"/>
      <c r="D6" s="76"/>
      <c r="E6" s="80" t="s">
        <v>1</v>
      </c>
      <c r="F6" s="80"/>
      <c r="G6" s="80"/>
      <c r="H6" s="80"/>
      <c r="I6" s="80" t="s">
        <v>2</v>
      </c>
      <c r="J6" s="81"/>
    </row>
    <row r="7" spans="1:10" ht="24.95" customHeight="1" thickBot="1" x14ac:dyDescent="0.25">
      <c r="A7" s="9"/>
      <c r="B7" s="77"/>
      <c r="C7" s="78"/>
      <c r="D7" s="78"/>
      <c r="E7" s="10" t="s">
        <v>3</v>
      </c>
      <c r="F7" s="10" t="s">
        <v>4</v>
      </c>
      <c r="G7" s="10" t="s">
        <v>23</v>
      </c>
      <c r="H7" s="10" t="s">
        <v>24</v>
      </c>
      <c r="I7" s="82"/>
      <c r="J7" s="83"/>
    </row>
    <row r="8" spans="1:10" ht="24.95" customHeight="1" x14ac:dyDescent="0.2">
      <c r="A8" s="9"/>
      <c r="B8" s="87" t="s">
        <v>21</v>
      </c>
      <c r="C8" s="88"/>
      <c r="D8" s="88"/>
      <c r="E8" s="29" t="s">
        <v>18</v>
      </c>
      <c r="F8" s="29" t="s">
        <v>19</v>
      </c>
      <c r="G8" s="29" t="s">
        <v>22</v>
      </c>
      <c r="H8" s="29" t="s">
        <v>20</v>
      </c>
      <c r="I8" s="89" t="s">
        <v>25</v>
      </c>
      <c r="J8" s="90"/>
    </row>
    <row r="9" spans="1:10" ht="59.25" customHeight="1" thickBot="1" x14ac:dyDescent="0.25">
      <c r="A9" s="9"/>
      <c r="B9" s="85" t="s">
        <v>190</v>
      </c>
      <c r="C9" s="86"/>
      <c r="D9" s="86"/>
      <c r="E9" s="38">
        <v>3</v>
      </c>
      <c r="F9" s="41" t="s">
        <v>61</v>
      </c>
      <c r="G9" s="39" t="str">
        <f>IFERROR(F9/E9,"")</f>
        <v/>
      </c>
      <c r="H9" s="40" t="str">
        <f>_xlfn.IFS(F9="أدخل العلامة","",F9="لا ينطبق","تم الإلغاء",G9&gt;=90%,"ممتاز",G9&gt;=80%,"جيد جداً",G9&gt;=70%,"جيد",G9&gt;=60%,"مقبول",G9&lt;60%,"راسب")</f>
        <v/>
      </c>
      <c r="I9" s="60"/>
      <c r="J9" s="61"/>
    </row>
    <row r="10" spans="1:10" ht="39.950000000000003" customHeight="1" x14ac:dyDescent="0.2">
      <c r="A10" s="9"/>
      <c r="B10" s="54" t="s">
        <v>179</v>
      </c>
      <c r="C10" s="55"/>
      <c r="D10" s="55"/>
      <c r="E10" s="34"/>
      <c r="F10" s="35"/>
      <c r="G10" s="36"/>
      <c r="H10" s="37"/>
      <c r="I10" s="91"/>
      <c r="J10" s="92"/>
    </row>
    <row r="11" spans="1:10" ht="30" customHeight="1" x14ac:dyDescent="0.2">
      <c r="A11" s="9"/>
      <c r="B11" s="56" t="s">
        <v>180</v>
      </c>
      <c r="C11" s="57"/>
      <c r="D11" s="57"/>
      <c r="E11" s="31">
        <v>3</v>
      </c>
      <c r="F11" s="41" t="s">
        <v>61</v>
      </c>
      <c r="G11" s="32" t="str">
        <f t="shared" ref="G11:G20" si="0">IFERROR(F11/E11,"")</f>
        <v/>
      </c>
      <c r="H11" s="33" t="str">
        <f t="shared" ref="H11:H20" si="1">_xlfn.IFS(F11="أدخل العلامة","",F11="لا ينطبق","تم الإلغاء",G11&gt;=90%,"ممتاز",G11&gt;=80%,"جيد جداً",G11&gt;=70%,"جيد",G11&gt;=60%,"مقبول",G11&lt;60%,"راسب")</f>
        <v/>
      </c>
      <c r="I11" s="58"/>
      <c r="J11" s="59"/>
    </row>
    <row r="12" spans="1:10" ht="30" customHeight="1" x14ac:dyDescent="0.2">
      <c r="A12" s="9"/>
      <c r="B12" s="56" t="s">
        <v>181</v>
      </c>
      <c r="C12" s="57"/>
      <c r="D12" s="57"/>
      <c r="E12" s="31">
        <v>3</v>
      </c>
      <c r="F12" s="41" t="s">
        <v>61</v>
      </c>
      <c r="G12" s="32" t="str">
        <f t="shared" si="0"/>
        <v/>
      </c>
      <c r="H12" s="33" t="str">
        <f t="shared" si="1"/>
        <v/>
      </c>
      <c r="I12" s="58"/>
      <c r="J12" s="59"/>
    </row>
    <row r="13" spans="1:10" ht="30" customHeight="1" x14ac:dyDescent="0.2">
      <c r="A13" s="9"/>
      <c r="B13" s="56" t="s">
        <v>189</v>
      </c>
      <c r="C13" s="57"/>
      <c r="D13" s="57"/>
      <c r="E13" s="31">
        <v>3</v>
      </c>
      <c r="F13" s="41" t="s">
        <v>61</v>
      </c>
      <c r="G13" s="32" t="str">
        <f t="shared" si="0"/>
        <v/>
      </c>
      <c r="H13" s="33" t="str">
        <f t="shared" si="1"/>
        <v/>
      </c>
      <c r="I13" s="58"/>
      <c r="J13" s="59"/>
    </row>
    <row r="14" spans="1:10" ht="39.950000000000003" customHeight="1" x14ac:dyDescent="0.2">
      <c r="A14" s="9"/>
      <c r="B14" s="56" t="s">
        <v>182</v>
      </c>
      <c r="C14" s="57"/>
      <c r="D14" s="57"/>
      <c r="E14" s="31">
        <v>3</v>
      </c>
      <c r="F14" s="41" t="s">
        <v>61</v>
      </c>
      <c r="G14" s="32" t="str">
        <f t="shared" si="0"/>
        <v/>
      </c>
      <c r="H14" s="33" t="str">
        <f t="shared" si="1"/>
        <v/>
      </c>
      <c r="I14" s="58"/>
      <c r="J14" s="59"/>
    </row>
    <row r="15" spans="1:10" ht="39.950000000000003" customHeight="1" thickBot="1" x14ac:dyDescent="0.25">
      <c r="A15" s="9"/>
      <c r="B15" s="85" t="s">
        <v>183</v>
      </c>
      <c r="C15" s="86"/>
      <c r="D15" s="86"/>
      <c r="E15" s="38">
        <v>3</v>
      </c>
      <c r="F15" s="41" t="s">
        <v>61</v>
      </c>
      <c r="G15" s="39" t="str">
        <f t="shared" si="0"/>
        <v/>
      </c>
      <c r="H15" s="40" t="str">
        <f t="shared" si="1"/>
        <v/>
      </c>
      <c r="I15" s="60"/>
      <c r="J15" s="61"/>
    </row>
    <row r="16" spans="1:10" ht="30" customHeight="1" x14ac:dyDescent="0.2">
      <c r="A16" s="9"/>
      <c r="B16" s="54" t="s">
        <v>184</v>
      </c>
      <c r="C16" s="55"/>
      <c r="D16" s="55"/>
      <c r="E16" s="34"/>
      <c r="F16" s="35"/>
      <c r="G16" s="36"/>
      <c r="H16" s="37"/>
      <c r="I16" s="91"/>
      <c r="J16" s="92"/>
    </row>
    <row r="17" spans="1:10" ht="30" customHeight="1" x14ac:dyDescent="0.2">
      <c r="A17" s="9"/>
      <c r="B17" s="56" t="s">
        <v>185</v>
      </c>
      <c r="C17" s="57"/>
      <c r="D17" s="57"/>
      <c r="E17" s="31">
        <v>3</v>
      </c>
      <c r="F17" s="41" t="s">
        <v>61</v>
      </c>
      <c r="G17" s="32" t="str">
        <f t="shared" si="0"/>
        <v/>
      </c>
      <c r="H17" s="33" t="str">
        <f t="shared" si="1"/>
        <v/>
      </c>
      <c r="I17" s="58"/>
      <c r="J17" s="59"/>
    </row>
    <row r="18" spans="1:10" ht="30" customHeight="1" x14ac:dyDescent="0.2">
      <c r="A18" s="9"/>
      <c r="B18" s="56" t="s">
        <v>186</v>
      </c>
      <c r="C18" s="57"/>
      <c r="D18" s="57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58"/>
      <c r="J18" s="59"/>
    </row>
    <row r="19" spans="1:10" ht="30" customHeight="1" x14ac:dyDescent="0.2">
      <c r="A19" s="9"/>
      <c r="B19" s="56" t="s">
        <v>187</v>
      </c>
      <c r="C19" s="57"/>
      <c r="D19" s="57"/>
      <c r="E19" s="31">
        <v>3</v>
      </c>
      <c r="F19" s="41" t="s">
        <v>61</v>
      </c>
      <c r="G19" s="32" t="str">
        <f t="shared" si="0"/>
        <v/>
      </c>
      <c r="H19" s="33" t="str">
        <f t="shared" si="1"/>
        <v/>
      </c>
      <c r="I19" s="58"/>
      <c r="J19" s="59"/>
    </row>
    <row r="20" spans="1:10" ht="30" customHeight="1" thickBot="1" x14ac:dyDescent="0.25">
      <c r="A20" s="9"/>
      <c r="B20" s="85" t="s">
        <v>188</v>
      </c>
      <c r="C20" s="86"/>
      <c r="D20" s="86"/>
      <c r="E20" s="38">
        <v>3</v>
      </c>
      <c r="F20" s="41" t="s">
        <v>61</v>
      </c>
      <c r="G20" s="39" t="str">
        <f t="shared" si="0"/>
        <v/>
      </c>
      <c r="H20" s="40" t="str">
        <f t="shared" si="1"/>
        <v/>
      </c>
      <c r="I20" s="60"/>
      <c r="J20" s="61"/>
    </row>
    <row r="21" spans="1:10" ht="30" customHeight="1" thickBot="1" x14ac:dyDescent="0.25">
      <c r="A21" s="4"/>
      <c r="B21" s="46" t="s">
        <v>5</v>
      </c>
      <c r="C21" s="47"/>
      <c r="D21" s="47"/>
      <c r="E21" s="30">
        <f>SUM(E9:E20)</f>
        <v>30</v>
      </c>
      <c r="F21" s="30">
        <f>SUM(F9:F20)</f>
        <v>0</v>
      </c>
      <c r="G21" s="67"/>
      <c r="H21" s="68"/>
      <c r="I21" s="68"/>
      <c r="J21" s="69"/>
    </row>
    <row r="22" spans="1:10" ht="30" customHeight="1" thickBot="1" x14ac:dyDescent="0.25">
      <c r="A22" s="4"/>
      <c r="B22" s="48" t="s">
        <v>54</v>
      </c>
      <c r="C22" s="49"/>
      <c r="D22" s="49"/>
      <c r="E22" s="70">
        <f>F21/E21/100*100</f>
        <v>0</v>
      </c>
      <c r="F22" s="70"/>
      <c r="G22" s="70"/>
      <c r="H22" s="70"/>
      <c r="I22" s="70"/>
      <c r="J22" s="71"/>
    </row>
    <row r="23" spans="1:10" ht="30" customHeight="1" thickBot="1" x14ac:dyDescent="0.25">
      <c r="A23" s="4"/>
      <c r="B23" s="48" t="s">
        <v>55</v>
      </c>
      <c r="C23" s="49"/>
      <c r="D23" s="49"/>
      <c r="E23" s="64" t="str">
        <f>_xlfn.IFS(E22&gt;=90%,"ممتاز",E22&gt;=80%,"جيد جداً",E22&gt;=70%,"جيد",E22&gt;=60%,"مقبول",E22&lt;60%,"راسب")</f>
        <v>راسب</v>
      </c>
      <c r="F23" s="64"/>
      <c r="G23" s="64"/>
      <c r="H23" s="64"/>
      <c r="I23" s="64"/>
      <c r="J23" s="65"/>
    </row>
    <row r="24" spans="1:10" ht="42" customHeight="1" x14ac:dyDescent="0.2">
      <c r="B24" s="52" t="s">
        <v>178</v>
      </c>
      <c r="C24" s="52"/>
      <c r="D24" s="52"/>
      <c r="E24" s="72" t="s">
        <v>52</v>
      </c>
      <c r="F24" s="72"/>
      <c r="G24" s="62" t="s">
        <v>59</v>
      </c>
      <c r="H24" s="62"/>
      <c r="I24" s="62"/>
      <c r="J24" s="62"/>
    </row>
    <row r="25" spans="1:10" ht="51" customHeight="1" x14ac:dyDescent="0.2">
      <c r="A25" s="5"/>
      <c r="B25" s="53"/>
      <c r="C25" s="53"/>
      <c r="D25" s="53"/>
      <c r="E25" s="66" t="s">
        <v>53</v>
      </c>
      <c r="F25" s="66"/>
      <c r="G25" s="63"/>
      <c r="H25" s="63"/>
      <c r="I25" s="63"/>
      <c r="J25" s="63"/>
    </row>
    <row r="26" spans="1:10" ht="15.75" x14ac:dyDescent="0.2">
      <c r="A26" s="25">
        <v>3</v>
      </c>
      <c r="B26" s="50" t="s">
        <v>175</v>
      </c>
      <c r="C26" s="51"/>
    </row>
    <row r="27" spans="1:10" ht="15.75" x14ac:dyDescent="0.2">
      <c r="A27" s="26">
        <v>2</v>
      </c>
      <c r="B27" s="42" t="s">
        <v>176</v>
      </c>
      <c r="C27" s="43"/>
    </row>
    <row r="28" spans="1:10" ht="15.75" x14ac:dyDescent="0.2">
      <c r="A28" s="27">
        <v>1</v>
      </c>
      <c r="B28" s="44" t="s">
        <v>177</v>
      </c>
      <c r="C28" s="4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9">
    <mergeCell ref="B19:D19"/>
    <mergeCell ref="B20:D20"/>
    <mergeCell ref="B8:D8"/>
    <mergeCell ref="I9:J9"/>
    <mergeCell ref="B9:D9"/>
    <mergeCell ref="B10:D10"/>
    <mergeCell ref="I8:J8"/>
    <mergeCell ref="I10:J10"/>
    <mergeCell ref="B11:D11"/>
    <mergeCell ref="B12:D12"/>
    <mergeCell ref="B13:D13"/>
    <mergeCell ref="B14:D14"/>
    <mergeCell ref="B15:D15"/>
    <mergeCell ref="I16:J16"/>
    <mergeCell ref="I17:J17"/>
    <mergeCell ref="I18:J18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G24:J24"/>
    <mergeCell ref="G25:J25"/>
    <mergeCell ref="E23:J23"/>
    <mergeCell ref="I19:J19"/>
    <mergeCell ref="I20:J20"/>
    <mergeCell ref="E25:F25"/>
    <mergeCell ref="G21:J21"/>
    <mergeCell ref="E22:J22"/>
    <mergeCell ref="E24:F24"/>
    <mergeCell ref="B16:D16"/>
    <mergeCell ref="B17:D17"/>
    <mergeCell ref="B18:D18"/>
    <mergeCell ref="I11:J11"/>
    <mergeCell ref="I12:J12"/>
    <mergeCell ref="I13:J13"/>
    <mergeCell ref="I14:J14"/>
    <mergeCell ref="I15:J15"/>
    <mergeCell ref="B27:C27"/>
    <mergeCell ref="B28:C28"/>
    <mergeCell ref="B21:D21"/>
    <mergeCell ref="B22:D22"/>
    <mergeCell ref="B23:D23"/>
    <mergeCell ref="B26:C26"/>
    <mergeCell ref="B24:D25"/>
  </mergeCells>
  <conditionalFormatting sqref="E23">
    <cfRule type="expression" dxfId="21" priority="57">
      <formula>$E23="راسب"</formula>
    </cfRule>
  </conditionalFormatting>
  <conditionalFormatting sqref="E23:J23">
    <cfRule type="expression" dxfId="20" priority="58">
      <formula>$E23="مقبول"</formula>
    </cfRule>
    <cfRule type="expression" dxfId="19" priority="59">
      <formula>$E23="جيد"</formula>
    </cfRule>
    <cfRule type="expression" dxfId="18" priority="60">
      <formula>$E23="جيد جداً"</formula>
    </cfRule>
    <cfRule type="expression" dxfId="17" priority="61">
      <formula>$E23="ممتاز"</formula>
    </cfRule>
  </conditionalFormatting>
  <conditionalFormatting sqref="H10:H20">
    <cfRule type="containsText" dxfId="16" priority="39" operator="containsText" text="ممتاز">
      <formula>NOT(ISERROR(SEARCH("ممتاز",H10)))</formula>
    </cfRule>
    <cfRule type="containsText" dxfId="15" priority="40" operator="containsText" text="جيد جداً">
      <formula>NOT(ISERROR(SEARCH("جيد جداً",H10)))</formula>
    </cfRule>
    <cfRule type="containsText" dxfId="14" priority="41" operator="containsText" text="جيد">
      <formula>NOT(ISERROR(SEARCH("جيد",H10)))</formula>
    </cfRule>
    <cfRule type="containsText" dxfId="13" priority="42" operator="containsText" text="مقبول">
      <formula>NOT(ISERROR(SEARCH("مقبول",H10)))</formula>
    </cfRule>
    <cfRule type="containsText" dxfId="12" priority="43" operator="containsText" text="راسب">
      <formula>NOT(ISERROR(SEARCH("راسب",H10)))</formula>
    </cfRule>
  </conditionalFormatting>
  <conditionalFormatting sqref="H10:H20 F9:F20">
    <cfRule type="containsText" dxfId="11" priority="38" operator="containsText" text="أدخل العلامة">
      <formula>NOT(ISERROR(SEARCH("أدخل العلامة",F9)))</formula>
    </cfRule>
  </conditionalFormatting>
  <conditionalFormatting sqref="F3:J3">
    <cfRule type="containsText" dxfId="10" priority="19" operator="containsText" text="أدخل التاريخ">
      <formula>NOT(ISERROR(SEARCH("أدخل التاريخ",F3)))</formula>
    </cfRule>
  </conditionalFormatting>
  <conditionalFormatting sqref="C3:D3">
    <cfRule type="containsText" dxfId="9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8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9">
    <cfRule type="containsText" dxfId="5" priority="6" operator="containsText" text="ممتاز">
      <formula>NOT(ISERROR(SEARCH("ممتاز",H9)))</formula>
    </cfRule>
    <cfRule type="containsText" dxfId="4" priority="7" operator="containsText" text="جيد جداً">
      <formula>NOT(ISERROR(SEARCH("جيد جداً",H9)))</formula>
    </cfRule>
    <cfRule type="containsText" dxfId="3" priority="8" operator="containsText" text="جيد">
      <formula>NOT(ISERROR(SEARCH("جيد",H9)))</formula>
    </cfRule>
    <cfRule type="containsText" dxfId="2" priority="9" operator="containsText" text="مقبول">
      <formula>NOT(ISERROR(SEARCH("مقبول",H9)))</formula>
    </cfRule>
    <cfRule type="containsText" dxfId="1" priority="10" operator="containsText" text="راسب">
      <formula>NOT(ISERROR(SEARCH("راسب",H9)))</formula>
    </cfRule>
  </conditionalFormatting>
  <conditionalFormatting sqref="H9">
    <cfRule type="containsText" dxfId="0" priority="5" operator="containsText" text="أدخل العلامة">
      <formula>NOT(ISERROR(SEARCH("أدخل العلامة",H9)))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F7E594-963B-4BEF-BF13-168E95DB755C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6F40239F-A076-4C22-9C56-46D9E4E96516}">
          <x14:formula1>
            <xm:f>'بيانات التقييم'!$A$161:$A$248</xm:f>
          </x14:formula1>
          <xm:sqref>G24:J24 F4:J4</xm:sqref>
        </x14:dataValidation>
        <x14:dataValidation type="list" allowBlank="1" showInputMessage="1" showErrorMessage="1" xr:uid="{52359CAA-1E69-456C-ABE3-0AF77DB8558C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7EB3534D-2C0C-4350-9B60-F8B9C7D81C9F}">
          <x14:formula1>
            <xm:f>'بيانات التقييم'!$A$74:$A$88</xm:f>
          </x14:formula1>
          <xm:sqref>F9 F11:F15 F17:F20</xm:sqref>
        </x14:dataValidation>
        <x14:dataValidation type="list" allowBlank="1" showInputMessage="1" showErrorMessage="1" xr:uid="{CA90FD35-CC50-4913-BDED-5E8C5D2A9AD8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8" workbookViewId="0">
      <selection activeCell="A70" sqref="A70:XFD7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4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4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4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4" t="s">
        <v>152</v>
      </c>
    </row>
    <row r="227" spans="1:1" ht="20.100000000000001" customHeight="1" x14ac:dyDescent="0.2">
      <c r="A227" s="24" t="s">
        <v>153</v>
      </c>
    </row>
    <row r="228" spans="1:1" ht="20.100000000000001" customHeight="1" x14ac:dyDescent="0.2">
      <c r="A228" s="24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4" t="s">
        <v>159</v>
      </c>
    </row>
    <row r="234" spans="1:1" ht="20.100000000000001" customHeight="1" x14ac:dyDescent="0.2">
      <c r="A234" s="24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4" t="s">
        <v>162</v>
      </c>
    </row>
    <row r="237" spans="1:1" ht="20.100000000000001" customHeight="1" x14ac:dyDescent="0.2">
      <c r="A237" s="24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4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4" t="s">
        <v>171</v>
      </c>
    </row>
    <row r="246" spans="1:1" ht="20.100000000000001" customHeight="1" x14ac:dyDescent="0.2">
      <c r="A246" s="24" t="s">
        <v>172</v>
      </c>
    </row>
    <row r="247" spans="1:1" ht="20.100000000000001" customHeight="1" x14ac:dyDescent="0.2">
      <c r="A247" s="24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2025-10-22T03:28:49Z</dcterms:modified>
</cp:coreProperties>
</file>