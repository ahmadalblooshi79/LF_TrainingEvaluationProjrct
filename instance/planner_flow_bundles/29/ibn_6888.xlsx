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72BE887-8E01-47B4-8329-2433388A3B5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  <externalReference r:id="rId4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H21" i="2" s="1"/>
  <c r="G20" i="2"/>
  <c r="H20" i="2" s="1"/>
  <c r="G19" i="2"/>
  <c r="H19" i="2" s="1"/>
  <c r="H18" i="2"/>
  <c r="G18" i="2"/>
  <c r="G17" i="2"/>
  <c r="H17" i="2" s="1"/>
  <c r="G15" i="2"/>
  <c r="H15" i="2" s="1"/>
  <c r="G14" i="2"/>
  <c r="H14" i="2" s="1"/>
  <c r="G13" i="2"/>
  <c r="H13" i="2" s="1"/>
  <c r="H12" i="2"/>
  <c r="G12" i="2"/>
  <c r="G11" i="2"/>
  <c r="H11" i="2" s="1"/>
  <c r="G10" i="2"/>
  <c r="H10" i="2" s="1"/>
  <c r="G24" i="2" l="1"/>
  <c r="H24" i="2" s="1"/>
  <c r="G23" i="2"/>
  <c r="H23" i="2" s="1"/>
  <c r="G22" i="2"/>
  <c r="H22" i="2" s="1"/>
  <c r="G9" i="2"/>
  <c r="H9" i="2" s="1"/>
  <c r="G8" i="2"/>
  <c r="H8" i="2" s="1"/>
  <c r="F29" i="2" l="1"/>
  <c r="E29" i="2"/>
  <c r="G6" i="2"/>
  <c r="H6" i="2" s="1"/>
  <c r="G26" i="2"/>
  <c r="H26" i="2" s="1"/>
  <c r="G28" i="2"/>
  <c r="H28" i="2" s="1"/>
  <c r="G27" i="2"/>
  <c r="H27" i="2" s="1"/>
  <c r="G7" i="2"/>
  <c r="H7" i="2" s="1"/>
  <c r="G25" i="2" l="1"/>
  <c r="H25" i="2" s="1"/>
  <c r="E30" i="2" l="1"/>
  <c r="E31" i="2" s="1"/>
</calcChain>
</file>

<file path=xl/sharedStrings.xml><?xml version="1.0" encoding="utf-8"?>
<sst xmlns="http://schemas.openxmlformats.org/spreadsheetml/2006/main" count="130" uniqueCount="94">
  <si>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</si>
  <si>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</si>
  <si>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</si>
  <si>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</si>
  <si>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</si>
  <si>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</si>
  <si>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</si>
  <si>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</si>
  <si>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</si>
  <si>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</si>
  <si>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</si>
  <si>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</si>
  <si>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</si>
  <si>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</si>
  <si>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</si>
  <si>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</si>
  <si>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</si>
  <si>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</si>
  <si>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</si>
  <si>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</si>
  <si>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</si>
  <si>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</si>
  <si>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</si>
  <si>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</si>
  <si>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</si>
  <si>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</si>
  <si>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</si>
  <si>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</si>
  <si>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</si>
  <si>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</si>
  <si>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</si>
  <si>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</si>
  <si>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</si>
  <si>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</si>
  <si>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</si>
  <si>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</si>
  <si>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</si>
  <si>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</si>
  <si>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</si>
  <si>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</si>
  <si>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</si>
  <si>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</si>
  <si>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</si>
  <si>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</si>
  <si>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</si>
  <si>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</si>
  <si>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</si>
  <si>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</si>
  <si>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</si>
  <si>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</si>
  <si>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</si>
  <si>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</si>
  <si>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</si>
  <si>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</si>
  <si>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</si>
  <si>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</si>
  <si>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</si>
  <si>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</si>
  <si>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</si>
  <si>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</si>
  <si>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</si>
  <si>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</si>
  <si>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</si>
  <si>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</si>
  <si>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</si>
  <si>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</si>
  <si>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</si>
  <si>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</si>
  <si>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</si>
  <si>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</si>
  <si>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2.    استخدام الكلمة الرمزية للإشارة إلى التهديد الجوي المعادي (تُكرر الكلمة الرمزية ثلاث مرات).</t>
  </si>
  <si>
    <t>3.    إصدار الإنذار على شبكات القيادة والعمليات والاستخبارات والإدارة والإمداد ويحدد الإنذار اتجاه التهديد المعادي.</t>
  </si>
  <si>
    <t>1.    انذار جميع الوحدات بالتهديد الجوي المعادي وذلك على اللاسلكي أو من خلال منظومة القيادة والسيطرة وحسب إجراءات الإنذار المحددة مسبقاً.</t>
  </si>
  <si>
    <r>
      <rPr>
        <sz val="14"/>
        <color rgb="FF000000"/>
        <rFont val="Arial"/>
        <family val="2"/>
      </rPr>
      <t>4.</t>
    </r>
    <r>
      <rPr>
        <sz val="14"/>
        <color rgb="FF000000"/>
        <rFont val="Times New Roman"/>
        <family val="1"/>
      </rPr>
      <t>     </t>
    </r>
    <r>
      <rPr>
        <b/>
        <sz val="14"/>
        <color rgb="FF000000"/>
        <rFont val="Times New Roman"/>
        <family val="1"/>
      </rPr>
      <t>تنفيذ إجراءات الانتشار والدفاع الجوي السلبي وكما يلي:</t>
    </r>
  </si>
  <si>
    <r>
      <rPr>
        <sz val="14"/>
        <color rgb="FF000000"/>
        <rFont val="Arial"/>
        <family val="2"/>
      </rPr>
      <t>5.</t>
    </r>
    <r>
      <rPr>
        <sz val="14"/>
        <color rgb="FF000000"/>
        <rFont val="Times New Roman"/>
        <family val="1"/>
      </rPr>
      <t>     </t>
    </r>
    <r>
      <rPr>
        <b/>
        <sz val="14"/>
        <color rgb="FF000000"/>
        <rFont val="Times New Roman"/>
        <family val="1"/>
      </rPr>
      <t>تنفيذ إجراءات الدفاع الجوي الإيجابي وكما يلي:</t>
    </r>
  </si>
  <si>
    <r>
      <t>6.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</si>
  <si>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7.    التنسيق مع قائد مجموعة اللواء لحماية الأهداف ذات الأولوية.</t>
  </si>
  <si>
    <t>8.    تمرير الأهداف الى وحدات الدفاع الجوي المجاورة.</t>
  </si>
  <si>
    <t>9.    تمرير بيانات الأهداف إلى وحدات الدفاع الجوي الأمامية (الكتف).</t>
  </si>
  <si>
    <t>10.    تغيير وضعية أسلحة الدفاع الجوي إذا تواجدت طائرات صديقة في منطقة العمليات، ويتخذ القائد هذا القرار حسب طبيعة الموقف.</t>
  </si>
  <si>
    <t>11.    التعامل مع أخطر وأقرب هدف والذي يشكل خطورة على مجموعة اللواء.</t>
  </si>
  <si>
    <t>12.    إذا نجح التهديد الجوي في إصابة إحدى الوحدات الصديقة، تُصدر الوحدة المتأثرة بالهجوم إنذار حسب إجراءات الإنذار المحددة مسبقاً.</t>
  </si>
  <si>
    <r>
      <t>أ.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انتشار الأفراد والجماعات والفصائل والعناصر الإدارية والآليات والمعدات بشكل متباعد إذا أمكن لتقليل تعرضها لمخاطر الغارات الجوية.</t>
    </r>
  </si>
  <si>
    <r>
      <t>ب.</t>
    </r>
    <r>
      <rPr>
        <sz val="14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التأكد من إدامة أنظمة الأسلحة بالقوى البشرية وتخصيص خفراء لمراقبة الأجواء وتزويد نقاط المراقبة أو نقاط التنصُّت بالقوى البشرية بحيث تكون قادرة على توفير إنذار مبكر عند اقتراب طائرات العدو</t>
    </r>
  </si>
  <si>
    <r>
      <t>جـ.</t>
    </r>
    <r>
      <rPr>
        <sz val="14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تجهيز تحصينات الميدان لحماية الأفراد والمعدات الأساسية للمهمة.</t>
    </r>
  </si>
  <si>
    <r>
      <t>د.</t>
    </r>
    <r>
      <rPr>
        <sz val="14"/>
        <color rgb="FF000000"/>
        <rFont val="Times New Roman"/>
        <family val="1"/>
      </rPr>
      <t>     المحافظة على التمويه (الخداع، المواقع الهيكلية، استغلال طبيعة الأرض) وتغطية وتعتيم المواد اللامعة والمواد التي تعكس الأضواء مثل العدسات</t>
    </r>
    <r>
      <rPr>
        <sz val="14"/>
        <color rgb="FF000000"/>
        <rFont val="Arial"/>
        <family val="2"/>
      </rPr>
      <t xml:space="preserve"> .</t>
    </r>
  </si>
  <si>
    <r>
      <t>هـ.</t>
    </r>
    <r>
      <rPr>
        <sz val="14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</si>
  <si>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و.</t>
    </r>
    <r>
      <rPr>
        <sz val="14"/>
        <color rgb="FF000000"/>
        <rFont val="Times New Roman"/>
        <family val="1"/>
      </rPr>
      <t>   إبلاغ المستوى الأعلى عند ملاحظة أي نشاط لطائرات العدو</t>
    </r>
    <r>
      <rPr>
        <sz val="14"/>
        <color rgb="FF000000"/>
        <rFont val="Arial"/>
        <family val="2"/>
      </rPr>
      <t>.</t>
    </r>
  </si>
  <si>
    <r>
      <t>أ.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</si>
  <si>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ب.</t>
    </r>
    <r>
      <rPr>
        <sz val="14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تنفيذ تدابير السيطرة على المجال الجوي وحسب الأوامر الثابتة.</t>
    </r>
  </si>
  <si>
    <r>
      <t>جـ.</t>
    </r>
    <r>
      <rPr>
        <sz val="14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</si>
  <si>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د.</t>
    </r>
    <r>
      <rPr>
        <sz val="14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</si>
  <si>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هـ.</t>
    </r>
    <r>
      <rPr>
        <sz val="14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</si>
  <si>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t>رد الفعل على الإنذار بتهديد جوي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</si>
</sst>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Courier New"/>
      <family val="3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25" xfId="0" applyFont="1" applyBorder="1" applyAlignment="1">
      <alignment horizontal="center" vertical="center" wrapText="1" readingOrder="2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9" fontId="3" fillId="0" borderId="25" xfId="0" applyNumberFormat="1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13" fillId="0" borderId="27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indent="2" readingOrder="2"/>
    </xf>
    <xf numFmtId="0" fontId="13" fillId="0" borderId="12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27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6" fillId="0" borderId="12" xfId="0" applyFont="1" applyBorder="1" applyAlignment="1">
      <alignment horizontal="right" vertical="center" wrapText="1" readingOrder="2"/>
    </xf>
    <xf numFmtId="0" fontId="13" fillId="0" borderId="28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89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75;&#1604;&#1583;&#1601;&#1575;&#1593;%20&#1575;&#1604;&#1587;&#1604;&#1576;&#1610;%20&#1608;&#1575;&#1604;&#1573;&#1610;&#1580;&#1575;&#1576;&#1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6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9" t="s">
        <v>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0" t="s">
        <v>0</v>
      </c>
      <c r="C3" s="71"/>
      <c r="D3" s="71"/>
      <c r="E3" s="74" t="s">
        <v>1</v>
      </c>
      <c r="F3" s="74"/>
      <c r="G3" s="74"/>
      <c r="H3" s="74"/>
      <c r="I3" s="74" t="s">
        <v>2</v>
      </c>
      <c r="J3" s="75"/>
    </row>
    <row r="4" spans="1:10" ht="24.95" customHeight="1" thickBot="1" x14ac:dyDescent="0.25">
      <c r="A4" s="9"/>
      <c r="B4" s="72"/>
      <c r="C4" s="73"/>
      <c r="D4" s="73"/>
      <c r="E4" s="10" t="s">
        <v>3</v>
      </c>
      <c r="F4" s="10" t="s">
        <v>4</v>
      </c>
      <c r="G4" s="10" t="s">
        <v>19</v>
      </c>
      <c r="H4" s="10" t="s">
        <v>20</v>
      </c>
      <c r="I4" s="76"/>
      <c r="J4" s="77"/>
    </row>
    <row r="5" spans="1:10" ht="24.95" customHeight="1" thickBot="1" x14ac:dyDescent="0.25">
      <c r="A5" s="9"/>
      <c r="B5" s="97" t="s">
        <v>17</v>
      </c>
      <c r="C5" s="98"/>
      <c r="D5" s="98"/>
      <c r="E5" s="26" t="s">
        <v>14</v>
      </c>
      <c r="F5" s="26" t="s">
        <v>15</v>
      </c>
      <c r="G5" s="26" t="s">
        <v>18</v>
      </c>
      <c r="H5" s="26" t="s">
        <v>16</v>
      </c>
      <c r="I5" s="99" t="s">
        <v>21</v>
      </c>
      <c r="J5" s="100"/>
    </row>
    <row r="6" spans="1:10" ht="62.25" customHeight="1" x14ac:dyDescent="0.2">
      <c r="A6" s="9"/>
      <c r="B6" s="90" t="s">
        <v>72</v>
      </c>
      <c r="C6" s="91"/>
      <c r="D6" s="91"/>
      <c r="E6" s="42">
        <v>3</v>
      </c>
      <c r="F6" s="43" t="s">
        <v>40</v>
      </c>
      <c r="G6" s="44" t="str">
        <f>IFERROR(F6/E6,"")</f>
        <v/>
      </c>
      <c r="H6" s="45" t="str">
        <f>_xlfn.IFS(F6="أدخل العلامة","",F6="لا ينطبق","تم الإلغاء",G6&gt;=90%,"ممتاز",G6&gt;=80%,"جيد جداً",G6&gt;=70%,"جيد",G6&gt;=60%,"مقبول",G6&lt;60%,"راسب")</f>
        <v/>
      </c>
      <c r="I6" s="58"/>
      <c r="J6" s="59"/>
    </row>
    <row r="7" spans="1:10" ht="57.75" customHeight="1" x14ac:dyDescent="0.2">
      <c r="A7" s="9"/>
      <c r="B7" s="54" t="s">
        <v>70</v>
      </c>
      <c r="C7" s="55"/>
      <c r="D7" s="55"/>
      <c r="E7" s="27">
        <v>3</v>
      </c>
      <c r="F7" s="36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8"/>
      <c r="J7" s="49"/>
    </row>
    <row r="8" spans="1:10" ht="39.950000000000003" customHeight="1" thickBot="1" x14ac:dyDescent="0.25">
      <c r="A8" s="9"/>
      <c r="B8" s="67" t="s">
        <v>71</v>
      </c>
      <c r="C8" s="101"/>
      <c r="D8" s="101"/>
      <c r="E8" s="30">
        <v>3</v>
      </c>
      <c r="F8" s="37" t="s">
        <v>40</v>
      </c>
      <c r="G8" s="31" t="str">
        <f t="shared" ref="G8:G23" si="0">IFERROR(F8/E8,"")</f>
        <v/>
      </c>
      <c r="H8" s="32" t="str">
        <f t="shared" ref="H8:H23" si="1">_xlfn.IFS(F8="أدخل العلامة","",F8="لا ينطبق","تم الإلغاء",G8&gt;=90%,"ممتاز",G8&gt;=80%,"جيد جداً",G8&gt;=70%,"جيد",G8&gt;=60%,"مقبول",G8&lt;60%,"راسب")</f>
        <v/>
      </c>
      <c r="I8" s="52"/>
      <c r="J8" s="53"/>
    </row>
    <row r="9" spans="1:10" ht="39.950000000000003" customHeight="1" x14ac:dyDescent="0.2">
      <c r="A9" s="9"/>
      <c r="B9" s="56" t="s">
        <v>73</v>
      </c>
      <c r="C9" s="57"/>
      <c r="D9" s="57"/>
      <c r="E9" s="42">
        <v>3</v>
      </c>
      <c r="F9" s="43" t="s">
        <v>40</v>
      </c>
      <c r="G9" s="44" t="str">
        <f t="shared" si="0"/>
        <v/>
      </c>
      <c r="H9" s="45" t="str">
        <f t="shared" si="1"/>
        <v/>
      </c>
      <c r="I9" s="58"/>
      <c r="J9" s="59"/>
    </row>
    <row r="10" spans="1:10" ht="52.5" customHeight="1" x14ac:dyDescent="0.2">
      <c r="A10" s="9"/>
      <c r="B10" s="46" t="s">
        <v>82</v>
      </c>
      <c r="C10" s="47"/>
      <c r="D10" s="47"/>
      <c r="E10" s="27">
        <v>3</v>
      </c>
      <c r="F10" s="36" t="s">
        <v>40</v>
      </c>
      <c r="G10" s="28" t="str">
        <f>IFERROR(F10/E10,"")</f>
        <v/>
      </c>
      <c r="H10" s="29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8"/>
      <c r="J10" s="49"/>
    </row>
    <row r="11" spans="1:10" ht="82.5" customHeight="1" x14ac:dyDescent="0.2">
      <c r="A11" s="9"/>
      <c r="B11" s="46" t="s">
        <v>83</v>
      </c>
      <c r="C11" s="47"/>
      <c r="D11" s="47"/>
      <c r="E11" s="27">
        <v>3</v>
      </c>
      <c r="F11" s="36" t="s">
        <v>40</v>
      </c>
      <c r="G11" s="28" t="str">
        <f t="shared" ref="G11:G15" si="2">IFERROR(F11/E11,"")</f>
        <v/>
      </c>
      <c r="H11" s="29" t="str">
        <f t="shared" ref="H11:H15" si="3">_xlfn.IFS(F11="أدخل العلامة","",F11="لا ينطبق","تم الإلغاء",G11&gt;=90%,"ممتاز",G11&gt;=80%,"جيد جداً",G11&gt;=70%,"جيد",G11&gt;=60%,"مقبول",G11&lt;60%,"راسب")</f>
        <v/>
      </c>
      <c r="I11" s="48"/>
      <c r="J11" s="49"/>
    </row>
    <row r="12" spans="1:10" ht="39.75" customHeight="1" x14ac:dyDescent="0.2">
      <c r="A12" s="9"/>
      <c r="B12" s="46" t="s">
        <v>84</v>
      </c>
      <c r="C12" s="47"/>
      <c r="D12" s="47"/>
      <c r="E12" s="27">
        <v>3</v>
      </c>
      <c r="F12" s="36" t="s">
        <v>40</v>
      </c>
      <c r="G12" s="28" t="str">
        <f t="shared" si="2"/>
        <v/>
      </c>
      <c r="H12" s="29" t="str">
        <f t="shared" si="3"/>
        <v/>
      </c>
      <c r="I12" s="48"/>
      <c r="J12" s="49"/>
    </row>
    <row r="13" spans="1:10" ht="59.25" customHeight="1" x14ac:dyDescent="0.2">
      <c r="A13" s="9"/>
      <c r="B13" s="46" t="s">
        <v>85</v>
      </c>
      <c r="C13" s="47"/>
      <c r="D13" s="47"/>
      <c r="E13" s="27">
        <v>3</v>
      </c>
      <c r="F13" s="36" t="s">
        <v>40</v>
      </c>
      <c r="G13" s="28" t="str">
        <f t="shared" si="2"/>
        <v/>
      </c>
      <c r="H13" s="29" t="str">
        <f t="shared" si="3"/>
        <v/>
      </c>
      <c r="I13" s="48"/>
      <c r="J13" s="49"/>
    </row>
    <row r="14" spans="1:10" ht="39.950000000000003" customHeight="1" x14ac:dyDescent="0.2">
      <c r="A14" s="9"/>
      <c r="B14" s="46" t="s">
        <v>86</v>
      </c>
      <c r="C14" s="47"/>
      <c r="D14" s="47"/>
      <c r="E14" s="27">
        <v>3</v>
      </c>
      <c r="F14" s="36" t="s">
        <v>40</v>
      </c>
      <c r="G14" s="28" t="str">
        <f t="shared" si="2"/>
        <v/>
      </c>
      <c r="H14" s="29" t="str">
        <f t="shared" si="3"/>
        <v/>
      </c>
      <c r="I14" s="48"/>
      <c r="J14" s="49"/>
    </row>
    <row r="15" spans="1:10" ht="39.950000000000003" customHeight="1" thickBot="1" x14ac:dyDescent="0.25">
      <c r="A15" s="9"/>
      <c r="B15" s="50" t="s">
        <v>87</v>
      </c>
      <c r="C15" s="51"/>
      <c r="D15" s="51"/>
      <c r="E15" s="30">
        <v>3</v>
      </c>
      <c r="F15" s="37" t="s">
        <v>40</v>
      </c>
      <c r="G15" s="31" t="str">
        <f t="shared" si="2"/>
        <v/>
      </c>
      <c r="H15" s="32" t="str">
        <f t="shared" si="3"/>
        <v/>
      </c>
      <c r="I15" s="52"/>
      <c r="J15" s="53"/>
    </row>
    <row r="16" spans="1:10" ht="39.950000000000003" customHeight="1" x14ac:dyDescent="0.2">
      <c r="A16" s="9"/>
      <c r="B16" s="56" t="s">
        <v>74</v>
      </c>
      <c r="C16" s="57"/>
      <c r="D16" s="57"/>
      <c r="E16" s="42"/>
      <c r="F16" s="43"/>
      <c r="G16" s="44"/>
      <c r="H16" s="45"/>
      <c r="I16" s="58"/>
      <c r="J16" s="59"/>
    </row>
    <row r="17" spans="1:10" ht="39.950000000000003" customHeight="1" x14ac:dyDescent="0.2">
      <c r="A17" s="9"/>
      <c r="B17" s="46" t="s">
        <v>88</v>
      </c>
      <c r="C17" s="47"/>
      <c r="D17" s="47"/>
      <c r="E17" s="27">
        <v>3</v>
      </c>
      <c r="F17" s="36" t="s">
        <v>40</v>
      </c>
      <c r="G17" s="28" t="str">
        <f t="shared" ref="G17:G21" si="4">IFERROR(F17/E17,"")</f>
        <v/>
      </c>
      <c r="H17" s="29" t="str">
        <f t="shared" ref="H17:H21" si="5">_xlfn.IFS(F17="أدخل العلامة","",F17="لا ينطبق","تم الإلغاء",G17&gt;=90%,"ممتاز",G17&gt;=80%,"جيد جداً",G17&gt;=70%,"جيد",G17&gt;=60%,"مقبول",G17&lt;60%,"راسب")</f>
        <v/>
      </c>
      <c r="I17" s="48"/>
      <c r="J17" s="49"/>
    </row>
    <row r="18" spans="1:10" ht="39.950000000000003" customHeight="1" x14ac:dyDescent="0.2">
      <c r="A18" s="9"/>
      <c r="B18" s="46" t="s">
        <v>89</v>
      </c>
      <c r="C18" s="47"/>
      <c r="D18" s="47"/>
      <c r="E18" s="27">
        <v>3</v>
      </c>
      <c r="F18" s="36" t="s">
        <v>40</v>
      </c>
      <c r="G18" s="28" t="str">
        <f t="shared" si="4"/>
        <v/>
      </c>
      <c r="H18" s="29" t="str">
        <f t="shared" si="5"/>
        <v/>
      </c>
      <c r="I18" s="48"/>
      <c r="J18" s="49"/>
    </row>
    <row r="19" spans="1:10" ht="39.950000000000003" customHeight="1" x14ac:dyDescent="0.2">
      <c r="A19" s="9"/>
      <c r="B19" s="46" t="s">
        <v>90</v>
      </c>
      <c r="C19" s="47"/>
      <c r="D19" s="47"/>
      <c r="E19" s="27">
        <v>3</v>
      </c>
      <c r="F19" s="36" t="s">
        <v>40</v>
      </c>
      <c r="G19" s="28" t="str">
        <f t="shared" si="4"/>
        <v/>
      </c>
      <c r="H19" s="29" t="str">
        <f t="shared" si="5"/>
        <v/>
      </c>
      <c r="I19" s="48"/>
      <c r="J19" s="49"/>
    </row>
    <row r="20" spans="1:10" ht="60" customHeight="1" x14ac:dyDescent="0.2">
      <c r="A20" s="9"/>
      <c r="B20" s="46" t="s">
        <v>91</v>
      </c>
      <c r="C20" s="47"/>
      <c r="D20" s="47"/>
      <c r="E20" s="27">
        <v>3</v>
      </c>
      <c r="F20" s="36" t="s">
        <v>40</v>
      </c>
      <c r="G20" s="28" t="str">
        <f t="shared" si="4"/>
        <v/>
      </c>
      <c r="H20" s="29" t="str">
        <f t="shared" si="5"/>
        <v/>
      </c>
      <c r="I20" s="48"/>
      <c r="J20" s="49"/>
    </row>
    <row r="21" spans="1:10" ht="53.25" customHeight="1" thickBot="1" x14ac:dyDescent="0.25">
      <c r="A21" s="9"/>
      <c r="B21" s="50" t="s">
        <v>92</v>
      </c>
      <c r="C21" s="51"/>
      <c r="D21" s="51"/>
      <c r="E21" s="30">
        <v>3</v>
      </c>
      <c r="F21" s="37" t="s">
        <v>40</v>
      </c>
      <c r="G21" s="31" t="str">
        <f t="shared" si="4"/>
        <v/>
      </c>
      <c r="H21" s="32" t="str">
        <f t="shared" si="5"/>
        <v/>
      </c>
      <c r="I21" s="52"/>
      <c r="J21" s="53"/>
    </row>
    <row r="22" spans="1:10" ht="39.950000000000003" customHeight="1" x14ac:dyDescent="0.2">
      <c r="A22" s="9"/>
      <c r="B22" s="102" t="s">
        <v>75</v>
      </c>
      <c r="C22" s="103"/>
      <c r="D22" s="103"/>
      <c r="E22" s="38">
        <v>3</v>
      </c>
      <c r="F22" s="39" t="s">
        <v>40</v>
      </c>
      <c r="G22" s="40" t="str">
        <f t="shared" si="0"/>
        <v/>
      </c>
      <c r="H22" s="41" t="str">
        <f t="shared" si="1"/>
        <v/>
      </c>
      <c r="I22" s="104"/>
      <c r="J22" s="105"/>
    </row>
    <row r="23" spans="1:10" ht="39.950000000000003" customHeight="1" x14ac:dyDescent="0.2">
      <c r="A23" s="9"/>
      <c r="B23" s="54" t="s">
        <v>76</v>
      </c>
      <c r="C23" s="55"/>
      <c r="D23" s="55"/>
      <c r="E23" s="27">
        <v>3</v>
      </c>
      <c r="F23" s="36" t="s">
        <v>40</v>
      </c>
      <c r="G23" s="28" t="str">
        <f t="shared" si="0"/>
        <v/>
      </c>
      <c r="H23" s="29" t="str">
        <f t="shared" si="1"/>
        <v/>
      </c>
      <c r="I23" s="48"/>
      <c r="J23" s="49"/>
    </row>
    <row r="24" spans="1:10" ht="39.950000000000003" customHeight="1" x14ac:dyDescent="0.2">
      <c r="A24" s="9"/>
      <c r="B24" s="54" t="s">
        <v>77</v>
      </c>
      <c r="C24" s="55"/>
      <c r="D24" s="55"/>
      <c r="E24" s="27">
        <v>3</v>
      </c>
      <c r="F24" s="36" t="s">
        <v>40</v>
      </c>
      <c r="G24" s="28" t="str">
        <f>IFERROR(F24/E24,"")</f>
        <v/>
      </c>
      <c r="H24" s="29" t="str">
        <f>_xlfn.IFS(F24="أدخل العلامة","",F24="لا ينطبق","تم الإلغاء",G24&gt;=90%,"ممتاز",G24&gt;=80%,"جيد جداً",G24&gt;=70%,"جيد",G24&gt;=60%,"مقبول",G24&lt;60%,"راسب")</f>
        <v/>
      </c>
      <c r="I24" s="48"/>
      <c r="J24" s="49"/>
    </row>
    <row r="25" spans="1:10" ht="45.75" customHeight="1" x14ac:dyDescent="0.2">
      <c r="A25" s="9"/>
      <c r="B25" s="54" t="s">
        <v>78</v>
      </c>
      <c r="C25" s="55"/>
      <c r="D25" s="55"/>
      <c r="E25" s="27">
        <v>3</v>
      </c>
      <c r="F25" s="36" t="s">
        <v>40</v>
      </c>
      <c r="G25" s="28" t="str">
        <f t="shared" ref="G25:G28" si="6">IFERROR(F25/E25,"")</f>
        <v/>
      </c>
      <c r="H25" s="29" t="str">
        <f t="shared" ref="H25:H28" si="7">_xlfn.IFS(F25="أدخل العلامة","",F25="لا ينطبق","تم الإلغاء",G25&gt;=90%,"ممتاز",G25&gt;=80%,"جيد جداً",G25&gt;=70%,"جيد",G25&gt;=60%,"مقبول",G25&lt;60%,"راسب")</f>
        <v/>
      </c>
      <c r="I25" s="48"/>
      <c r="J25" s="49"/>
    </row>
    <row r="26" spans="1:10" ht="59.25" customHeight="1" x14ac:dyDescent="0.2">
      <c r="A26" s="9"/>
      <c r="B26" s="54" t="s">
        <v>79</v>
      </c>
      <c r="C26" s="55"/>
      <c r="D26" s="55"/>
      <c r="E26" s="27">
        <v>3</v>
      </c>
      <c r="F26" s="36" t="s">
        <v>40</v>
      </c>
      <c r="G26" s="28" t="str">
        <f t="shared" ref="G26" si="8">IFERROR(F26/E26,"")</f>
        <v/>
      </c>
      <c r="H26" s="29" t="str">
        <f t="shared" ref="H26" si="9">_xlfn.IFS(F26="أدخل العلامة","",F26="لا ينطبق","تم الإلغاء",G26&gt;=90%,"ممتاز",G26&gt;=80%,"جيد جداً",G26&gt;=70%,"جيد",G26&gt;=60%,"مقبول",G26&lt;60%,"راسب")</f>
        <v/>
      </c>
      <c r="I26" s="48"/>
      <c r="J26" s="49"/>
    </row>
    <row r="27" spans="1:10" ht="48" customHeight="1" x14ac:dyDescent="0.2">
      <c r="A27" s="9"/>
      <c r="B27" s="54" t="s">
        <v>80</v>
      </c>
      <c r="C27" s="66"/>
      <c r="D27" s="66"/>
      <c r="E27" s="27">
        <v>3</v>
      </c>
      <c r="F27" s="36" t="s">
        <v>40</v>
      </c>
      <c r="G27" s="28" t="str">
        <f t="shared" si="6"/>
        <v/>
      </c>
      <c r="H27" s="29" t="str">
        <f t="shared" si="7"/>
        <v/>
      </c>
      <c r="I27" s="48"/>
      <c r="J27" s="49"/>
    </row>
    <row r="28" spans="1:10" ht="57.75" customHeight="1" thickBot="1" x14ac:dyDescent="0.25">
      <c r="A28" s="9"/>
      <c r="B28" s="67" t="s">
        <v>81</v>
      </c>
      <c r="C28" s="68"/>
      <c r="D28" s="68"/>
      <c r="E28" s="30">
        <v>3</v>
      </c>
      <c r="F28" s="37" t="s">
        <v>40</v>
      </c>
      <c r="G28" s="31" t="str">
        <f t="shared" si="6"/>
        <v/>
      </c>
      <c r="H28" s="32" t="str">
        <f t="shared" si="7"/>
        <v/>
      </c>
      <c r="I28" s="52"/>
      <c r="J28" s="53"/>
    </row>
    <row r="29" spans="1:10" ht="30" customHeight="1" thickBot="1" x14ac:dyDescent="0.25">
      <c r="A29" s="4"/>
      <c r="B29" s="80" t="s">
        <v>5</v>
      </c>
      <c r="C29" s="81"/>
      <c r="D29" s="81"/>
      <c r="E29" s="35">
        <f>SUM(E6:E28)</f>
        <v>66</v>
      </c>
      <c r="F29" s="35">
        <f>SUM(F6:F28)</f>
        <v>0</v>
      </c>
      <c r="G29" s="94"/>
      <c r="H29" s="95"/>
      <c r="I29" s="95"/>
      <c r="J29" s="96"/>
    </row>
    <row r="30" spans="1:10" ht="30" customHeight="1" thickBot="1" x14ac:dyDescent="0.25">
      <c r="A30" s="4"/>
      <c r="B30" s="82" t="s">
        <v>33</v>
      </c>
      <c r="C30" s="83"/>
      <c r="D30" s="83"/>
      <c r="E30" s="60">
        <f>F29/E29/100*100</f>
        <v>0</v>
      </c>
      <c r="F30" s="60"/>
      <c r="G30" s="60"/>
      <c r="H30" s="60"/>
      <c r="I30" s="60"/>
      <c r="J30" s="61"/>
    </row>
    <row r="31" spans="1:10" ht="30" customHeight="1" thickBot="1" x14ac:dyDescent="0.25">
      <c r="A31" s="4"/>
      <c r="B31" s="82" t="s">
        <v>34</v>
      </c>
      <c r="C31" s="83"/>
      <c r="D31" s="83"/>
      <c r="E31" s="64" t="str">
        <f>_xlfn.IFS(E30&gt;=90%,"ممتاز",E30&gt;=80%,"جيد جداً",E30&gt;=70%,"جيد",E30&gt;=60%,"مقبول",E30&lt;60%,"راسب")</f>
        <v>راسب</v>
      </c>
      <c r="F31" s="64"/>
      <c r="G31" s="64"/>
      <c r="H31" s="64"/>
      <c r="I31" s="64"/>
      <c r="J31" s="65"/>
    </row>
    <row r="32" spans="1:10" ht="42" customHeight="1" x14ac:dyDescent="0.2">
      <c r="B32" s="84" t="s">
        <v>44</v>
      </c>
      <c r="C32" s="84"/>
      <c r="D32" s="84"/>
      <c r="E32" s="92" t="s">
        <v>31</v>
      </c>
      <c r="F32" s="92"/>
      <c r="G32" s="62" t="s">
        <v>38</v>
      </c>
      <c r="H32" s="62"/>
      <c r="I32" s="62"/>
      <c r="J32" s="62"/>
    </row>
    <row r="33" spans="1:10" ht="51" customHeight="1" x14ac:dyDescent="0.2">
      <c r="A33" s="5"/>
      <c r="B33" s="85"/>
      <c r="C33" s="85"/>
      <c r="D33" s="85"/>
      <c r="E33" s="93" t="s">
        <v>32</v>
      </c>
      <c r="F33" s="93"/>
      <c r="G33" s="63"/>
      <c r="H33" s="63"/>
      <c r="I33" s="63"/>
      <c r="J33" s="63"/>
    </row>
    <row r="34" spans="1:10" ht="15.75" x14ac:dyDescent="0.2">
      <c r="A34" s="23">
        <v>3</v>
      </c>
      <c r="B34" s="86" t="s">
        <v>41</v>
      </c>
      <c r="C34" s="87"/>
    </row>
    <row r="35" spans="1:10" ht="15.75" x14ac:dyDescent="0.2">
      <c r="A35" s="24">
        <v>2</v>
      </c>
      <c r="B35" s="88" t="s">
        <v>42</v>
      </c>
      <c r="C35" s="89"/>
    </row>
    <row r="36" spans="1:10" ht="15.75" x14ac:dyDescent="0.2">
      <c r="A36" s="25">
        <v>1</v>
      </c>
      <c r="B36" s="78" t="s">
        <v>43</v>
      </c>
      <c r="C36" s="79"/>
    </row>
  </sheetData>
  <sheetProtection formatCells="0" formatColumns="0" formatRows="0" insertColumns="0" insertRows="0" insertHyperlinks="0" deleteColumns="0" deleteRows="0" selectLockedCells="1" sort="0" autoFilter="0" pivotTables="0"/>
  <mergeCells count="66">
    <mergeCell ref="B5:D5"/>
    <mergeCell ref="I5:J5"/>
    <mergeCell ref="B7:D7"/>
    <mergeCell ref="B8:D8"/>
    <mergeCell ref="I8:J8"/>
    <mergeCell ref="I6:J6"/>
    <mergeCell ref="B6:D6"/>
    <mergeCell ref="I7:J7"/>
    <mergeCell ref="E32:F32"/>
    <mergeCell ref="E33:F33"/>
    <mergeCell ref="G29:J29"/>
    <mergeCell ref="B25:D25"/>
    <mergeCell ref="B9:D9"/>
    <mergeCell ref="I9:J9"/>
    <mergeCell ref="B22:D22"/>
    <mergeCell ref="I22:J22"/>
    <mergeCell ref="B23:D23"/>
    <mergeCell ref="I23:J23"/>
    <mergeCell ref="B24:D24"/>
    <mergeCell ref="I24:J24"/>
    <mergeCell ref="I25:J25"/>
    <mergeCell ref="B36:C36"/>
    <mergeCell ref="B29:D29"/>
    <mergeCell ref="B30:D30"/>
    <mergeCell ref="B31:D31"/>
    <mergeCell ref="B32:D33"/>
    <mergeCell ref="B34:C34"/>
    <mergeCell ref="B35:C35"/>
    <mergeCell ref="B1:J1"/>
    <mergeCell ref="B3:D4"/>
    <mergeCell ref="E3:H3"/>
    <mergeCell ref="I3:J4"/>
    <mergeCell ref="E30:J30"/>
    <mergeCell ref="G32:J32"/>
    <mergeCell ref="G33:J33"/>
    <mergeCell ref="E31:J31"/>
    <mergeCell ref="B27:D27"/>
    <mergeCell ref="I27:J27"/>
    <mergeCell ref="B28:D28"/>
    <mergeCell ref="I28:J28"/>
    <mergeCell ref="B26:D26"/>
    <mergeCell ref="I26:J26"/>
    <mergeCell ref="B10:D10"/>
    <mergeCell ref="I10:J10"/>
    <mergeCell ref="B11:D11"/>
    <mergeCell ref="I11:J11"/>
    <mergeCell ref="B12:D12"/>
    <mergeCell ref="I12:J12"/>
    <mergeCell ref="B13:D13"/>
    <mergeCell ref="I13:J13"/>
    <mergeCell ref="B14:D14"/>
    <mergeCell ref="I14:J14"/>
    <mergeCell ref="B15:D15"/>
    <mergeCell ref="I15:J15"/>
    <mergeCell ref="B16:D16"/>
    <mergeCell ref="I16:J16"/>
    <mergeCell ref="B20:D20"/>
    <mergeCell ref="I20:J20"/>
    <mergeCell ref="B21:D21"/>
    <mergeCell ref="I21:J21"/>
    <mergeCell ref="B17:D17"/>
    <mergeCell ref="I17:J17"/>
    <mergeCell ref="B18:D18"/>
    <mergeCell ref="I18:J18"/>
    <mergeCell ref="B19:D19"/>
    <mergeCell ref="I19:J19"/>
  </mergeCells>
  <conditionalFormatting sqref="E31">
    <cfRule type="expression" dxfId="86" priority="164">
      <formula>$E31="راسب"</formula>
    </cfRule>
  </conditionalFormatting>
  <conditionalFormatting sqref="E31:J31">
    <cfRule type="expression" dxfId="85" priority="165">
      <formula>$E31="مقبول"</formula>
    </cfRule>
    <cfRule type="expression" dxfId="84" priority="166">
      <formula>$E31="جيد"</formula>
    </cfRule>
    <cfRule type="expression" dxfId="83" priority="167">
      <formula>$E31="جيد جداً"</formula>
    </cfRule>
    <cfRule type="expression" dxfId="82" priority="168">
      <formula>$E31="ممتاز"</formula>
    </cfRule>
  </conditionalFormatting>
  <conditionalFormatting sqref="F25">
    <cfRule type="containsText" dxfId="81" priority="121" operator="containsText" text="أدخل العلامة">
      <formula>NOT(ISERROR(SEARCH("أدخل العلامة",F25)))</formula>
    </cfRule>
  </conditionalFormatting>
  <conditionalFormatting sqref="G32:J32">
    <cfRule type="containsText" dxfId="78" priority="122" operator="containsText" text="أدخل اسم المحكم">
      <formula>NOT(ISERROR(SEARCH("أدخل اسم المحكم",G32)))</formula>
    </cfRule>
  </conditionalFormatting>
  <conditionalFormatting sqref="H25">
    <cfRule type="containsText" dxfId="77" priority="112" operator="containsText" text="أدخل العلامة">
      <formula>NOT(ISERROR(SEARCH("أدخل العلامة",H25)))</formula>
    </cfRule>
    <cfRule type="containsText" dxfId="76" priority="113" operator="containsText" text="ممتاز">
      <formula>NOT(ISERROR(SEARCH("ممتاز",H25)))</formula>
    </cfRule>
    <cfRule type="containsText" dxfId="75" priority="114" operator="containsText" text="جيد جداً">
      <formula>NOT(ISERROR(SEARCH("جيد جداً",H25)))</formula>
    </cfRule>
    <cfRule type="containsText" dxfId="74" priority="115" operator="containsText" text="جيد">
      <formula>NOT(ISERROR(SEARCH("جيد",H25)))</formula>
    </cfRule>
    <cfRule type="containsText" dxfId="73" priority="116" operator="containsText" text="مقبول">
      <formula>NOT(ISERROR(SEARCH("مقبول",H25)))</formula>
    </cfRule>
    <cfRule type="containsText" dxfId="72" priority="117" operator="containsText" text="راسب">
      <formula>NOT(ISERROR(SEARCH("راسب",H25)))</formula>
    </cfRule>
  </conditionalFormatting>
  <conditionalFormatting sqref="F7">
    <cfRule type="containsText" dxfId="69" priority="84" operator="containsText" text="أدخل العلامة">
      <formula>NOT(ISERROR(SEARCH("أدخل العلامة",F7)))</formula>
    </cfRule>
  </conditionalFormatting>
  <conditionalFormatting sqref="H7">
    <cfRule type="containsText" dxfId="68" priority="78" operator="containsText" text="أدخل العلامة">
      <formula>NOT(ISERROR(SEARCH("أدخل العلامة",H7)))</formula>
    </cfRule>
    <cfRule type="containsText" dxfId="67" priority="79" operator="containsText" text="ممتاز">
      <formula>NOT(ISERROR(SEARCH("ممتاز",H7)))</formula>
    </cfRule>
    <cfRule type="containsText" dxfId="66" priority="80" operator="containsText" text="جيد جداً">
      <formula>NOT(ISERROR(SEARCH("جيد جداً",H7)))</formula>
    </cfRule>
    <cfRule type="containsText" dxfId="65" priority="81" operator="containsText" text="جيد">
      <formula>NOT(ISERROR(SEARCH("جيد",H7)))</formula>
    </cfRule>
    <cfRule type="containsText" dxfId="64" priority="82" operator="containsText" text="مقبول">
      <formula>NOT(ISERROR(SEARCH("مقبول",H7)))</formula>
    </cfRule>
    <cfRule type="containsText" dxfId="63" priority="83" operator="containsText" text="راسب">
      <formula>NOT(ISERROR(SEARCH("راسب",H7)))</formula>
    </cfRule>
  </conditionalFormatting>
  <conditionalFormatting sqref="F27:F28">
    <cfRule type="containsText" dxfId="62" priority="63" operator="containsText" text="أدخل العلامة">
      <formula>NOT(ISERROR(SEARCH("أدخل العلامة",F27)))</formula>
    </cfRule>
  </conditionalFormatting>
  <conditionalFormatting sqref="H27:H28">
    <cfRule type="containsText" dxfId="61" priority="57" operator="containsText" text="أدخل العلامة">
      <formula>NOT(ISERROR(SEARCH("أدخل العلامة",H27)))</formula>
    </cfRule>
    <cfRule type="containsText" dxfId="60" priority="58" operator="containsText" text="ممتاز">
      <formula>NOT(ISERROR(SEARCH("ممتاز",H27)))</formula>
    </cfRule>
    <cfRule type="containsText" dxfId="59" priority="59" operator="containsText" text="جيد جداً">
      <formula>NOT(ISERROR(SEARCH("جيد جداً",H27)))</formula>
    </cfRule>
    <cfRule type="containsText" dxfId="58" priority="60" operator="containsText" text="جيد">
      <formula>NOT(ISERROR(SEARCH("جيد",H27)))</formula>
    </cfRule>
    <cfRule type="containsText" dxfId="57" priority="61" operator="containsText" text="مقبول">
      <formula>NOT(ISERROR(SEARCH("مقبول",H27)))</formula>
    </cfRule>
    <cfRule type="containsText" dxfId="56" priority="62" operator="containsText" text="راسب">
      <formula>NOT(ISERROR(SEARCH("راسب",H27)))</formula>
    </cfRule>
  </conditionalFormatting>
  <conditionalFormatting sqref="F26">
    <cfRule type="containsText" dxfId="55" priority="56" operator="containsText" text="أدخل العلامة">
      <formula>NOT(ISERROR(SEARCH("أدخل العلامة",F26)))</formula>
    </cfRule>
  </conditionalFormatting>
  <conditionalFormatting sqref="H26">
    <cfRule type="containsText" dxfId="54" priority="50" operator="containsText" text="أدخل العلامة">
      <formula>NOT(ISERROR(SEARCH("أدخل العلامة",H26)))</formula>
    </cfRule>
    <cfRule type="containsText" dxfId="53" priority="51" operator="containsText" text="ممتاز">
      <formula>NOT(ISERROR(SEARCH("ممتاز",H26)))</formula>
    </cfRule>
    <cfRule type="containsText" dxfId="52" priority="52" operator="containsText" text="جيد جداً">
      <formula>NOT(ISERROR(SEARCH("جيد جداً",H26)))</formula>
    </cfRule>
    <cfRule type="containsText" dxfId="51" priority="53" operator="containsText" text="جيد">
      <formula>NOT(ISERROR(SEARCH("جيد",H26)))</formula>
    </cfRule>
    <cfRule type="containsText" dxfId="50" priority="54" operator="containsText" text="مقبول">
      <formula>NOT(ISERROR(SEARCH("مقبول",H26)))</formula>
    </cfRule>
    <cfRule type="containsText" dxfId="49" priority="55" operator="containsText" text="راسب">
      <formula>NOT(ISERROR(SEARCH("راسب",H26)))</formula>
    </cfRule>
  </conditionalFormatting>
  <conditionalFormatting sqref="F6">
    <cfRule type="containsText" dxfId="48" priority="49" operator="containsText" text="أدخل العلامة">
      <formula>NOT(ISERROR(SEARCH("أدخل العلامة",F6)))</formula>
    </cfRule>
  </conditionalFormatting>
  <conditionalFormatting sqref="H6">
    <cfRule type="containsText" dxfId="47" priority="43" operator="containsText" text="أدخل العلامة">
      <formula>NOT(ISERROR(SEARCH("أدخل العلامة",H6)))</formula>
    </cfRule>
    <cfRule type="containsText" dxfId="46" priority="44" operator="containsText" text="ممتاز">
      <formula>NOT(ISERROR(SEARCH("ممتاز",H6)))</formula>
    </cfRule>
    <cfRule type="containsText" dxfId="45" priority="45" operator="containsText" text="جيد جداً">
      <formula>NOT(ISERROR(SEARCH("جيد جداً",H6)))</formula>
    </cfRule>
    <cfRule type="containsText" dxfId="44" priority="46" operator="containsText" text="جيد">
      <formula>NOT(ISERROR(SEARCH("جيد",H6)))</formula>
    </cfRule>
    <cfRule type="containsText" dxfId="43" priority="47" operator="containsText" text="مقبول">
      <formula>NOT(ISERROR(SEARCH("مقبول",H6)))</formula>
    </cfRule>
    <cfRule type="containsText" dxfId="42" priority="48" operator="containsText" text="راسب">
      <formula>NOT(ISERROR(SEARCH("راسب",H6)))</formula>
    </cfRule>
  </conditionalFormatting>
  <conditionalFormatting sqref="F23">
    <cfRule type="containsText" dxfId="41" priority="42" operator="containsText" text="أدخل العلامة">
      <formula>NOT(ISERROR(SEARCH("أدخل العلامة",F23)))</formula>
    </cfRule>
  </conditionalFormatting>
  <conditionalFormatting sqref="H23">
    <cfRule type="containsText" dxfId="40" priority="36" operator="containsText" text="أدخل العلامة">
      <formula>NOT(ISERROR(SEARCH("أدخل العلامة",H23)))</formula>
    </cfRule>
    <cfRule type="containsText" dxfId="39" priority="37" operator="containsText" text="ممتاز">
      <formula>NOT(ISERROR(SEARCH("ممتاز",H23)))</formula>
    </cfRule>
    <cfRule type="containsText" dxfId="38" priority="38" operator="containsText" text="جيد جداً">
      <formula>NOT(ISERROR(SEARCH("جيد جداً",H23)))</formula>
    </cfRule>
    <cfRule type="containsText" dxfId="37" priority="39" operator="containsText" text="جيد">
      <formula>NOT(ISERROR(SEARCH("جيد",H23)))</formula>
    </cfRule>
    <cfRule type="containsText" dxfId="36" priority="40" operator="containsText" text="مقبول">
      <formula>NOT(ISERROR(SEARCH("مقبول",H23)))</formula>
    </cfRule>
    <cfRule type="containsText" dxfId="35" priority="41" operator="containsText" text="راسب">
      <formula>NOT(ISERROR(SEARCH("راسب",H23)))</formula>
    </cfRule>
  </conditionalFormatting>
  <conditionalFormatting sqref="F24">
    <cfRule type="containsText" dxfId="34" priority="35" operator="containsText" text="أدخل العلامة">
      <formula>NOT(ISERROR(SEARCH("أدخل العلامة",F24)))</formula>
    </cfRule>
  </conditionalFormatting>
  <conditionalFormatting sqref="H24">
    <cfRule type="containsText" dxfId="33" priority="29" operator="containsText" text="أدخل العلامة">
      <formula>NOT(ISERROR(SEARCH("أدخل العلامة",H24)))</formula>
    </cfRule>
    <cfRule type="containsText" dxfId="32" priority="30" operator="containsText" text="ممتاز">
      <formula>NOT(ISERROR(SEARCH("ممتاز",H24)))</formula>
    </cfRule>
    <cfRule type="containsText" dxfId="31" priority="31" operator="containsText" text="جيد جداً">
      <formula>NOT(ISERROR(SEARCH("جيد جداً",H24)))</formula>
    </cfRule>
    <cfRule type="containsText" dxfId="30" priority="32" operator="containsText" text="جيد">
      <formula>NOT(ISERROR(SEARCH("جيد",H24)))</formula>
    </cfRule>
    <cfRule type="containsText" dxfId="29" priority="33" operator="containsText" text="مقبول">
      <formula>NOT(ISERROR(SEARCH("مقبول",H24)))</formula>
    </cfRule>
    <cfRule type="containsText" dxfId="28" priority="34" operator="containsText" text="راسب">
      <formula>NOT(ISERROR(SEARCH("راسب",H24)))</formula>
    </cfRule>
  </conditionalFormatting>
  <conditionalFormatting sqref="F9 F22">
    <cfRule type="containsText" dxfId="27" priority="28" operator="containsText" text="أدخل العلامة">
      <formula>NOT(ISERROR(SEARCH("أدخل العلامة",F9)))</formula>
    </cfRule>
  </conditionalFormatting>
  <conditionalFormatting sqref="H9 H22">
    <cfRule type="containsText" dxfId="26" priority="22" operator="containsText" text="أدخل العلامة">
      <formula>NOT(ISERROR(SEARCH("أدخل العلامة",H9)))</formula>
    </cfRule>
    <cfRule type="containsText" dxfId="25" priority="23" operator="containsText" text="ممتاز">
      <formula>NOT(ISERROR(SEARCH("ممتاز",H9)))</formula>
    </cfRule>
    <cfRule type="containsText" dxfId="24" priority="24" operator="containsText" text="جيد جداً">
      <formula>NOT(ISERROR(SEARCH("جيد جداً",H9)))</formula>
    </cfRule>
    <cfRule type="containsText" dxfId="23" priority="25" operator="containsText" text="جيد">
      <formula>NOT(ISERROR(SEARCH("جيد",H9)))</formula>
    </cfRule>
    <cfRule type="containsText" dxfId="22" priority="26" operator="containsText" text="مقبول">
      <formula>NOT(ISERROR(SEARCH("مقبول",H9)))</formula>
    </cfRule>
    <cfRule type="containsText" dxfId="21" priority="27" operator="containsText" text="راسب">
      <formula>NOT(ISERROR(SEARCH("راسب",H9)))</formula>
    </cfRule>
  </conditionalFormatting>
  <conditionalFormatting sqref="F8">
    <cfRule type="containsText" dxfId="20" priority="21" operator="containsText" text="أدخل العلامة">
      <formula>NOT(ISERROR(SEARCH("أدخل العلامة",F8)))</formula>
    </cfRule>
  </conditionalFormatting>
  <conditionalFormatting sqref="H8">
    <cfRule type="containsText" dxfId="19" priority="15" operator="containsText" text="أدخل العلامة">
      <formula>NOT(ISERROR(SEARCH("أدخل العلامة",H8)))</formula>
    </cfRule>
    <cfRule type="containsText" dxfId="18" priority="16" operator="containsText" text="ممتاز">
      <formula>NOT(ISERROR(SEARCH("ممتاز",H8)))</formula>
    </cfRule>
    <cfRule type="containsText" dxfId="17" priority="17" operator="containsText" text="جيد جداً">
      <formula>NOT(ISERROR(SEARCH("جيد جداً",H8)))</formula>
    </cfRule>
    <cfRule type="containsText" dxfId="16" priority="18" operator="containsText" text="جيد">
      <formula>NOT(ISERROR(SEARCH("جيد",H8)))</formula>
    </cfRule>
    <cfRule type="containsText" dxfId="15" priority="19" operator="containsText" text="مقبول">
      <formula>NOT(ISERROR(SEARCH("مقبول",H8)))</formula>
    </cfRule>
    <cfRule type="containsText" dxfId="14" priority="20" operator="containsText" text="راسب">
      <formula>NOT(ISERROR(SEARCH("راسب",H8)))</formula>
    </cfRule>
  </conditionalFormatting>
  <conditionalFormatting sqref="F10:F15">
    <cfRule type="containsText" dxfId="13" priority="14" operator="containsText" text="أدخل العلامة">
      <formula>NOT(ISERROR(SEARCH("أدخل العلامة",F10)))</formula>
    </cfRule>
  </conditionalFormatting>
  <conditionalFormatting sqref="H10:H15">
    <cfRule type="containsText" dxfId="12" priority="8" operator="containsText" text="أدخل العلامة">
      <formula>NOT(ISERROR(SEARCH("أدخل العلامة",H10)))</formula>
    </cfRule>
    <cfRule type="containsText" dxfId="11" priority="9" operator="containsText" text="ممتاز">
      <formula>NOT(ISERROR(SEARCH("ممتاز",H10)))</formula>
    </cfRule>
    <cfRule type="containsText" dxfId="10" priority="10" operator="containsText" text="جيد جداً">
      <formula>NOT(ISERROR(SEARCH("جيد جداً",H10)))</formula>
    </cfRule>
    <cfRule type="containsText" dxfId="9" priority="11" operator="containsText" text="جيد">
      <formula>NOT(ISERROR(SEARCH("جيد",H10)))</formula>
    </cfRule>
    <cfRule type="containsText" dxfId="8" priority="12" operator="containsText" text="مقبول">
      <formula>NOT(ISERROR(SEARCH("مقبول",H10)))</formula>
    </cfRule>
    <cfRule type="containsText" dxfId="7" priority="13" operator="containsText" text="راسب">
      <formula>NOT(ISERROR(SEARCH("راسب",H10)))</formula>
    </cfRule>
  </conditionalFormatting>
  <conditionalFormatting sqref="F16:F21">
    <cfRule type="containsText" dxfId="6" priority="7" operator="containsText" text="أدخل العلامة">
      <formula>NOT(ISERROR(SEARCH("أدخل العلامة",F16)))</formula>
    </cfRule>
  </conditionalFormatting>
  <conditionalFormatting sqref="H16:H21">
    <cfRule type="containsText" dxfId="5" priority="1" operator="containsText" text="أدخل العلامة">
      <formula>NOT(ISERROR(SEARCH("أدخل العلامة",H16)))</formula>
    </cfRule>
    <cfRule type="containsText" dxfId="4" priority="2" operator="containsText" text="ممتاز">
      <formula>NOT(ISERROR(SEARCH("ممتاز",H16)))</formula>
    </cfRule>
    <cfRule type="containsText" dxfId="3" priority="3" operator="containsText" text="جيد جداً">
      <formula>NOT(ISERROR(SEARCH("جيد جداً",H16)))</formula>
    </cfRule>
    <cfRule type="containsText" dxfId="2" priority="4" operator="containsText" text="جيد">
      <formula>NOT(ISERROR(SEARCH("جيد",H16)))</formula>
    </cfRule>
    <cfRule type="containsText" dxfId="1" priority="5" operator="containsText" text="مقبول">
      <formula>NOT(ISERROR(SEARCH("مقبول",H16)))</formula>
    </cfRule>
    <cfRule type="containsText" dxfId="0" priority="6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21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G32:J32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 F23:F25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F26:F28 F22 F7:F8</xm:sqref>
        </x14:dataValidation>
        <x14:dataValidation type="list" allowBlank="1" showInputMessage="1" showErrorMessage="1" xr:uid="{5DFF31A9-D1FB-42D4-B709-8BD69BC52557}">
          <x14:formula1>
            <xm:f>'C:\Users\W10User\Desktop\تمارين 2026\1. تمرين لعبات الحرب والجاهزية 2026\تمرين لعبات الحرب 2026\7. بنك المعاضل\[الدفاع السلبي والإيجابي.xlsx]بيانات التقييم'!#REF!</xm:f>
          </x14:formula1>
          <xm:sqref>F10:F15 F17:F21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2026-09-03T04:44:12Z</dcterms:modified>
</cp:coreProperties>
</file>