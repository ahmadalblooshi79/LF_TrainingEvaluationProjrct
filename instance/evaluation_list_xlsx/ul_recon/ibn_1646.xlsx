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5C36FD5-3CAA-4F15-92E5-9232CDD14C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<sst xmlns="http://schemas.openxmlformats.org/spreadsheetml/2006/main" count="280" uniqueCount="224">
  <si>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</si>
  <si>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</si>
  <si>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</si>
  <si>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</si>
  <si>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</si>
  <si>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</si>
  <si>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</si>
  <si>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</si>
  <si>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</si>
  <si>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</si>
  <si>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</si>
  <si>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</si>
  <si>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</si>
  <si>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</si>
  <si>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</si>
  <si>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</si>
  <si>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</si>
  <si>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</si>
  <si>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</si>
  <si>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</si>
  <si>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</si>
  <si>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</si>
  <si>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</si>
  <si>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</si>
  <si>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</si>
  <si>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</si>
  <si>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</si>
  <si>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</si>
  <si>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</si>
  <si>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</si>
  <si>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</si>
  <si>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</si>
  <si>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</si>
  <si>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</si>
  <si>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</si>
  <si>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</si>
  <si>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</si>
  <si>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</si>
  <si>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</si>
  <si>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</si>
  <si>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</si>
  <si>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</si>
  <si>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</si>
  <si>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</si>
  <si>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</si>
  <si>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</si>
  <si>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</si>
  <si>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</si>
  <si>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</si>
  <si>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</si>
  <si>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</si>
  <si>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</si>
  <si>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</si>
  <si>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</si>
  <si>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</si>
  <si>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</si>
  <si>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</si>
  <si>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</si>
  <si>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</si>
  <si>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</si>
  <si>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</si>
  <si>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</si>
  <si>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</si>
  <si>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</si>
  <si>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</si>
  <si>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</si>
  <si>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</si>
  <si>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</si>
  <si>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</si>
  <si>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</si>
  <si>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</si>
  <si>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</si>
  <si>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</si>
  <si>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</si>
  <si>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</si>
  <si>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</si>
  <si>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</si>
  <si>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</si>
  <si>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</si>
  <si>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</si>
  <si>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</si>
  <si>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</si>
  <si>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</si>
  <si>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</si>
  <si>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</si>
  <si>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</si>
  <si>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</si>
  <si>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</si>
  <si>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</si>
  <si>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</si>
  <si>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</si>
  <si>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</si>
  <si>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</si>
  <si>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</si>
  <si>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</si>
  <si>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</si>
  <si>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</si>
  <si>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</si>
  <si>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</si>
  <si>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</si>
  <si>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</si>
  <si>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</si>
  <si>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</si>
  <si>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</si>
  <si>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</si>
  <si>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</si>
  <si>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</si>
  <si>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</si>
  <si>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</si>
  <si>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</si>
  <si>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</si>
  <si>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</si>
  <si>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</si>
  <si>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</si>
  <si>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</si>
  <si>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</si>
  <si>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</si>
  <si>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</si>
  <si>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</si>
  <si>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</si>
  <si>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</si>
  <si>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</si>
  <si>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</si>
  <si>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</si>
  <si>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</si>
  <si>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</si>
  <si>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</si>
  <si>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</si>
  <si>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</si>
  <si>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</si>
  <si>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</si>
  <si>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</si>
  <si>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</si>
  <si>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</si>
  <si>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</si>
  <si>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</si>
  <si>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</si>
  <si>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</si>
  <si>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</si>
  <si>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</si>
  <si>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</si>
  <si>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</si>
  <si>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</si>
  <si>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</si>
  <si>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</si>
  <si>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</si>
  <si>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</si>
  <si>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</si>
  <si>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</si>
  <si>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</si>
  <si>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</si>
  <si>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</si>
  <si>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</si>
  <si>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</si>
  <si>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</si>
  <si>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</si>
  <si>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</si>
  <si>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</si>
  <si>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</si>
  <si>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</si>
  <si>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</si>
  <si>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</si>
  <si>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</si>
  <si>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</si>
  <si>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</si>
  <si>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</si>
  <si>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</si>
  <si>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</si>
  <si>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</si>
  <si>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</si>
  <si>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</si>
  <si>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</si>
  <si>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</si>
  <si>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</si>
  <si>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</si>
  <si>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</si>
  <si>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</si>
  <si>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</si>
  <si>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</si>
  <si>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</si>
  <si>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</si>
  <si>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يعمل القادة في سرية الاستطلاع على فهم الموقف باستخدام معدات الاتصال المتوفرة، والخرائط، وتقارير الموقف، ومصادر المعلومات المتوفرة الأخرى. 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</si>
  <si>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تستلم سرية الاستطلاع أمر العمليات أو الأمر المجزأ لتنفيذ عملية التنقل التعبوي ويتم البدء بإجراءات التخطيط وكما يلي:</t>
    </r>
  </si>
  <si>
    <t>أ. تحديد متطلبات التنقل.</t>
  </si>
  <si>
    <t>ب. طلب المنتجات الاستخبارية المحدّثة من مجموعة اللواء في حالة عدم استلامها مع أمر العمليات.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</si>
  <si>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الاستطلاع من الخارطة لتحديد ما يلي:</t>
    </r>
  </si>
  <si>
    <t>أ. طريق/ طرق التنقل في حالة عدم تحديدها في أمر مجموعة اللواء.</t>
  </si>
  <si>
    <t>ب. مقتربات العدو الأكثر احتمالاً (في حال كان التماس مع العدو متوقعاً).</t>
  </si>
  <si>
    <t>جـ. نقطة البدء ونقطة الانتشار.</t>
  </si>
  <si>
    <t>د. المناطق الحرجة، مثل المناطق الخطرة، الممرات الضيقة، الخوانق، نقاط السيطرة على المسير.</t>
  </si>
  <si>
    <t>هـ. منطقة التجمع ومنطقة المأوى.</t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</si>
  <si>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دفع عناصر الاستطلاع والمراقبة مبكراً للمساعدة في عملية التخطيط (حسب الحاجة).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</si>
  <si>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إجراءات الحماية التي سيتم تطبيقها قبل بدء التنقل، أثناء التنقل وبعد الوصول.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</si>
  <si>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إصدار الأوامر المرؤوسين، وتقديم إيجازات تأكيدية من القادة المرؤوسين فور استلامهم للأوامر للتأكد من فهمهم لقصد القائد ومفهوم عملياته.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</si>
  <si>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توفر الطرق والظروف المناسبة للتنقل إذا لم يتم تحديد الطرق من قبل مجموعة اللواء.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</si>
  <si>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ملائمة نقطة البدء ونقطة الانتشار.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</si>
  <si>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المسافة بين نقاط الضبط والسيطرة على الطرق والمسافة الكلية من نقطة البدء وحتى نقطة الانتشار.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</si>
  <si>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التأكد من موقع منطقة التجمع أو المأوى.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</si>
  <si>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التأكد من مواقع نقاط الضبط والسيطرة على الطريق.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</si>
  <si>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تحديد وتأشير الموانع.</t>
    </r>
  </si>
  <si>
    <t>مرحلة التحضير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</si>
  <si>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تقوم سرية الاستطلاع بالتحضير للتنقل التعبوي كما يلي:</t>
    </r>
  </si>
  <si>
    <t>أ. قيام السرية باستطلاع الطريق المؤدي إلى نقطة البدء وتحديد الوقت الدقيق للوصول إليها.</t>
  </si>
  <si>
    <t>ب. تنفيذ تفقدات وتفتيشات ما قبل المعركة.</t>
  </si>
  <si>
    <t>جـ. الإشراف على إجراءات التأكد من أن جهود التخطيط والتحضير تجري في الاتجاه الصحيح وتتوافق مع قصد القائد.</t>
  </si>
  <si>
    <t>د. إجراء التجارب خلال ساعات النهار وفي ظل ظروف الرؤية المحدودة إن أمكن.</t>
  </si>
  <si>
    <t>هـ. تحميل كافة الآليات وفقاً لخطة التحميل وخطة الإدامة.</t>
  </si>
  <si>
    <t>ز. فحص أجهزة الاتصالات في كافة الآليات قبل البدء بالحركة.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</si>
  <si>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توضيع عناصر الاستطلاع ضمن نظام المسير الصحيح.</t>
    </r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</si>
  <si>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</si>
  <si>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اجتياز نقطة البدء في الوقت المحدد في أمر العمليات أو الأمر المجزأ.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</si>
  <si>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التشكيلة المحددة، أسلوب التنقل ومعدل المسير والمحافظة على السرعة الملائمة للوصول إلى نقاط الضبط والسيطرة في الأوقات المحددة في الأمر.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</si>
  <si>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إشارات التعارف البصرية أو الأجهزة اللاسلكية للاتصال مع الوحدات وبما يتوافق مع أمر العمليات والأوامر التعبوية المستديمة.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</si>
  <si>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إدامة المراقبة لجميع الجهات بما في ذلك المراقبة الجوية أثناء الحركة والوقفات.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</si>
  <si>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تمرير المعلومات عند اجتياز نقاط الضبط والسيطرة بما يتوافق مع أمر العمليات والأوامر التعبوية المستديمة.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</si>
  <si>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الوقفات المبرمجة ضمن المسافات الاعتيادية وبما يتوافق مع أمر العمليات أو الأوامر التعبوية المستديمة في حالة سمح الموقف التعبوي بذلك، والقيام بإجراء الصيانة الوقائية وإعادة التزود بالوقود عند الضرورة.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</si>
  <si>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التعامل مع الموانع حسب الأوامر.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</si>
  <si>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تمرير مواقع الوحدات لمجموعة اللواء وحسب الطلب.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</si>
  <si>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تطبيق إجراءات التماس مع قوات العدو حسب أمر العمليات أو الأوامر التعبوية المستديمة.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</si>
  <si>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الوصول إلى نقاط الانتشار واجتيازها حسب الوقت المحدد في أمر العمليات.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</si>
  <si>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تمرير المعلومات الوصول إلى نقاط الانتشار واتمام اجتيازها دون توقف.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</si>
  <si>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تعين الأدلاء منطقة التجمع الخاصة بقيادة اللواء.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</si>
  <si>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تطبيق الانتشار وإجراءات التخفية والتمويه الملائمة.</t>
    </r>
  </si>
  <si>
    <r>
      <rPr>
        <b/>
        <sz val="14"/>
        <color rgb="FF000000"/>
        <rFont val="Arial"/>
        <family val="2"/>
      </rPr>
      <t>تقييم سرية الاستطلاع في التنقل التعبوي من منطقة الحشد إلى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</si>
</sst>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5" borderId="11" xfId="0" applyFont="1" applyFill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13" fillId="5" borderId="24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0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5" borderId="24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3" fillId="6" borderId="21" xfId="0" applyFont="1" applyFill="1" applyBorder="1" applyAlignment="1">
      <alignment horizontal="right" vertical="center" wrapText="1" readingOrder="2"/>
    </xf>
    <xf numFmtId="0" fontId="3" fillId="6" borderId="22" xfId="0" applyFont="1" applyFill="1" applyBorder="1" applyAlignment="1">
      <alignment horizontal="right" vertical="center" wrapText="1" readingOrder="2"/>
    </xf>
    <xf numFmtId="0" fontId="3" fillId="6" borderId="23" xfId="0" applyFont="1" applyFill="1" applyBorder="1" applyAlignment="1">
      <alignment horizontal="right" vertical="center" wrapText="1" readingOrder="2"/>
    </xf>
    <xf numFmtId="0" fontId="6" fillId="0" borderId="20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239028</xdr:colOff>
      <xdr:row>54</xdr:row>
      <xdr:rowOff>100008</xdr:rowOff>
    </xdr:from>
    <xdr:to>
      <xdr:col>8</xdr:col>
      <xdr:colOff>238587</xdr:colOff>
      <xdr:row>54</xdr:row>
      <xdr:rowOff>460368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AFB6236-451A-8BD3-7F83-5332A76608E9}"/>
                </a:ext>
              </a:extLst>
            </xdr14:cNvPr>
            <xdr14:cNvContentPartPr/>
          </xdr14:nvContentPartPr>
          <xdr14:nvPr macro=""/>
          <xdr14:xfrm>
            <a:off x="10444016002" y="23894640"/>
            <a:ext cx="1319040" cy="360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AFB6236-451A-8BD3-7F83-5332A76608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44007362" y="23885640"/>
              <a:ext cx="1336680" cy="37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4:11:31.2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3416 248 6489,'0'0'0,"0"0"0,-28-11 72,0 7-32,-5-7 128,3 10 80,30 1-248,-18 4 280,-1 12-128,5-1-96,0 1-40,14-16-16,-11 19 0,6 0 0,-5 0-40,8 0 64,2-19-24,0 19-64,0-3-24,2 0-8,13-3-56,-15-13 152,8 10-272,9-7 48,-3 1 24,0 0 8,-14-4 192,21 3-32,0-3 0,5 0 48,-1-1-8,-25 1-8,23-6-8,3-6 8,0 8-48,-5-8 8,-21 12 40,23-6-8,-2-7 8,-5 7 0,-2-6 32,-14 12-32,5-4 24,-3 0 64,3 3 56,-5-1 96,0 2-240,0 0 272,0 0-32,0 0-80,-5 0-112,5 0-48,-11 0 8,-6 5-24,-1 7-16,-7 1 24,25-13 8,-29 18-24,-4 2 8,1 0-56,-3 3 24,35-23 48,-40 25-32,1-2 0,-3 4 56,2 0-24,40-27 0,-44 30 24,2 1-8,-2 0 32,-2 3-16,46-34-32,-45 33 32,-4 2-16,-3-3 24,1 1 8,51-33-48,-50 30 64,-2-2 64,6-2-16,-2-3 16,48-23-128,-43 20 128,3-4-16,2-3 96,6-9 32,32-4-240,-31 12 264,6-12 8,-3 3-96,5-3-8,23 0-168,-22 0 153,7-2-17,-2-2-8,3-7 16,14 11-144,-14-5 104,3-9-32,6 1-72,-7-3-64,12 16 64,-2-19-64,-2-3-32,1-4 88,-1-2 0,4 28 8,-3-30 56,3-4 40,0-1-32,11-3 16,-11 38-80,12-39 16,-2 0 48,1 2-8,3-1 8,-14 38-64,14-35 40,0-1-72,1 3 40,0-3-40,-15 36 32,19-34-24,-3 1-32,3 0-72,-2 2 104,-17 31 24,15-28-72,0 3 0,-2 4 56,-10 2-40,-3 19 56,14-15 16,-14 1 16,5 10 8,-3-7 32,-2 11-72,0-1 80,0-2 24,0 2 16,0-1-136,0 2 16,-2-1-88,-3 1-112,3 0-56,-10 0 56,12 0 200,-11 0-144,-6 12 31,-1-1 33,-8 4-40,26-15 120,-26 18-16,-5 3 8,-3 2 8,-3 6-8,37-29 8,-38 30 16,-4 2-16,-2 3 16,-9 2 32,53-37-48,-57 36 8,-1 2 16,-5-2 8,0 0 8,63-36-40,-65 37 16,2 1-8,-6-2-16,1 1 0,68-37 8,-68 36 16,1-3 0,1-2-8,8-2 0,58-29-8,-56 23-16,-2-3 32,5-1-16,3-3 32,50-16-32,-48 14 8,3-1 1,4-1 7,-1-8-24,42-4 8,-38 15 16,5-11-8,3 9-24,5-11 8,25-2 8,-26 3-17,8 0-55,-1-3-8,5 0 0,14 0 80,-12 0-136,7-4-24,1-7-88,1 0-120,3 11 368,0-14-376,3-3 56,6-4 88,1-4 192,-10 25 40,16-27-8,4-3 56,4-3 24,0 1-56,-24 32-16,25-33 40,0 0 24,3 1-24,3 0 16,-31 32-56,28-30 56,0 2-16,0 2 16,-2 2-24,-26 24-32,25-22 24,-4 0 0,0 2-8,0 2 24,-21 18-40,16-16 40,-2 2 24,-2 2 40,-8 1 8,-4 11-112,5-4 160,0-1 24,-5 1-16,0 0-32,0 4-136,-5-3 16,-6 2-8,-1 1-40,-6 0-24,18 0 56,-26 10-24,0 1-8,-9 3 16,-2 2 24,37-16-8,-40 18-8,-7 3 0,1 1 32,-2 1-32,48-23 8,-52 25 40,-2 2-24,-4 4-32,0 0 40,58-31-24,-63 34-8,3 1 8,-3-1 0,2 0 8,61-34-8,-58 30 0,1-3 40,11-4-8,4-4-24,42-19-8,-35 17 24,1-2-32,10 0-8,3-1-16,21-14 32,-12 13-24,1-2-32,6-7-8,3 7-24,2-11 88,0 2-72,0 1 32,12-3 8,4 0 32,-16 0 0,20-1 24,7-13 0,7-2 32,3-7-48,-37 23-8,47-28 40,9-6 32,9-5-24,3-3 8,-68 42-56,67-44 32,5-2-40,3 2-16,2-1 8,-77 45 16,82-45-72,2 3 48,2-3 0,2-1-8,-88 46 32,91-47-40,-3-2-32,-3 0 8,-4 2-24,-81 47 88,77-43-104,-5 5 16,-2 2 0,-5 8 56,-65 28 32,56-24 16,-5 6-48,-4 5-16,-9 8-16,-38 5 64,32-1-160,-9 1 72,-4 0 0,-7 14 32,-12-14 56,11 10 40,-9 3 56,3 4 136,-5 4 104,0-21-336,-5 28 336,-8 7 40,-7 7-168,0 7-24,20-49-184,-23 54 177,-3 4-169,2 2-96,1 1-169,23-61 257,-16 62-464,-1 3-312,13 4-48,-7 5-344,11-74 1168,0 77-2537,4 4-239,-4-81 2776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topLeftCell="A3" zoomScale="130" zoomScaleNormal="100" zoomScaleSheetLayoutView="130" workbookViewId="0">
      <selection activeCell="E6" sqref="E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3" t="s">
        <v>223</v>
      </c>
      <c r="C1" s="33"/>
      <c r="D1" s="33"/>
      <c r="E1" s="33"/>
      <c r="F1" s="33"/>
      <c r="G1" s="33"/>
      <c r="H1" s="33"/>
      <c r="I1" s="33"/>
      <c r="J1" s="33"/>
    </row>
    <row r="2" spans="1:10" ht="30" customHeight="1" x14ac:dyDescent="0.3">
      <c r="B2" s="10" t="s">
        <v>8</v>
      </c>
      <c r="C2" s="39" t="s">
        <v>10</v>
      </c>
      <c r="D2" s="39"/>
      <c r="E2" s="10" t="s">
        <v>7</v>
      </c>
      <c r="F2" s="34">
        <v>45952</v>
      </c>
      <c r="G2" s="34"/>
      <c r="H2" s="34"/>
      <c r="I2" s="34"/>
      <c r="J2" s="34"/>
    </row>
    <row r="3" spans="1:10" ht="30" customHeight="1" x14ac:dyDescent="0.3">
      <c r="B3" s="10" t="s">
        <v>9</v>
      </c>
      <c r="C3" s="39" t="s">
        <v>65</v>
      </c>
      <c r="D3" s="39"/>
      <c r="E3" s="10" t="s">
        <v>6</v>
      </c>
      <c r="F3" s="39" t="s">
        <v>113</v>
      </c>
      <c r="G3" s="39"/>
      <c r="H3" s="39"/>
      <c r="I3" s="39"/>
      <c r="J3" s="39"/>
    </row>
    <row r="4" spans="1:10" ht="30" customHeight="1" thickBot="1" x14ac:dyDescent="0.35">
      <c r="B4" s="6"/>
      <c r="C4" s="76"/>
      <c r="D4" s="76"/>
      <c r="E4" s="6"/>
      <c r="F4" s="76"/>
      <c r="G4" s="76"/>
      <c r="H4" s="76"/>
      <c r="I4" s="76"/>
      <c r="J4" s="76"/>
    </row>
    <row r="5" spans="1:10" ht="24.9" customHeight="1" x14ac:dyDescent="0.3">
      <c r="A5" s="8"/>
      <c r="B5" s="35" t="s">
        <v>0</v>
      </c>
      <c r="C5" s="36"/>
      <c r="D5" s="36"/>
      <c r="E5" s="46" t="s">
        <v>1</v>
      </c>
      <c r="F5" s="46"/>
      <c r="G5" s="46"/>
      <c r="H5" s="46"/>
      <c r="I5" s="46" t="s">
        <v>2</v>
      </c>
      <c r="J5" s="47"/>
    </row>
    <row r="6" spans="1:10" ht="24.9" customHeight="1" thickBot="1" x14ac:dyDescent="0.35">
      <c r="A6" s="8"/>
      <c r="B6" s="37"/>
      <c r="C6" s="38"/>
      <c r="D6" s="38"/>
      <c r="E6" s="9" t="s">
        <v>3</v>
      </c>
      <c r="F6" s="9" t="s">
        <v>4</v>
      </c>
      <c r="G6" s="9" t="s">
        <v>23</v>
      </c>
      <c r="H6" s="9" t="s">
        <v>24</v>
      </c>
      <c r="I6" s="48"/>
      <c r="J6" s="49"/>
    </row>
    <row r="7" spans="1:10" ht="24.9" customHeight="1" thickBot="1" x14ac:dyDescent="0.35">
      <c r="A7" s="8"/>
      <c r="B7" s="42" t="s">
        <v>21</v>
      </c>
      <c r="C7" s="43"/>
      <c r="D7" s="43"/>
      <c r="E7" s="25" t="s">
        <v>18</v>
      </c>
      <c r="F7" s="25" t="s">
        <v>19</v>
      </c>
      <c r="G7" s="25" t="s">
        <v>22</v>
      </c>
      <c r="H7" s="25" t="s">
        <v>20</v>
      </c>
      <c r="I7" s="50" t="s">
        <v>25</v>
      </c>
      <c r="J7" s="51"/>
    </row>
    <row r="8" spans="1:10" ht="30" customHeight="1" x14ac:dyDescent="0.3">
      <c r="A8" s="8"/>
      <c r="B8" s="73" t="s">
        <v>180</v>
      </c>
      <c r="C8" s="74"/>
      <c r="D8" s="74"/>
      <c r="E8" s="74"/>
      <c r="F8" s="74"/>
      <c r="G8" s="74"/>
      <c r="H8" s="74"/>
      <c r="I8" s="74"/>
      <c r="J8" s="75"/>
    </row>
    <row r="9" spans="1:10" ht="50.1" customHeight="1" x14ac:dyDescent="0.3">
      <c r="A9" s="8"/>
      <c r="B9" s="65" t="s">
        <v>181</v>
      </c>
      <c r="C9" s="66"/>
      <c r="D9" s="66"/>
      <c r="E9" s="28">
        <v>5</v>
      </c>
      <c r="F9" s="24">
        <v>3.75</v>
      </c>
      <c r="G9" s="26">
        <f>IFERROR(F9/E9,"")</f>
        <v>0.75</v>
      </c>
      <c r="H9" s="27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8"/>
      <c r="B10" s="65" t="s">
        <v>182</v>
      </c>
      <c r="C10" s="66"/>
      <c r="D10" s="66"/>
      <c r="E10" s="28"/>
      <c r="F10" s="24"/>
      <c r="G10" s="26"/>
      <c r="H10" s="27"/>
      <c r="I10" s="44"/>
      <c r="J10" s="45"/>
    </row>
    <row r="11" spans="1:10" ht="30" customHeight="1" x14ac:dyDescent="0.3">
      <c r="A11" s="8"/>
      <c r="B11" s="71" t="s">
        <v>183</v>
      </c>
      <c r="C11" s="72"/>
      <c r="D11" s="72"/>
      <c r="E11" s="28">
        <v>5</v>
      </c>
      <c r="F11" s="24">
        <v>3.75</v>
      </c>
      <c r="G11" s="26">
        <f t="shared" ref="G11:G50" si="0">IFERROR(F11/E11,"")</f>
        <v>0.75</v>
      </c>
      <c r="H11" s="27" t="str">
        <f t="shared" ref="H11:H50" si="1">_xlfn.IFS(F11="أدخل العلامة","",F11="لا ينطبق","تم الإلغاء",G11&gt;=90%,"ممتاز",G11&gt;=80%,"جيد جداً",G11&gt;=70%,"جيد",G11&gt;=60%,"مقبول",G11&lt;60%,"راسب")</f>
        <v>جيد</v>
      </c>
      <c r="I11" s="44"/>
      <c r="J11" s="45"/>
    </row>
    <row r="12" spans="1:10" ht="39.9" customHeight="1" x14ac:dyDescent="0.3">
      <c r="A12" s="8"/>
      <c r="B12" s="71" t="s">
        <v>184</v>
      </c>
      <c r="C12" s="72"/>
      <c r="D12" s="72"/>
      <c r="E12" s="28">
        <v>5</v>
      </c>
      <c r="F12" s="24">
        <v>3.75</v>
      </c>
      <c r="G12" s="26">
        <f t="shared" si="0"/>
        <v>0.75</v>
      </c>
      <c r="H12" s="27" t="str">
        <f t="shared" si="1"/>
        <v>جيد</v>
      </c>
      <c r="I12" s="44"/>
      <c r="J12" s="45"/>
    </row>
    <row r="13" spans="1:10" ht="30" customHeight="1" x14ac:dyDescent="0.3">
      <c r="A13" s="8"/>
      <c r="B13" s="65" t="s">
        <v>185</v>
      </c>
      <c r="C13" s="66"/>
      <c r="D13" s="66"/>
      <c r="E13" s="28"/>
      <c r="F13" s="24"/>
      <c r="G13" s="26"/>
      <c r="H13" s="27"/>
      <c r="I13" s="44"/>
      <c r="J13" s="45"/>
    </row>
    <row r="14" spans="1:10" ht="30" customHeight="1" x14ac:dyDescent="0.3">
      <c r="A14" s="8"/>
      <c r="B14" s="71" t="s">
        <v>186</v>
      </c>
      <c r="C14" s="72"/>
      <c r="D14" s="72"/>
      <c r="E14" s="28">
        <v>5</v>
      </c>
      <c r="F14" s="24">
        <v>3.75</v>
      </c>
      <c r="G14" s="26">
        <f t="shared" si="0"/>
        <v>0.75</v>
      </c>
      <c r="H14" s="27" t="str">
        <f t="shared" si="1"/>
        <v>جيد</v>
      </c>
      <c r="I14" s="44"/>
      <c r="J14" s="45"/>
    </row>
    <row r="15" spans="1:10" ht="39.9" customHeight="1" x14ac:dyDescent="0.3">
      <c r="A15" s="8"/>
      <c r="B15" s="71" t="s">
        <v>187</v>
      </c>
      <c r="C15" s="72"/>
      <c r="D15" s="72"/>
      <c r="E15" s="28">
        <v>5</v>
      </c>
      <c r="F15" s="24">
        <v>3.75</v>
      </c>
      <c r="G15" s="26">
        <f t="shared" si="0"/>
        <v>0.75</v>
      </c>
      <c r="H15" s="27" t="str">
        <f t="shared" si="1"/>
        <v>جيد</v>
      </c>
      <c r="I15" s="44"/>
      <c r="J15" s="45"/>
    </row>
    <row r="16" spans="1:10" ht="30" customHeight="1" x14ac:dyDescent="0.3">
      <c r="A16" s="8"/>
      <c r="B16" s="71" t="s">
        <v>188</v>
      </c>
      <c r="C16" s="72"/>
      <c r="D16" s="72"/>
      <c r="E16" s="28">
        <v>5</v>
      </c>
      <c r="F16" s="24">
        <v>4</v>
      </c>
      <c r="G16" s="26">
        <f t="shared" si="0"/>
        <v>0.8</v>
      </c>
      <c r="H16" s="27" t="str">
        <f t="shared" si="1"/>
        <v>جيد جداً</v>
      </c>
      <c r="I16" s="44"/>
      <c r="J16" s="45"/>
    </row>
    <row r="17" spans="1:10" ht="39.9" customHeight="1" x14ac:dyDescent="0.3">
      <c r="A17" s="8"/>
      <c r="B17" s="71" t="s">
        <v>189</v>
      </c>
      <c r="C17" s="72"/>
      <c r="D17" s="72"/>
      <c r="E17" s="28">
        <v>5</v>
      </c>
      <c r="F17" s="24">
        <v>3.75</v>
      </c>
      <c r="G17" s="26">
        <f t="shared" si="0"/>
        <v>0.75</v>
      </c>
      <c r="H17" s="27" t="str">
        <f t="shared" si="1"/>
        <v>جيد</v>
      </c>
      <c r="I17" s="44"/>
      <c r="J17" s="45"/>
    </row>
    <row r="18" spans="1:10" ht="30" customHeight="1" x14ac:dyDescent="0.3">
      <c r="A18" s="8"/>
      <c r="B18" s="71" t="s">
        <v>190</v>
      </c>
      <c r="C18" s="72"/>
      <c r="D18" s="72"/>
      <c r="E18" s="28">
        <v>5</v>
      </c>
      <c r="F18" s="24">
        <v>4</v>
      </c>
      <c r="G18" s="26">
        <f t="shared" si="0"/>
        <v>0.8</v>
      </c>
      <c r="H18" s="27" t="str">
        <f t="shared" si="1"/>
        <v>جيد جداً</v>
      </c>
      <c r="I18" s="44"/>
      <c r="J18" s="45"/>
    </row>
    <row r="19" spans="1:10" ht="39.9" customHeight="1" x14ac:dyDescent="0.3">
      <c r="A19" s="8"/>
      <c r="B19" s="65" t="s">
        <v>191</v>
      </c>
      <c r="C19" s="66"/>
      <c r="D19" s="66"/>
      <c r="E19" s="28">
        <v>5</v>
      </c>
      <c r="F19" s="24">
        <v>3.75</v>
      </c>
      <c r="G19" s="26">
        <f t="shared" si="0"/>
        <v>0.75</v>
      </c>
      <c r="H19" s="27" t="str">
        <f t="shared" si="1"/>
        <v>جيد</v>
      </c>
      <c r="I19" s="44"/>
      <c r="J19" s="45"/>
    </row>
    <row r="20" spans="1:10" ht="39.9" customHeight="1" x14ac:dyDescent="0.3">
      <c r="A20" s="8"/>
      <c r="B20" s="65" t="s">
        <v>192</v>
      </c>
      <c r="C20" s="66"/>
      <c r="D20" s="66"/>
      <c r="E20" s="28">
        <v>5</v>
      </c>
      <c r="F20" s="24">
        <v>3.75</v>
      </c>
      <c r="G20" s="26">
        <f t="shared" si="0"/>
        <v>0.75</v>
      </c>
      <c r="H20" s="27" t="str">
        <f t="shared" si="1"/>
        <v>جيد</v>
      </c>
      <c r="I20" s="44"/>
      <c r="J20" s="45"/>
    </row>
    <row r="21" spans="1:10" ht="50.1" customHeight="1" x14ac:dyDescent="0.3">
      <c r="A21" s="8"/>
      <c r="B21" s="65" t="s">
        <v>193</v>
      </c>
      <c r="C21" s="66"/>
      <c r="D21" s="66"/>
      <c r="E21" s="28">
        <v>5</v>
      </c>
      <c r="F21" s="24">
        <v>3.75</v>
      </c>
      <c r="G21" s="26">
        <f t="shared" si="0"/>
        <v>0.75</v>
      </c>
      <c r="H21" s="27" t="str">
        <f t="shared" si="1"/>
        <v>جيد</v>
      </c>
      <c r="I21" s="44"/>
      <c r="J21" s="45"/>
    </row>
    <row r="22" spans="1:10" ht="39.9" customHeight="1" x14ac:dyDescent="0.3">
      <c r="A22" s="8"/>
      <c r="B22" s="65" t="s">
        <v>194</v>
      </c>
      <c r="C22" s="66"/>
      <c r="D22" s="66"/>
      <c r="E22" s="28">
        <v>5</v>
      </c>
      <c r="F22" s="24">
        <v>3.75</v>
      </c>
      <c r="G22" s="26">
        <f t="shared" si="0"/>
        <v>0.75</v>
      </c>
      <c r="H22" s="27" t="str">
        <f t="shared" si="1"/>
        <v>جيد</v>
      </c>
      <c r="I22" s="44"/>
      <c r="J22" s="45"/>
    </row>
    <row r="23" spans="1:10" ht="30" customHeight="1" x14ac:dyDescent="0.3">
      <c r="A23" s="8"/>
      <c r="B23" s="65" t="s">
        <v>195</v>
      </c>
      <c r="C23" s="66"/>
      <c r="D23" s="66"/>
      <c r="E23" s="28">
        <v>5</v>
      </c>
      <c r="F23" s="24">
        <v>4</v>
      </c>
      <c r="G23" s="26">
        <f t="shared" si="0"/>
        <v>0.8</v>
      </c>
      <c r="H23" s="27" t="str">
        <f t="shared" si="1"/>
        <v>جيد جداً</v>
      </c>
      <c r="I23" s="44"/>
      <c r="J23" s="45"/>
    </row>
    <row r="24" spans="1:10" ht="39.9" customHeight="1" x14ac:dyDescent="0.3">
      <c r="A24" s="8"/>
      <c r="B24" s="65" t="s">
        <v>196</v>
      </c>
      <c r="C24" s="66"/>
      <c r="D24" s="66"/>
      <c r="E24" s="28">
        <v>5</v>
      </c>
      <c r="F24" s="24">
        <v>3.75</v>
      </c>
      <c r="G24" s="26">
        <f t="shared" si="0"/>
        <v>0.75</v>
      </c>
      <c r="H24" s="27" t="str">
        <f t="shared" si="1"/>
        <v>جيد</v>
      </c>
      <c r="I24" s="44"/>
      <c r="J24" s="45"/>
    </row>
    <row r="25" spans="1:10" ht="30" customHeight="1" x14ac:dyDescent="0.3">
      <c r="A25" s="8"/>
      <c r="B25" s="65" t="s">
        <v>197</v>
      </c>
      <c r="C25" s="66"/>
      <c r="D25" s="66"/>
      <c r="E25" s="28">
        <v>5</v>
      </c>
      <c r="F25" s="24">
        <v>4</v>
      </c>
      <c r="G25" s="26">
        <f t="shared" si="0"/>
        <v>0.8</v>
      </c>
      <c r="H25" s="27" t="str">
        <f t="shared" si="1"/>
        <v>جيد جداً</v>
      </c>
      <c r="I25" s="44"/>
      <c r="J25" s="45"/>
    </row>
    <row r="26" spans="1:10" ht="30" customHeight="1" x14ac:dyDescent="0.3">
      <c r="A26" s="8"/>
      <c r="B26" s="65" t="s">
        <v>198</v>
      </c>
      <c r="C26" s="66"/>
      <c r="D26" s="66"/>
      <c r="E26" s="28">
        <v>5</v>
      </c>
      <c r="F26" s="24">
        <v>3.75</v>
      </c>
      <c r="G26" s="26">
        <f t="shared" si="0"/>
        <v>0.75</v>
      </c>
      <c r="H26" s="27" t="str">
        <f t="shared" si="1"/>
        <v>جيد</v>
      </c>
      <c r="I26" s="44"/>
      <c r="J26" s="45"/>
    </row>
    <row r="27" spans="1:10" ht="30" customHeight="1" thickBot="1" x14ac:dyDescent="0.35">
      <c r="A27" s="8"/>
      <c r="B27" s="67" t="s">
        <v>199</v>
      </c>
      <c r="C27" s="68"/>
      <c r="D27" s="68"/>
      <c r="E27" s="29">
        <v>5</v>
      </c>
      <c r="F27" s="30">
        <v>4</v>
      </c>
      <c r="G27" s="31">
        <f t="shared" si="0"/>
        <v>0.8</v>
      </c>
      <c r="H27" s="32" t="str">
        <f t="shared" si="1"/>
        <v>جيد جداً</v>
      </c>
      <c r="I27" s="58"/>
      <c r="J27" s="59"/>
    </row>
    <row r="28" spans="1:10" ht="30" customHeight="1" x14ac:dyDescent="0.3">
      <c r="A28" s="8"/>
      <c r="B28" s="73" t="s">
        <v>200</v>
      </c>
      <c r="C28" s="74"/>
      <c r="D28" s="74"/>
      <c r="E28" s="74"/>
      <c r="F28" s="74"/>
      <c r="G28" s="74"/>
      <c r="H28" s="74"/>
      <c r="I28" s="74"/>
      <c r="J28" s="75"/>
    </row>
    <row r="29" spans="1:10" ht="30" customHeight="1" x14ac:dyDescent="0.3">
      <c r="A29" s="8"/>
      <c r="B29" s="65" t="s">
        <v>201</v>
      </c>
      <c r="C29" s="66"/>
      <c r="D29" s="66"/>
      <c r="E29" s="28"/>
      <c r="F29" s="24"/>
      <c r="G29" s="26"/>
      <c r="H29" s="27"/>
      <c r="I29" s="44"/>
      <c r="J29" s="45"/>
    </row>
    <row r="30" spans="1:10" ht="39.9" customHeight="1" x14ac:dyDescent="0.3">
      <c r="A30" s="8"/>
      <c r="B30" s="71" t="s">
        <v>202</v>
      </c>
      <c r="C30" s="72"/>
      <c r="D30" s="72"/>
      <c r="E30" s="28">
        <v>5</v>
      </c>
      <c r="F30" s="24">
        <v>3.5</v>
      </c>
      <c r="G30" s="26">
        <f t="shared" si="0"/>
        <v>0.7</v>
      </c>
      <c r="H30" s="27" t="str">
        <f t="shared" si="1"/>
        <v>جيد</v>
      </c>
      <c r="I30" s="44"/>
      <c r="J30" s="45"/>
    </row>
    <row r="31" spans="1:10" ht="30" customHeight="1" x14ac:dyDescent="0.3">
      <c r="A31" s="8"/>
      <c r="B31" s="71" t="s">
        <v>203</v>
      </c>
      <c r="C31" s="72"/>
      <c r="D31" s="72"/>
      <c r="E31" s="28">
        <v>5</v>
      </c>
      <c r="F31" s="24">
        <v>4</v>
      </c>
      <c r="G31" s="26">
        <f t="shared" si="0"/>
        <v>0.8</v>
      </c>
      <c r="H31" s="27" t="str">
        <f t="shared" si="1"/>
        <v>جيد جداً</v>
      </c>
      <c r="I31" s="44"/>
      <c r="J31" s="45"/>
    </row>
    <row r="32" spans="1:10" ht="39.9" customHeight="1" x14ac:dyDescent="0.3">
      <c r="A32" s="8"/>
      <c r="B32" s="71" t="s">
        <v>204</v>
      </c>
      <c r="C32" s="72"/>
      <c r="D32" s="72"/>
      <c r="E32" s="28">
        <v>5</v>
      </c>
      <c r="F32" s="24">
        <v>3.75</v>
      </c>
      <c r="G32" s="26">
        <f t="shared" si="0"/>
        <v>0.75</v>
      </c>
      <c r="H32" s="27" t="str">
        <f t="shared" si="1"/>
        <v>جيد</v>
      </c>
      <c r="I32" s="44"/>
      <c r="J32" s="45"/>
    </row>
    <row r="33" spans="1:10" ht="39.9" customHeight="1" x14ac:dyDescent="0.3">
      <c r="A33" s="8"/>
      <c r="B33" s="71" t="s">
        <v>205</v>
      </c>
      <c r="C33" s="72"/>
      <c r="D33" s="72"/>
      <c r="E33" s="28">
        <v>5</v>
      </c>
      <c r="F33" s="24">
        <v>3.5</v>
      </c>
      <c r="G33" s="26">
        <f t="shared" si="0"/>
        <v>0.7</v>
      </c>
      <c r="H33" s="27" t="str">
        <f t="shared" si="1"/>
        <v>جيد</v>
      </c>
      <c r="I33" s="44"/>
      <c r="J33" s="45"/>
    </row>
    <row r="34" spans="1:10" ht="30" customHeight="1" x14ac:dyDescent="0.3">
      <c r="A34" s="8"/>
      <c r="B34" s="71" t="s">
        <v>206</v>
      </c>
      <c r="C34" s="72"/>
      <c r="D34" s="72"/>
      <c r="E34" s="28">
        <v>5</v>
      </c>
      <c r="F34" s="24">
        <v>3.5</v>
      </c>
      <c r="G34" s="26">
        <f t="shared" si="0"/>
        <v>0.7</v>
      </c>
      <c r="H34" s="27" t="str">
        <f t="shared" si="1"/>
        <v>جيد</v>
      </c>
      <c r="I34" s="44"/>
      <c r="J34" s="45"/>
    </row>
    <row r="35" spans="1:10" ht="30" customHeight="1" x14ac:dyDescent="0.3">
      <c r="A35" s="8"/>
      <c r="B35" s="71" t="s">
        <v>207</v>
      </c>
      <c r="C35" s="72"/>
      <c r="D35" s="72"/>
      <c r="E35" s="28">
        <v>5</v>
      </c>
      <c r="F35" s="24">
        <v>3.75</v>
      </c>
      <c r="G35" s="26">
        <f t="shared" si="0"/>
        <v>0.75</v>
      </c>
      <c r="H35" s="27" t="str">
        <f t="shared" si="1"/>
        <v>جيد</v>
      </c>
      <c r="I35" s="44"/>
      <c r="J35" s="45"/>
    </row>
    <row r="36" spans="1:10" ht="30" customHeight="1" thickBot="1" x14ac:dyDescent="0.35">
      <c r="A36" s="8"/>
      <c r="B36" s="67" t="s">
        <v>208</v>
      </c>
      <c r="C36" s="68"/>
      <c r="D36" s="68"/>
      <c r="E36" s="29">
        <v>5</v>
      </c>
      <c r="F36" s="30">
        <v>3.75</v>
      </c>
      <c r="G36" s="31">
        <f t="shared" si="0"/>
        <v>0.75</v>
      </c>
      <c r="H36" s="32" t="str">
        <f t="shared" si="1"/>
        <v>جيد</v>
      </c>
      <c r="I36" s="58"/>
      <c r="J36" s="59"/>
    </row>
    <row r="37" spans="1:10" ht="30" customHeight="1" x14ac:dyDescent="0.3">
      <c r="A37" s="8"/>
      <c r="B37" s="73" t="s">
        <v>209</v>
      </c>
      <c r="C37" s="74"/>
      <c r="D37" s="74"/>
      <c r="E37" s="74"/>
      <c r="F37" s="74"/>
      <c r="G37" s="74"/>
      <c r="H37" s="74"/>
      <c r="I37" s="74"/>
      <c r="J37" s="75"/>
    </row>
    <row r="38" spans="1:10" ht="30" customHeight="1" x14ac:dyDescent="0.3">
      <c r="A38" s="8"/>
      <c r="B38" s="65" t="s">
        <v>210</v>
      </c>
      <c r="C38" s="66"/>
      <c r="D38" s="66"/>
      <c r="E38" s="28">
        <v>5</v>
      </c>
      <c r="F38" s="24">
        <v>3.75</v>
      </c>
      <c r="G38" s="26">
        <f t="shared" si="0"/>
        <v>0.75</v>
      </c>
      <c r="H38" s="27" t="str">
        <f t="shared" si="1"/>
        <v>جيد</v>
      </c>
      <c r="I38" s="44"/>
      <c r="J38" s="45"/>
    </row>
    <row r="39" spans="1:10" ht="50.1" customHeight="1" x14ac:dyDescent="0.3">
      <c r="A39" s="8"/>
      <c r="B39" s="65" t="s">
        <v>211</v>
      </c>
      <c r="C39" s="66"/>
      <c r="D39" s="66"/>
      <c r="E39" s="28">
        <v>5</v>
      </c>
      <c r="F39" s="24">
        <v>3.75</v>
      </c>
      <c r="G39" s="26">
        <f t="shared" si="0"/>
        <v>0.75</v>
      </c>
      <c r="H39" s="27" t="str">
        <f t="shared" si="1"/>
        <v>جيد</v>
      </c>
      <c r="I39" s="44"/>
      <c r="J39" s="45"/>
    </row>
    <row r="40" spans="1:10" ht="39.9" customHeight="1" x14ac:dyDescent="0.3">
      <c r="A40" s="8"/>
      <c r="B40" s="65" t="s">
        <v>212</v>
      </c>
      <c r="C40" s="66"/>
      <c r="D40" s="66"/>
      <c r="E40" s="28">
        <v>5</v>
      </c>
      <c r="F40" s="24">
        <v>3.75</v>
      </c>
      <c r="G40" s="26">
        <f t="shared" si="0"/>
        <v>0.75</v>
      </c>
      <c r="H40" s="27" t="str">
        <f t="shared" si="1"/>
        <v>جيد</v>
      </c>
      <c r="I40" s="44"/>
      <c r="J40" s="45"/>
    </row>
    <row r="41" spans="1:10" ht="39.9" customHeight="1" x14ac:dyDescent="0.3">
      <c r="A41" s="8"/>
      <c r="B41" s="65" t="s">
        <v>213</v>
      </c>
      <c r="C41" s="66"/>
      <c r="D41" s="66"/>
      <c r="E41" s="28">
        <v>5</v>
      </c>
      <c r="F41" s="24">
        <v>3.75</v>
      </c>
      <c r="G41" s="26">
        <f t="shared" si="0"/>
        <v>0.75</v>
      </c>
      <c r="H41" s="27" t="str">
        <f t="shared" si="1"/>
        <v>جيد</v>
      </c>
      <c r="I41" s="44"/>
      <c r="J41" s="45"/>
    </row>
    <row r="42" spans="1:10" ht="39.9" customHeight="1" x14ac:dyDescent="0.3">
      <c r="A42" s="8"/>
      <c r="B42" s="65" t="s">
        <v>214</v>
      </c>
      <c r="C42" s="66"/>
      <c r="D42" s="66"/>
      <c r="E42" s="28">
        <v>5</v>
      </c>
      <c r="F42" s="24">
        <v>3.75</v>
      </c>
      <c r="G42" s="26">
        <f t="shared" si="0"/>
        <v>0.75</v>
      </c>
      <c r="H42" s="27" t="str">
        <f t="shared" si="1"/>
        <v>جيد</v>
      </c>
      <c r="I42" s="44"/>
      <c r="J42" s="45"/>
    </row>
    <row r="43" spans="1:10" ht="50.1" customHeight="1" x14ac:dyDescent="0.3">
      <c r="A43" s="8"/>
      <c r="B43" s="65" t="s">
        <v>215</v>
      </c>
      <c r="C43" s="66"/>
      <c r="D43" s="66"/>
      <c r="E43" s="28">
        <v>5</v>
      </c>
      <c r="F43" s="24">
        <v>3.75</v>
      </c>
      <c r="G43" s="26">
        <f t="shared" si="0"/>
        <v>0.75</v>
      </c>
      <c r="H43" s="27" t="str">
        <f t="shared" si="1"/>
        <v>جيد</v>
      </c>
      <c r="I43" s="44"/>
      <c r="J43" s="45"/>
    </row>
    <row r="44" spans="1:10" ht="30" customHeight="1" x14ac:dyDescent="0.3">
      <c r="A44" s="8"/>
      <c r="B44" s="65" t="s">
        <v>216</v>
      </c>
      <c r="C44" s="66"/>
      <c r="D44" s="66"/>
      <c r="E44" s="28">
        <v>5</v>
      </c>
      <c r="F44" s="24">
        <v>4</v>
      </c>
      <c r="G44" s="26">
        <f t="shared" si="0"/>
        <v>0.8</v>
      </c>
      <c r="H44" s="27" t="str">
        <f t="shared" si="1"/>
        <v>جيد جداً</v>
      </c>
      <c r="I44" s="44"/>
      <c r="J44" s="45"/>
    </row>
    <row r="45" spans="1:10" ht="30" customHeight="1" x14ac:dyDescent="0.3">
      <c r="A45" s="8"/>
      <c r="B45" s="65" t="s">
        <v>217</v>
      </c>
      <c r="C45" s="66"/>
      <c r="D45" s="66"/>
      <c r="E45" s="28">
        <v>5</v>
      </c>
      <c r="F45" s="24">
        <v>3.75</v>
      </c>
      <c r="G45" s="26">
        <f t="shared" si="0"/>
        <v>0.75</v>
      </c>
      <c r="H45" s="27" t="str">
        <f t="shared" si="1"/>
        <v>جيد</v>
      </c>
      <c r="I45" s="44"/>
      <c r="J45" s="45"/>
    </row>
    <row r="46" spans="1:10" ht="39.9" customHeight="1" x14ac:dyDescent="0.3">
      <c r="A46" s="8"/>
      <c r="B46" s="65" t="s">
        <v>218</v>
      </c>
      <c r="C46" s="66"/>
      <c r="D46" s="66"/>
      <c r="E46" s="28">
        <v>5</v>
      </c>
      <c r="F46" s="24">
        <v>3.75</v>
      </c>
      <c r="G46" s="26">
        <f t="shared" si="0"/>
        <v>0.75</v>
      </c>
      <c r="H46" s="27" t="str">
        <f t="shared" si="1"/>
        <v>جيد</v>
      </c>
      <c r="I46" s="44"/>
      <c r="J46" s="45"/>
    </row>
    <row r="47" spans="1:10" ht="39.9" customHeight="1" x14ac:dyDescent="0.3">
      <c r="A47" s="8"/>
      <c r="B47" s="65" t="s">
        <v>219</v>
      </c>
      <c r="C47" s="66"/>
      <c r="D47" s="66"/>
      <c r="E47" s="28">
        <v>5</v>
      </c>
      <c r="F47" s="24">
        <v>3.75</v>
      </c>
      <c r="G47" s="26">
        <f t="shared" si="0"/>
        <v>0.75</v>
      </c>
      <c r="H47" s="27" t="str">
        <f t="shared" si="1"/>
        <v>جيد</v>
      </c>
      <c r="I47" s="44"/>
      <c r="J47" s="45"/>
    </row>
    <row r="48" spans="1:10" ht="39.9" customHeight="1" x14ac:dyDescent="0.3">
      <c r="A48" s="8"/>
      <c r="B48" s="65" t="s">
        <v>220</v>
      </c>
      <c r="C48" s="66"/>
      <c r="D48" s="66"/>
      <c r="E48" s="28">
        <v>5</v>
      </c>
      <c r="F48" s="24">
        <v>3.75</v>
      </c>
      <c r="G48" s="26">
        <f t="shared" si="0"/>
        <v>0.75</v>
      </c>
      <c r="H48" s="27" t="str">
        <f t="shared" si="1"/>
        <v>جيد</v>
      </c>
      <c r="I48" s="44"/>
      <c r="J48" s="45"/>
    </row>
    <row r="49" spans="1:10" ht="30" customHeight="1" x14ac:dyDescent="0.3">
      <c r="A49" s="8"/>
      <c r="B49" s="65" t="s">
        <v>221</v>
      </c>
      <c r="C49" s="66"/>
      <c r="D49" s="66"/>
      <c r="E49" s="28">
        <v>5</v>
      </c>
      <c r="F49" s="24">
        <v>3.75</v>
      </c>
      <c r="G49" s="26">
        <f t="shared" si="0"/>
        <v>0.75</v>
      </c>
      <c r="H49" s="27" t="str">
        <f t="shared" si="1"/>
        <v>جيد</v>
      </c>
      <c r="I49" s="44"/>
      <c r="J49" s="45"/>
    </row>
    <row r="50" spans="1:10" ht="30" customHeight="1" thickBot="1" x14ac:dyDescent="0.35">
      <c r="A50" s="8"/>
      <c r="B50" s="67" t="s">
        <v>222</v>
      </c>
      <c r="C50" s="68"/>
      <c r="D50" s="68"/>
      <c r="E50" s="29">
        <v>5</v>
      </c>
      <c r="F50" s="30">
        <v>3.75</v>
      </c>
      <c r="G50" s="31">
        <f t="shared" si="0"/>
        <v>0.75</v>
      </c>
      <c r="H50" s="32" t="str">
        <f t="shared" si="1"/>
        <v>جيد</v>
      </c>
      <c r="I50" s="58"/>
      <c r="J50" s="59"/>
    </row>
    <row r="51" spans="1:10" ht="30" customHeight="1" thickBot="1" x14ac:dyDescent="0.35">
      <c r="A51" s="4"/>
      <c r="B51" s="69" t="s">
        <v>5</v>
      </c>
      <c r="C51" s="70"/>
      <c r="D51" s="70"/>
      <c r="E51" s="7">
        <f>SUM(E8:E50)</f>
        <v>185</v>
      </c>
      <c r="F51" s="7">
        <f>SUM(F8:F50)</f>
        <v>139.75</v>
      </c>
      <c r="G51" s="62"/>
      <c r="H51" s="63"/>
      <c r="I51" s="63"/>
      <c r="J51" s="64"/>
    </row>
    <row r="52" spans="1:10" ht="30" customHeight="1" thickBot="1" x14ac:dyDescent="0.35">
      <c r="A52" s="4"/>
      <c r="B52" s="69" t="s">
        <v>54</v>
      </c>
      <c r="C52" s="70"/>
      <c r="D52" s="70"/>
      <c r="E52" s="40">
        <f>F51/E51/100*100</f>
        <v>0.75540540540540535</v>
      </c>
      <c r="F52" s="40"/>
      <c r="G52" s="40"/>
      <c r="H52" s="40"/>
      <c r="I52" s="40"/>
      <c r="J52" s="41"/>
    </row>
    <row r="53" spans="1:10" ht="30" customHeight="1" thickBot="1" x14ac:dyDescent="0.35">
      <c r="A53" s="4"/>
      <c r="B53" s="69" t="s">
        <v>55</v>
      </c>
      <c r="C53" s="70"/>
      <c r="D53" s="70"/>
      <c r="E53" s="56" t="str">
        <f>_xlfn.IFS(E52&gt;=90%,"ممتاز",E52&gt;=80%,"جيد جداً",E52&gt;=70%,"جيد",E52&gt;=60%,"مقبول",E52&lt;60%,"راسب")</f>
        <v>جيد</v>
      </c>
      <c r="F53" s="56"/>
      <c r="G53" s="56"/>
      <c r="H53" s="56"/>
      <c r="I53" s="56"/>
      <c r="J53" s="57"/>
    </row>
    <row r="54" spans="1:10" ht="42" customHeight="1" x14ac:dyDescent="0.3">
      <c r="B54" s="52" t="s">
        <v>174</v>
      </c>
      <c r="C54" s="52"/>
      <c r="D54" s="52"/>
      <c r="E54" s="60" t="s">
        <v>52</v>
      </c>
      <c r="F54" s="60"/>
      <c r="G54" s="54" t="s">
        <v>113</v>
      </c>
      <c r="H54" s="54"/>
      <c r="I54" s="54"/>
      <c r="J54" s="54"/>
    </row>
    <row r="55" spans="1:10" ht="51" customHeight="1" x14ac:dyDescent="0.3">
      <c r="A55" s="5"/>
      <c r="B55" s="53"/>
      <c r="C55" s="53"/>
      <c r="D55" s="53"/>
      <c r="E55" s="61" t="s">
        <v>53</v>
      </c>
      <c r="F55" s="61"/>
      <c r="G55" s="55"/>
      <c r="H55" s="55"/>
      <c r="I55" s="55"/>
      <c r="J55" s="5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6">
    <mergeCell ref="B20:D20"/>
    <mergeCell ref="B21:D21"/>
    <mergeCell ref="B22:D22"/>
    <mergeCell ref="B23:D23"/>
    <mergeCell ref="B24:D24"/>
    <mergeCell ref="B25:D25"/>
    <mergeCell ref="C4:D4"/>
    <mergeCell ref="F4:J4"/>
    <mergeCell ref="B44:D44"/>
    <mergeCell ref="B37:J37"/>
    <mergeCell ref="B28:J28"/>
    <mergeCell ref="B35:D35"/>
    <mergeCell ref="B36:D36"/>
    <mergeCell ref="B38:D38"/>
    <mergeCell ref="B39:D39"/>
    <mergeCell ref="B40:D40"/>
    <mergeCell ref="B41:D41"/>
    <mergeCell ref="B42:D42"/>
    <mergeCell ref="B43:D43"/>
    <mergeCell ref="B26:D26"/>
    <mergeCell ref="B27:D27"/>
    <mergeCell ref="B29:D29"/>
    <mergeCell ref="B30:D30"/>
    <mergeCell ref="B31:D31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I32:J32"/>
    <mergeCell ref="I33:J33"/>
    <mergeCell ref="I34:J34"/>
    <mergeCell ref="I35:J35"/>
    <mergeCell ref="I36:J36"/>
    <mergeCell ref="B51:D51"/>
    <mergeCell ref="B52:D52"/>
    <mergeCell ref="B53:D53"/>
    <mergeCell ref="I11:J11"/>
    <mergeCell ref="I12:J12"/>
    <mergeCell ref="I13:J13"/>
    <mergeCell ref="I14:J14"/>
    <mergeCell ref="I15:J15"/>
    <mergeCell ref="I16:J16"/>
    <mergeCell ref="I17:J17"/>
    <mergeCell ref="I18:J18"/>
    <mergeCell ref="I29:J29"/>
    <mergeCell ref="I27:J27"/>
    <mergeCell ref="B32:D32"/>
    <mergeCell ref="B33:D33"/>
    <mergeCell ref="B34:D34"/>
    <mergeCell ref="B17:D17"/>
    <mergeCell ref="B18:D18"/>
    <mergeCell ref="B19:D19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45:D45"/>
    <mergeCell ref="B46:D46"/>
    <mergeCell ref="B47:D47"/>
    <mergeCell ref="B48:D48"/>
    <mergeCell ref="B49:D49"/>
    <mergeCell ref="B50:D50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21" priority="57">
      <formula>$E53="راسب"</formula>
    </cfRule>
  </conditionalFormatting>
  <conditionalFormatting sqref="E53:J53">
    <cfRule type="expression" dxfId="20" priority="60">
      <formula>$E53="جيد جداً"</formula>
    </cfRule>
    <cfRule type="expression" dxfId="19" priority="59">
      <formula>$E53="جيد"</formula>
    </cfRule>
    <cfRule type="expression" dxfId="18" priority="58">
      <formula>$E53="مقبول"</formula>
    </cfRule>
    <cfRule type="expression" dxfId="17" priority="61">
      <formula>$E53="ممتاز"</formula>
    </cfRule>
  </conditionalFormatting>
  <conditionalFormatting sqref="F9:F27">
    <cfRule type="containsText" dxfId="16" priority="4" operator="containsText" text="أدخل العلامة">
      <formula>NOT(ISERROR(SEARCH("أدخل العلامة",F9)))</formula>
    </cfRule>
  </conditionalFormatting>
  <conditionalFormatting sqref="F29:F36 F38:F50">
    <cfRule type="containsText" dxfId="15" priority="14" operator="containsText" text="أدخل العلامة">
      <formula>NOT(ISERROR(SEARCH("أدخل العلامة",F29)))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12" priority="15" operator="containsText" text="أدخل اسم المحكم">
      <formula>NOT(ISERROR(SEARCH("أدخل اسم المحكم",G54)))</formula>
    </cfRule>
  </conditionalFormatting>
  <conditionalFormatting sqref="H9:H2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9:H36 H38:H50">
    <cfRule type="containsText" dxfId="5" priority="38" operator="containsText" text="أدخل العلامة">
      <formula>NOT(ISERROR(SEARCH("أدخل العلامة",H29)))</formula>
    </cfRule>
    <cfRule type="containsText" dxfId="4" priority="39" operator="containsText" text="ممتاز">
      <formula>NOT(ISERROR(SEARCH("ممتاز",H29)))</formula>
    </cfRule>
    <cfRule type="containsText" dxfId="3" priority="40" operator="containsText" text="جيد جداً">
      <formula>NOT(ISERROR(SEARCH("جيد جداً",H29)))</formula>
    </cfRule>
    <cfRule type="containsText" dxfId="2" priority="41" operator="containsText" text="جيد">
      <formula>NOT(ISERROR(SEARCH("جيد",H29)))</formula>
    </cfRule>
    <cfRule type="containsText" dxfId="1" priority="42" operator="containsText" text="مقبول">
      <formula>NOT(ISERROR(SEARCH("مقبول",H29)))</formula>
    </cfRule>
    <cfRule type="containsText" dxfId="0" priority="43" operator="containsText" text="راسب">
      <formula>NOT(ISERROR(SEARCH("راسب",H29)))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F38:F50 F30:F36 F14:F27 F11:F12 F9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2025-10-23T21:08:16Z</dcterms:modified>
</cp:coreProperties>
</file>