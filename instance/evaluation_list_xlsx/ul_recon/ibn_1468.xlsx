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8804B8D-B0CE-9F45-93E8-99FCB63BBBC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8" i="2"/>
  <c r="H78" i="2"/>
  <c r="G79" i="2"/>
  <c r="H79" i="2"/>
  <c r="G80" i="2"/>
  <c r="H80" i="2"/>
  <c r="G81" i="2"/>
  <c r="H81" i="2"/>
  <c r="G82" i="2"/>
  <c r="H82" i="2"/>
  <c r="G83" i="2"/>
  <c r="H83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8" i="2"/>
  <c r="H8" i="2"/>
  <c r="F97" i="2"/>
  <c r="E97" i="2"/>
  <c r="E98" i="2"/>
  <c r="E99" i="2"/>
</calcChain>
</file>

<file path=xl/sharedStrings.xml><?xml version="1.0" encoding="utf-8"?>
<sst xmlns="http://schemas.openxmlformats.org/spreadsheetml/2006/main" count="326" uniqueCount="270">
  <si>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</si>
  <si>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</si>
  <si>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</si>
  <si>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</si>
  <si>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</si>
  <si>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</si>
  <si>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</si>
  <si>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</si>
  <si>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</si>
  <si>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</si>
  <si>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</si>
  <si>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</si>
  <si>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</si>
  <si>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</si>
  <si>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</si>
  <si>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</si>
  <si>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</si>
  <si>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</si>
  <si>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</si>
  <si>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</si>
  <si>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</si>
  <si>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</si>
  <si>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</si>
  <si>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</si>
  <si>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</si>
  <si>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</si>
  <si>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</si>
  <si>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</si>
  <si>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</si>
  <si>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</si>
  <si>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</si>
  <si>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</si>
  <si>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</si>
  <si>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</si>
  <si>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</si>
  <si>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</si>
  <si>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</si>
  <si>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</si>
  <si>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</si>
  <si>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</si>
  <si>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</si>
  <si>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</si>
  <si>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</si>
  <si>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</si>
  <si>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</si>
  <si>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</si>
  <si>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</si>
  <si>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</si>
  <si>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</si>
  <si>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</si>
  <si>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</si>
  <si>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</si>
  <si>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</si>
  <si>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</si>
  <si>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</si>
  <si>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</si>
  <si>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</si>
  <si>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</si>
  <si>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</si>
  <si>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</si>
  <si>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</si>
  <si>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</si>
  <si>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</si>
  <si>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</si>
  <si>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</si>
  <si>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</si>
  <si>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</si>
  <si>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</si>
  <si>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</si>
  <si>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</si>
  <si>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</si>
  <si>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</si>
  <si>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</si>
  <si>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</si>
  <si>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</si>
  <si>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</si>
  <si>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</si>
  <si>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</si>
  <si>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</si>
  <si>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</si>
  <si>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</si>
  <si>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</si>
  <si>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</si>
  <si>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</si>
  <si>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</si>
  <si>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</si>
  <si>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</si>
  <si>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</si>
  <si>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</si>
  <si>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</si>
  <si>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</si>
  <si>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</si>
  <si>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</si>
  <si>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</si>
  <si>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</si>
  <si>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</si>
  <si>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</si>
  <si>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</si>
  <si>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</si>
  <si>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</si>
  <si>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</si>
  <si>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</si>
  <si>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</si>
  <si>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</si>
  <si>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</si>
  <si>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</si>
  <si>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</si>
  <si>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</si>
  <si>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</si>
  <si>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</si>
  <si>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</si>
  <si>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</si>
  <si>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</si>
  <si>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</si>
  <si>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</si>
  <si>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</si>
  <si>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</si>
  <si>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</si>
  <si>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</si>
  <si>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</si>
  <si>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</si>
  <si>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</si>
  <si>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</si>
  <si>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</si>
  <si>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</si>
  <si>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</si>
  <si>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</si>
  <si>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</si>
  <si>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</si>
  <si>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</si>
  <si>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</si>
  <si>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</si>
  <si>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</si>
  <si>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</si>
  <si>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</si>
  <si>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</si>
  <si>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</si>
  <si>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</si>
  <si>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</si>
  <si>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</si>
  <si>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</si>
  <si>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</si>
  <si>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</si>
  <si>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</si>
  <si>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</si>
  <si>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</si>
  <si>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</si>
  <si>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</si>
  <si>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</si>
  <si>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</si>
  <si>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</si>
  <si>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</si>
  <si>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</si>
  <si>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</si>
  <si>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</si>
  <si>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</si>
  <si>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</si>
  <si>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</si>
  <si>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</si>
  <si>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</si>
  <si>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</si>
  <si>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</si>
  <si>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</si>
  <si>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</si>
  <si>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</si>
  <si>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</si>
  <si>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</si>
  <si>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</si>
  <si>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</si>
  <si>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</si>
  <si>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</si>
  <si>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</si>
  <si>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</si>
  <si>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</si>
  <si>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</si>
  <si>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</si>
  <si>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</si>
  <si>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</si>
  <si>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</si>
  <si>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</si>
  <si>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حالات رفع جاهزية سرية الاستطلاع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</si>
  <si>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</si>
  <si>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</si>
  <si>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</si>
  <si>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</si>
  <si>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</si>
  <si>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</si>
  <si>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</si>
  <si>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</si>
  <si>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</si>
  <si>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</si>
  <si>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</si>
  <si>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</si>
  <si>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</si>
  <si>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</si>
  <si>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</si>
  <si>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</si>
  <si>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</si>
  <si>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</si>
  <si>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</si>
  <si>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</si>
  <si>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</si>
  <si>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</si>
  <si>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</si>
  <si>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</si>
  <si>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</si>
  <si>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</si>
  <si>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</si>
  <si>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</si>
  <si>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</si>
  <si>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</si>
  <si>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</si>
  <si>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</si>
  <si>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</si>
  <si>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</si>
  <si>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</si>
  <si>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</si>
  <si>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</si>
  <si>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</si>
  <si>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</si>
  <si>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</si>
  <si>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</si>
  <si>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</si>
  <si>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</si>
  <si>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</si>
  <si>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</si>
  <si>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</si>
  <si>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</si>
  <si>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</si>
  <si>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</si>
  <si>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</si>
  <si>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</si>
  <si>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التأكد من نسبة استكمال الآليات المقاتلة (أ).</t>
  </si>
  <si>
    <t>ك. مدى توفر نقليات (ب) لحمل (ذخائر الخط الثاني).</t>
  </si>
  <si>
    <t>ل.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</si>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</sst>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9" fontId="3" fillId="0" borderId="19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right" vertical="center" wrapText="1" readingOrder="2"/>
    </xf>
    <xf numFmtId="0" fontId="2" fillId="0" borderId="19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158772</xdr:colOff>
      <xdr:row>99</xdr:row>
      <xdr:rowOff>508158</xdr:rowOff>
    </xdr:from>
    <xdr:to>
      <xdr:col>8</xdr:col>
      <xdr:colOff>378351</xdr:colOff>
      <xdr:row>101</xdr:row>
      <xdr:rowOff>13082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A916FFF-5F5E-EA6E-A166-04B0C93C0080}"/>
                </a:ext>
              </a:extLst>
            </xdr14:cNvPr>
            <xdr14:cNvContentPartPr/>
          </xdr14:nvContentPartPr>
          <xdr14:nvPr macro=""/>
          <xdr14:xfrm>
            <a:off x="10398866558" y="40749840"/>
            <a:ext cx="1535760" cy="6825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A916FFF-5F5E-EA6E-A166-04B0C93C00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57918" y="40740840"/>
              <a:ext cx="1553400" cy="70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24:01.2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4241 404,'0'0,"0"0,0 0,0 0,0 0,0 0,0 0,0 0,0 0,0 0,0 0,0 0,0 0,0 0,0 0,-17 16,17-14,-31 28,0 18,24-41,-34 34,7 7,32-41,-44 50,15-9,26-40,-38 48,26 9,17-56,0 14,17-7,-15-14,27 12,5-14,-32 0,44 16,-15-16,-26 0,38 0,-12 0,-26 0,24-16,2 16,-26 0,7 16,-5-8,-31 16,-7-8,24-14,-51 28,-21 34,67-55,-89 46,-44 9,124-54,-119 61,-35 9,146-68,-135 56,-28-4,165-55,-122 46,19-7,111-40,-58 0,-19 8,81-13,-50 10,17-13,41 0,-17 0,-10-16,30 14,-6-28,-7-2,15 27,-13-54,1-21,11 68,37-88,-3-29,-26 110,55-106,20-35,-66 133,54-91,11-10,-67 109,55-58,-2-3,-55 67,45-22,-24 3,-23 26,33-21,-25 27,-13 0,9-16,5 16,-15 0,12-16,-11 15,-6 18,-13-1,13-13,-42 59,-35 18,68-68,-72 56,-29 12,96-66,-94 68,-33 31,120-95,-130 76,10-14,120-67,-97 38,25-19,82-27,-68 6,3 5,67-13,-56 10,3-13,56 0,-61 0,-12-16,70 14,-38 4,-15-18,55 14,-45-12,-8 14,54 0,-30-16,-9-16,41 28,-20-8,13-20,12 27,-13-38,-2-5,17 40,17-48,0-8,-15 53,44-59,2-26,-41 81,34-50,7 1,-40 54,16-28,24-10,-41 40,17 0,-7-24,-15 27,13 10,-8-5,0-17,-21 34,-3-1,14-14,-25 12,-21 18,40-27,-47 38,-57 37,99-68,-99 56,-31 12,122-68,-101 73,-4-21,105-54,-52 28,-23 10,81-40,-49 32,2-8,53-27,-14-10,-7 21,26-13,-7 10,-19 3,26-13,-7 10,-2-13,11 0,-11 16,7-8,14 0,10-8,-15 0,27 0,-12 0,-15 0,27 0,36 0,-55 0,76 0,59-16,-121 13,110-26,59-3,-160 27,78-22,33-5,-120 27,82-22,197-69,-252 80,187-81,-60 1,-149 80,101-80,0-16,-111 95,72-46,-9-18,-70 69,39-40,-18 4,-30 41,9-18,21-7,-30 27,9-6,5-21,-15 27,13-6,-15-5,0 13,0 22,-17-3,14-14,-11 44,-34 34,41-67,-82 102,-8 46,83-136,-99 126,0 58,96-177,-94 160,-2 1,96-162,-28 98,-20 31,55-134,-28 93,6-23,25-80,-2 48,9-64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1"/>
  <sheetViews>
    <sheetView rightToLeft="1" tabSelected="1" view="pageBreakPreview" topLeftCell="A81" zoomScale="130" zoomScaleNormal="100" zoomScaleSheetLayoutView="130" workbookViewId="0">
      <selection activeCell="G101" sqref="G101:J10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4" t="s">
        <v>180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2">
      <c r="B2" s="13" t="s">
        <v>8</v>
      </c>
      <c r="C2" s="80" t="s">
        <v>10</v>
      </c>
      <c r="D2" s="80"/>
      <c r="E2" s="13" t="s">
        <v>7</v>
      </c>
      <c r="F2" s="75">
        <v>45929</v>
      </c>
      <c r="G2" s="75"/>
      <c r="H2" s="75"/>
      <c r="I2" s="75"/>
      <c r="J2" s="75"/>
    </row>
    <row r="3" spans="1:10" ht="30" customHeight="1" x14ac:dyDescent="0.2">
      <c r="B3" s="13" t="s">
        <v>9</v>
      </c>
      <c r="C3" s="80" t="s">
        <v>65</v>
      </c>
      <c r="D3" s="80"/>
      <c r="E3" s="13" t="s">
        <v>6</v>
      </c>
      <c r="F3" s="80" t="s">
        <v>113</v>
      </c>
      <c r="G3" s="80"/>
      <c r="H3" s="80"/>
      <c r="I3" s="80"/>
      <c r="J3" s="8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11"/>
      <c r="B6" s="78"/>
      <c r="C6" s="79"/>
      <c r="D6" s="79"/>
      <c r="E6" s="12" t="s">
        <v>3</v>
      </c>
      <c r="F6" s="12" t="s">
        <v>4</v>
      </c>
      <c r="G6" s="12" t="s">
        <v>23</v>
      </c>
      <c r="H6" s="12" t="s">
        <v>24</v>
      </c>
      <c r="I6" s="87"/>
      <c r="J6" s="88"/>
    </row>
    <row r="7" spans="1:10" ht="24.95" customHeight="1" thickBot="1" x14ac:dyDescent="0.25">
      <c r="A7" s="11"/>
      <c r="B7" s="83" t="s">
        <v>21</v>
      </c>
      <c r="C7" s="84"/>
      <c r="D7" s="84"/>
      <c r="E7" s="30" t="s">
        <v>18</v>
      </c>
      <c r="F7" s="30" t="s">
        <v>19</v>
      </c>
      <c r="G7" s="30" t="s">
        <v>22</v>
      </c>
      <c r="H7" s="30" t="s">
        <v>20</v>
      </c>
      <c r="I7" s="89" t="s">
        <v>25</v>
      </c>
      <c r="J7" s="90"/>
    </row>
    <row r="8" spans="1:10" ht="39.950000000000003" customHeight="1" thickBot="1" x14ac:dyDescent="0.25">
      <c r="A8" s="11"/>
      <c r="B8" s="64" t="s">
        <v>181</v>
      </c>
      <c r="C8" s="65"/>
      <c r="D8" s="65"/>
      <c r="E8" s="42">
        <v>5</v>
      </c>
      <c r="F8" s="43">
        <v>3.5</v>
      </c>
      <c r="G8" s="44">
        <f>IFERROR(F8/E8,"")</f>
        <v>0.7</v>
      </c>
      <c r="H8" s="4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6"/>
      <c r="J8" s="57"/>
    </row>
    <row r="9" spans="1:10" ht="30" customHeight="1" x14ac:dyDescent="0.2">
      <c r="A9" s="11"/>
      <c r="B9" s="52" t="s">
        <v>182</v>
      </c>
      <c r="C9" s="53"/>
      <c r="D9" s="53"/>
      <c r="E9" s="33"/>
      <c r="F9" s="34"/>
      <c r="G9" s="35"/>
      <c r="H9" s="36"/>
      <c r="I9" s="72"/>
      <c r="J9" s="73"/>
    </row>
    <row r="10" spans="1:10" ht="30" customHeight="1" x14ac:dyDescent="0.2">
      <c r="A10" s="11"/>
      <c r="B10" s="46" t="s">
        <v>183</v>
      </c>
      <c r="C10" s="47"/>
      <c r="D10" s="47"/>
      <c r="E10" s="9">
        <v>5</v>
      </c>
      <c r="F10" s="27">
        <v>3.5</v>
      </c>
      <c r="G10" s="31">
        <f t="shared" ref="G10:G73" si="0">IFERROR(F10/E10,"")</f>
        <v>0.7</v>
      </c>
      <c r="H10" s="32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60"/>
      <c r="J10" s="61"/>
    </row>
    <row r="11" spans="1:10" ht="30" customHeight="1" x14ac:dyDescent="0.2">
      <c r="A11" s="11"/>
      <c r="B11" s="46" t="s">
        <v>184</v>
      </c>
      <c r="C11" s="47"/>
      <c r="D11" s="47"/>
      <c r="E11" s="9">
        <v>5</v>
      </c>
      <c r="F11" s="27">
        <v>3.5</v>
      </c>
      <c r="G11" s="31">
        <f t="shared" si="0"/>
        <v>0.7</v>
      </c>
      <c r="H11" s="32" t="str">
        <f t="shared" si="1"/>
        <v>جيد</v>
      </c>
      <c r="I11" s="60"/>
      <c r="J11" s="61"/>
    </row>
    <row r="12" spans="1:10" ht="30" customHeight="1" x14ac:dyDescent="0.2">
      <c r="A12" s="11"/>
      <c r="B12" s="46" t="s">
        <v>185</v>
      </c>
      <c r="C12" s="47"/>
      <c r="D12" s="47"/>
      <c r="E12" s="9">
        <v>5</v>
      </c>
      <c r="F12" s="27">
        <v>3.5</v>
      </c>
      <c r="G12" s="31">
        <f t="shared" si="0"/>
        <v>0.7</v>
      </c>
      <c r="H12" s="32" t="str">
        <f t="shared" si="1"/>
        <v>جيد</v>
      </c>
      <c r="I12" s="60"/>
      <c r="J12" s="61"/>
    </row>
    <row r="13" spans="1:10" ht="30" customHeight="1" x14ac:dyDescent="0.2">
      <c r="A13" s="11"/>
      <c r="B13" s="46" t="s">
        <v>186</v>
      </c>
      <c r="C13" s="47"/>
      <c r="D13" s="47"/>
      <c r="E13" s="9">
        <v>5</v>
      </c>
      <c r="F13" s="27">
        <v>3.75</v>
      </c>
      <c r="G13" s="31">
        <f t="shared" si="0"/>
        <v>0.75</v>
      </c>
      <c r="H13" s="32" t="str">
        <f t="shared" si="1"/>
        <v>جيد</v>
      </c>
      <c r="I13" s="60"/>
      <c r="J13" s="61"/>
    </row>
    <row r="14" spans="1:10" ht="30" customHeight="1" x14ac:dyDescent="0.2">
      <c r="A14" s="11"/>
      <c r="B14" s="46" t="s">
        <v>187</v>
      </c>
      <c r="C14" s="47"/>
      <c r="D14" s="47"/>
      <c r="E14" s="9">
        <v>5</v>
      </c>
      <c r="F14" s="27">
        <v>3.75</v>
      </c>
      <c r="G14" s="31">
        <f t="shared" si="0"/>
        <v>0.75</v>
      </c>
      <c r="H14" s="32" t="str">
        <f t="shared" si="1"/>
        <v>جيد</v>
      </c>
      <c r="I14" s="60"/>
      <c r="J14" s="61"/>
    </row>
    <row r="15" spans="1:10" ht="30" customHeight="1" x14ac:dyDescent="0.2">
      <c r="A15" s="11"/>
      <c r="B15" s="46" t="s">
        <v>188</v>
      </c>
      <c r="C15" s="47"/>
      <c r="D15" s="47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60"/>
      <c r="J15" s="61"/>
    </row>
    <row r="16" spans="1:10" ht="50.1" customHeight="1" x14ac:dyDescent="0.2">
      <c r="A16" s="11"/>
      <c r="B16" s="46" t="s">
        <v>189</v>
      </c>
      <c r="C16" s="47"/>
      <c r="D16" s="47"/>
      <c r="E16" s="9">
        <v>5</v>
      </c>
      <c r="F16" s="27">
        <v>3.5</v>
      </c>
      <c r="G16" s="31">
        <f t="shared" si="0"/>
        <v>0.7</v>
      </c>
      <c r="H16" s="32" t="str">
        <f t="shared" si="1"/>
        <v>جيد</v>
      </c>
      <c r="I16" s="60"/>
      <c r="J16" s="61"/>
    </row>
    <row r="17" spans="1:10" ht="30" customHeight="1" x14ac:dyDescent="0.2">
      <c r="A17" s="11"/>
      <c r="B17" s="46" t="s">
        <v>190</v>
      </c>
      <c r="C17" s="47"/>
      <c r="D17" s="47"/>
      <c r="E17" s="9">
        <v>5</v>
      </c>
      <c r="F17" s="27">
        <v>3.5</v>
      </c>
      <c r="G17" s="31">
        <f t="shared" si="0"/>
        <v>0.7</v>
      </c>
      <c r="H17" s="32" t="str">
        <f t="shared" si="1"/>
        <v>جيد</v>
      </c>
      <c r="I17" s="60"/>
      <c r="J17" s="61"/>
    </row>
    <row r="18" spans="1:10" ht="30" customHeight="1" x14ac:dyDescent="0.2">
      <c r="A18" s="11"/>
      <c r="B18" s="46" t="s">
        <v>191</v>
      </c>
      <c r="C18" s="47"/>
      <c r="D18" s="47"/>
      <c r="E18" s="9">
        <v>5</v>
      </c>
      <c r="F18" s="27">
        <v>3.5</v>
      </c>
      <c r="G18" s="31">
        <f t="shared" si="0"/>
        <v>0.7</v>
      </c>
      <c r="H18" s="32" t="str">
        <f t="shared" si="1"/>
        <v>جيد</v>
      </c>
      <c r="I18" s="60"/>
      <c r="J18" s="61"/>
    </row>
    <row r="19" spans="1:10" ht="30" customHeight="1" x14ac:dyDescent="0.2">
      <c r="A19" s="11"/>
      <c r="B19" s="46" t="s">
        <v>192</v>
      </c>
      <c r="C19" s="47"/>
      <c r="D19" s="47"/>
      <c r="E19" s="9">
        <v>5</v>
      </c>
      <c r="F19" s="27">
        <v>3.5</v>
      </c>
      <c r="G19" s="31">
        <f t="shared" si="0"/>
        <v>0.7</v>
      </c>
      <c r="H19" s="32" t="str">
        <f t="shared" si="1"/>
        <v>جيد</v>
      </c>
      <c r="I19" s="60"/>
      <c r="J19" s="61"/>
    </row>
    <row r="20" spans="1:10" ht="30" customHeight="1" x14ac:dyDescent="0.2">
      <c r="A20" s="11"/>
      <c r="B20" s="46" t="s">
        <v>193</v>
      </c>
      <c r="C20" s="47"/>
      <c r="D20" s="47"/>
      <c r="E20" s="9">
        <v>5</v>
      </c>
      <c r="F20" s="27">
        <v>3.5</v>
      </c>
      <c r="G20" s="31">
        <f t="shared" si="0"/>
        <v>0.7</v>
      </c>
      <c r="H20" s="32" t="str">
        <f t="shared" si="1"/>
        <v>جيد</v>
      </c>
      <c r="I20" s="60"/>
      <c r="J20" s="61"/>
    </row>
    <row r="21" spans="1:10" ht="30" customHeight="1" thickBot="1" x14ac:dyDescent="0.25">
      <c r="A21" s="11"/>
      <c r="B21" s="48" t="s">
        <v>194</v>
      </c>
      <c r="C21" s="49"/>
      <c r="D21" s="49"/>
      <c r="E21" s="37">
        <v>5</v>
      </c>
      <c r="F21" s="29">
        <v>3.5</v>
      </c>
      <c r="G21" s="38">
        <f t="shared" si="0"/>
        <v>0.7</v>
      </c>
      <c r="H21" s="39" t="str">
        <f t="shared" si="1"/>
        <v>جيد</v>
      </c>
      <c r="I21" s="62"/>
      <c r="J21" s="63"/>
    </row>
    <row r="22" spans="1:10" ht="39.950000000000003" customHeight="1" x14ac:dyDescent="0.2">
      <c r="A22" s="11"/>
      <c r="B22" s="52" t="s">
        <v>195</v>
      </c>
      <c r="C22" s="53"/>
      <c r="D22" s="53"/>
      <c r="E22" s="33"/>
      <c r="F22" s="34"/>
      <c r="G22" s="35"/>
      <c r="H22" s="36"/>
      <c r="I22" s="72"/>
      <c r="J22" s="73"/>
    </row>
    <row r="23" spans="1:10" ht="30" customHeight="1" x14ac:dyDescent="0.2">
      <c r="A23" s="11"/>
      <c r="B23" s="46" t="s">
        <v>196</v>
      </c>
      <c r="C23" s="47"/>
      <c r="D23" s="47"/>
      <c r="E23" s="9">
        <v>5</v>
      </c>
      <c r="F23" s="27">
        <v>3.5</v>
      </c>
      <c r="G23" s="31">
        <f t="shared" si="0"/>
        <v>0.7</v>
      </c>
      <c r="H23" s="32" t="str">
        <f t="shared" si="1"/>
        <v>جيد</v>
      </c>
      <c r="I23" s="60"/>
      <c r="J23" s="61"/>
    </row>
    <row r="24" spans="1:10" ht="30" customHeight="1" x14ac:dyDescent="0.2">
      <c r="A24" s="11"/>
      <c r="B24" s="46" t="s">
        <v>197</v>
      </c>
      <c r="C24" s="47"/>
      <c r="D24" s="47"/>
      <c r="E24" s="9">
        <v>5</v>
      </c>
      <c r="F24" s="27">
        <v>3.5</v>
      </c>
      <c r="G24" s="31">
        <f t="shared" si="0"/>
        <v>0.7</v>
      </c>
      <c r="H24" s="32" t="str">
        <f t="shared" si="1"/>
        <v>جيد</v>
      </c>
      <c r="I24" s="60"/>
      <c r="J24" s="61"/>
    </row>
    <row r="25" spans="1:10" ht="30" customHeight="1" x14ac:dyDescent="0.2">
      <c r="A25" s="11"/>
      <c r="B25" s="46" t="s">
        <v>198</v>
      </c>
      <c r="C25" s="47"/>
      <c r="D25" s="47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60"/>
      <c r="J25" s="61"/>
    </row>
    <row r="26" spans="1:10" ht="30" customHeight="1" x14ac:dyDescent="0.2">
      <c r="A26" s="11"/>
      <c r="B26" s="46" t="s">
        <v>199</v>
      </c>
      <c r="C26" s="47"/>
      <c r="D26" s="47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60"/>
      <c r="J26" s="61"/>
    </row>
    <row r="27" spans="1:10" ht="30" customHeight="1" x14ac:dyDescent="0.2">
      <c r="A27" s="11"/>
      <c r="B27" s="46" t="s">
        <v>200</v>
      </c>
      <c r="C27" s="47"/>
      <c r="D27" s="47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60"/>
      <c r="J27" s="61"/>
    </row>
    <row r="28" spans="1:10" ht="30" customHeight="1" x14ac:dyDescent="0.2">
      <c r="A28" s="11"/>
      <c r="B28" s="46" t="s">
        <v>201</v>
      </c>
      <c r="C28" s="47"/>
      <c r="D28" s="47"/>
      <c r="E28" s="9">
        <v>5</v>
      </c>
      <c r="F28" s="27">
        <v>3.5</v>
      </c>
      <c r="G28" s="31">
        <f t="shared" si="0"/>
        <v>0.7</v>
      </c>
      <c r="H28" s="32" t="str">
        <f t="shared" si="1"/>
        <v>جيد</v>
      </c>
      <c r="I28" s="60"/>
      <c r="J28" s="61"/>
    </row>
    <row r="29" spans="1:10" ht="30" customHeight="1" thickBot="1" x14ac:dyDescent="0.25">
      <c r="A29" s="11"/>
      <c r="B29" s="48" t="s">
        <v>202</v>
      </c>
      <c r="C29" s="49"/>
      <c r="D29" s="49"/>
      <c r="E29" s="37">
        <v>5</v>
      </c>
      <c r="F29" s="29">
        <v>3.5</v>
      </c>
      <c r="G29" s="38">
        <f t="shared" si="0"/>
        <v>0.7</v>
      </c>
      <c r="H29" s="39" t="str">
        <f t="shared" si="1"/>
        <v>جيد</v>
      </c>
      <c r="I29" s="62"/>
      <c r="J29" s="63"/>
    </row>
    <row r="30" spans="1:10" ht="30" customHeight="1" x14ac:dyDescent="0.2">
      <c r="A30" s="11"/>
      <c r="B30" s="52" t="s">
        <v>203</v>
      </c>
      <c r="C30" s="53"/>
      <c r="D30" s="53"/>
      <c r="E30" s="33"/>
      <c r="F30" s="34"/>
      <c r="G30" s="35"/>
      <c r="H30" s="36"/>
      <c r="I30" s="72"/>
      <c r="J30" s="73"/>
    </row>
    <row r="31" spans="1:10" ht="39.950000000000003" customHeight="1" x14ac:dyDescent="0.2">
      <c r="A31" s="11"/>
      <c r="B31" s="46" t="s">
        <v>204</v>
      </c>
      <c r="C31" s="47"/>
      <c r="D31" s="47"/>
      <c r="E31" s="9">
        <v>5</v>
      </c>
      <c r="F31" s="27">
        <v>3.5</v>
      </c>
      <c r="G31" s="31">
        <f t="shared" si="0"/>
        <v>0.7</v>
      </c>
      <c r="H31" s="32" t="str">
        <f t="shared" si="1"/>
        <v>جيد</v>
      </c>
      <c r="I31" s="60"/>
      <c r="J31" s="61"/>
    </row>
    <row r="32" spans="1:10" ht="30" customHeight="1" x14ac:dyDescent="0.2">
      <c r="A32" s="11"/>
      <c r="B32" s="46" t="s">
        <v>205</v>
      </c>
      <c r="C32" s="47"/>
      <c r="D32" s="47"/>
      <c r="E32" s="9">
        <v>5</v>
      </c>
      <c r="F32" s="27">
        <v>3.5</v>
      </c>
      <c r="G32" s="31">
        <f t="shared" si="0"/>
        <v>0.7</v>
      </c>
      <c r="H32" s="32" t="str">
        <f t="shared" si="1"/>
        <v>جيد</v>
      </c>
      <c r="I32" s="60"/>
      <c r="J32" s="61"/>
    </row>
    <row r="33" spans="1:10" ht="39.950000000000003" customHeight="1" thickBot="1" x14ac:dyDescent="0.25">
      <c r="A33" s="11"/>
      <c r="B33" s="48" t="s">
        <v>206</v>
      </c>
      <c r="C33" s="49"/>
      <c r="D33" s="49"/>
      <c r="E33" s="37">
        <v>5</v>
      </c>
      <c r="F33" s="29">
        <v>3.5</v>
      </c>
      <c r="G33" s="38">
        <f t="shared" si="0"/>
        <v>0.7</v>
      </c>
      <c r="H33" s="39" t="str">
        <f t="shared" si="1"/>
        <v>جيد</v>
      </c>
      <c r="I33" s="62"/>
      <c r="J33" s="63"/>
    </row>
    <row r="34" spans="1:10" ht="30" customHeight="1" x14ac:dyDescent="0.2">
      <c r="A34" s="11"/>
      <c r="B34" s="52" t="s">
        <v>207</v>
      </c>
      <c r="C34" s="53"/>
      <c r="D34" s="53"/>
      <c r="E34" s="33"/>
      <c r="F34" s="34"/>
      <c r="G34" s="35"/>
      <c r="H34" s="36"/>
      <c r="I34" s="72"/>
      <c r="J34" s="73"/>
    </row>
    <row r="35" spans="1:10" ht="50.1" customHeight="1" x14ac:dyDescent="0.2">
      <c r="A35" s="11"/>
      <c r="B35" s="46" t="s">
        <v>208</v>
      </c>
      <c r="C35" s="47"/>
      <c r="D35" s="47"/>
      <c r="E35" s="9">
        <v>5</v>
      </c>
      <c r="F35" s="27">
        <v>3.5</v>
      </c>
      <c r="G35" s="31">
        <f t="shared" si="0"/>
        <v>0.7</v>
      </c>
      <c r="H35" s="32" t="str">
        <f t="shared" si="1"/>
        <v>جيد</v>
      </c>
      <c r="I35" s="60"/>
      <c r="J35" s="61"/>
    </row>
    <row r="36" spans="1:10" ht="30" customHeight="1" x14ac:dyDescent="0.2">
      <c r="A36" s="11"/>
      <c r="B36" s="46" t="s">
        <v>209</v>
      </c>
      <c r="C36" s="47"/>
      <c r="D36" s="47"/>
      <c r="E36" s="9">
        <v>5</v>
      </c>
      <c r="F36" s="27">
        <v>3.5</v>
      </c>
      <c r="G36" s="31">
        <f t="shared" si="0"/>
        <v>0.7</v>
      </c>
      <c r="H36" s="32" t="str">
        <f t="shared" si="1"/>
        <v>جيد</v>
      </c>
      <c r="I36" s="60"/>
      <c r="J36" s="61"/>
    </row>
    <row r="37" spans="1:10" ht="39.950000000000003" customHeight="1" x14ac:dyDescent="0.2">
      <c r="A37" s="11"/>
      <c r="B37" s="46" t="s">
        <v>210</v>
      </c>
      <c r="C37" s="47"/>
      <c r="D37" s="47"/>
      <c r="E37" s="9">
        <v>5</v>
      </c>
      <c r="F37" s="27">
        <v>3.5</v>
      </c>
      <c r="G37" s="31">
        <f t="shared" si="0"/>
        <v>0.7</v>
      </c>
      <c r="H37" s="32" t="str">
        <f t="shared" si="1"/>
        <v>جيد</v>
      </c>
      <c r="I37" s="60"/>
      <c r="J37" s="61"/>
    </row>
    <row r="38" spans="1:10" ht="39.950000000000003" customHeight="1" x14ac:dyDescent="0.2">
      <c r="A38" s="11"/>
      <c r="B38" s="46" t="s">
        <v>211</v>
      </c>
      <c r="C38" s="47"/>
      <c r="D38" s="47"/>
      <c r="E38" s="9">
        <v>5</v>
      </c>
      <c r="F38" s="27">
        <v>3.75</v>
      </c>
      <c r="G38" s="31">
        <f t="shared" si="0"/>
        <v>0.75</v>
      </c>
      <c r="H38" s="32" t="str">
        <f t="shared" si="1"/>
        <v>جيد</v>
      </c>
      <c r="I38" s="60"/>
      <c r="J38" s="61"/>
    </row>
    <row r="39" spans="1:10" ht="30" customHeight="1" x14ac:dyDescent="0.2">
      <c r="A39" s="11"/>
      <c r="B39" s="46" t="s">
        <v>212</v>
      </c>
      <c r="C39" s="47"/>
      <c r="D39" s="47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60"/>
      <c r="J39" s="61"/>
    </row>
    <row r="40" spans="1:10" ht="30" customHeight="1" x14ac:dyDescent="0.2">
      <c r="A40" s="11"/>
      <c r="B40" s="46" t="s">
        <v>213</v>
      </c>
      <c r="C40" s="47"/>
      <c r="D40" s="47"/>
      <c r="E40" s="9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60"/>
      <c r="J40" s="61"/>
    </row>
    <row r="41" spans="1:10" ht="39.950000000000003" customHeight="1" x14ac:dyDescent="0.2">
      <c r="A41" s="11"/>
      <c r="B41" s="46" t="s">
        <v>214</v>
      </c>
      <c r="C41" s="47"/>
      <c r="D41" s="47"/>
      <c r="E41" s="9">
        <v>5</v>
      </c>
      <c r="F41" s="27">
        <v>3.75</v>
      </c>
      <c r="G41" s="31">
        <f t="shared" si="0"/>
        <v>0.75</v>
      </c>
      <c r="H41" s="32" t="str">
        <f t="shared" si="1"/>
        <v>جيد</v>
      </c>
      <c r="I41" s="60"/>
      <c r="J41" s="61"/>
    </row>
    <row r="42" spans="1:10" ht="39.950000000000003" customHeight="1" x14ac:dyDescent="0.2">
      <c r="A42" s="11"/>
      <c r="B42" s="46" t="s">
        <v>215</v>
      </c>
      <c r="C42" s="47"/>
      <c r="D42" s="47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60"/>
      <c r="J42" s="61"/>
    </row>
    <row r="43" spans="1:10" ht="30" customHeight="1" x14ac:dyDescent="0.2">
      <c r="A43" s="11"/>
      <c r="B43" s="46" t="s">
        <v>216</v>
      </c>
      <c r="C43" s="47"/>
      <c r="D43" s="47"/>
      <c r="E43" s="9">
        <v>5</v>
      </c>
      <c r="F43" s="27">
        <v>3.5</v>
      </c>
      <c r="G43" s="31">
        <f t="shared" si="0"/>
        <v>0.7</v>
      </c>
      <c r="H43" s="32" t="str">
        <f t="shared" si="1"/>
        <v>جيد</v>
      </c>
      <c r="I43" s="60"/>
      <c r="J43" s="61"/>
    </row>
    <row r="44" spans="1:10" ht="30" customHeight="1" x14ac:dyDescent="0.2">
      <c r="A44" s="11"/>
      <c r="B44" s="46" t="s">
        <v>217</v>
      </c>
      <c r="C44" s="47"/>
      <c r="D44" s="47"/>
      <c r="E44" s="9">
        <v>5</v>
      </c>
      <c r="F44" s="27">
        <v>3.5</v>
      </c>
      <c r="G44" s="31">
        <f t="shared" si="0"/>
        <v>0.7</v>
      </c>
      <c r="H44" s="32" t="str">
        <f t="shared" si="1"/>
        <v>جيد</v>
      </c>
      <c r="I44" s="60"/>
      <c r="J44" s="61"/>
    </row>
    <row r="45" spans="1:10" ht="30" customHeight="1" x14ac:dyDescent="0.2">
      <c r="A45" s="11"/>
      <c r="B45" s="46" t="s">
        <v>218</v>
      </c>
      <c r="C45" s="47"/>
      <c r="D45" s="47"/>
      <c r="E45" s="9">
        <v>5</v>
      </c>
      <c r="F45" s="27">
        <v>3.5</v>
      </c>
      <c r="G45" s="31">
        <f t="shared" si="0"/>
        <v>0.7</v>
      </c>
      <c r="H45" s="32" t="str">
        <f t="shared" si="1"/>
        <v>جيد</v>
      </c>
      <c r="I45" s="60"/>
      <c r="J45" s="61"/>
    </row>
    <row r="46" spans="1:10" ht="30" customHeight="1" x14ac:dyDescent="0.2">
      <c r="A46" s="11"/>
      <c r="B46" s="46" t="s">
        <v>219</v>
      </c>
      <c r="C46" s="47"/>
      <c r="D46" s="47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60"/>
      <c r="J46" s="61"/>
    </row>
    <row r="47" spans="1:10" ht="30" customHeight="1" x14ac:dyDescent="0.2">
      <c r="A47" s="11"/>
      <c r="B47" s="46" t="s">
        <v>220</v>
      </c>
      <c r="C47" s="47"/>
      <c r="D47" s="47"/>
      <c r="E47" s="9">
        <v>5</v>
      </c>
      <c r="F47" s="27">
        <v>3.75</v>
      </c>
      <c r="G47" s="31">
        <f t="shared" si="0"/>
        <v>0.75</v>
      </c>
      <c r="H47" s="32" t="str">
        <f t="shared" si="1"/>
        <v>جيد</v>
      </c>
      <c r="I47" s="60"/>
      <c r="J47" s="61"/>
    </row>
    <row r="48" spans="1:10" ht="39.950000000000003" customHeight="1" thickBot="1" x14ac:dyDescent="0.25">
      <c r="A48" s="11"/>
      <c r="B48" s="48" t="s">
        <v>221</v>
      </c>
      <c r="C48" s="49"/>
      <c r="D48" s="49"/>
      <c r="E48" s="37">
        <v>5</v>
      </c>
      <c r="F48" s="29">
        <v>3.5</v>
      </c>
      <c r="G48" s="38">
        <f t="shared" si="0"/>
        <v>0.7</v>
      </c>
      <c r="H48" s="39" t="str">
        <f t="shared" si="1"/>
        <v>جيد</v>
      </c>
      <c r="I48" s="62"/>
      <c r="J48" s="63"/>
    </row>
    <row r="49" spans="1:10" ht="30" customHeight="1" x14ac:dyDescent="0.2">
      <c r="A49" s="11"/>
      <c r="B49" s="52" t="s">
        <v>222</v>
      </c>
      <c r="C49" s="53"/>
      <c r="D49" s="53"/>
      <c r="E49" s="33"/>
      <c r="F49" s="34"/>
      <c r="G49" s="35"/>
      <c r="H49" s="36"/>
      <c r="I49" s="72"/>
      <c r="J49" s="73"/>
    </row>
    <row r="50" spans="1:10" ht="39.950000000000003" customHeight="1" x14ac:dyDescent="0.2">
      <c r="A50" s="11"/>
      <c r="B50" s="46" t="s">
        <v>223</v>
      </c>
      <c r="C50" s="47"/>
      <c r="D50" s="47"/>
      <c r="E50" s="9">
        <v>5</v>
      </c>
      <c r="F50" s="27">
        <v>3.5</v>
      </c>
      <c r="G50" s="31">
        <f t="shared" si="0"/>
        <v>0.7</v>
      </c>
      <c r="H50" s="32" t="str">
        <f t="shared" si="1"/>
        <v>جيد</v>
      </c>
      <c r="I50" s="60"/>
      <c r="J50" s="61"/>
    </row>
    <row r="51" spans="1:10" ht="50.1" customHeight="1" x14ac:dyDescent="0.2">
      <c r="A51" s="11"/>
      <c r="B51" s="46" t="s">
        <v>224</v>
      </c>
      <c r="C51" s="47"/>
      <c r="D51" s="47"/>
      <c r="E51" s="9">
        <v>5</v>
      </c>
      <c r="F51" s="27">
        <v>3.75</v>
      </c>
      <c r="G51" s="31">
        <f t="shared" si="0"/>
        <v>0.75</v>
      </c>
      <c r="H51" s="32" t="str">
        <f t="shared" si="1"/>
        <v>جيد</v>
      </c>
      <c r="I51" s="60"/>
      <c r="J51" s="61"/>
    </row>
    <row r="52" spans="1:10" ht="39.950000000000003" customHeight="1" x14ac:dyDescent="0.2">
      <c r="A52" s="11"/>
      <c r="B52" s="46" t="s">
        <v>225</v>
      </c>
      <c r="C52" s="47"/>
      <c r="D52" s="47"/>
      <c r="E52" s="9">
        <v>5</v>
      </c>
      <c r="F52" s="27">
        <v>3.75</v>
      </c>
      <c r="G52" s="31">
        <f t="shared" si="0"/>
        <v>0.75</v>
      </c>
      <c r="H52" s="32" t="str">
        <f t="shared" si="1"/>
        <v>جيد</v>
      </c>
      <c r="I52" s="60"/>
      <c r="J52" s="61"/>
    </row>
    <row r="53" spans="1:10" ht="39.950000000000003" customHeight="1" x14ac:dyDescent="0.2">
      <c r="A53" s="11"/>
      <c r="B53" s="46" t="s">
        <v>226</v>
      </c>
      <c r="C53" s="47"/>
      <c r="D53" s="47"/>
      <c r="E53" s="9">
        <v>5</v>
      </c>
      <c r="F53" s="27">
        <v>3.75</v>
      </c>
      <c r="G53" s="31">
        <f t="shared" si="0"/>
        <v>0.75</v>
      </c>
      <c r="H53" s="32" t="str">
        <f t="shared" si="1"/>
        <v>جيد</v>
      </c>
      <c r="I53" s="60"/>
      <c r="J53" s="61"/>
    </row>
    <row r="54" spans="1:10" ht="30" customHeight="1" x14ac:dyDescent="0.2">
      <c r="A54" s="11"/>
      <c r="B54" s="46" t="s">
        <v>227</v>
      </c>
      <c r="C54" s="47"/>
      <c r="D54" s="47"/>
      <c r="E54" s="9">
        <v>5</v>
      </c>
      <c r="F54" s="27">
        <v>3.75</v>
      </c>
      <c r="G54" s="31">
        <f t="shared" si="0"/>
        <v>0.75</v>
      </c>
      <c r="H54" s="32" t="str">
        <f t="shared" si="1"/>
        <v>جيد</v>
      </c>
      <c r="I54" s="60"/>
      <c r="J54" s="61"/>
    </row>
    <row r="55" spans="1:10" ht="30" customHeight="1" x14ac:dyDescent="0.2">
      <c r="A55" s="11"/>
      <c r="B55" s="46" t="s">
        <v>228</v>
      </c>
      <c r="C55" s="47"/>
      <c r="D55" s="47"/>
      <c r="E55" s="9">
        <v>5</v>
      </c>
      <c r="F55" s="27">
        <v>3.5</v>
      </c>
      <c r="G55" s="31">
        <f t="shared" si="0"/>
        <v>0.7</v>
      </c>
      <c r="H55" s="32" t="str">
        <f t="shared" si="1"/>
        <v>جيد</v>
      </c>
      <c r="I55" s="60"/>
      <c r="J55" s="61"/>
    </row>
    <row r="56" spans="1:10" ht="39.950000000000003" customHeight="1" x14ac:dyDescent="0.2">
      <c r="A56" s="11"/>
      <c r="B56" s="46" t="s">
        <v>229</v>
      </c>
      <c r="C56" s="47"/>
      <c r="D56" s="47"/>
      <c r="E56" s="9">
        <v>5</v>
      </c>
      <c r="F56" s="27">
        <v>3.5</v>
      </c>
      <c r="G56" s="31">
        <f t="shared" si="0"/>
        <v>0.7</v>
      </c>
      <c r="H56" s="32" t="str">
        <f t="shared" si="1"/>
        <v>جيد</v>
      </c>
      <c r="I56" s="60"/>
      <c r="J56" s="61"/>
    </row>
    <row r="57" spans="1:10" ht="30" customHeight="1" x14ac:dyDescent="0.2">
      <c r="A57" s="11"/>
      <c r="B57" s="46" t="s">
        <v>230</v>
      </c>
      <c r="C57" s="47"/>
      <c r="D57" s="47"/>
      <c r="E57" s="9">
        <v>5</v>
      </c>
      <c r="F57" s="27">
        <v>3.75</v>
      </c>
      <c r="G57" s="31">
        <f t="shared" si="0"/>
        <v>0.75</v>
      </c>
      <c r="H57" s="32" t="str">
        <f t="shared" si="1"/>
        <v>جيد</v>
      </c>
      <c r="I57" s="60"/>
      <c r="J57" s="61"/>
    </row>
    <row r="58" spans="1:10" ht="30" customHeight="1" x14ac:dyDescent="0.2">
      <c r="A58" s="11"/>
      <c r="B58" s="46" t="s">
        <v>231</v>
      </c>
      <c r="C58" s="47"/>
      <c r="D58" s="47"/>
      <c r="E58" s="9">
        <v>5</v>
      </c>
      <c r="F58" s="27">
        <v>3.75</v>
      </c>
      <c r="G58" s="31">
        <f t="shared" si="0"/>
        <v>0.75</v>
      </c>
      <c r="H58" s="32" t="str">
        <f t="shared" si="1"/>
        <v>جيد</v>
      </c>
      <c r="I58" s="60"/>
      <c r="J58" s="61"/>
    </row>
    <row r="59" spans="1:10" ht="30" customHeight="1" x14ac:dyDescent="0.2">
      <c r="A59" s="11"/>
      <c r="B59" s="46" t="s">
        <v>232</v>
      </c>
      <c r="C59" s="47"/>
      <c r="D59" s="47"/>
      <c r="E59" s="9">
        <v>5</v>
      </c>
      <c r="F59" s="27">
        <v>3.75</v>
      </c>
      <c r="G59" s="31">
        <f t="shared" si="0"/>
        <v>0.75</v>
      </c>
      <c r="H59" s="32" t="str">
        <f t="shared" si="1"/>
        <v>جيد</v>
      </c>
      <c r="I59" s="60"/>
      <c r="J59" s="61"/>
    </row>
    <row r="60" spans="1:10" ht="30" customHeight="1" x14ac:dyDescent="0.2">
      <c r="A60" s="11"/>
      <c r="B60" s="46" t="s">
        <v>233</v>
      </c>
      <c r="C60" s="47"/>
      <c r="D60" s="47"/>
      <c r="E60" s="9">
        <v>5</v>
      </c>
      <c r="F60" s="27">
        <v>3.5</v>
      </c>
      <c r="G60" s="31">
        <f t="shared" si="0"/>
        <v>0.7</v>
      </c>
      <c r="H60" s="32" t="str">
        <f t="shared" si="1"/>
        <v>جيد</v>
      </c>
      <c r="I60" s="60"/>
      <c r="J60" s="61"/>
    </row>
    <row r="61" spans="1:10" ht="30" customHeight="1" thickBot="1" x14ac:dyDescent="0.25">
      <c r="A61" s="11"/>
      <c r="B61" s="48" t="s">
        <v>234</v>
      </c>
      <c r="C61" s="49"/>
      <c r="D61" s="49"/>
      <c r="E61" s="37">
        <v>5</v>
      </c>
      <c r="F61" s="29">
        <v>3.5</v>
      </c>
      <c r="G61" s="38">
        <f t="shared" si="0"/>
        <v>0.7</v>
      </c>
      <c r="H61" s="39" t="str">
        <f t="shared" si="1"/>
        <v>جيد</v>
      </c>
      <c r="I61" s="62"/>
      <c r="J61" s="63"/>
    </row>
    <row r="62" spans="1:10" ht="30" customHeight="1" x14ac:dyDescent="0.2">
      <c r="A62" s="11"/>
      <c r="B62" s="54" t="s">
        <v>235</v>
      </c>
      <c r="C62" s="55"/>
      <c r="D62" s="55"/>
      <c r="E62" s="33"/>
      <c r="F62" s="34"/>
      <c r="G62" s="35"/>
      <c r="H62" s="36"/>
      <c r="I62" s="72"/>
      <c r="J62" s="73"/>
    </row>
    <row r="63" spans="1:10" ht="30" customHeight="1" x14ac:dyDescent="0.2">
      <c r="A63" s="11"/>
      <c r="B63" s="46" t="s">
        <v>236</v>
      </c>
      <c r="C63" s="47"/>
      <c r="D63" s="47"/>
      <c r="E63" s="9">
        <v>5</v>
      </c>
      <c r="F63" s="27">
        <v>3.5</v>
      </c>
      <c r="G63" s="31">
        <f t="shared" si="0"/>
        <v>0.7</v>
      </c>
      <c r="H63" s="32" t="str">
        <f t="shared" si="1"/>
        <v>جيد</v>
      </c>
      <c r="I63" s="60"/>
      <c r="J63" s="61"/>
    </row>
    <row r="64" spans="1:10" ht="30" customHeight="1" x14ac:dyDescent="0.2">
      <c r="A64" s="11"/>
      <c r="B64" s="46" t="s">
        <v>237</v>
      </c>
      <c r="C64" s="47"/>
      <c r="D64" s="47"/>
      <c r="E64" s="9">
        <v>5</v>
      </c>
      <c r="F64" s="27">
        <v>3.75</v>
      </c>
      <c r="G64" s="31">
        <f t="shared" si="0"/>
        <v>0.75</v>
      </c>
      <c r="H64" s="32" t="str">
        <f t="shared" si="1"/>
        <v>جيد</v>
      </c>
      <c r="I64" s="60"/>
      <c r="J64" s="61"/>
    </row>
    <row r="65" spans="1:10" ht="30" customHeight="1" x14ac:dyDescent="0.2">
      <c r="A65" s="11"/>
      <c r="B65" s="46" t="s">
        <v>238</v>
      </c>
      <c r="C65" s="47"/>
      <c r="D65" s="47"/>
      <c r="E65" s="9">
        <v>5</v>
      </c>
      <c r="F65" s="27">
        <v>3.75</v>
      </c>
      <c r="G65" s="31">
        <f t="shared" si="0"/>
        <v>0.75</v>
      </c>
      <c r="H65" s="32" t="str">
        <f t="shared" si="1"/>
        <v>جيد</v>
      </c>
      <c r="I65" s="60"/>
      <c r="J65" s="61"/>
    </row>
    <row r="66" spans="1:10" ht="30" customHeight="1" x14ac:dyDescent="0.2">
      <c r="A66" s="11"/>
      <c r="B66" s="46" t="s">
        <v>239</v>
      </c>
      <c r="C66" s="47"/>
      <c r="D66" s="47"/>
      <c r="E66" s="9">
        <v>5</v>
      </c>
      <c r="F66" s="27">
        <v>3.5</v>
      </c>
      <c r="G66" s="31">
        <f t="shared" si="0"/>
        <v>0.7</v>
      </c>
      <c r="H66" s="32" t="str">
        <f t="shared" si="1"/>
        <v>جيد</v>
      </c>
      <c r="I66" s="60"/>
      <c r="J66" s="61"/>
    </row>
    <row r="67" spans="1:10" ht="30" customHeight="1" x14ac:dyDescent="0.2">
      <c r="A67" s="11"/>
      <c r="B67" s="46" t="s">
        <v>240</v>
      </c>
      <c r="C67" s="47"/>
      <c r="D67" s="47"/>
      <c r="E67" s="9">
        <v>5</v>
      </c>
      <c r="F67" s="27">
        <v>3.5</v>
      </c>
      <c r="G67" s="31">
        <f t="shared" si="0"/>
        <v>0.7</v>
      </c>
      <c r="H67" s="32" t="str">
        <f t="shared" si="1"/>
        <v>جيد</v>
      </c>
      <c r="I67" s="60"/>
      <c r="J67" s="61"/>
    </row>
    <row r="68" spans="1:10" ht="30" customHeight="1" x14ac:dyDescent="0.2">
      <c r="A68" s="11"/>
      <c r="B68" s="46" t="s">
        <v>241</v>
      </c>
      <c r="C68" s="47"/>
      <c r="D68" s="47"/>
      <c r="E68" s="9">
        <v>5</v>
      </c>
      <c r="F68" s="27">
        <v>3.75</v>
      </c>
      <c r="G68" s="31">
        <f t="shared" si="0"/>
        <v>0.75</v>
      </c>
      <c r="H68" s="32" t="str">
        <f t="shared" si="1"/>
        <v>جيد</v>
      </c>
      <c r="I68" s="60"/>
      <c r="J68" s="61"/>
    </row>
    <row r="69" spans="1:10" ht="30" customHeight="1" x14ac:dyDescent="0.2">
      <c r="A69" s="11"/>
      <c r="B69" s="46" t="s">
        <v>242</v>
      </c>
      <c r="C69" s="47"/>
      <c r="D69" s="47"/>
      <c r="E69" s="9">
        <v>5</v>
      </c>
      <c r="F69" s="27">
        <v>3.75</v>
      </c>
      <c r="G69" s="31">
        <f t="shared" si="0"/>
        <v>0.75</v>
      </c>
      <c r="H69" s="32" t="str">
        <f t="shared" si="1"/>
        <v>جيد</v>
      </c>
      <c r="I69" s="60"/>
      <c r="J69" s="61"/>
    </row>
    <row r="70" spans="1:10" ht="30" customHeight="1" x14ac:dyDescent="0.2">
      <c r="A70" s="11"/>
      <c r="B70" s="46" t="s">
        <v>243</v>
      </c>
      <c r="C70" s="47"/>
      <c r="D70" s="47"/>
      <c r="E70" s="9">
        <v>5</v>
      </c>
      <c r="F70" s="27">
        <v>3.75</v>
      </c>
      <c r="G70" s="31">
        <f t="shared" si="0"/>
        <v>0.75</v>
      </c>
      <c r="H70" s="32" t="str">
        <f t="shared" si="1"/>
        <v>جيد</v>
      </c>
      <c r="I70" s="60"/>
      <c r="J70" s="61"/>
    </row>
    <row r="71" spans="1:10" ht="30" customHeight="1" x14ac:dyDescent="0.2">
      <c r="A71" s="11"/>
      <c r="B71" s="46" t="s">
        <v>244</v>
      </c>
      <c r="C71" s="47"/>
      <c r="D71" s="47"/>
      <c r="E71" s="9">
        <v>5</v>
      </c>
      <c r="F71" s="27">
        <v>3.5</v>
      </c>
      <c r="G71" s="31">
        <f t="shared" si="0"/>
        <v>0.7</v>
      </c>
      <c r="H71" s="32" t="str">
        <f t="shared" si="1"/>
        <v>جيد</v>
      </c>
      <c r="I71" s="60"/>
      <c r="J71" s="61"/>
    </row>
    <row r="72" spans="1:10" ht="30" customHeight="1" x14ac:dyDescent="0.2">
      <c r="A72" s="11"/>
      <c r="B72" s="46" t="s">
        <v>245</v>
      </c>
      <c r="C72" s="47"/>
      <c r="D72" s="47"/>
      <c r="E72" s="9">
        <v>5</v>
      </c>
      <c r="F72" s="27">
        <v>3.5</v>
      </c>
      <c r="G72" s="31">
        <f t="shared" si="0"/>
        <v>0.7</v>
      </c>
      <c r="H72" s="32" t="str">
        <f t="shared" si="1"/>
        <v>جيد</v>
      </c>
      <c r="I72" s="60"/>
      <c r="J72" s="61"/>
    </row>
    <row r="73" spans="1:10" ht="30" customHeight="1" x14ac:dyDescent="0.2">
      <c r="A73" s="11"/>
      <c r="B73" s="46" t="s">
        <v>246</v>
      </c>
      <c r="C73" s="47"/>
      <c r="D73" s="47"/>
      <c r="E73" s="9">
        <v>5</v>
      </c>
      <c r="F73" s="27">
        <v>3.75</v>
      </c>
      <c r="G73" s="31">
        <f t="shared" si="0"/>
        <v>0.75</v>
      </c>
      <c r="H73" s="32" t="str">
        <f t="shared" si="1"/>
        <v>جيد</v>
      </c>
      <c r="I73" s="60"/>
      <c r="J73" s="61"/>
    </row>
    <row r="74" spans="1:10" ht="30" customHeight="1" x14ac:dyDescent="0.2">
      <c r="A74" s="11"/>
      <c r="B74" s="46" t="s">
        <v>247</v>
      </c>
      <c r="C74" s="47"/>
      <c r="D74" s="47"/>
      <c r="E74" s="9">
        <v>5</v>
      </c>
      <c r="F74" s="27">
        <v>3.75</v>
      </c>
      <c r="G74" s="31">
        <f t="shared" ref="G74:G96" si="2">IFERROR(F74/E74,"")</f>
        <v>0.75</v>
      </c>
      <c r="H74" s="32" t="str">
        <f t="shared" ref="H74:H96" si="3">_xlfn.IFS(F74="أدخل العلامة","",F74="لا ينطبق","تم الإلغاء",G74&gt;=90%,"ممتاز",G74&gt;=80%,"جيد جداً",G74&gt;=70%,"جيد",G74&gt;=60%,"مقبول",G74&lt;60%,"راسب")</f>
        <v>جيد</v>
      </c>
      <c r="I74" s="60"/>
      <c r="J74" s="61"/>
    </row>
    <row r="75" spans="1:10" ht="30" customHeight="1" x14ac:dyDescent="0.2">
      <c r="A75" s="11"/>
      <c r="B75" s="46" t="s">
        <v>248</v>
      </c>
      <c r="C75" s="47"/>
      <c r="D75" s="47"/>
      <c r="E75" s="9">
        <v>5</v>
      </c>
      <c r="F75" s="27">
        <v>3.5</v>
      </c>
      <c r="G75" s="31">
        <f t="shared" si="2"/>
        <v>0.7</v>
      </c>
      <c r="H75" s="32" t="str">
        <f t="shared" si="3"/>
        <v>جيد</v>
      </c>
      <c r="I75" s="60"/>
      <c r="J75" s="61"/>
    </row>
    <row r="76" spans="1:10" ht="30" customHeight="1" thickBot="1" x14ac:dyDescent="0.25">
      <c r="A76" s="11"/>
      <c r="B76" s="48" t="s">
        <v>249</v>
      </c>
      <c r="C76" s="49"/>
      <c r="D76" s="49"/>
      <c r="E76" s="37">
        <v>5</v>
      </c>
      <c r="F76" s="29">
        <v>3.75</v>
      </c>
      <c r="G76" s="38">
        <f t="shared" si="2"/>
        <v>0.75</v>
      </c>
      <c r="H76" s="39" t="str">
        <f t="shared" si="3"/>
        <v>جيد</v>
      </c>
      <c r="I76" s="62"/>
      <c r="J76" s="63"/>
    </row>
    <row r="77" spans="1:10" ht="30" customHeight="1" x14ac:dyDescent="0.2">
      <c r="A77" s="11"/>
      <c r="B77" s="52" t="s">
        <v>250</v>
      </c>
      <c r="C77" s="53"/>
      <c r="D77" s="53"/>
      <c r="E77" s="33"/>
      <c r="F77" s="34"/>
      <c r="G77" s="35"/>
      <c r="H77" s="36"/>
      <c r="I77" s="72"/>
      <c r="J77" s="73"/>
    </row>
    <row r="78" spans="1:10" ht="30" customHeight="1" x14ac:dyDescent="0.2">
      <c r="A78" s="11"/>
      <c r="B78" s="46" t="s">
        <v>251</v>
      </c>
      <c r="C78" s="47"/>
      <c r="D78" s="47"/>
      <c r="E78" s="9">
        <v>5</v>
      </c>
      <c r="F78" s="27">
        <v>3.75</v>
      </c>
      <c r="G78" s="31">
        <f t="shared" si="2"/>
        <v>0.75</v>
      </c>
      <c r="H78" s="32" t="str">
        <f t="shared" si="3"/>
        <v>جيد</v>
      </c>
      <c r="I78" s="60"/>
      <c r="J78" s="61"/>
    </row>
    <row r="79" spans="1:10" ht="30" customHeight="1" x14ac:dyDescent="0.2">
      <c r="A79" s="11"/>
      <c r="B79" s="46" t="s">
        <v>252</v>
      </c>
      <c r="C79" s="47"/>
      <c r="D79" s="47"/>
      <c r="E79" s="9">
        <v>5</v>
      </c>
      <c r="F79" s="27">
        <v>3.75</v>
      </c>
      <c r="G79" s="31">
        <f t="shared" si="2"/>
        <v>0.75</v>
      </c>
      <c r="H79" s="32" t="str">
        <f t="shared" si="3"/>
        <v>جيد</v>
      </c>
      <c r="I79" s="60"/>
      <c r="J79" s="61"/>
    </row>
    <row r="80" spans="1:10" ht="30" customHeight="1" x14ac:dyDescent="0.2">
      <c r="A80" s="11"/>
      <c r="B80" s="46" t="s">
        <v>253</v>
      </c>
      <c r="C80" s="47"/>
      <c r="D80" s="47"/>
      <c r="E80" s="9">
        <v>5</v>
      </c>
      <c r="F80" s="27">
        <v>3.5</v>
      </c>
      <c r="G80" s="31">
        <f t="shared" si="2"/>
        <v>0.7</v>
      </c>
      <c r="H80" s="32" t="str">
        <f t="shared" si="3"/>
        <v>جيد</v>
      </c>
      <c r="I80" s="60"/>
      <c r="J80" s="61"/>
    </row>
    <row r="81" spans="1:10" ht="30" customHeight="1" x14ac:dyDescent="0.2">
      <c r="A81" s="11"/>
      <c r="B81" s="46" t="s">
        <v>254</v>
      </c>
      <c r="C81" s="47"/>
      <c r="D81" s="47"/>
      <c r="E81" s="9">
        <v>5</v>
      </c>
      <c r="F81" s="27">
        <v>3.75</v>
      </c>
      <c r="G81" s="31">
        <f t="shared" si="2"/>
        <v>0.75</v>
      </c>
      <c r="H81" s="32" t="str">
        <f t="shared" si="3"/>
        <v>جيد</v>
      </c>
      <c r="I81" s="60"/>
      <c r="J81" s="61"/>
    </row>
    <row r="82" spans="1:10" ht="30" customHeight="1" x14ac:dyDescent="0.2">
      <c r="A82" s="11"/>
      <c r="B82" s="46" t="s">
        <v>255</v>
      </c>
      <c r="C82" s="47"/>
      <c r="D82" s="47"/>
      <c r="E82" s="9">
        <v>5</v>
      </c>
      <c r="F82" s="27">
        <v>3.5</v>
      </c>
      <c r="G82" s="31">
        <f t="shared" si="2"/>
        <v>0.7</v>
      </c>
      <c r="H82" s="32" t="str">
        <f t="shared" si="3"/>
        <v>جيد</v>
      </c>
      <c r="I82" s="60"/>
      <c r="J82" s="61"/>
    </row>
    <row r="83" spans="1:10" ht="30" customHeight="1" thickBot="1" x14ac:dyDescent="0.25">
      <c r="A83" s="11"/>
      <c r="B83" s="48" t="s">
        <v>256</v>
      </c>
      <c r="C83" s="49"/>
      <c r="D83" s="49"/>
      <c r="E83" s="37">
        <v>5</v>
      </c>
      <c r="F83" s="29">
        <v>3.75</v>
      </c>
      <c r="G83" s="38">
        <f t="shared" si="2"/>
        <v>0.75</v>
      </c>
      <c r="H83" s="39" t="str">
        <f t="shared" si="3"/>
        <v>جيد</v>
      </c>
      <c r="I83" s="62"/>
      <c r="J83" s="63"/>
    </row>
    <row r="84" spans="1:10" ht="30" customHeight="1" x14ac:dyDescent="0.2">
      <c r="A84" s="11"/>
      <c r="B84" s="52" t="s">
        <v>257</v>
      </c>
      <c r="C84" s="53"/>
      <c r="D84" s="53"/>
      <c r="E84" s="33"/>
      <c r="F84" s="34"/>
      <c r="G84" s="35"/>
      <c r="H84" s="36"/>
      <c r="I84" s="72"/>
      <c r="J84" s="73"/>
    </row>
    <row r="85" spans="1:10" ht="30" customHeight="1" x14ac:dyDescent="0.2">
      <c r="A85" s="11"/>
      <c r="B85" s="46" t="s">
        <v>258</v>
      </c>
      <c r="C85" s="47"/>
      <c r="D85" s="47"/>
      <c r="E85" s="9">
        <v>5</v>
      </c>
      <c r="F85" s="27">
        <v>3.5</v>
      </c>
      <c r="G85" s="31">
        <f t="shared" si="2"/>
        <v>0.7</v>
      </c>
      <c r="H85" s="32" t="str">
        <f t="shared" si="3"/>
        <v>جيد</v>
      </c>
      <c r="I85" s="60"/>
      <c r="J85" s="61"/>
    </row>
    <row r="86" spans="1:10" ht="30" customHeight="1" x14ac:dyDescent="0.2">
      <c r="A86" s="11"/>
      <c r="B86" s="46" t="s">
        <v>259</v>
      </c>
      <c r="C86" s="47"/>
      <c r="D86" s="47"/>
      <c r="E86" s="9">
        <v>5</v>
      </c>
      <c r="F86" s="27">
        <v>3.5</v>
      </c>
      <c r="G86" s="31">
        <f t="shared" si="2"/>
        <v>0.7</v>
      </c>
      <c r="H86" s="32" t="str">
        <f t="shared" si="3"/>
        <v>جيد</v>
      </c>
      <c r="I86" s="60"/>
      <c r="J86" s="61"/>
    </row>
    <row r="87" spans="1:10" ht="30" customHeight="1" x14ac:dyDescent="0.2">
      <c r="A87" s="11"/>
      <c r="B87" s="46" t="s">
        <v>260</v>
      </c>
      <c r="C87" s="47"/>
      <c r="D87" s="47"/>
      <c r="E87" s="9">
        <v>5</v>
      </c>
      <c r="F87" s="27">
        <v>3.5</v>
      </c>
      <c r="G87" s="31">
        <f t="shared" si="2"/>
        <v>0.7</v>
      </c>
      <c r="H87" s="32" t="str">
        <f t="shared" si="3"/>
        <v>جيد</v>
      </c>
      <c r="I87" s="60"/>
      <c r="J87" s="61"/>
    </row>
    <row r="88" spans="1:10" ht="30" customHeight="1" x14ac:dyDescent="0.2">
      <c r="A88" s="11"/>
      <c r="B88" s="46" t="s">
        <v>261</v>
      </c>
      <c r="C88" s="47"/>
      <c r="D88" s="47"/>
      <c r="E88" s="9">
        <v>5</v>
      </c>
      <c r="F88" s="27">
        <v>3.5</v>
      </c>
      <c r="G88" s="31">
        <f t="shared" si="2"/>
        <v>0.7</v>
      </c>
      <c r="H88" s="32" t="str">
        <f t="shared" si="3"/>
        <v>جيد</v>
      </c>
      <c r="I88" s="60"/>
      <c r="J88" s="61"/>
    </row>
    <row r="89" spans="1:10" ht="30" customHeight="1" x14ac:dyDescent="0.2">
      <c r="A89" s="11"/>
      <c r="B89" s="46" t="s">
        <v>262</v>
      </c>
      <c r="C89" s="47"/>
      <c r="D89" s="47"/>
      <c r="E89" s="9">
        <v>5</v>
      </c>
      <c r="F89" s="27">
        <v>3.75</v>
      </c>
      <c r="G89" s="31">
        <f t="shared" si="2"/>
        <v>0.75</v>
      </c>
      <c r="H89" s="32" t="str">
        <f t="shared" si="3"/>
        <v>جيد</v>
      </c>
      <c r="I89" s="60"/>
      <c r="J89" s="61"/>
    </row>
    <row r="90" spans="1:10" ht="30" customHeight="1" x14ac:dyDescent="0.2">
      <c r="A90" s="11"/>
      <c r="B90" s="46" t="s">
        <v>263</v>
      </c>
      <c r="C90" s="47"/>
      <c r="D90" s="47"/>
      <c r="E90" s="9">
        <v>5</v>
      </c>
      <c r="F90" s="27">
        <v>3.75</v>
      </c>
      <c r="G90" s="31">
        <f t="shared" si="2"/>
        <v>0.75</v>
      </c>
      <c r="H90" s="32" t="str">
        <f t="shared" si="3"/>
        <v>جيد</v>
      </c>
      <c r="I90" s="60"/>
      <c r="J90" s="61"/>
    </row>
    <row r="91" spans="1:10" ht="30" customHeight="1" x14ac:dyDescent="0.2">
      <c r="A91" s="11"/>
      <c r="B91" s="46" t="s">
        <v>264</v>
      </c>
      <c r="C91" s="47"/>
      <c r="D91" s="47"/>
      <c r="E91" s="9">
        <v>5</v>
      </c>
      <c r="F91" s="27">
        <v>3.75</v>
      </c>
      <c r="G91" s="31">
        <f t="shared" si="2"/>
        <v>0.75</v>
      </c>
      <c r="H91" s="32" t="str">
        <f t="shared" si="3"/>
        <v>جيد</v>
      </c>
      <c r="I91" s="60"/>
      <c r="J91" s="61"/>
    </row>
    <row r="92" spans="1:10" ht="30" customHeight="1" x14ac:dyDescent="0.2">
      <c r="A92" s="11"/>
      <c r="B92" s="46" t="s">
        <v>265</v>
      </c>
      <c r="C92" s="47"/>
      <c r="D92" s="47"/>
      <c r="E92" s="9">
        <v>5</v>
      </c>
      <c r="F92" s="27">
        <v>3.75</v>
      </c>
      <c r="G92" s="31">
        <f t="shared" si="2"/>
        <v>0.75</v>
      </c>
      <c r="H92" s="32" t="str">
        <f t="shared" si="3"/>
        <v>جيد</v>
      </c>
      <c r="I92" s="60"/>
      <c r="J92" s="61"/>
    </row>
    <row r="93" spans="1:10" ht="30" customHeight="1" x14ac:dyDescent="0.2">
      <c r="A93" s="11"/>
      <c r="B93" s="46" t="s">
        <v>266</v>
      </c>
      <c r="C93" s="47"/>
      <c r="D93" s="47"/>
      <c r="E93" s="9">
        <v>5</v>
      </c>
      <c r="F93" s="27">
        <v>3.75</v>
      </c>
      <c r="G93" s="31">
        <f t="shared" si="2"/>
        <v>0.75</v>
      </c>
      <c r="H93" s="32" t="str">
        <f t="shared" si="3"/>
        <v>جيد</v>
      </c>
      <c r="I93" s="60"/>
      <c r="J93" s="61"/>
    </row>
    <row r="94" spans="1:10" ht="30" customHeight="1" x14ac:dyDescent="0.2">
      <c r="A94" s="11"/>
      <c r="B94" s="46" t="s">
        <v>267</v>
      </c>
      <c r="C94" s="47"/>
      <c r="D94" s="47"/>
      <c r="E94" s="9">
        <v>5</v>
      </c>
      <c r="F94" s="27">
        <v>3.75</v>
      </c>
      <c r="G94" s="31">
        <f t="shared" si="2"/>
        <v>0.75</v>
      </c>
      <c r="H94" s="32" t="str">
        <f t="shared" si="3"/>
        <v>جيد</v>
      </c>
      <c r="I94" s="60"/>
      <c r="J94" s="61"/>
    </row>
    <row r="95" spans="1:10" ht="30" customHeight="1" thickBot="1" x14ac:dyDescent="0.25">
      <c r="A95" s="11"/>
      <c r="B95" s="48" t="s">
        <v>268</v>
      </c>
      <c r="C95" s="49"/>
      <c r="D95" s="49"/>
      <c r="E95" s="37">
        <v>5</v>
      </c>
      <c r="F95" s="29">
        <v>3.75</v>
      </c>
      <c r="G95" s="38">
        <f t="shared" si="2"/>
        <v>0.75</v>
      </c>
      <c r="H95" s="39" t="str">
        <f t="shared" si="3"/>
        <v>جيد</v>
      </c>
      <c r="I95" s="62"/>
      <c r="J95" s="63"/>
    </row>
    <row r="96" spans="1:10" ht="39.950000000000003" customHeight="1" thickBot="1" x14ac:dyDescent="0.25">
      <c r="A96" s="11"/>
      <c r="B96" s="50" t="s">
        <v>269</v>
      </c>
      <c r="C96" s="51"/>
      <c r="D96" s="51"/>
      <c r="E96" s="10">
        <v>5</v>
      </c>
      <c r="F96" s="40">
        <v>3.75</v>
      </c>
      <c r="G96" s="41">
        <f t="shared" si="2"/>
        <v>0.75</v>
      </c>
      <c r="H96" s="28" t="str">
        <f t="shared" si="3"/>
        <v>جيد</v>
      </c>
      <c r="I96" s="96"/>
      <c r="J96" s="97"/>
    </row>
    <row r="97" spans="1:10" ht="30" customHeight="1" thickBot="1" x14ac:dyDescent="0.25">
      <c r="A97" s="4"/>
      <c r="B97" s="58" t="s">
        <v>5</v>
      </c>
      <c r="C97" s="59"/>
      <c r="D97" s="59"/>
      <c r="E97" s="10">
        <f>SUM(E8:E96)</f>
        <v>405</v>
      </c>
      <c r="F97" s="10">
        <f>SUM(F8:F96)</f>
        <v>293.25</v>
      </c>
      <c r="G97" s="93"/>
      <c r="H97" s="94"/>
      <c r="I97" s="94"/>
      <c r="J97" s="95"/>
    </row>
    <row r="98" spans="1:10" ht="30" customHeight="1" thickBot="1" x14ac:dyDescent="0.25">
      <c r="A98" s="4"/>
      <c r="B98" s="58" t="s">
        <v>54</v>
      </c>
      <c r="C98" s="59"/>
      <c r="D98" s="59"/>
      <c r="E98" s="81">
        <f>F97/E97/100*100</f>
        <v>0.72407407407407409</v>
      </c>
      <c r="F98" s="81"/>
      <c r="G98" s="81"/>
      <c r="H98" s="81"/>
      <c r="I98" s="81"/>
      <c r="J98" s="82"/>
    </row>
    <row r="99" spans="1:10" ht="30" customHeight="1" thickBot="1" x14ac:dyDescent="0.25">
      <c r="A99" s="4"/>
      <c r="B99" s="58" t="s">
        <v>55</v>
      </c>
      <c r="C99" s="59"/>
      <c r="D99" s="59"/>
      <c r="E99" s="70" t="str">
        <f>_xlfn.IFS(E98&gt;=90%,"ممتاز",E98&gt;=80%,"جيد جداً",E98&gt;=70%,"جيد",E98&gt;=60%,"مقبول",E98&lt;60%,"راسب")</f>
        <v>جيد</v>
      </c>
      <c r="F99" s="70"/>
      <c r="G99" s="70"/>
      <c r="H99" s="70"/>
      <c r="I99" s="70"/>
      <c r="J99" s="71"/>
    </row>
    <row r="100" spans="1:10" ht="42" customHeight="1" x14ac:dyDescent="0.2">
      <c r="B100" s="66" t="s">
        <v>174</v>
      </c>
      <c r="C100" s="66"/>
      <c r="D100" s="66"/>
      <c r="E100" s="91" t="s">
        <v>52</v>
      </c>
      <c r="F100" s="91"/>
      <c r="G100" s="68" t="s">
        <v>113</v>
      </c>
      <c r="H100" s="68"/>
      <c r="I100" s="68"/>
      <c r="J100" s="68"/>
    </row>
    <row r="101" spans="1:10" ht="51" customHeight="1" x14ac:dyDescent="0.2">
      <c r="A101" s="5"/>
      <c r="B101" s="67"/>
      <c r="C101" s="67"/>
      <c r="D101" s="67"/>
      <c r="E101" s="92" t="s">
        <v>53</v>
      </c>
      <c r="F101" s="92"/>
      <c r="G101" s="69"/>
      <c r="H101" s="69"/>
      <c r="I101" s="69"/>
      <c r="J101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9">
    <mergeCell ref="I9:J9"/>
    <mergeCell ref="I69:J69"/>
    <mergeCell ref="I70:J70"/>
    <mergeCell ref="I71:J71"/>
    <mergeCell ref="E100:F100"/>
    <mergeCell ref="E101:F101"/>
    <mergeCell ref="G97:J97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98:J98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100:D101"/>
    <mergeCell ref="G100:J100"/>
    <mergeCell ref="G101:J101"/>
    <mergeCell ref="E99:J99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8:J8"/>
    <mergeCell ref="B97:D97"/>
    <mergeCell ref="B98:D98"/>
    <mergeCell ref="B99:D9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94:D94"/>
    <mergeCell ref="B95:D95"/>
    <mergeCell ref="B96:D96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9">
    <cfRule type="expression" dxfId="14" priority="57">
      <formula>$E99="راسب"</formula>
    </cfRule>
  </conditionalFormatting>
  <conditionalFormatting sqref="E99:J99">
    <cfRule type="expression" dxfId="13" priority="58">
      <formula>$E99="مقبول"</formula>
    </cfRule>
    <cfRule type="expression" dxfId="12" priority="59">
      <formula>$E99="جيد"</formula>
    </cfRule>
    <cfRule type="expression" dxfId="11" priority="60">
      <formula>$E99="جيد جداً"</formula>
    </cfRule>
    <cfRule type="expression" dxfId="10" priority="61">
      <formula>$E99="ممتاز"</formula>
    </cfRule>
  </conditionalFormatting>
  <conditionalFormatting sqref="F8:F9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00:J100">
    <cfRule type="containsText" dxfId="6" priority="15" operator="containsText" text="أدخل اسم المحكم">
      <formula>NOT(ISERROR(SEARCH("أدخل اسم المحكم",G100)))</formula>
    </cfRule>
  </conditionalFormatting>
  <conditionalFormatting sqref="H8:H9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F85:F96 F78:F83 F63:F76 F50:F61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G100:J100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2025-09-23T05:18:17Z</dcterms:modified>
</cp:coreProperties>
</file>