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32344C6-FDA0-48F8-9518-A62CA82DC4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F54" i="2"/>
  <c r="E54" i="2"/>
  <c r="E55" i="2"/>
  <c r="E56" i="2"/>
</calcChain>
</file>

<file path=xl/sharedStrings.xml><?xml version="1.0" encoding="utf-8"?>
<sst xmlns="http://schemas.openxmlformats.org/spreadsheetml/2006/main" count="283" uniqueCount="227">
  <si>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</si>
  <si>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</si>
  <si>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</si>
  <si>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</si>
  <si>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</si>
  <si>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</si>
  <si>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</si>
  <si>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</si>
  <si>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</si>
  <si>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</si>
  <si>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</si>
  <si>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</si>
  <si>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</si>
  <si>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</si>
  <si>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</si>
  <si>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</si>
  <si>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</si>
  <si>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</si>
  <si>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</si>
  <si>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</si>
  <si>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</si>
  <si>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</si>
  <si>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</si>
  <si>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</si>
  <si>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</si>
  <si>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</si>
  <si>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</si>
  <si>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</si>
  <si>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</si>
  <si>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</si>
  <si>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</si>
  <si>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</si>
  <si>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</si>
  <si>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</si>
  <si>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</si>
  <si>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</si>
  <si>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</si>
  <si>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</si>
  <si>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</si>
  <si>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</si>
  <si>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</si>
  <si>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</si>
  <si>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</si>
  <si>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</si>
  <si>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</si>
  <si>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</si>
  <si>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</si>
  <si>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</si>
  <si>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</si>
  <si>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</si>
  <si>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</si>
  <si>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</si>
  <si>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</si>
  <si>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</si>
  <si>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</si>
  <si>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</si>
  <si>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</si>
  <si>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</si>
  <si>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</si>
  <si>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</si>
  <si>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</si>
  <si>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</si>
  <si>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</si>
  <si>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</si>
  <si>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</si>
  <si>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</si>
  <si>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</si>
  <si>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</si>
  <si>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</si>
  <si>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</si>
  <si>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</si>
  <si>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</si>
  <si>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</si>
  <si>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</si>
  <si>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</si>
  <si>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</si>
  <si>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</si>
  <si>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</si>
  <si>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</si>
  <si>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</si>
  <si>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</si>
  <si>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</si>
  <si>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</si>
  <si>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</si>
  <si>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</si>
  <si>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</si>
  <si>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</si>
  <si>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</si>
  <si>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</si>
  <si>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</si>
  <si>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</si>
  <si>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</si>
  <si>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</si>
  <si>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</si>
  <si>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</si>
  <si>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</si>
  <si>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</si>
  <si>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</si>
  <si>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</si>
  <si>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</si>
  <si>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</si>
  <si>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</si>
  <si>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</si>
  <si>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</si>
  <si>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</si>
  <si>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</si>
  <si>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</si>
  <si>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</si>
  <si>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</si>
  <si>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</si>
  <si>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</si>
  <si>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</si>
  <si>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</si>
  <si>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</si>
  <si>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</si>
  <si>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</si>
  <si>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</si>
  <si>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</si>
  <si>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</si>
  <si>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</si>
  <si>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</si>
  <si>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</si>
  <si>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</si>
  <si>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</si>
  <si>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</si>
  <si>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</si>
  <si>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</si>
  <si>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</si>
  <si>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</si>
  <si>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</si>
  <si>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</si>
  <si>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</si>
  <si>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</si>
  <si>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</si>
  <si>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</si>
  <si>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</si>
  <si>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</si>
  <si>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</si>
  <si>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</si>
  <si>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</si>
  <si>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</si>
  <si>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</si>
  <si>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</si>
  <si>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</si>
  <si>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</si>
  <si>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</si>
  <si>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</si>
  <si>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</si>
  <si>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</si>
  <si>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</si>
  <si>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</si>
  <si>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</si>
  <si>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</si>
  <si>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</si>
  <si>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</si>
  <si>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</si>
  <si>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</si>
  <si>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</si>
  <si>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</si>
  <si>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</si>
  <si>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</si>
  <si>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</si>
  <si>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</si>
  <si>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</si>
  <si>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</si>
  <si>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</si>
  <si>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</si>
  <si>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</si>
  <si>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</si>
  <si>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</si>
  <si>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</si>
  <si>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</si>
  <si>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</si>
  <si>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</si>
  <si>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</si>
  <si>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</si>
  <si>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</si>
  <si>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</si>
  <si>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</si>
  <si>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</si>
  <si>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معسكرات التدريب الخارجية لسرية الاستطلاع - تمرين جاهزية مجموعة لواء الإمارات/1 (جندي الصحراء 2025/20)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</si>
  <si>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الشؤون الإدارية.</t>
    </r>
    <r>
      <rPr>
        <sz val="12"/>
        <color theme="1"/>
        <rFont val="Arial"/>
        <family val="2"/>
      </rPr>
      <t xml:space="preserve"> (يتم التأكد من التالي):</t>
    </r>
  </si>
  <si>
    <t>أ. المظهر العام للمعسكر من حيث (نصب الخيام، النظافة، مداخل ومخارج الطرق المؤدية واللوحات الإرشادية للمعسكر).</t>
  </si>
  <si>
    <t>ب. وجود وصلاحية مخازن الأسلحة والذخيرة والأرزاق.</t>
  </si>
  <si>
    <t>جـ. توفر وصلاحية مكاتب قيادة الوحدة.</t>
  </si>
  <si>
    <t>د. توفر وصلاحية مكتب المخابرة.</t>
  </si>
  <si>
    <t>هـ. توفر مواقف للآليات (مقاتلة، إدارية، وقود).</t>
  </si>
  <si>
    <t>و. وجود نظــام للتخلــص مـن النفايــات والمخلـفـات (الطبية والعضوية).</t>
  </si>
  <si>
    <r>
      <t>2.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القوى البشرية والآليـات.</t>
    </r>
  </si>
  <si>
    <t>أ. نسبة الاستكمال من القوى البشرية وتشمل (المرتب، الموجود، المدربين، الموجود اليومي).</t>
  </si>
  <si>
    <t>ب. مدى استكمال التخصصات للمرتب.</t>
  </si>
  <si>
    <t>جـ. مدى استكمال التخصصات الأخرى الملحقة والمعينة (الإسناد الناري والإداري).</t>
  </si>
  <si>
    <t>د. نسبـة استكمال الآليات والمعدات الموجودة على المرتب.</t>
  </si>
  <si>
    <t>هـ. الحالة الفنية للآليات (أ، ب).</t>
  </si>
  <si>
    <r>
      <t>3.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الأسلحــة والذخائــر.</t>
    </r>
  </si>
  <si>
    <t>أ. توفر ذخيرة العمليات حسب مقياس الذخائر وحسب تعليمات رفع حالات الاستعداد القتالي.</t>
  </si>
  <si>
    <t>ب. توفر ذخيرة التدريب حسب المقياس.</t>
  </si>
  <si>
    <t>جـ. الحالة الفنية للذخائر.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</si>
  <si>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مواقف الآليات</t>
    </r>
    <r>
      <rPr>
        <u/>
        <sz val="12"/>
        <color theme="1"/>
        <rFont val="Arial"/>
        <family val="2"/>
      </rPr>
      <t>.</t>
    </r>
    <r>
      <rPr>
        <sz val="12"/>
        <color theme="1"/>
        <rFont val="Arial"/>
        <family val="2"/>
      </rPr>
      <t xml:space="preserve"> عندما تكون محملة بالذخائر والوقود.</t>
    </r>
  </si>
  <si>
    <t>أ. توفر وصلاحية الإنارة في منطقة مواقف الآليات.</t>
  </si>
  <si>
    <t>ب. توفر وصلاحية وسيلة الاتصال.</t>
  </si>
  <si>
    <t>جـ. وجود وصلاحية طفايات الحريق ووجود بطاقة الصلاحية عليها بمواقف الآليات.</t>
  </si>
  <si>
    <t>د. مدى التقيد بالنظافة العامة في مواقف الآليات.</t>
  </si>
  <si>
    <r>
      <t>5.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مساعدات التدريب.</t>
    </r>
  </si>
  <si>
    <t>أ. وجود تعليمات وخطة التدريب لمعسكر التدريب الخارجي.</t>
  </si>
  <si>
    <t>ب. مدى تطابق خطة وتعليمات التدريب الخارجي مع خطة التدريب / الزمنية الشهرية للمستوى الأعلى.</t>
  </si>
  <si>
    <t>جـ. وجود برامج التدريب ومدى تطابقها مع خطة التدريب الشهرية.</t>
  </si>
  <si>
    <t>د. وجود وملائمة مناطق التدريب مع برنامج التدريب.</t>
  </si>
  <si>
    <t>هـ. وجود وثائق وتعليمات التمرين.</t>
  </si>
  <si>
    <t>و. وجود التعليمات التنظيمية للمعسكر.</t>
  </si>
  <si>
    <r>
      <t>6.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وجود خطة الدفاع والحراسة و خطة الحريق.</t>
    </r>
  </si>
  <si>
    <r>
      <t>7.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التدريب.</t>
    </r>
  </si>
  <si>
    <t>أ. التقيد بالتعليمات الإدارية للتدريب.</t>
  </si>
  <si>
    <t>ب. مدى إلمام المرتب والمتدربين بالتعليمات الإدارية.</t>
  </si>
  <si>
    <t>جـ. مدى إلمام المدربين بالتدريب.</t>
  </si>
  <si>
    <t>د. مدى سيطرة المدربين على المتدربين.</t>
  </si>
  <si>
    <t>هـ. مدى تقيد المدربين بتوجيه المتدربين وتصحيح الأخطاء.</t>
  </si>
  <si>
    <t>و. مدى التعاون والعمل بروح الفريق بين المتدربين.</t>
  </si>
  <si>
    <t>ز. التقيد بتوزيع المهام على المتدربين.</t>
  </si>
  <si>
    <t>ح. التقيد بتوقيتات التدريب.</t>
  </si>
  <si>
    <r>
      <t>8.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التقيد بارتداء اللباس الميداني حسب التعليمات.</t>
    </r>
  </si>
  <si>
    <r>
      <t>9.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الإشارة.</t>
    </r>
  </si>
  <si>
    <t>أ. مدى التقيد بالتعليمات الإشارية ومخططات شبكة الاتصالات.</t>
  </si>
  <si>
    <t>ب. توفر وصلاحية وسائل الاتصال في التمرين.</t>
  </si>
  <si>
    <t>جـ. مدى التقيد بأصول المخابرة الصحيحة والالتزام بالأمن اللاسلكي من قبل مستخدمي الأجهزة.</t>
  </si>
  <si>
    <t>د. مدى كفاءة الاتصالات في التمرين.</t>
  </si>
  <si>
    <r>
      <t>10.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Arial"/>
        <family val="2"/>
      </rPr>
      <t>الإشراف والمتابعة من المستوى الأعلى.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</si>
</sst>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b/>
      <u/>
      <sz val="12"/>
      <color theme="1"/>
      <name val="Arial"/>
      <family val="2"/>
    </font>
    <font>
      <b/>
      <sz val="7"/>
      <color theme="1"/>
      <name val="Times New Roman"/>
      <family val="1"/>
    </font>
    <font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23" xfId="0" applyFont="1" applyBorder="1" applyAlignment="1">
      <alignment horizontal="center" vertical="center" wrapText="1" readingOrder="2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9" fontId="3" fillId="0" borderId="23" xfId="0" applyNumberFormat="1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4" fillId="0" borderId="21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3" fillId="0" borderId="22" xfId="0" applyFont="1" applyBorder="1" applyAlignment="1">
      <alignment horizontal="right" vertical="center" wrapText="1" readingOrder="2"/>
    </xf>
    <xf numFmtId="0" fontId="3" fillId="0" borderId="2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104145</xdr:colOff>
      <xdr:row>57</xdr:row>
      <xdr:rowOff>52788</xdr:rowOff>
    </xdr:from>
    <xdr:to>
      <xdr:col>9</xdr:col>
      <xdr:colOff>127154</xdr:colOff>
      <xdr:row>58</xdr:row>
      <xdr:rowOff>18603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6B5835E-3CBA-127A-F793-ACE0C393CBF2}"/>
                </a:ext>
              </a:extLst>
            </xdr14:cNvPr>
            <xdr14:cNvContentPartPr/>
          </xdr14:nvContentPartPr>
          <xdr14:nvPr macro=""/>
          <xdr14:xfrm>
            <a:off x="10398459665" y="22808880"/>
            <a:ext cx="1997280" cy="612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6B5835E-3CBA-127A-F793-ACE0C393CB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450665" y="22800240"/>
              <a:ext cx="2014920" cy="630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3:40:34.9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5388 1,'0'0,"0"0,0 0,-14 0,-2 0,13 0,-24 0,-6 16,31-14,-26 12,-50 18,66-27,-56 23,-8 20,64-41,-53 50,2 8,53-55,-58 45,21 10,41-56,-34 46,8-6,27-41,10 32,-5 8,0-40,15 17,16 7,-27-27,24 22,3-11,-27-13,39 11,4 2,-40-14,32 12,24-14,-54 0,29 0,-8 0,-25 0,37 17,-26-17,-13 0,9 16,-27 0,13-14,-12 28,-33 2,40-27,-49 39,-51 4,91-41,-109 50,-15 8,119-56,-114 46,-36 11,151-58,-133 32,-17 8,144-41,-104 19,6-10,107-14,-76 12,0-14,81 0,-38-16,-13 16,54 0,-45-32,24 15,25 14,-20-42,-8-3,31 41,-10-68,12-38,0 96,14-78,32-34,-36 109,44-90,9-19,-54 109,59-89,-5 12,-54 82,59-51,-5 33,-54 28,29-22,9 11,-42 14,20 4,-9-2,-14 0,26-16,-11 16,-14 0,24 0,-10 16,-15-13,-4 10,-15 3,15-13,-11 43,-34 19,39-56,-62 63,-23 24,76-81,-106 83,-18-1,121-81,-116 82,-51-2,159-81,-115 83,-27-33,142-55,-101 28,6 10,104-40,-72 17,-2-8,78-15,-65 12,17-14,55 0,-30-16,-9 16,40 0,-16-17,-7 1,25 13,-37-27,26-2,13 27,6-22,-3-22,0 42,16-34,31-40,-40 69,32-40,55-29,-81 67,50-53,32 2,-80 55,33-28,29-10,-64 40,37-16,-4-9,-39 28,33 10,-26-21,-12 13,12 6,3-3,-15 0,10 16,-3-8,-32 0,-10 25,31-28,-57 54,-50 6,92-55,-106 60,-18 12,120-70,-128 72,-39 13,158-82,-143 67,-30-2,173-68,-141 74,-32-5,175-70,-148 58,-10-4,162-57,-92 32,22 8,82-40,-70 16,22 10,51-30,-28 8,4 4,31-14,-11-4,28 2,-13 0,-4 16,18-16,-14 0,26 0,65-32,-78 27,80-6,76-39,-146 43,153-34,73-40,-212 68,185-54,40-46,-219 95,223-94,13-17,-237 109,192-89,59-52,-247 134,200-108,3-10,-216 124,163-87,3 10,-168 84,60-52,0 18,-78 40,47-33,-14 25,-42 13,3-10,6 13,-13 0,-19 32,-15 0,27-27,-21 23,-21 52,44-69,-57 75,-47 44,91-111,-77 107,-17 35,93-135,-90 110,13 41,78-148,-77 137,46-5,40-135,14-52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8"/>
  <sheetViews>
    <sheetView rightToLeft="1" tabSelected="1" view="pageBreakPreview" topLeftCell="A54" zoomScale="130" zoomScaleNormal="100" zoomScaleSheetLayoutView="130" workbookViewId="0">
      <selection activeCell="B5" sqref="B5:D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84" t="s">
        <v>180</v>
      </c>
      <c r="C1" s="84"/>
      <c r="D1" s="84"/>
      <c r="E1" s="84"/>
      <c r="F1" s="84"/>
      <c r="G1" s="84"/>
      <c r="H1" s="84"/>
      <c r="I1" s="84"/>
      <c r="J1" s="84"/>
    </row>
    <row r="2" spans="1:10" ht="30" customHeight="1" x14ac:dyDescent="0.3">
      <c r="B2" s="13" t="s">
        <v>8</v>
      </c>
      <c r="C2" s="90" t="s">
        <v>10</v>
      </c>
      <c r="D2" s="90"/>
      <c r="E2" s="13" t="s">
        <v>7</v>
      </c>
      <c r="F2" s="85">
        <v>45929</v>
      </c>
      <c r="G2" s="85"/>
      <c r="H2" s="85"/>
      <c r="I2" s="85"/>
      <c r="J2" s="85"/>
    </row>
    <row r="3" spans="1:10" ht="30" customHeight="1" x14ac:dyDescent="0.3">
      <c r="B3" s="13" t="s">
        <v>9</v>
      </c>
      <c r="C3" s="90" t="s">
        <v>65</v>
      </c>
      <c r="D3" s="90"/>
      <c r="E3" s="13" t="s">
        <v>6</v>
      </c>
      <c r="F3" s="90" t="s">
        <v>113</v>
      </c>
      <c r="G3" s="90"/>
      <c r="H3" s="90"/>
      <c r="I3" s="90"/>
      <c r="J3" s="9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6" t="s">
        <v>0</v>
      </c>
      <c r="C5" s="87"/>
      <c r="D5" s="87"/>
      <c r="E5" s="95" t="s">
        <v>1</v>
      </c>
      <c r="F5" s="95"/>
      <c r="G5" s="95"/>
      <c r="H5" s="95"/>
      <c r="I5" s="95" t="s">
        <v>2</v>
      </c>
      <c r="J5" s="96"/>
    </row>
    <row r="6" spans="1:10" ht="24.9" customHeight="1" thickBot="1" x14ac:dyDescent="0.35">
      <c r="A6" s="11"/>
      <c r="B6" s="88"/>
      <c r="C6" s="89"/>
      <c r="D6" s="89"/>
      <c r="E6" s="12" t="s">
        <v>3</v>
      </c>
      <c r="F6" s="12" t="s">
        <v>4</v>
      </c>
      <c r="G6" s="12" t="s">
        <v>23</v>
      </c>
      <c r="H6" s="12" t="s">
        <v>24</v>
      </c>
      <c r="I6" s="97"/>
      <c r="J6" s="98"/>
    </row>
    <row r="7" spans="1:10" ht="24.9" customHeight="1" thickBot="1" x14ac:dyDescent="0.35">
      <c r="A7" s="11"/>
      <c r="B7" s="93" t="s">
        <v>21</v>
      </c>
      <c r="C7" s="94"/>
      <c r="D7" s="94"/>
      <c r="E7" s="30" t="s">
        <v>18</v>
      </c>
      <c r="F7" s="30" t="s">
        <v>19</v>
      </c>
      <c r="G7" s="30" t="s">
        <v>22</v>
      </c>
      <c r="H7" s="30" t="s">
        <v>20</v>
      </c>
      <c r="I7" s="99" t="s">
        <v>25</v>
      </c>
      <c r="J7" s="100"/>
    </row>
    <row r="8" spans="1:10" ht="30" customHeight="1" x14ac:dyDescent="0.3">
      <c r="A8" s="11"/>
      <c r="B8" s="59" t="s">
        <v>181</v>
      </c>
      <c r="C8" s="60"/>
      <c r="D8" s="60"/>
      <c r="E8" s="34"/>
      <c r="F8" s="35"/>
      <c r="G8" s="36"/>
      <c r="H8" s="37"/>
      <c r="I8" s="65"/>
      <c r="J8" s="66"/>
    </row>
    <row r="9" spans="1:10" ht="39.9" customHeight="1" x14ac:dyDescent="0.3">
      <c r="A9" s="11"/>
      <c r="B9" s="53" t="s">
        <v>182</v>
      </c>
      <c r="C9" s="54"/>
      <c r="D9" s="54"/>
      <c r="E9" s="33">
        <v>5</v>
      </c>
      <c r="F9" s="27">
        <v>3.75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1"/>
      <c r="J9" s="62"/>
    </row>
    <row r="10" spans="1:10" ht="30" customHeight="1" x14ac:dyDescent="0.3">
      <c r="A10" s="11"/>
      <c r="B10" s="53" t="s">
        <v>183</v>
      </c>
      <c r="C10" s="54"/>
      <c r="D10" s="54"/>
      <c r="E10" s="33">
        <v>5</v>
      </c>
      <c r="F10" s="27">
        <v>3.75</v>
      </c>
      <c r="G10" s="31">
        <f t="shared" ref="G10:G53" si="0">IFERROR(F10/E10,"")</f>
        <v>0.75</v>
      </c>
      <c r="H10" s="32" t="str">
        <f t="shared" ref="H10:H53" si="1">_xlfn.IFS(F10="أدخل العلامة","",F10="لا ينطبق","تم الإلغاء",G10&gt;=90%,"ممتاز",G10&gt;=80%,"جيد جداً",G10&gt;=70%,"جيد",G10&gt;=60%,"مقبول",G10&lt;60%,"راسب")</f>
        <v>جيد</v>
      </c>
      <c r="I10" s="61"/>
      <c r="J10" s="62"/>
    </row>
    <row r="11" spans="1:10" ht="30" customHeight="1" x14ac:dyDescent="0.3">
      <c r="A11" s="11"/>
      <c r="B11" s="53" t="s">
        <v>184</v>
      </c>
      <c r="C11" s="54"/>
      <c r="D11" s="54"/>
      <c r="E11" s="33">
        <v>5</v>
      </c>
      <c r="F11" s="27">
        <v>3.75</v>
      </c>
      <c r="G11" s="31">
        <f t="shared" si="0"/>
        <v>0.75</v>
      </c>
      <c r="H11" s="32" t="str">
        <f t="shared" si="1"/>
        <v>جيد</v>
      </c>
      <c r="I11" s="61"/>
      <c r="J11" s="62"/>
    </row>
    <row r="12" spans="1:10" ht="30" customHeight="1" x14ac:dyDescent="0.3">
      <c r="A12" s="11"/>
      <c r="B12" s="53" t="s">
        <v>185</v>
      </c>
      <c r="C12" s="54"/>
      <c r="D12" s="54"/>
      <c r="E12" s="33">
        <v>5</v>
      </c>
      <c r="F12" s="27">
        <v>3.75</v>
      </c>
      <c r="G12" s="31">
        <f t="shared" si="0"/>
        <v>0.75</v>
      </c>
      <c r="H12" s="32" t="str">
        <f t="shared" si="1"/>
        <v>جيد</v>
      </c>
      <c r="I12" s="61"/>
      <c r="J12" s="62"/>
    </row>
    <row r="13" spans="1:10" ht="30" customHeight="1" x14ac:dyDescent="0.3">
      <c r="A13" s="11"/>
      <c r="B13" s="53" t="s">
        <v>186</v>
      </c>
      <c r="C13" s="54"/>
      <c r="D13" s="54"/>
      <c r="E13" s="33">
        <v>5</v>
      </c>
      <c r="F13" s="27">
        <v>3.75</v>
      </c>
      <c r="G13" s="31">
        <f t="shared" si="0"/>
        <v>0.75</v>
      </c>
      <c r="H13" s="32" t="str">
        <f t="shared" si="1"/>
        <v>جيد</v>
      </c>
      <c r="I13" s="61"/>
      <c r="J13" s="62"/>
    </row>
    <row r="14" spans="1:10" ht="30" customHeight="1" thickBot="1" x14ac:dyDescent="0.35">
      <c r="A14" s="11"/>
      <c r="B14" s="57" t="s">
        <v>187</v>
      </c>
      <c r="C14" s="58"/>
      <c r="D14" s="58"/>
      <c r="E14" s="38">
        <v>5</v>
      </c>
      <c r="F14" s="29">
        <v>3.75</v>
      </c>
      <c r="G14" s="39">
        <f t="shared" si="0"/>
        <v>0.75</v>
      </c>
      <c r="H14" s="40" t="str">
        <f t="shared" si="1"/>
        <v>جيد</v>
      </c>
      <c r="I14" s="63"/>
      <c r="J14" s="64"/>
    </row>
    <row r="15" spans="1:10" ht="30" customHeight="1" x14ac:dyDescent="0.3">
      <c r="A15" s="11"/>
      <c r="B15" s="51" t="s">
        <v>188</v>
      </c>
      <c r="C15" s="52"/>
      <c r="D15" s="52"/>
      <c r="E15" s="34"/>
      <c r="F15" s="35"/>
      <c r="G15" s="36"/>
      <c r="H15" s="37"/>
      <c r="I15" s="65"/>
      <c r="J15" s="66"/>
    </row>
    <row r="16" spans="1:10" ht="39.9" customHeight="1" x14ac:dyDescent="0.3">
      <c r="A16" s="11"/>
      <c r="B16" s="53" t="s">
        <v>189</v>
      </c>
      <c r="C16" s="54"/>
      <c r="D16" s="54"/>
      <c r="E16" s="33">
        <v>5</v>
      </c>
      <c r="F16" s="27">
        <v>3.75</v>
      </c>
      <c r="G16" s="31">
        <f t="shared" si="0"/>
        <v>0.75</v>
      </c>
      <c r="H16" s="32" t="str">
        <f t="shared" si="1"/>
        <v>جيد</v>
      </c>
      <c r="I16" s="61"/>
      <c r="J16" s="62"/>
    </row>
    <row r="17" spans="1:10" ht="30" customHeight="1" x14ac:dyDescent="0.3">
      <c r="A17" s="11"/>
      <c r="B17" s="53" t="s">
        <v>190</v>
      </c>
      <c r="C17" s="54"/>
      <c r="D17" s="54"/>
      <c r="E17" s="33">
        <v>5</v>
      </c>
      <c r="F17" s="27">
        <v>3.75</v>
      </c>
      <c r="G17" s="31">
        <f t="shared" si="0"/>
        <v>0.75</v>
      </c>
      <c r="H17" s="32" t="str">
        <f t="shared" si="1"/>
        <v>جيد</v>
      </c>
      <c r="I17" s="61"/>
      <c r="J17" s="62"/>
    </row>
    <row r="18" spans="1:10" ht="39.9" customHeight="1" x14ac:dyDescent="0.3">
      <c r="A18" s="11"/>
      <c r="B18" s="53" t="s">
        <v>191</v>
      </c>
      <c r="C18" s="54"/>
      <c r="D18" s="54"/>
      <c r="E18" s="33">
        <v>5</v>
      </c>
      <c r="F18" s="27">
        <v>3.75</v>
      </c>
      <c r="G18" s="31">
        <f t="shared" si="0"/>
        <v>0.75</v>
      </c>
      <c r="H18" s="32" t="str">
        <f t="shared" si="1"/>
        <v>جيد</v>
      </c>
      <c r="I18" s="61"/>
      <c r="J18" s="62"/>
    </row>
    <row r="19" spans="1:10" ht="30" customHeight="1" x14ac:dyDescent="0.3">
      <c r="A19" s="11"/>
      <c r="B19" s="53" t="s">
        <v>192</v>
      </c>
      <c r="C19" s="54"/>
      <c r="D19" s="54"/>
      <c r="E19" s="33">
        <v>5</v>
      </c>
      <c r="F19" s="27">
        <v>3.75</v>
      </c>
      <c r="G19" s="31">
        <f t="shared" si="0"/>
        <v>0.75</v>
      </c>
      <c r="H19" s="32" t="str">
        <f t="shared" si="1"/>
        <v>جيد</v>
      </c>
      <c r="I19" s="61"/>
      <c r="J19" s="62"/>
    </row>
    <row r="20" spans="1:10" ht="30" customHeight="1" thickBot="1" x14ac:dyDescent="0.35">
      <c r="A20" s="11"/>
      <c r="B20" s="57" t="s">
        <v>193</v>
      </c>
      <c r="C20" s="58"/>
      <c r="D20" s="58"/>
      <c r="E20" s="38">
        <v>5</v>
      </c>
      <c r="F20" s="29">
        <v>3.75</v>
      </c>
      <c r="G20" s="39">
        <f t="shared" si="0"/>
        <v>0.75</v>
      </c>
      <c r="H20" s="40" t="str">
        <f t="shared" si="1"/>
        <v>جيد</v>
      </c>
      <c r="I20" s="63"/>
      <c r="J20" s="64"/>
    </row>
    <row r="21" spans="1:10" ht="30" customHeight="1" x14ac:dyDescent="0.3">
      <c r="A21" s="11"/>
      <c r="B21" s="51" t="s">
        <v>194</v>
      </c>
      <c r="C21" s="52"/>
      <c r="D21" s="52"/>
      <c r="E21" s="34"/>
      <c r="F21" s="35"/>
      <c r="G21" s="36"/>
      <c r="H21" s="37"/>
      <c r="I21" s="65"/>
      <c r="J21" s="66"/>
    </row>
    <row r="22" spans="1:10" ht="39.9" customHeight="1" x14ac:dyDescent="0.3">
      <c r="A22" s="11"/>
      <c r="B22" s="53" t="s">
        <v>195</v>
      </c>
      <c r="C22" s="54"/>
      <c r="D22" s="54"/>
      <c r="E22" s="33">
        <v>5</v>
      </c>
      <c r="F22" s="27">
        <v>3.75</v>
      </c>
      <c r="G22" s="31">
        <f t="shared" si="0"/>
        <v>0.75</v>
      </c>
      <c r="H22" s="32" t="str">
        <f t="shared" si="1"/>
        <v>جيد</v>
      </c>
      <c r="I22" s="61"/>
      <c r="J22" s="62"/>
    </row>
    <row r="23" spans="1:10" ht="30" customHeight="1" x14ac:dyDescent="0.3">
      <c r="A23" s="11"/>
      <c r="B23" s="53" t="s">
        <v>196</v>
      </c>
      <c r="C23" s="54"/>
      <c r="D23" s="54"/>
      <c r="E23" s="33">
        <v>5</v>
      </c>
      <c r="F23" s="27">
        <v>3.75</v>
      </c>
      <c r="G23" s="31">
        <f t="shared" si="0"/>
        <v>0.75</v>
      </c>
      <c r="H23" s="32" t="str">
        <f t="shared" si="1"/>
        <v>جيد</v>
      </c>
      <c r="I23" s="61"/>
      <c r="J23" s="62"/>
    </row>
    <row r="24" spans="1:10" ht="30" customHeight="1" thickBot="1" x14ac:dyDescent="0.35">
      <c r="A24" s="11"/>
      <c r="B24" s="57" t="s">
        <v>197</v>
      </c>
      <c r="C24" s="58"/>
      <c r="D24" s="58"/>
      <c r="E24" s="38">
        <v>5</v>
      </c>
      <c r="F24" s="29">
        <v>3.75</v>
      </c>
      <c r="G24" s="39">
        <f t="shared" si="0"/>
        <v>0.75</v>
      </c>
      <c r="H24" s="40" t="str">
        <f t="shared" si="1"/>
        <v>جيد</v>
      </c>
      <c r="I24" s="63"/>
      <c r="J24" s="64"/>
    </row>
    <row r="25" spans="1:10" ht="30" customHeight="1" x14ac:dyDescent="0.3">
      <c r="A25" s="11"/>
      <c r="B25" s="59" t="s">
        <v>198</v>
      </c>
      <c r="C25" s="60"/>
      <c r="D25" s="60"/>
      <c r="E25" s="34"/>
      <c r="F25" s="35"/>
      <c r="G25" s="36"/>
      <c r="H25" s="37"/>
      <c r="I25" s="65"/>
      <c r="J25" s="66"/>
    </row>
    <row r="26" spans="1:10" ht="30" customHeight="1" x14ac:dyDescent="0.3">
      <c r="A26" s="11"/>
      <c r="B26" s="53" t="s">
        <v>199</v>
      </c>
      <c r="C26" s="54"/>
      <c r="D26" s="54"/>
      <c r="E26" s="9">
        <v>5</v>
      </c>
      <c r="F26" s="27">
        <v>3.75</v>
      </c>
      <c r="G26" s="31">
        <f t="shared" si="0"/>
        <v>0.75</v>
      </c>
      <c r="H26" s="32" t="str">
        <f t="shared" si="1"/>
        <v>جيد</v>
      </c>
      <c r="I26" s="61"/>
      <c r="J26" s="62"/>
    </row>
    <row r="27" spans="1:10" ht="30" customHeight="1" x14ac:dyDescent="0.3">
      <c r="A27" s="11"/>
      <c r="B27" s="53" t="s">
        <v>200</v>
      </c>
      <c r="C27" s="54"/>
      <c r="D27" s="54"/>
      <c r="E27" s="9">
        <v>5</v>
      </c>
      <c r="F27" s="27">
        <v>3.75</v>
      </c>
      <c r="G27" s="31">
        <f t="shared" si="0"/>
        <v>0.75</v>
      </c>
      <c r="H27" s="32" t="str">
        <f t="shared" si="1"/>
        <v>جيد</v>
      </c>
      <c r="I27" s="61"/>
      <c r="J27" s="62"/>
    </row>
    <row r="28" spans="1:10" ht="39.9" customHeight="1" x14ac:dyDescent="0.3">
      <c r="A28" s="11"/>
      <c r="B28" s="53" t="s">
        <v>201</v>
      </c>
      <c r="C28" s="54"/>
      <c r="D28" s="54"/>
      <c r="E28" s="9">
        <v>5</v>
      </c>
      <c r="F28" s="27">
        <v>3.75</v>
      </c>
      <c r="G28" s="31">
        <f t="shared" si="0"/>
        <v>0.75</v>
      </c>
      <c r="H28" s="32" t="str">
        <f t="shared" si="1"/>
        <v>جيد</v>
      </c>
      <c r="I28" s="61"/>
      <c r="J28" s="62"/>
    </row>
    <row r="29" spans="1:10" ht="30" customHeight="1" thickBot="1" x14ac:dyDescent="0.35">
      <c r="A29" s="11"/>
      <c r="B29" s="57" t="s">
        <v>202</v>
      </c>
      <c r="C29" s="58"/>
      <c r="D29" s="58"/>
      <c r="E29" s="41">
        <v>5</v>
      </c>
      <c r="F29" s="29">
        <v>3.75</v>
      </c>
      <c r="G29" s="39">
        <f t="shared" si="0"/>
        <v>0.75</v>
      </c>
      <c r="H29" s="40" t="str">
        <f t="shared" si="1"/>
        <v>جيد</v>
      </c>
      <c r="I29" s="63"/>
      <c r="J29" s="64"/>
    </row>
    <row r="30" spans="1:10" ht="30" customHeight="1" x14ac:dyDescent="0.3">
      <c r="A30" s="11"/>
      <c r="B30" s="51" t="s">
        <v>203</v>
      </c>
      <c r="C30" s="52"/>
      <c r="D30" s="52"/>
      <c r="E30" s="34"/>
      <c r="F30" s="35"/>
      <c r="G30" s="36"/>
      <c r="H30" s="37"/>
      <c r="I30" s="65"/>
      <c r="J30" s="66"/>
    </row>
    <row r="31" spans="1:10" ht="30" customHeight="1" x14ac:dyDescent="0.3">
      <c r="A31" s="11"/>
      <c r="B31" s="53" t="s">
        <v>204</v>
      </c>
      <c r="C31" s="54"/>
      <c r="D31" s="54"/>
      <c r="E31" s="33">
        <v>5</v>
      </c>
      <c r="F31" s="27">
        <v>3.75</v>
      </c>
      <c r="G31" s="31">
        <f t="shared" si="0"/>
        <v>0.75</v>
      </c>
      <c r="H31" s="32" t="str">
        <f t="shared" si="1"/>
        <v>جيد</v>
      </c>
      <c r="I31" s="61"/>
      <c r="J31" s="62"/>
    </row>
    <row r="32" spans="1:10" ht="39.9" customHeight="1" x14ac:dyDescent="0.3">
      <c r="A32" s="11"/>
      <c r="B32" s="53" t="s">
        <v>205</v>
      </c>
      <c r="C32" s="54"/>
      <c r="D32" s="54"/>
      <c r="E32" s="33">
        <v>5</v>
      </c>
      <c r="F32" s="27">
        <v>3.75</v>
      </c>
      <c r="G32" s="31">
        <f t="shared" si="0"/>
        <v>0.75</v>
      </c>
      <c r="H32" s="32" t="str">
        <f t="shared" si="1"/>
        <v>جيد</v>
      </c>
      <c r="I32" s="61"/>
      <c r="J32" s="62"/>
    </row>
    <row r="33" spans="1:10" ht="30" customHeight="1" x14ac:dyDescent="0.3">
      <c r="A33" s="11"/>
      <c r="B33" s="53" t="s">
        <v>206</v>
      </c>
      <c r="C33" s="54"/>
      <c r="D33" s="54"/>
      <c r="E33" s="33">
        <v>5</v>
      </c>
      <c r="F33" s="27">
        <v>3.75</v>
      </c>
      <c r="G33" s="31">
        <f t="shared" si="0"/>
        <v>0.75</v>
      </c>
      <c r="H33" s="32" t="str">
        <f t="shared" si="1"/>
        <v>جيد</v>
      </c>
      <c r="I33" s="61"/>
      <c r="J33" s="62"/>
    </row>
    <row r="34" spans="1:10" ht="30" customHeight="1" x14ac:dyDescent="0.3">
      <c r="A34" s="11"/>
      <c r="B34" s="53" t="s">
        <v>207</v>
      </c>
      <c r="C34" s="54"/>
      <c r="D34" s="54"/>
      <c r="E34" s="33">
        <v>5</v>
      </c>
      <c r="F34" s="27">
        <v>3.75</v>
      </c>
      <c r="G34" s="31">
        <f t="shared" si="0"/>
        <v>0.75</v>
      </c>
      <c r="H34" s="32" t="str">
        <f t="shared" si="1"/>
        <v>جيد</v>
      </c>
      <c r="I34" s="61"/>
      <c r="J34" s="62"/>
    </row>
    <row r="35" spans="1:10" ht="30" customHeight="1" x14ac:dyDescent="0.3">
      <c r="A35" s="11"/>
      <c r="B35" s="53" t="s">
        <v>208</v>
      </c>
      <c r="C35" s="54"/>
      <c r="D35" s="54"/>
      <c r="E35" s="33">
        <v>5</v>
      </c>
      <c r="F35" s="27">
        <v>3.75</v>
      </c>
      <c r="G35" s="31">
        <f t="shared" si="0"/>
        <v>0.75</v>
      </c>
      <c r="H35" s="32" t="str">
        <f t="shared" si="1"/>
        <v>جيد</v>
      </c>
      <c r="I35" s="61"/>
      <c r="J35" s="62"/>
    </row>
    <row r="36" spans="1:10" ht="30" customHeight="1" thickBot="1" x14ac:dyDescent="0.35">
      <c r="A36" s="11"/>
      <c r="B36" s="57" t="s">
        <v>209</v>
      </c>
      <c r="C36" s="58"/>
      <c r="D36" s="58"/>
      <c r="E36" s="38">
        <v>5</v>
      </c>
      <c r="F36" s="29">
        <v>3.75</v>
      </c>
      <c r="G36" s="39">
        <f t="shared" si="0"/>
        <v>0.75</v>
      </c>
      <c r="H36" s="40" t="str">
        <f t="shared" si="1"/>
        <v>جيد</v>
      </c>
      <c r="I36" s="63"/>
      <c r="J36" s="64"/>
    </row>
    <row r="37" spans="1:10" ht="30" customHeight="1" thickBot="1" x14ac:dyDescent="0.35">
      <c r="A37" s="11"/>
      <c r="B37" s="49" t="s">
        <v>210</v>
      </c>
      <c r="C37" s="50"/>
      <c r="D37" s="50"/>
      <c r="E37" s="42">
        <v>6</v>
      </c>
      <c r="F37" s="43">
        <v>4.75</v>
      </c>
      <c r="G37" s="44">
        <f t="shared" si="0"/>
        <v>0.79166666666666663</v>
      </c>
      <c r="H37" s="28" t="str">
        <f t="shared" si="1"/>
        <v>جيد</v>
      </c>
      <c r="I37" s="77"/>
      <c r="J37" s="78"/>
    </row>
    <row r="38" spans="1:10" ht="30" customHeight="1" x14ac:dyDescent="0.3">
      <c r="A38" s="11"/>
      <c r="B38" s="51" t="s">
        <v>211</v>
      </c>
      <c r="C38" s="52"/>
      <c r="D38" s="52"/>
      <c r="E38" s="34"/>
      <c r="F38" s="35"/>
      <c r="G38" s="36"/>
      <c r="H38" s="37"/>
      <c r="I38" s="65"/>
      <c r="J38" s="66"/>
    </row>
    <row r="39" spans="1:10" ht="30" customHeight="1" x14ac:dyDescent="0.3">
      <c r="A39" s="11"/>
      <c r="B39" s="53" t="s">
        <v>212</v>
      </c>
      <c r="C39" s="54"/>
      <c r="D39" s="54"/>
      <c r="E39" s="33">
        <v>5</v>
      </c>
      <c r="F39" s="27">
        <v>3.75</v>
      </c>
      <c r="G39" s="31">
        <f t="shared" si="0"/>
        <v>0.75</v>
      </c>
      <c r="H39" s="32" t="str">
        <f t="shared" si="1"/>
        <v>جيد</v>
      </c>
      <c r="I39" s="61"/>
      <c r="J39" s="62"/>
    </row>
    <row r="40" spans="1:10" ht="30" customHeight="1" x14ac:dyDescent="0.3">
      <c r="A40" s="11"/>
      <c r="B40" s="53" t="s">
        <v>213</v>
      </c>
      <c r="C40" s="54"/>
      <c r="D40" s="54"/>
      <c r="E40" s="33">
        <v>5</v>
      </c>
      <c r="F40" s="27">
        <v>3.75</v>
      </c>
      <c r="G40" s="31">
        <f t="shared" si="0"/>
        <v>0.75</v>
      </c>
      <c r="H40" s="32" t="str">
        <f t="shared" si="1"/>
        <v>جيد</v>
      </c>
      <c r="I40" s="61"/>
      <c r="J40" s="62"/>
    </row>
    <row r="41" spans="1:10" ht="30" customHeight="1" x14ac:dyDescent="0.3">
      <c r="A41" s="11"/>
      <c r="B41" s="53" t="s">
        <v>214</v>
      </c>
      <c r="C41" s="54"/>
      <c r="D41" s="54"/>
      <c r="E41" s="33">
        <v>5</v>
      </c>
      <c r="F41" s="27">
        <v>3.75</v>
      </c>
      <c r="G41" s="31">
        <f t="shared" si="0"/>
        <v>0.75</v>
      </c>
      <c r="H41" s="32" t="str">
        <f t="shared" si="1"/>
        <v>جيد</v>
      </c>
      <c r="I41" s="61"/>
      <c r="J41" s="62"/>
    </row>
    <row r="42" spans="1:10" ht="30" customHeight="1" x14ac:dyDescent="0.3">
      <c r="A42" s="11"/>
      <c r="B42" s="53" t="s">
        <v>215</v>
      </c>
      <c r="C42" s="54"/>
      <c r="D42" s="54"/>
      <c r="E42" s="33">
        <v>5</v>
      </c>
      <c r="F42" s="27">
        <v>3.75</v>
      </c>
      <c r="G42" s="31">
        <f t="shared" si="0"/>
        <v>0.75</v>
      </c>
      <c r="H42" s="32" t="str">
        <f t="shared" si="1"/>
        <v>جيد</v>
      </c>
      <c r="I42" s="61"/>
      <c r="J42" s="62"/>
    </row>
    <row r="43" spans="1:10" ht="30" customHeight="1" x14ac:dyDescent="0.3">
      <c r="A43" s="11"/>
      <c r="B43" s="53" t="s">
        <v>216</v>
      </c>
      <c r="C43" s="54"/>
      <c r="D43" s="54"/>
      <c r="E43" s="33">
        <v>5</v>
      </c>
      <c r="F43" s="27">
        <v>3.75</v>
      </c>
      <c r="G43" s="31">
        <f t="shared" si="0"/>
        <v>0.75</v>
      </c>
      <c r="H43" s="32" t="str">
        <f t="shared" si="1"/>
        <v>جيد</v>
      </c>
      <c r="I43" s="61"/>
      <c r="J43" s="62"/>
    </row>
    <row r="44" spans="1:10" ht="30" customHeight="1" x14ac:dyDescent="0.3">
      <c r="A44" s="11"/>
      <c r="B44" s="53" t="s">
        <v>217</v>
      </c>
      <c r="C44" s="54"/>
      <c r="D44" s="54"/>
      <c r="E44" s="33">
        <v>5</v>
      </c>
      <c r="F44" s="27">
        <v>3.75</v>
      </c>
      <c r="G44" s="31">
        <f t="shared" si="0"/>
        <v>0.75</v>
      </c>
      <c r="H44" s="32" t="str">
        <f t="shared" si="1"/>
        <v>جيد</v>
      </c>
      <c r="I44" s="61"/>
      <c r="J44" s="62"/>
    </row>
    <row r="45" spans="1:10" ht="30" customHeight="1" x14ac:dyDescent="0.3">
      <c r="A45" s="11"/>
      <c r="B45" s="53" t="s">
        <v>218</v>
      </c>
      <c r="C45" s="54"/>
      <c r="D45" s="54"/>
      <c r="E45" s="33">
        <v>5</v>
      </c>
      <c r="F45" s="27">
        <v>3.75</v>
      </c>
      <c r="G45" s="31">
        <f t="shared" si="0"/>
        <v>0.75</v>
      </c>
      <c r="H45" s="32" t="str">
        <f t="shared" si="1"/>
        <v>جيد</v>
      </c>
      <c r="I45" s="61"/>
      <c r="J45" s="62"/>
    </row>
    <row r="46" spans="1:10" ht="30" customHeight="1" thickBot="1" x14ac:dyDescent="0.35">
      <c r="A46" s="11"/>
      <c r="B46" s="57" t="s">
        <v>219</v>
      </c>
      <c r="C46" s="58"/>
      <c r="D46" s="58"/>
      <c r="E46" s="38">
        <v>5</v>
      </c>
      <c r="F46" s="29">
        <v>3.75</v>
      </c>
      <c r="G46" s="39">
        <f t="shared" si="0"/>
        <v>0.75</v>
      </c>
      <c r="H46" s="40" t="str">
        <f t="shared" si="1"/>
        <v>جيد</v>
      </c>
      <c r="I46" s="63"/>
      <c r="J46" s="64"/>
    </row>
    <row r="47" spans="1:10" ht="30" customHeight="1" thickBot="1" x14ac:dyDescent="0.35">
      <c r="A47" s="11"/>
      <c r="B47" s="49" t="s">
        <v>220</v>
      </c>
      <c r="C47" s="50"/>
      <c r="D47" s="50"/>
      <c r="E47" s="10">
        <v>6</v>
      </c>
      <c r="F47" s="43">
        <v>4.75</v>
      </c>
      <c r="G47" s="44">
        <f t="shared" si="0"/>
        <v>0.79166666666666663</v>
      </c>
      <c r="H47" s="28" t="str">
        <f t="shared" si="1"/>
        <v>جيد</v>
      </c>
      <c r="I47" s="77"/>
      <c r="J47" s="78"/>
    </row>
    <row r="48" spans="1:10" ht="30" customHeight="1" x14ac:dyDescent="0.3">
      <c r="A48" s="11"/>
      <c r="B48" s="51" t="s">
        <v>221</v>
      </c>
      <c r="C48" s="52"/>
      <c r="D48" s="52"/>
      <c r="E48" s="34"/>
      <c r="F48" s="35"/>
      <c r="G48" s="36"/>
      <c r="H48" s="37"/>
      <c r="I48" s="65"/>
      <c r="J48" s="66"/>
    </row>
    <row r="49" spans="1:10" ht="30" customHeight="1" x14ac:dyDescent="0.3">
      <c r="A49" s="11"/>
      <c r="B49" s="53" t="s">
        <v>222</v>
      </c>
      <c r="C49" s="54"/>
      <c r="D49" s="54"/>
      <c r="E49" s="33">
        <v>5</v>
      </c>
      <c r="F49" s="27">
        <v>3.75</v>
      </c>
      <c r="G49" s="31">
        <f t="shared" si="0"/>
        <v>0.75</v>
      </c>
      <c r="H49" s="32" t="str">
        <f t="shared" si="1"/>
        <v>جيد</v>
      </c>
      <c r="I49" s="61"/>
      <c r="J49" s="62"/>
    </row>
    <row r="50" spans="1:10" ht="30" customHeight="1" x14ac:dyDescent="0.3">
      <c r="A50" s="11"/>
      <c r="B50" s="53" t="s">
        <v>223</v>
      </c>
      <c r="C50" s="54"/>
      <c r="D50" s="54"/>
      <c r="E50" s="33">
        <v>5</v>
      </c>
      <c r="F50" s="27">
        <v>3.75</v>
      </c>
      <c r="G50" s="31">
        <f t="shared" si="0"/>
        <v>0.75</v>
      </c>
      <c r="H50" s="32" t="str">
        <f t="shared" si="1"/>
        <v>جيد</v>
      </c>
      <c r="I50" s="61"/>
      <c r="J50" s="62"/>
    </row>
    <row r="51" spans="1:10" ht="39.9" customHeight="1" x14ac:dyDescent="0.3">
      <c r="A51" s="11"/>
      <c r="B51" s="53" t="s">
        <v>224</v>
      </c>
      <c r="C51" s="54"/>
      <c r="D51" s="54"/>
      <c r="E51" s="33">
        <v>5</v>
      </c>
      <c r="F51" s="27">
        <v>3.75</v>
      </c>
      <c r="G51" s="31">
        <f t="shared" si="0"/>
        <v>0.75</v>
      </c>
      <c r="H51" s="32" t="str">
        <f t="shared" si="1"/>
        <v>جيد</v>
      </c>
      <c r="I51" s="61"/>
      <c r="J51" s="62"/>
    </row>
    <row r="52" spans="1:10" ht="30" customHeight="1" thickBot="1" x14ac:dyDescent="0.35">
      <c r="A52" s="11"/>
      <c r="B52" s="57" t="s">
        <v>225</v>
      </c>
      <c r="C52" s="58"/>
      <c r="D52" s="58"/>
      <c r="E52" s="38">
        <v>5</v>
      </c>
      <c r="F52" s="29">
        <v>3.75</v>
      </c>
      <c r="G52" s="39">
        <f t="shared" si="0"/>
        <v>0.75</v>
      </c>
      <c r="H52" s="40" t="str">
        <f t="shared" si="1"/>
        <v>جيد</v>
      </c>
      <c r="I52" s="63"/>
      <c r="J52" s="64"/>
    </row>
    <row r="53" spans="1:10" ht="30" customHeight="1" thickBot="1" x14ac:dyDescent="0.35">
      <c r="A53" s="11"/>
      <c r="B53" s="55" t="s">
        <v>226</v>
      </c>
      <c r="C53" s="56"/>
      <c r="D53" s="56"/>
      <c r="E53" s="45">
        <v>8</v>
      </c>
      <c r="F53" s="46">
        <v>6.25</v>
      </c>
      <c r="G53" s="47">
        <f t="shared" si="0"/>
        <v>0.78125</v>
      </c>
      <c r="H53" s="48" t="str">
        <f t="shared" si="1"/>
        <v>جيد</v>
      </c>
      <c r="I53" s="75"/>
      <c r="J53" s="76"/>
    </row>
    <row r="54" spans="1:10" ht="30" customHeight="1" thickBot="1" x14ac:dyDescent="0.35">
      <c r="A54" s="4"/>
      <c r="B54" s="67" t="s">
        <v>5</v>
      </c>
      <c r="C54" s="68"/>
      <c r="D54" s="68"/>
      <c r="E54" s="10">
        <f>SUM(E8:E53)</f>
        <v>200</v>
      </c>
      <c r="F54" s="10">
        <f>SUM(F8:F53)</f>
        <v>150.75</v>
      </c>
      <c r="G54" s="81"/>
      <c r="H54" s="82"/>
      <c r="I54" s="82"/>
      <c r="J54" s="83"/>
    </row>
    <row r="55" spans="1:10" ht="30" customHeight="1" thickBot="1" x14ac:dyDescent="0.35">
      <c r="A55" s="4"/>
      <c r="B55" s="67" t="s">
        <v>54</v>
      </c>
      <c r="C55" s="68"/>
      <c r="D55" s="68"/>
      <c r="E55" s="91">
        <f>F54/E54/100*100</f>
        <v>0.75375000000000003</v>
      </c>
      <c r="F55" s="91"/>
      <c r="G55" s="91"/>
      <c r="H55" s="91"/>
      <c r="I55" s="91"/>
      <c r="J55" s="92"/>
    </row>
    <row r="56" spans="1:10" ht="30" customHeight="1" thickBot="1" x14ac:dyDescent="0.35">
      <c r="A56" s="4"/>
      <c r="B56" s="67" t="s">
        <v>55</v>
      </c>
      <c r="C56" s="68"/>
      <c r="D56" s="68"/>
      <c r="E56" s="73" t="str">
        <f>_xlfn.IFS(E55&gt;=90%,"ممتاز",E55&gt;=80%,"جيد جداً",E55&gt;=70%,"جيد",E55&gt;=60%,"مقبول",E55&lt;60%,"راسب")</f>
        <v>جيد</v>
      </c>
      <c r="F56" s="73"/>
      <c r="G56" s="73"/>
      <c r="H56" s="73"/>
      <c r="I56" s="73"/>
      <c r="J56" s="74"/>
    </row>
    <row r="57" spans="1:10" ht="42" customHeight="1" x14ac:dyDescent="0.3">
      <c r="B57" s="69" t="s">
        <v>174</v>
      </c>
      <c r="C57" s="69"/>
      <c r="D57" s="69"/>
      <c r="E57" s="79" t="s">
        <v>52</v>
      </c>
      <c r="F57" s="79"/>
      <c r="G57" s="71" t="s">
        <v>113</v>
      </c>
      <c r="H57" s="71"/>
      <c r="I57" s="71"/>
      <c r="J57" s="71"/>
    </row>
    <row r="58" spans="1:10" ht="51" customHeight="1" x14ac:dyDescent="0.3">
      <c r="A58" s="5"/>
      <c r="B58" s="70"/>
      <c r="C58" s="70"/>
      <c r="D58" s="70"/>
      <c r="E58" s="80" t="s">
        <v>53</v>
      </c>
      <c r="F58" s="80"/>
      <c r="G58" s="72"/>
      <c r="H58" s="72"/>
      <c r="I58" s="72"/>
      <c r="J58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3">
    <mergeCell ref="B1:J1"/>
    <mergeCell ref="F2:J2"/>
    <mergeCell ref="B5:D6"/>
    <mergeCell ref="C2:D2"/>
    <mergeCell ref="C3:D3"/>
    <mergeCell ref="F3:J3"/>
    <mergeCell ref="E55:J55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7:D58"/>
    <mergeCell ref="G57:J57"/>
    <mergeCell ref="G58:J58"/>
    <mergeCell ref="E56:J56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45:J45"/>
    <mergeCell ref="I46:J46"/>
    <mergeCell ref="I47:J47"/>
    <mergeCell ref="I48:J48"/>
    <mergeCell ref="E57:F57"/>
    <mergeCell ref="E58:F58"/>
    <mergeCell ref="G54:J54"/>
    <mergeCell ref="I32:J32"/>
    <mergeCell ref="I33:J33"/>
    <mergeCell ref="I34:J34"/>
    <mergeCell ref="I35:J35"/>
    <mergeCell ref="I36:J36"/>
    <mergeCell ref="I8:J8"/>
    <mergeCell ref="B54:D54"/>
    <mergeCell ref="B55:D55"/>
    <mergeCell ref="B56:D5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6">
    <cfRule type="expression" dxfId="14" priority="57">
      <formula>$E56="راسب"</formula>
    </cfRule>
  </conditionalFormatting>
  <conditionalFormatting sqref="E56:J56">
    <cfRule type="expression" dxfId="13" priority="58">
      <formula>$E56="مقبول"</formula>
    </cfRule>
    <cfRule type="expression" dxfId="12" priority="59">
      <formula>$E56="جيد"</formula>
    </cfRule>
    <cfRule type="expression" dxfId="11" priority="60">
      <formula>$E56="جيد جداً"</formula>
    </cfRule>
    <cfRule type="expression" dxfId="10" priority="61">
      <formula>$E56="ممتاز"</formula>
    </cfRule>
  </conditionalFormatting>
  <conditionalFormatting sqref="F8:F5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7:J57">
    <cfRule type="containsText" dxfId="6" priority="15" operator="containsText" text="أدخل اسم المحكم">
      <formula>NOT(ISERROR(SEARCH("أدخل اسم المحكم",G57)))</formula>
    </cfRule>
  </conditionalFormatting>
  <conditionalFormatting sqref="H8:H5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F39:F46 F31:F36 F9:F14 F26:F29 F22:F24 F16:F20 F49:F52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G57:J57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EFB19641-D72A-4A88-BBC2-E2982F6F76AA}">
          <x14:formula1>
            <xm:f>'بيانات التقييم'!$A$111:$A$137</xm:f>
          </x14:formula1>
          <xm:sqref>F37 F47</xm:sqref>
        </x14:dataValidation>
        <x14:dataValidation type="list" allowBlank="1" showInputMessage="1" showErrorMessage="1" xr:uid="{1C7BBE43-439A-45F4-A22C-DDE4AAE33B7C}">
          <x14:formula1>
            <xm:f>'بيانات التقييم'!$A$111:$A$145</xm:f>
          </x14:formula1>
          <xm:sqref>F53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9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2025-10-07T17:04:25Z</dcterms:modified>
</cp:coreProperties>
</file>