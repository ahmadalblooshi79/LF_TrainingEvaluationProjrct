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95267ABB-0BFA-43A6-9F2F-07186F3448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F17" i="2"/>
  <c r="E17" i="2"/>
  <c r="E18" i="2"/>
  <c r="E19" i="2"/>
</calcChain>
</file>

<file path=xl/sharedStrings.xml><?xml version="1.0" encoding="utf-8"?>
<sst xmlns="http://schemas.openxmlformats.org/spreadsheetml/2006/main" count="247" uniqueCount="191">
  <si>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</si>
  <si>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</si>
  <si>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</si>
  <si>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</si>
  <si>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</si>
  <si>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</si>
  <si>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</si>
  <si>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</si>
  <si>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</si>
  <si>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</si>
  <si>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</si>
  <si>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</si>
  <si>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</si>
  <si>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</si>
  <si>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</si>
  <si>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</si>
  <si>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</si>
  <si>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</si>
  <si>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</si>
  <si>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</si>
  <si>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</si>
  <si>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</si>
  <si>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</si>
  <si>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</si>
  <si>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</si>
  <si>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</si>
  <si>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</si>
  <si>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</si>
  <si>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</si>
  <si>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</si>
  <si>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</si>
  <si>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</si>
  <si>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</si>
  <si>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</si>
  <si>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</si>
  <si>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</si>
  <si>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</si>
  <si>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</si>
  <si>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</si>
  <si>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</si>
  <si>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</si>
  <si>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</si>
  <si>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</si>
  <si>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</si>
  <si>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</si>
  <si>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</si>
  <si>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</si>
  <si>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</si>
  <si>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</si>
  <si>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</si>
  <si>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</si>
  <si>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</si>
  <si>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</si>
  <si>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</si>
  <si>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</si>
  <si>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</si>
  <si>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</si>
  <si>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</si>
  <si>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</si>
  <si>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</si>
  <si>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</si>
  <si>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</si>
  <si>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</si>
  <si>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</si>
  <si>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</si>
  <si>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</si>
  <si>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</si>
  <si>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</si>
  <si>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</si>
  <si>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</si>
  <si>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</si>
  <si>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</si>
  <si>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</si>
  <si>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</si>
  <si>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</si>
  <si>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</si>
  <si>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</si>
  <si>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</si>
  <si>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</si>
  <si>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</si>
  <si>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</si>
  <si>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</si>
  <si>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</si>
  <si>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</si>
  <si>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</si>
  <si>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</si>
  <si>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</si>
  <si>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</si>
  <si>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</si>
  <si>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</si>
  <si>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</si>
  <si>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</si>
  <si>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</si>
  <si>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</si>
  <si>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</si>
  <si>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</si>
  <si>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</si>
  <si>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</si>
  <si>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</si>
  <si>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</si>
  <si>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</si>
  <si>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</si>
  <si>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</si>
  <si>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</si>
  <si>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</si>
  <si>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</si>
  <si>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</si>
  <si>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</si>
  <si>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</si>
  <si>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</si>
  <si>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</si>
  <si>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</si>
  <si>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</si>
  <si>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</si>
  <si>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</si>
  <si>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</si>
  <si>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</si>
  <si>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</si>
  <si>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</si>
  <si>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</si>
  <si>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</si>
  <si>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</si>
  <si>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</si>
  <si>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</si>
  <si>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</si>
  <si>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</si>
  <si>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</si>
  <si>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</si>
  <si>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</si>
  <si>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</si>
  <si>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</si>
  <si>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</si>
  <si>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</si>
  <si>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</si>
  <si>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</si>
  <si>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</si>
  <si>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</si>
  <si>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</si>
  <si>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</si>
  <si>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</si>
  <si>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</si>
  <si>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</si>
  <si>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</si>
  <si>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</si>
  <si>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</si>
  <si>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</si>
  <si>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</si>
  <si>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</si>
  <si>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</si>
  <si>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</si>
  <si>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</si>
  <si>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</si>
  <si>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</si>
  <si>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</si>
  <si>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</si>
  <si>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</si>
  <si>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</si>
  <si>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</si>
  <si>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</si>
  <si>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</si>
  <si>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</si>
  <si>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</si>
  <si>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</si>
  <si>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</si>
  <si>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</si>
  <si>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</si>
  <si>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</si>
  <si>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</si>
  <si>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</si>
  <si>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</si>
  <si>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</si>
  <si>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</si>
  <si>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</si>
  <si>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</si>
  <si>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</si>
  <si>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</si>
  <si>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</si>
  <si>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</si>
  <si>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</si>
  <si>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</si>
  <si>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خطة الانتشار</t>
    </r>
    <r>
      <rPr>
        <b/>
        <sz val="12"/>
        <color theme="1"/>
        <rFont val="Arial"/>
        <family val="2"/>
      </rPr>
      <t xml:space="preserve">. </t>
    </r>
    <r>
      <rPr>
        <sz val="12"/>
        <color rgb="FF000000"/>
        <rFont val="Arial"/>
        <family val="2"/>
      </rPr>
      <t>يتم التأكد من التالي: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</si>
  <si>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الخطة واعتمادها.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</si>
  <si>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التقيد بالإطار العام.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</si>
  <si>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التقيد بواجبات الأركان الصغرى في إعداد الخطة.</t>
    </r>
  </si>
  <si>
    <t>4.    التقيد بالتدريب على تنفيذ الخطة ومدى واقعيتها للتطبيق (التدريب على مهام العمليات).</t>
  </si>
  <si>
    <t>5.    مدى إلمام المرتب بالخطة ومتطلباتها والواجبات المحددة لكل منهم.</t>
  </si>
  <si>
    <t>6.    مدى توفر المهمات والمعدات المطلوبة لتنفيذ الخطة (آليات، معدات، إلخ...).</t>
  </si>
  <si>
    <t>7.     التأكد من التنسيق مع المعنيين لتنفيذ الخطة.</t>
  </si>
  <si>
    <t>8.     مدى تنفيذ المستوى الخاضع للتقييم لجميع الإجراءات المطلوبة منهم في تطبيق الخطة حسب المعاضل التي تفرض من قبل فريق التقييم.</t>
  </si>
  <si>
    <r>
      <rPr>
        <b/>
        <sz val="14"/>
        <color rgb="FF000000"/>
        <rFont val="Arial"/>
        <family val="2"/>
      </rPr>
      <t>تقييم خطة انتشار السرية الطبية في تمرين الجاهزية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</si>
  <si>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رائد طبيب/ علي النقبي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</si>
</sst>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2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432434</xdr:colOff>
      <xdr:row>20</xdr:row>
      <xdr:rowOff>116428</xdr:rowOff>
    </xdr:from>
    <xdr:to>
      <xdr:col>9</xdr:col>
      <xdr:colOff>502994</xdr:colOff>
      <xdr:row>20</xdr:row>
      <xdr:rowOff>429628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F336A9C-FFE0-9B16-55B0-F1725B322832}"/>
                </a:ext>
              </a:extLst>
            </xdr14:cNvPr>
            <xdr14:cNvContentPartPr/>
          </xdr14:nvContentPartPr>
          <xdr14:nvPr macro=""/>
          <xdr14:xfrm>
            <a:off x="10398083825" y="9029520"/>
            <a:ext cx="70560" cy="3132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F336A9C-FFE0-9B16-55B0-F1725B322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077705" y="9023400"/>
              <a:ext cx="82800" cy="32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577164</xdr:colOff>
      <xdr:row>20</xdr:row>
      <xdr:rowOff>58828</xdr:rowOff>
    </xdr:from>
    <xdr:to>
      <xdr:col>9</xdr:col>
      <xdr:colOff>560234</xdr:colOff>
      <xdr:row>20</xdr:row>
      <xdr:rowOff>411268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B26DD87-62F5-7C60-A974-B26B02D05968}"/>
                </a:ext>
              </a:extLst>
            </xdr14:cNvPr>
            <xdr14:cNvContentPartPr/>
          </xdr14:nvContentPartPr>
          <xdr14:nvPr macro=""/>
          <xdr14:xfrm>
            <a:off x="10398026585" y="8971920"/>
            <a:ext cx="641160" cy="3524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B26DD87-62F5-7C60-A974-B26B02D0596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020465" y="8965800"/>
              <a:ext cx="653400" cy="36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357204</xdr:colOff>
      <xdr:row>20</xdr:row>
      <xdr:rowOff>53068</xdr:rowOff>
    </xdr:from>
    <xdr:to>
      <xdr:col>8</xdr:col>
      <xdr:colOff>468444</xdr:colOff>
      <xdr:row>20</xdr:row>
      <xdr:rowOff>368068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832E6959-EEFF-AE44-6176-195BCA09A741}"/>
                </a:ext>
              </a:extLst>
            </xdr14:cNvPr>
            <xdr14:cNvContentPartPr/>
          </xdr14:nvContentPartPr>
          <xdr14:nvPr macro=""/>
          <xdr14:xfrm>
            <a:off x="10398776465" y="8966160"/>
            <a:ext cx="111240" cy="3150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832E6959-EEFF-AE44-6176-195BCA09A74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770345" y="8960040"/>
              <a:ext cx="123480" cy="32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381335</xdr:colOff>
      <xdr:row>20</xdr:row>
      <xdr:rowOff>6628</xdr:rowOff>
    </xdr:from>
    <xdr:to>
      <xdr:col>9</xdr:col>
      <xdr:colOff>646634</xdr:colOff>
      <xdr:row>20</xdr:row>
      <xdr:rowOff>393628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F3170430-2038-8265-14BE-78FB62DE2873}"/>
                </a:ext>
              </a:extLst>
            </xdr14:cNvPr>
            <xdr14:cNvContentPartPr/>
          </xdr14:nvContentPartPr>
          <xdr14:nvPr macro=""/>
          <xdr14:xfrm>
            <a:off x="10397940185" y="8919720"/>
            <a:ext cx="1581480" cy="3870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F3170430-2038-8265-14BE-78FB62DE287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7934065" y="8913600"/>
              <a:ext cx="1593720" cy="399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6T21:11:42.3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1,'0'0,"0"0,0 0,0 0,0 0,0 0,0 0,0 0,0 0,0 0,0 0,0 0,0 0,0 0,0 0,0 0,0 0,0 0,0 0,0 0,0 16,0 0,0-14,16 12,-16 18,0-27,0 22,17 5,-14-27,-6 38,18 21,-13-53,13 10,-15 27,0-40,16 32,-16 8,0-40,15 49,2-9,-15-41,12 34,1-9,-13-27,-4 38,19-11,-15-27,-4 22,19 5,-15-27,-4 22,16 5,-12-26,-4 4,2 6,0-13,0-6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6T21:11:43.5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1 369,'0'0,"0"0,0 0,0 0,0 0,0 0,0 0,0 0,0 0,0 0,0 0,0 0,0 0,0 0,0 0,14-16,2 0,-13 13,24-10,6-19,-31 27,73-38,2-5,-65 40,70-33,11-7,-79 41,51-18,12-7,-65 27,70-22,-19 27,-54 0,29 0,8 16,-39-13,0 26,26 3,-31-27,26 22,-12 22,-14-42,10 34,4 39,-13-68,-22 56,19 12,0-68,-14 56,-19-4,29-53,-5 59,-24-6,28-54,-37 44,12-22,25-27,-20 38,-8-27,30-13,-40 26,11 3,29-27,-24 6,-5-11,29 0,-41 0,14 0,25 0,-20-16,-8 0,31 14,-26-12,11-2,17 14,-13-28,13-2,0 27,0-22,13-21,-10 40,11-16,16-24,-24 40,51-32,20-9,-65 42,70-34,-3 9,-67 27,69-22,-4-5,-65 27,69-6,-18 11,-53 0,41 16,-19 16,-29-27,25 22,2 5,-25-27,23 38,2 6,-23-42,3 50,3-9,-10-41,11 18,2 7,-14-27,10 22,-12-11,0-14,17 12,-17 2,0-13,0-22,0 11,-17-16,17-8,0 27,0-22,-14-5,13 27,2-38,-1-5,0 40,0-16,0-9,0 28,0-22,14-5,-11 27,-6-6,20-5,-15 14,12-12,0 14,-11 0,27 0,-16 0,-12 0,12 16,17 0,-27-13,8 10,4 19,-13-27,25 6,-13 21,-12-26,25 21,-11 5,-15-27,9 6,22 21,-29-27,6 6,7 5,-16-14,14 12,-15-14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6T21:11:44.0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0,'0'0,"0"0,0 0,0 0,0 0,0 0,0 0,0 0,0 0,0 0,0 0,0 0,0 0,0 0,0 0,0 0,0 0,0 0,0 0,0 0,17 16,-17 16,0-27,17 6,-3 37,-12-40,30 49,-1 23,-26-69,21 90,8-5,-32-81,27 50,-12 15,-15-68,27 41,-12 11,-15-55,10 30,5-7,-14-27,-6 6,3-3,0 0,0 0,0-16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6T21:11:45.7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2566 1,'0'0,"0"0,0 0,0 0,0 0,0 0,0 0,0 0,0 0,0 0,0 0,16 16,-1 0,-13-14,11 28,4 2,-14-27,25 54,19 21,-40-67,33 71,23 44,-54-108,29 56,9 20,-40-81,33 66,7 0,-40-69,16 40,8-4,-24-40,2 16,7-24,-13 0,9 0,-12-16,0 13,0 6</inkml:trace>
  <inkml:trace contextRef="#ctx0" brushRef="#br0" timeOffset="1">2519 738,'0'0,"0"0,0 0,0 0,0 0,0 0,0 0,0 0,16 0,-2 0,-4-8,-3 0,24-8,-13 16,-4 0,17-16,-12 8,-8 0,36-24,-21 24,-5 0,12-8,-16 8,-3 0,16-8,-12 8,-3 0,15-8,-11 16,-7 0,21 0,-17 9,-2-2,17 9,-22-7,-2-2,24 9,-12 1,-6-2,2 1,-6-7,-2-2,10 9,-10-7,0-2,9-7,-9 0,3 0,4 0,-5-8,-2 0,10 8,-10-8,-1 0,11-24,-10 24,3 0,3-24,-3 15,-3 2,9-17,-16 23,0 2,14-9,-14 7,0 2,17-25,-11 23,4 2,2 19,-10-8,31-4,-26 8,1 0,24 24,-6-15,-5-2,10 17,-12-15,-8-2,36 17,-28-15,-5-2,17 17,-13-15,-6-2,21 1,-19-7,2-2,14-7,-13 0,0 0,13 0,-14-8,-1 0,32-8,-30 0,-2 0,16 0,-5 8,-5 0,9-24,-13 15,0 2,13-1,-23 8,3 0,20-24,-23 24,2 0,5-8,-14 7,0 2,0-9,0 7,0 2,-14-9,5 7,2 2,-23-9,3 16,7 0,-27 0,14 0,2 0,-32 0,4 8,10 0,-78 24,45-15,9-2,-115 33,78-22,16-4,-141 42,128-30,10-4,-138 35,118-31,16-4,-117 18,101-14,13-4,-114 2,102-15,14-2,-103 1,116 1,7-2,-75-15,91 0,7 0,-51 16,51-16,8 0,-43 0,35 0,10 0,-31 0,40 0,3 0,-40 0,43 0,4 0,-17 0,31-9,1 2,15 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topLeftCell="A15" zoomScale="130" zoomScaleNormal="100" zoomScaleSheetLayoutView="130" workbookViewId="0">
      <selection activeCell="D4" sqref="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8" t="s">
        <v>189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x14ac:dyDescent="0.3">
      <c r="B2" s="11" t="s">
        <v>8</v>
      </c>
      <c r="C2" s="64" t="s">
        <v>31</v>
      </c>
      <c r="D2" s="64"/>
      <c r="E2" s="11" t="s">
        <v>7</v>
      </c>
      <c r="F2" s="59">
        <v>45929</v>
      </c>
      <c r="G2" s="59"/>
      <c r="H2" s="59"/>
      <c r="I2" s="59"/>
      <c r="J2" s="59"/>
    </row>
    <row r="3" spans="1:10" ht="30" customHeight="1" x14ac:dyDescent="0.3">
      <c r="B3" s="11" t="s">
        <v>9</v>
      </c>
      <c r="C3" s="64" t="s">
        <v>60</v>
      </c>
      <c r="D3" s="64"/>
      <c r="E3" s="11" t="s">
        <v>6</v>
      </c>
      <c r="F3" s="64" t="s">
        <v>138</v>
      </c>
      <c r="G3" s="64"/>
      <c r="H3" s="64"/>
      <c r="I3" s="64"/>
      <c r="J3" s="64"/>
    </row>
    <row r="4" spans="1:10" ht="30" customHeight="1" thickBot="1" x14ac:dyDescent="0.35">
      <c r="B4" s="6"/>
      <c r="C4" s="7"/>
      <c r="D4" s="7" t="s">
        <v>190</v>
      </c>
      <c r="E4" s="6"/>
      <c r="F4" s="7"/>
      <c r="G4" s="7"/>
      <c r="H4" s="8"/>
      <c r="I4" s="7"/>
      <c r="J4" s="7"/>
    </row>
    <row r="5" spans="1:10" ht="24.9" customHeight="1" x14ac:dyDescent="0.3">
      <c r="A5" s="9"/>
      <c r="B5" s="60" t="s">
        <v>0</v>
      </c>
      <c r="C5" s="61"/>
      <c r="D5" s="61"/>
      <c r="E5" s="67" t="s">
        <v>1</v>
      </c>
      <c r="F5" s="67"/>
      <c r="G5" s="67"/>
      <c r="H5" s="67"/>
      <c r="I5" s="67" t="s">
        <v>2</v>
      </c>
      <c r="J5" s="68"/>
    </row>
    <row r="6" spans="1:10" ht="24.9" customHeight="1" thickBot="1" x14ac:dyDescent="0.35">
      <c r="A6" s="9"/>
      <c r="B6" s="62"/>
      <c r="C6" s="63"/>
      <c r="D6" s="63"/>
      <c r="E6" s="10" t="s">
        <v>3</v>
      </c>
      <c r="F6" s="10" t="s">
        <v>4</v>
      </c>
      <c r="G6" s="10" t="s">
        <v>23</v>
      </c>
      <c r="H6" s="10" t="s">
        <v>24</v>
      </c>
      <c r="I6" s="69"/>
      <c r="J6" s="70"/>
    </row>
    <row r="7" spans="1:10" ht="24.9" customHeight="1" thickBot="1" x14ac:dyDescent="0.35">
      <c r="A7" s="9"/>
      <c r="B7" s="65" t="s">
        <v>21</v>
      </c>
      <c r="C7" s="66"/>
      <c r="D7" s="66"/>
      <c r="E7" s="28" t="s">
        <v>18</v>
      </c>
      <c r="F7" s="28" t="s">
        <v>19</v>
      </c>
      <c r="G7" s="28" t="s">
        <v>22</v>
      </c>
      <c r="H7" s="28" t="s">
        <v>20</v>
      </c>
      <c r="I7" s="71" t="s">
        <v>25</v>
      </c>
      <c r="J7" s="72"/>
    </row>
    <row r="8" spans="1:10" ht="39.9" customHeight="1" x14ac:dyDescent="0.3">
      <c r="A8" s="9"/>
      <c r="B8" s="75" t="s">
        <v>180</v>
      </c>
      <c r="C8" s="76"/>
      <c r="D8" s="76"/>
      <c r="E8" s="32"/>
      <c r="F8" s="33"/>
      <c r="G8" s="34"/>
      <c r="H8" s="35"/>
      <c r="I8" s="73"/>
      <c r="J8" s="74"/>
    </row>
    <row r="9" spans="1:10" ht="39.9" customHeight="1" x14ac:dyDescent="0.3">
      <c r="A9" s="9"/>
      <c r="B9" s="77" t="s">
        <v>181</v>
      </c>
      <c r="C9" s="77"/>
      <c r="D9" s="77"/>
      <c r="E9" s="27">
        <v>10</v>
      </c>
      <c r="F9" s="25">
        <v>7.75</v>
      </c>
      <c r="G9" s="30">
        <f>IFERROR(F9/E9,"")</f>
        <v>0.77500000000000002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5"/>
    </row>
    <row r="10" spans="1:10" ht="39.9" customHeight="1" x14ac:dyDescent="0.3">
      <c r="A10" s="9"/>
      <c r="B10" s="77" t="s">
        <v>182</v>
      </c>
      <c r="C10" s="77"/>
      <c r="D10" s="77"/>
      <c r="E10" s="27">
        <v>5</v>
      </c>
      <c r="F10" s="25">
        <v>3.75</v>
      </c>
      <c r="G10" s="30">
        <f t="shared" ref="G10:G16" si="0">IFERROR(F10/E10,"")</f>
        <v>0.75</v>
      </c>
      <c r="H10" s="31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</v>
      </c>
      <c r="I10" s="44"/>
      <c r="J10" s="45"/>
    </row>
    <row r="11" spans="1:10" ht="39.9" customHeight="1" x14ac:dyDescent="0.3">
      <c r="A11" s="9"/>
      <c r="B11" s="77" t="s">
        <v>183</v>
      </c>
      <c r="C11" s="77"/>
      <c r="D11" s="77"/>
      <c r="E11" s="27">
        <v>5</v>
      </c>
      <c r="F11" s="25">
        <v>3.5</v>
      </c>
      <c r="G11" s="30">
        <f t="shared" si="0"/>
        <v>0.7</v>
      </c>
      <c r="H11" s="31" t="str">
        <f t="shared" si="1"/>
        <v>جيد</v>
      </c>
      <c r="I11" s="44"/>
      <c r="J11" s="45"/>
    </row>
    <row r="12" spans="1:10" ht="39.9" customHeight="1" x14ac:dyDescent="0.3">
      <c r="A12" s="9"/>
      <c r="B12" s="77" t="s">
        <v>184</v>
      </c>
      <c r="C12" s="77"/>
      <c r="D12" s="77"/>
      <c r="E12" s="27">
        <v>10</v>
      </c>
      <c r="F12" s="25">
        <v>7.75</v>
      </c>
      <c r="G12" s="30">
        <f t="shared" si="0"/>
        <v>0.77500000000000002</v>
      </c>
      <c r="H12" s="31" t="str">
        <f t="shared" si="1"/>
        <v>جيد</v>
      </c>
      <c r="I12" s="44"/>
      <c r="J12" s="45"/>
    </row>
    <row r="13" spans="1:10" ht="39.9" customHeight="1" x14ac:dyDescent="0.3">
      <c r="A13" s="9"/>
      <c r="B13" s="77" t="s">
        <v>185</v>
      </c>
      <c r="C13" s="77"/>
      <c r="D13" s="77"/>
      <c r="E13" s="27">
        <v>10</v>
      </c>
      <c r="F13" s="25">
        <v>7.75</v>
      </c>
      <c r="G13" s="30">
        <f t="shared" si="0"/>
        <v>0.77500000000000002</v>
      </c>
      <c r="H13" s="31" t="str">
        <f t="shared" si="1"/>
        <v>جيد</v>
      </c>
      <c r="I13" s="44"/>
      <c r="J13" s="45"/>
    </row>
    <row r="14" spans="1:10" ht="39.9" customHeight="1" x14ac:dyDescent="0.3">
      <c r="A14" s="9"/>
      <c r="B14" s="77" t="s">
        <v>186</v>
      </c>
      <c r="C14" s="77"/>
      <c r="D14" s="77"/>
      <c r="E14" s="27">
        <v>10</v>
      </c>
      <c r="F14" s="25">
        <v>7.5</v>
      </c>
      <c r="G14" s="30">
        <f t="shared" si="0"/>
        <v>0.75</v>
      </c>
      <c r="H14" s="31" t="str">
        <f t="shared" si="1"/>
        <v>جيد</v>
      </c>
      <c r="I14" s="44"/>
      <c r="J14" s="45"/>
    </row>
    <row r="15" spans="1:10" ht="39.9" customHeight="1" x14ac:dyDescent="0.3">
      <c r="A15" s="9"/>
      <c r="B15" s="77" t="s">
        <v>187</v>
      </c>
      <c r="C15" s="77"/>
      <c r="D15" s="77"/>
      <c r="E15" s="27">
        <v>5</v>
      </c>
      <c r="F15" s="25">
        <v>3.75</v>
      </c>
      <c r="G15" s="30">
        <f t="shared" si="0"/>
        <v>0.75</v>
      </c>
      <c r="H15" s="31" t="str">
        <f t="shared" si="1"/>
        <v>جيد</v>
      </c>
      <c r="I15" s="44"/>
      <c r="J15" s="45"/>
    </row>
    <row r="16" spans="1:10" ht="39.9" customHeight="1" thickBot="1" x14ac:dyDescent="0.35">
      <c r="A16" s="9"/>
      <c r="B16" s="80" t="s">
        <v>188</v>
      </c>
      <c r="C16" s="80"/>
      <c r="D16" s="80"/>
      <c r="E16" s="36">
        <v>5</v>
      </c>
      <c r="F16" s="26">
        <v>3.5</v>
      </c>
      <c r="G16" s="37">
        <f t="shared" si="0"/>
        <v>0.7</v>
      </c>
      <c r="H16" s="38" t="str">
        <f t="shared" si="1"/>
        <v>جيد</v>
      </c>
      <c r="I16" s="78"/>
      <c r="J16" s="79"/>
    </row>
    <row r="17" spans="1:10" ht="30" customHeight="1" thickBot="1" x14ac:dyDescent="0.35">
      <c r="A17" s="4"/>
      <c r="B17" s="54" t="s">
        <v>5</v>
      </c>
      <c r="C17" s="55"/>
      <c r="D17" s="55"/>
      <c r="E17" s="29">
        <f>SUM(E8:E16)</f>
        <v>60</v>
      </c>
      <c r="F17" s="29">
        <f>SUM(F8:F16)</f>
        <v>45.25</v>
      </c>
      <c r="G17" s="41"/>
      <c r="H17" s="42"/>
      <c r="I17" s="42"/>
      <c r="J17" s="43"/>
    </row>
    <row r="18" spans="1:10" ht="30" customHeight="1" thickBot="1" x14ac:dyDescent="0.35">
      <c r="A18" s="4"/>
      <c r="B18" s="56" t="s">
        <v>54</v>
      </c>
      <c r="C18" s="57"/>
      <c r="D18" s="57"/>
      <c r="E18" s="52">
        <f>F17/E17/100*100</f>
        <v>0.75416666666666665</v>
      </c>
      <c r="F18" s="52"/>
      <c r="G18" s="52"/>
      <c r="H18" s="52"/>
      <c r="I18" s="52"/>
      <c r="J18" s="53"/>
    </row>
    <row r="19" spans="1:10" ht="30" customHeight="1" thickBot="1" x14ac:dyDescent="0.35">
      <c r="A19" s="4"/>
      <c r="B19" s="56" t="s">
        <v>55</v>
      </c>
      <c r="C19" s="57"/>
      <c r="D19" s="57"/>
      <c r="E19" s="50" t="str">
        <f>_xlfn.IFS(E18&gt;=90%,"ممتاز",E18&gt;=80%,"جيد جداً",E18&gt;=70%,"جيد",E18&gt;=60%,"مقبول",E18&lt;60%,"راسب")</f>
        <v>جيد</v>
      </c>
      <c r="F19" s="50"/>
      <c r="G19" s="50"/>
      <c r="H19" s="50"/>
      <c r="I19" s="50"/>
      <c r="J19" s="51"/>
    </row>
    <row r="20" spans="1:10" ht="42" customHeight="1" x14ac:dyDescent="0.3">
      <c r="B20" s="46" t="s">
        <v>174</v>
      </c>
      <c r="C20" s="46"/>
      <c r="D20" s="46"/>
      <c r="E20" s="39" t="s">
        <v>52</v>
      </c>
      <c r="F20" s="39"/>
      <c r="G20" s="48" t="s">
        <v>138</v>
      </c>
      <c r="H20" s="48"/>
      <c r="I20" s="48"/>
      <c r="J20" s="48"/>
    </row>
    <row r="21" spans="1:10" ht="51" customHeight="1" x14ac:dyDescent="0.3">
      <c r="A21" s="5"/>
      <c r="B21" s="47"/>
      <c r="C21" s="47"/>
      <c r="D21" s="47"/>
      <c r="E21" s="40" t="s">
        <v>53</v>
      </c>
      <c r="F21" s="40"/>
      <c r="G21" s="49"/>
      <c r="H21" s="49"/>
      <c r="I21" s="49"/>
      <c r="J21" s="4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B11:D11"/>
    <mergeCell ref="B12:D12"/>
    <mergeCell ref="I15:J15"/>
    <mergeCell ref="I16:J16"/>
    <mergeCell ref="B13:D13"/>
    <mergeCell ref="B14:D14"/>
    <mergeCell ref="B15:D15"/>
    <mergeCell ref="B16:D16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:J1"/>
    <mergeCell ref="F2:J2"/>
    <mergeCell ref="B5:D6"/>
    <mergeCell ref="C2:D2"/>
    <mergeCell ref="C3:D3"/>
    <mergeCell ref="F3:J3"/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60">
      <formula>$E19="جيد جداً"</formula>
    </cfRule>
    <cfRule type="expression" dxfId="12" priority="59">
      <formula>$E19="جيد"</formula>
    </cfRule>
    <cfRule type="expression" dxfId="11" priority="58">
      <formula>$E19="مقبول"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F15:F16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49BEA5CD-5EB3-4C04-AE61-4302BF6F32EF}">
          <x14:formula1>
            <xm:f>'بيانات التقييم'!$A$111:$A$153</xm:f>
          </x14:formula1>
          <xm:sqref>F9 F12:F14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9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A87E-9C8D-4B0D-AFB8-14AD0F6D6F80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قائمة التقييم</vt:lpstr>
      <vt:lpstr>بيانات التقييم</vt:lpstr>
      <vt:lpstr>مسودة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2025-10-07T15:41:43Z</dcterms:modified>
</cp:coreProperties>
</file>