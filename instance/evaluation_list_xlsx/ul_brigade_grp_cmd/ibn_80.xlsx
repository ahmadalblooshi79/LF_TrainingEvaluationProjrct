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A56A91A-C0BE-9447-B808-3301CB3732E1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<sst xmlns="http://schemas.openxmlformats.org/spreadsheetml/2006/main" count="263" uniqueCount="207">
  <si>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</si>
  <si>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</si>
  <si>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</si>
  <si>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</si>
  <si>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</si>
  <si>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</si>
  <si>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</si>
  <si>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</si>
  <si>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</si>
  <si>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</si>
  <si>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</si>
  <si>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</si>
  <si>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</si>
  <si>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</si>
  <si>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</si>
  <si>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</si>
  <si>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</si>
  <si>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</si>
  <si>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</si>
  <si>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</si>
  <si>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</si>
  <si>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</si>
  <si>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</si>
  <si>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</si>
  <si>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</si>
  <si>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</si>
  <si>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</si>
  <si>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</si>
  <si>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</si>
  <si>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</si>
  <si>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</si>
  <si>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</si>
  <si>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</si>
  <si>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</si>
  <si>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</si>
  <si>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</si>
  <si>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</si>
  <si>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</si>
  <si>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</si>
  <si>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</si>
  <si>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</si>
  <si>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</si>
  <si>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</si>
  <si>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</si>
  <si>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</si>
  <si>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</si>
  <si>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</si>
  <si>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</si>
  <si>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</si>
  <si>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</si>
  <si>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</si>
  <si>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</si>
  <si>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</si>
  <si>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</si>
  <si>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</si>
  <si>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</si>
  <si>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</si>
  <si>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</si>
  <si>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</si>
  <si>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</si>
  <si>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</si>
  <si>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</si>
  <si>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</si>
  <si>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</si>
  <si>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</si>
  <si>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</si>
  <si>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</si>
  <si>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</si>
  <si>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</si>
  <si>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</si>
  <si>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</si>
  <si>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</si>
  <si>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</si>
  <si>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</si>
  <si>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</si>
  <si>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</si>
  <si>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</si>
  <si>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</si>
  <si>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</si>
  <si>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</si>
  <si>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</si>
  <si>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</si>
  <si>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</si>
  <si>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</si>
  <si>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</si>
  <si>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</si>
  <si>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</si>
  <si>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</si>
  <si>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</si>
  <si>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</si>
  <si>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</si>
  <si>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</si>
  <si>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</si>
  <si>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</si>
  <si>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</si>
  <si>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</si>
  <si>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</si>
  <si>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</si>
  <si>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</si>
  <si>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</si>
  <si>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</si>
  <si>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</si>
  <si>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</si>
  <si>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</si>
  <si>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</si>
  <si>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</si>
  <si>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</si>
  <si>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</si>
  <si>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</si>
  <si>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</si>
  <si>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</si>
  <si>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</si>
  <si>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</si>
  <si>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</si>
  <si>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</si>
  <si>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</si>
  <si>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</si>
  <si>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</si>
  <si>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</si>
  <si>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</si>
  <si>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</si>
  <si>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</si>
  <si>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</si>
  <si>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</si>
  <si>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</si>
  <si>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</si>
  <si>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</si>
  <si>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</si>
  <si>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</si>
  <si>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</si>
  <si>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</si>
  <si>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</si>
  <si>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</si>
  <si>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</si>
  <si>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</si>
  <si>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</si>
  <si>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</si>
  <si>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</si>
  <si>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</si>
  <si>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</si>
  <si>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</si>
  <si>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</si>
  <si>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</si>
  <si>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</si>
  <si>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</si>
  <si>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</si>
  <si>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</si>
  <si>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</si>
  <si>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</si>
  <si>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</si>
  <si>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</si>
  <si>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</si>
  <si>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</si>
  <si>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</si>
  <si>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</si>
  <si>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</si>
  <si>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</si>
  <si>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</si>
  <si>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</si>
  <si>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</si>
  <si>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</si>
  <si>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</si>
  <si>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</si>
  <si>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</si>
  <si>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</si>
  <si>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</si>
  <si>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</si>
  <si>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</si>
  <si>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</si>
  <si>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</si>
  <si>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</si>
  <si>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</si>
  <si>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</si>
  <si>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</si>
  <si>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</si>
  <si>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</si>
  <si>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</si>
  <si>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</si>
  <si>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</si>
  <si>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</si>
  <si>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لوحدات المناورة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</si>
  <si>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</t>
    </r>
    <r>
      <rPr>
        <b/>
        <sz val="12"/>
        <color rgb="FF000000"/>
        <rFont val="Arial"/>
        <family val="2"/>
      </rPr>
      <t>، وتشمل:</t>
    </r>
  </si>
  <si>
    <t>أ.   أمر / برقية الحركة من المستوى الأعلـى.</t>
  </si>
  <si>
    <t>ب. وجود أمـر التنقل ودقة البيانات الواردة به.</t>
  </si>
  <si>
    <t>جـ. وجود جدول التنقل ودقة البيانات الواردة به.</t>
  </si>
  <si>
    <t>د.  وجود يومية التنقل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</si>
  <si>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</si>
  <si>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</si>
  <si>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</si>
  <si>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تعيين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</si>
  <si>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</si>
  <si>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، من حيـث:</t>
    </r>
  </si>
  <si>
    <t>أ.  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</si>
  <si>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/ جدول التحميل والركوب لكل آلية.</t>
  </si>
  <si>
    <t>جـ. مدى صلاحية وجاهزية الآليات من حيث (الوقود، المياه، الإطار الاحتياطي، شباك التمويه مع أعمدة التثبيت).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</si>
  <si>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حمولة آليات القافلة</t>
    </r>
    <r>
      <rPr>
        <b/>
        <sz val="12"/>
        <color theme="1"/>
        <rFont val="Arial"/>
        <family val="2"/>
      </rPr>
      <t>، من حيـث:</t>
    </r>
  </si>
  <si>
    <t>أ.   التأكد من عدم تحميل الآليات أكثر من حمولتها أو وضع حمولة غير مرتبة بحيث توحي بأنها محملة أكثر من حمولتها.</t>
  </si>
  <si>
    <t>ب. التأكد من تحميل ثلث ذخيرة الخط الأول لجميع الأصناف في صناديق (أثناء التنقل لتنفيذ التمارين الخارجية) مع وجود سند صرف لاستلام الذخائر.</t>
  </si>
  <si>
    <t>جـ.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</si>
  <si>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عند تحميل أي ذخيرة في القافلة</t>
    </r>
    <r>
      <rPr>
        <b/>
        <sz val="12"/>
        <color theme="1"/>
        <rFont val="Arial"/>
        <family val="2"/>
      </rPr>
      <t>، يتم توفير الآتي:</t>
    </r>
  </si>
  <si>
    <t>أ. سيارة إطفاء والتأكد من جاهزيتها وصلاحيتها وكفاءة طاقمها.</t>
  </si>
  <si>
    <t>ب.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</si>
  <si>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2"/>
        <color rgb="FF000000"/>
        <rFont val="Arial"/>
        <family val="2"/>
      </rPr>
      <t>الشؤون الإدارية.</t>
    </r>
  </si>
  <si>
    <t>أ.   توفر الإعاشة أثناء التنقـل.</t>
  </si>
  <si>
    <t>ب. سيارة إسعاف مع طبيب / ممرضة أو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</si>
  <si>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</si>
  <si>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 وجود آلية إنقاذ مركبات احتياط لآليات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</si>
</sst>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239138</xdr:colOff>
      <xdr:row>37</xdr:row>
      <xdr:rowOff>45868</xdr:rowOff>
    </xdr:from>
    <xdr:to>
      <xdr:col>9</xdr:col>
      <xdr:colOff>79828</xdr:colOff>
      <xdr:row>37</xdr:row>
      <xdr:rowOff>503428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5ED46BE-DF99-F141-457F-E15D9C4C9FC5}"/>
                </a:ext>
              </a:extLst>
            </xdr14:cNvPr>
            <xdr14:cNvContentPartPr/>
          </xdr14:nvContentPartPr>
          <xdr14:nvPr macro=""/>
          <xdr14:xfrm>
            <a:off x="10422968548" y="18051480"/>
            <a:ext cx="1803960" cy="4575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5ED46BE-DF99-F141-457F-E15D9C4C9F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2962428" y="18045360"/>
              <a:ext cx="1816200" cy="46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222995</xdr:colOff>
      <xdr:row>37</xdr:row>
      <xdr:rowOff>423868</xdr:rowOff>
    </xdr:from>
    <xdr:to>
      <xdr:col>7</xdr:col>
      <xdr:colOff>251075</xdr:colOff>
      <xdr:row>37</xdr:row>
      <xdr:rowOff>444028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C0DC10E-35B0-BEF1-8B95-0967B64931E7}"/>
                </a:ext>
              </a:extLst>
            </xdr14:cNvPr>
            <xdr14:cNvContentPartPr/>
          </xdr14:nvContentPartPr>
          <xdr14:nvPr macro=""/>
          <xdr14:xfrm>
            <a:off x="10424106148" y="18429480"/>
            <a:ext cx="28080" cy="201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C0DC10E-35B0-BEF1-8B95-0967B64931E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4100028" y="18423360"/>
              <a:ext cx="40320" cy="32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33:16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3977 1135 10650,'0'0'0,"-10"-5"1872,0-6-1176,-1 7-200,11 4-496,-3-9 409,-7 8-1,9-3-8,-3 0-40,1 0-24,-1 0-88,4 4-248,-4-5 208,2 2 0,0-7-48,-2 8 24,2-3-40,-1 0-40,3 5-104,-2-5 96,1-4-8,-2 6-8,2-2-64,0-4 16,0 5-40,1 4 8,0-5-40,0-5 40,0 6-40,0-7-32,0 8 40,3-9-16,-3 12 48,3-5-48,0-7 24,1 2-40,0 1 24,5 4-16,-5-9 24,-4 14 32,10-11-24,0 0-56,0 0 48,-1 0-48,3 1 24,0-2 8,-12 12 48,13-12-56,2 0 32,-1 0-16,0-1 56,2-1 0,0 1-48,-16 13 32,16-14-40,0 1 0,1-2 16,-2 0 16,1 0 24,1 0-24,-17 15 8,15-15 32,2 2-32,-1 0-8,-2 0 16,2 0-16,-1 1 16,-15 12-8,16-11 0,-2 0-8,-1 6-16,-1-8 24,-1 8 8,0-7 16,-11 12-24,3-5 24,11-5-16,-12 6 8,8-1 40,-10 1 0,2-1 24,-2 5-80,2-4 184,-2 1-64,0-1 32,0 3 8,0 0-104,0-1 16,0 2-72,-1-1 0,-1 0-104,-2-1-48,-7 0-8,7 1-48,-10 0 8,14 1 200,-13 0-144,-2 0 16,-3 0 88,-3 2-16,0 2 8,-3 6 40,24-10 8,-25 2-72,-2 2 72,0 7-8,-3-7-8,0 7 40,-4-8-24,34-3 0,-33 12 16,-2-8 24,0 8-16,-1-8 8,-1 9-16,0-4-64,37-9 48,-40 11-8,1 1-32,1 0 8,-2 0 56,0 0-24,1 1 8,39-13-8,-42 13 48,-1 3-56,0-2 8,-1 2 16,5-3 24,-2 0 0,41-13-40,-38 15 32,-2-3-32,2 1 16,1-1-8,1 0 16,1 0 8,-1 0-8,36-12-24,-35 12 24,2-3 8,-1 2-8,3 0-24,1-1 8,2-1 8,28-9-16,-27 4 16,1 10 0,-1-10 40,2 8-8,1-9-32,-1 8 24,25-11-40,-23 3 8,2 6-8,1-6 56,2 0-32,2 7 8,0-10 8,16 0-40,-14 3 16,2 1 24,0-1 16,1 0 0,6-1-8,-7-2 16,12 0-64,-3 3 48,-7-3 24,8 0 40,-2 0 16,3 0 8,0 0 8,1 0-144,-1 0 128,1 0-8,0-2-24,0 1-48,0 0-48,0 0-48,0 1 48,2-1-88,0-1 0,2 1 0,6-2 8,-8-1 0,9 1-16,-11 3 96,3-5-104,13 0 32,-6-6 8,5 8 16,1-7 24,0 6-8,-16 4 32,20-10-40,1 5 8,1-7 8,2 7-32,0-7 32,1 7 0,-25 5 24,25-12-40,0 7 40,0-5-40,0 0-16,3 5 48,0-7-8,-28 12 16,28-9-8,1 4 16,1-8-32,1 8-16,2-8 16,-1 2 0,-32 11 24,33-11-48,1 0 24,2 1 8,0-1-32,1 0 48,0-1 0,-37 12 0,37-12-24,0-1 56,2 1-8,2 0-56,-2 0 56,2 0-40,-41 12 16,40-12-16,-3-1 48,1 1-8,-2 1-16,2-1 16,-1 1-24,-37 11 0,38-12-48,-2 1 16,-2-1-24,0 2-56,-1-2 88,1 1-8,-34 11 32,35-12-48,-2 1 72,-2 0-56,-1 1 32,-1 0 8,0 0-32,-29 10 24,26-9 0,3 4-40,-4-7-32,-1 8 64,-2-6-24,-3 6 8,-19 4 24,19-10-8,-2 8-8,-2-2 32,0 0-32,-2-1 32,-2 0-8,-11 5-8,9-3-8,-5-1 8,8 2 16,-10 0 0,2 1 16,0 0 16,-4 1-48,2-1 0,0 0 40,1 1-8,-3 0 48,0 0 24,0 0-48,0 0-56,0 0 48,-2 0-32,1 0-16,-2 2 0,-1-2-8,-7 2-16,11-2 24,-4 3-24,-10-1 0,2 1-40,-2 0 8,-2 1-8,-2-1-16,18-3 80,-20 4-72,0-1 40,-2 7 0,-2-8 24,-2 2 24,-2 7-32,28-11 16,-27 2-40,-1 8 0,1-8-8,-2 8-8,-1-7 56,-1 1-8,31-4 8,-34 12 32,1-10-32,-3 8 16,1-6 16,-2 8-32,0-3-16,37-9 16,-40 10 24,-1 1-48,-1-1 16,-1 1 40,0 0-32,0 0 24,43-11-24,-46 12 8,-2 0-8,0 1 16,1 0-16,1-1 56,1 1-16,45-13-40,-46 12 112,0 1-32,2 1-56,0-1 56,-2 0-64,1 0 56,45-13-72,-48 14 48,1 0-32,1 0 8,2-1 0,-3 2 32,1-1-40,46-14-16,-48 14 40,0 1-16,2-2-24,1 1 48,0-1 0,1 1-8,44-14-40,-43 14 72,1-1-24,0 0-32,2 1 24,2-4 16,2 1-8,36-11-48,-35 10 40,2-1-16,0-5 0,2 9 0,2-9 0,3 8 8,26-12-32,-25 2 48,1 8 8,1-8 8,2 2-24,1 5 32,3-9 8,17 0-80,-15 4 48,2-2 16,3 1-40,7-1 0,-7-2 40,8 0-24,2 0-40,-1 0 48,-1 0-48,2 0-96,0 0-96,3 0 16,-3 0 176,3 0-240,7 0 80,-8-1 64,11 0 16,-2-2 48,4 0 8,-15 3 24,18-4-32,2 0 32,3-5-16,1 5 8,2-7 0,2 8-40,-28 3 48,30-12-32,1 7-16,2-7 32,2 3-24,2-2 16,3 1 8,-40 10 16,39-11-32,2-1-8,1 0-8,0 0-8,2 0 8,2-1 8,-46 13 40,45-12-40,2-1 8,2 0 8,2 0 8,0-2-24,3 0 24,-54 15 16,52-16 0,0 1 0,2-2 0,1-1 16,1 0-24,0 0 8,-56 18 0,57-19 24,1 0-16,-1 1 24,2-2-8,1 2 0,1-1-16,-61 19-8,59-18-8,0 1 8,-3 0-24,0-1 48,1 0-56,-3 1 40,-54 17-8,53-17 24,1 1-32,-1 1 48,0-1-40,-2 1 0,-1-1 0,-50 16 0,47-14 0,2-1 24,-3 2-24,0 0-8,-4 1 8,-2-1-40,-40 13 40,41-12 16,-1 0 16,-1-1-24,1 1 88,-2 0-80,0 0 0,-38 12-16,36-11 64,-1-1-24,0 1-8,-4 2 16,-1-1-48,-2 5-40,-28 5 40,24-13 24,-3 9-56,-2-6 40,-1 6-8,-1-1-24,-4 0 48,-13 5-24,11-4 40,-7 0 0,8 0 0,-10 1 16,0 0 48,-2 2 72,0 1-176,0-1 280,0 1 0,0 0-48,-1 0-96,-2 0-104,-7-1-64,10 1 32,-5 0-96,-10 0-56,-1 0-48,-2 0 24,-3 3 16,-5 1 16,26-4 144,-28 10-88,-4-8 0,-1 8 48,-3-7-24,-3 9 64,0-8 8,39-4-8,-43 13-32,-2-3 96,0-7-40,-2 12 24,-1-6 40,-1 2 8,49-11-96,-51 11 80,-5-1 16,0 1-40,-2 2-80,-5 1 32,-2 1-8,65-15 0,-67 16-40,-3 1 56,-2-1-32,-4 2 32,-3 2 160,-5 2 0,84-22-176,-87 24 168,0 0 96,5-1 0,3-3 16,2-2 65,-1-1-161,78-17-184,-80 18 88,1 1-56,-3 2-8,0 0-24,-2 0 64,-3 0-48,87-21-16,-88 22 8,0-1 8,-2 3-8,0-1-8,-1 0 64,-1-2-16,92-21-48,-91 22 64,1-2 8,1-1-8,3-1-8,3 0 0,0-2 16,83-16-72,-82 16 88,2-1 8,2-2-8,1 1 24,3-4-48,1 1-16,73-11-48,-73 10 56,2-7-8,1 9 0,2-9 8,2 0 72,3 1-32,63-4-96,-59 2 192,3-2-40,-1 0-48,2 0 40,2 0-64,4-2 72,49 2-152,-44-5 120,3-6 16,3 7-56,3-10-24,1 4 88,6-1 24,28 11-168,-27-13 256,4-2-24,2 1-40,2-2-104,3-1-16,3 1-48,13 16-24,-9-18 16,4-1-40,-5-3-72,9-2-64,1-1 0,0-2-40,0 27 200,4-28-120,10-1 16,-2-1-40,3-1-16,5 0-64,1-1-24,-21 32 248,23-29-232,5-3 8,0 1 0,4 1 64,1-1-56,-1 2 40,-32 29 176,35-27-176,2-1 24,3 1 0,3 0 56,0 2 32,0 1-8,-43 24 72,45-24-40,-2 3-32,1-1 96,3 2-32,1 0-8,2 4 40,-50 16-24,49-15-72,3 1 72,-1 2 16,2 1-48,0 6 24,-2-5-32,5 6 32,-56 4 8,53-4-40,3 2 40,-4 1-32,0 1-48,-1 2 8,0 2 24,-51-4 48,50 12-32,0-3-24,-1 3 56,1 2-72,-3 1 24,3 2-8,-50-17 56,48 18-73,-2 2 33,1 1-8,0 0 16,0 2 8,-1 0 24,-46-23 0,46 24 0,-3 1 24,0 1-16,-1 1-16,1-1 32,0 0-16,-43-26-8,42 28 16,-1-1-8,0 1-8,-2 1 24,1 0-8,-3-1 32,-37-28-48,36 29 33,-1 0-9,-2 0 48,0-1-24,0 2 16,0 0 24,-33-30-88,30 29 72,-2 0-16,1-3 48,-4-1-8,-1 0 48,-1-1 32,-23-24-176,21 26 136,1-2 0,-2-2-48,0 2-8,-1-2-24,-1-1-24,-18-21-32,17 22 32,-1 0 8,-1-2-24,0-2-8,0 1 8,-2-1-32,-13-18 16,13 17-8,-2 1-32,1-3-40,-2 1-56,0-2-88,1 0-184,-11-14 408,11 13-921,-2-1-919,1 0-1705,1-1-272,-2-8-3192,-9-3 7009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33:17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56 21252,'0'0'0,"-24"-16"8522,5 4-7794,-3-1-480,12 8-192,10 5-56,-1-3 112,0 1 8,1 1-88,0 0 80,0 0-144,0 0 16,0 1 16,0 0-48,0 0-24,0 0-40,0 0-72,0 0-64,0 0-168,0 0 1496,2 0-2760,1 0 688,-3 3-481,3 7-783,1-8-1177,6 9-2552,-10-11 5985,2 4-9322,-2-4 9322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C28" zoomScale="130" zoomScaleNormal="100" zoomScaleSheetLayoutView="130" workbookViewId="0">
      <selection activeCell="G38" sqref="G38:J3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9" t="s">
        <v>180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2">
      <c r="B2" s="13" t="s">
        <v>8</v>
      </c>
      <c r="C2" s="85" t="s">
        <v>35</v>
      </c>
      <c r="D2" s="85"/>
      <c r="E2" s="13" t="s">
        <v>7</v>
      </c>
      <c r="F2" s="80">
        <v>45931</v>
      </c>
      <c r="G2" s="80"/>
      <c r="H2" s="80"/>
      <c r="I2" s="80"/>
      <c r="J2" s="80"/>
    </row>
    <row r="3" spans="1:10" ht="30" customHeight="1" x14ac:dyDescent="0.2">
      <c r="B3" s="13" t="s">
        <v>9</v>
      </c>
      <c r="C3" s="85" t="s">
        <v>62</v>
      </c>
      <c r="D3" s="85"/>
      <c r="E3" s="13" t="s">
        <v>6</v>
      </c>
      <c r="F3" s="85" t="s">
        <v>93</v>
      </c>
      <c r="G3" s="85"/>
      <c r="H3" s="85"/>
      <c r="I3" s="85"/>
      <c r="J3" s="85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5" customHeight="1" thickBot="1" x14ac:dyDescent="0.2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5" customHeight="1" thickBot="1" x14ac:dyDescent="0.25">
      <c r="A7" s="11"/>
      <c r="B7" s="88" t="s">
        <v>21</v>
      </c>
      <c r="C7" s="89"/>
      <c r="D7" s="89"/>
      <c r="E7" s="36" t="s">
        <v>18</v>
      </c>
      <c r="F7" s="36" t="s">
        <v>19</v>
      </c>
      <c r="G7" s="36" t="s">
        <v>22</v>
      </c>
      <c r="H7" s="36" t="s">
        <v>20</v>
      </c>
      <c r="I7" s="99" t="s">
        <v>25</v>
      </c>
      <c r="J7" s="100"/>
    </row>
    <row r="8" spans="1:10" ht="39.950000000000003" customHeight="1" x14ac:dyDescent="0.2">
      <c r="A8" s="11"/>
      <c r="B8" s="57" t="s">
        <v>181</v>
      </c>
      <c r="C8" s="58"/>
      <c r="D8" s="58"/>
      <c r="E8" s="30"/>
      <c r="F8" s="40"/>
      <c r="G8" s="41"/>
      <c r="H8" s="42"/>
      <c r="I8" s="65"/>
      <c r="J8" s="66"/>
    </row>
    <row r="9" spans="1:10" ht="39.950000000000003" customHeight="1" x14ac:dyDescent="0.2">
      <c r="A9" s="11"/>
      <c r="B9" s="53" t="s">
        <v>182</v>
      </c>
      <c r="C9" s="54"/>
      <c r="D9" s="54"/>
      <c r="E9" s="31">
        <v>5</v>
      </c>
      <c r="F9" s="27">
        <v>4</v>
      </c>
      <c r="G9" s="38">
        <f>IFERROR(F9/E9,"")</f>
        <v>0.8</v>
      </c>
      <c r="H9" s="3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61"/>
      <c r="J9" s="62"/>
    </row>
    <row r="10" spans="1:10" ht="39.950000000000003" customHeight="1" x14ac:dyDescent="0.2">
      <c r="A10" s="11"/>
      <c r="B10" s="53" t="s">
        <v>183</v>
      </c>
      <c r="C10" s="54"/>
      <c r="D10" s="54"/>
      <c r="E10" s="31">
        <v>8</v>
      </c>
      <c r="F10" s="27">
        <v>6</v>
      </c>
      <c r="G10" s="38">
        <f t="shared" ref="G10:G33" si="0">IFERROR(F10/E10,"")</f>
        <v>0.75</v>
      </c>
      <c r="H10" s="3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61"/>
      <c r="J10" s="62"/>
    </row>
    <row r="11" spans="1:10" ht="39.950000000000003" customHeight="1" x14ac:dyDescent="0.2">
      <c r="A11" s="11"/>
      <c r="B11" s="53" t="s">
        <v>184</v>
      </c>
      <c r="C11" s="54"/>
      <c r="D11" s="54"/>
      <c r="E11" s="31">
        <v>5</v>
      </c>
      <c r="F11" s="27">
        <v>3.75</v>
      </c>
      <c r="G11" s="38">
        <f t="shared" si="0"/>
        <v>0.75</v>
      </c>
      <c r="H11" s="39" t="str">
        <f t="shared" si="1"/>
        <v>جيد</v>
      </c>
      <c r="I11" s="61"/>
      <c r="J11" s="62"/>
    </row>
    <row r="12" spans="1:10" ht="39.950000000000003" customHeight="1" thickBot="1" x14ac:dyDescent="0.25">
      <c r="A12" s="11"/>
      <c r="B12" s="55" t="s">
        <v>185</v>
      </c>
      <c r="C12" s="56"/>
      <c r="D12" s="56"/>
      <c r="E12" s="32">
        <v>5</v>
      </c>
      <c r="F12" s="29">
        <v>4</v>
      </c>
      <c r="G12" s="43">
        <f t="shared" si="0"/>
        <v>0.8</v>
      </c>
      <c r="H12" s="44" t="str">
        <f t="shared" si="1"/>
        <v>جيد جداً</v>
      </c>
      <c r="I12" s="63"/>
      <c r="J12" s="64"/>
    </row>
    <row r="13" spans="1:10" ht="39.950000000000003" customHeight="1" thickBot="1" x14ac:dyDescent="0.25">
      <c r="A13" s="11"/>
      <c r="B13" s="49" t="s">
        <v>186</v>
      </c>
      <c r="C13" s="50"/>
      <c r="D13" s="50"/>
      <c r="E13" s="33">
        <v>10</v>
      </c>
      <c r="F13" s="45">
        <v>7.75</v>
      </c>
      <c r="G13" s="46">
        <f t="shared" si="0"/>
        <v>0.77500000000000002</v>
      </c>
      <c r="H13" s="28" t="str">
        <f t="shared" si="1"/>
        <v>جيد</v>
      </c>
      <c r="I13" s="71"/>
      <c r="J13" s="72"/>
    </row>
    <row r="14" spans="1:10" ht="39.950000000000003" customHeight="1" thickBot="1" x14ac:dyDescent="0.25">
      <c r="A14" s="11"/>
      <c r="B14" s="49" t="s">
        <v>187</v>
      </c>
      <c r="C14" s="50"/>
      <c r="D14" s="50"/>
      <c r="E14" s="10">
        <v>10</v>
      </c>
      <c r="F14" s="45">
        <v>7.75</v>
      </c>
      <c r="G14" s="46">
        <f t="shared" si="0"/>
        <v>0.77500000000000002</v>
      </c>
      <c r="H14" s="28" t="str">
        <f t="shared" si="1"/>
        <v>جيد</v>
      </c>
      <c r="I14" s="71"/>
      <c r="J14" s="72"/>
    </row>
    <row r="15" spans="1:10" ht="57" customHeight="1" thickBot="1" x14ac:dyDescent="0.25">
      <c r="A15" s="11"/>
      <c r="B15" s="49" t="s">
        <v>188</v>
      </c>
      <c r="C15" s="50"/>
      <c r="D15" s="50"/>
      <c r="E15" s="10">
        <v>10</v>
      </c>
      <c r="F15" s="45">
        <v>7</v>
      </c>
      <c r="G15" s="46">
        <f t="shared" si="0"/>
        <v>0.7</v>
      </c>
      <c r="H15" s="28" t="str">
        <f t="shared" si="1"/>
        <v>جيد</v>
      </c>
      <c r="I15" s="71"/>
      <c r="J15" s="72"/>
    </row>
    <row r="16" spans="1:10" ht="39.950000000000003" customHeight="1" thickBot="1" x14ac:dyDescent="0.25">
      <c r="A16" s="11"/>
      <c r="B16" s="49" t="s">
        <v>189</v>
      </c>
      <c r="C16" s="50"/>
      <c r="D16" s="50"/>
      <c r="E16" s="10">
        <v>10</v>
      </c>
      <c r="F16" s="45">
        <v>7</v>
      </c>
      <c r="G16" s="46">
        <f t="shared" si="0"/>
        <v>0.7</v>
      </c>
      <c r="H16" s="28" t="str">
        <f t="shared" si="1"/>
        <v>جيد</v>
      </c>
      <c r="I16" s="71"/>
      <c r="J16" s="72"/>
    </row>
    <row r="17" spans="1:10" ht="39.950000000000003" customHeight="1" thickBot="1" x14ac:dyDescent="0.25">
      <c r="A17" s="11"/>
      <c r="B17" s="49" t="s">
        <v>190</v>
      </c>
      <c r="C17" s="50"/>
      <c r="D17" s="50"/>
      <c r="E17" s="10">
        <v>5</v>
      </c>
      <c r="F17" s="45">
        <v>3.75</v>
      </c>
      <c r="G17" s="46">
        <f t="shared" si="0"/>
        <v>0.75</v>
      </c>
      <c r="H17" s="28" t="str">
        <f t="shared" si="1"/>
        <v>جيد</v>
      </c>
      <c r="I17" s="71"/>
      <c r="J17" s="72"/>
    </row>
    <row r="18" spans="1:10" ht="39.950000000000003" customHeight="1" x14ac:dyDescent="0.2">
      <c r="A18" s="11"/>
      <c r="B18" s="51" t="s">
        <v>191</v>
      </c>
      <c r="C18" s="52"/>
      <c r="D18" s="52"/>
      <c r="E18" s="30"/>
      <c r="F18" s="40"/>
      <c r="G18" s="41"/>
      <c r="H18" s="42"/>
      <c r="I18" s="65"/>
      <c r="J18" s="66"/>
    </row>
    <row r="19" spans="1:10" ht="51" customHeight="1" x14ac:dyDescent="0.2">
      <c r="A19" s="11"/>
      <c r="B19" s="53" t="s">
        <v>192</v>
      </c>
      <c r="C19" s="54"/>
      <c r="D19" s="54"/>
      <c r="E19" s="9">
        <v>6</v>
      </c>
      <c r="F19" s="27">
        <v>4.25</v>
      </c>
      <c r="G19" s="38">
        <f t="shared" si="0"/>
        <v>0.70833333333333337</v>
      </c>
      <c r="H19" s="39" t="str">
        <f t="shared" si="1"/>
        <v>جيد</v>
      </c>
      <c r="I19" s="61"/>
      <c r="J19" s="62"/>
    </row>
    <row r="20" spans="1:10" ht="39.950000000000003" customHeight="1" x14ac:dyDescent="0.2">
      <c r="A20" s="11"/>
      <c r="B20" s="53" t="s">
        <v>193</v>
      </c>
      <c r="C20" s="54"/>
      <c r="D20" s="54"/>
      <c r="E20" s="9">
        <v>6</v>
      </c>
      <c r="F20" s="27">
        <v>4.25</v>
      </c>
      <c r="G20" s="38">
        <f t="shared" si="0"/>
        <v>0.70833333333333337</v>
      </c>
      <c r="H20" s="39" t="str">
        <f t="shared" si="1"/>
        <v>جيد</v>
      </c>
      <c r="I20" s="61"/>
      <c r="J20" s="62"/>
    </row>
    <row r="21" spans="1:10" ht="39.950000000000003" customHeight="1" thickBot="1" x14ac:dyDescent="0.25">
      <c r="A21" s="11"/>
      <c r="B21" s="55" t="s">
        <v>194</v>
      </c>
      <c r="C21" s="56"/>
      <c r="D21" s="56"/>
      <c r="E21" s="34">
        <v>6</v>
      </c>
      <c r="F21" s="29">
        <v>4.5</v>
      </c>
      <c r="G21" s="43">
        <f t="shared" si="0"/>
        <v>0.75</v>
      </c>
      <c r="H21" s="44" t="str">
        <f t="shared" si="1"/>
        <v>جيد</v>
      </c>
      <c r="I21" s="63"/>
      <c r="J21" s="64"/>
    </row>
    <row r="22" spans="1:10" ht="39.950000000000003" customHeight="1" x14ac:dyDescent="0.2">
      <c r="A22" s="11"/>
      <c r="B22" s="57" t="s">
        <v>195</v>
      </c>
      <c r="C22" s="58"/>
      <c r="D22" s="58"/>
      <c r="E22" s="35"/>
      <c r="F22" s="40"/>
      <c r="G22" s="41"/>
      <c r="H22" s="42"/>
      <c r="I22" s="65"/>
      <c r="J22" s="66"/>
    </row>
    <row r="23" spans="1:10" ht="39.950000000000003" customHeight="1" x14ac:dyDescent="0.2">
      <c r="A23" s="11"/>
      <c r="B23" s="53" t="s">
        <v>196</v>
      </c>
      <c r="C23" s="54"/>
      <c r="D23" s="54"/>
      <c r="E23" s="31">
        <v>6</v>
      </c>
      <c r="F23" s="27">
        <v>4.25</v>
      </c>
      <c r="G23" s="38">
        <f t="shared" si="0"/>
        <v>0.70833333333333337</v>
      </c>
      <c r="H23" s="39" t="str">
        <f t="shared" si="1"/>
        <v>جيد</v>
      </c>
      <c r="I23" s="61"/>
      <c r="J23" s="62"/>
    </row>
    <row r="24" spans="1:10" ht="51" customHeight="1" x14ac:dyDescent="0.2">
      <c r="A24" s="11"/>
      <c r="B24" s="53" t="s">
        <v>197</v>
      </c>
      <c r="C24" s="54"/>
      <c r="D24" s="54"/>
      <c r="E24" s="31">
        <v>10</v>
      </c>
      <c r="F24" s="27">
        <v>6</v>
      </c>
      <c r="G24" s="38">
        <f t="shared" si="0"/>
        <v>0.6</v>
      </c>
      <c r="H24" s="39" t="str">
        <f t="shared" si="1"/>
        <v>مقبول</v>
      </c>
      <c r="I24" s="61"/>
      <c r="J24" s="62"/>
    </row>
    <row r="25" spans="1:10" ht="39.950000000000003" customHeight="1" thickBot="1" x14ac:dyDescent="0.25">
      <c r="A25" s="11"/>
      <c r="B25" s="55" t="s">
        <v>198</v>
      </c>
      <c r="C25" s="56"/>
      <c r="D25" s="56"/>
      <c r="E25" s="32">
        <v>5</v>
      </c>
      <c r="F25" s="29">
        <v>3</v>
      </c>
      <c r="G25" s="43">
        <f t="shared" si="0"/>
        <v>0.6</v>
      </c>
      <c r="H25" s="44" t="str">
        <f t="shared" si="1"/>
        <v>مقبول</v>
      </c>
      <c r="I25" s="63"/>
      <c r="J25" s="64"/>
    </row>
    <row r="26" spans="1:10" ht="39.950000000000003" customHeight="1" x14ac:dyDescent="0.2">
      <c r="A26" s="11"/>
      <c r="B26" s="51" t="s">
        <v>199</v>
      </c>
      <c r="C26" s="52"/>
      <c r="D26" s="52"/>
      <c r="E26" s="30"/>
      <c r="F26" s="40"/>
      <c r="G26" s="41"/>
      <c r="H26" s="42"/>
      <c r="I26" s="65"/>
      <c r="J26" s="66"/>
    </row>
    <row r="27" spans="1:10" ht="39.950000000000003" customHeight="1" x14ac:dyDescent="0.2">
      <c r="A27" s="11"/>
      <c r="B27" s="53" t="s">
        <v>200</v>
      </c>
      <c r="C27" s="54"/>
      <c r="D27" s="54"/>
      <c r="E27" s="9">
        <v>10</v>
      </c>
      <c r="F27" s="27">
        <v>7.25</v>
      </c>
      <c r="G27" s="38">
        <f t="shared" si="0"/>
        <v>0.72499999999999998</v>
      </c>
      <c r="H27" s="39" t="str">
        <f t="shared" si="1"/>
        <v>جيد</v>
      </c>
      <c r="I27" s="61"/>
      <c r="J27" s="62"/>
    </row>
    <row r="28" spans="1:10" ht="39.950000000000003" customHeight="1" thickBot="1" x14ac:dyDescent="0.25">
      <c r="A28" s="11"/>
      <c r="B28" s="55" t="s">
        <v>201</v>
      </c>
      <c r="C28" s="56"/>
      <c r="D28" s="56"/>
      <c r="E28" s="34">
        <v>10</v>
      </c>
      <c r="F28" s="29">
        <v>7</v>
      </c>
      <c r="G28" s="43">
        <f t="shared" si="0"/>
        <v>0.7</v>
      </c>
      <c r="H28" s="44" t="str">
        <f t="shared" si="1"/>
        <v>جيد</v>
      </c>
      <c r="I28" s="63"/>
      <c r="J28" s="64"/>
    </row>
    <row r="29" spans="1:10" ht="39.950000000000003" customHeight="1" x14ac:dyDescent="0.2">
      <c r="A29" s="11"/>
      <c r="B29" s="57" t="s">
        <v>202</v>
      </c>
      <c r="C29" s="58"/>
      <c r="D29" s="58"/>
      <c r="E29" s="30"/>
      <c r="F29" s="40"/>
      <c r="G29" s="41"/>
      <c r="H29" s="42"/>
      <c r="I29" s="65"/>
      <c r="J29" s="66"/>
    </row>
    <row r="30" spans="1:10" ht="39.950000000000003" customHeight="1" x14ac:dyDescent="0.2">
      <c r="A30" s="11"/>
      <c r="B30" s="59" t="s">
        <v>203</v>
      </c>
      <c r="C30" s="60"/>
      <c r="D30" s="60"/>
      <c r="E30" s="9">
        <v>5</v>
      </c>
      <c r="F30" s="27">
        <v>3</v>
      </c>
      <c r="G30" s="38">
        <f t="shared" si="0"/>
        <v>0.6</v>
      </c>
      <c r="H30" s="39" t="str">
        <f t="shared" si="1"/>
        <v>مقبول</v>
      </c>
      <c r="I30" s="61"/>
      <c r="J30" s="62"/>
    </row>
    <row r="31" spans="1:10" ht="39.950000000000003" customHeight="1" x14ac:dyDescent="0.2">
      <c r="A31" s="11"/>
      <c r="B31" s="59" t="s">
        <v>204</v>
      </c>
      <c r="C31" s="60"/>
      <c r="D31" s="60"/>
      <c r="E31" s="9">
        <v>6</v>
      </c>
      <c r="F31" s="27">
        <v>4.25</v>
      </c>
      <c r="G31" s="38">
        <f t="shared" si="0"/>
        <v>0.70833333333333337</v>
      </c>
      <c r="H31" s="39" t="str">
        <f t="shared" si="1"/>
        <v>جيد</v>
      </c>
      <c r="I31" s="61"/>
      <c r="J31" s="62"/>
    </row>
    <row r="32" spans="1:10" ht="39.950000000000003" customHeight="1" x14ac:dyDescent="0.2">
      <c r="A32" s="11"/>
      <c r="B32" s="59" t="s">
        <v>205</v>
      </c>
      <c r="C32" s="60"/>
      <c r="D32" s="60"/>
      <c r="E32" s="9">
        <v>6</v>
      </c>
      <c r="F32" s="27">
        <v>4.5</v>
      </c>
      <c r="G32" s="38">
        <f t="shared" si="0"/>
        <v>0.75</v>
      </c>
      <c r="H32" s="39" t="str">
        <f t="shared" si="1"/>
        <v>جيد</v>
      </c>
      <c r="I32" s="61"/>
      <c r="J32" s="62"/>
    </row>
    <row r="33" spans="1:10" ht="39.950000000000003" customHeight="1" thickBot="1" x14ac:dyDescent="0.25">
      <c r="A33" s="11"/>
      <c r="B33" s="47" t="s">
        <v>206</v>
      </c>
      <c r="C33" s="48"/>
      <c r="D33" s="48"/>
      <c r="E33" s="32">
        <v>6</v>
      </c>
      <c r="F33" s="29">
        <v>4.25</v>
      </c>
      <c r="G33" s="43">
        <f t="shared" si="0"/>
        <v>0.70833333333333337</v>
      </c>
      <c r="H33" s="44" t="str">
        <f t="shared" si="1"/>
        <v>جيد</v>
      </c>
      <c r="I33" s="63"/>
      <c r="J33" s="64"/>
    </row>
    <row r="34" spans="1:10" ht="30" customHeight="1" thickBot="1" x14ac:dyDescent="0.25">
      <c r="A34" s="4"/>
      <c r="B34" s="67" t="s">
        <v>5</v>
      </c>
      <c r="C34" s="68"/>
      <c r="D34" s="68"/>
      <c r="E34" s="37">
        <f>SUM(E8:E33)</f>
        <v>150</v>
      </c>
      <c r="F34" s="37">
        <f>SUM(F8:F33)</f>
        <v>107.5</v>
      </c>
      <c r="G34" s="96"/>
      <c r="H34" s="97"/>
      <c r="I34" s="97"/>
      <c r="J34" s="98"/>
    </row>
    <row r="35" spans="1:10" ht="30" customHeight="1" thickBot="1" x14ac:dyDescent="0.25">
      <c r="A35" s="4"/>
      <c r="B35" s="69" t="s">
        <v>54</v>
      </c>
      <c r="C35" s="70"/>
      <c r="D35" s="70"/>
      <c r="E35" s="86">
        <f>F34/E34/100*100</f>
        <v>0.71666666666666667</v>
      </c>
      <c r="F35" s="86"/>
      <c r="G35" s="86"/>
      <c r="H35" s="86"/>
      <c r="I35" s="86"/>
      <c r="J35" s="87"/>
    </row>
    <row r="36" spans="1:10" ht="30" customHeight="1" thickBot="1" x14ac:dyDescent="0.25">
      <c r="A36" s="4"/>
      <c r="B36" s="69" t="s">
        <v>55</v>
      </c>
      <c r="C36" s="70"/>
      <c r="D36" s="70"/>
      <c r="E36" s="77" t="str">
        <f>_xlfn.IFS(E35&gt;=90%,"ممتاز",E35&gt;=80%,"جيد جداً",E35&gt;=70%,"جيد",E35&gt;=60%,"مقبول",E35&lt;60%,"راسب")</f>
        <v>جيد</v>
      </c>
      <c r="F36" s="77"/>
      <c r="G36" s="77"/>
      <c r="H36" s="77"/>
      <c r="I36" s="77"/>
      <c r="J36" s="78"/>
    </row>
    <row r="37" spans="1:10" ht="42" customHeight="1" x14ac:dyDescent="0.2">
      <c r="B37" s="73" t="s">
        <v>174</v>
      </c>
      <c r="C37" s="73"/>
      <c r="D37" s="73"/>
      <c r="E37" s="94" t="s">
        <v>52</v>
      </c>
      <c r="F37" s="94"/>
      <c r="G37" s="75" t="s">
        <v>93</v>
      </c>
      <c r="H37" s="75"/>
      <c r="I37" s="75"/>
      <c r="J37" s="75"/>
    </row>
    <row r="38" spans="1:10" ht="51" customHeight="1" x14ac:dyDescent="0.2">
      <c r="A38" s="5"/>
      <c r="B38" s="74"/>
      <c r="C38" s="74"/>
      <c r="D38" s="74"/>
      <c r="E38" s="95" t="s">
        <v>53</v>
      </c>
      <c r="F38" s="95"/>
      <c r="G38" s="76"/>
      <c r="H38" s="76"/>
      <c r="I38" s="76"/>
      <c r="J38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8:D8"/>
    <mergeCell ref="B9:D9"/>
    <mergeCell ref="B10:D10"/>
    <mergeCell ref="B11:D11"/>
    <mergeCell ref="B12:D1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 F25 F9 F11:F12 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F10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F13:F16 F24 F27 F28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F19 F20 F21 F23 F31 F32 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zoomScaleNormal="100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2025-09-22T05:44:47Z</dcterms:modified>
</cp:coreProperties>
</file>