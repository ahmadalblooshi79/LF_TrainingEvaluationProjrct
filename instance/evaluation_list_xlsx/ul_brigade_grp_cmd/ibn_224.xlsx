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98E4BFD-732C-4EE3-9A34-C38F0E1EF9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 s="1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<sst xmlns="http://schemas.openxmlformats.org/spreadsheetml/2006/main" count="283" uniqueCount="226">
  <si>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</si>
  <si>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</si>
  <si>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</si>
  <si>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</si>
  <si>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</si>
  <si>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</si>
  <si>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</si>
  <si>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</si>
  <si>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</si>
  <si>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</si>
  <si>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</si>
  <si>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</si>
  <si>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</si>
  <si>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</si>
  <si>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</si>
  <si>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</si>
  <si>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</si>
  <si>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</si>
  <si>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</si>
  <si>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</si>
  <si>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</si>
  <si>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</si>
  <si>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</si>
  <si>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</si>
  <si>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</si>
  <si>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</si>
  <si>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</si>
  <si>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</si>
  <si>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</si>
  <si>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</si>
  <si>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</si>
  <si>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</si>
  <si>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</si>
  <si>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</si>
  <si>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</si>
  <si>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</si>
  <si>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</si>
  <si>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</si>
  <si>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</si>
  <si>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</si>
  <si>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</si>
  <si>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</si>
  <si>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</si>
  <si>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</si>
  <si>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</si>
  <si>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</si>
  <si>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</si>
  <si>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</si>
  <si>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</si>
  <si>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</si>
  <si>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</si>
  <si>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</si>
  <si>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</si>
  <si>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</si>
  <si>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</si>
  <si>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</si>
  <si>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</si>
  <si>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</si>
  <si>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</si>
  <si>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</si>
  <si>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</si>
  <si>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</si>
  <si>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</si>
  <si>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</si>
  <si>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</si>
  <si>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</si>
  <si>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</si>
  <si>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</si>
  <si>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</si>
  <si>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</si>
  <si>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</si>
  <si>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</si>
  <si>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</si>
  <si>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</si>
  <si>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</si>
  <si>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</si>
  <si>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</si>
  <si>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</si>
  <si>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</si>
  <si>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</si>
  <si>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</si>
  <si>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</si>
  <si>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</si>
  <si>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</si>
  <si>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</si>
  <si>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</si>
  <si>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</si>
  <si>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</si>
  <si>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</si>
  <si>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</si>
  <si>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</si>
  <si>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</si>
  <si>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</si>
  <si>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</si>
  <si>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</si>
  <si>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</si>
  <si>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</si>
  <si>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</si>
  <si>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</si>
  <si>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</si>
  <si>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</si>
  <si>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</si>
  <si>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</si>
  <si>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</si>
  <si>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</si>
  <si>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</si>
  <si>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</si>
  <si>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</si>
  <si>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</si>
  <si>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</si>
  <si>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</si>
  <si>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</si>
  <si>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</si>
  <si>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</si>
  <si>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</si>
  <si>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</si>
  <si>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</si>
  <si>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</si>
  <si>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</si>
  <si>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</si>
  <si>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</si>
  <si>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</si>
  <si>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</si>
  <si>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</si>
  <si>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</si>
  <si>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</si>
  <si>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</si>
  <si>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</si>
  <si>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</si>
  <si>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</si>
  <si>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</si>
  <si>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</si>
  <si>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</si>
  <si>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</si>
  <si>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</si>
  <si>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</si>
  <si>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</si>
  <si>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</si>
  <si>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</si>
  <si>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</si>
  <si>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</si>
  <si>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</si>
  <si>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</si>
  <si>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</si>
  <si>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</si>
  <si>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</si>
  <si>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</si>
  <si>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</si>
  <si>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</si>
  <si>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</si>
  <si>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</si>
  <si>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</si>
  <si>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</si>
  <si>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</si>
  <si>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</si>
  <si>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</si>
  <si>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</si>
  <si>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</si>
  <si>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</si>
  <si>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</si>
  <si>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</si>
  <si>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</si>
  <si>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</si>
  <si>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</si>
  <si>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</si>
  <si>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</si>
  <si>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</si>
  <si>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</si>
  <si>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</si>
  <si>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</si>
  <si>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</si>
  <si>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</si>
  <si>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</si>
  <si>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</si>
  <si>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</si>
  <si>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</si>
  <si>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</si>
  <si>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</si>
  <si>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</si>
  <si>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</si>
  <si>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</si>
  <si>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</si>
  <si>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</si>
  <si>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</si>
  <si>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</si>
  <si>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</si>
  <si>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</si>
  <si>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</si>
  <si>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</si>
  <si>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</si>
  <si>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</si>
  <si>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</si>
  <si>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</si>
  <si>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</si>
  <si>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</si>
  <si>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</si>
  <si>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</si>
  <si>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</si>
  <si>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</si>
  <si>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</si>
  <si>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</si>
  <si>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</si>
  <si>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</si>
  <si>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</si>
  <si>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</si>
  <si>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</si>
  <si>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</si>
  <si>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</si>
  <si>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</si>
  <si>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</si>
  <si>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</si>
  <si>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</si>
  <si>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</si>
  <si>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</si>
  <si>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</si>
  <si>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</si>
  <si>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</si>
  <si>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</si>
  <si>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</si>
  <si>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</si>
  <si>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</si>
  <si>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</si>
  <si>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</si>
  <si>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</si>
  <si>
    <t>100+++++00</t>
  </si>
  <si>
    <t>عقيد 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</si>
</sst>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447106</xdr:colOff>
      <xdr:row>54</xdr:row>
      <xdr:rowOff>5393</xdr:rowOff>
    </xdr:from>
    <xdr:to>
      <xdr:col>8</xdr:col>
      <xdr:colOff>115525</xdr:colOff>
      <xdr:row>54</xdr:row>
      <xdr:rowOff>450353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4129D8-F1FB-0017-CA89-15C3BB2BBE29}"/>
                </a:ext>
              </a:extLst>
            </xdr14:cNvPr>
            <xdr14:cNvContentPartPr/>
          </xdr14:nvContentPartPr>
          <xdr14:nvPr macro=""/>
          <xdr14:xfrm>
            <a:off x="10399129384" y="22542120"/>
            <a:ext cx="984600" cy="444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4129D8-F1FB-0017-CA89-15C3BB2BBE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0744" y="22533480"/>
              <a:ext cx="1002240" cy="46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651958</xdr:colOff>
      <xdr:row>53</xdr:row>
      <xdr:rowOff>413363</xdr:rowOff>
    </xdr:from>
    <xdr:to>
      <xdr:col>9</xdr:col>
      <xdr:colOff>451755</xdr:colOff>
      <xdr:row>54</xdr:row>
      <xdr:rowOff>578153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0FCFDDC-70A7-0E9F-1838-8E9ABDF403CB}"/>
                </a:ext>
              </a:extLst>
            </xdr14:cNvPr>
            <xdr14:cNvContentPartPr/>
          </xdr14:nvContentPartPr>
          <xdr14:nvPr macro=""/>
          <xdr14:xfrm>
            <a:off x="10398135064" y="22419000"/>
            <a:ext cx="2432160" cy="695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0FCFDDC-70A7-0E9F-1838-8E9ABDF403C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26424" y="22410000"/>
              <a:ext cx="2449800" cy="71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25:51.8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2418 723 8,'0'0'0,"-4"0"0,-8 3 0,9 1 0,3-4 0,-6 1 8,6 1 0,0-2-16,3 1 24,-3-1-16,3 16 8,0-15 16,0 4 0,-3-1 24,0-4-48,3 4 72,0 0-40,0 8-8,-3-12-32,0 0 8,2 0-24,0-3 56,1-8-8,0 11 16,-3 0-40,3-5 40,-1 1-8,1 0 64,0 1-32,-3 3-64,3 0 48,0 0 64,-1-3-112,2 3 32,-4 0-32,4 0 88,9 1-80,-10 4 80,9-1 104,-12-4-192,4 4 104,9 8 88,-9-8-48,13 7-88,-17-11-56,11 3 104,-7 1-56,7 1-8,-7 0-8,-4-5-32,11 6 40,-8-2-16,1 2 24,0 0-16,-4-6-32,2 11 40,1-10 0,-3 2-8,0 0-8,0-3-24,0 3 24,0 0-8,0 1 16,0 0 8,0-4-40,0 3 40,0 1 8,0 1 16,0-1 16,0-4-80,0 6 80,0-1 8,3 0-8,0-1 16,-3-4-96,3 6 104,-1-2-8,3 0 56,-3 0 1032,-2-4-1184,2 5 1905,1-4 591,0 0 585,0 2-1353,-3-3-1728,3 3 1177,-3 0-145,3 0-144,0-2-152,-3-1-736,3 0 560,-1 2-104,0-1-151,2 1-129,-4-2-176,3 1 160,0 0 16,-3 1 56,0-1 80,0-1-312,0 3 368,0 0-64,0-3-24,0 1-88,0-1-192,0 3 104,0 0 8,0-2 32,-1 1-56,1-2-88,-5 3 184,1-2 0,1 1 8,-3 0 72,6-2-264,-5 2 160,-8-1-56,8 1-16,-8-1 8,10 0-96,3-1 0,-10 0-3080,6 0 823,-8-2 57,12 2 2200,-3-3-2121,-1-1 2601,2 1-496,1 3-72,1 0 88,0-5-184,0 1-8,0-10-128,3 11 56,-3 3 264,10-11-272,-5 8-208,11 0-72,-5-1 88,-11 4 464,4-12-336,9 10 304,-10 2 280,9-3 0,-12 3-248,3-3 232,0 3-32,-1 0-104,1-3-40,-3 3-56,0 0 88,0-3-16,0 3 80,0 0 32,0 0-184,0 0 112,0 2 24,0-2-32,0 0 24,0 0-128,0 0 128,0 0-8,0 0-48,3 0 24,-3 0-96,0 0 104,3-3 40,-3 3-8,0 0-64,0 0-72,0 0 160,0 0-16,0 0-8,-1 1-32,1-1-104,-5 0 80,-5 0-72,9 3 8,-2 1-32,3-4 16,-6 12-8,-6-8 0,-2 9 8,-1-9-16,15-4 16,-12 16 24,-2-5-32,9 2 48,-11-8 8,16-5-48,-15 15-48,5-11 24,-3 9 24,3-9 32,10-4-32,-13 16 64,1-11-144,-5 0-96,3 7-24,14-12 200,-19 5-224,3-1 192,0 13-64,-2-11-128,18-6 224,-16 15-224,-2-3-72,2-9-80,0 8 96,16-11 280,-14 4-448,-3 10-208,3-1-48,-2-7-257,16-6 961,-15 14-1160,-1-10-272,-3 2-241,2-2-263,17-4 1936,-19 5-1288,0-3 560,1-2 368,-2-2 296,20 2 64,-18-5-56,1-10 16,2 2 8,10 10 32,0-1 0,5 4 0,-13-23 64,9 7 288,-10-6 144,14 22-496,-11-27 672,9 14-176,1-1-576,0-1-32,1 15 112,0-11-48,0-3 8,0 1 0,0 2-56,0 11 96,-1-12-32,0 9-120,-3-9 112,1 9 64,3 3-24,-3-12-104,-1 10 144,1-3-104,0-6 8,3 11 56,-3 0-32,1-3 32,1 0-32,0 3 24,1 0 8,0 0 40,0 0-32,4 0 72,6-4-16,-10 4-64,4-3 72,12 3-32,-3-3 0,0 3 16,-13 0-56,17-3 16,0 3 24,0-4-16,2-7-8,-19 11-16,15-3 8,0-13 8,-2 13 8,-3 1 16,-10 2-40,5-5 48,-1 5-16,-1-2-8,-3-1 8,0 3-32,0 0 40,-3-3 0,-3 3 16,-4 0-16,10 0-40,-5 0 48,-7 0 0,8 0 16,-8 1 16,12-1-80,-5 3 72,1-1 32,0 2 16,-1-1 0,5-3-120,-4 2 160,0 3 912,1-4 881,1 2 607,2-3-2560,-1 1 3129,1-1-1081,0 2-791,0 2-129,0-4-1128,0 4 1088,0 1-192,0-3-95,0-2-105,0 0-696,0 0 592,3 2-48,-3 2-144,0 9-144,0-13-256,0 3 152,0 8-56,0 1-32,-2 0-40,2-12-24,-4 15 64,-6 2 56,-2-3-24,2 3 8,10-17-104,-13 14 40,0-1 8,0 3-16,0-4-8,13-12-24,-14 17 64,1 0-32,-3-4 32,3 7-56,13-20-8,-15 12 0,-1-8 32,2 10-64,0-13 24,14-1 8,-12 5-176,6 6-336,-5-10-496,9 4-728,2-5 1736,-3 3-2713,-1-2-1952,-2 0 784,2-1 1097,4 0 2784,-4 0-1697,2-4 1369,1-9 192,0 9-8,1 4 144,0-11-136,0 6 16,-1-7 16,-2 7 16,-1-10 16,4 15 72,-6-12-56,-4 1-16,5 7 32,-7-12 0,12 16 40,-5-3-40,-6-1 16,6-7 8,-8 11-8,13 0 24,-4-12 8,-10 12-16,3-3 0,0-8 24,11 11-16,-12 0 8,1-4 0,0 0 16,7 1-8,4 3-16,-14-3 8,10 0 48,-1 0-56,-1 0 0,6 3 0,-4-3 0,0 3-40,2 0 48,1 0 0,1 0-8,0-2-8,3 2 16,0-3 0,-3 3-8,2-3 24,3-1 8,-1-1 0,6 1 56,-10 4-88,3-4 40,0 0 32,1 1-16,-1 0-32,-3 3-24,3-3 80,-3 3-8,0-3 16,0 3 0,0 0-88,0 0 120,0 0 40,-3 0 1697,0 0 943,3 0-2800,-3 0 3505,1 0 456,0 2-2833,1-1-688,1-1-440,-2 3 288,2 1 16,-1-2-48,-1 0-80,2-2-176,-2 5 120,-1-1 40,-1 2-120,0 5-40,4-11 0,-13 4 56,9 8-40,-12-8 104,4 9 24,12-13-144,-13 4 152,-1 10 161,-5-10-129,2 11-72,17-15-112,-19 4 96,2 7-128,-3-6 56,2-1 168,18-4-192,-17 6 24,-1-2-56,1-1 32,2 1-128,15-4 128,-14 3 16,3 0 32,-2-2-48,2-1 24,11 0-24,-11 0-72,1 0 8,4 0-168,-8 0-169,14 0 401,-5-3-464,-6-1-72,6-10-80,-5 9-120,10 5 736,-4-19-992,-9 4-48,9-2 263,-10-1 385,14 18 392,-4-16-16,-9 1 336,2 0 200,0 3 145,11 12-665,-12-12 688,0 8-80,-4-10-80,0 9-88,16 5-440,-19-12 432,-4 9-40,0-1-88,-3-1-168,26 5-136,-29-4 224,-4 0-104,-2-1-24,2 1 0,33 4-96,-35-11-32,2 8 56,1-8-40,-3-2-88,35 13 104,-36-13-40,1-4 32,-1-2-40,2 0 8,34 19 40,-36-23-72,0 0 16,2 0 8,-1-2 48,35 25 0,-32-23 96,2 2-64,1-1 8,3 5-64,26 17 24,-26-17-48,3 2-24,1-1-16,-1 2 56,23 14 32,-20-16-112,1 2 0,5-2-160,1 2-152,13 14 424,-12-16-608,6-1-96,-7-1 96,9-3 144,4 21 464,-6-23-232,2 2 216,0-4 176,1 0 184,3 25-344,-2-26 592,2-4 168,0 6 144,5 3-40,-5 21-864,11-26 633,-8 2-265,9 0-232,-8 3-136,-4 21 0,16-20-72,-4 4-8,1 2-48,2-2-80,-15 16 208,19-11-289,3-1-47,4 1 24,6 7 8,-32 4 304,38-12-280,9 12-24,7-2 64,10-1 0,-64 3 240,74 0-224,9 0 112,5 0-32,6 1 88,-94-1 56,98 2 56,5 0 40,0 1 128,-6-1 120,-97-2-344,94 0 440,-4 0 96,-5 0 64,-5 0-23,-80 0-577,79 0 528,-7 4-120,-3 7-144,-5-6-80,-64-5-184,57 17 112,-5-3-112,-7 2-32,-4 3-88,-41-19 120,34 22-200,-5 6-8,-4 3-112,-8 6-136,-17-37 456,14 35-641,-10-3-183,0 4-112,-1-1-64,-3-35 1000,0 39-912,-4 0 111,-14 3 201,1 3 248,17-45 352,-25 44-192,-4 3 128,-2 1 160,-7-1 104,38-47-200,-40 49 384,-4-1 152,-6-1 57,-8 0 7,58-47-600,-61 43 504,-10-4-128,-2 0-112,-5-4-72,78-35-192,-82 33 96,-3-2-64,-2-2-448,-4-2-1040,91-27 1456,-91 24-3545,-4-7 72,-2-3 817,3-10 975,94-4 1681,-94 5-392,4-4 224,5-1 16,3 0-8,82 0 160,-77-11-152,5-1 24,5-5 8,5 2 16,62 15 104,-54-20-136,5-2-96,5 0-16,9-7 0,35 29 248,-29-25-384,10-1 168,8 2-64,11 24 280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25:54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2662 1130 24,'0'0'0,"14"3"72,1 1-40,-1 2 88,-14-6-120,17 5 168,-12 1-40,11 6 192,-2-8-64,-14-4-256,14 11 232,1-5 48,1 7-176,-2-2 24,-14-11-128,17 13 160,-1 2 88,-13-10 2673,11 11 1760,-14-16-4681,0 3 5937,3 0 1144,0 8-6016,-3-8-1257,0-3 192,0 13 48,-3 1-240,-1 0 40,-9 1 47,13-15 105,-5 14-336,-10 0 64,2 0-88,-3-1-400,16-13 760,-22 6-768,-1 7 8,-4-12 232,-6 3 312,33-4 216,-33 2-88,-1-1 112,-5 1-40,-3-2 40,42 0-24,-43-5 0,-3-9-24,-2 10 112,0-13 24,48 17-112,-51-16 176,2 0-40,-1 1-80,1-5-40,49 20-16,-48-14 0,1-5 0,3 1 112,-1-2-72,45 20-40,-43-20 32,2 0 48,0 1-72,4 0-32,37 19 24,-33-16-24,5 2-64,3 1-96,3 1 56,22 12 128,-20-17-304,4 2 80,1 3 112,2-3 56,13 15 56,-11-12 256,6 7 16,-11-10 48,10 10 104,6 5-424,-14-4 328,1-7 120,0 11-40,-2-4 48,15 4-456,-16-3 440,-4 0-176,-2-1-16,-1 4-152,23 0-96,-27 0 72,1 0-24,-2 0-16,-1 1-32,29-1 0,-30 1 0,0 1-56,1-2 16,2 0-16,27 0 56,-28 0-24,1-3-88,3-10-8,-1 1-8,25 12 128,-25-4-216,0-19 48,0 6-32,1-6-24,24 23 224,-20-23-168,0-2-72,4-7-8,6 3 160,10 29 88,-4-32 0,3 2 88,1 3 184,11-2-184,-11 29-88,14-28 24,8-2-32,2-3-152,7 0 32,-31 33 128,34-31-88,6 0-16,5 0-32,5 1 16,-50 30 120,55-30-136,5-1 32,3 0 120,6 1 32,-69 30-48,72-33 64,4 3 24,3 0-40,5 1 8,-84 29-56,87-27 48,2 1 8,5 4-56,-2 3-64,-92 19 64,96-17-80,3 2 32,2 0-48,0 1 40,-101 14 56,102-4-168,-2-9-232,-5 13-208,0-3-185,-95 3 793,91 0-872,-5 0 64,-3 0 120,-4 3 128,-79-3 560,75 6-376,-8 9 176,-4 0 168,-8 2 88,-55-17-56,50 17 144,-6 3 0,-6 1 64,-4 3 48,-34-24-256,24 31 320,-3 0-24,-8 2 16,-10 4-88,-3-37-224,3 37 256,-3 5-40,-4 3-64,-14 7 32,18-52-184,-18 55 144,-5 3-16,-7 5 16,-3-1-8,33-62-136,-36 64 24,-3 0 8,-2 0-32,0-1 48,41-63-48,-46 62 96,-4-3 121,-4 0 79,-3-4 0,57-55-296,-59 53 360,-6-1-16,-2-7-24,-5 2-144,72-47-176,-76 43 152,-8-3-104,0-2-56,-4-1-96,88-37 104,-88 29-208,-1-2-288,2-4-176,-2-3-33,89-20 705,-85 21-968,0-1 8,4-4-288,4-3-385,77-13 1633,-74 5-2160,3 1-649,5 0 313,5-3 671,61-3 1825,-53 1-1120,8-1 688,5 0 256,7-4 16,33 4 160,-24-4-112,8-11-8,15 11 16,1-12 8,0 16 96,21-12-120,9 0 24,12-2 0,9 1 8,-51 13 88,63-13-48,10 9-40,7-16 56,11 6-128,-91 14 160,98-17-232,6-1 104,7 1-56,5 0 120,-116 17 64,123-14 24,2-5-32,4 2 0,5-1 0,-134 18 8,135-17-8,1-1-112,-5 3 176,-3-2-40,-128 17-16,122-17 48,-7 1 96,-3 0-136,-5 5 24,-107 11-32,102-4-64,-5-8 56,-5 10 48,-11-1 80,-81 3-120,76-4 200,-9-8-16,-4 12-72,-6 2-64,-57-2-48,47 1 32,-5 5 8,-7-2 24,-8 10 8,-27-14-72,19 4 96,-7 9 32,-12-7 24,0 0 32,0-6-184,-18 4 2032,2 7 1961,-3-9 1312,-2-1 1217,21-1-6522,-20 4 2840,-12-2-2391,-8 1-217,-8-1-72,48-2-160,-56 5 80,-6 0-24,-7 8 0,-7-9-56,76-4 0,-80 16 40,-5-5-40,-8 4 0,-6 0-80,99-15 80,-107 13-192,-6 0-24,-4-7-72,-8 6 55,125-12 233,-128 5-216,-8 7 72,-7-6 8,-5 7 56,148-13 80,-152 5-64,-4 7 24,-4-8 56,-3 9 8,163-13-24,-163 12 24,3 1 8,8-9-64,7 11-40,145-15 72,-139 5-56,6 1-8,8 8 24,6-9 24,119-5 16,-107 5-16,12 8 32,10-9-80,18 2 72,67-6-8,-57 6 0,11-2-8,14 0 8,10 0 8,22-4-8,-6 5-24,5-1-120,5-3-40,22-1-88,-26 0 272,31 2-184,13-2 120,13 0 80,12 0 152,-69 0-168,85 0 152,9 0 32,12 0 16,9-3-32,-115 3-168,124-3 144,8 0 0,6-1 56,12 0-64,-150 4-136,156-16 176,8 12-96,7-9-16,3 2-64,-174 11 0,179-12 0,4-2-8,-1 0-72,7-2 64,-189 16 16,190-15-24,8-4 88,4 0 72,2-1-39,-204 20-97,204-17 104,-2 0-48,-7-2-16,-3 5-56,-192 14 16,186-14-48,-12-1-48,-2 4 39,-6-3-39,-166 14 96,159-11-56,-5-1 32,-13 1-136,-16 8-152,-125 3 312,112-13-504,-13 10-184,-11 0-120,-13-1-88,-75 4 896,66-4-888,-15 0-17,-12 1-31,-16 0-24,-23 3 960,5-3-1072,-5 3 40,-13-3 319,-16 3 233,29 0 480,-42 0-128,-17 0 168,-17 0-152,-16 2 8,92-2 104,-108 4-248,-15 0-256,-12 1-72,-19 0-24,154-5 600,-166 6-608,-10 0 200,-14 5 264,-11-7 23,201-4 121,-211 6-32,-10 7 129,-9-8 335,-5 11 416,235-16-848,-244 13 968,-3 2 56,-2 4-368,0 1-256,249-20-400,-245 21 401,-3 3 167,6 0-72,0 4-56,242-28-440,-233 30 384,11-1-384,10-1-56,14 2-24,198-30 80,-189 31-56,13 2-8,15-3-216,11 0-144,150-30 424,-133 28-592,17-4 55,13 0 225,16-4 40,87-20 272,-69 16-128,16-4 56,16 0 144,19-8 224,18-4-296,-1 4 665,5 1 247,25-4 88,11-1 8,-40 0-1008,56-3 912,17-1-15,16-9 15,16 9 128,-105 4-1040,117-16 912,11 5-136,12-2-176,8-3-167,-148 16-433,158-14 368,8 0-144,3 1 8,7-1-136,-176 14-96,178-15-80,5 2-112,2 9-56,-3-11-200,-182 15 448,177 0-625,-7-4-119,-5 1-320,-8 3-88,-157 0 1152,153 2-1257,-7 9-79,-11-7-328,-6 12-505,-129-16 2169,116 11-2288,-13 2 15,-16 1 425,-19-1 640,-68-13 1208,51 11-688,-19-5 808,-16 7 888,-18-9 872,2-4-1880,-19 3 2569,-13 1 359,-14-1-335,-15-3-369,61 0-2224,-76 0 1849,-19-3-481,-10-1-200,-10-12-239,115 16-929,-122-4 792,0-13-112,1 5-144,1 1-32,120 11-504,-116-12 416,6 0-152,4 8-80,8-7-80,98 11-104,-88-3 72,9 0 0,14-1-24,9 4-168,56 0 120,-40 0-320,11 0-232,12-3-232,14 3-216,3 0 1000,-1 0-1168,1 0-73,17 0 17,6 0-32,-23 0 1256,29 0-1144,8-3-1,8 3-823,2-3-2465,-47 3 4433,53-4-3657,3-10 833,-2 2 1047,0 1 1545,-54 11 232,52-14-208,-2-3-8,1-2 8,-3-1 24,-48 20 184,48-21-256,-3-6-200,-5-3-8,-2-3 40,-38 33 424,39-49-248,-39 49 248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B47" zoomScale="130" zoomScaleNormal="100" zoomScaleSheetLayoutView="130" workbookViewId="0">
      <selection activeCell="B39" sqref="B39:D3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223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35</v>
      </c>
      <c r="D2" s="72"/>
      <c r="E2" s="11" t="s">
        <v>7</v>
      </c>
      <c r="F2" s="67">
        <v>45938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62</v>
      </c>
      <c r="D3" s="72"/>
      <c r="E3" s="11" t="s">
        <v>6</v>
      </c>
      <c r="F3" s="72" t="s">
        <v>59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83" t="s">
        <v>225</v>
      </c>
      <c r="G4" s="83"/>
      <c r="H4" s="83"/>
      <c r="I4" s="83"/>
      <c r="J4" s="83"/>
    </row>
    <row r="5" spans="1:10" ht="24.9" customHeight="1" x14ac:dyDescent="0.3">
      <c r="A5" s="9"/>
      <c r="B5" s="68" t="s">
        <v>0</v>
      </c>
      <c r="C5" s="69"/>
      <c r="D5" s="69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9"/>
      <c r="J6" s="80"/>
    </row>
    <row r="7" spans="1:10" ht="24.9" customHeight="1" thickBot="1" x14ac:dyDescent="0.35">
      <c r="A7" s="9"/>
      <c r="B7" s="75" t="s">
        <v>21</v>
      </c>
      <c r="C7" s="76"/>
      <c r="D7" s="76"/>
      <c r="E7" s="30" t="s">
        <v>18</v>
      </c>
      <c r="F7" s="30" t="s">
        <v>19</v>
      </c>
      <c r="G7" s="30" t="s">
        <v>22</v>
      </c>
      <c r="H7" s="30" t="s">
        <v>20</v>
      </c>
      <c r="I7" s="81" t="s">
        <v>25</v>
      </c>
      <c r="J7" s="82"/>
    </row>
    <row r="8" spans="1:10" ht="30" customHeight="1" x14ac:dyDescent="0.3">
      <c r="A8" s="9"/>
      <c r="B8" s="41" t="s">
        <v>180</v>
      </c>
      <c r="C8" s="42"/>
      <c r="D8" s="42"/>
      <c r="E8" s="27"/>
      <c r="F8" s="34"/>
      <c r="G8" s="35"/>
      <c r="H8" s="36"/>
      <c r="I8" s="47"/>
      <c r="J8" s="48"/>
    </row>
    <row r="9" spans="1:10" ht="39.9" customHeight="1" x14ac:dyDescent="0.3">
      <c r="A9" s="9"/>
      <c r="B9" s="43" t="s">
        <v>181</v>
      </c>
      <c r="C9" s="44"/>
      <c r="D9" s="44"/>
      <c r="E9" s="8">
        <v>10</v>
      </c>
      <c r="F9" s="25">
        <v>8</v>
      </c>
      <c r="G9" s="32">
        <f>IFERROR(F9/E9,"")</f>
        <v>0.8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9"/>
      <c r="J9" s="50"/>
    </row>
    <row r="10" spans="1:10" ht="30" customHeight="1" x14ac:dyDescent="0.3">
      <c r="A10" s="9"/>
      <c r="B10" s="43" t="s">
        <v>182</v>
      </c>
      <c r="C10" s="44"/>
      <c r="D10" s="44"/>
      <c r="E10" s="8">
        <v>5</v>
      </c>
      <c r="F10" s="25">
        <v>4</v>
      </c>
      <c r="G10" s="32">
        <f t="shared" ref="G10:G50" si="0">IFERROR(F10/E10,"")</f>
        <v>0.8</v>
      </c>
      <c r="H10" s="33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9"/>
      <c r="J10" s="50"/>
    </row>
    <row r="11" spans="1:10" ht="30" customHeight="1" x14ac:dyDescent="0.3">
      <c r="A11" s="9"/>
      <c r="B11" s="43" t="s">
        <v>183</v>
      </c>
      <c r="C11" s="44"/>
      <c r="D11" s="44"/>
      <c r="E11" s="8">
        <v>10</v>
      </c>
      <c r="F11" s="25">
        <v>8</v>
      </c>
      <c r="G11" s="32">
        <f t="shared" si="0"/>
        <v>0.8</v>
      </c>
      <c r="H11" s="33" t="str">
        <f t="shared" si="1"/>
        <v>جيد جداً</v>
      </c>
      <c r="I11" s="49"/>
      <c r="J11" s="50"/>
    </row>
    <row r="12" spans="1:10" ht="39.9" customHeight="1" x14ac:dyDescent="0.3">
      <c r="A12" s="9"/>
      <c r="B12" s="43" t="s">
        <v>184</v>
      </c>
      <c r="C12" s="44"/>
      <c r="D12" s="44"/>
      <c r="E12" s="8">
        <v>8</v>
      </c>
      <c r="F12" s="25">
        <v>7</v>
      </c>
      <c r="G12" s="32">
        <f t="shared" si="0"/>
        <v>0.875</v>
      </c>
      <c r="H12" s="33" t="str">
        <f t="shared" si="1"/>
        <v>جيد جداً</v>
      </c>
      <c r="I12" s="49"/>
      <c r="J12" s="50"/>
    </row>
    <row r="13" spans="1:10" ht="30" customHeight="1" x14ac:dyDescent="0.3">
      <c r="A13" s="9"/>
      <c r="B13" s="43" t="s">
        <v>185</v>
      </c>
      <c r="C13" s="44"/>
      <c r="D13" s="44"/>
      <c r="E13" s="8">
        <v>5</v>
      </c>
      <c r="F13" s="25">
        <v>4</v>
      </c>
      <c r="G13" s="32">
        <f t="shared" si="0"/>
        <v>0.8</v>
      </c>
      <c r="H13" s="33" t="str">
        <f t="shared" si="1"/>
        <v>جيد جداً</v>
      </c>
      <c r="I13" s="49"/>
      <c r="J13" s="50"/>
    </row>
    <row r="14" spans="1:10" ht="30" customHeight="1" x14ac:dyDescent="0.3">
      <c r="A14" s="9"/>
      <c r="B14" s="43" t="s">
        <v>186</v>
      </c>
      <c r="C14" s="44"/>
      <c r="D14" s="44"/>
      <c r="E14" s="8">
        <v>6</v>
      </c>
      <c r="F14" s="25">
        <v>5</v>
      </c>
      <c r="G14" s="32">
        <f t="shared" si="0"/>
        <v>0.83333333333333337</v>
      </c>
      <c r="H14" s="33" t="str">
        <f t="shared" si="1"/>
        <v>جيد جداً</v>
      </c>
      <c r="I14" s="49"/>
      <c r="J14" s="50"/>
    </row>
    <row r="15" spans="1:10" ht="30" customHeight="1" x14ac:dyDescent="0.3">
      <c r="A15" s="9"/>
      <c r="B15" s="43" t="s">
        <v>187</v>
      </c>
      <c r="C15" s="44"/>
      <c r="D15" s="44"/>
      <c r="E15" s="8">
        <v>5</v>
      </c>
      <c r="F15" s="25">
        <v>4</v>
      </c>
      <c r="G15" s="32">
        <f t="shared" si="0"/>
        <v>0.8</v>
      </c>
      <c r="H15" s="33" t="str">
        <f t="shared" si="1"/>
        <v>جيد جداً</v>
      </c>
      <c r="I15" s="49"/>
      <c r="J15" s="50"/>
    </row>
    <row r="16" spans="1:10" ht="30" customHeight="1" x14ac:dyDescent="0.3">
      <c r="A16" s="9"/>
      <c r="B16" s="43" t="s">
        <v>188</v>
      </c>
      <c r="C16" s="44"/>
      <c r="D16" s="44"/>
      <c r="E16" s="8">
        <v>5</v>
      </c>
      <c r="F16" s="25">
        <v>4</v>
      </c>
      <c r="G16" s="32">
        <f t="shared" si="0"/>
        <v>0.8</v>
      </c>
      <c r="H16" s="33" t="str">
        <f t="shared" si="1"/>
        <v>جيد جداً</v>
      </c>
      <c r="I16" s="49"/>
      <c r="J16" s="50"/>
    </row>
    <row r="17" spans="1:10" ht="30" customHeight="1" x14ac:dyDescent="0.3">
      <c r="A17" s="9"/>
      <c r="B17" s="43" t="s">
        <v>189</v>
      </c>
      <c r="C17" s="44"/>
      <c r="D17" s="44"/>
      <c r="E17" s="8">
        <v>6</v>
      </c>
      <c r="F17" s="25">
        <v>5</v>
      </c>
      <c r="G17" s="32">
        <f t="shared" si="0"/>
        <v>0.83333333333333337</v>
      </c>
      <c r="H17" s="33" t="str">
        <f t="shared" si="1"/>
        <v>جيد جداً</v>
      </c>
      <c r="I17" s="49"/>
      <c r="J17" s="50"/>
    </row>
    <row r="18" spans="1:10" ht="39.9" customHeight="1" x14ac:dyDescent="0.3">
      <c r="A18" s="9"/>
      <c r="B18" s="43" t="s">
        <v>190</v>
      </c>
      <c r="C18" s="44"/>
      <c r="D18" s="44"/>
      <c r="E18" s="8">
        <v>8</v>
      </c>
      <c r="F18" s="25">
        <v>6.25</v>
      </c>
      <c r="G18" s="32">
        <f t="shared" si="0"/>
        <v>0.78125</v>
      </c>
      <c r="H18" s="33" t="str">
        <f t="shared" si="1"/>
        <v>جيد</v>
      </c>
      <c r="I18" s="49"/>
      <c r="J18" s="50"/>
    </row>
    <row r="19" spans="1:10" ht="39.9" customHeight="1" x14ac:dyDescent="0.3">
      <c r="A19" s="9"/>
      <c r="B19" s="43" t="s">
        <v>191</v>
      </c>
      <c r="C19" s="44"/>
      <c r="D19" s="44"/>
      <c r="E19" s="8">
        <v>8</v>
      </c>
      <c r="F19" s="25">
        <v>5.75</v>
      </c>
      <c r="G19" s="32">
        <f t="shared" si="0"/>
        <v>0.71875</v>
      </c>
      <c r="H19" s="33" t="str">
        <f t="shared" si="1"/>
        <v>جيد</v>
      </c>
      <c r="I19" s="49"/>
      <c r="J19" s="50"/>
    </row>
    <row r="20" spans="1:10" ht="30" customHeight="1" x14ac:dyDescent="0.3">
      <c r="A20" s="9"/>
      <c r="B20" s="43" t="s">
        <v>192</v>
      </c>
      <c r="C20" s="44"/>
      <c r="D20" s="44"/>
      <c r="E20" s="8">
        <v>5</v>
      </c>
      <c r="F20" s="25">
        <v>3.5</v>
      </c>
      <c r="G20" s="32">
        <f t="shared" si="0"/>
        <v>0.7</v>
      </c>
      <c r="H20" s="33" t="str">
        <f t="shared" si="1"/>
        <v>جيد</v>
      </c>
      <c r="I20" s="49"/>
      <c r="J20" s="50"/>
    </row>
    <row r="21" spans="1:10" ht="30" customHeight="1" x14ac:dyDescent="0.3">
      <c r="A21" s="9"/>
      <c r="B21" s="43" t="s">
        <v>193</v>
      </c>
      <c r="C21" s="44"/>
      <c r="D21" s="44"/>
      <c r="E21" s="8">
        <v>5</v>
      </c>
      <c r="F21" s="25">
        <v>3.5</v>
      </c>
      <c r="G21" s="32">
        <f t="shared" si="0"/>
        <v>0.7</v>
      </c>
      <c r="H21" s="33" t="str">
        <f t="shared" si="1"/>
        <v>جيد</v>
      </c>
      <c r="I21" s="49"/>
      <c r="J21" s="50"/>
    </row>
    <row r="22" spans="1:10" ht="39.9" customHeight="1" thickBot="1" x14ac:dyDescent="0.35">
      <c r="A22" s="9"/>
      <c r="B22" s="39" t="s">
        <v>194</v>
      </c>
      <c r="C22" s="40"/>
      <c r="D22" s="40"/>
      <c r="E22" s="28">
        <v>5</v>
      </c>
      <c r="F22" s="26">
        <v>3.5</v>
      </c>
      <c r="G22" s="37">
        <f t="shared" si="0"/>
        <v>0.7</v>
      </c>
      <c r="H22" s="38" t="str">
        <f t="shared" si="1"/>
        <v>جيد</v>
      </c>
      <c r="I22" s="45"/>
      <c r="J22" s="46"/>
    </row>
    <row r="23" spans="1:10" ht="30" customHeight="1" x14ac:dyDescent="0.3">
      <c r="A23" s="9"/>
      <c r="B23" s="41" t="s">
        <v>195</v>
      </c>
      <c r="C23" s="42"/>
      <c r="D23" s="42"/>
      <c r="E23" s="27"/>
      <c r="F23" s="34"/>
      <c r="G23" s="35"/>
      <c r="H23" s="36"/>
      <c r="I23" s="47"/>
      <c r="J23" s="48"/>
    </row>
    <row r="24" spans="1:10" ht="39.9" customHeight="1" x14ac:dyDescent="0.3">
      <c r="A24" s="9"/>
      <c r="B24" s="43" t="s">
        <v>196</v>
      </c>
      <c r="C24" s="44"/>
      <c r="D24" s="44"/>
      <c r="E24" s="8">
        <v>8</v>
      </c>
      <c r="F24" s="25">
        <v>6</v>
      </c>
      <c r="G24" s="32">
        <f t="shared" si="0"/>
        <v>0.75</v>
      </c>
      <c r="H24" s="33" t="str">
        <f t="shared" si="1"/>
        <v>جيد</v>
      </c>
      <c r="I24" s="49"/>
      <c r="J24" s="50"/>
    </row>
    <row r="25" spans="1:10" ht="30" customHeight="1" x14ac:dyDescent="0.3">
      <c r="A25" s="9"/>
      <c r="B25" s="43" t="s">
        <v>197</v>
      </c>
      <c r="C25" s="44"/>
      <c r="D25" s="44"/>
      <c r="E25" s="8">
        <v>7</v>
      </c>
      <c r="F25" s="25">
        <v>5</v>
      </c>
      <c r="G25" s="32">
        <f t="shared" si="0"/>
        <v>0.7142857142857143</v>
      </c>
      <c r="H25" s="33" t="str">
        <f t="shared" si="1"/>
        <v>جيد</v>
      </c>
      <c r="I25" s="49"/>
      <c r="J25" s="50"/>
    </row>
    <row r="26" spans="1:10" ht="39.9" customHeight="1" x14ac:dyDescent="0.3">
      <c r="A26" s="9"/>
      <c r="B26" s="43" t="s">
        <v>198</v>
      </c>
      <c r="C26" s="44"/>
      <c r="D26" s="44"/>
      <c r="E26" s="8">
        <v>8</v>
      </c>
      <c r="F26" s="25">
        <v>6</v>
      </c>
      <c r="G26" s="32">
        <f t="shared" si="0"/>
        <v>0.75</v>
      </c>
      <c r="H26" s="33" t="str">
        <f t="shared" si="1"/>
        <v>جيد</v>
      </c>
      <c r="I26" s="49"/>
      <c r="J26" s="50"/>
    </row>
    <row r="27" spans="1:10" ht="30" customHeight="1" x14ac:dyDescent="0.3">
      <c r="A27" s="9"/>
      <c r="B27" s="43" t="s">
        <v>199</v>
      </c>
      <c r="C27" s="44"/>
      <c r="D27" s="44"/>
      <c r="E27" s="8">
        <v>8</v>
      </c>
      <c r="F27" s="25">
        <v>7</v>
      </c>
      <c r="G27" s="32">
        <f t="shared" si="0"/>
        <v>0.875</v>
      </c>
      <c r="H27" s="33" t="str">
        <f t="shared" si="1"/>
        <v>جيد جداً</v>
      </c>
      <c r="I27" s="49"/>
      <c r="J27" s="50"/>
    </row>
    <row r="28" spans="1:10" ht="30" customHeight="1" thickBot="1" x14ac:dyDescent="0.35">
      <c r="A28" s="9"/>
      <c r="B28" s="39" t="s">
        <v>200</v>
      </c>
      <c r="C28" s="40"/>
      <c r="D28" s="40"/>
      <c r="E28" s="28">
        <v>8</v>
      </c>
      <c r="F28" s="26">
        <v>7</v>
      </c>
      <c r="G28" s="37">
        <f t="shared" si="0"/>
        <v>0.875</v>
      </c>
      <c r="H28" s="38" t="str">
        <f t="shared" si="1"/>
        <v>جيد جداً</v>
      </c>
      <c r="I28" s="45"/>
      <c r="J28" s="46"/>
    </row>
    <row r="29" spans="1:10" ht="30" customHeight="1" x14ac:dyDescent="0.3">
      <c r="A29" s="9"/>
      <c r="B29" s="41" t="s">
        <v>201</v>
      </c>
      <c r="C29" s="42"/>
      <c r="D29" s="42"/>
      <c r="E29" s="27"/>
      <c r="F29" s="34"/>
      <c r="G29" s="35"/>
      <c r="H29" s="36"/>
      <c r="I29" s="47"/>
      <c r="J29" s="48"/>
    </row>
    <row r="30" spans="1:10" ht="39.9" customHeight="1" x14ac:dyDescent="0.3">
      <c r="A30" s="9"/>
      <c r="B30" s="43" t="s">
        <v>202</v>
      </c>
      <c r="C30" s="44"/>
      <c r="D30" s="44"/>
      <c r="E30" s="8">
        <v>10</v>
      </c>
      <c r="F30" s="25">
        <v>7.5</v>
      </c>
      <c r="G30" s="32">
        <f t="shared" si="0"/>
        <v>0.75</v>
      </c>
      <c r="H30" s="33" t="str">
        <f t="shared" si="1"/>
        <v>جيد</v>
      </c>
      <c r="I30" s="49"/>
      <c r="J30" s="50"/>
    </row>
    <row r="31" spans="1:10" ht="30" customHeight="1" x14ac:dyDescent="0.3">
      <c r="A31" s="9"/>
      <c r="B31" s="43" t="s">
        <v>203</v>
      </c>
      <c r="C31" s="44"/>
      <c r="D31" s="44"/>
      <c r="E31" s="8">
        <v>10</v>
      </c>
      <c r="F31" s="25">
        <v>7.5</v>
      </c>
      <c r="G31" s="32">
        <f t="shared" si="0"/>
        <v>0.75</v>
      </c>
      <c r="H31" s="33" t="str">
        <f t="shared" si="1"/>
        <v>جيد</v>
      </c>
      <c r="I31" s="49"/>
      <c r="J31" s="50"/>
    </row>
    <row r="32" spans="1:10" ht="30" customHeight="1" thickBot="1" x14ac:dyDescent="0.35">
      <c r="A32" s="9"/>
      <c r="B32" s="39" t="s">
        <v>204</v>
      </c>
      <c r="C32" s="40"/>
      <c r="D32" s="40"/>
      <c r="E32" s="28">
        <v>10</v>
      </c>
      <c r="F32" s="26">
        <v>8</v>
      </c>
      <c r="G32" s="37">
        <f t="shared" si="0"/>
        <v>0.8</v>
      </c>
      <c r="H32" s="38" t="str">
        <f t="shared" si="1"/>
        <v>جيد جداً</v>
      </c>
      <c r="I32" s="45"/>
      <c r="J32" s="46"/>
    </row>
    <row r="33" spans="1:10" ht="39.9" customHeight="1" x14ac:dyDescent="0.3">
      <c r="A33" s="9"/>
      <c r="B33" s="41" t="s">
        <v>205</v>
      </c>
      <c r="C33" s="42"/>
      <c r="D33" s="42"/>
      <c r="E33" s="27"/>
      <c r="F33" s="34"/>
      <c r="G33" s="35"/>
      <c r="H33" s="36"/>
      <c r="I33" s="47"/>
      <c r="J33" s="48"/>
    </row>
    <row r="34" spans="1:10" ht="30" customHeight="1" x14ac:dyDescent="0.3">
      <c r="A34" s="9"/>
      <c r="B34" s="43" t="s">
        <v>206</v>
      </c>
      <c r="C34" s="44"/>
      <c r="D34" s="44"/>
      <c r="E34" s="8">
        <v>5</v>
      </c>
      <c r="F34" s="25">
        <v>3.75</v>
      </c>
      <c r="G34" s="32">
        <f t="shared" si="0"/>
        <v>0.75</v>
      </c>
      <c r="H34" s="33" t="str">
        <f t="shared" si="1"/>
        <v>جيد</v>
      </c>
      <c r="I34" s="49"/>
      <c r="J34" s="50"/>
    </row>
    <row r="35" spans="1:10" ht="30" customHeight="1" x14ac:dyDescent="0.3">
      <c r="A35" s="9"/>
      <c r="B35" s="43" t="s">
        <v>207</v>
      </c>
      <c r="C35" s="44"/>
      <c r="D35" s="44"/>
      <c r="E35" s="8">
        <v>5</v>
      </c>
      <c r="F35" s="25">
        <v>3.75</v>
      </c>
      <c r="G35" s="32">
        <f t="shared" si="0"/>
        <v>0.75</v>
      </c>
      <c r="H35" s="33" t="str">
        <f t="shared" si="1"/>
        <v>جيد</v>
      </c>
      <c r="I35" s="49"/>
      <c r="J35" s="50"/>
    </row>
    <row r="36" spans="1:10" ht="39.9" customHeight="1" x14ac:dyDescent="0.3">
      <c r="A36" s="9"/>
      <c r="B36" s="43" t="s">
        <v>208</v>
      </c>
      <c r="C36" s="44"/>
      <c r="D36" s="44"/>
      <c r="E36" s="8">
        <v>5</v>
      </c>
      <c r="F36" s="25">
        <v>3.75</v>
      </c>
      <c r="G36" s="32">
        <f t="shared" si="0"/>
        <v>0.75</v>
      </c>
      <c r="H36" s="33" t="str">
        <f t="shared" si="1"/>
        <v>جيد</v>
      </c>
      <c r="I36" s="49"/>
      <c r="J36" s="50"/>
    </row>
    <row r="37" spans="1:10" ht="52.5" customHeight="1" x14ac:dyDescent="0.3">
      <c r="A37" s="9"/>
      <c r="B37" s="43" t="s">
        <v>209</v>
      </c>
      <c r="C37" s="44"/>
      <c r="D37" s="44"/>
      <c r="E37" s="8">
        <v>5</v>
      </c>
      <c r="F37" s="25">
        <v>3.75</v>
      </c>
      <c r="G37" s="32">
        <f t="shared" si="0"/>
        <v>0.75</v>
      </c>
      <c r="H37" s="33" t="str">
        <f t="shared" si="1"/>
        <v>جيد</v>
      </c>
      <c r="I37" s="49"/>
      <c r="J37" s="50"/>
    </row>
    <row r="38" spans="1:10" ht="39.9" customHeight="1" x14ac:dyDescent="0.3">
      <c r="A38" s="9"/>
      <c r="B38" s="43" t="s">
        <v>210</v>
      </c>
      <c r="C38" s="44"/>
      <c r="D38" s="44"/>
      <c r="E38" s="8">
        <v>0</v>
      </c>
      <c r="F38" s="25" t="s">
        <v>17</v>
      </c>
      <c r="G38" s="32" t="str">
        <f t="shared" si="0"/>
        <v/>
      </c>
      <c r="H38" s="33" t="str">
        <f t="shared" si="1"/>
        <v>تم الإلغاء</v>
      </c>
      <c r="I38" s="49"/>
      <c r="J38" s="50"/>
    </row>
    <row r="39" spans="1:10" ht="30" customHeight="1" thickBot="1" x14ac:dyDescent="0.35">
      <c r="A39" s="9"/>
      <c r="B39" s="39" t="s">
        <v>211</v>
      </c>
      <c r="C39" s="40"/>
      <c r="D39" s="40"/>
      <c r="E39" s="28">
        <v>5</v>
      </c>
      <c r="F39" s="26">
        <v>3.75</v>
      </c>
      <c r="G39" s="37">
        <f t="shared" si="0"/>
        <v>0.75</v>
      </c>
      <c r="H39" s="38" t="str">
        <f t="shared" si="1"/>
        <v>جيد</v>
      </c>
      <c r="I39" s="45"/>
      <c r="J39" s="46"/>
    </row>
    <row r="40" spans="1:10" ht="30" customHeight="1" x14ac:dyDescent="0.3">
      <c r="A40" s="9"/>
      <c r="B40" s="41" t="s">
        <v>212</v>
      </c>
      <c r="C40" s="42"/>
      <c r="D40" s="42"/>
      <c r="E40" s="27"/>
      <c r="F40" s="34"/>
      <c r="G40" s="35"/>
      <c r="H40" s="36"/>
      <c r="I40" s="47"/>
      <c r="J40" s="48"/>
    </row>
    <row r="41" spans="1:10" ht="30" customHeight="1" x14ac:dyDescent="0.3">
      <c r="A41" s="9"/>
      <c r="B41" s="43" t="s">
        <v>213</v>
      </c>
      <c r="C41" s="44"/>
      <c r="D41" s="44"/>
      <c r="E41" s="8">
        <v>5</v>
      </c>
      <c r="F41" s="25">
        <v>4</v>
      </c>
      <c r="G41" s="32">
        <f t="shared" si="0"/>
        <v>0.8</v>
      </c>
      <c r="H41" s="33" t="str">
        <f t="shared" si="1"/>
        <v>جيد جداً</v>
      </c>
      <c r="I41" s="49"/>
      <c r="J41" s="50"/>
    </row>
    <row r="42" spans="1:10" ht="39.9" customHeight="1" x14ac:dyDescent="0.3">
      <c r="A42" s="9"/>
      <c r="B42" s="43" t="s">
        <v>214</v>
      </c>
      <c r="C42" s="44"/>
      <c r="D42" s="44"/>
      <c r="E42" s="8">
        <v>5</v>
      </c>
      <c r="F42" s="25">
        <v>4</v>
      </c>
      <c r="G42" s="32">
        <f t="shared" si="0"/>
        <v>0.8</v>
      </c>
      <c r="H42" s="33" t="str">
        <f t="shared" si="1"/>
        <v>جيد جداً</v>
      </c>
      <c r="I42" s="49"/>
      <c r="J42" s="50"/>
    </row>
    <row r="43" spans="1:10" ht="30" customHeight="1" thickBot="1" x14ac:dyDescent="0.35">
      <c r="A43" s="9"/>
      <c r="B43" s="39" t="s">
        <v>215</v>
      </c>
      <c r="C43" s="40"/>
      <c r="D43" s="40"/>
      <c r="E43" s="28">
        <v>5</v>
      </c>
      <c r="F43" s="26">
        <v>4</v>
      </c>
      <c r="G43" s="37">
        <f t="shared" si="0"/>
        <v>0.8</v>
      </c>
      <c r="H43" s="38" t="str">
        <f t="shared" si="1"/>
        <v>جيد جداً</v>
      </c>
      <c r="I43" s="45"/>
      <c r="J43" s="46"/>
    </row>
    <row r="44" spans="1:10" ht="30" customHeight="1" x14ac:dyDescent="0.3">
      <c r="A44" s="9"/>
      <c r="B44" s="41" t="s">
        <v>216</v>
      </c>
      <c r="C44" s="42"/>
      <c r="D44" s="42"/>
      <c r="E44" s="29"/>
      <c r="F44" s="34"/>
      <c r="G44" s="35"/>
      <c r="H44" s="36"/>
      <c r="I44" s="47"/>
      <c r="J44" s="48"/>
    </row>
    <row r="45" spans="1:10" ht="30" customHeight="1" x14ac:dyDescent="0.3">
      <c r="A45" s="9"/>
      <c r="B45" s="43" t="s">
        <v>217</v>
      </c>
      <c r="C45" s="44"/>
      <c r="D45" s="44"/>
      <c r="E45" s="8">
        <v>5</v>
      </c>
      <c r="F45" s="25">
        <v>3.75</v>
      </c>
      <c r="G45" s="32">
        <f t="shared" si="0"/>
        <v>0.75</v>
      </c>
      <c r="H45" s="33" t="str">
        <f t="shared" si="1"/>
        <v>جيد</v>
      </c>
      <c r="I45" s="49"/>
      <c r="J45" s="50"/>
    </row>
    <row r="46" spans="1:10" ht="30" customHeight="1" x14ac:dyDescent="0.3">
      <c r="A46" s="9"/>
      <c r="B46" s="43" t="s">
        <v>218</v>
      </c>
      <c r="C46" s="44"/>
      <c r="D46" s="44"/>
      <c r="E46" s="8">
        <v>5</v>
      </c>
      <c r="F46" s="25">
        <v>3.75</v>
      </c>
      <c r="G46" s="32">
        <f t="shared" si="0"/>
        <v>0.75</v>
      </c>
      <c r="H46" s="33" t="str">
        <f t="shared" si="1"/>
        <v>جيد</v>
      </c>
      <c r="I46" s="49"/>
      <c r="J46" s="50"/>
    </row>
    <row r="47" spans="1:10" ht="30" customHeight="1" x14ac:dyDescent="0.3">
      <c r="A47" s="9"/>
      <c r="B47" s="43" t="s">
        <v>219</v>
      </c>
      <c r="C47" s="44"/>
      <c r="D47" s="44"/>
      <c r="E47" s="8">
        <v>5</v>
      </c>
      <c r="F47" s="25">
        <v>3.75</v>
      </c>
      <c r="G47" s="32">
        <f t="shared" si="0"/>
        <v>0.75</v>
      </c>
      <c r="H47" s="33" t="str">
        <f t="shared" si="1"/>
        <v>جيد</v>
      </c>
      <c r="I47" s="49"/>
      <c r="J47" s="50"/>
    </row>
    <row r="48" spans="1:10" ht="30" customHeight="1" x14ac:dyDescent="0.3">
      <c r="A48" s="9"/>
      <c r="B48" s="43" t="s">
        <v>220</v>
      </c>
      <c r="C48" s="44"/>
      <c r="D48" s="44"/>
      <c r="E48" s="8">
        <v>5</v>
      </c>
      <c r="F48" s="25">
        <v>3.75</v>
      </c>
      <c r="G48" s="32">
        <f t="shared" si="0"/>
        <v>0.75</v>
      </c>
      <c r="H48" s="33" t="str">
        <f t="shared" si="1"/>
        <v>جيد</v>
      </c>
      <c r="I48" s="49"/>
      <c r="J48" s="50"/>
    </row>
    <row r="49" spans="1:10" ht="30" customHeight="1" x14ac:dyDescent="0.3">
      <c r="A49" s="9"/>
      <c r="B49" s="43" t="s">
        <v>221</v>
      </c>
      <c r="C49" s="44"/>
      <c r="D49" s="44"/>
      <c r="E49" s="8">
        <v>5</v>
      </c>
      <c r="F49" s="25">
        <v>3.75</v>
      </c>
      <c r="G49" s="32">
        <f t="shared" si="0"/>
        <v>0.75</v>
      </c>
      <c r="H49" s="33" t="str">
        <f t="shared" si="1"/>
        <v>جيد</v>
      </c>
      <c r="I49" s="49"/>
      <c r="J49" s="50"/>
    </row>
    <row r="50" spans="1:10" ht="30" customHeight="1" thickBot="1" x14ac:dyDescent="0.35">
      <c r="A50" s="9"/>
      <c r="B50" s="39" t="s">
        <v>222</v>
      </c>
      <c r="C50" s="40"/>
      <c r="D50" s="40"/>
      <c r="E50" s="28">
        <v>10</v>
      </c>
      <c r="F50" s="26">
        <v>7</v>
      </c>
      <c r="G50" s="37">
        <f t="shared" si="0"/>
        <v>0.7</v>
      </c>
      <c r="H50" s="38" t="str">
        <f t="shared" si="1"/>
        <v>جيد</v>
      </c>
      <c r="I50" s="45"/>
      <c r="J50" s="46"/>
    </row>
    <row r="51" spans="1:10" ht="30" customHeight="1" thickBot="1" x14ac:dyDescent="0.35">
      <c r="A51" s="4"/>
      <c r="B51" s="51" t="s">
        <v>5</v>
      </c>
      <c r="C51" s="52"/>
      <c r="D51" s="52"/>
      <c r="E51" s="31">
        <f>SUM(E8:E50)</f>
        <v>235</v>
      </c>
      <c r="F51" s="31">
        <f>SUM(F8:F50)</f>
        <v>182</v>
      </c>
      <c r="G51" s="63"/>
      <c r="H51" s="64"/>
      <c r="I51" s="64"/>
      <c r="J51" s="65"/>
    </row>
    <row r="52" spans="1:10" ht="30" customHeight="1" thickBot="1" x14ac:dyDescent="0.35">
      <c r="A52" s="4"/>
      <c r="B52" s="53" t="s">
        <v>54</v>
      </c>
      <c r="C52" s="54"/>
      <c r="D52" s="54"/>
      <c r="E52" s="73">
        <f>F51/E51/100*100</f>
        <v>0.77446808510638299</v>
      </c>
      <c r="F52" s="73"/>
      <c r="G52" s="73"/>
      <c r="H52" s="73"/>
      <c r="I52" s="73"/>
      <c r="J52" s="74"/>
    </row>
    <row r="53" spans="1:10" ht="30" customHeight="1" thickBot="1" x14ac:dyDescent="0.35">
      <c r="A53" s="4"/>
      <c r="B53" s="53" t="s">
        <v>55</v>
      </c>
      <c r="C53" s="54"/>
      <c r="D53" s="54"/>
      <c r="E53" s="59" t="str">
        <f>_xlfn.IFS(E52&gt;=90%,"ممتاز",E52&gt;=80%,"جيد جداً",E52&gt;=70%,"جيد",E52&gt;=60%,"مقبول",E52&lt;60%,"راسب")</f>
        <v>جيد</v>
      </c>
      <c r="F53" s="59"/>
      <c r="G53" s="59"/>
      <c r="H53" s="59"/>
      <c r="I53" s="59"/>
      <c r="J53" s="60"/>
    </row>
    <row r="54" spans="1:10" ht="42" customHeight="1" x14ac:dyDescent="0.3">
      <c r="B54" s="55" t="s">
        <v>174</v>
      </c>
      <c r="C54" s="55"/>
      <c r="D54" s="55"/>
      <c r="E54" s="61" t="s">
        <v>52</v>
      </c>
      <c r="F54" s="61"/>
      <c r="G54" s="57" t="s">
        <v>59</v>
      </c>
      <c r="H54" s="57"/>
      <c r="I54" s="57"/>
      <c r="J54" s="57"/>
    </row>
    <row r="55" spans="1:10" ht="51" customHeight="1" x14ac:dyDescent="0.3">
      <c r="A55" s="5"/>
      <c r="B55" s="56"/>
      <c r="C55" s="56"/>
      <c r="D55" s="56"/>
      <c r="E55" s="62" t="s">
        <v>53</v>
      </c>
      <c r="F55" s="62"/>
      <c r="G55" s="58"/>
      <c r="H55" s="58"/>
      <c r="I55" s="58"/>
      <c r="J55" s="58"/>
    </row>
  </sheetData>
  <sheetProtection formatCells="0" formatColumns="0" formatRows="0" insertColumns="0" insertRows="0" insertHyperlinks="0" deleteColumns="0" deleteRows="0" selectLockedCells="1" sort="0" autoFilter="0" pivotTables="0"/>
  <mergeCells count="108">
    <mergeCell ref="F4:J4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7" workbookViewId="0">
      <selection activeCell="A153" sqref="A15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 t="s">
        <v>224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2025-10-09T20:31:11Z</dcterms:modified>
</cp:coreProperties>
</file>