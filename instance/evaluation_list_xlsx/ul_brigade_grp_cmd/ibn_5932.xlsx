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3F651C3D-9791-4A67-9C48-898A914777E3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التقييم'!$A$1:$J$77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2" l="1"/>
  <c r="H72" i="2" s="1"/>
  <c r="G9" i="2"/>
  <c r="G15" i="2"/>
  <c r="G16" i="2"/>
  <c r="G17" i="2"/>
  <c r="G18" i="2"/>
  <c r="G19" i="2"/>
  <c r="G20" i="2"/>
  <c r="G21" i="2"/>
  <c r="G22" i="2"/>
  <c r="G23" i="2"/>
  <c r="G24" i="2"/>
  <c r="G25" i="2"/>
  <c r="G26" i="2"/>
  <c r="G28" i="2"/>
  <c r="G29" i="2"/>
  <c r="G30" i="2"/>
  <c r="G31" i="2"/>
  <c r="G32" i="2"/>
  <c r="G33" i="2"/>
  <c r="G34" i="2"/>
  <c r="G35" i="2"/>
  <c r="G37" i="2"/>
  <c r="G38" i="2"/>
  <c r="G39" i="2"/>
  <c r="G40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4" i="2"/>
  <c r="G66" i="2"/>
  <c r="G67" i="2"/>
  <c r="G68" i="2"/>
  <c r="G69" i="2"/>
  <c r="G70" i="2"/>
  <c r="G71" i="2"/>
  <c r="H9" i="2" l="1"/>
  <c r="H15" i="2" l="1"/>
  <c r="H16" i="2"/>
  <c r="H17" i="2"/>
  <c r="H18" i="2"/>
  <c r="H19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4" i="2"/>
  <c r="H35" i="2"/>
  <c r="H37" i="2"/>
  <c r="H38" i="2"/>
  <c r="H39" i="2"/>
  <c r="H40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6" i="2"/>
  <c r="H67" i="2"/>
  <c r="H68" i="2"/>
  <c r="H69" i="2"/>
  <c r="H70" i="2"/>
  <c r="H71" i="2"/>
  <c r="F73" i="2" l="1"/>
  <c r="E73" i="2" l="1"/>
  <c r="E74" i="2" l="1"/>
  <c r="E75" i="2" s="1"/>
</calcChain>
</file>

<file path=xl/sharedStrings.xml><?xml version="1.0" encoding="utf-8"?>
<sst xmlns="http://schemas.openxmlformats.org/spreadsheetml/2006/main" count="159" uniqueCount="102">
  <si>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</si>
  <si>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</si>
  <si>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</si>
  <si>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</si>
  <si>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</si>
  <si>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</si>
  <si>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</si>
  <si>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</si>
  <si>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</si>
  <si>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</si>
  <si>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</si>
  <si>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</si>
  <si>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</si>
  <si>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</si>
  <si>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</si>
  <si>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</si>
  <si>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</si>
  <si>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</si>
  <si>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</si>
  <si>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</si>
  <si>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</si>
  <si>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</si>
  <si>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</si>
  <si>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</si>
  <si>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</si>
  <si>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</si>
  <si>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</si>
  <si>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</si>
  <si>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</si>
  <si>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</si>
  <si>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</si>
  <si>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</si>
  <si>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</si>
  <si>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مجموعة اللواء</t>
  </si>
  <si>
    <t>30 – 20 م</t>
  </si>
  <si>
    <t>15 – 10 م</t>
  </si>
  <si>
    <t>الكتيبة</t>
  </si>
  <si>
    <t>8 م</t>
  </si>
  <si>
    <t>6 م</t>
  </si>
  <si>
    <t>السرية</t>
  </si>
  <si>
    <t>3 م</t>
  </si>
  <si>
    <t>الفصيل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</si>
  <si>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</si>
  <si>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</si>
  <si>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</si>
  <si>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</si>
  <si>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</si>
  <si>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</si>
  <si>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</si>
  <si>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</si>
  <si>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</si>
  <si>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</si>
  <si>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</si>
  <si>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</si>
  <si>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</si>
  <si>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ركن العمليات ويمكن أن يقوم بذلك ركن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</si>
  <si>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</si>
  <si>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</si>
  <si>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</si>
  <si>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</si>
  <si>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</si>
  <si>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</si>
  <si>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</si>
  <si>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</si>
  <si>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</si>
  <si>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</si>
  <si>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</si>
  <si>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</si>
  <si>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</si>
  <si>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</si>
  <si>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</si>
  <si>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</si>
  <si>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</si>
  <si>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</si>
  <si>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</si>
  <si>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</si>
  <si>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</si>
  <si>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</si>
  <si>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</si>
  <si>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</si>
  <si>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</si>
  <si>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</si>
  <si>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</si>
  <si>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</si>
  <si>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</si>
  <si>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</si>
  <si>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</si>
  <si>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</si>
  <si>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</si>
  <si>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</si>
  <si>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</si>
  <si>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</si>
  <si>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</si>
  <si>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</si>
  <si>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</si>
  <si>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</si>
  <si>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</si>
  <si>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</si>
  <si>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</si>
  <si>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</si>
  <si>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</si>
  <si>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تقييم قيادة اللواء في تجهيز الطاولة الرملية ووصف الأرض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</si>
</sst>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4" borderId="13" xfId="0" applyFont="1" applyFill="1" applyBorder="1" applyAlignment="1">
      <alignment horizontal="center"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 readingOrder="2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9" fontId="3" fillId="0" borderId="28" xfId="0" applyNumberFormat="1" applyFont="1" applyBorder="1" applyAlignment="1">
      <alignment horizontal="center" vertical="center" wrapText="1" readingOrder="2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1" fillId="0" borderId="22" xfId="0" applyFont="1" applyBorder="1" applyAlignment="1" applyProtection="1">
      <alignment horizontal="center" vertical="center" wrapText="1" readingOrder="2"/>
      <protection locked="0"/>
    </xf>
    <xf numFmtId="0" fontId="11" fillId="0" borderId="23" xfId="0" applyFont="1" applyBorder="1" applyAlignment="1" applyProtection="1">
      <alignment horizontal="center" vertical="center" wrapText="1" readingOrder="2"/>
      <protection locked="0"/>
    </xf>
    <xf numFmtId="0" fontId="11" fillId="0" borderId="24" xfId="0" applyFont="1" applyBorder="1" applyAlignment="1" applyProtection="1">
      <alignment horizontal="center" vertical="center" wrapText="1" readingOrder="2"/>
      <protection locked="0"/>
    </xf>
    <xf numFmtId="0" fontId="11" fillId="0" borderId="25" xfId="0" applyFont="1" applyBorder="1" applyAlignment="1" applyProtection="1">
      <alignment horizontal="center" vertical="center" wrapText="1" readingOrder="2"/>
      <protection locked="0"/>
    </xf>
    <xf numFmtId="0" fontId="11" fillId="0" borderId="26" xfId="0" applyFont="1" applyBorder="1" applyAlignment="1" applyProtection="1">
      <alignment horizontal="center" vertical="center" wrapText="1" readingOrder="2"/>
      <protection locked="0"/>
    </xf>
    <xf numFmtId="0" fontId="11" fillId="0" borderId="27" xfId="0" applyFont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11" fillId="0" borderId="2" xfId="0" applyFont="1" applyBorder="1" applyAlignment="1" applyProtection="1">
      <alignment horizontal="center" vertical="center" wrapText="1" readingOrder="2"/>
      <protection locked="0"/>
    </xf>
    <xf numFmtId="0" fontId="11" fillId="0" borderId="6" xfId="0" applyFont="1" applyBorder="1" applyAlignment="1" applyProtection="1">
      <alignment horizontal="center" vertical="center" wrapText="1" readingOrder="2"/>
      <protection locked="0"/>
    </xf>
    <xf numFmtId="0" fontId="8" fillId="0" borderId="13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2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 wrapText="1" indent="2"/>
    </xf>
    <xf numFmtId="0" fontId="8" fillId="0" borderId="2" xfId="0" applyFont="1" applyBorder="1" applyAlignment="1">
      <alignment horizontal="right" vertical="center" wrapText="1" indent="2"/>
    </xf>
    <xf numFmtId="0" fontId="8" fillId="0" borderId="13" xfId="0" applyFont="1" applyBorder="1" applyAlignment="1">
      <alignment horizontal="right" vertical="center" wrapText="1" indent="3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0" fontId="8" fillId="0" borderId="7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indent="3" readingOrder="2"/>
    </xf>
    <xf numFmtId="0" fontId="8" fillId="0" borderId="11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31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5" t="s">
        <v>101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2" t="s">
        <v>8</v>
      </c>
      <c r="C2" s="62" t="s">
        <v>23</v>
      </c>
      <c r="D2" s="62"/>
      <c r="E2" s="12" t="s">
        <v>7</v>
      </c>
      <c r="F2" s="57" t="s">
        <v>22</v>
      </c>
      <c r="G2" s="57"/>
      <c r="H2" s="57"/>
      <c r="I2" s="57"/>
      <c r="J2" s="57"/>
    </row>
    <row r="3" spans="1:10" ht="30" customHeight="1" x14ac:dyDescent="0.2">
      <c r="B3" s="12" t="s">
        <v>9</v>
      </c>
      <c r="C3" s="62" t="s">
        <v>25</v>
      </c>
      <c r="D3" s="62"/>
      <c r="E3" s="12" t="s">
        <v>6</v>
      </c>
      <c r="F3" s="62" t="s">
        <v>24</v>
      </c>
      <c r="G3" s="62"/>
      <c r="H3" s="62"/>
      <c r="I3" s="62"/>
      <c r="J3" s="62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10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10"/>
      <c r="B6" s="60"/>
      <c r="C6" s="61"/>
      <c r="D6" s="61"/>
      <c r="E6" s="11" t="s">
        <v>3</v>
      </c>
      <c r="F6" s="11" t="s">
        <v>4</v>
      </c>
      <c r="G6" s="11" t="s">
        <v>15</v>
      </c>
      <c r="H6" s="11" t="s">
        <v>16</v>
      </c>
      <c r="I6" s="69"/>
      <c r="J6" s="70"/>
    </row>
    <row r="7" spans="1:10" ht="24.95" customHeight="1" thickBot="1" x14ac:dyDescent="0.25">
      <c r="A7" s="10"/>
      <c r="B7" s="65" t="s">
        <v>13</v>
      </c>
      <c r="C7" s="66"/>
      <c r="D7" s="66"/>
      <c r="E7" s="23" t="s">
        <v>10</v>
      </c>
      <c r="F7" s="23" t="s">
        <v>11</v>
      </c>
      <c r="G7" s="23" t="s">
        <v>14</v>
      </c>
      <c r="H7" s="23" t="s">
        <v>12</v>
      </c>
      <c r="I7" s="71" t="s">
        <v>17</v>
      </c>
      <c r="J7" s="72"/>
    </row>
    <row r="8" spans="1:10" ht="30" customHeight="1" x14ac:dyDescent="0.2">
      <c r="A8" s="10"/>
      <c r="B8" s="94" t="s">
        <v>28</v>
      </c>
      <c r="C8" s="95"/>
      <c r="D8" s="95"/>
      <c r="E8" s="95"/>
      <c r="F8" s="95"/>
      <c r="G8" s="95"/>
      <c r="H8" s="95"/>
      <c r="I8" s="95"/>
      <c r="J8" s="96"/>
    </row>
    <row r="9" spans="1:10" ht="39.950000000000003" customHeight="1" x14ac:dyDescent="0.2">
      <c r="A9" s="10"/>
      <c r="B9" s="85" t="s">
        <v>29</v>
      </c>
      <c r="C9" s="86"/>
      <c r="D9" s="86"/>
      <c r="E9" s="89">
        <v>5</v>
      </c>
      <c r="F9" s="31" t="s">
        <v>26</v>
      </c>
      <c r="G9" s="37" t="str">
        <f>IFERROR(F9/E9,"")</f>
        <v/>
      </c>
      <c r="H9" s="34" t="str">
        <f>_xlfn.IFS(F9="أدخل العلامة","",F9="لا ينطبق","تم الإلغاء",G9&gt;=90%,"ممتاز",G9&gt;=80%,"جيد جداً",G9&gt;=70%,"جيد",G9&gt;=60%,"مقبول",G9&lt;60%,"راسب")</f>
        <v/>
      </c>
      <c r="I9" s="49" t="s">
        <v>100</v>
      </c>
      <c r="J9" s="50"/>
    </row>
    <row r="10" spans="1:10" ht="30" customHeight="1" x14ac:dyDescent="0.2">
      <c r="A10" s="10"/>
      <c r="B10" s="16" t="s">
        <v>30</v>
      </c>
      <c r="C10" s="17" t="s">
        <v>31</v>
      </c>
      <c r="D10" s="17" t="s">
        <v>32</v>
      </c>
      <c r="E10" s="89"/>
      <c r="F10" s="32"/>
      <c r="G10" s="38"/>
      <c r="H10" s="35"/>
      <c r="I10" s="51"/>
      <c r="J10" s="52"/>
    </row>
    <row r="11" spans="1:10" ht="30" customHeight="1" x14ac:dyDescent="0.2">
      <c r="A11" s="10"/>
      <c r="B11" s="16" t="s">
        <v>33</v>
      </c>
      <c r="C11" s="18" t="s">
        <v>34</v>
      </c>
      <c r="D11" s="18" t="s">
        <v>35</v>
      </c>
      <c r="E11" s="89"/>
      <c r="F11" s="32"/>
      <c r="G11" s="38"/>
      <c r="H11" s="35"/>
      <c r="I11" s="51"/>
      <c r="J11" s="52"/>
    </row>
    <row r="12" spans="1:10" ht="30" customHeight="1" x14ac:dyDescent="0.2">
      <c r="A12" s="10"/>
      <c r="B12" s="16" t="s">
        <v>36</v>
      </c>
      <c r="C12" s="18" t="s">
        <v>37</v>
      </c>
      <c r="D12" s="18" t="s">
        <v>38</v>
      </c>
      <c r="E12" s="89"/>
      <c r="F12" s="32"/>
      <c r="G12" s="38"/>
      <c r="H12" s="35"/>
      <c r="I12" s="51"/>
      <c r="J12" s="52"/>
    </row>
    <row r="13" spans="1:10" ht="30" customHeight="1" x14ac:dyDescent="0.2">
      <c r="A13" s="10"/>
      <c r="B13" s="16" t="s">
        <v>39</v>
      </c>
      <c r="C13" s="18" t="s">
        <v>38</v>
      </c>
      <c r="D13" s="18" t="s">
        <v>40</v>
      </c>
      <c r="E13" s="89"/>
      <c r="F13" s="32"/>
      <c r="G13" s="38"/>
      <c r="H13" s="35"/>
      <c r="I13" s="51"/>
      <c r="J13" s="52"/>
    </row>
    <row r="14" spans="1:10" ht="30" customHeight="1" x14ac:dyDescent="0.2">
      <c r="A14" s="10"/>
      <c r="B14" s="16" t="s">
        <v>41</v>
      </c>
      <c r="C14" s="18" t="s">
        <v>38</v>
      </c>
      <c r="D14" s="18" t="s">
        <v>40</v>
      </c>
      <c r="E14" s="89"/>
      <c r="F14" s="33"/>
      <c r="G14" s="39"/>
      <c r="H14" s="36"/>
      <c r="I14" s="53"/>
      <c r="J14" s="54"/>
    </row>
    <row r="15" spans="1:10" ht="50.1" customHeight="1" x14ac:dyDescent="0.2">
      <c r="A15" s="10"/>
      <c r="B15" s="85" t="s">
        <v>42</v>
      </c>
      <c r="C15" s="86"/>
      <c r="D15" s="86"/>
      <c r="E15" s="8">
        <v>5</v>
      </c>
      <c r="F15" s="13" t="s">
        <v>26</v>
      </c>
      <c r="G15" s="24" t="str">
        <f t="shared" ref="G15:G71" si="0">IFERROR(F15/E15,"")</f>
        <v/>
      </c>
      <c r="H15" s="25" t="str">
        <f t="shared" ref="H15:H71" si="1">_xlfn.IFS(F15="أدخل العلامة","",F15="لا ينطبق","تم الإلغاء",G15&gt;=90%,"ممتاز",G15&gt;=80%,"جيد جداً",G15&gt;=70%,"جيد",G15&gt;=60%,"مقبول",G15&lt;60%,"راسب")</f>
        <v/>
      </c>
      <c r="I15" s="83"/>
      <c r="J15" s="84"/>
    </row>
    <row r="16" spans="1:10" ht="39.950000000000003" customHeight="1" x14ac:dyDescent="0.2">
      <c r="A16" s="10"/>
      <c r="B16" s="90" t="s">
        <v>43</v>
      </c>
      <c r="C16" s="91"/>
      <c r="D16" s="91"/>
      <c r="E16" s="8">
        <v>5</v>
      </c>
      <c r="F16" s="13" t="s">
        <v>26</v>
      </c>
      <c r="G16" s="24" t="str">
        <f t="shared" si="0"/>
        <v/>
      </c>
      <c r="H16" s="25" t="str">
        <f t="shared" si="1"/>
        <v/>
      </c>
      <c r="I16" s="40"/>
      <c r="J16" s="41"/>
    </row>
    <row r="17" spans="1:10" ht="50.1" customHeight="1" x14ac:dyDescent="0.2">
      <c r="A17" s="10"/>
      <c r="B17" s="85" t="s">
        <v>44</v>
      </c>
      <c r="C17" s="86"/>
      <c r="D17" s="86"/>
      <c r="E17" s="8">
        <v>5</v>
      </c>
      <c r="F17" s="13" t="s">
        <v>26</v>
      </c>
      <c r="G17" s="24" t="str">
        <f t="shared" si="0"/>
        <v/>
      </c>
      <c r="H17" s="25" t="str">
        <f t="shared" si="1"/>
        <v/>
      </c>
      <c r="I17" s="40"/>
      <c r="J17" s="41"/>
    </row>
    <row r="18" spans="1:10" ht="30" customHeight="1" x14ac:dyDescent="0.2">
      <c r="A18" s="10"/>
      <c r="B18" s="85" t="s">
        <v>45</v>
      </c>
      <c r="C18" s="86"/>
      <c r="D18" s="86"/>
      <c r="E18" s="8">
        <v>5</v>
      </c>
      <c r="F18" s="13" t="s">
        <v>26</v>
      </c>
      <c r="G18" s="24" t="str">
        <f t="shared" si="0"/>
        <v/>
      </c>
      <c r="H18" s="25" t="str">
        <f t="shared" si="1"/>
        <v/>
      </c>
      <c r="I18" s="40"/>
      <c r="J18" s="41"/>
    </row>
    <row r="19" spans="1:10" ht="39.950000000000003" customHeight="1" x14ac:dyDescent="0.2">
      <c r="A19" s="10"/>
      <c r="B19" s="85" t="s">
        <v>46</v>
      </c>
      <c r="C19" s="86"/>
      <c r="D19" s="86"/>
      <c r="E19" s="8">
        <v>5</v>
      </c>
      <c r="F19" s="13" t="s">
        <v>26</v>
      </c>
      <c r="G19" s="24" t="str">
        <f t="shared" si="0"/>
        <v/>
      </c>
      <c r="H19" s="25" t="str">
        <f t="shared" si="1"/>
        <v/>
      </c>
      <c r="I19" s="40"/>
      <c r="J19" s="41"/>
    </row>
    <row r="20" spans="1:10" ht="30" customHeight="1" x14ac:dyDescent="0.2">
      <c r="A20" s="10"/>
      <c r="B20" s="85" t="s">
        <v>47</v>
      </c>
      <c r="C20" s="86"/>
      <c r="D20" s="86"/>
      <c r="E20" s="8">
        <v>5</v>
      </c>
      <c r="F20" s="13" t="s">
        <v>26</v>
      </c>
      <c r="G20" s="24" t="str">
        <f t="shared" si="0"/>
        <v/>
      </c>
      <c r="H20" s="25" t="str">
        <f t="shared" si="1"/>
        <v/>
      </c>
      <c r="I20" s="40"/>
      <c r="J20" s="41"/>
    </row>
    <row r="21" spans="1:10" ht="73.5" customHeight="1" x14ac:dyDescent="0.2">
      <c r="A21" s="10"/>
      <c r="B21" s="85" t="s">
        <v>48</v>
      </c>
      <c r="C21" s="86"/>
      <c r="D21" s="86"/>
      <c r="E21" s="8">
        <v>5</v>
      </c>
      <c r="F21" s="13" t="s">
        <v>26</v>
      </c>
      <c r="G21" s="24" t="str">
        <f t="shared" si="0"/>
        <v/>
      </c>
      <c r="H21" s="25" t="str">
        <f t="shared" si="1"/>
        <v/>
      </c>
      <c r="I21" s="40"/>
      <c r="J21" s="41"/>
    </row>
    <row r="22" spans="1:10" ht="39.950000000000003" customHeight="1" x14ac:dyDescent="0.2">
      <c r="A22" s="10"/>
      <c r="B22" s="85" t="s">
        <v>49</v>
      </c>
      <c r="C22" s="86"/>
      <c r="D22" s="86"/>
      <c r="E22" s="8">
        <v>5</v>
      </c>
      <c r="F22" s="13" t="s">
        <v>26</v>
      </c>
      <c r="G22" s="24" t="str">
        <f t="shared" si="0"/>
        <v/>
      </c>
      <c r="H22" s="25" t="str">
        <f t="shared" si="1"/>
        <v/>
      </c>
      <c r="I22" s="40"/>
      <c r="J22" s="41"/>
    </row>
    <row r="23" spans="1:10" ht="39.950000000000003" customHeight="1" x14ac:dyDescent="0.2">
      <c r="A23" s="10"/>
      <c r="B23" s="85" t="s">
        <v>50</v>
      </c>
      <c r="C23" s="86"/>
      <c r="D23" s="86"/>
      <c r="E23" s="8">
        <v>5</v>
      </c>
      <c r="F23" s="13" t="s">
        <v>26</v>
      </c>
      <c r="G23" s="24" t="str">
        <f t="shared" si="0"/>
        <v/>
      </c>
      <c r="H23" s="25" t="str">
        <f t="shared" si="1"/>
        <v/>
      </c>
      <c r="I23" s="40"/>
      <c r="J23" s="41"/>
    </row>
    <row r="24" spans="1:10" ht="39.950000000000003" customHeight="1" x14ac:dyDescent="0.2">
      <c r="A24" s="10"/>
      <c r="B24" s="85" t="s">
        <v>51</v>
      </c>
      <c r="C24" s="86"/>
      <c r="D24" s="86"/>
      <c r="E24" s="8">
        <v>5</v>
      </c>
      <c r="F24" s="13" t="s">
        <v>26</v>
      </c>
      <c r="G24" s="24" t="str">
        <f t="shared" si="0"/>
        <v/>
      </c>
      <c r="H24" s="25" t="str">
        <f t="shared" si="1"/>
        <v/>
      </c>
      <c r="I24" s="40"/>
      <c r="J24" s="41"/>
    </row>
    <row r="25" spans="1:10" ht="50.1" customHeight="1" x14ac:dyDescent="0.2">
      <c r="A25" s="10"/>
      <c r="B25" s="85" t="s">
        <v>52</v>
      </c>
      <c r="C25" s="86"/>
      <c r="D25" s="86"/>
      <c r="E25" s="8">
        <v>5</v>
      </c>
      <c r="F25" s="13" t="s">
        <v>26</v>
      </c>
      <c r="G25" s="24" t="str">
        <f t="shared" si="0"/>
        <v/>
      </c>
      <c r="H25" s="25" t="str">
        <f t="shared" si="1"/>
        <v/>
      </c>
      <c r="I25" s="40"/>
      <c r="J25" s="41"/>
    </row>
    <row r="26" spans="1:10" ht="39.950000000000003" customHeight="1" thickBot="1" x14ac:dyDescent="0.25">
      <c r="A26" s="10"/>
      <c r="B26" s="87" t="s">
        <v>53</v>
      </c>
      <c r="C26" s="88"/>
      <c r="D26" s="88"/>
      <c r="E26" s="19">
        <v>5</v>
      </c>
      <c r="F26" s="15" t="s">
        <v>26</v>
      </c>
      <c r="G26" s="27" t="str">
        <f t="shared" si="0"/>
        <v/>
      </c>
      <c r="H26" s="28" t="str">
        <f t="shared" si="1"/>
        <v/>
      </c>
      <c r="I26" s="42"/>
      <c r="J26" s="43"/>
    </row>
    <row r="27" spans="1:10" ht="30" customHeight="1" x14ac:dyDescent="0.2">
      <c r="A27" s="10"/>
      <c r="B27" s="94" t="s">
        <v>54</v>
      </c>
      <c r="C27" s="95"/>
      <c r="D27" s="95"/>
      <c r="E27" s="95"/>
      <c r="F27" s="95"/>
      <c r="G27" s="95"/>
      <c r="H27" s="95"/>
      <c r="I27" s="95"/>
      <c r="J27" s="96"/>
    </row>
    <row r="28" spans="1:10" ht="39.950000000000003" customHeight="1" x14ac:dyDescent="0.2">
      <c r="A28" s="10"/>
      <c r="B28" s="85" t="s">
        <v>55</v>
      </c>
      <c r="C28" s="86"/>
      <c r="D28" s="86"/>
      <c r="E28" s="8">
        <v>5</v>
      </c>
      <c r="F28" s="13" t="s">
        <v>26</v>
      </c>
      <c r="G28" s="24" t="str">
        <f t="shared" si="0"/>
        <v/>
      </c>
      <c r="H28" s="25" t="str">
        <f t="shared" si="1"/>
        <v/>
      </c>
      <c r="I28" s="40"/>
      <c r="J28" s="41"/>
    </row>
    <row r="29" spans="1:10" ht="39.950000000000003" customHeight="1" x14ac:dyDescent="0.2">
      <c r="A29" s="10"/>
      <c r="B29" s="85" t="s">
        <v>56</v>
      </c>
      <c r="C29" s="86"/>
      <c r="D29" s="86"/>
      <c r="E29" s="8">
        <v>10</v>
      </c>
      <c r="F29" s="13" t="s">
        <v>26</v>
      </c>
      <c r="G29" s="24" t="str">
        <f t="shared" si="0"/>
        <v/>
      </c>
      <c r="H29" s="25" t="str">
        <f t="shared" si="1"/>
        <v/>
      </c>
      <c r="I29" s="40"/>
      <c r="J29" s="41"/>
    </row>
    <row r="30" spans="1:10" ht="30" customHeight="1" x14ac:dyDescent="0.2">
      <c r="A30" s="10"/>
      <c r="B30" s="85" t="s">
        <v>57</v>
      </c>
      <c r="C30" s="86"/>
      <c r="D30" s="86"/>
      <c r="E30" s="8">
        <v>5</v>
      </c>
      <c r="F30" s="13" t="s">
        <v>26</v>
      </c>
      <c r="G30" s="24" t="str">
        <f t="shared" si="0"/>
        <v/>
      </c>
      <c r="H30" s="25" t="str">
        <f t="shared" si="1"/>
        <v/>
      </c>
      <c r="I30" s="40"/>
      <c r="J30" s="41"/>
    </row>
    <row r="31" spans="1:10" ht="30" customHeight="1" x14ac:dyDescent="0.2">
      <c r="A31" s="10"/>
      <c r="B31" s="85" t="s">
        <v>58</v>
      </c>
      <c r="C31" s="86"/>
      <c r="D31" s="86"/>
      <c r="E31" s="8">
        <v>5</v>
      </c>
      <c r="F31" s="13" t="s">
        <v>26</v>
      </c>
      <c r="G31" s="24" t="str">
        <f t="shared" si="0"/>
        <v/>
      </c>
      <c r="H31" s="25" t="str">
        <f t="shared" si="1"/>
        <v/>
      </c>
      <c r="I31" s="40"/>
      <c r="J31" s="41"/>
    </row>
    <row r="32" spans="1:10" ht="30" customHeight="1" x14ac:dyDescent="0.2">
      <c r="A32" s="10"/>
      <c r="B32" s="85" t="s">
        <v>59</v>
      </c>
      <c r="C32" s="86"/>
      <c r="D32" s="86"/>
      <c r="E32" s="8">
        <v>5</v>
      </c>
      <c r="F32" s="13" t="s">
        <v>26</v>
      </c>
      <c r="G32" s="24" t="str">
        <f t="shared" si="0"/>
        <v/>
      </c>
      <c r="H32" s="25" t="str">
        <f t="shared" si="1"/>
        <v/>
      </c>
      <c r="I32" s="40"/>
      <c r="J32" s="41"/>
    </row>
    <row r="33" spans="1:10" ht="30" customHeight="1" x14ac:dyDescent="0.2">
      <c r="A33" s="10"/>
      <c r="B33" s="85" t="s">
        <v>60</v>
      </c>
      <c r="C33" s="86"/>
      <c r="D33" s="86"/>
      <c r="E33" s="8">
        <v>5</v>
      </c>
      <c r="F33" s="13" t="s">
        <v>26</v>
      </c>
      <c r="G33" s="24" t="str">
        <f t="shared" si="0"/>
        <v/>
      </c>
      <c r="H33" s="25" t="str">
        <f t="shared" si="1"/>
        <v/>
      </c>
      <c r="I33" s="40"/>
      <c r="J33" s="41"/>
    </row>
    <row r="34" spans="1:10" ht="30" customHeight="1" x14ac:dyDescent="0.2">
      <c r="A34" s="10"/>
      <c r="B34" s="85" t="s">
        <v>61</v>
      </c>
      <c r="C34" s="86"/>
      <c r="D34" s="86"/>
      <c r="E34" s="8">
        <v>5</v>
      </c>
      <c r="F34" s="13" t="s">
        <v>26</v>
      </c>
      <c r="G34" s="24" t="str">
        <f t="shared" si="0"/>
        <v/>
      </c>
      <c r="H34" s="25" t="str">
        <f t="shared" si="1"/>
        <v/>
      </c>
      <c r="I34" s="40"/>
      <c r="J34" s="41"/>
    </row>
    <row r="35" spans="1:10" ht="39.950000000000003" customHeight="1" thickBot="1" x14ac:dyDescent="0.25">
      <c r="A35" s="10"/>
      <c r="B35" s="87" t="s">
        <v>62</v>
      </c>
      <c r="C35" s="88"/>
      <c r="D35" s="88"/>
      <c r="E35" s="19">
        <v>10</v>
      </c>
      <c r="F35" s="15" t="s">
        <v>26</v>
      </c>
      <c r="G35" s="27" t="str">
        <f t="shared" si="0"/>
        <v/>
      </c>
      <c r="H35" s="28" t="str">
        <f t="shared" si="1"/>
        <v/>
      </c>
      <c r="I35" s="42"/>
      <c r="J35" s="43"/>
    </row>
    <row r="36" spans="1:10" ht="30" customHeight="1" x14ac:dyDescent="0.2">
      <c r="A36" s="10"/>
      <c r="B36" s="94" t="s">
        <v>63</v>
      </c>
      <c r="C36" s="95"/>
      <c r="D36" s="95"/>
      <c r="E36" s="95"/>
      <c r="F36" s="95"/>
      <c r="G36" s="95"/>
      <c r="H36" s="95"/>
      <c r="I36" s="95"/>
      <c r="J36" s="96"/>
    </row>
    <row r="37" spans="1:10" ht="30" customHeight="1" x14ac:dyDescent="0.2">
      <c r="A37" s="10"/>
      <c r="B37" s="85" t="s">
        <v>64</v>
      </c>
      <c r="C37" s="86"/>
      <c r="D37" s="86"/>
      <c r="E37" s="8">
        <v>10</v>
      </c>
      <c r="F37" s="13" t="s">
        <v>26</v>
      </c>
      <c r="G37" s="24" t="str">
        <f t="shared" si="0"/>
        <v/>
      </c>
      <c r="H37" s="25" t="str">
        <f t="shared" si="1"/>
        <v/>
      </c>
      <c r="I37" s="40"/>
      <c r="J37" s="41"/>
    </row>
    <row r="38" spans="1:10" ht="30" customHeight="1" x14ac:dyDescent="0.2">
      <c r="A38" s="10"/>
      <c r="B38" s="85" t="s">
        <v>65</v>
      </c>
      <c r="C38" s="86"/>
      <c r="D38" s="86"/>
      <c r="E38" s="8">
        <v>10</v>
      </c>
      <c r="F38" s="13" t="s">
        <v>26</v>
      </c>
      <c r="G38" s="24" t="str">
        <f t="shared" si="0"/>
        <v/>
      </c>
      <c r="H38" s="25" t="str">
        <f t="shared" si="1"/>
        <v/>
      </c>
      <c r="I38" s="40"/>
      <c r="J38" s="41"/>
    </row>
    <row r="39" spans="1:10" ht="30" customHeight="1" x14ac:dyDescent="0.2">
      <c r="A39" s="10"/>
      <c r="B39" s="85" t="s">
        <v>66</v>
      </c>
      <c r="C39" s="86"/>
      <c r="D39" s="86"/>
      <c r="E39" s="8">
        <v>10</v>
      </c>
      <c r="F39" s="13" t="s">
        <v>26</v>
      </c>
      <c r="G39" s="24" t="str">
        <f t="shared" si="0"/>
        <v/>
      </c>
      <c r="H39" s="25" t="str">
        <f t="shared" si="1"/>
        <v/>
      </c>
      <c r="I39" s="40"/>
      <c r="J39" s="41"/>
    </row>
    <row r="40" spans="1:10" ht="30" customHeight="1" thickBot="1" x14ac:dyDescent="0.25">
      <c r="A40" s="10"/>
      <c r="B40" s="87" t="s">
        <v>67</v>
      </c>
      <c r="C40" s="88"/>
      <c r="D40" s="88"/>
      <c r="E40" s="19">
        <v>10</v>
      </c>
      <c r="F40" s="15" t="s">
        <v>26</v>
      </c>
      <c r="G40" s="27" t="str">
        <f t="shared" si="0"/>
        <v/>
      </c>
      <c r="H40" s="28" t="str">
        <f t="shared" si="1"/>
        <v/>
      </c>
      <c r="I40" s="42"/>
      <c r="J40" s="43"/>
    </row>
    <row r="41" spans="1:10" ht="30" customHeight="1" x14ac:dyDescent="0.2">
      <c r="A41" s="10"/>
      <c r="B41" s="94" t="s">
        <v>68</v>
      </c>
      <c r="C41" s="95"/>
      <c r="D41" s="95"/>
      <c r="E41" s="95"/>
      <c r="F41" s="95"/>
      <c r="G41" s="95"/>
      <c r="H41" s="95"/>
      <c r="I41" s="95"/>
      <c r="J41" s="96"/>
    </row>
    <row r="42" spans="1:10" ht="30" customHeight="1" x14ac:dyDescent="0.2">
      <c r="A42" s="10"/>
      <c r="B42" s="85" t="s">
        <v>69</v>
      </c>
      <c r="C42" s="86"/>
      <c r="D42" s="86"/>
      <c r="E42" s="8">
        <v>5</v>
      </c>
      <c r="F42" s="13" t="s">
        <v>26</v>
      </c>
      <c r="G42" s="24" t="str">
        <f t="shared" si="0"/>
        <v/>
      </c>
      <c r="H42" s="25" t="str">
        <f t="shared" si="1"/>
        <v/>
      </c>
      <c r="I42" s="40"/>
      <c r="J42" s="41"/>
    </row>
    <row r="43" spans="1:10" ht="50.1" customHeight="1" x14ac:dyDescent="0.2">
      <c r="A43" s="10"/>
      <c r="B43" s="85" t="s">
        <v>70</v>
      </c>
      <c r="C43" s="86"/>
      <c r="D43" s="86"/>
      <c r="E43" s="8">
        <v>5</v>
      </c>
      <c r="F43" s="13" t="s">
        <v>26</v>
      </c>
      <c r="G43" s="24" t="str">
        <f t="shared" si="0"/>
        <v/>
      </c>
      <c r="H43" s="25" t="str">
        <f t="shared" si="1"/>
        <v/>
      </c>
      <c r="I43" s="40"/>
      <c r="J43" s="41"/>
    </row>
    <row r="44" spans="1:10" ht="30" customHeight="1" x14ac:dyDescent="0.2">
      <c r="A44" s="10"/>
      <c r="B44" s="85" t="s">
        <v>71</v>
      </c>
      <c r="C44" s="86"/>
      <c r="D44" s="86"/>
      <c r="E44" s="8">
        <v>5</v>
      </c>
      <c r="F44" s="13" t="s">
        <v>26</v>
      </c>
      <c r="G44" s="24" t="str">
        <f t="shared" si="0"/>
        <v/>
      </c>
      <c r="H44" s="25" t="str">
        <f t="shared" si="1"/>
        <v/>
      </c>
      <c r="I44" s="40"/>
      <c r="J44" s="41"/>
    </row>
    <row r="45" spans="1:10" ht="30" customHeight="1" x14ac:dyDescent="0.2">
      <c r="A45" s="10"/>
      <c r="B45" s="85" t="s">
        <v>72</v>
      </c>
      <c r="C45" s="86"/>
      <c r="D45" s="86"/>
      <c r="E45" s="8">
        <v>5</v>
      </c>
      <c r="F45" s="13" t="s">
        <v>26</v>
      </c>
      <c r="G45" s="24" t="str">
        <f t="shared" si="0"/>
        <v/>
      </c>
      <c r="H45" s="25" t="str">
        <f t="shared" si="1"/>
        <v/>
      </c>
      <c r="I45" s="40"/>
      <c r="J45" s="41"/>
    </row>
    <row r="46" spans="1:10" ht="30" customHeight="1" x14ac:dyDescent="0.2">
      <c r="A46" s="10"/>
      <c r="B46" s="85" t="s">
        <v>73</v>
      </c>
      <c r="C46" s="86"/>
      <c r="D46" s="86"/>
      <c r="E46" s="8">
        <v>5</v>
      </c>
      <c r="F46" s="13" t="s">
        <v>26</v>
      </c>
      <c r="G46" s="24" t="str">
        <f t="shared" si="0"/>
        <v/>
      </c>
      <c r="H46" s="25" t="str">
        <f t="shared" si="1"/>
        <v/>
      </c>
      <c r="I46" s="40"/>
      <c r="J46" s="41"/>
    </row>
    <row r="47" spans="1:10" ht="30" customHeight="1" x14ac:dyDescent="0.2">
      <c r="A47" s="10"/>
      <c r="B47" s="85" t="s">
        <v>74</v>
      </c>
      <c r="C47" s="86"/>
      <c r="D47" s="86"/>
      <c r="E47" s="8">
        <v>5</v>
      </c>
      <c r="F47" s="13" t="s">
        <v>26</v>
      </c>
      <c r="G47" s="24" t="str">
        <f t="shared" si="0"/>
        <v/>
      </c>
      <c r="H47" s="25" t="str">
        <f t="shared" si="1"/>
        <v/>
      </c>
      <c r="I47" s="40"/>
      <c r="J47" s="41"/>
    </row>
    <row r="48" spans="1:10" ht="39.950000000000003" customHeight="1" x14ac:dyDescent="0.2">
      <c r="A48" s="10"/>
      <c r="B48" s="85" t="s">
        <v>75</v>
      </c>
      <c r="C48" s="86"/>
      <c r="D48" s="86"/>
      <c r="E48" s="8">
        <v>5</v>
      </c>
      <c r="F48" s="13" t="s">
        <v>26</v>
      </c>
      <c r="G48" s="24" t="str">
        <f t="shared" si="0"/>
        <v/>
      </c>
      <c r="H48" s="25" t="str">
        <f t="shared" si="1"/>
        <v/>
      </c>
      <c r="I48" s="40"/>
      <c r="J48" s="41"/>
    </row>
    <row r="49" spans="1:10" ht="30" customHeight="1" x14ac:dyDescent="0.2">
      <c r="A49" s="10"/>
      <c r="B49" s="85" t="s">
        <v>76</v>
      </c>
      <c r="C49" s="86"/>
      <c r="D49" s="86"/>
      <c r="E49" s="8">
        <v>5</v>
      </c>
      <c r="F49" s="13" t="s">
        <v>26</v>
      </c>
      <c r="G49" s="24" t="str">
        <f t="shared" si="0"/>
        <v/>
      </c>
      <c r="H49" s="25" t="str">
        <f t="shared" si="1"/>
        <v/>
      </c>
      <c r="I49" s="40"/>
      <c r="J49" s="41"/>
    </row>
    <row r="50" spans="1:10" ht="30" customHeight="1" x14ac:dyDescent="0.2">
      <c r="A50" s="10"/>
      <c r="B50" s="85" t="s">
        <v>77</v>
      </c>
      <c r="C50" s="86"/>
      <c r="D50" s="86"/>
      <c r="E50" s="8">
        <v>5</v>
      </c>
      <c r="F50" s="13" t="s">
        <v>26</v>
      </c>
      <c r="G50" s="24" t="str">
        <f t="shared" si="0"/>
        <v/>
      </c>
      <c r="H50" s="25" t="str">
        <f t="shared" si="1"/>
        <v/>
      </c>
      <c r="I50" s="40"/>
      <c r="J50" s="41"/>
    </row>
    <row r="51" spans="1:10" ht="30" customHeight="1" x14ac:dyDescent="0.2">
      <c r="A51" s="10"/>
      <c r="B51" s="85" t="s">
        <v>78</v>
      </c>
      <c r="C51" s="86"/>
      <c r="D51" s="86"/>
      <c r="E51" s="8">
        <v>5</v>
      </c>
      <c r="F51" s="13" t="s">
        <v>26</v>
      </c>
      <c r="G51" s="24" t="str">
        <f t="shared" si="0"/>
        <v/>
      </c>
      <c r="H51" s="25" t="str">
        <f t="shared" si="1"/>
        <v/>
      </c>
      <c r="I51" s="40"/>
      <c r="J51" s="41"/>
    </row>
    <row r="52" spans="1:10" ht="30" customHeight="1" x14ac:dyDescent="0.2">
      <c r="A52" s="10"/>
      <c r="B52" s="85" t="s">
        <v>79</v>
      </c>
      <c r="C52" s="86"/>
      <c r="D52" s="86"/>
      <c r="E52" s="26"/>
      <c r="F52" s="13"/>
      <c r="G52" s="24"/>
      <c r="H52" s="25"/>
      <c r="I52" s="40"/>
      <c r="J52" s="41"/>
    </row>
    <row r="53" spans="1:10" ht="30" customHeight="1" x14ac:dyDescent="0.2">
      <c r="A53" s="10"/>
      <c r="B53" s="92" t="s">
        <v>80</v>
      </c>
      <c r="C53" s="93"/>
      <c r="D53" s="93"/>
      <c r="E53" s="20">
        <v>5</v>
      </c>
      <c r="F53" s="13" t="s">
        <v>26</v>
      </c>
      <c r="G53" s="24" t="str">
        <f t="shared" si="0"/>
        <v/>
      </c>
      <c r="H53" s="25" t="str">
        <f t="shared" si="1"/>
        <v/>
      </c>
      <c r="I53" s="40"/>
      <c r="J53" s="41"/>
    </row>
    <row r="54" spans="1:10" ht="30" customHeight="1" x14ac:dyDescent="0.2">
      <c r="A54" s="10"/>
      <c r="B54" s="92" t="s">
        <v>81</v>
      </c>
      <c r="C54" s="93"/>
      <c r="D54" s="93"/>
      <c r="E54" s="20">
        <v>5</v>
      </c>
      <c r="F54" s="13" t="s">
        <v>26</v>
      </c>
      <c r="G54" s="24" t="str">
        <f t="shared" si="0"/>
        <v/>
      </c>
      <c r="H54" s="25" t="str">
        <f t="shared" si="1"/>
        <v/>
      </c>
      <c r="I54" s="40"/>
      <c r="J54" s="41"/>
    </row>
    <row r="55" spans="1:10" ht="50.1" customHeight="1" x14ac:dyDescent="0.2">
      <c r="A55" s="10"/>
      <c r="B55" s="92" t="s">
        <v>82</v>
      </c>
      <c r="C55" s="93"/>
      <c r="D55" s="93"/>
      <c r="E55" s="20">
        <v>5</v>
      </c>
      <c r="F55" s="13" t="s">
        <v>26</v>
      </c>
      <c r="G55" s="24" t="str">
        <f t="shared" si="0"/>
        <v/>
      </c>
      <c r="H55" s="25" t="str">
        <f t="shared" si="1"/>
        <v/>
      </c>
      <c r="I55" s="40"/>
      <c r="J55" s="41"/>
    </row>
    <row r="56" spans="1:10" ht="30" customHeight="1" x14ac:dyDescent="0.2">
      <c r="A56" s="10"/>
      <c r="B56" s="92" t="s">
        <v>83</v>
      </c>
      <c r="C56" s="93"/>
      <c r="D56" s="93"/>
      <c r="E56" s="20">
        <v>5</v>
      </c>
      <c r="F56" s="13" t="s">
        <v>26</v>
      </c>
      <c r="G56" s="24" t="str">
        <f t="shared" si="0"/>
        <v/>
      </c>
      <c r="H56" s="25" t="str">
        <f t="shared" si="1"/>
        <v/>
      </c>
      <c r="I56" s="40"/>
      <c r="J56" s="41"/>
    </row>
    <row r="57" spans="1:10" ht="30" customHeight="1" x14ac:dyDescent="0.2">
      <c r="A57" s="10"/>
      <c r="B57" s="92" t="s">
        <v>84</v>
      </c>
      <c r="C57" s="93"/>
      <c r="D57" s="93"/>
      <c r="E57" s="20">
        <v>5</v>
      </c>
      <c r="F57" s="13" t="s">
        <v>26</v>
      </c>
      <c r="G57" s="24" t="str">
        <f t="shared" si="0"/>
        <v/>
      </c>
      <c r="H57" s="25" t="str">
        <f t="shared" si="1"/>
        <v/>
      </c>
      <c r="I57" s="40"/>
      <c r="J57" s="41"/>
    </row>
    <row r="58" spans="1:10" ht="30" customHeight="1" x14ac:dyDescent="0.2">
      <c r="A58" s="10"/>
      <c r="B58" s="92" t="s">
        <v>85</v>
      </c>
      <c r="C58" s="93"/>
      <c r="D58" s="93"/>
      <c r="E58" s="20">
        <v>5</v>
      </c>
      <c r="F58" s="13" t="s">
        <v>26</v>
      </c>
      <c r="G58" s="24" t="str">
        <f t="shared" si="0"/>
        <v/>
      </c>
      <c r="H58" s="25" t="str">
        <f t="shared" si="1"/>
        <v/>
      </c>
      <c r="I58" s="40"/>
      <c r="J58" s="41"/>
    </row>
    <row r="59" spans="1:10" ht="30" customHeight="1" x14ac:dyDescent="0.2">
      <c r="A59" s="10"/>
      <c r="B59" s="92" t="s">
        <v>86</v>
      </c>
      <c r="C59" s="93"/>
      <c r="D59" s="93"/>
      <c r="E59" s="20">
        <v>5</v>
      </c>
      <c r="F59" s="13" t="s">
        <v>26</v>
      </c>
      <c r="G59" s="24" t="str">
        <f t="shared" si="0"/>
        <v/>
      </c>
      <c r="H59" s="25" t="str">
        <f t="shared" si="1"/>
        <v/>
      </c>
      <c r="I59" s="40"/>
      <c r="J59" s="41"/>
    </row>
    <row r="60" spans="1:10" ht="30" customHeight="1" x14ac:dyDescent="0.2">
      <c r="A60" s="10"/>
      <c r="B60" s="92" t="s">
        <v>87</v>
      </c>
      <c r="C60" s="93"/>
      <c r="D60" s="93"/>
      <c r="E60" s="20">
        <v>5</v>
      </c>
      <c r="F60" s="13" t="s">
        <v>26</v>
      </c>
      <c r="G60" s="24" t="str">
        <f t="shared" si="0"/>
        <v/>
      </c>
      <c r="H60" s="25" t="str">
        <f t="shared" si="1"/>
        <v/>
      </c>
      <c r="I60" s="40"/>
      <c r="J60" s="41"/>
    </row>
    <row r="61" spans="1:10" ht="30" customHeight="1" x14ac:dyDescent="0.2">
      <c r="A61" s="10"/>
      <c r="B61" s="92" t="s">
        <v>88</v>
      </c>
      <c r="C61" s="93"/>
      <c r="D61" s="93"/>
      <c r="E61" s="20">
        <v>5</v>
      </c>
      <c r="F61" s="13" t="s">
        <v>26</v>
      </c>
      <c r="G61" s="24" t="str">
        <f t="shared" si="0"/>
        <v/>
      </c>
      <c r="H61" s="25" t="str">
        <f t="shared" si="1"/>
        <v/>
      </c>
      <c r="I61" s="40"/>
      <c r="J61" s="41"/>
    </row>
    <row r="62" spans="1:10" ht="30" customHeight="1" x14ac:dyDescent="0.2">
      <c r="A62" s="10"/>
      <c r="B62" s="92" t="s">
        <v>89</v>
      </c>
      <c r="C62" s="93"/>
      <c r="D62" s="93"/>
      <c r="E62" s="20">
        <v>5</v>
      </c>
      <c r="F62" s="13" t="s">
        <v>26</v>
      </c>
      <c r="G62" s="24" t="str">
        <f t="shared" si="0"/>
        <v/>
      </c>
      <c r="H62" s="25" t="str">
        <f t="shared" si="1"/>
        <v/>
      </c>
      <c r="I62" s="40"/>
      <c r="J62" s="41"/>
    </row>
    <row r="63" spans="1:10" ht="30" customHeight="1" x14ac:dyDescent="0.2">
      <c r="A63" s="10"/>
      <c r="B63" s="92" t="s">
        <v>90</v>
      </c>
      <c r="C63" s="93"/>
      <c r="D63" s="93"/>
      <c r="E63" s="20">
        <v>5</v>
      </c>
      <c r="F63" s="13" t="s">
        <v>26</v>
      </c>
      <c r="G63" s="24" t="str">
        <f t="shared" si="0"/>
        <v/>
      </c>
      <c r="H63" s="25" t="str">
        <f t="shared" si="1"/>
        <v/>
      </c>
      <c r="I63" s="40"/>
      <c r="J63" s="41"/>
    </row>
    <row r="64" spans="1:10" ht="30" customHeight="1" thickBot="1" x14ac:dyDescent="0.25">
      <c r="A64" s="10"/>
      <c r="B64" s="101" t="s">
        <v>91</v>
      </c>
      <c r="C64" s="102"/>
      <c r="D64" s="102"/>
      <c r="E64" s="21">
        <v>5</v>
      </c>
      <c r="F64" s="15" t="s">
        <v>26</v>
      </c>
      <c r="G64" s="27" t="str">
        <f t="shared" si="0"/>
        <v/>
      </c>
      <c r="H64" s="28" t="str">
        <f t="shared" si="1"/>
        <v/>
      </c>
      <c r="I64" s="42"/>
      <c r="J64" s="43"/>
    </row>
    <row r="65" spans="1:10" ht="30" customHeight="1" x14ac:dyDescent="0.2">
      <c r="A65" s="10"/>
      <c r="B65" s="94" t="s">
        <v>92</v>
      </c>
      <c r="C65" s="95"/>
      <c r="D65" s="95"/>
      <c r="E65" s="95"/>
      <c r="F65" s="95"/>
      <c r="G65" s="95"/>
      <c r="H65" s="95"/>
      <c r="I65" s="95"/>
      <c r="J65" s="96"/>
    </row>
    <row r="66" spans="1:10" ht="30" customHeight="1" x14ac:dyDescent="0.2">
      <c r="A66" s="10"/>
      <c r="B66" s="85" t="s">
        <v>93</v>
      </c>
      <c r="C66" s="86"/>
      <c r="D66" s="86"/>
      <c r="E66" s="8">
        <v>5</v>
      </c>
      <c r="F66" s="13" t="s">
        <v>26</v>
      </c>
      <c r="G66" s="24" t="str">
        <f t="shared" si="0"/>
        <v/>
      </c>
      <c r="H66" s="25" t="str">
        <f t="shared" si="1"/>
        <v/>
      </c>
      <c r="I66" s="40"/>
      <c r="J66" s="41"/>
    </row>
    <row r="67" spans="1:10" ht="30" customHeight="1" x14ac:dyDescent="0.2">
      <c r="A67" s="10"/>
      <c r="B67" s="85" t="s">
        <v>94</v>
      </c>
      <c r="C67" s="86"/>
      <c r="D67" s="86"/>
      <c r="E67" s="8">
        <v>5</v>
      </c>
      <c r="F67" s="13" t="s">
        <v>26</v>
      </c>
      <c r="G67" s="24" t="str">
        <f t="shared" si="0"/>
        <v/>
      </c>
      <c r="H67" s="25" t="str">
        <f t="shared" si="1"/>
        <v/>
      </c>
      <c r="I67" s="40"/>
      <c r="J67" s="41"/>
    </row>
    <row r="68" spans="1:10" ht="30" customHeight="1" x14ac:dyDescent="0.2">
      <c r="A68" s="10"/>
      <c r="B68" s="85" t="s">
        <v>95</v>
      </c>
      <c r="C68" s="86"/>
      <c r="D68" s="86"/>
      <c r="E68" s="8">
        <v>5</v>
      </c>
      <c r="F68" s="13" t="s">
        <v>26</v>
      </c>
      <c r="G68" s="24" t="str">
        <f t="shared" si="0"/>
        <v/>
      </c>
      <c r="H68" s="25" t="str">
        <f t="shared" si="1"/>
        <v/>
      </c>
      <c r="I68" s="40"/>
      <c r="J68" s="41"/>
    </row>
    <row r="69" spans="1:10" ht="30" customHeight="1" x14ac:dyDescent="0.2">
      <c r="A69" s="10"/>
      <c r="B69" s="85" t="s">
        <v>96</v>
      </c>
      <c r="C69" s="86"/>
      <c r="D69" s="86"/>
      <c r="E69" s="8">
        <v>5</v>
      </c>
      <c r="F69" s="13" t="s">
        <v>26</v>
      </c>
      <c r="G69" s="24" t="str">
        <f t="shared" si="0"/>
        <v/>
      </c>
      <c r="H69" s="25" t="str">
        <f t="shared" si="1"/>
        <v/>
      </c>
      <c r="I69" s="40"/>
      <c r="J69" s="41"/>
    </row>
    <row r="70" spans="1:10" ht="30" customHeight="1" x14ac:dyDescent="0.2">
      <c r="A70" s="10"/>
      <c r="B70" s="85" t="s">
        <v>97</v>
      </c>
      <c r="C70" s="86"/>
      <c r="D70" s="86"/>
      <c r="E70" s="8">
        <v>5</v>
      </c>
      <c r="F70" s="13" t="s">
        <v>26</v>
      </c>
      <c r="G70" s="24" t="str">
        <f t="shared" si="0"/>
        <v/>
      </c>
      <c r="H70" s="25" t="str">
        <f t="shared" si="1"/>
        <v/>
      </c>
      <c r="I70" s="40"/>
      <c r="J70" s="41"/>
    </row>
    <row r="71" spans="1:10" ht="30" customHeight="1" thickBot="1" x14ac:dyDescent="0.25">
      <c r="A71" s="10"/>
      <c r="B71" s="87" t="s">
        <v>98</v>
      </c>
      <c r="C71" s="88"/>
      <c r="D71" s="88"/>
      <c r="E71" s="19">
        <v>5</v>
      </c>
      <c r="F71" s="15" t="s">
        <v>26</v>
      </c>
      <c r="G71" s="27" t="str">
        <f t="shared" si="0"/>
        <v/>
      </c>
      <c r="H71" s="28" t="str">
        <f t="shared" si="1"/>
        <v/>
      </c>
      <c r="I71" s="42"/>
      <c r="J71" s="43"/>
    </row>
    <row r="72" spans="1:10" ht="30" customHeight="1" thickBot="1" x14ac:dyDescent="0.25">
      <c r="A72" s="10"/>
      <c r="B72" s="97" t="s">
        <v>99</v>
      </c>
      <c r="C72" s="98"/>
      <c r="D72" s="98"/>
      <c r="E72" s="9">
        <v>5</v>
      </c>
      <c r="F72" s="29" t="s">
        <v>26</v>
      </c>
      <c r="G72" s="30" t="str">
        <f t="shared" ref="G72" si="2">IFERROR(F72/E72,"")</f>
        <v/>
      </c>
      <c r="H72" s="14" t="str">
        <f t="shared" ref="H72" si="3">_xlfn.IFS(F72="أدخل العلامة","",F72="لا ينطبق","تم الإلغاء",G72&gt;=90%,"ممتاز",G72&gt;=80%,"جيد جداً",G72&gt;=70%,"جيد",G72&gt;=60%,"مقبول",G72&lt;60%,"راسب")</f>
        <v/>
      </c>
      <c r="I72" s="99"/>
      <c r="J72" s="100"/>
    </row>
    <row r="73" spans="1:10" ht="30" customHeight="1" thickBot="1" x14ac:dyDescent="0.25">
      <c r="A73" s="3"/>
      <c r="B73" s="79" t="s">
        <v>5</v>
      </c>
      <c r="C73" s="80"/>
      <c r="D73" s="80"/>
      <c r="E73" s="22">
        <f>SUM(E8:E72)</f>
        <v>300</v>
      </c>
      <c r="F73" s="22">
        <f>SUM(F8:F72)</f>
        <v>0</v>
      </c>
      <c r="G73" s="46"/>
      <c r="H73" s="47"/>
      <c r="I73" s="47"/>
      <c r="J73" s="48"/>
    </row>
    <row r="74" spans="1:10" ht="30" customHeight="1" thickBot="1" x14ac:dyDescent="0.25">
      <c r="A74" s="3"/>
      <c r="B74" s="81" t="s">
        <v>20</v>
      </c>
      <c r="C74" s="82"/>
      <c r="D74" s="82"/>
      <c r="E74" s="63">
        <f>F73/E73/100*100</f>
        <v>0</v>
      </c>
      <c r="F74" s="63"/>
      <c r="G74" s="63"/>
      <c r="H74" s="63"/>
      <c r="I74" s="63"/>
      <c r="J74" s="64"/>
    </row>
    <row r="75" spans="1:10" ht="30" customHeight="1" thickBot="1" x14ac:dyDescent="0.25">
      <c r="A75" s="3"/>
      <c r="B75" s="81" t="s">
        <v>21</v>
      </c>
      <c r="C75" s="82"/>
      <c r="D75" s="82"/>
      <c r="E75" s="77" t="str">
        <f>_xlfn.IFS(E74&gt;=90%,"ممتاز",E74&gt;=80%,"جيد جداً",E74&gt;=70%,"جيد",E74&gt;=60%,"مقبول",E74&lt;60%,"راسب")</f>
        <v>راسب</v>
      </c>
      <c r="F75" s="77"/>
      <c r="G75" s="77"/>
      <c r="H75" s="77"/>
      <c r="I75" s="77"/>
      <c r="J75" s="78"/>
    </row>
    <row r="76" spans="1:10" ht="42" customHeight="1" x14ac:dyDescent="0.2">
      <c r="B76" s="73" t="s">
        <v>27</v>
      </c>
      <c r="C76" s="73"/>
      <c r="D76" s="73"/>
      <c r="E76" s="44" t="s">
        <v>18</v>
      </c>
      <c r="F76" s="44"/>
      <c r="G76" s="75" t="s">
        <v>24</v>
      </c>
      <c r="H76" s="75"/>
      <c r="I76" s="75"/>
      <c r="J76" s="75"/>
    </row>
    <row r="77" spans="1:10" ht="51" customHeight="1" x14ac:dyDescent="0.2">
      <c r="A77" s="4"/>
      <c r="B77" s="74"/>
      <c r="C77" s="74"/>
      <c r="D77" s="74"/>
      <c r="E77" s="45" t="s">
        <v>19</v>
      </c>
      <c r="F77" s="45"/>
      <c r="G77" s="76"/>
      <c r="H77" s="76"/>
      <c r="I77" s="76"/>
      <c r="J77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B8:J8"/>
    <mergeCell ref="B27:J27"/>
    <mergeCell ref="B36:J36"/>
    <mergeCell ref="B41:J41"/>
    <mergeCell ref="B52:D52"/>
    <mergeCell ref="B65:J65"/>
    <mergeCell ref="B72:D72"/>
    <mergeCell ref="I72:J72"/>
    <mergeCell ref="B62:D62"/>
    <mergeCell ref="B63:D63"/>
    <mergeCell ref="B64:D64"/>
    <mergeCell ref="B66:D66"/>
    <mergeCell ref="B67:D67"/>
    <mergeCell ref="B68:D68"/>
    <mergeCell ref="B69:D69"/>
    <mergeCell ref="B70:D70"/>
    <mergeCell ref="B71:D71"/>
    <mergeCell ref="B53:D53"/>
    <mergeCell ref="B54:D54"/>
    <mergeCell ref="B55:D55"/>
    <mergeCell ref="B56:D56"/>
    <mergeCell ref="B57:D57"/>
    <mergeCell ref="B58:D58"/>
    <mergeCell ref="B59:D59"/>
    <mergeCell ref="B42:D42"/>
    <mergeCell ref="B60:D60"/>
    <mergeCell ref="B61:D61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9:D9"/>
    <mergeCell ref="E9:E14"/>
    <mergeCell ref="B15:D15"/>
    <mergeCell ref="B16:D16"/>
    <mergeCell ref="B17:D17"/>
    <mergeCell ref="B18:D18"/>
    <mergeCell ref="B19:D19"/>
    <mergeCell ref="B20:D20"/>
    <mergeCell ref="B21:D21"/>
    <mergeCell ref="B73:D73"/>
    <mergeCell ref="B74:D74"/>
    <mergeCell ref="B75:D75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64:J64"/>
    <mergeCell ref="I66:J66"/>
    <mergeCell ref="I67:J67"/>
    <mergeCell ref="B22:D22"/>
    <mergeCell ref="B23:D23"/>
    <mergeCell ref="B24:D24"/>
    <mergeCell ref="B25:D25"/>
    <mergeCell ref="B26:D26"/>
    <mergeCell ref="B28:D28"/>
    <mergeCell ref="B29:D29"/>
    <mergeCell ref="B30:D30"/>
    <mergeCell ref="B76:D77"/>
    <mergeCell ref="G76:J76"/>
    <mergeCell ref="G77:J77"/>
    <mergeCell ref="E75:J75"/>
    <mergeCell ref="I40:J40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63:J63"/>
    <mergeCell ref="B1:J1"/>
    <mergeCell ref="F2:J2"/>
    <mergeCell ref="B5:D6"/>
    <mergeCell ref="C2:D2"/>
    <mergeCell ref="C3:D3"/>
    <mergeCell ref="F3:J3"/>
    <mergeCell ref="E74:J7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4:J24"/>
    <mergeCell ref="I25:J25"/>
    <mergeCell ref="I32:J32"/>
    <mergeCell ref="F9:F14"/>
    <mergeCell ref="H9:H14"/>
    <mergeCell ref="G9:G14"/>
    <mergeCell ref="I68:J68"/>
    <mergeCell ref="I69:J69"/>
    <mergeCell ref="I70:J70"/>
    <mergeCell ref="I71:J71"/>
    <mergeCell ref="E76:F76"/>
    <mergeCell ref="E77:F77"/>
    <mergeCell ref="G73:J73"/>
    <mergeCell ref="I9:J14"/>
    <mergeCell ref="I33:J33"/>
    <mergeCell ref="I34:J34"/>
    <mergeCell ref="I35:J35"/>
  </mergeCells>
  <conditionalFormatting sqref="E75">
    <cfRule type="expression" dxfId="30" priority="64">
      <formula>$E75="راسب"</formula>
    </cfRule>
  </conditionalFormatting>
  <conditionalFormatting sqref="E75:J75">
    <cfRule type="expression" dxfId="29" priority="65">
      <formula>$E75="مقبول"</formula>
    </cfRule>
    <cfRule type="expression" dxfId="28" priority="66">
      <formula>$E75="جيد"</formula>
    </cfRule>
    <cfRule type="expression" dxfId="27" priority="67">
      <formula>$E75="جيد جداً"</formula>
    </cfRule>
    <cfRule type="expression" dxfId="26" priority="68">
      <formula>$E75="ممتاز"</formula>
    </cfRule>
  </conditionalFormatting>
  <conditionalFormatting sqref="H15:H26 H28:H35 H37:H40 H42:H64 H66:H71">
    <cfRule type="containsText" dxfId="25" priority="46" operator="containsText" text="ممتاز">
      <formula>NOT(ISERROR(SEARCH("ممتاز",H15)))</formula>
    </cfRule>
    <cfRule type="containsText" dxfId="24" priority="47" operator="containsText" text="جيد جداً">
      <formula>NOT(ISERROR(SEARCH("جيد جداً",H15)))</formula>
    </cfRule>
    <cfRule type="containsText" dxfId="23" priority="48" operator="containsText" text="جيد">
      <formula>NOT(ISERROR(SEARCH("جيد",H15)))</formula>
    </cfRule>
    <cfRule type="containsText" dxfId="22" priority="49" operator="containsText" text="مقبول">
      <formula>NOT(ISERROR(SEARCH("مقبول",H15)))</formula>
    </cfRule>
    <cfRule type="containsText" dxfId="21" priority="50" operator="containsText" text="راسب">
      <formula>NOT(ISERROR(SEARCH("راسب",H15)))</formula>
    </cfRule>
  </conditionalFormatting>
  <conditionalFormatting sqref="H15:H26 H28:H35 H37:H40 H42:H64 H66:H71">
    <cfRule type="containsText" dxfId="20" priority="45" operator="containsText" text="أدخل العلامة">
      <formula>NOT(ISERROR(SEARCH("أدخل العلامة",H15)))</formula>
    </cfRule>
  </conditionalFormatting>
  <conditionalFormatting sqref="F2:J2">
    <cfRule type="containsText" dxfId="19" priority="26" operator="containsText" text="أدخل التاريخ">
      <formula>NOT(ISERROR(SEARCH("أدخل التاريخ",F2)))</formula>
    </cfRule>
  </conditionalFormatting>
  <conditionalFormatting sqref="C2:D2">
    <cfRule type="containsText" dxfId="18" priority="25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7" priority="24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16" priority="23" operator="containsText" text="أدخل أسم المحكم">
      <formula>NOT(ISERROR(SEARCH("أدخل أسم المحكم",F3)))</formula>
    </cfRule>
  </conditionalFormatting>
  <conditionalFormatting sqref="G76:J76">
    <cfRule type="containsText" dxfId="15" priority="22" operator="containsText" text="أدخل اسم المحكم">
      <formula>NOT(ISERROR(SEARCH("أدخل اسم المحكم",G76)))</formula>
    </cfRule>
  </conditionalFormatting>
  <conditionalFormatting sqref="F15:F26 F28:F35 F37:F40 F42:F64 F66:F71">
    <cfRule type="containsText" dxfId="14" priority="21" operator="containsText" text="أدخل العلامة">
      <formula>NOT(ISERROR(SEARCH("أدخل العلامة",F15)))</formula>
    </cfRule>
  </conditionalFormatting>
  <conditionalFormatting sqref="H9">
    <cfRule type="containsText" dxfId="13" priority="13" operator="containsText" text="ممتاز">
      <formula>NOT(ISERROR(SEARCH("ممتاز",H9)))</formula>
    </cfRule>
    <cfRule type="containsText" dxfId="12" priority="14" operator="containsText" text="جيد جداً">
      <formula>NOT(ISERROR(SEARCH("جيد جداً",H9)))</formula>
    </cfRule>
    <cfRule type="containsText" dxfId="11" priority="15" operator="containsText" text="جيد">
      <formula>NOT(ISERROR(SEARCH("جيد",H9)))</formula>
    </cfRule>
    <cfRule type="containsText" dxfId="10" priority="16" operator="containsText" text="مقبول">
      <formula>NOT(ISERROR(SEARCH("مقبول",H9)))</formula>
    </cfRule>
    <cfRule type="containsText" dxfId="9" priority="17" operator="containsText" text="راسب">
      <formula>NOT(ISERROR(SEARCH("راسب",H9)))</formula>
    </cfRule>
  </conditionalFormatting>
  <conditionalFormatting sqref="H9">
    <cfRule type="containsText" dxfId="8" priority="12" operator="containsText" text="أدخل العلامة">
      <formula>NOT(ISERROR(SEARCH("أدخل العلامة",H9)))</formula>
    </cfRule>
  </conditionalFormatting>
  <conditionalFormatting sqref="F9">
    <cfRule type="containsText" dxfId="7" priority="11" operator="containsText" text="أدخل العلامة">
      <formula>NOT(ISERROR(SEARCH("أدخل العلامة",F9)))</formula>
    </cfRule>
  </conditionalFormatting>
  <conditionalFormatting sqref="H72">
    <cfRule type="containsText" dxfId="6" priority="3" operator="containsText" text="ممتاز">
      <formula>NOT(ISERROR(SEARCH("ممتاز",H72)))</formula>
    </cfRule>
    <cfRule type="containsText" dxfId="5" priority="4" operator="containsText" text="جيد جداً">
      <formula>NOT(ISERROR(SEARCH("جيد جداً",H72)))</formula>
    </cfRule>
    <cfRule type="containsText" dxfId="4" priority="5" operator="containsText" text="جيد">
      <formula>NOT(ISERROR(SEARCH("جيد",H72)))</formula>
    </cfRule>
    <cfRule type="containsText" dxfId="3" priority="6" operator="containsText" text="مقبول">
      <formula>NOT(ISERROR(SEARCH("مقبول",H72)))</formula>
    </cfRule>
    <cfRule type="containsText" dxfId="2" priority="7" operator="containsText" text="راسب">
      <formula>NOT(ISERROR(SEARCH("راسب",H72)))</formula>
    </cfRule>
  </conditionalFormatting>
  <conditionalFormatting sqref="H72">
    <cfRule type="containsText" dxfId="1" priority="2" operator="containsText" text="أدخل العلامة">
      <formula>NOT(ISERROR(SEARCH("أدخل العلامة",H72)))</formula>
    </cfRule>
  </conditionalFormatting>
  <conditionalFormatting sqref="F72">
    <cfRule type="containsText" dxfId="0" priority="1" operator="containsText" text="أدخل العلامة">
      <formula>NOT(ISERROR(SEARCH("أدخل العلامة",F72)))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F30:F34 F42:F64 F66:F72 F28 F9 F15:F26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F3:J3 C3:D3</xm:sqref>
        </x14:dataValidation>
        <x14:dataValidation type="list" allowBlank="1" showInputMessage="1" showErrorMessage="1" xr:uid="{565B9910-07B5-461B-9409-16ED64F70BE7}">
          <x14:formula1>
            <xm:f>#REF!</xm:f>
          </x14:formula1>
          <xm:sqref>F29 F35 F37 F38 F39 F40</xm:sqref>
        </x14:dataValidation>
        <x14:dataValidation type="list" allowBlank="1" showInputMessage="1" showErrorMessage="1" xr:uid="{95BB3571-28A5-4321-BC39-AF98D72DA03D}">
          <x14:formula1>
            <xm:f>#REF!</xm:f>
          </x14:formula1>
          <xm:sqref>G76:J76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2026-08-30T04:35:51Z</dcterms:modified>
</cp:coreProperties>
</file>