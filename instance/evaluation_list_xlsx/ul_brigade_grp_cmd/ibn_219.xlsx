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38542F6-3D96-EA41-822A-A9D428EB582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<sst xmlns="http://schemas.openxmlformats.org/spreadsheetml/2006/main" count="305" uniqueCount="249">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</sst>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322225</xdr:colOff>
      <xdr:row>78</xdr:row>
      <xdr:rowOff>137135</xdr:rowOff>
    </xdr:from>
    <xdr:to>
      <xdr:col>9</xdr:col>
      <xdr:colOff>753834</xdr:colOff>
      <xdr:row>79</xdr:row>
      <xdr:rowOff>463923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12A4698-E00B-EEC3-9194-64DB266962DC}"/>
                </a:ext>
              </a:extLst>
            </xdr14:cNvPr>
            <xdr14:cNvContentPartPr/>
          </xdr14:nvContentPartPr>
          <xdr14:nvPr macro=""/>
          <xdr14:xfrm>
            <a:off x="10397832985" y="31009680"/>
            <a:ext cx="2405880" cy="857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12A4698-E00B-EEC3-9194-64DB266962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824345" y="31001040"/>
              <a:ext cx="2423520" cy="87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132495</xdr:colOff>
      <xdr:row>79</xdr:row>
      <xdr:rowOff>200763</xdr:rowOff>
    </xdr:from>
    <xdr:to>
      <xdr:col>9</xdr:col>
      <xdr:colOff>386634</xdr:colOff>
      <xdr:row>79</xdr:row>
      <xdr:rowOff>569043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79A18F3-E7EE-DEB8-5768-C518DE0F8A47}"/>
                </a:ext>
              </a:extLst>
            </xdr14:cNvPr>
            <xdr14:cNvContentPartPr/>
          </xdr14:nvContentPartPr>
          <xdr14:nvPr macro=""/>
          <xdr14:xfrm>
            <a:off x="10398200185" y="31604400"/>
            <a:ext cx="1570320" cy="368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79A18F3-E7EE-DEB8-5768-C518DE0F8A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91185" y="31595400"/>
              <a:ext cx="1587960" cy="385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23:02.4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4263 2352 3912,'0'0'0,"31"-4"560,-31 4-560,39-12 313,14 8-185,-5 1-32,-3 3-48,-45 0-48,44 3 32,-8 1-80,-5 0-88,-5 9 32,-26-13 104,20 3-137,-6 1 33,-9 1 8,-5-3-64,0-2 160,0 3-160,-22 2 48,-7-1 64,-21 0 64,50-4-16,-72 0 32,-17 0-32,-17 0-32,-14 0 0,120 0 32,-128-3-48,-14-2 16,-4-8 64,-11 0-24,157 13-8,-161-17 32,-5-7-16,-2-6-16,-3-4-16,171 34 16,-173-40-16,0-4 16,7-2 16,0-5 0,166 51-16,-157-54 48,6-5 24,2-5 56,14-6-8,135 70-120,-120-75 168,11-9 97,25-6 143,14-7 184,70 97-592,-24-49 864,-2-14 56,9 1-96,12-28-128,5 90-696,0-148 369,29 3-113,29 16-144,24 41 8,-82 88-120,98-84 64,27 3-48,24 7-48,25 3-8,-174 71 40,194-66-16,23 5 48,14 3 8,17 7 24,-248 51-64,259-46 64,6 8-48,12 10 24,-6 6-24,-271 22-16,272-14 16,-10 13-16,-4 1 16,-13 11 32,-245-11-48,236 16 16,-15 6 16,-14 5-24,-15 5-24,-192-32 16,171 37-24,-15 2-24,-16 8-24,-17 6 0,-123-53 72,105 57-80,-18 7-8,-24 4 8,-20 7-24,-43-75 104,22 80-128,-22 2 8,-20 2-8,-25-1 7,45-83 121,-73 82-112,-25-1 0,-27 0-8,-27-3 16,152-78 104,-168 79-80,-27-6 16,-24-1 8,-21-8 32,240-64 24,-263 59-16,-18-5-8,-15-3 8,-7-5 0,303-46 16,-315 43-24,-2-2-8,4-6-8,0 1 24,313-36 16,-310 31-24,9-1 8,3-2 24,4-1-48,294-27 40,-134 15 16,-35 2-48,3-2-88,-24 5-88,190-20 208,-175 19-368,76-8 104,-9 0-48,9 2-40,99-13 352,-105 13-312,-6 1-136,0 2 16,13-3-425,98-13 857,-99 12-1112,20-7-1712,79-5 2824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23:03.2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3022 69 6185,'0'0'0,"156"-22"560,44 4-720,-200 18 160,238-21-360,-51 16 416,-42 2-32,-25 3-8,-120 0-16,98 5 24,-16 12-32,-24-2-24,-20 4-128,-38-19 160,17 23-336,-22 2-8,-26 4 40,-19 2 104,50-31 200,-77 35-88,-27 2 56,-14 3-16,-28 1 40,146-41 8,-164 42 0,-16 2 0,-20-2-24,-4 0-8,204-42 32,-217 38-24,1-3 8,-13-2 8,8-4 32,221-29-24,-226 25 0,-3-3 0,3-5 32,0-2-32,226-15 0,-219 12 56,10 0-8,17-7-48,14 12 0,178-17 0,-77 0 0,-12 4 0,16 7 0,-8-8-24,81-3 24,-58 3-24,3 1 424,21-1 112,7-3 96,27 0-608,20 0 504,71-11-1008,44-5-384,31-1-161,-166 17 1049,178-18-1088,17-2 152,23 0-1016,-218 20 1952</inkml:trace>
  <inkml:trace contextRef="#ctx0" brushRef="#br0" timeOffset="1">3224 524 4112,'0'0'0,"0"0"0,146-5 1113,35-8-697,35 9-632,-59 0 288,-157 4-72,101-1 96,-36 1-24,-32 0-216,-33 4-16,0-4 160,-29 15-216,-33 0 32,-42 3 88,-38 2 80,142-20 16,-175 21-24,-37 5-40,-21 1 32,-27 3-8,260-30 40,-274 32-81,-5 1 1,-12 1 0,0 5 48,291-39 32,-286 37-72,2 1 8,5 0-8,14-2-56,265-36 128,-125 18-104,-29 5-160,12-2-2472,142-21 2736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D68" zoomScale="130" zoomScaleNormal="100" zoomScaleSheetLayoutView="130" workbookViewId="0">
      <selection activeCell="G80" sqref="G80:J8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8" t="s">
        <v>248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2">
      <c r="B2" s="13" t="s">
        <v>8</v>
      </c>
      <c r="C2" s="74" t="s">
        <v>32</v>
      </c>
      <c r="D2" s="74"/>
      <c r="E2" s="13" t="s">
        <v>7</v>
      </c>
      <c r="F2" s="69">
        <v>45929</v>
      </c>
      <c r="G2" s="69"/>
      <c r="H2" s="69"/>
      <c r="I2" s="69"/>
      <c r="J2" s="69"/>
    </row>
    <row r="3" spans="1:10" ht="30" customHeight="1" x14ac:dyDescent="0.2">
      <c r="B3" s="13" t="s">
        <v>9</v>
      </c>
      <c r="C3" s="74" t="s">
        <v>67</v>
      </c>
      <c r="D3" s="74"/>
      <c r="E3" s="13" t="s">
        <v>6</v>
      </c>
      <c r="F3" s="74" t="s">
        <v>136</v>
      </c>
      <c r="G3" s="74"/>
      <c r="H3" s="74"/>
      <c r="I3" s="74"/>
      <c r="J3" s="7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5" customHeight="1" thickBot="1" x14ac:dyDescent="0.25">
      <c r="A6" s="11"/>
      <c r="B6" s="72"/>
      <c r="C6" s="73"/>
      <c r="D6" s="73"/>
      <c r="E6" s="12" t="s">
        <v>3</v>
      </c>
      <c r="F6" s="12" t="s">
        <v>4</v>
      </c>
      <c r="G6" s="12" t="s">
        <v>23</v>
      </c>
      <c r="H6" s="12" t="s">
        <v>24</v>
      </c>
      <c r="I6" s="81"/>
      <c r="J6" s="82"/>
    </row>
    <row r="7" spans="1:10" ht="24.95" customHeight="1" thickBot="1" x14ac:dyDescent="0.25">
      <c r="A7" s="11"/>
      <c r="B7" s="77" t="s">
        <v>21</v>
      </c>
      <c r="C7" s="78"/>
      <c r="D7" s="78"/>
      <c r="E7" s="33" t="s">
        <v>18</v>
      </c>
      <c r="F7" s="33" t="s">
        <v>19</v>
      </c>
      <c r="G7" s="33" t="s">
        <v>22</v>
      </c>
      <c r="H7" s="33" t="s">
        <v>20</v>
      </c>
      <c r="I7" s="83" t="s">
        <v>25</v>
      </c>
      <c r="J7" s="84"/>
    </row>
    <row r="8" spans="1:10" ht="30" customHeight="1" x14ac:dyDescent="0.2">
      <c r="A8" s="11"/>
      <c r="B8" s="48" t="s">
        <v>180</v>
      </c>
      <c r="C8" s="49"/>
      <c r="D8" s="49"/>
      <c r="E8" s="30"/>
      <c r="F8" s="37"/>
      <c r="G8" s="38"/>
      <c r="H8" s="39"/>
      <c r="I8" s="54"/>
      <c r="J8" s="55"/>
    </row>
    <row r="9" spans="1:10" ht="30" customHeight="1" x14ac:dyDescent="0.2">
      <c r="A9" s="11"/>
      <c r="B9" s="44" t="s">
        <v>181</v>
      </c>
      <c r="C9" s="45"/>
      <c r="D9" s="45"/>
      <c r="E9" s="9">
        <v>5</v>
      </c>
      <c r="F9" s="27">
        <v>3.5</v>
      </c>
      <c r="G9" s="35">
        <f>IFERROR(F9/E9,"")</f>
        <v>0.7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50000000000003" customHeight="1" x14ac:dyDescent="0.2">
      <c r="A10" s="11"/>
      <c r="B10" s="44" t="s">
        <v>182</v>
      </c>
      <c r="C10" s="45"/>
      <c r="D10" s="45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2"/>
      <c r="J10" s="53"/>
    </row>
    <row r="11" spans="1:10" ht="30" customHeight="1" x14ac:dyDescent="0.2">
      <c r="A11" s="11"/>
      <c r="B11" s="44" t="s">
        <v>183</v>
      </c>
      <c r="C11" s="45"/>
      <c r="D11" s="45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52"/>
      <c r="J11" s="53"/>
    </row>
    <row r="12" spans="1:10" ht="30" customHeight="1" x14ac:dyDescent="0.2">
      <c r="A12" s="11"/>
      <c r="B12" s="44" t="s">
        <v>184</v>
      </c>
      <c r="C12" s="45"/>
      <c r="D12" s="45"/>
      <c r="E12" s="9">
        <v>5</v>
      </c>
      <c r="F12" s="27">
        <v>3.5</v>
      </c>
      <c r="G12" s="35">
        <f t="shared" si="0"/>
        <v>0.7</v>
      </c>
      <c r="H12" s="36" t="str">
        <f t="shared" si="1"/>
        <v>جيد</v>
      </c>
      <c r="I12" s="52"/>
      <c r="J12" s="53"/>
    </row>
    <row r="13" spans="1:10" ht="30" customHeight="1" x14ac:dyDescent="0.2">
      <c r="A13" s="11"/>
      <c r="B13" s="44" t="s">
        <v>185</v>
      </c>
      <c r="C13" s="45"/>
      <c r="D13" s="4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2"/>
      <c r="J13" s="53"/>
    </row>
    <row r="14" spans="1:10" ht="39.950000000000003" customHeight="1" x14ac:dyDescent="0.2">
      <c r="A14" s="11"/>
      <c r="B14" s="44" t="s">
        <v>186</v>
      </c>
      <c r="C14" s="45"/>
      <c r="D14" s="45"/>
      <c r="E14" s="9">
        <v>5</v>
      </c>
      <c r="F14" s="27">
        <v>4</v>
      </c>
      <c r="G14" s="35">
        <f t="shared" si="0"/>
        <v>0.8</v>
      </c>
      <c r="H14" s="36" t="str">
        <f t="shared" si="1"/>
        <v>جيد جداً</v>
      </c>
      <c r="I14" s="52"/>
      <c r="J14" s="53"/>
    </row>
    <row r="15" spans="1:10" ht="30" customHeight="1" thickBot="1" x14ac:dyDescent="0.25">
      <c r="A15" s="11"/>
      <c r="B15" s="46" t="s">
        <v>187</v>
      </c>
      <c r="C15" s="47"/>
      <c r="D15" s="47"/>
      <c r="E15" s="31">
        <v>5</v>
      </c>
      <c r="F15" s="29">
        <v>4</v>
      </c>
      <c r="G15" s="40">
        <f t="shared" si="0"/>
        <v>0.8</v>
      </c>
      <c r="H15" s="41" t="str">
        <f t="shared" si="1"/>
        <v>جيد جداً</v>
      </c>
      <c r="I15" s="60"/>
      <c r="J15" s="61"/>
    </row>
    <row r="16" spans="1:10" ht="30" customHeight="1" x14ac:dyDescent="0.2">
      <c r="A16" s="11"/>
      <c r="B16" s="48" t="s">
        <v>188</v>
      </c>
      <c r="C16" s="49"/>
      <c r="D16" s="49"/>
      <c r="E16" s="32"/>
      <c r="F16" s="37"/>
      <c r="G16" s="38"/>
      <c r="H16" s="39"/>
      <c r="I16" s="54"/>
      <c r="J16" s="55"/>
    </row>
    <row r="17" spans="1:10" ht="39.950000000000003" customHeight="1" x14ac:dyDescent="0.2">
      <c r="A17" s="11"/>
      <c r="B17" s="44" t="s">
        <v>189</v>
      </c>
      <c r="C17" s="45"/>
      <c r="D17" s="45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52"/>
      <c r="J17" s="53"/>
    </row>
    <row r="18" spans="1:10" ht="39.950000000000003" customHeight="1" x14ac:dyDescent="0.2">
      <c r="A18" s="11"/>
      <c r="B18" s="44" t="s">
        <v>190</v>
      </c>
      <c r="C18" s="45"/>
      <c r="D18" s="45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52"/>
      <c r="J18" s="53"/>
    </row>
    <row r="19" spans="1:10" ht="30" customHeight="1" x14ac:dyDescent="0.2">
      <c r="A19" s="11"/>
      <c r="B19" s="44" t="s">
        <v>191</v>
      </c>
      <c r="C19" s="45"/>
      <c r="D19" s="45"/>
      <c r="E19" s="9">
        <v>6</v>
      </c>
      <c r="F19" s="27">
        <v>5</v>
      </c>
      <c r="G19" s="35">
        <f t="shared" si="0"/>
        <v>0.83333333333333337</v>
      </c>
      <c r="H19" s="36" t="str">
        <f t="shared" si="1"/>
        <v>جيد جداً</v>
      </c>
      <c r="I19" s="52"/>
      <c r="J19" s="53"/>
    </row>
    <row r="20" spans="1:10" ht="30" customHeight="1" x14ac:dyDescent="0.2">
      <c r="A20" s="11"/>
      <c r="B20" s="44" t="s">
        <v>192</v>
      </c>
      <c r="C20" s="45"/>
      <c r="D20" s="45"/>
      <c r="E20" s="9">
        <v>6</v>
      </c>
      <c r="F20" s="27">
        <v>4.75</v>
      </c>
      <c r="G20" s="35">
        <f t="shared" si="0"/>
        <v>0.79166666666666663</v>
      </c>
      <c r="H20" s="36" t="str">
        <f t="shared" si="1"/>
        <v>جيد</v>
      </c>
      <c r="I20" s="52"/>
      <c r="J20" s="53"/>
    </row>
    <row r="21" spans="1:10" ht="30" customHeight="1" x14ac:dyDescent="0.2">
      <c r="A21" s="11"/>
      <c r="B21" s="44" t="s">
        <v>193</v>
      </c>
      <c r="C21" s="45"/>
      <c r="D21" s="45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2"/>
      <c r="J21" s="53"/>
    </row>
    <row r="22" spans="1:10" ht="30" customHeight="1" thickBot="1" x14ac:dyDescent="0.25">
      <c r="A22" s="11"/>
      <c r="B22" s="46" t="s">
        <v>194</v>
      </c>
      <c r="C22" s="47"/>
      <c r="D22" s="47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60"/>
      <c r="J22" s="61"/>
    </row>
    <row r="23" spans="1:10" ht="30" customHeight="1" x14ac:dyDescent="0.2">
      <c r="A23" s="11"/>
      <c r="B23" s="48" t="s">
        <v>195</v>
      </c>
      <c r="C23" s="49"/>
      <c r="D23" s="49"/>
      <c r="E23" s="32"/>
      <c r="F23" s="37"/>
      <c r="G23" s="38"/>
      <c r="H23" s="39"/>
      <c r="I23" s="54"/>
      <c r="J23" s="55"/>
    </row>
    <row r="24" spans="1:10" ht="51" customHeight="1" x14ac:dyDescent="0.2">
      <c r="A24" s="11"/>
      <c r="B24" s="44" t="s">
        <v>196</v>
      </c>
      <c r="C24" s="45"/>
      <c r="D24" s="45"/>
      <c r="E24" s="9">
        <v>10</v>
      </c>
      <c r="F24" s="27">
        <v>7.75</v>
      </c>
      <c r="G24" s="35">
        <f t="shared" si="0"/>
        <v>0.77500000000000002</v>
      </c>
      <c r="H24" s="36" t="str">
        <f t="shared" si="1"/>
        <v>جيد</v>
      </c>
      <c r="I24" s="52"/>
      <c r="J24" s="53"/>
    </row>
    <row r="25" spans="1:10" ht="30" customHeight="1" x14ac:dyDescent="0.2">
      <c r="A25" s="11"/>
      <c r="B25" s="44" t="s">
        <v>197</v>
      </c>
      <c r="C25" s="45"/>
      <c r="D25" s="4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2"/>
      <c r="J25" s="53"/>
    </row>
    <row r="26" spans="1:10" ht="30" customHeight="1" x14ac:dyDescent="0.2">
      <c r="A26" s="11"/>
      <c r="B26" s="44" t="s">
        <v>198</v>
      </c>
      <c r="C26" s="45"/>
      <c r="D26" s="45"/>
      <c r="E26" s="9">
        <v>6</v>
      </c>
      <c r="F26" s="27">
        <v>4.75</v>
      </c>
      <c r="G26" s="35">
        <f t="shared" si="0"/>
        <v>0.79166666666666663</v>
      </c>
      <c r="H26" s="36" t="str">
        <f t="shared" si="1"/>
        <v>جيد</v>
      </c>
      <c r="I26" s="52"/>
      <c r="J26" s="53"/>
    </row>
    <row r="27" spans="1:10" ht="30" customHeight="1" thickBot="1" x14ac:dyDescent="0.25">
      <c r="A27" s="11"/>
      <c r="B27" s="46" t="s">
        <v>199</v>
      </c>
      <c r="C27" s="47"/>
      <c r="D27" s="47"/>
      <c r="E27" s="31">
        <v>6</v>
      </c>
      <c r="F27" s="29">
        <v>4.25</v>
      </c>
      <c r="G27" s="40">
        <f t="shared" si="0"/>
        <v>0.70833333333333337</v>
      </c>
      <c r="H27" s="41" t="str">
        <f t="shared" si="1"/>
        <v>جيد</v>
      </c>
      <c r="I27" s="60"/>
      <c r="J27" s="61"/>
    </row>
    <row r="28" spans="1:10" ht="30" customHeight="1" x14ac:dyDescent="0.2">
      <c r="A28" s="11"/>
      <c r="B28" s="48" t="s">
        <v>200</v>
      </c>
      <c r="C28" s="49"/>
      <c r="D28" s="49"/>
      <c r="E28" s="32"/>
      <c r="F28" s="37"/>
      <c r="G28" s="38"/>
      <c r="H28" s="39"/>
      <c r="I28" s="54"/>
      <c r="J28" s="55"/>
    </row>
    <row r="29" spans="1:10" ht="30" customHeight="1" x14ac:dyDescent="0.2">
      <c r="A29" s="11"/>
      <c r="B29" s="44" t="s">
        <v>201</v>
      </c>
      <c r="C29" s="45"/>
      <c r="D29" s="4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2"/>
      <c r="J29" s="53"/>
    </row>
    <row r="30" spans="1:10" ht="30" customHeight="1" x14ac:dyDescent="0.2">
      <c r="A30" s="11"/>
      <c r="B30" s="44" t="s">
        <v>202</v>
      </c>
      <c r="C30" s="45"/>
      <c r="D30" s="4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2"/>
      <c r="J30" s="53"/>
    </row>
    <row r="31" spans="1:10" ht="30" customHeight="1" x14ac:dyDescent="0.2">
      <c r="A31" s="11"/>
      <c r="B31" s="44" t="s">
        <v>203</v>
      </c>
      <c r="C31" s="45"/>
      <c r="D31" s="45"/>
      <c r="E31" s="9">
        <v>5</v>
      </c>
      <c r="F31" s="27">
        <v>3.5</v>
      </c>
      <c r="G31" s="35">
        <f t="shared" si="0"/>
        <v>0.7</v>
      </c>
      <c r="H31" s="36" t="str">
        <f t="shared" si="1"/>
        <v>جيد</v>
      </c>
      <c r="I31" s="52"/>
      <c r="J31" s="53"/>
    </row>
    <row r="32" spans="1:10" ht="30" customHeight="1" x14ac:dyDescent="0.2">
      <c r="A32" s="11"/>
      <c r="B32" s="44" t="s">
        <v>204</v>
      </c>
      <c r="C32" s="45"/>
      <c r="D32" s="45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52"/>
      <c r="J32" s="53"/>
    </row>
    <row r="33" spans="1:10" ht="30" customHeight="1" x14ac:dyDescent="0.2">
      <c r="A33" s="11"/>
      <c r="B33" s="44" t="s">
        <v>205</v>
      </c>
      <c r="C33" s="45"/>
      <c r="D33" s="45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52"/>
      <c r="J33" s="53"/>
    </row>
    <row r="34" spans="1:10" ht="30" customHeight="1" x14ac:dyDescent="0.2">
      <c r="A34" s="11"/>
      <c r="B34" s="44" t="s">
        <v>206</v>
      </c>
      <c r="C34" s="45"/>
      <c r="D34" s="45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52"/>
      <c r="J34" s="53"/>
    </row>
    <row r="35" spans="1:10" ht="30" customHeight="1" x14ac:dyDescent="0.2">
      <c r="A35" s="11"/>
      <c r="B35" s="44" t="s">
        <v>207</v>
      </c>
      <c r="C35" s="45"/>
      <c r="D35" s="4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2"/>
      <c r="J35" s="53"/>
    </row>
    <row r="36" spans="1:10" ht="30" customHeight="1" thickBot="1" x14ac:dyDescent="0.25">
      <c r="A36" s="11"/>
      <c r="B36" s="46" t="s">
        <v>208</v>
      </c>
      <c r="C36" s="47"/>
      <c r="D36" s="47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60"/>
      <c r="J36" s="61"/>
    </row>
    <row r="37" spans="1:10" ht="30" customHeight="1" x14ac:dyDescent="0.2">
      <c r="A37" s="11"/>
      <c r="B37" s="48" t="s">
        <v>209</v>
      </c>
      <c r="C37" s="49"/>
      <c r="D37" s="49"/>
      <c r="E37" s="30"/>
      <c r="F37" s="37"/>
      <c r="G37" s="38"/>
      <c r="H37" s="39"/>
      <c r="I37" s="54"/>
      <c r="J37" s="55"/>
    </row>
    <row r="38" spans="1:10" ht="30" customHeight="1" x14ac:dyDescent="0.2">
      <c r="A38" s="11"/>
      <c r="B38" s="44" t="s">
        <v>210</v>
      </c>
      <c r="C38" s="45"/>
      <c r="D38" s="45"/>
      <c r="E38" s="9">
        <v>5</v>
      </c>
      <c r="F38" s="27">
        <v>3.75</v>
      </c>
      <c r="G38" s="35">
        <f t="shared" si="0"/>
        <v>0.75</v>
      </c>
      <c r="H38" s="36" t="str">
        <f t="shared" si="1"/>
        <v>جيد</v>
      </c>
      <c r="I38" s="52"/>
      <c r="J38" s="53"/>
    </row>
    <row r="39" spans="1:10" ht="30" customHeight="1" x14ac:dyDescent="0.2">
      <c r="A39" s="11"/>
      <c r="B39" s="44" t="s">
        <v>211</v>
      </c>
      <c r="C39" s="45"/>
      <c r="D39" s="4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2"/>
      <c r="J39" s="53"/>
    </row>
    <row r="40" spans="1:10" ht="30" customHeight="1" x14ac:dyDescent="0.2">
      <c r="A40" s="11"/>
      <c r="B40" s="44" t="s">
        <v>212</v>
      </c>
      <c r="C40" s="45"/>
      <c r="D40" s="4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2"/>
      <c r="J40" s="53"/>
    </row>
    <row r="41" spans="1:10" ht="30" customHeight="1" x14ac:dyDescent="0.2">
      <c r="A41" s="11"/>
      <c r="B41" s="44" t="s">
        <v>213</v>
      </c>
      <c r="C41" s="45"/>
      <c r="D41" s="45"/>
      <c r="E41" s="9">
        <v>5</v>
      </c>
      <c r="F41" s="27">
        <v>3.5</v>
      </c>
      <c r="G41" s="35">
        <f t="shared" si="0"/>
        <v>0.7</v>
      </c>
      <c r="H41" s="36" t="str">
        <f t="shared" si="1"/>
        <v>جيد</v>
      </c>
      <c r="I41" s="52"/>
      <c r="J41" s="53"/>
    </row>
    <row r="42" spans="1:10" ht="30" customHeight="1" x14ac:dyDescent="0.2">
      <c r="A42" s="11"/>
      <c r="B42" s="44" t="s">
        <v>214</v>
      </c>
      <c r="C42" s="45"/>
      <c r="D42" s="4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2"/>
      <c r="J42" s="53"/>
    </row>
    <row r="43" spans="1:10" ht="30" customHeight="1" x14ac:dyDescent="0.2">
      <c r="A43" s="11"/>
      <c r="B43" s="44" t="s">
        <v>215</v>
      </c>
      <c r="C43" s="45"/>
      <c r="D43" s="45"/>
      <c r="E43" s="9">
        <v>5</v>
      </c>
      <c r="F43" s="27">
        <v>3.5</v>
      </c>
      <c r="G43" s="35">
        <f t="shared" si="0"/>
        <v>0.7</v>
      </c>
      <c r="H43" s="36" t="str">
        <f t="shared" si="1"/>
        <v>جيد</v>
      </c>
      <c r="I43" s="52"/>
      <c r="J43" s="53"/>
    </row>
    <row r="44" spans="1:10" ht="30" customHeight="1" x14ac:dyDescent="0.2">
      <c r="A44" s="11"/>
      <c r="B44" s="44" t="s">
        <v>216</v>
      </c>
      <c r="C44" s="45"/>
      <c r="D44" s="45"/>
      <c r="E44" s="9">
        <v>5</v>
      </c>
      <c r="F44" s="27">
        <v>3.5</v>
      </c>
      <c r="G44" s="35">
        <f t="shared" si="0"/>
        <v>0.7</v>
      </c>
      <c r="H44" s="36" t="str">
        <f t="shared" si="1"/>
        <v>جيد</v>
      </c>
      <c r="I44" s="52"/>
      <c r="J44" s="53"/>
    </row>
    <row r="45" spans="1:10" ht="30" customHeight="1" x14ac:dyDescent="0.2">
      <c r="A45" s="11"/>
      <c r="B45" s="44" t="s">
        <v>217</v>
      </c>
      <c r="C45" s="45"/>
      <c r="D45" s="45"/>
      <c r="E45" s="9">
        <v>5</v>
      </c>
      <c r="F45" s="27">
        <v>3.5</v>
      </c>
      <c r="G45" s="35">
        <f t="shared" si="0"/>
        <v>0.7</v>
      </c>
      <c r="H45" s="36" t="str">
        <f t="shared" si="1"/>
        <v>جيد</v>
      </c>
      <c r="I45" s="52"/>
      <c r="J45" s="53"/>
    </row>
    <row r="46" spans="1:10" ht="30" customHeight="1" x14ac:dyDescent="0.2">
      <c r="A46" s="11"/>
      <c r="B46" s="44" t="s">
        <v>218</v>
      </c>
      <c r="C46" s="45"/>
      <c r="D46" s="45"/>
      <c r="E46" s="9">
        <v>5</v>
      </c>
      <c r="F46" s="27">
        <v>3.5</v>
      </c>
      <c r="G46" s="35">
        <f t="shared" si="0"/>
        <v>0.7</v>
      </c>
      <c r="H46" s="36" t="str">
        <f t="shared" si="1"/>
        <v>جيد</v>
      </c>
      <c r="I46" s="52"/>
      <c r="J46" s="53"/>
    </row>
    <row r="47" spans="1:10" ht="30" customHeight="1" x14ac:dyDescent="0.2">
      <c r="A47" s="11"/>
      <c r="B47" s="44" t="s">
        <v>219</v>
      </c>
      <c r="C47" s="45"/>
      <c r="D47" s="45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52"/>
      <c r="J47" s="53"/>
    </row>
    <row r="48" spans="1:10" ht="30" customHeight="1" x14ac:dyDescent="0.2">
      <c r="A48" s="11"/>
      <c r="B48" s="44" t="s">
        <v>220</v>
      </c>
      <c r="C48" s="45"/>
      <c r="D48" s="45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52"/>
      <c r="J48" s="53"/>
    </row>
    <row r="49" spans="1:10" ht="30" customHeight="1" x14ac:dyDescent="0.2">
      <c r="A49" s="11"/>
      <c r="B49" s="44" t="s">
        <v>221</v>
      </c>
      <c r="C49" s="45"/>
      <c r="D49" s="45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52"/>
      <c r="J49" s="53"/>
    </row>
    <row r="50" spans="1:10" ht="30" customHeight="1" x14ac:dyDescent="0.2">
      <c r="A50" s="11"/>
      <c r="B50" s="44" t="s">
        <v>222</v>
      </c>
      <c r="C50" s="45"/>
      <c r="D50" s="45"/>
      <c r="E50" s="9">
        <v>5</v>
      </c>
      <c r="F50" s="27">
        <v>3.5</v>
      </c>
      <c r="G50" s="35">
        <f t="shared" si="0"/>
        <v>0.7</v>
      </c>
      <c r="H50" s="36" t="str">
        <f t="shared" si="1"/>
        <v>جيد</v>
      </c>
      <c r="I50" s="52"/>
      <c r="J50" s="53"/>
    </row>
    <row r="51" spans="1:10" ht="30" customHeight="1" thickBot="1" x14ac:dyDescent="0.25">
      <c r="A51" s="11"/>
      <c r="B51" s="46" t="s">
        <v>223</v>
      </c>
      <c r="C51" s="47"/>
      <c r="D51" s="47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0"/>
      <c r="J51" s="61"/>
    </row>
    <row r="52" spans="1:10" ht="30" customHeight="1" x14ac:dyDescent="0.2">
      <c r="A52" s="11"/>
      <c r="B52" s="48" t="s">
        <v>224</v>
      </c>
      <c r="C52" s="49"/>
      <c r="D52" s="49"/>
      <c r="E52" s="32"/>
      <c r="F52" s="37"/>
      <c r="G52" s="38"/>
      <c r="H52" s="39"/>
      <c r="I52" s="54"/>
      <c r="J52" s="55"/>
    </row>
    <row r="53" spans="1:10" ht="30" customHeight="1" x14ac:dyDescent="0.2">
      <c r="A53" s="11"/>
      <c r="B53" s="44" t="s">
        <v>225</v>
      </c>
      <c r="C53" s="45"/>
      <c r="D53" s="45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52"/>
      <c r="J53" s="53"/>
    </row>
    <row r="54" spans="1:10" ht="30" customHeight="1" x14ac:dyDescent="0.2">
      <c r="A54" s="11"/>
      <c r="B54" s="44" t="s">
        <v>226</v>
      </c>
      <c r="C54" s="45"/>
      <c r="D54" s="45"/>
      <c r="E54" s="9">
        <v>7</v>
      </c>
      <c r="F54" s="27">
        <v>5.5</v>
      </c>
      <c r="G54" s="35">
        <f t="shared" si="0"/>
        <v>0.7857142857142857</v>
      </c>
      <c r="H54" s="36" t="str">
        <f t="shared" si="1"/>
        <v>جيد</v>
      </c>
      <c r="I54" s="52"/>
      <c r="J54" s="53"/>
    </row>
    <row r="55" spans="1:10" ht="30" customHeight="1" thickBot="1" x14ac:dyDescent="0.25">
      <c r="A55" s="11"/>
      <c r="B55" s="46" t="s">
        <v>227</v>
      </c>
      <c r="C55" s="47"/>
      <c r="D55" s="47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60"/>
      <c r="J55" s="61"/>
    </row>
    <row r="56" spans="1:10" ht="30" customHeight="1" x14ac:dyDescent="0.2">
      <c r="A56" s="11"/>
      <c r="B56" s="48" t="s">
        <v>228</v>
      </c>
      <c r="C56" s="49"/>
      <c r="D56" s="49"/>
      <c r="E56" s="30"/>
      <c r="F56" s="37"/>
      <c r="G56" s="38"/>
      <c r="H56" s="39"/>
      <c r="I56" s="54"/>
      <c r="J56" s="55"/>
    </row>
    <row r="57" spans="1:10" ht="30" customHeight="1" x14ac:dyDescent="0.2">
      <c r="A57" s="11"/>
      <c r="B57" s="44" t="s">
        <v>229</v>
      </c>
      <c r="C57" s="45"/>
      <c r="D57" s="45"/>
      <c r="E57" s="9">
        <v>10</v>
      </c>
      <c r="F57" s="27">
        <v>8.25</v>
      </c>
      <c r="G57" s="35">
        <f t="shared" si="0"/>
        <v>0.82499999999999996</v>
      </c>
      <c r="H57" s="36" t="str">
        <f t="shared" si="1"/>
        <v>جيد جداً</v>
      </c>
      <c r="I57" s="52"/>
      <c r="J57" s="53"/>
    </row>
    <row r="58" spans="1:10" ht="30" customHeight="1" x14ac:dyDescent="0.2">
      <c r="A58" s="11"/>
      <c r="B58" s="44" t="s">
        <v>230</v>
      </c>
      <c r="C58" s="45"/>
      <c r="D58" s="45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52"/>
      <c r="J58" s="53"/>
    </row>
    <row r="59" spans="1:10" ht="39.950000000000003" customHeight="1" thickBot="1" x14ac:dyDescent="0.25">
      <c r="A59" s="11"/>
      <c r="B59" s="46" t="s">
        <v>231</v>
      </c>
      <c r="C59" s="47"/>
      <c r="D59" s="47"/>
      <c r="E59" s="31">
        <v>9</v>
      </c>
      <c r="F59" s="29">
        <v>6.75</v>
      </c>
      <c r="G59" s="40">
        <f t="shared" si="0"/>
        <v>0.75</v>
      </c>
      <c r="H59" s="41" t="str">
        <f t="shared" si="1"/>
        <v>جيد</v>
      </c>
      <c r="I59" s="60"/>
      <c r="J59" s="61"/>
    </row>
    <row r="60" spans="1:10" ht="30" customHeight="1" x14ac:dyDescent="0.2">
      <c r="A60" s="11"/>
      <c r="B60" s="48" t="s">
        <v>232</v>
      </c>
      <c r="C60" s="49"/>
      <c r="D60" s="49"/>
      <c r="E60" s="32"/>
      <c r="F60" s="37"/>
      <c r="G60" s="38"/>
      <c r="H60" s="39"/>
      <c r="I60" s="54"/>
      <c r="J60" s="55"/>
    </row>
    <row r="61" spans="1:10" ht="30" customHeight="1" x14ac:dyDescent="0.2">
      <c r="A61" s="11"/>
      <c r="B61" s="44" t="s">
        <v>233</v>
      </c>
      <c r="C61" s="45"/>
      <c r="D61" s="45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52"/>
      <c r="J61" s="53"/>
    </row>
    <row r="62" spans="1:10" ht="30" customHeight="1" thickBot="1" x14ac:dyDescent="0.25">
      <c r="A62" s="11"/>
      <c r="B62" s="46" t="s">
        <v>234</v>
      </c>
      <c r="C62" s="47"/>
      <c r="D62" s="47"/>
      <c r="E62" s="31">
        <v>10</v>
      </c>
      <c r="F62" s="29">
        <v>7.25</v>
      </c>
      <c r="G62" s="40">
        <f t="shared" si="0"/>
        <v>0.72499999999999998</v>
      </c>
      <c r="H62" s="41" t="str">
        <f t="shared" si="1"/>
        <v>جيد</v>
      </c>
      <c r="I62" s="60"/>
      <c r="J62" s="61"/>
    </row>
    <row r="63" spans="1:10" ht="30" customHeight="1" x14ac:dyDescent="0.2">
      <c r="A63" s="11"/>
      <c r="B63" s="48" t="s">
        <v>235</v>
      </c>
      <c r="C63" s="49"/>
      <c r="D63" s="49"/>
      <c r="E63" s="32"/>
      <c r="F63" s="37"/>
      <c r="G63" s="38"/>
      <c r="H63" s="39"/>
      <c r="I63" s="54"/>
      <c r="J63" s="55"/>
    </row>
    <row r="64" spans="1:10" ht="30" customHeight="1" x14ac:dyDescent="0.2">
      <c r="A64" s="11"/>
      <c r="B64" s="44" t="s">
        <v>236</v>
      </c>
      <c r="C64" s="45"/>
      <c r="D64" s="45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52"/>
      <c r="J64" s="53"/>
    </row>
    <row r="65" spans="1:10" ht="30" customHeight="1" x14ac:dyDescent="0.2">
      <c r="A65" s="11"/>
      <c r="B65" s="44" t="s">
        <v>237</v>
      </c>
      <c r="C65" s="45"/>
      <c r="D65" s="45"/>
      <c r="E65" s="9">
        <v>8</v>
      </c>
      <c r="F65" s="27">
        <v>5.75</v>
      </c>
      <c r="G65" s="35">
        <f t="shared" si="0"/>
        <v>0.71875</v>
      </c>
      <c r="H65" s="36" t="str">
        <f t="shared" si="1"/>
        <v>جيد</v>
      </c>
      <c r="I65" s="52"/>
      <c r="J65" s="53"/>
    </row>
    <row r="66" spans="1:10" ht="30" customHeight="1" x14ac:dyDescent="0.2">
      <c r="A66" s="11"/>
      <c r="B66" s="44" t="s">
        <v>238</v>
      </c>
      <c r="C66" s="45"/>
      <c r="D66" s="45"/>
      <c r="E66" s="9">
        <v>8</v>
      </c>
      <c r="F66" s="27">
        <v>6</v>
      </c>
      <c r="G66" s="35">
        <f t="shared" si="0"/>
        <v>0.75</v>
      </c>
      <c r="H66" s="36" t="str">
        <f t="shared" si="1"/>
        <v>جيد</v>
      </c>
      <c r="I66" s="52"/>
      <c r="J66" s="53"/>
    </row>
    <row r="67" spans="1:10" ht="30" customHeight="1" x14ac:dyDescent="0.2">
      <c r="A67" s="11"/>
      <c r="B67" s="44" t="s">
        <v>239</v>
      </c>
      <c r="C67" s="45"/>
      <c r="D67" s="45"/>
      <c r="E67" s="9">
        <v>8</v>
      </c>
      <c r="F67" s="27">
        <v>5.75</v>
      </c>
      <c r="G67" s="35">
        <f t="shared" si="0"/>
        <v>0.71875</v>
      </c>
      <c r="H67" s="36" t="str">
        <f t="shared" si="1"/>
        <v>جيد</v>
      </c>
      <c r="I67" s="52"/>
      <c r="J67" s="53"/>
    </row>
    <row r="68" spans="1:10" ht="30" customHeight="1" thickBot="1" x14ac:dyDescent="0.25">
      <c r="A68" s="11"/>
      <c r="B68" s="46" t="s">
        <v>240</v>
      </c>
      <c r="C68" s="47"/>
      <c r="D68" s="47"/>
      <c r="E68" s="31">
        <v>10</v>
      </c>
      <c r="F68" s="29">
        <v>7.5</v>
      </c>
      <c r="G68" s="40">
        <f t="shared" si="0"/>
        <v>0.75</v>
      </c>
      <c r="H68" s="41" t="str">
        <f t="shared" si="1"/>
        <v>جيد</v>
      </c>
      <c r="I68" s="60"/>
      <c r="J68" s="61"/>
    </row>
    <row r="69" spans="1:10" ht="30" customHeight="1" thickBot="1" x14ac:dyDescent="0.25">
      <c r="A69" s="11"/>
      <c r="B69" s="50" t="s">
        <v>241</v>
      </c>
      <c r="C69" s="51"/>
      <c r="D69" s="51"/>
      <c r="E69" s="10">
        <v>10</v>
      </c>
      <c r="F69" s="42">
        <v>7.5</v>
      </c>
      <c r="G69" s="43">
        <f t="shared" si="0"/>
        <v>0.75</v>
      </c>
      <c r="H69" s="28" t="str">
        <f t="shared" si="1"/>
        <v>جيد</v>
      </c>
      <c r="I69" s="85"/>
      <c r="J69" s="86"/>
    </row>
    <row r="70" spans="1:10" ht="30" customHeight="1" x14ac:dyDescent="0.2">
      <c r="A70" s="11"/>
      <c r="B70" s="48" t="s">
        <v>242</v>
      </c>
      <c r="C70" s="49"/>
      <c r="D70" s="49"/>
      <c r="E70" s="32"/>
      <c r="F70" s="37"/>
      <c r="G70" s="38"/>
      <c r="H70" s="39"/>
      <c r="I70" s="54"/>
      <c r="J70" s="55"/>
    </row>
    <row r="71" spans="1:10" ht="30" customHeight="1" x14ac:dyDescent="0.2">
      <c r="A71" s="11"/>
      <c r="B71" s="44" t="s">
        <v>243</v>
      </c>
      <c r="C71" s="45"/>
      <c r="D71" s="45"/>
      <c r="E71" s="9">
        <v>6</v>
      </c>
      <c r="F71" s="27">
        <v>4.75</v>
      </c>
      <c r="G71" s="35">
        <f t="shared" si="0"/>
        <v>0.79166666666666663</v>
      </c>
      <c r="H71" s="36" t="str">
        <f t="shared" si="1"/>
        <v>جيد</v>
      </c>
      <c r="I71" s="52"/>
      <c r="J71" s="53"/>
    </row>
    <row r="72" spans="1:10" ht="30" customHeight="1" x14ac:dyDescent="0.2">
      <c r="A72" s="11"/>
      <c r="B72" s="44" t="s">
        <v>244</v>
      </c>
      <c r="C72" s="45"/>
      <c r="D72" s="45"/>
      <c r="E72" s="9">
        <v>8</v>
      </c>
      <c r="F72" s="27">
        <v>6.25</v>
      </c>
      <c r="G72" s="35">
        <f t="shared" si="0"/>
        <v>0.78125</v>
      </c>
      <c r="H72" s="36" t="str">
        <f t="shared" si="1"/>
        <v>جيد</v>
      </c>
      <c r="I72" s="52"/>
      <c r="J72" s="53"/>
    </row>
    <row r="73" spans="1:10" ht="39.950000000000003" customHeight="1" x14ac:dyDescent="0.2">
      <c r="A73" s="11"/>
      <c r="B73" s="44" t="s">
        <v>245</v>
      </c>
      <c r="C73" s="45"/>
      <c r="D73" s="45"/>
      <c r="E73" s="9">
        <v>5</v>
      </c>
      <c r="F73" s="27">
        <v>3.5</v>
      </c>
      <c r="G73" s="35">
        <f t="shared" si="0"/>
        <v>0.7</v>
      </c>
      <c r="H73" s="36" t="str">
        <f t="shared" si="1"/>
        <v>جيد</v>
      </c>
      <c r="I73" s="52"/>
      <c r="J73" s="53"/>
    </row>
    <row r="74" spans="1:10" ht="39.950000000000003" customHeight="1" x14ac:dyDescent="0.2">
      <c r="A74" s="11"/>
      <c r="B74" s="44" t="s">
        <v>246</v>
      </c>
      <c r="C74" s="45"/>
      <c r="D74" s="45"/>
      <c r="E74" s="9">
        <v>5</v>
      </c>
      <c r="F74" s="27">
        <v>4</v>
      </c>
      <c r="G74" s="35">
        <f t="shared" ref="G74:G75" si="2">IFERROR(F74/E74,"")</f>
        <v>0.8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52"/>
      <c r="J74" s="53"/>
    </row>
    <row r="75" spans="1:10" ht="30" customHeight="1" thickBot="1" x14ac:dyDescent="0.25">
      <c r="A75" s="11"/>
      <c r="B75" s="46" t="s">
        <v>247</v>
      </c>
      <c r="C75" s="47"/>
      <c r="D75" s="47"/>
      <c r="E75" s="31">
        <v>5</v>
      </c>
      <c r="F75" s="29">
        <v>4.25</v>
      </c>
      <c r="G75" s="40">
        <f t="shared" si="2"/>
        <v>0.85</v>
      </c>
      <c r="H75" s="41" t="str">
        <f t="shared" si="3"/>
        <v>جيد جداً</v>
      </c>
      <c r="I75" s="60"/>
      <c r="J75" s="61"/>
    </row>
    <row r="76" spans="1:10" ht="30" customHeight="1" thickBot="1" x14ac:dyDescent="0.25">
      <c r="A76" s="4"/>
      <c r="B76" s="56" t="s">
        <v>5</v>
      </c>
      <c r="C76" s="57"/>
      <c r="D76" s="57"/>
      <c r="E76" s="34">
        <f>SUM(E8:E75)</f>
        <v>350</v>
      </c>
      <c r="F76" s="34">
        <f>SUM(F8:F75)</f>
        <v>263</v>
      </c>
      <c r="G76" s="89"/>
      <c r="H76" s="90"/>
      <c r="I76" s="90"/>
      <c r="J76" s="91"/>
    </row>
    <row r="77" spans="1:10" ht="30" customHeight="1" thickBot="1" x14ac:dyDescent="0.25">
      <c r="A77" s="4"/>
      <c r="B77" s="58" t="s">
        <v>54</v>
      </c>
      <c r="C77" s="59"/>
      <c r="D77" s="59"/>
      <c r="E77" s="75">
        <f>F76/E76/100*100</f>
        <v>0.75142857142857145</v>
      </c>
      <c r="F77" s="75"/>
      <c r="G77" s="75"/>
      <c r="H77" s="75"/>
      <c r="I77" s="75"/>
      <c r="J77" s="76"/>
    </row>
    <row r="78" spans="1:10" ht="30" customHeight="1" thickBot="1" x14ac:dyDescent="0.25">
      <c r="A78" s="4"/>
      <c r="B78" s="58" t="s">
        <v>55</v>
      </c>
      <c r="C78" s="59"/>
      <c r="D78" s="59"/>
      <c r="E78" s="66" t="str">
        <f>_xlfn.IFS(E77&gt;=90%,"ممتاز",E77&gt;=80%,"جيد جداً",E77&gt;=70%,"جيد",E77&gt;=60%,"مقبول",E77&lt;60%,"راسب")</f>
        <v>جيد</v>
      </c>
      <c r="F78" s="66"/>
      <c r="G78" s="66"/>
      <c r="H78" s="66"/>
      <c r="I78" s="66"/>
      <c r="J78" s="67"/>
    </row>
    <row r="79" spans="1:10" ht="42" customHeight="1" x14ac:dyDescent="0.2">
      <c r="B79" s="62" t="s">
        <v>174</v>
      </c>
      <c r="C79" s="62"/>
      <c r="D79" s="62"/>
      <c r="E79" s="87" t="s">
        <v>52</v>
      </c>
      <c r="F79" s="87"/>
      <c r="G79" s="64" t="s">
        <v>136</v>
      </c>
      <c r="H79" s="64"/>
      <c r="I79" s="64"/>
      <c r="J79" s="64"/>
    </row>
    <row r="80" spans="1:10" ht="51" customHeight="1" x14ac:dyDescent="0.2">
      <c r="A80" s="5"/>
      <c r="B80" s="63"/>
      <c r="C80" s="63"/>
      <c r="D80" s="63"/>
      <c r="E80" s="88" t="s">
        <v>53</v>
      </c>
      <c r="F80" s="88"/>
      <c r="G80" s="65"/>
      <c r="H80" s="65"/>
      <c r="I80" s="65"/>
      <c r="J80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7"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2025-09-22T05:33:47Z</dcterms:modified>
</cp:coreProperties>
</file>