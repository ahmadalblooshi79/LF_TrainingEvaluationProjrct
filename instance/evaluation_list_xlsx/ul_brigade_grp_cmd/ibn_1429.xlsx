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C1A06090-42FF-4637-967B-126102A94A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F17" i="2"/>
  <c r="E17" i="2"/>
  <c r="E18" i="2"/>
  <c r="E19" i="2"/>
</calcChain>
</file>

<file path=xl/sharedStrings.xml><?xml version="1.0" encoding="utf-8"?>
<sst xmlns="http://schemas.openxmlformats.org/spreadsheetml/2006/main" count="246" uniqueCount="190">
  <si>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</si>
  <si>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</si>
  <si>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</si>
  <si>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</si>
  <si>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</si>
  <si>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</si>
  <si>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</si>
  <si>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</si>
  <si>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</si>
  <si>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</si>
  <si>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</si>
  <si>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</si>
  <si>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</si>
  <si>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</si>
  <si>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</si>
  <si>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</si>
  <si>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</si>
  <si>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</si>
  <si>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</si>
  <si>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</si>
  <si>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</si>
  <si>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</si>
  <si>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</si>
  <si>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</si>
  <si>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</si>
  <si>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</si>
  <si>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</si>
  <si>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</si>
  <si>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</si>
  <si>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</si>
  <si>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</si>
  <si>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</si>
  <si>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</si>
  <si>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</si>
  <si>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</si>
  <si>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</si>
  <si>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</si>
  <si>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</si>
  <si>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</si>
  <si>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</si>
  <si>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</si>
  <si>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</si>
  <si>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</si>
  <si>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</si>
  <si>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</si>
  <si>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</si>
  <si>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</si>
  <si>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</si>
  <si>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</si>
  <si>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</si>
  <si>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</si>
  <si>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</si>
  <si>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</si>
  <si>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</si>
  <si>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</si>
  <si>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</si>
  <si>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</si>
  <si>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</si>
  <si>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</si>
  <si>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</si>
  <si>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</si>
  <si>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</si>
  <si>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</si>
  <si>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</si>
  <si>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</si>
  <si>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</si>
  <si>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</si>
  <si>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</si>
  <si>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</si>
  <si>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</si>
  <si>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</si>
  <si>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</si>
  <si>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</si>
  <si>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</si>
  <si>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</si>
  <si>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</si>
  <si>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</si>
  <si>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</si>
  <si>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</si>
  <si>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</si>
  <si>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</si>
  <si>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</si>
  <si>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</si>
  <si>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</si>
  <si>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</si>
  <si>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</si>
  <si>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</si>
  <si>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</si>
  <si>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</si>
  <si>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</si>
  <si>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</si>
  <si>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</si>
  <si>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</si>
  <si>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</si>
  <si>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</si>
  <si>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</si>
  <si>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</si>
  <si>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</si>
  <si>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</si>
  <si>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</si>
  <si>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</si>
  <si>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</si>
  <si>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</si>
  <si>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</si>
  <si>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</si>
  <si>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</si>
  <si>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</si>
  <si>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</si>
  <si>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</si>
  <si>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</si>
  <si>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</si>
  <si>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</si>
  <si>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</si>
  <si>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</si>
  <si>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</si>
  <si>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</si>
  <si>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</si>
  <si>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</si>
  <si>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</si>
  <si>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</si>
  <si>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</si>
  <si>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</si>
  <si>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</si>
  <si>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</si>
  <si>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</si>
  <si>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</si>
  <si>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</si>
  <si>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</si>
  <si>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</si>
  <si>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</si>
  <si>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</si>
  <si>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</si>
  <si>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</si>
  <si>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</si>
  <si>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</si>
  <si>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</si>
  <si>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</si>
  <si>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</si>
  <si>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</si>
  <si>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</si>
  <si>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</si>
  <si>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</si>
  <si>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</si>
  <si>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</si>
  <si>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</si>
  <si>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</si>
  <si>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</si>
  <si>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</si>
  <si>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</si>
  <si>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</si>
  <si>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</si>
  <si>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</si>
  <si>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</si>
  <si>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</si>
  <si>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</si>
  <si>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</si>
  <si>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</si>
  <si>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</si>
  <si>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</si>
  <si>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</si>
  <si>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</si>
  <si>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</si>
  <si>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</si>
  <si>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</si>
  <si>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</si>
  <si>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</si>
  <si>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</si>
  <si>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</si>
  <si>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</si>
  <si>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</si>
  <si>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</si>
  <si>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</si>
  <si>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</si>
  <si>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</si>
  <si>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</si>
  <si>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</si>
  <si>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</si>
  <si>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</si>
  <si>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</si>
  <si>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</si>
  <si>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تقييم خطة الانتشار في وحدات المناورة - تمرين جاهزية مجموعة لواء الإمارات/1 (جندي الصحراء 2025/20)</t>
  </si>
  <si>
    <r>
      <rPr>
        <b/>
        <sz val="12"/>
        <color theme="1"/>
        <rFont val="Arial"/>
        <family val="2"/>
      </rPr>
      <t xml:space="preserve">1.   </t>
    </r>
    <r>
      <rPr>
        <b/>
        <u/>
        <sz val="12"/>
        <color theme="1"/>
        <rFont val="Arial"/>
        <family val="2"/>
      </rPr>
      <t>الخطة</t>
    </r>
    <r>
      <rPr>
        <b/>
        <sz val="12"/>
        <color theme="1"/>
        <rFont val="Arial"/>
        <family val="2"/>
      </rPr>
      <t xml:space="preserve"> (يتم التأكد من التالي): </t>
    </r>
  </si>
  <si>
    <t>أ.    وجود الخطة واعتمادها.</t>
  </si>
  <si>
    <t>ب.  التقيد بالإطار العام.</t>
  </si>
  <si>
    <t>جـ.  التقيد بواجبات الأركان الصغرى في إعداد الخطة.</t>
  </si>
  <si>
    <t>2.   التقيد بالتدريب على تنفيذ الخطة ومدى واقعيتها للتطبيق (التدريب على مهام العمليات).</t>
  </si>
  <si>
    <t>3.   مدى إلمام المرتب بالخطة ومتطلباتها والواجبات المحددة لكل منهم.</t>
  </si>
  <si>
    <t>4.   مدى توفر المهمات والمعدات المطلوبة لتنفيذ الخطة (آليات، معدات، إلخ...).</t>
  </si>
  <si>
    <t>5.   التأكد من التنسيق مع المعنيين لتنفيذ الخطة.</t>
  </si>
  <si>
    <t>6.   مدى تنفيذ المستوى الخاضع للتقييم لجميع الإجراءات المطلوبة منهم في تطبيق الخطة حسب المعاضل التي تفرض من قبل فريق التقييم.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</si>
</sst>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4" fillId="0" borderId="11" xfId="0" applyFont="1" applyBorder="1" applyAlignment="1">
      <alignment horizontal="right" vertical="center" wrapText="1" indent="2" readingOrder="2"/>
    </xf>
    <xf numFmtId="0" fontId="14" fillId="0" borderId="12" xfId="0" applyFont="1" applyBorder="1" applyAlignment="1">
      <alignment horizontal="right" vertical="center" wrapText="1" indent="2" readingOrder="2"/>
    </xf>
    <xf numFmtId="0" fontId="3" fillId="0" borderId="8" xfId="0" applyFont="1" applyBorder="1" applyAlignment="1">
      <alignment horizontal="right" vertical="center" wrapText="1" readingOrder="2"/>
    </xf>
    <xf numFmtId="0" fontId="3" fillId="0" borderId="9" xfId="0" applyFont="1" applyBorder="1" applyAlignment="1">
      <alignment horizontal="right" vertical="center" wrapText="1" readingOrder="2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509954</xdr:colOff>
      <xdr:row>20</xdr:row>
      <xdr:rowOff>70339</xdr:rowOff>
    </xdr:from>
    <xdr:to>
      <xdr:col>9</xdr:col>
      <xdr:colOff>548433</xdr:colOff>
      <xdr:row>20</xdr:row>
      <xdr:rowOff>564730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AC0F0E1-7CB3-4F87-ABB6-DC4C7D8D7EE4}"/>
                </a:ext>
              </a:extLst>
            </xdr14:cNvPr>
            <xdr14:cNvContentPartPr/>
          </xdr14:nvContentPartPr>
          <xdr14:nvPr macro=""/>
          <xdr14:xfrm>
            <a:off x="10078079736" y="8932985"/>
            <a:ext cx="1955202" cy="494391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40CC2D8-178A-232A-8478-6EC4800A691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09508501" y="17002080"/>
              <a:ext cx="2018880" cy="496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16:38:00.7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4661 1277 9426,'0'0'0,"0"0"0,-4-3 2624,0-1-1512,1-5-688,0 6-248,3 0-104,0 0-64,0 3-8,0-3 0,0-1 0,2-1 0,-1-4 32,2 6 8,0-1 16,-3 4-56,4-10 40,-1 6-7,0 0-1,6-7-24,-7 8 48,1-7-8,-3 10-48,9-4 32,-6-7 8,7 2-8,-7 0-8,11-1-16,-7 0-8,-7 10 0,11-11 24,-1-2 0,1 1 16,0-1-8,0 1-8,1-2-16,0 1 24,-12 13-32,14-13 40,1-1-24,-2 0 0,0 1 8,1-1 0,-14 14-24,10-14 16,2 1 8,1 1-16,-3 0-8,2 2 24,-1 0-16,0-1 8,-11 11-16,10-11 0,-1 1-24,1 0 24,-2 2 0,0-1 0,1 5 32,-9 4-32,3-12 0,8 8 8,-9-5 16,1 5-16,5-4 48,-8 4 8,0 4-64,3-9 56,-1 5 48,1-4 0,-3 4 0,0 1 16,0-1-40,0 4-80,0-3 112,-1-2 8,-1 2-8,-2-1 16,1 0-16,-5 0 0,8 4-112,-3-3 72,-8-1-32,1 1 0,1 1-56,-1 0 16,-2 1-40,12 1 40,-13-1-48,0 0 16,-3 1 8,1 0 0,-4 0 16,-2 2-16,21-2 24,-24 3-24,0 7 16,-3-8 8,-1 9-16,-1-8 16,0 8 24,29-11-24,-31 10-8,-1-2 40,-4 2 0,2 0-16,-4 1 48,-1 0-16,39-11-48,-39 12 56,-2 0 24,1 0-16,-2 1 40,1 0-48,-2 0 24,43-13-80,-43 12 48,-3 2 8,0-1 32,0 1-32,-1 0 40,1 3 8,46-17-104,-47 15 56,0 1 48,2 0 0,-1 0-40,1 1 24,0-2 8,45-15-96,-43 15 56,1 2 56,2-2-8,0-1 24,1 0-8,0 0-32,39-14-88,-40 15 24,3-1 8,1-2-8,2-2 40,3 2 40,-1-1-56,32-11-48,-31 10 40,3 0-16,1-7 24,3 10 49,1-10-49,1 9 0,22-12-48,-20 4 8,1 4-16,1-5 40,2 0 8,1 0 48,3 0-16,12-3-72,-9 3 32,0-1 48,6 0-8,-7-2 16,9 0 16,-2 0-16,3 0-88,-2 0 112,1 0 24,1 0 0,0-1-48,2-1-24,2-2-80,-4 4 16,7-3-56,-4-1 16,8-5-8,-3 6 0,2-7 8,3 0-24,-13 10 64,14-4-48,2-8 8,2 3-32,2-1 56,1 0 32,-1 0-88,-20 10 72,24-10 0,0-1-16,1-1-24,2 0 56,0 0-32,0 0-32,-27 12 48,30-13-8,-2 0-32,2 0 16,-1-2 40,4 2-72,0 0 48,-33 13 8,32-14-16,2 0-32,-2-1 40,1 3 8,1-1 8,-3 0 8,-31 13-16,34-12 8,1 0-32,-2-1 16,0 1-8,-1 1 32,0 0-32,-32 11 16,33-11-8,1 0 8,0 1 0,-2-1 24,1 0-24,-1 1 8,-32 10-8,31-9 0,4-2-8,-1-1 16,0 1-16,-1 0 8,-3-1-16,-30 12 16,31-13 0,0 1 16,-1 0-8,3 0 32,-3-1-40,0 2 8,-30 11-8,29-12 16,0 0-8,-1 2 8,-2 0 8,0 0-8,-3 0-16,-23 10 0,23-10 0,0 2 0,-2-1 8,0 5 16,-3-8-24,1 6-8,-19 6 8,18-11 8,1 3-32,-1 3 24,-1-6 40,-1 7-32,1-7 16,-17 11-24,15-3 16,-1-6-32,-2 6 32,-2-1-8,-1-1-8,0 1 40,-9 4-40,3-3 40,7-2-16,-8 1 64,1 1-32,-1 0 24,1 1 32,-3 2-112,2-1 112,-2-1 24,0 1 56,0 0 8,0-1 56,0 1-16,0 1-240,0-3 208,-2 2-32,-2-1-40,2 1-8,-7 0-88,6-1 8,3 2-48,-10-1 16,6 0-32,-7 0-8,0-1 0,-2 2-40,-1 0-16,14 0 80,-15 0-24,-3 3-16,1 0 24,-2-1-8,1 1-16,-2 6 64,20-9-24,-20 2-40,-2 1 40,0 9 32,0-9-112,-4 6 56,0-6-16,26-3 40,-26 10-24,-2-6 8,-1 8 32,0-3-32,-3 0-8,-1 2 8,33-11 16,-35 10 0,2 2-24,-2-1 40,-2 0-16,1 0-32,-2 2 64,38-13-32,-39 12-32,-2 0 64,1 2 0,-1-1-16,0 0 8,0 0-8,41-13-16,-40 15 16,-1-1-32,0 1-8,1 3 24,-1-4-32,-1 0 64,42-14-32,-41 15 40,0-1-32,2-1 16,-2 3 8,0-2-8,-2 1 16,43-15-40,-41 15 24,-1 0 16,4 0 0,0 1-16,2-2 64,0 0-48,36-14-40,-36 15 0,2-1 0,0 1-40,1 0 56,3-1-16,-1 0 40,31-14-40,-30 13 8,1 1-16,2-1 16,0-1-56,2 1 48,1-2 16,24-11-16,-20 10 8,0 1 32,1-1-56,4-7-16,-1 9 40,2-9 8,14-3-16,-12 10 8,2-8 48,5 1-96,-3 1-8,6-1-8,0 1-8,2-4 64,-2 2-40,1 1-48,1-1-16,0-2 8,2 0-16,1 0 24,-3 0 88,9 0-88,-5 0 8,8 0 80,-2 0-24,4 0 24,1-2 24,-15 2-24,16-4-16,3 0 48,-1-6-8,4 7-16,0-8-8,3 7 16,-25 4-16,27-13 0,1 2 16,2 0-32,3 0 0,2 0 8,1-2-8,-36 13 16,36-12 16,1-1-16,2-2 8,0 1-32,1 0 16,2-4-8,-42 18 16,42-15-24,4-1 24,2-2 0,0 1-16,0-1 32,-1 0-16,-47 18 0,50-17-56,0-2 56,-1 1 16,3-1-16,0 0 48,0 0-8,-52 19-40,53-19-8,0-1 8,0-2 8,2 3-56,-1-2 88,-2 1-40,-52 20 0,51-17 0,0-2 24,-1 1-24,1-2 24,-2 2-24,-1-1 16,-48 19-16,48-19 0,-1 1-16,-2 1 32,1 0-16,0-1 0,0 0 24,-46 18-24,45-17-16,-2 0 40,-2 3 8,-3 1-48,-1 0 0,0-1-8,-37 14 24,36-13-8,-3 1 8,-2-1-56,-1 3 8,-3 0 8,1 0-8,-28 10 48,25-4 8,-3-8-8,-1 9-40,-1-6 40,-2 6 40,-3-1-40,-15 4 0,12-4-8,0 1 8,-2 0-80,-3 0 96,-3 1-16,6 1 8,-10 1-8,0-1 64,2 0-104,-2 1 72,0 0-24,0 0-32,0 0 112,0 0-88,-2 0 64,-1 2 24,-1-2-8,0 2-32,-5 0-32,4 1-56,5-3 40,-12 3 0,1 0-8,-1 0-56,-2 6 72,-2-7 32,-2 7-56,18-9 16,-20 2 104,-1 8-48,-1-7-32,-3 7 24,0-7 16,-2 9 0,27-12-64,-29 4 72,1 9 16,-3-10-88,-1 10 64,-2-3 0,-3-2-24,37-8-40,-39 11 144,0-1-80,-6 0-8,0 2 8,-1 0-24,-3 1 0,49-13-40,-47 12 88,-4 0-8,0 2-24,-4-1 48,-3 0-48,-1 2-32,-2 0 32,61-15-56,-61 16 24,-4 0 16,-2-1 24,-4 0-32,-2 2 8,0-2-16,73-15-24,-76 16 24,1 2 8,-3 0 16,0 2 8,-3 0-56,-3 2 56,84-22-56,-83 20 0,-5-1 56,1 2 32,-2-1-32,-2 0 16,-2 0-31,93-20-41,-94 19 0,-1 1 40,0 1 0,0-2 56,0 1 24,0-1 16,95-19-136,-93 20 168,-1-2-120,2 1 40,0-1-48,0-1 24,2-2 64,90-15-128,-90 15 112,3-1 24,0-1-8,2 1 8,0 0-48,2-3-32,83-11-56,-82 11 56,3 1 8,2-3 48,3-6-24,1 8 40,3-9-72,70-2-56,-69 4 24,4-2 64,1 0-104,5-2 48,2 0-8,2 0 8,55 0-32,-51-1 24,2-2 48,4-7 32,2 1 48,3 0-64,5-3-64,35 12-24,-34-12 64,5 0-64,3-3 56,2 0 16,1-1-48,4-3 24,19 19-48,-17-19 40,4-2 48,3-1 0,7-2-88,-2 0 40,2-2-24,3 26-16,0-26-16,2-2 64,7-1-48,2-1-64,2-2 24,5-1 0,-18 33 40,20-34-64,3-2 40,1 2-24,2 0-24,2 1 64,4-1-56,-32 34 64,33-33-72,3-2 72,2 2 16,3 0-32,2 0 16,0 2-24,-43 31 24,46-31-112,2 1 96,0-1-32,1 4 24,2 0 24,2 2-32,-53 25 32,52-24-72,4 1 16,0 1 16,1 3-16,1-2 56,1 3-16,-59 18 16,62-19-40,0 2 64,0 0 24,3 2-96,1 1 48,-1 2-24,-65 12 24,64-10-88,0 5 88,1-5-40,-1 7-72,3 0 56,-4 0-16,-63 3 72,63-1-56,-1 1 72,0 2-16,0 2 0,-1 5 0,1 1-16,-62-10 16,61 10-32,-2 2-24,0 2 32,0 1 24,-1 2 40,-1 0 0,-57-17-40,56 20 0,-1 0 32,0 2-88,-3 0 56,-1 3 24,-3 0-24,-48-25 0,45 27 72,-3 2-40,0 1-8,-3 1 16,-2 1 16,-1-1-24,-36-31-32,32 33 32,1 1 24,-4 0 24,-2 2-24,1 0 64,-3 0-8,-25-36-112,24 36 72,-1-2 80,-2 1-24,-2 2 8,1-3-24,1 0-8,-21-34-104,21 32 72,-2-1-16,1 1-16,-2-3-8,-1 1-16,-1 1 0,-16-31-16,17 27 24,-1 2-24,-1-1 0,3-5 48,-3 2-48,2-3-16,-17-22 16,17 22 16,-1-1-16,-1-2-16,0-1 0,-1-2-40,1 0-152,-15-16 208,14 14-216,1-2-152,-2 0-304,-1-1-304,1-8-537,-2 9-663,-11-12 2176,12 3-2897,0 0-927,0 6-249,-1-9-3273,-11 0 7346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topLeftCell="A15" zoomScale="130" zoomScaleNormal="100" zoomScaleSheetLayoutView="130" workbookViewId="0">
      <selection activeCell="B20" sqref="B20:D21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5" t="s">
        <v>180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x14ac:dyDescent="0.3">
      <c r="B2" s="11" t="s">
        <v>8</v>
      </c>
      <c r="C2" s="71" t="s">
        <v>35</v>
      </c>
      <c r="D2" s="71"/>
      <c r="E2" s="11" t="s">
        <v>7</v>
      </c>
      <c r="F2" s="66">
        <v>45929</v>
      </c>
      <c r="G2" s="66"/>
      <c r="H2" s="66"/>
      <c r="I2" s="66"/>
      <c r="J2" s="66"/>
    </row>
    <row r="3" spans="1:10" ht="30" customHeight="1" x14ac:dyDescent="0.3">
      <c r="B3" s="11" t="s">
        <v>9</v>
      </c>
      <c r="C3" s="71" t="s">
        <v>62</v>
      </c>
      <c r="D3" s="71"/>
      <c r="E3" s="11" t="s">
        <v>6</v>
      </c>
      <c r="F3" s="71" t="s">
        <v>93</v>
      </c>
      <c r="G3" s="71"/>
      <c r="H3" s="71"/>
      <c r="I3" s="71"/>
      <c r="J3" s="71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9"/>
      <c r="B5" s="67" t="s">
        <v>0</v>
      </c>
      <c r="C5" s="68"/>
      <c r="D5" s="68"/>
      <c r="E5" s="51" t="s">
        <v>1</v>
      </c>
      <c r="F5" s="51"/>
      <c r="G5" s="51"/>
      <c r="H5" s="51"/>
      <c r="I5" s="51" t="s">
        <v>2</v>
      </c>
      <c r="J5" s="52"/>
    </row>
    <row r="6" spans="1:10" ht="24.9" customHeight="1" thickBot="1" x14ac:dyDescent="0.35">
      <c r="A6" s="9"/>
      <c r="B6" s="69"/>
      <c r="C6" s="70"/>
      <c r="D6" s="70"/>
      <c r="E6" s="10" t="s">
        <v>3</v>
      </c>
      <c r="F6" s="10" t="s">
        <v>4</v>
      </c>
      <c r="G6" s="10" t="s">
        <v>23</v>
      </c>
      <c r="H6" s="10" t="s">
        <v>24</v>
      </c>
      <c r="I6" s="53"/>
      <c r="J6" s="54"/>
    </row>
    <row r="7" spans="1:10" ht="24.9" customHeight="1" thickBot="1" x14ac:dyDescent="0.35">
      <c r="A7" s="9"/>
      <c r="B7" s="49" t="s">
        <v>21</v>
      </c>
      <c r="C7" s="50"/>
      <c r="D7" s="50"/>
      <c r="E7" s="32" t="s">
        <v>18</v>
      </c>
      <c r="F7" s="32" t="s">
        <v>19</v>
      </c>
      <c r="G7" s="32" t="s">
        <v>22</v>
      </c>
      <c r="H7" s="32" t="s">
        <v>20</v>
      </c>
      <c r="I7" s="55" t="s">
        <v>25</v>
      </c>
      <c r="J7" s="56"/>
    </row>
    <row r="8" spans="1:10" ht="39.9" customHeight="1" x14ac:dyDescent="0.3">
      <c r="A8" s="9"/>
      <c r="B8" s="61" t="s">
        <v>181</v>
      </c>
      <c r="C8" s="62"/>
      <c r="D8" s="62"/>
      <c r="E8" s="28"/>
      <c r="F8" s="36"/>
      <c r="G8" s="37"/>
      <c r="H8" s="38"/>
      <c r="I8" s="59"/>
      <c r="J8" s="60"/>
    </row>
    <row r="9" spans="1:10" ht="39.9" customHeight="1" x14ac:dyDescent="0.3">
      <c r="A9" s="9"/>
      <c r="B9" s="63" t="s">
        <v>182</v>
      </c>
      <c r="C9" s="64"/>
      <c r="D9" s="64"/>
      <c r="E9" s="29">
        <v>10</v>
      </c>
      <c r="F9" s="25">
        <v>7.25</v>
      </c>
      <c r="G9" s="34">
        <f>IFERROR(F9/E9,"")</f>
        <v>0.72499999999999998</v>
      </c>
      <c r="H9" s="35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7"/>
      <c r="J9" s="58"/>
    </row>
    <row r="10" spans="1:10" ht="39.9" customHeight="1" x14ac:dyDescent="0.3">
      <c r="A10" s="9"/>
      <c r="B10" s="63" t="s">
        <v>183</v>
      </c>
      <c r="C10" s="64"/>
      <c r="D10" s="64"/>
      <c r="E10" s="29">
        <v>5</v>
      </c>
      <c r="F10" s="25">
        <v>3.75</v>
      </c>
      <c r="G10" s="34">
        <f t="shared" ref="G10:G16" si="0">IFERROR(F10/E10,"")</f>
        <v>0.75</v>
      </c>
      <c r="H10" s="35" t="str">
        <f t="shared" ref="H10:H16" si="1">_xlfn.IFS(F10="أدخل العلامة","",F10="لا ينطبق","تم الإلغاء",G10&gt;=90%,"ممتاز",G10&gt;=80%,"جيد جداً",G10&gt;=70%,"جيد",G10&gt;=60%,"مقبول",G10&lt;60%,"راسب")</f>
        <v>جيد</v>
      </c>
      <c r="I10" s="57"/>
      <c r="J10" s="58"/>
    </row>
    <row r="11" spans="1:10" ht="39.9" customHeight="1" thickBot="1" x14ac:dyDescent="0.35">
      <c r="A11" s="9"/>
      <c r="B11" s="43" t="s">
        <v>184</v>
      </c>
      <c r="C11" s="44"/>
      <c r="D11" s="44"/>
      <c r="E11" s="30">
        <v>5</v>
      </c>
      <c r="F11" s="27">
        <v>3.75</v>
      </c>
      <c r="G11" s="39">
        <f t="shared" si="0"/>
        <v>0.75</v>
      </c>
      <c r="H11" s="40" t="str">
        <f t="shared" si="1"/>
        <v>جيد</v>
      </c>
      <c r="I11" s="89"/>
      <c r="J11" s="90"/>
    </row>
    <row r="12" spans="1:10" ht="39.9" customHeight="1" thickBot="1" x14ac:dyDescent="0.35">
      <c r="A12" s="9"/>
      <c r="B12" s="45" t="s">
        <v>185</v>
      </c>
      <c r="C12" s="46"/>
      <c r="D12" s="46"/>
      <c r="E12" s="31">
        <v>20</v>
      </c>
      <c r="F12" s="41">
        <v>15.5</v>
      </c>
      <c r="G12" s="42">
        <f t="shared" si="0"/>
        <v>0.77500000000000002</v>
      </c>
      <c r="H12" s="26" t="str">
        <f t="shared" si="1"/>
        <v>جيد</v>
      </c>
      <c r="I12" s="47"/>
      <c r="J12" s="48"/>
    </row>
    <row r="13" spans="1:10" ht="39.9" customHeight="1" thickBot="1" x14ac:dyDescent="0.35">
      <c r="A13" s="9"/>
      <c r="B13" s="45" t="s">
        <v>186</v>
      </c>
      <c r="C13" s="46"/>
      <c r="D13" s="46"/>
      <c r="E13" s="31">
        <v>10</v>
      </c>
      <c r="F13" s="41">
        <v>7.25</v>
      </c>
      <c r="G13" s="42">
        <f t="shared" si="0"/>
        <v>0.72499999999999998</v>
      </c>
      <c r="H13" s="26" t="str">
        <f t="shared" si="1"/>
        <v>جيد</v>
      </c>
      <c r="I13" s="47"/>
      <c r="J13" s="48"/>
    </row>
    <row r="14" spans="1:10" ht="39.9" customHeight="1" thickBot="1" x14ac:dyDescent="0.35">
      <c r="A14" s="9"/>
      <c r="B14" s="45" t="s">
        <v>187</v>
      </c>
      <c r="C14" s="46"/>
      <c r="D14" s="46"/>
      <c r="E14" s="31">
        <v>10</v>
      </c>
      <c r="F14" s="41">
        <v>8</v>
      </c>
      <c r="G14" s="42">
        <f t="shared" si="0"/>
        <v>0.8</v>
      </c>
      <c r="H14" s="26" t="str">
        <f t="shared" si="1"/>
        <v>جيد جداً</v>
      </c>
      <c r="I14" s="47"/>
      <c r="J14" s="48"/>
    </row>
    <row r="15" spans="1:10" ht="39.9" customHeight="1" thickBot="1" x14ac:dyDescent="0.35">
      <c r="A15" s="9"/>
      <c r="B15" s="45" t="s">
        <v>188</v>
      </c>
      <c r="C15" s="46"/>
      <c r="D15" s="46"/>
      <c r="E15" s="31">
        <v>5</v>
      </c>
      <c r="F15" s="41">
        <v>3.75</v>
      </c>
      <c r="G15" s="42">
        <f t="shared" si="0"/>
        <v>0.75</v>
      </c>
      <c r="H15" s="26" t="str">
        <f t="shared" si="1"/>
        <v>جيد</v>
      </c>
      <c r="I15" s="47"/>
      <c r="J15" s="48"/>
    </row>
    <row r="16" spans="1:10" ht="39.9" customHeight="1" thickBot="1" x14ac:dyDescent="0.35">
      <c r="A16" s="9"/>
      <c r="B16" s="45" t="s">
        <v>189</v>
      </c>
      <c r="C16" s="46"/>
      <c r="D16" s="46"/>
      <c r="E16" s="31">
        <v>5</v>
      </c>
      <c r="F16" s="41">
        <v>3.5</v>
      </c>
      <c r="G16" s="42">
        <f t="shared" si="0"/>
        <v>0.7</v>
      </c>
      <c r="H16" s="26" t="str">
        <f t="shared" si="1"/>
        <v>جيد</v>
      </c>
      <c r="I16" s="47"/>
      <c r="J16" s="48"/>
    </row>
    <row r="17" spans="1:10" ht="30" customHeight="1" thickBot="1" x14ac:dyDescent="0.35">
      <c r="A17" s="4"/>
      <c r="B17" s="85" t="s">
        <v>5</v>
      </c>
      <c r="C17" s="86"/>
      <c r="D17" s="86"/>
      <c r="E17" s="33">
        <f>SUM(E8:E16)</f>
        <v>70</v>
      </c>
      <c r="F17" s="33">
        <f>SUM(F8:F16)</f>
        <v>52.75</v>
      </c>
      <c r="G17" s="74"/>
      <c r="H17" s="75"/>
      <c r="I17" s="75"/>
      <c r="J17" s="76"/>
    </row>
    <row r="18" spans="1:10" ht="30" customHeight="1" thickBot="1" x14ac:dyDescent="0.35">
      <c r="A18" s="4"/>
      <c r="B18" s="87" t="s">
        <v>54</v>
      </c>
      <c r="C18" s="88"/>
      <c r="D18" s="88"/>
      <c r="E18" s="83">
        <f>F17/E17/100*100</f>
        <v>0.75357142857142856</v>
      </c>
      <c r="F18" s="83"/>
      <c r="G18" s="83"/>
      <c r="H18" s="83"/>
      <c r="I18" s="83"/>
      <c r="J18" s="84"/>
    </row>
    <row r="19" spans="1:10" ht="30" customHeight="1" thickBot="1" x14ac:dyDescent="0.35">
      <c r="A19" s="4"/>
      <c r="B19" s="87" t="s">
        <v>55</v>
      </c>
      <c r="C19" s="88"/>
      <c r="D19" s="88"/>
      <c r="E19" s="81" t="str">
        <f>_xlfn.IFS(E18&gt;=90%,"ممتاز",E18&gt;=80%,"جيد جداً",E18&gt;=70%,"جيد",E18&gt;=60%,"مقبول",E18&lt;60%,"راسب")</f>
        <v>جيد</v>
      </c>
      <c r="F19" s="81"/>
      <c r="G19" s="81"/>
      <c r="H19" s="81"/>
      <c r="I19" s="81"/>
      <c r="J19" s="82"/>
    </row>
    <row r="20" spans="1:10" ht="42" customHeight="1" x14ac:dyDescent="0.3">
      <c r="B20" s="77" t="s">
        <v>174</v>
      </c>
      <c r="C20" s="77"/>
      <c r="D20" s="77"/>
      <c r="E20" s="72" t="s">
        <v>52</v>
      </c>
      <c r="F20" s="72"/>
      <c r="G20" s="79" t="s">
        <v>93</v>
      </c>
      <c r="H20" s="79"/>
      <c r="I20" s="79"/>
      <c r="J20" s="79"/>
    </row>
    <row r="21" spans="1:10" ht="51" customHeight="1" x14ac:dyDescent="0.3">
      <c r="A21" s="5"/>
      <c r="B21" s="78"/>
      <c r="C21" s="78"/>
      <c r="D21" s="78"/>
      <c r="E21" s="73" t="s">
        <v>53</v>
      </c>
      <c r="F21" s="73"/>
      <c r="G21" s="80"/>
      <c r="H21" s="80"/>
      <c r="I21" s="80"/>
      <c r="J21" s="8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9">
    <mergeCell ref="E20:F20"/>
    <mergeCell ref="E21:F21"/>
    <mergeCell ref="G17:J17"/>
    <mergeCell ref="I9:J9"/>
    <mergeCell ref="B20:D21"/>
    <mergeCell ref="G20:J20"/>
    <mergeCell ref="G21:J21"/>
    <mergeCell ref="E19:J19"/>
    <mergeCell ref="E18:J18"/>
    <mergeCell ref="B17:D17"/>
    <mergeCell ref="B18:D18"/>
    <mergeCell ref="B19:D19"/>
    <mergeCell ref="I11:J11"/>
    <mergeCell ref="I12:J12"/>
    <mergeCell ref="I13:J13"/>
    <mergeCell ref="I14:J14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1:D11"/>
    <mergeCell ref="B12:D12"/>
    <mergeCell ref="I15:J15"/>
    <mergeCell ref="I16:J16"/>
    <mergeCell ref="B13:D13"/>
    <mergeCell ref="B14:D14"/>
    <mergeCell ref="B15:D15"/>
    <mergeCell ref="B16:D1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58">
      <formula>$E19="مقبول"</formula>
    </cfRule>
    <cfRule type="expression" dxfId="12" priority="59">
      <formula>$E19="جيد"</formula>
    </cfRule>
    <cfRule type="expression" dxfId="11" priority="60">
      <formula>$E19="جيد جداً"</formula>
    </cfRule>
    <cfRule type="expression" dxfId="10" priority="61">
      <formula>$E19="ممتاز"</formula>
    </cfRule>
  </conditionalFormatting>
  <conditionalFormatting sqref="F8:F1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8:H16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F15:F16 F10:F11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G20:J20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3FA2703D-2ECF-43C5-A3F7-82FDA389B93E}">
          <x14:formula1>
            <xm:f>'بيانات التقييم'!$A$111:$A$153</xm:f>
          </x14:formula1>
          <xm:sqref>F9 F13 F14</xm:sqref>
        </x14:dataValidation>
        <x14:dataValidation type="list" allowBlank="1" showInputMessage="1" showErrorMessage="1" xr:uid="{146A380C-0401-491B-8FEE-C46060DDCED8}">
          <x14:formula1>
            <xm:f>'بيانات التقييم'!$A$111:$A$193</xm:f>
          </x14:formula1>
          <xm:sqref>F12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6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18" t="s">
        <v>177</v>
      </c>
    </row>
    <row r="30" spans="1:3" ht="20.100000000000001" customHeight="1" thickBot="1" x14ac:dyDescent="0.35">
      <c r="A30" s="2" t="s">
        <v>32</v>
      </c>
      <c r="C30" s="18" t="s">
        <v>178</v>
      </c>
    </row>
    <row r="31" spans="1:3" ht="20.100000000000001" customHeight="1" thickBot="1" x14ac:dyDescent="0.35">
      <c r="A31" s="2" t="s">
        <v>33</v>
      </c>
      <c r="C31" s="18" t="s">
        <v>179</v>
      </c>
    </row>
    <row r="32" spans="1:3" ht="20.100000000000001" customHeight="1" thickBot="1" x14ac:dyDescent="0.35">
      <c r="A32" s="2" t="s">
        <v>16</v>
      </c>
      <c r="C32" s="18"/>
    </row>
    <row r="33" spans="1:9" ht="20.100000000000001" customHeight="1" thickBot="1" x14ac:dyDescent="0.35">
      <c r="A33" s="2" t="s">
        <v>14</v>
      </c>
      <c r="C33" s="18"/>
    </row>
    <row r="34" spans="1:9" ht="20.100000000000001" customHeight="1" thickBot="1" x14ac:dyDescent="0.35">
      <c r="A34" s="2" t="s">
        <v>34</v>
      </c>
      <c r="C34" s="18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175</v>
      </c>
    </row>
    <row r="213" spans="1:1" ht="20.100000000000001" customHeight="1" x14ac:dyDescent="0.3">
      <c r="A213" s="19" t="s">
        <v>102</v>
      </c>
    </row>
    <row r="214" spans="1:1" ht="20.100000000000001" customHeight="1" x14ac:dyDescent="0.3">
      <c r="A214" s="19" t="s">
        <v>103</v>
      </c>
    </row>
    <row r="215" spans="1:1" ht="20.100000000000001" customHeight="1" x14ac:dyDescent="0.3">
      <c r="A215" s="19" t="s">
        <v>104</v>
      </c>
    </row>
    <row r="216" spans="1:1" ht="20.100000000000001" customHeight="1" x14ac:dyDescent="0.3">
      <c r="A216" s="19" t="s">
        <v>105</v>
      </c>
    </row>
    <row r="217" spans="1:1" ht="20.100000000000001" customHeight="1" x14ac:dyDescent="0.3">
      <c r="A217" s="19" t="s">
        <v>106</v>
      </c>
    </row>
    <row r="218" spans="1:1" ht="20.100000000000001" customHeight="1" x14ac:dyDescent="0.3">
      <c r="A218" s="19" t="s">
        <v>107</v>
      </c>
    </row>
    <row r="219" spans="1:1" ht="20.100000000000001" customHeight="1" x14ac:dyDescent="0.3">
      <c r="A219" s="19" t="s">
        <v>108</v>
      </c>
    </row>
    <row r="220" spans="1:1" ht="20.100000000000001" customHeight="1" x14ac:dyDescent="0.3">
      <c r="A220" s="19" t="s">
        <v>109</v>
      </c>
    </row>
    <row r="221" spans="1:1" ht="20.100000000000001" customHeight="1" x14ac:dyDescent="0.3">
      <c r="A221" s="19" t="s">
        <v>110</v>
      </c>
    </row>
    <row r="222" spans="1:1" ht="20.100000000000001" customHeight="1" x14ac:dyDescent="0.3">
      <c r="A222" s="19" t="s">
        <v>111</v>
      </c>
    </row>
    <row r="223" spans="1:1" ht="20.100000000000001" customHeight="1" x14ac:dyDescent="0.3">
      <c r="A223" s="19" t="s">
        <v>112</v>
      </c>
    </row>
    <row r="224" spans="1:1" ht="20.100000000000001" customHeight="1" x14ac:dyDescent="0.3">
      <c r="A224" s="19" t="s">
        <v>176</v>
      </c>
    </row>
    <row r="225" spans="1:1" ht="20.100000000000001" customHeight="1" x14ac:dyDescent="0.3">
      <c r="A225" s="19" t="s">
        <v>113</v>
      </c>
    </row>
    <row r="226" spans="1:1" ht="20.100000000000001" customHeight="1" x14ac:dyDescent="0.3">
      <c r="A226" s="19" t="s">
        <v>114</v>
      </c>
    </row>
    <row r="227" spans="1:1" ht="20.100000000000001" customHeight="1" x14ac:dyDescent="0.3">
      <c r="A227" s="19" t="s">
        <v>115</v>
      </c>
    </row>
    <row r="228" spans="1:1" ht="20.100000000000001" customHeight="1" x14ac:dyDescent="0.3">
      <c r="A228" s="19" t="s">
        <v>116</v>
      </c>
    </row>
    <row r="229" spans="1:1" ht="20.100000000000001" customHeight="1" x14ac:dyDescent="0.3">
      <c r="A229" s="19" t="s">
        <v>117</v>
      </c>
    </row>
    <row r="230" spans="1:1" ht="20.100000000000001" customHeight="1" x14ac:dyDescent="0.3">
      <c r="A230" s="19" t="s">
        <v>118</v>
      </c>
    </row>
    <row r="231" spans="1:1" ht="20.100000000000001" customHeight="1" x14ac:dyDescent="0.3">
      <c r="A231" s="19" t="s">
        <v>119</v>
      </c>
    </row>
    <row r="232" spans="1:1" ht="20.100000000000001" customHeight="1" x14ac:dyDescent="0.3">
      <c r="A232" s="19" t="s">
        <v>120</v>
      </c>
    </row>
    <row r="233" spans="1:1" ht="20.100000000000001" customHeight="1" x14ac:dyDescent="0.3">
      <c r="A233" s="19" t="s">
        <v>121</v>
      </c>
    </row>
    <row r="234" spans="1:1" ht="20.100000000000001" customHeight="1" x14ac:dyDescent="0.3">
      <c r="A234" s="19" t="s">
        <v>122</v>
      </c>
    </row>
    <row r="235" spans="1:1" ht="20.100000000000001" customHeight="1" x14ac:dyDescent="0.3">
      <c r="A235" s="19" t="s">
        <v>123</v>
      </c>
    </row>
    <row r="236" spans="1:1" ht="20.100000000000001" customHeight="1" x14ac:dyDescent="0.3">
      <c r="A236" s="21" t="s">
        <v>124</v>
      </c>
    </row>
    <row r="237" spans="1:1" ht="20.100000000000001" customHeight="1" x14ac:dyDescent="0.3">
      <c r="A237" s="19" t="s">
        <v>125</v>
      </c>
    </row>
    <row r="238" spans="1:1" ht="20.100000000000001" customHeight="1" x14ac:dyDescent="0.3">
      <c r="A238" s="19" t="s">
        <v>126</v>
      </c>
    </row>
    <row r="239" spans="1:1" ht="20.100000000000001" customHeight="1" x14ac:dyDescent="0.3">
      <c r="A239" s="19" t="s">
        <v>127</v>
      </c>
    </row>
    <row r="240" spans="1:1" ht="20.100000000000001" customHeight="1" x14ac:dyDescent="0.3">
      <c r="A240" s="19" t="s">
        <v>128</v>
      </c>
    </row>
    <row r="241" spans="1:1" ht="20.100000000000001" customHeight="1" x14ac:dyDescent="0.3">
      <c r="A241" s="19" t="s">
        <v>129</v>
      </c>
    </row>
    <row r="242" spans="1:1" ht="20.100000000000001" customHeight="1" x14ac:dyDescent="0.3">
      <c r="A242" s="19" t="s">
        <v>130</v>
      </c>
    </row>
    <row r="243" spans="1:1" ht="20.100000000000001" customHeight="1" x14ac:dyDescent="0.3">
      <c r="A243" s="19" t="s">
        <v>131</v>
      </c>
    </row>
    <row r="244" spans="1:1" ht="20.100000000000001" customHeight="1" x14ac:dyDescent="0.3">
      <c r="A244" s="19" t="s">
        <v>132</v>
      </c>
    </row>
    <row r="245" spans="1:1" ht="20.100000000000001" customHeight="1" x14ac:dyDescent="0.3">
      <c r="A245" s="19" t="s">
        <v>133</v>
      </c>
    </row>
    <row r="246" spans="1:1" ht="20.100000000000001" customHeight="1" x14ac:dyDescent="0.3">
      <c r="A246" s="19" t="s">
        <v>134</v>
      </c>
    </row>
    <row r="247" spans="1:1" ht="20.100000000000001" customHeight="1" x14ac:dyDescent="0.3">
      <c r="A247" s="19" t="s">
        <v>135</v>
      </c>
    </row>
    <row r="248" spans="1:1" ht="20.100000000000001" customHeight="1" x14ac:dyDescent="0.3">
      <c r="A248" s="19" t="s">
        <v>126</v>
      </c>
    </row>
    <row r="249" spans="1:1" ht="20.100000000000001" customHeight="1" x14ac:dyDescent="0.3">
      <c r="A249" s="19" t="s">
        <v>136</v>
      </c>
    </row>
    <row r="250" spans="1:1" ht="20.100000000000001" customHeight="1" x14ac:dyDescent="0.3">
      <c r="A250" s="19" t="s">
        <v>137</v>
      </c>
    </row>
    <row r="251" spans="1:1" ht="20.100000000000001" customHeight="1" x14ac:dyDescent="0.3">
      <c r="A251" s="21" t="s">
        <v>138</v>
      </c>
    </row>
    <row r="252" spans="1:1" ht="20.100000000000001" customHeight="1" x14ac:dyDescent="0.3">
      <c r="A252" s="22" t="s">
        <v>139</v>
      </c>
    </row>
    <row r="253" spans="1:1" ht="20.100000000000001" customHeight="1" x14ac:dyDescent="0.3">
      <c r="A253" s="19" t="s">
        <v>140</v>
      </c>
    </row>
    <row r="254" spans="1:1" ht="20.100000000000001" customHeight="1" x14ac:dyDescent="0.3">
      <c r="A254" s="19" t="s">
        <v>141</v>
      </c>
    </row>
    <row r="255" spans="1:1" ht="20.100000000000001" customHeight="1" x14ac:dyDescent="0.3">
      <c r="A255" s="23" t="s">
        <v>142</v>
      </c>
    </row>
    <row r="256" spans="1:1" ht="20.100000000000001" customHeight="1" x14ac:dyDescent="0.3">
      <c r="A256" s="23" t="s">
        <v>143</v>
      </c>
    </row>
    <row r="257" spans="1:1" ht="20.100000000000001" customHeight="1" x14ac:dyDescent="0.3">
      <c r="A257" s="24" t="s">
        <v>144</v>
      </c>
    </row>
    <row r="258" spans="1:1" ht="20.100000000000001" customHeight="1" x14ac:dyDescent="0.3">
      <c r="A258" s="19" t="s">
        <v>145</v>
      </c>
    </row>
    <row r="259" spans="1:1" ht="20.100000000000001" customHeight="1" x14ac:dyDescent="0.3">
      <c r="A259" s="24" t="s">
        <v>146</v>
      </c>
    </row>
    <row r="260" spans="1:1" ht="20.100000000000001" customHeight="1" x14ac:dyDescent="0.3">
      <c r="A260" s="19" t="s">
        <v>147</v>
      </c>
    </row>
    <row r="261" spans="1:1" ht="20.100000000000001" customHeight="1" x14ac:dyDescent="0.3">
      <c r="A261" s="24" t="s">
        <v>148</v>
      </c>
    </row>
    <row r="262" spans="1:1" ht="20.100000000000001" customHeight="1" x14ac:dyDescent="0.3">
      <c r="A262" s="19" t="s">
        <v>149</v>
      </c>
    </row>
    <row r="263" spans="1:1" ht="20.100000000000001" customHeight="1" x14ac:dyDescent="0.3">
      <c r="A263" s="19" t="s">
        <v>150</v>
      </c>
    </row>
    <row r="264" spans="1:1" ht="20.100000000000001" customHeight="1" x14ac:dyDescent="0.3">
      <c r="A264" s="24" t="s">
        <v>151</v>
      </c>
    </row>
    <row r="265" spans="1:1" ht="20.100000000000001" customHeight="1" x14ac:dyDescent="0.3">
      <c r="A265" s="24" t="s">
        <v>152</v>
      </c>
    </row>
    <row r="266" spans="1:1" ht="20.100000000000001" customHeight="1" x14ac:dyDescent="0.3">
      <c r="A266" s="24" t="s">
        <v>153</v>
      </c>
    </row>
    <row r="267" spans="1:1" ht="20.100000000000001" customHeight="1" x14ac:dyDescent="0.3">
      <c r="A267" s="19" t="s">
        <v>154</v>
      </c>
    </row>
    <row r="268" spans="1:1" ht="20.100000000000001" customHeight="1" x14ac:dyDescent="0.3">
      <c r="A268" s="19" t="s">
        <v>155</v>
      </c>
    </row>
    <row r="269" spans="1:1" ht="20.100000000000001" customHeight="1" x14ac:dyDescent="0.3">
      <c r="A269" s="19" t="s">
        <v>156</v>
      </c>
    </row>
    <row r="270" spans="1:1" ht="20.100000000000001" customHeight="1" x14ac:dyDescent="0.3">
      <c r="A270" s="19" t="s">
        <v>157</v>
      </c>
    </row>
    <row r="271" spans="1:1" ht="20.100000000000001" customHeight="1" x14ac:dyDescent="0.3">
      <c r="A271" s="24" t="s">
        <v>158</v>
      </c>
    </row>
    <row r="272" spans="1:1" ht="20.100000000000001" customHeight="1" x14ac:dyDescent="0.3">
      <c r="A272" s="24" t="s">
        <v>159</v>
      </c>
    </row>
    <row r="273" spans="1:1" ht="20.100000000000001" customHeight="1" x14ac:dyDescent="0.3">
      <c r="A273" s="19" t="s">
        <v>160</v>
      </c>
    </row>
    <row r="274" spans="1:1" ht="20.100000000000001" customHeight="1" x14ac:dyDescent="0.3">
      <c r="A274" s="24" t="s">
        <v>161</v>
      </c>
    </row>
    <row r="275" spans="1:1" ht="20.100000000000001" customHeight="1" x14ac:dyDescent="0.3">
      <c r="A275" s="24" t="s">
        <v>162</v>
      </c>
    </row>
    <row r="276" spans="1:1" ht="20.100000000000001" customHeight="1" x14ac:dyDescent="0.3">
      <c r="A276" s="19" t="s">
        <v>163</v>
      </c>
    </row>
    <row r="277" spans="1:1" ht="20.100000000000001" customHeight="1" x14ac:dyDescent="0.3">
      <c r="A277" s="19" t="s">
        <v>164</v>
      </c>
    </row>
    <row r="278" spans="1:1" ht="20.100000000000001" customHeight="1" x14ac:dyDescent="0.3">
      <c r="A278" s="24" t="s">
        <v>165</v>
      </c>
    </row>
    <row r="279" spans="1:1" ht="20.100000000000001" customHeight="1" x14ac:dyDescent="0.3">
      <c r="A279" s="19" t="s">
        <v>166</v>
      </c>
    </row>
    <row r="280" spans="1:1" ht="20.100000000000001" customHeight="1" x14ac:dyDescent="0.3">
      <c r="A280" s="19" t="s">
        <v>167</v>
      </c>
    </row>
    <row r="281" spans="1:1" ht="20.100000000000001" customHeight="1" x14ac:dyDescent="0.3">
      <c r="A281" s="19" t="s">
        <v>168</v>
      </c>
    </row>
    <row r="282" spans="1:1" ht="20.100000000000001" customHeight="1" x14ac:dyDescent="0.3">
      <c r="A282" s="19" t="s">
        <v>169</v>
      </c>
    </row>
    <row r="283" spans="1:1" ht="20.100000000000001" customHeight="1" x14ac:dyDescent="0.3">
      <c r="A283" s="24" t="s">
        <v>170</v>
      </c>
    </row>
    <row r="284" spans="1:1" ht="20.100000000000001" customHeight="1" x14ac:dyDescent="0.3">
      <c r="A284" s="24" t="s">
        <v>171</v>
      </c>
    </row>
    <row r="285" spans="1:1" ht="20.100000000000001" customHeight="1" x14ac:dyDescent="0.3">
      <c r="A285" s="24" t="s">
        <v>172</v>
      </c>
    </row>
    <row r="286" spans="1:1" ht="20.100000000000001" customHeight="1" thickBot="1" x14ac:dyDescent="0.35">
      <c r="A286" s="19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2025-10-07T16:38:09Z</dcterms:modified>
</cp:coreProperties>
</file>