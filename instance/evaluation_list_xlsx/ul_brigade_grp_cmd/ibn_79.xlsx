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5E59B26-FA03-EF43-922A-E41BDC26CF9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<sst xmlns="http://schemas.openxmlformats.org/spreadsheetml/2006/main" count="269" uniqueCount="213">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</sst>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153350</xdr:colOff>
      <xdr:row>43</xdr:row>
      <xdr:rowOff>36382</xdr:rowOff>
    </xdr:from>
    <xdr:to>
      <xdr:col>9</xdr:col>
      <xdr:colOff>191829</xdr:colOff>
      <xdr:row>43</xdr:row>
      <xdr:rowOff>520222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40CC2D8-178A-232A-8478-6EC4800A691E}"/>
                </a:ext>
              </a:extLst>
            </xdr14:cNvPr>
            <xdr14:cNvContentPartPr/>
          </xdr14:nvContentPartPr>
          <xdr14:nvPr macro=""/>
          <xdr14:xfrm>
            <a:off x="10409514621" y="17008200"/>
            <a:ext cx="2006640" cy="483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40CC2D8-178A-232A-8478-6EC4800A69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9508501" y="17002080"/>
              <a:ext cx="2018880" cy="49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59615</xdr:colOff>
      <xdr:row>43</xdr:row>
      <xdr:rowOff>475942</xdr:rowOff>
    </xdr:from>
    <xdr:to>
      <xdr:col>7</xdr:col>
      <xdr:colOff>92735</xdr:colOff>
      <xdr:row>43</xdr:row>
      <xdr:rowOff>488182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E0BB516-5DBE-3753-7E61-9D3DBC4B7300}"/>
                </a:ext>
              </a:extLst>
            </xdr14:cNvPr>
            <xdr14:cNvContentPartPr/>
          </xdr14:nvContentPartPr>
          <xdr14:nvPr macro=""/>
          <xdr14:xfrm>
            <a:off x="10410925821" y="17447760"/>
            <a:ext cx="33120" cy="12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E0BB516-5DBE-3753-7E61-9D3DBC4B73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10919701" y="17441640"/>
              <a:ext cx="45360" cy="2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2:49.6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4783 1250 9426,'0'0'0,"0"0"0,-4-3 2624,0-1-1512,1-5-688,-1 6-248,4 0-104,0 0-64,0 3-8,0-3 0,0-1 0,2 0 0,0-5 32,1 6 8,0-1 16,-3 4-56,4-10 40,-1 6-7,0 0-1,6-6-24,-7 7 48,1-7-8,-3 10-48,10-4 32,-7-7 8,7 2-8,-7 1-8,11-2-16,-6 0-8,-8 10 0,11-11 24,-1-1 0,1 0 16,1-1-8,-1 1-8,1-1-16,1 0 24,-13 13-32,14-13 40,1 0-24,-1-1 0,-1 1 8,1-1 0,-14 14-24,11-13 16,1 0 8,1 1-16,-2 1-8,1 1 24,-1 0-16,0-1 8,-11 11-16,11-10 0,-2 0-24,1 0 24,-2 2 0,1-1 0,0 5 32,-9 4-32,3-11 0,8 7 8,-9-5 16,1 5-16,6-4 48,-9 4 8,0 4-64,3-8 56,-1 4 48,1-4 0,-3 4 0,0 1 16,0-1-40,0 4-80,0-3 112,-1-2 8,-1 2-8,-2-1 16,1 0-16,-6 1 0,9 3-112,-3-3 72,-8-1-32,1 1 0,0 1-56,0 0 16,-2 1-40,12 1 40,-13-1-48,-1 0 16,-2 1 8,0 0 0,-3 0 16,-3 2-16,22-2 24,-24 3-24,-1 7 16,-3-8 8,0 8-16,-2-7 16,0 8 24,30-11-24,-32 10-8,-1-2 40,-3 1 0,1 1-16,-4 1 48,-1 0-16,40-11-48,-40 11 56,-2 1 24,0 0-16,-1 1 40,1-1-48,-2 1 24,44-13-80,-44 12 48,-3 1 8,0 0 32,-1 1-32,0 0 40,1 2 8,47-16-104,-48 15 56,0 0 48,1 1 0,0 0-40,1 0 24,0-1 8,46-15-96,-44 15 56,1 1 56,2-1-8,0-1 24,1-1-8,-1 1-32,41-14-88,-41 15 24,3-2 8,2-1-8,1-2 40,3 2 40,-1-2-56,33-10-48,-32 10 40,3 0-16,2-7 24,2 10 49,1-10-49,2 8 0,22-11-48,-21 4 8,2 4-16,0-5 40,3 0 8,1 0 48,2 0-16,13-3-72,-9 3 32,0-1 48,6 0-8,-7-2 16,8 0 16,-1 0-16,3 0-88,-2 0 112,1 0 24,1 0 0,0-1-48,2-1-24,2-2-80,-4 4 16,8-3-56,-5-1 16,8-5-8,-3 6 0,3-7 8,2 1-24,-13 9 64,14-4-48,3-8 8,1 3-32,3-1 56,0 1 32,0-1-88,-21 10 72,24-10 0,1-1-16,1 0-24,1-1 56,1 0-32,0 0-32,-28 12 48,30-12-8,-1-1-32,2 0 16,-1-1 40,4 1-72,-1 0 48,-33 13 8,33-14-16,2 1-32,-2-2 40,1 3 8,1 0 8,-3-1 8,-32 13-16,35-12 8,0 0-32,-1 0 16,0 0-8,-1 1 32,0 1-32,-33 10 16,34-11-8,1 0 8,-1 1 0,-1-1 24,1 1-24,-1 0 8,-33 10-8,32-9 0,4-2-8,-1 0 16,-1 0-16,0 0 8,-3-1-16,-31 12 16,32-12 0,0 0 16,-1 0-8,2 0 32,-2 0-40,0 1 8,-31 11-8,30-12 16,0 1-8,-2 1 8,-1-1 8,0 1-8,-4 0-16,-23 10 0,24-9 0,-1 1 0,-1-1 8,-1 5 16,-2-8-24,0 7-8,-19 5 8,19-11 8,0 3-32,0 3 24,-2-6 40,0 7-32,0-6 16,-17 10-24,16-3 16,-2-6-32,-2 6 32,-1-1-8,-2-1-8,0 1 40,-9 4-40,3-3 40,7-2-16,-8 2 64,1 0-32,0 0 24,0 1 32,-3 2-112,2-1 112,-2-1 24,0 1 56,0 0 8,0-1 56,0 1-16,0 1-240,0-3 208,-2 2-32,-2-1-40,1 1-8,-6 0-88,6-1 8,3 2-48,-10-1 16,6 0-32,-8 0-8,1-1 0,-2 2-40,-1 0-16,14 0 80,-16 0-24,-2 3-16,0 0 24,-1-1-8,0 1-16,-1 6 64,20-9-24,-21 2-40,-1 1 40,-1 8 32,0-8-112,-3 6 56,-1-6-16,27-3 40,-27 10-24,-1-6 8,-2 7 32,0-2-32,-3 0-8,-1 2 8,34-11 16,-35 10 0,1 1-24,-2 0 40,-2 0-16,1 0-32,-2 1 64,39-12-32,-40 12-32,-2 0 64,1 2 0,-1-1-16,0 0 8,0 0-8,42-13-16,-42 14 16,0 0-32,0 1-8,1 2 24,-1-3-32,-1 0 64,43-14-32,-42 14 40,0 0-32,2-1 16,-2 2 8,0-1-8,-2 1 16,44-15-40,-42 14 24,-1 1 16,4 0 0,0 0-16,2-1 64,0 0-48,37-14-40,-37 14 0,2 0 0,0 1-40,1-1 56,3 0-16,-1 0 40,32-14-40,-30 13 8,0 0-16,2 0 16,1-1-56,1 0 48,1-1 16,25-11-16,-20 10 8,-1 1 32,2-2-56,3-6-16,0 9 40,2-9 8,14-3-16,-13 10 8,3-8 48,5 1-96,-3 1-8,6-1-8,-1 0-8,3-3 64,-2 2-40,1 1-48,1-1-16,0-2 8,2 0-16,2 0 24,-4 0 88,9 0-88,-5 0 8,8 0 80,-2 0-24,5 0 24,0-2 24,-15 2-24,17-4-16,2 1 48,0-7-8,3 7-16,1-8-8,2 7 16,-25 4-16,28-13 0,1 3 16,2-1-32,3 0 0,1 0 8,2-1-8,-37 12 16,37-12 16,1-1-16,2-1 8,0 0-32,1 0 16,2-3-8,-43 17 16,44-15-24,3-1 24,2-1 0,0 0-16,0-1 32,0 1-16,-49 17 0,51-17-56,0-1 56,0 0 16,2-1-16,0 1 48,1-1-8,-54 19-40,54-18-8,0-2 8,1-1 8,1 2-56,0-1 88,-3 0-40,-53 20 0,52-17 0,1-2 24,-2 1-24,1-1 24,-1 1-24,-2-1 16,-49 19-16,49-18 0,-1 0-16,-1 2 32,0-1-16,0-1 0,0 1 24,-47 17-24,46-17-16,-2 1 40,-1 2 8,-4 1-48,-1 0 0,-1 0-8,-37 13 24,37-13-8,-3 1 8,-2 0-56,-1 2 8,-3 0 8,0 0-8,-28 10 48,26-4 8,-3-7-8,-2 8-40,0-6 40,-3 6 40,-3-1-40,-15 4 0,13-4-8,-1 1 8,-2 0-80,-2 0 96,-4 1-16,6 1 8,-10 1-8,0-1 64,2 0-104,-2 1 72,0 0-24,0 0-32,0 0 112,0 0-88,-2 0 64,-1 2 24,-1-2-8,0 2-32,-6 0-32,5 1-56,5-3 40,-12 3 0,1 0-8,-2 0-56,-1 6 72,-2-7 32,-3 7-56,19-9 16,-20 2 104,-2 7-48,-1-6-32,-2 7 24,-1-7 16,-2 9 0,28-12-64,-29 4 72,0 8 16,-3-9-88,-1 10 64,-2-3 0,-3-2-24,38-8-40,-40 10 144,0 0-80,-6 0-8,0 2 8,-1-1-24,-3 2 0,50-13-40,-49 12 88,-3 0-8,0 1-24,-5 0 48,-2 0-48,-2 1-32,-1 1 32,62-15-56,-63 16 24,-4-1 16,-1 0 24,-5 0-32,-2 1 8,0-1-16,75-15-24,-78 17 24,1 0 8,-3 1 16,0 1 8,-3 1-56,-3 1 56,86-21-56,-86 20 0,-4-1 56,1 1 32,-3 0-32,-1-1 16,-2 1-31,95-20-41,-97 18 0,0 2 40,-1 0 0,1-1 56,-1 1 24,1-2 16,97-18-136,-96 20 168,0-3-120,1 2 40,1-2-48,0 0 24,1-2 64,93-15-128,-92 14 112,3 0 24,-1-1-8,3 1 8,0-1-48,2-2-32,85-11-56,-84 11 56,3 0 8,2-2 48,3-6-24,1 8 40,3-9-72,72-2-56,-71 4 24,4-2 64,2 0-104,4-2 48,3 0-8,1 0 8,57 0-32,-52-1 24,2-2 48,3-7 32,3 1 48,3 0-64,5-2-64,36 11-24,-34-12 64,4 0-64,3-2 56,2-1 16,2-1-48,3-2 24,20 18-48,-17-19 40,4-1 48,2-2 0,8-1-88,-2-1 40,2-1-24,3 25-16,0-26-16,2-1 64,7-1-48,3-2-64,1-1 24,5-1 0,-18 32 40,21-34-64,2-1 40,2 2-24,2 0-24,2-1 64,3 1-56,-32 33 64,34-32-72,3-2 72,2 1 16,3 1-32,2 0 16,1 2-24,-45 30 24,47-31-112,2 2 96,0-1-32,1 3 24,3 1 24,1 1-32,-54 25 32,54-23-72,3 0 16,0 2 16,2 2-16,0-1 56,2 2-16,-61 18 16,64-18-40,-1 1 64,1 0 24,3 3-96,0 0 48,0 2-24,-67 12 24,66-10-88,-1 6 88,2-6-40,-1 7-72,2 0 56,-3 0-16,-65 3 72,65-1-56,-2 1 72,1 2-16,0 2 0,-2 5 0,2 0-16,-64-9 16,62 10-32,-1 2-24,0 2 32,-1 0 24,0 3 40,-2 0 0,-58-17-40,58 19 0,-2 1 32,0 1-88,-2 1 56,-2 2 24,-3 1-24,-49-25 0,47 26 72,-4 2-40,0 2-8,-3 0 16,-2 1 16,-1 0-24,-37-31-32,33 32 32,0 1 24,-3 0 24,-2 3-24,1-1 64,-4 0-8,-25-35-112,25 35 72,-2-1 80,-1 1-24,-2 1 8,0-3-24,2 0-8,-22-33-104,21 32 72,-1-2-16,0 1-16,-1-2-8,-2 0-16,-1 1 0,-16-30-16,18 27 24,-2 1-24,0-1 0,2-4 48,-2 1-48,1-2-16,-17-22 16,18 21 16,-2 0-16,-1-3-16,1 0 0,-2-2-40,1-1-152,-15-15 208,15 14-216,0-2-152,-1 0-304,-2-2-304,1-7-537,-1 9-663,-12-12 2176,12 3-2897,0 0-927,0 6-249,0-9-3273,-12 0 7346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32:50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33 22020,'0'0'0,"-16"-8"5001,3 4-3985,-2-7-647,15 11-369,-10-1 208,7 0-56,-6 0 224,8 0 152,0 0-40,0 1 104,1 0-592,-3 0 448,0-1-104,0 1 16,0 0-104,1 0-144,-1 0 16,3 0-128,-2-1 32,1 1-48,0 0 16,1 0-16,0 0 32,0-1-16,0 1 0,0 0-112,0-1-224,0 1-136,0 0-320,0 0-480,0 0-497,0 0 1769,0 0-2704,0 0-1337,3 0-2120,1 0-4234,-4 0 10395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D31" zoomScale="130" zoomScaleNormal="100" zoomScaleSheetLayoutView="130" workbookViewId="0">
      <selection activeCell="G43" sqref="G43:J4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1" t="s">
        <v>212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2">
      <c r="B2" s="12" t="s">
        <v>8</v>
      </c>
      <c r="C2" s="67" t="s">
        <v>35</v>
      </c>
      <c r="D2" s="67"/>
      <c r="E2" s="12" t="s">
        <v>7</v>
      </c>
      <c r="F2" s="62">
        <v>45929</v>
      </c>
      <c r="G2" s="62"/>
      <c r="H2" s="62"/>
      <c r="I2" s="62"/>
      <c r="J2" s="62"/>
    </row>
    <row r="3" spans="1:10" ht="30" customHeight="1" x14ac:dyDescent="0.2">
      <c r="B3" s="12" t="s">
        <v>9</v>
      </c>
      <c r="C3" s="67" t="s">
        <v>62</v>
      </c>
      <c r="D3" s="67"/>
      <c r="E3" s="12" t="s">
        <v>6</v>
      </c>
      <c r="F3" s="67" t="s">
        <v>93</v>
      </c>
      <c r="G3" s="67"/>
      <c r="H3" s="67"/>
      <c r="I3" s="67"/>
      <c r="J3" s="6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3" t="s">
        <v>0</v>
      </c>
      <c r="C5" s="64"/>
      <c r="D5" s="64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87"/>
      <c r="J6" s="88"/>
    </row>
    <row r="7" spans="1:10" ht="24.95" customHeight="1" thickBot="1" x14ac:dyDescent="0.25">
      <c r="A7" s="10"/>
      <c r="B7" s="55" t="s">
        <v>21</v>
      </c>
      <c r="C7" s="56"/>
      <c r="D7" s="56"/>
      <c r="E7" s="32" t="s">
        <v>18</v>
      </c>
      <c r="F7" s="32" t="s">
        <v>19</v>
      </c>
      <c r="G7" s="32" t="s">
        <v>22</v>
      </c>
      <c r="H7" s="32" t="s">
        <v>20</v>
      </c>
      <c r="I7" s="89" t="s">
        <v>25</v>
      </c>
      <c r="J7" s="90"/>
    </row>
    <row r="8" spans="1:10" ht="30" customHeight="1" x14ac:dyDescent="0.2">
      <c r="A8" s="10"/>
      <c r="B8" s="49" t="s">
        <v>180</v>
      </c>
      <c r="C8" s="50"/>
      <c r="D8" s="50"/>
      <c r="E8" s="30"/>
      <c r="F8" s="36"/>
      <c r="G8" s="37"/>
      <c r="H8" s="38"/>
      <c r="I8" s="53"/>
      <c r="J8" s="54"/>
    </row>
    <row r="9" spans="1:10" ht="30" customHeight="1" x14ac:dyDescent="0.2">
      <c r="A9" s="10"/>
      <c r="B9" s="51" t="s">
        <v>181</v>
      </c>
      <c r="C9" s="52"/>
      <c r="D9" s="52"/>
      <c r="E9" s="28">
        <v>5</v>
      </c>
      <c r="F9" s="26">
        <v>3.75</v>
      </c>
      <c r="G9" s="34">
        <f>IFERROR(F9/E9,"")</f>
        <v>0.75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2">
      <c r="A10" s="10"/>
      <c r="B10" s="51" t="s">
        <v>182</v>
      </c>
      <c r="C10" s="52"/>
      <c r="D10" s="52"/>
      <c r="E10" s="28">
        <v>6</v>
      </c>
      <c r="F10" s="26">
        <v>4.75</v>
      </c>
      <c r="G10" s="34">
        <f t="shared" ref="G10:G39" si="0">IFERROR(F10/E10,"")</f>
        <v>0.79166666666666663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2">
      <c r="A11" s="10"/>
      <c r="B11" s="51" t="s">
        <v>183</v>
      </c>
      <c r="C11" s="52"/>
      <c r="D11" s="52"/>
      <c r="E11" s="28">
        <v>6</v>
      </c>
      <c r="F11" s="26">
        <v>4.5</v>
      </c>
      <c r="G11" s="34">
        <f t="shared" si="0"/>
        <v>0.75</v>
      </c>
      <c r="H11" s="35" t="str">
        <f t="shared" si="1"/>
        <v>جيد</v>
      </c>
      <c r="I11" s="57"/>
      <c r="J11" s="58"/>
    </row>
    <row r="12" spans="1:10" ht="30" customHeight="1" thickBot="1" x14ac:dyDescent="0.25">
      <c r="A12" s="10"/>
      <c r="B12" s="47" t="s">
        <v>184</v>
      </c>
      <c r="C12" s="48"/>
      <c r="D12" s="48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9"/>
      <c r="J12" s="60"/>
    </row>
    <row r="13" spans="1:10" ht="30" customHeight="1" x14ac:dyDescent="0.2">
      <c r="A13" s="10"/>
      <c r="B13" s="49" t="s">
        <v>185</v>
      </c>
      <c r="C13" s="50"/>
      <c r="D13" s="50"/>
      <c r="E13" s="30"/>
      <c r="F13" s="36"/>
      <c r="G13" s="37"/>
      <c r="H13" s="38"/>
      <c r="I13" s="53"/>
      <c r="J13" s="54"/>
    </row>
    <row r="14" spans="1:10" ht="30" customHeight="1" x14ac:dyDescent="0.2">
      <c r="A14" s="10"/>
      <c r="B14" s="51" t="s">
        <v>186</v>
      </c>
      <c r="C14" s="52"/>
      <c r="D14" s="52"/>
      <c r="E14" s="9">
        <v>8</v>
      </c>
      <c r="F14" s="26">
        <v>6</v>
      </c>
      <c r="G14" s="34">
        <f t="shared" si="0"/>
        <v>0.75</v>
      </c>
      <c r="H14" s="35" t="str">
        <f t="shared" si="1"/>
        <v>جيد</v>
      </c>
      <c r="I14" s="57"/>
      <c r="J14" s="58"/>
    </row>
    <row r="15" spans="1:10" ht="30" customHeight="1" x14ac:dyDescent="0.2">
      <c r="A15" s="10"/>
      <c r="B15" s="51" t="s">
        <v>187</v>
      </c>
      <c r="C15" s="52"/>
      <c r="D15" s="52"/>
      <c r="E15" s="9">
        <v>8</v>
      </c>
      <c r="F15" s="26">
        <v>6</v>
      </c>
      <c r="G15" s="34">
        <f t="shared" si="0"/>
        <v>0.75</v>
      </c>
      <c r="H15" s="35" t="str">
        <f t="shared" si="1"/>
        <v>جيد</v>
      </c>
      <c r="I15" s="57"/>
      <c r="J15" s="58"/>
    </row>
    <row r="16" spans="1:10" ht="30" customHeight="1" x14ac:dyDescent="0.2">
      <c r="A16" s="10"/>
      <c r="B16" s="51" t="s">
        <v>188</v>
      </c>
      <c r="C16" s="52"/>
      <c r="D16" s="52"/>
      <c r="E16" s="9">
        <v>5</v>
      </c>
      <c r="F16" s="26">
        <v>3.75</v>
      </c>
      <c r="G16" s="34">
        <f t="shared" si="0"/>
        <v>0.75</v>
      </c>
      <c r="H16" s="35" t="str">
        <f t="shared" si="1"/>
        <v>جيد</v>
      </c>
      <c r="I16" s="57"/>
      <c r="J16" s="58"/>
    </row>
    <row r="17" spans="1:10" ht="30" customHeight="1" thickBot="1" x14ac:dyDescent="0.25">
      <c r="A17" s="10"/>
      <c r="B17" s="47" t="s">
        <v>189</v>
      </c>
      <c r="C17" s="48"/>
      <c r="D17" s="48"/>
      <c r="E17" s="31">
        <v>6</v>
      </c>
      <c r="F17" s="27">
        <v>4.25</v>
      </c>
      <c r="G17" s="39">
        <f t="shared" si="0"/>
        <v>0.70833333333333337</v>
      </c>
      <c r="H17" s="40" t="str">
        <f t="shared" si="1"/>
        <v>جيد</v>
      </c>
      <c r="I17" s="59"/>
      <c r="J17" s="60"/>
    </row>
    <row r="18" spans="1:10" ht="30" customHeight="1" x14ac:dyDescent="0.2">
      <c r="A18" s="10"/>
      <c r="B18" s="49" t="s">
        <v>190</v>
      </c>
      <c r="C18" s="50"/>
      <c r="D18" s="50"/>
      <c r="E18" s="30"/>
      <c r="F18" s="36"/>
      <c r="G18" s="37"/>
      <c r="H18" s="38"/>
      <c r="I18" s="53"/>
      <c r="J18" s="54"/>
    </row>
    <row r="19" spans="1:10" ht="30" customHeight="1" x14ac:dyDescent="0.2">
      <c r="A19" s="10"/>
      <c r="B19" s="51" t="s">
        <v>191</v>
      </c>
      <c r="C19" s="52"/>
      <c r="D19" s="52"/>
      <c r="E19" s="28">
        <v>6</v>
      </c>
      <c r="F19" s="26">
        <v>4.5</v>
      </c>
      <c r="G19" s="34">
        <f t="shared" si="0"/>
        <v>0.75</v>
      </c>
      <c r="H19" s="35" t="str">
        <f t="shared" si="1"/>
        <v>جيد</v>
      </c>
      <c r="I19" s="57"/>
      <c r="J19" s="58"/>
    </row>
    <row r="20" spans="1:10" ht="30" customHeight="1" x14ac:dyDescent="0.2">
      <c r="A20" s="10"/>
      <c r="B20" s="51" t="s">
        <v>192</v>
      </c>
      <c r="C20" s="52"/>
      <c r="D20" s="52"/>
      <c r="E20" s="28">
        <v>6</v>
      </c>
      <c r="F20" s="26">
        <v>4.5</v>
      </c>
      <c r="G20" s="34">
        <f t="shared" si="0"/>
        <v>0.75</v>
      </c>
      <c r="H20" s="35" t="str">
        <f t="shared" si="1"/>
        <v>جيد</v>
      </c>
      <c r="I20" s="57"/>
      <c r="J20" s="58"/>
    </row>
    <row r="21" spans="1:10" ht="30" customHeight="1" x14ac:dyDescent="0.2">
      <c r="A21" s="10"/>
      <c r="B21" s="51" t="s">
        <v>193</v>
      </c>
      <c r="C21" s="52"/>
      <c r="D21" s="52"/>
      <c r="E21" s="28">
        <v>6</v>
      </c>
      <c r="F21" s="26">
        <v>4.5</v>
      </c>
      <c r="G21" s="34">
        <f t="shared" si="0"/>
        <v>0.75</v>
      </c>
      <c r="H21" s="35" t="str">
        <f t="shared" si="1"/>
        <v>جيد</v>
      </c>
      <c r="I21" s="57"/>
      <c r="J21" s="58"/>
    </row>
    <row r="22" spans="1:10" ht="39.950000000000003" customHeight="1" x14ac:dyDescent="0.2">
      <c r="A22" s="10"/>
      <c r="B22" s="51" t="s">
        <v>194</v>
      </c>
      <c r="C22" s="52"/>
      <c r="D22" s="52"/>
      <c r="E22" s="28">
        <v>6</v>
      </c>
      <c r="F22" s="26">
        <v>4.25</v>
      </c>
      <c r="G22" s="34">
        <f t="shared" si="0"/>
        <v>0.70833333333333337</v>
      </c>
      <c r="H22" s="35" t="str">
        <f t="shared" si="1"/>
        <v>جيد</v>
      </c>
      <c r="I22" s="57"/>
      <c r="J22" s="58"/>
    </row>
    <row r="23" spans="1:10" ht="30" customHeight="1" thickBot="1" x14ac:dyDescent="0.25">
      <c r="A23" s="10"/>
      <c r="B23" s="47" t="s">
        <v>195</v>
      </c>
      <c r="C23" s="48"/>
      <c r="D23" s="48"/>
      <c r="E23" s="29">
        <v>6</v>
      </c>
      <c r="F23" s="27">
        <v>4.25</v>
      </c>
      <c r="G23" s="39">
        <f t="shared" si="0"/>
        <v>0.70833333333333337</v>
      </c>
      <c r="H23" s="40" t="str">
        <f t="shared" si="1"/>
        <v>جيد</v>
      </c>
      <c r="I23" s="59"/>
      <c r="J23" s="60"/>
    </row>
    <row r="24" spans="1:10" ht="30" customHeight="1" x14ac:dyDescent="0.2">
      <c r="A24" s="10"/>
      <c r="B24" s="49" t="s">
        <v>196</v>
      </c>
      <c r="C24" s="50"/>
      <c r="D24" s="50"/>
      <c r="E24" s="30"/>
      <c r="F24" s="36"/>
      <c r="G24" s="37"/>
      <c r="H24" s="38"/>
      <c r="I24" s="53"/>
      <c r="J24" s="54"/>
    </row>
    <row r="25" spans="1:10" ht="39.950000000000003" customHeight="1" x14ac:dyDescent="0.2">
      <c r="A25" s="10"/>
      <c r="B25" s="43" t="s">
        <v>197</v>
      </c>
      <c r="C25" s="44"/>
      <c r="D25" s="44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57"/>
      <c r="J25" s="58"/>
    </row>
    <row r="26" spans="1:10" ht="39.950000000000003" customHeight="1" x14ac:dyDescent="0.2">
      <c r="A26" s="10"/>
      <c r="B26" s="43" t="s">
        <v>198</v>
      </c>
      <c r="C26" s="44"/>
      <c r="D26" s="44"/>
      <c r="E26" s="28">
        <v>5</v>
      </c>
      <c r="F26" s="26">
        <v>3.75</v>
      </c>
      <c r="G26" s="34">
        <f t="shared" si="0"/>
        <v>0.75</v>
      </c>
      <c r="H26" s="35" t="str">
        <f t="shared" si="1"/>
        <v>جيد</v>
      </c>
      <c r="I26" s="57"/>
      <c r="J26" s="58"/>
    </row>
    <row r="27" spans="1:10" ht="30" customHeight="1" x14ac:dyDescent="0.2">
      <c r="A27" s="10"/>
      <c r="B27" s="43" t="s">
        <v>199</v>
      </c>
      <c r="C27" s="44"/>
      <c r="D27" s="44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57"/>
      <c r="J27" s="58"/>
    </row>
    <row r="28" spans="1:10" ht="30" customHeight="1" x14ac:dyDescent="0.2">
      <c r="A28" s="10"/>
      <c r="B28" s="43" t="s">
        <v>200</v>
      </c>
      <c r="C28" s="44"/>
      <c r="D28" s="44"/>
      <c r="E28" s="28">
        <v>5</v>
      </c>
      <c r="F28" s="26">
        <v>3.5</v>
      </c>
      <c r="G28" s="34">
        <f t="shared" si="0"/>
        <v>0.7</v>
      </c>
      <c r="H28" s="35" t="str">
        <f t="shared" si="1"/>
        <v>جيد</v>
      </c>
      <c r="I28" s="57"/>
      <c r="J28" s="58"/>
    </row>
    <row r="29" spans="1:10" ht="30" customHeight="1" x14ac:dyDescent="0.2">
      <c r="A29" s="10"/>
      <c r="B29" s="43" t="s">
        <v>201</v>
      </c>
      <c r="C29" s="44"/>
      <c r="D29" s="44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57"/>
      <c r="J29" s="58"/>
    </row>
    <row r="30" spans="1:10" ht="30" customHeight="1" x14ac:dyDescent="0.2">
      <c r="A30" s="10"/>
      <c r="B30" s="43" t="s">
        <v>202</v>
      </c>
      <c r="C30" s="44"/>
      <c r="D30" s="44"/>
      <c r="E30" s="28">
        <v>5</v>
      </c>
      <c r="F30" s="26">
        <v>3.75</v>
      </c>
      <c r="G30" s="34">
        <f t="shared" si="0"/>
        <v>0.75</v>
      </c>
      <c r="H30" s="35" t="str">
        <f t="shared" si="1"/>
        <v>جيد</v>
      </c>
      <c r="I30" s="57"/>
      <c r="J30" s="58"/>
    </row>
    <row r="31" spans="1:10" ht="30" customHeight="1" x14ac:dyDescent="0.2">
      <c r="A31" s="10"/>
      <c r="B31" s="43" t="s">
        <v>203</v>
      </c>
      <c r="C31" s="44"/>
      <c r="D31" s="44"/>
      <c r="E31" s="28">
        <v>5</v>
      </c>
      <c r="F31" s="26">
        <v>3.75</v>
      </c>
      <c r="G31" s="34">
        <f t="shared" si="0"/>
        <v>0.75</v>
      </c>
      <c r="H31" s="35" t="str">
        <f t="shared" si="1"/>
        <v>جيد</v>
      </c>
      <c r="I31" s="57"/>
      <c r="J31" s="58"/>
    </row>
    <row r="32" spans="1:10" ht="30" customHeight="1" x14ac:dyDescent="0.2">
      <c r="A32" s="10"/>
      <c r="B32" s="43" t="s">
        <v>204</v>
      </c>
      <c r="C32" s="44"/>
      <c r="D32" s="44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57"/>
      <c r="J32" s="58"/>
    </row>
    <row r="33" spans="1:10" ht="30" customHeight="1" x14ac:dyDescent="0.2">
      <c r="A33" s="10"/>
      <c r="B33" s="43" t="s">
        <v>205</v>
      </c>
      <c r="C33" s="44"/>
      <c r="D33" s="44"/>
      <c r="E33" s="28">
        <v>5</v>
      </c>
      <c r="F33" s="26">
        <v>3.75</v>
      </c>
      <c r="G33" s="34">
        <f t="shared" si="0"/>
        <v>0.75</v>
      </c>
      <c r="H33" s="35" t="str">
        <f t="shared" si="1"/>
        <v>جيد</v>
      </c>
      <c r="I33" s="57"/>
      <c r="J33" s="58"/>
    </row>
    <row r="34" spans="1:10" ht="30" customHeight="1" thickBot="1" x14ac:dyDescent="0.25">
      <c r="A34" s="10"/>
      <c r="B34" s="47" t="s">
        <v>206</v>
      </c>
      <c r="C34" s="48"/>
      <c r="D34" s="48"/>
      <c r="E34" s="29">
        <v>5</v>
      </c>
      <c r="F34" s="27">
        <v>3.75</v>
      </c>
      <c r="G34" s="39">
        <f t="shared" si="0"/>
        <v>0.75</v>
      </c>
      <c r="H34" s="40" t="str">
        <f t="shared" si="1"/>
        <v>جيد</v>
      </c>
      <c r="I34" s="59"/>
      <c r="J34" s="60"/>
    </row>
    <row r="35" spans="1:10" ht="30" customHeight="1" x14ac:dyDescent="0.2">
      <c r="A35" s="10"/>
      <c r="B35" s="41" t="s">
        <v>207</v>
      </c>
      <c r="C35" s="42"/>
      <c r="D35" s="42"/>
      <c r="E35" s="30"/>
      <c r="F35" s="36"/>
      <c r="G35" s="37"/>
      <c r="H35" s="38"/>
      <c r="I35" s="53"/>
      <c r="J35" s="54"/>
    </row>
    <row r="36" spans="1:10" ht="30" customHeight="1" x14ac:dyDescent="0.2">
      <c r="A36" s="10"/>
      <c r="B36" s="43" t="s">
        <v>208</v>
      </c>
      <c r="C36" s="44"/>
      <c r="D36" s="44"/>
      <c r="E36" s="9">
        <v>6</v>
      </c>
      <c r="F36" s="26">
        <v>4.25</v>
      </c>
      <c r="G36" s="34">
        <f t="shared" si="0"/>
        <v>0.70833333333333337</v>
      </c>
      <c r="H36" s="35" t="str">
        <f t="shared" si="1"/>
        <v>جيد</v>
      </c>
      <c r="I36" s="57"/>
      <c r="J36" s="58"/>
    </row>
    <row r="37" spans="1:10" ht="30" customHeight="1" x14ac:dyDescent="0.2">
      <c r="A37" s="10"/>
      <c r="B37" s="43" t="s">
        <v>209</v>
      </c>
      <c r="C37" s="44"/>
      <c r="D37" s="44"/>
      <c r="E37" s="9">
        <v>5</v>
      </c>
      <c r="F37" s="26">
        <v>3.75</v>
      </c>
      <c r="G37" s="34">
        <f t="shared" si="0"/>
        <v>0.75</v>
      </c>
      <c r="H37" s="35" t="str">
        <f t="shared" si="1"/>
        <v>جيد</v>
      </c>
      <c r="I37" s="57"/>
      <c r="J37" s="58"/>
    </row>
    <row r="38" spans="1:10" ht="30" customHeight="1" x14ac:dyDescent="0.2">
      <c r="A38" s="10"/>
      <c r="B38" s="43" t="s">
        <v>210</v>
      </c>
      <c r="C38" s="44"/>
      <c r="D38" s="44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57"/>
      <c r="J38" s="58"/>
    </row>
    <row r="39" spans="1:10" ht="30" customHeight="1" thickBot="1" x14ac:dyDescent="0.25">
      <c r="A39" s="10"/>
      <c r="B39" s="45" t="s">
        <v>211</v>
      </c>
      <c r="C39" s="46"/>
      <c r="D39" s="46"/>
      <c r="E39" s="31">
        <v>5</v>
      </c>
      <c r="F39" s="27">
        <v>3.5</v>
      </c>
      <c r="G39" s="39">
        <f t="shared" si="0"/>
        <v>0.7</v>
      </c>
      <c r="H39" s="40" t="str">
        <f t="shared" si="1"/>
        <v>جيد</v>
      </c>
      <c r="I39" s="59"/>
      <c r="J39" s="60"/>
    </row>
    <row r="40" spans="1:10" ht="30" customHeight="1" thickBot="1" x14ac:dyDescent="0.25">
      <c r="A40" s="4"/>
      <c r="B40" s="76" t="s">
        <v>5</v>
      </c>
      <c r="C40" s="77"/>
      <c r="D40" s="77"/>
      <c r="E40" s="33">
        <f>SUM(E8:E39)</f>
        <v>150</v>
      </c>
      <c r="F40" s="33">
        <f>SUM(F8:F39)</f>
        <v>111.25</v>
      </c>
      <c r="G40" s="82"/>
      <c r="H40" s="83"/>
      <c r="I40" s="83"/>
      <c r="J40" s="84"/>
    </row>
    <row r="41" spans="1:10" ht="30" customHeight="1" thickBot="1" x14ac:dyDescent="0.25">
      <c r="A41" s="4"/>
      <c r="B41" s="78" t="s">
        <v>54</v>
      </c>
      <c r="C41" s="79"/>
      <c r="D41" s="79"/>
      <c r="E41" s="74">
        <f>F40/E40/100*100</f>
        <v>0.7416666666666667</v>
      </c>
      <c r="F41" s="74"/>
      <c r="G41" s="74"/>
      <c r="H41" s="74"/>
      <c r="I41" s="74"/>
      <c r="J41" s="75"/>
    </row>
    <row r="42" spans="1:10" ht="30" customHeight="1" thickBot="1" x14ac:dyDescent="0.25">
      <c r="A42" s="4"/>
      <c r="B42" s="78" t="s">
        <v>55</v>
      </c>
      <c r="C42" s="79"/>
      <c r="D42" s="79"/>
      <c r="E42" s="72" t="str">
        <f>_xlfn.IFS(E41&gt;=90%,"ممتاز",E41&gt;=80%,"جيد جداً",E41&gt;=70%,"جيد",E41&gt;=60%,"مقبول",E41&lt;60%,"راسب")</f>
        <v>جيد</v>
      </c>
      <c r="F42" s="72"/>
      <c r="G42" s="72"/>
      <c r="H42" s="72"/>
      <c r="I42" s="72"/>
      <c r="J42" s="73"/>
    </row>
    <row r="43" spans="1:10" ht="42" customHeight="1" x14ac:dyDescent="0.2">
      <c r="B43" s="68" t="s">
        <v>174</v>
      </c>
      <c r="C43" s="68"/>
      <c r="D43" s="68"/>
      <c r="E43" s="80" t="s">
        <v>52</v>
      </c>
      <c r="F43" s="80"/>
      <c r="G43" s="70" t="s">
        <v>93</v>
      </c>
      <c r="H43" s="70"/>
      <c r="I43" s="70"/>
      <c r="J43" s="70"/>
    </row>
    <row r="44" spans="1:10" ht="51" customHeight="1" x14ac:dyDescent="0.2">
      <c r="A44" s="5"/>
      <c r="B44" s="69"/>
      <c r="C44" s="69"/>
      <c r="D44" s="69"/>
      <c r="E44" s="81" t="s">
        <v>53</v>
      </c>
      <c r="F44" s="81"/>
      <c r="G44" s="71"/>
      <c r="H44" s="71"/>
      <c r="I44" s="71"/>
      <c r="J4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