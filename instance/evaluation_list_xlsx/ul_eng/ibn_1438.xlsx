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7F4ADD2-5202-44C1-8D7E-7BE36A128D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5" i="2"/>
  <c r="H35" i="2" s="1"/>
  <c r="G36" i="2"/>
  <c r="H36" i="2" s="1"/>
  <c r="G37" i="2"/>
  <c r="H37" i="2" s="1"/>
  <c r="G38" i="2"/>
  <c r="H38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5" i="2"/>
  <c r="H55" i="2" s="1"/>
  <c r="G56" i="2"/>
  <c r="H56" i="2" s="1"/>
  <c r="G57" i="2"/>
  <c r="H57" i="2" s="1"/>
  <c r="G59" i="2"/>
  <c r="H59" i="2"/>
  <c r="G60" i="2"/>
  <c r="H60" i="2" s="1"/>
  <c r="F61" i="2"/>
  <c r="E61" i="2"/>
  <c r="E62" i="2" l="1"/>
  <c r="E63" i="2" s="1"/>
</calcChain>
</file>

<file path=xl/sharedStrings.xml><?xml version="1.0" encoding="utf-8"?>
<sst xmlns="http://schemas.openxmlformats.org/spreadsheetml/2006/main" count="318" uniqueCount="234">
  <si>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</si>
  <si>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</si>
  <si>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</si>
  <si>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</si>
  <si>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</si>
  <si>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</si>
  <si>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</si>
  <si>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</si>
  <si>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</si>
  <si>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</si>
  <si>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</si>
  <si>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</si>
  <si>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</si>
  <si>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</si>
  <si>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</si>
  <si>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</si>
  <si>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</si>
  <si>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</si>
  <si>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</si>
  <si>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</si>
  <si>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</si>
  <si>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</si>
  <si>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</si>
  <si>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</si>
  <si>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</si>
  <si>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</si>
  <si>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</si>
  <si>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</si>
  <si>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</si>
  <si>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</si>
  <si>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</si>
  <si>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</si>
  <si>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</si>
  <si>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</si>
  <si>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</si>
  <si>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</si>
  <si>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</si>
  <si>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</si>
  <si>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</si>
  <si>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</si>
  <si>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</si>
  <si>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</si>
  <si>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</si>
  <si>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</si>
  <si>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</si>
  <si>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</si>
  <si>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</si>
  <si>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</si>
  <si>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</si>
  <si>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</si>
  <si>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</si>
  <si>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</si>
  <si>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</si>
  <si>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</si>
  <si>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</si>
  <si>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</si>
  <si>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</si>
  <si>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</si>
  <si>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</si>
  <si>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</si>
  <si>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</si>
  <si>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</si>
  <si>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</si>
  <si>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</si>
  <si>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</si>
  <si>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</si>
  <si>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</si>
  <si>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</si>
  <si>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</si>
  <si>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</si>
  <si>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</si>
  <si>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</si>
  <si>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</si>
  <si>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</si>
  <si>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</si>
  <si>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</si>
  <si>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</si>
  <si>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</si>
  <si>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</si>
  <si>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</si>
  <si>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</si>
  <si>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</si>
  <si>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</si>
  <si>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</si>
  <si>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</si>
  <si>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</si>
  <si>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</si>
  <si>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</si>
  <si>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</si>
  <si>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</si>
  <si>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</si>
  <si>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</si>
  <si>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</si>
  <si>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</si>
  <si>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</si>
  <si>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</si>
  <si>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</si>
  <si>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</si>
  <si>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</si>
  <si>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</si>
  <si>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</si>
  <si>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</si>
  <si>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</si>
  <si>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</si>
  <si>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</si>
  <si>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</si>
  <si>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</si>
  <si>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</si>
  <si>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</si>
  <si>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</si>
  <si>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</si>
  <si>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</si>
  <si>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</si>
  <si>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</si>
  <si>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</si>
  <si>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</si>
  <si>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</si>
  <si>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</si>
  <si>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</si>
  <si>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</si>
  <si>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</si>
  <si>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</si>
  <si>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</si>
  <si>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</si>
  <si>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</si>
  <si>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</si>
  <si>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</si>
  <si>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</si>
  <si>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</si>
  <si>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</si>
  <si>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</si>
  <si>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</si>
  <si>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</si>
  <si>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</si>
  <si>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</si>
  <si>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</si>
  <si>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</si>
  <si>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</si>
  <si>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</si>
  <si>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</si>
  <si>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</si>
  <si>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</si>
  <si>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</si>
  <si>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</si>
  <si>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</si>
  <si>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</si>
  <si>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</si>
  <si>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</si>
  <si>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</si>
  <si>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</si>
  <si>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</si>
  <si>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</si>
  <si>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</si>
  <si>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</si>
  <si>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</si>
  <si>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</si>
  <si>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</si>
  <si>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</si>
  <si>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</si>
  <si>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</si>
  <si>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</si>
  <si>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</si>
  <si>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</si>
  <si>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</si>
  <si>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</si>
  <si>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</si>
  <si>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</si>
  <si>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</si>
  <si>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</si>
  <si>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</si>
  <si>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</si>
  <si>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</si>
  <si>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</si>
  <si>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</si>
  <si>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</si>
  <si>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</si>
  <si>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</si>
  <si>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</si>
  <si>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</si>
  <si>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</si>
  <si>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الشؤون الإدارية</t>
    </r>
    <r>
      <rPr>
        <b/>
        <sz val="12"/>
        <color theme="1"/>
        <rFont val="Arial"/>
        <family val="2"/>
      </rPr>
      <t xml:space="preserve"> ( يتم التأكد من التالي ) :</t>
    </r>
  </si>
  <si>
    <t>أ.   مدى استكمال المرتب من الآليات ونسبة الصلاحية.</t>
  </si>
  <si>
    <t>ب. مدى استكمال الطاقم المؤهل بالنسبة لعدد الآليات (السواقين).</t>
  </si>
  <si>
    <t>جـ. وجود كشف معتمد من القائد بالمرتب والموجود ونسبة الصلاحية للآليات.</t>
  </si>
  <si>
    <t>د.  المظهر العام والترتيب لمكتب النقليات.</t>
  </si>
  <si>
    <t>هـ. وجود وإدامة سجل العهدة.</t>
  </si>
  <si>
    <t>و.  وجود ملف لحفظ سندات الصرف والاستلام للآليات والعـدة.</t>
  </si>
  <si>
    <t>ز.  وجود وإدامة سجل الحركة.</t>
  </si>
  <si>
    <t>ح.  وجود وإدامة سجل الحوادث.</t>
  </si>
  <si>
    <t xml:space="preserve">ط. وجود وإدامة سجل تسليم واستلام الآليات. </t>
  </si>
  <si>
    <t>ي. وجود وإدامة سجل الدخول والخروج من الورشة / المشاغل / مراكز الإصلاح.</t>
  </si>
  <si>
    <t>ك. وجود تعليمات وإجراءات الصيانة الدورية واللوحات الإرشادية.</t>
  </si>
  <si>
    <t>ل.  التقيد بالتعليمات والإجراءات لإدخال الآليات لمراكز الإصلاح.</t>
  </si>
  <si>
    <t>م.  إدامة السجلات الخاصة بكل آلية بواسطة الطاقم وتصديق الضابط المسؤول.</t>
  </si>
  <si>
    <t xml:space="preserve">ن.  معرفة السائق بالآلية وإلمامه بالتعليمات والصيانة وطوابير التفتيش. </t>
  </si>
  <si>
    <t>س. إلمام ضابط النقليات بمهامه وواجباته.</t>
  </si>
  <si>
    <t>ع.  التقيد برفع الكشوفات الدورية.</t>
  </si>
  <si>
    <t>ف. وجود ملف لحفظ نماذج شطب الآليات.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</si>
  <si>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مجموعـة الجسم.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يتم التأكد من التالي:</t>
    </r>
  </si>
  <si>
    <t>أ.   النظافة.</t>
  </si>
  <si>
    <t>ب. عدم وجود أي نواقص.</t>
  </si>
  <si>
    <t>جـ. الضرر.</t>
  </si>
  <si>
    <t>د.  حالة الصبغ.</t>
  </si>
  <si>
    <t>هـ. فحص الإطارات.</t>
  </si>
  <si>
    <t>و.  صندوق العدة ومحتوياته.</t>
  </si>
  <si>
    <t>ز.  مقاعد غرفة القيادة والركاب.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</si>
  <si>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الزيـوت / السوائـل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يتم التأكد من التالي:</t>
    </r>
  </si>
  <si>
    <t xml:space="preserve">أ.   مستـوى الزيـت / المـاء ( المحرك، نظـام ناقل الحركة، الفرامل، المبرد. </t>
  </si>
  <si>
    <t>ب. عدم تسرّب الزيت / الماء من أجزاء الآلية.</t>
  </si>
  <si>
    <t>جـ. التقيد بتوقيتات تغيير الزيت.</t>
  </si>
  <si>
    <t>د.  التشحيــم.</t>
  </si>
  <si>
    <r>
      <t>4.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مجموعة القـوى.</t>
    </r>
    <r>
      <rPr>
        <b/>
        <sz val="12"/>
        <color rgb="FFFF0000"/>
        <rFont val="Arial"/>
        <family val="2"/>
      </rPr>
      <t xml:space="preserve"> </t>
    </r>
    <r>
      <rPr>
        <sz val="12"/>
        <color rgb="FF000000"/>
        <rFont val="Arial"/>
        <family val="2"/>
      </rPr>
      <t>يتم التأكد من التالي:</t>
    </r>
  </si>
  <si>
    <t>أ.   نظام المحرك.</t>
  </si>
  <si>
    <t>ب. نظام الوقود.</t>
  </si>
  <si>
    <t>جـ. نظام ناقل الحركة.</t>
  </si>
  <si>
    <t>د. نظام التبريد.</t>
  </si>
  <si>
    <t>هـ. نظام الفرامل.</t>
  </si>
  <si>
    <t xml:space="preserve">و.  نظام التوجيه. </t>
  </si>
  <si>
    <t xml:space="preserve">ز.  إطفاء الحريق ( طفاية الحريق وصلاحيتها ). </t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</si>
  <si>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الأنظمة</t>
    </r>
    <r>
      <rPr>
        <b/>
        <u/>
        <sz val="12"/>
        <color rgb="FF000000"/>
        <rFont val="Arial"/>
        <family val="2"/>
      </rPr>
      <t xml:space="preserve"> الكهربائية والإلكترونية.</t>
    </r>
    <r>
      <rPr>
        <sz val="12"/>
        <color rgb="FF000000"/>
        <rFont val="Arial"/>
        <family val="2"/>
      </rPr>
      <t xml:space="preserve"> يتم التأكد من التالي:</t>
    </r>
  </si>
  <si>
    <t>أ.   البطاريات.</t>
  </si>
  <si>
    <t>ب. نظام التشغيل.</t>
  </si>
  <si>
    <t>جـ. المولــــد.</t>
  </si>
  <si>
    <t>د.  الإنارة الداخلية.</t>
  </si>
  <si>
    <t>هـ. الإنارة الخارجية.</t>
  </si>
  <si>
    <t>و.  لوحات العرض.</t>
  </si>
  <si>
    <r>
      <t>6.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فحص الآلية أثناء السير</t>
    </r>
  </si>
  <si>
    <t>أ.   صلاحية السير على الطريق.</t>
  </si>
  <si>
    <t>ب. صلاحية أنظمة الآلية ( الميكانيكية والكهربائية).</t>
  </si>
  <si>
    <t>جـ. نظام التكييف / نظام التهوية.</t>
  </si>
  <si>
    <r>
      <t>7.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المهمـات الإضافية</t>
    </r>
  </si>
  <si>
    <t>أ.   مستــودع الـعــــدة وأغطيـــة التمويه وأعمدة التثبيت.</t>
  </si>
  <si>
    <t>ب. مستودع قطع الغيار.</t>
  </si>
  <si>
    <r>
      <rPr>
        <b/>
        <sz val="14"/>
        <color rgb="FF000000"/>
        <rFont val="Arial"/>
        <family val="2"/>
      </rPr>
      <t>تقييم الحالة الفنية للآليات ( ب ) لسرية هندسة الميدان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</si>
</sst>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b/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17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133911</xdr:colOff>
      <xdr:row>63</xdr:row>
      <xdr:rowOff>317270</xdr:rowOff>
    </xdr:from>
    <xdr:to>
      <xdr:col>9</xdr:col>
      <xdr:colOff>152597</xdr:colOff>
      <xdr:row>64</xdr:row>
      <xdr:rowOff>630950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79FAA32-C467-C5AA-3266-F398AE51C0B5}"/>
                </a:ext>
              </a:extLst>
            </xdr14:cNvPr>
            <xdr14:cNvContentPartPr/>
          </xdr14:nvContentPartPr>
          <xdr14:nvPr macro=""/>
          <xdr14:xfrm>
            <a:off x="10436240967" y="24825960"/>
            <a:ext cx="1992960" cy="847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79FAA32-C467-C5AA-3266-F398AE51C0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234847" y="24819840"/>
              <a:ext cx="2005200" cy="859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03:24:32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5083 1533 3016,'0'0'0,"3"0"648,-3 0-648,6-5 136,13-1-16,-7-9-32,4 12 56,-16 3-144,14-14 72,-7 9-8,14-14-16,-7 4 24,-14 15-72,7-16 176,12 1-55,-8 0 63,6-1-104,-17 16-80,11-13 48,6-1-24,-3 1-8,0 7 16,-14 6-32,12-15 0,-5 12 0,11-1 16,-11 1-24,-7 3 8,14 0 0,-12 0 8,3 0-24,-2 0 8,-3 0 8,2 0 0,-2 0 24,2 0-32,-2 0 32,0 0-24,0 0 24,0 0-8,0 2 64,-2 3-40,2-5-40,-16 13 88,2-8 16,-7 14-8,-3-4 56,24-15-152,-28 21 88,0 1-16,-7 4 32,0 3-96,35-29-8,-40 32 16,0 1 0,-1 1-48,-1-2 88,42-32-56,-47 31 40,0-1 16,3 1-8,1-2 0,43-29-48,-39 26 72,1-1-32,-1-1 32,4-3 32,35-21-104,-33 17 112,2-10 24,3 6 0,0-9 0,28-4-136,-23 3 144,7-3 24,2 0 24,12-5-72,2 5-120,-5-21 112,5 4-64,13 0-64,7-5 24,-20 22-8,23-24-40,5-1 72,-4-3-40,3 1-24,-27 27 32,26-27 8,-5 1-40,0 1 24,-3 4 16,-18 21-8,17-22 0,-3 7 8,-9 10-16,-3-9 40,-2 14-32,2 0 112,-2 0 0,-4 5 48,-15 2-88,19-7-72,-21 17 16,-5 2-8,-2-1-40,-2 6 48,30-24-16,-37 26 24,-8 1 16,-1 0-16,-6 4 0,52-31-24,-51 29 40,4 0-32,2-2 48,6 1-40,39-28-16,-40 25 8,5-1 8,0-3 16,0-6 24,35-15-56,-33 5-40,6 0-16,0-1-40,9-4-8,18 0 104,-5 0 32,-9-5 32,14-12-8,0 11 8,0 6-64,0-18 8,0 1 0,7 0-32,-2-1 16,-5 18 8,12-17 8,-8 12 8,3-13-16,7 12 0,-14 6 0,3-15 16,4 12-32,-5-2 72,1 1-48,-3 4-8,0-3 16,-5 3-16,-10 0-16,2 1 24,13-1-8,-17 7-8,-4 10 24,-5-3-24,3 1-8,23-15 16,-30 16 16,-1-1 0,3 2 24,2 0 0,26-17-40,-25 19 16,-1-4 8,1 1 0,-2-1 0,27-15-24,-23 5 16,7 2 8,2-2 8,11 0 24,3-5-56,-7 2 16,2 0 40,4-2-16,1-4-24,0 4-16,0-15 48,1-1-64,4-1-40,12-3 16,-17 20 40,7-24-16,12 0 16,-3 2 24,-2 1-40,-14 21 16,7-15 0,10 1-32,-16 11 32,4-2 24,-5 5-24,0-5-8,2 5 8,-2 0 8,0 0 8,0 0-16,0 0 8,0 0 16,-4 0-40,-12 0 16,16 0 0,-5 0 8,-12 0-8,1 0 8,4 2-16,12-2 8,-18 3 16,-4-1 8,4-1 40,-5 1-16,23-2-48,-22 0 56,7 0-8,-7 0-16,4 0 0,18 0-32,-21 2 16,-3 3 33,-1 9-17,-8-9 8,33-5-40,-35 20 16,-5-6 0,-2 5 0,-2 1 16,44-20-32,-52 20 56,-4 3-32,-4-3 8,-8 1-48,68-21 16,-73 20 0,-4-1-8,0 0-24,-4-1 80,81-18-48,-90 16 48,-5-3 8,-8 1-16,-11 1-8,114-15-32,-125 14 80,-5-9-96,-8 2 32,2-4-8,136-3-8,-135 2 24,2 0 72,4 3-24,2 0 0,127-5-72,-121 19 88,7-4-56,58-10-24,-10 12-64,66-17 56,-60 7-112,-10 12 48,4-5 16,-9 3 16,75-17 32,-67 15-72,-8 2 0,7 0 16,3-2-8,65-15 64,-61 7 8,4 10-24,6-12-40,4 1 48,47-6 8,-43 1 0,8-1-8,2 0 0,9-5 40,24 5-32,-16-15-32,11-1 72,3-4 40,2-4-80,0 24 0,5-29 40,18-5-32,7-7 0,10-5 32,-40 46-40,49-53 56,12-8-8,9-6 0,11-6-16,-81 73-32,92-80 16,29-21-16,99-75-24,-3 14 8,-217 162 16,208-141-8,-40 40-56,3-1-24,-1-2 80,-170 104 8,178-106-8,2 0 16,-2 2-16,4 8-72,-182 96 80,173-88-120,-5 6 128,-7 10 56,1 9-16,-162 63-48,154-53 88,-9 7-96,-15 12-8,-9 7 8,-121 27 8,106-17-24,-6 13-8,-10 1 72,-16 3-24,-74 0-16,71 15 8,-18 7-8,-11 6-56,-7 4-40,-35-32 96,19 39-56,-5 4-16,-12 5-8,-2 5 40,0-53 40,-19 53-48,-11 6 48,-8 1 8,-10-2-65,48-58 57,-54 61-56,-7-1-32,-4 1 16,2-1 64,63-60 8,-68 56 8,5-4 8,6-6-8,2-7 16,55-39-24,-52 37 8,6-2 8,3-3 0,3-3-8,40-29-8,-32 24 48,1-4-24,8-6-16,7-9 32,16-5-40,-5 5 8,1-3 0,4-2-40,0 0-16,0 0 48,6-3-56,9-3-8,0-7 40,7 8 0,-22 5 24,18-21-56,4 6 32,-1-1-16,-5 1 24,-16 15 16,21-14-40,-5 9 32,1-12-32,-3 14 0,-14 3 40,2-4-64,10 1-72,-10 0-120,0 3-96,-2 0 352,3 0-344,-1 5 72,1 12 152,-3-2 104,0-15 16,0 19 16,-5 1-8,0 1-8,-11-1 32,16-20-32,-14 23 48,-4-1-24,-4 2 8,1-1-8,21-23-24,-19 21 8,-2-1 16,1-4-24,5-1-16,15-15 16,-17 7-16,4 7 32,8-11 0,-12 2-8,17-5-8,0 4-8,-1-1-16,1-1-8,-5-1-16,5-1 48,0 0-48,0 0 0,3 2 32,-1 3 0,-2-5 16,6 7 8,-6 7-16,5-8 16,0 10-16,-5-16 8,0 5 8,0 10-16,0-10 8,-12 0-16,12-5 16,-4 6 0,-10 0 0,11 0-8,-13-1 32,16-5-24,-7 6 0,-10 0 24,10-1-16,-9 0 32,16-5-40,-2 3 56,-13 1-48,15-3 24,-4 3-40,4-4 8,-2 3-8,-3-1 16,5 0-16,-2-1 0,2-1 8,0 2-24,0-2 8,0 0 8,0 0-40,0 0 48,0 0-8,2 0 24,-2-3 0,3-3 64,-3 6-80,2-13 32,-2 8-8,0-16-40,0 8 16,0 13 0,0-16 8,0 1-24,-5-2 24,0 0-48,5 17 40,-14-17-16,9 1 48,-11 11 24,12-10 16,4 15-72,-19 0 56,15 0-16,-16 0-64,15 5 16,5-5 8,-18 19-8,4 0 0,0 3 32,10 3-8,4-25-16,-17 29 16,17 0-8,-4 2 8,2 0-8,2-31-8,0 27 0,0 0-16,0-1-80,0-6-328,0-20 424,0 21-624,23-19-3465,-23-2 4089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5"/>
  <sheetViews>
    <sheetView rightToLeft="1" tabSelected="1" view="pageBreakPreview" zoomScale="130" zoomScaleNormal="100" zoomScaleSheetLayoutView="130" workbookViewId="0">
      <selection activeCell="B60" sqref="B60:D6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233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2" t="s">
        <v>8</v>
      </c>
      <c r="C2" s="75" t="s">
        <v>12</v>
      </c>
      <c r="D2" s="75"/>
      <c r="E2" s="12" t="s">
        <v>7</v>
      </c>
      <c r="F2" s="70">
        <v>45929</v>
      </c>
      <c r="G2" s="70"/>
      <c r="H2" s="70"/>
      <c r="I2" s="70"/>
      <c r="J2" s="70"/>
    </row>
    <row r="3" spans="1:10" ht="30" customHeight="1" x14ac:dyDescent="0.3">
      <c r="B3" s="12" t="s">
        <v>9</v>
      </c>
      <c r="C3" s="75" t="s">
        <v>73</v>
      </c>
      <c r="D3" s="75"/>
      <c r="E3" s="12" t="s">
        <v>6</v>
      </c>
      <c r="F3" s="75" t="s">
        <v>119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1" t="s">
        <v>0</v>
      </c>
      <c r="C5" s="72"/>
      <c r="D5" s="72"/>
      <c r="E5" s="80" t="s">
        <v>1</v>
      </c>
      <c r="F5" s="80"/>
      <c r="G5" s="80"/>
      <c r="H5" s="80"/>
      <c r="I5" s="80" t="s">
        <v>2</v>
      </c>
      <c r="J5" s="81"/>
    </row>
    <row r="6" spans="1:10" ht="24.9" customHeight="1" thickBot="1" x14ac:dyDescent="0.35">
      <c r="A6" s="10"/>
      <c r="B6" s="73"/>
      <c r="C6" s="74"/>
      <c r="D6" s="74"/>
      <c r="E6" s="11" t="s">
        <v>3</v>
      </c>
      <c r="F6" s="11" t="s">
        <v>4</v>
      </c>
      <c r="G6" s="11" t="s">
        <v>23</v>
      </c>
      <c r="H6" s="11" t="s">
        <v>24</v>
      </c>
      <c r="I6" s="82"/>
      <c r="J6" s="83"/>
    </row>
    <row r="7" spans="1:10" ht="24.9" customHeight="1" thickBot="1" x14ac:dyDescent="0.35">
      <c r="A7" s="10"/>
      <c r="B7" s="78" t="s">
        <v>21</v>
      </c>
      <c r="C7" s="79"/>
      <c r="D7" s="79"/>
      <c r="E7" s="33" t="s">
        <v>18</v>
      </c>
      <c r="F7" s="33" t="s">
        <v>19</v>
      </c>
      <c r="G7" s="33" t="s">
        <v>22</v>
      </c>
      <c r="H7" s="33" t="s">
        <v>20</v>
      </c>
      <c r="I7" s="84" t="s">
        <v>25</v>
      </c>
      <c r="J7" s="85"/>
    </row>
    <row r="8" spans="1:10" ht="30" customHeight="1" x14ac:dyDescent="0.3">
      <c r="A8" s="10"/>
      <c r="B8" s="44" t="s">
        <v>180</v>
      </c>
      <c r="C8" s="45"/>
      <c r="D8" s="45"/>
      <c r="E8" s="28"/>
      <c r="F8" s="37"/>
      <c r="G8" s="38"/>
      <c r="H8" s="39"/>
      <c r="I8" s="56"/>
      <c r="J8" s="57"/>
    </row>
    <row r="9" spans="1:10" ht="30" customHeight="1" x14ac:dyDescent="0.3">
      <c r="A9" s="10"/>
      <c r="B9" s="46" t="s">
        <v>181</v>
      </c>
      <c r="C9" s="47"/>
      <c r="D9" s="47"/>
      <c r="E9" s="29">
        <v>10</v>
      </c>
      <c r="F9" s="26">
        <v>8</v>
      </c>
      <c r="G9" s="35">
        <f>IFERROR(F9/E9,"")</f>
        <v>0.8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2"/>
      <c r="J9" s="53"/>
    </row>
    <row r="10" spans="1:10" ht="30" customHeight="1" x14ac:dyDescent="0.3">
      <c r="A10" s="10"/>
      <c r="B10" s="46" t="s">
        <v>182</v>
      </c>
      <c r="C10" s="47"/>
      <c r="D10" s="47"/>
      <c r="E10" s="9">
        <v>5</v>
      </c>
      <c r="F10" s="26">
        <v>3.75</v>
      </c>
      <c r="G10" s="35">
        <f t="shared" ref="G10:G60" si="0">IFERROR(F10/E10,"")</f>
        <v>0.75</v>
      </c>
      <c r="H10" s="36" t="str">
        <f t="shared" ref="H10:H60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9.9" customHeight="1" x14ac:dyDescent="0.3">
      <c r="A11" s="10"/>
      <c r="B11" s="46" t="s">
        <v>183</v>
      </c>
      <c r="C11" s="47"/>
      <c r="D11" s="47"/>
      <c r="E11" s="9">
        <v>5</v>
      </c>
      <c r="F11" s="26">
        <v>3.5</v>
      </c>
      <c r="G11" s="35">
        <f t="shared" si="0"/>
        <v>0.7</v>
      </c>
      <c r="H11" s="36" t="str">
        <f t="shared" si="1"/>
        <v>جيد</v>
      </c>
      <c r="I11" s="52"/>
      <c r="J11" s="53"/>
    </row>
    <row r="12" spans="1:10" ht="30" customHeight="1" x14ac:dyDescent="0.3">
      <c r="A12" s="10"/>
      <c r="B12" s="46" t="s">
        <v>184</v>
      </c>
      <c r="C12" s="47"/>
      <c r="D12" s="47"/>
      <c r="E12" s="9">
        <v>5</v>
      </c>
      <c r="F12" s="26">
        <v>3.25</v>
      </c>
      <c r="G12" s="35">
        <f t="shared" si="0"/>
        <v>0.65</v>
      </c>
      <c r="H12" s="36" t="str">
        <f t="shared" si="1"/>
        <v>مقبول</v>
      </c>
      <c r="I12" s="52"/>
      <c r="J12" s="53"/>
    </row>
    <row r="13" spans="1:10" ht="30" customHeight="1" x14ac:dyDescent="0.3">
      <c r="A13" s="10"/>
      <c r="B13" s="46" t="s">
        <v>185</v>
      </c>
      <c r="C13" s="47"/>
      <c r="D13" s="47"/>
      <c r="E13" s="9">
        <v>5</v>
      </c>
      <c r="F13" s="26">
        <v>3.75</v>
      </c>
      <c r="G13" s="35">
        <f t="shared" si="0"/>
        <v>0.75</v>
      </c>
      <c r="H13" s="36" t="str">
        <f t="shared" si="1"/>
        <v>جيد</v>
      </c>
      <c r="I13" s="52"/>
      <c r="J13" s="53"/>
    </row>
    <row r="14" spans="1:10" ht="30" customHeight="1" x14ac:dyDescent="0.3">
      <c r="A14" s="10"/>
      <c r="B14" s="46" t="s">
        <v>186</v>
      </c>
      <c r="C14" s="47"/>
      <c r="D14" s="47"/>
      <c r="E14" s="9">
        <v>5</v>
      </c>
      <c r="F14" s="26">
        <v>4</v>
      </c>
      <c r="G14" s="35">
        <f t="shared" si="0"/>
        <v>0.8</v>
      </c>
      <c r="H14" s="36" t="str">
        <f t="shared" si="1"/>
        <v>جيد جداً</v>
      </c>
      <c r="I14" s="52"/>
      <c r="J14" s="53"/>
    </row>
    <row r="15" spans="1:10" ht="30" customHeight="1" x14ac:dyDescent="0.3">
      <c r="A15" s="10"/>
      <c r="B15" s="46" t="s">
        <v>187</v>
      </c>
      <c r="C15" s="47"/>
      <c r="D15" s="47"/>
      <c r="E15" s="9">
        <v>5</v>
      </c>
      <c r="F15" s="26">
        <v>3.75</v>
      </c>
      <c r="G15" s="35">
        <f t="shared" si="0"/>
        <v>0.75</v>
      </c>
      <c r="H15" s="36" t="str">
        <f t="shared" si="1"/>
        <v>جيد</v>
      </c>
      <c r="I15" s="52"/>
      <c r="J15" s="53"/>
    </row>
    <row r="16" spans="1:10" ht="30" customHeight="1" x14ac:dyDescent="0.3">
      <c r="A16" s="10"/>
      <c r="B16" s="46" t="s">
        <v>188</v>
      </c>
      <c r="C16" s="47"/>
      <c r="D16" s="47"/>
      <c r="E16" s="9">
        <v>5</v>
      </c>
      <c r="F16" s="26">
        <v>3.5</v>
      </c>
      <c r="G16" s="35">
        <f t="shared" si="0"/>
        <v>0.7</v>
      </c>
      <c r="H16" s="36" t="str">
        <f t="shared" si="1"/>
        <v>جيد</v>
      </c>
      <c r="I16" s="52"/>
      <c r="J16" s="53"/>
    </row>
    <row r="17" spans="1:10" ht="30" customHeight="1" x14ac:dyDescent="0.3">
      <c r="A17" s="10"/>
      <c r="B17" s="46" t="s">
        <v>189</v>
      </c>
      <c r="C17" s="47"/>
      <c r="D17" s="47"/>
      <c r="E17" s="9">
        <v>5</v>
      </c>
      <c r="F17" s="26">
        <v>3.5</v>
      </c>
      <c r="G17" s="35">
        <f t="shared" si="0"/>
        <v>0.7</v>
      </c>
      <c r="H17" s="36" t="str">
        <f t="shared" si="1"/>
        <v>جيد</v>
      </c>
      <c r="I17" s="52"/>
      <c r="J17" s="53"/>
    </row>
    <row r="18" spans="1:10" ht="39.9" customHeight="1" x14ac:dyDescent="0.3">
      <c r="A18" s="10"/>
      <c r="B18" s="46" t="s">
        <v>190</v>
      </c>
      <c r="C18" s="47"/>
      <c r="D18" s="47"/>
      <c r="E18" s="9">
        <v>5</v>
      </c>
      <c r="F18" s="26">
        <v>3.5</v>
      </c>
      <c r="G18" s="35">
        <f t="shared" si="0"/>
        <v>0.7</v>
      </c>
      <c r="H18" s="36" t="str">
        <f t="shared" si="1"/>
        <v>جيد</v>
      </c>
      <c r="I18" s="52"/>
      <c r="J18" s="53"/>
    </row>
    <row r="19" spans="1:10" ht="30" customHeight="1" x14ac:dyDescent="0.3">
      <c r="A19" s="10"/>
      <c r="B19" s="46" t="s">
        <v>191</v>
      </c>
      <c r="C19" s="47"/>
      <c r="D19" s="47"/>
      <c r="E19" s="9">
        <v>5</v>
      </c>
      <c r="F19" s="26">
        <v>3.75</v>
      </c>
      <c r="G19" s="35">
        <f t="shared" si="0"/>
        <v>0.75</v>
      </c>
      <c r="H19" s="36" t="str">
        <f t="shared" si="1"/>
        <v>جيد</v>
      </c>
      <c r="I19" s="52"/>
      <c r="J19" s="53"/>
    </row>
    <row r="20" spans="1:10" ht="30" customHeight="1" x14ac:dyDescent="0.3">
      <c r="A20" s="10"/>
      <c r="B20" s="46" t="s">
        <v>192</v>
      </c>
      <c r="C20" s="47"/>
      <c r="D20" s="47"/>
      <c r="E20" s="9">
        <v>5</v>
      </c>
      <c r="F20" s="26">
        <v>3.5</v>
      </c>
      <c r="G20" s="35">
        <f t="shared" si="0"/>
        <v>0.7</v>
      </c>
      <c r="H20" s="36" t="str">
        <f t="shared" si="1"/>
        <v>جيد</v>
      </c>
      <c r="I20" s="52"/>
      <c r="J20" s="53"/>
    </row>
    <row r="21" spans="1:10" ht="39.9" customHeight="1" x14ac:dyDescent="0.3">
      <c r="A21" s="10"/>
      <c r="B21" s="46" t="s">
        <v>193</v>
      </c>
      <c r="C21" s="47"/>
      <c r="D21" s="47"/>
      <c r="E21" s="9">
        <v>20</v>
      </c>
      <c r="F21" s="26">
        <v>15.75</v>
      </c>
      <c r="G21" s="35">
        <f t="shared" si="0"/>
        <v>0.78749999999999998</v>
      </c>
      <c r="H21" s="36" t="str">
        <f t="shared" si="1"/>
        <v>جيد</v>
      </c>
      <c r="I21" s="52"/>
      <c r="J21" s="53"/>
    </row>
    <row r="22" spans="1:10" ht="30" customHeight="1" x14ac:dyDescent="0.3">
      <c r="A22" s="10"/>
      <c r="B22" s="46" t="s">
        <v>194</v>
      </c>
      <c r="C22" s="47"/>
      <c r="D22" s="47"/>
      <c r="E22" s="9">
        <v>5</v>
      </c>
      <c r="F22" s="26">
        <v>4</v>
      </c>
      <c r="G22" s="35">
        <f t="shared" si="0"/>
        <v>0.8</v>
      </c>
      <c r="H22" s="36" t="str">
        <f t="shared" si="1"/>
        <v>جيد جداً</v>
      </c>
      <c r="I22" s="52"/>
      <c r="J22" s="53"/>
    </row>
    <row r="23" spans="1:10" ht="30" customHeight="1" x14ac:dyDescent="0.3">
      <c r="A23" s="10"/>
      <c r="B23" s="46" t="s">
        <v>195</v>
      </c>
      <c r="C23" s="47"/>
      <c r="D23" s="47"/>
      <c r="E23" s="9">
        <v>5</v>
      </c>
      <c r="F23" s="26">
        <v>3.75</v>
      </c>
      <c r="G23" s="35">
        <f t="shared" si="0"/>
        <v>0.75</v>
      </c>
      <c r="H23" s="36" t="str">
        <f t="shared" si="1"/>
        <v>جيد</v>
      </c>
      <c r="I23" s="52"/>
      <c r="J23" s="53"/>
    </row>
    <row r="24" spans="1:10" ht="30" customHeight="1" x14ac:dyDescent="0.3">
      <c r="A24" s="10"/>
      <c r="B24" s="46" t="s">
        <v>196</v>
      </c>
      <c r="C24" s="47"/>
      <c r="D24" s="47"/>
      <c r="E24" s="9">
        <v>5</v>
      </c>
      <c r="F24" s="26">
        <v>3.5</v>
      </c>
      <c r="G24" s="35">
        <f t="shared" si="0"/>
        <v>0.7</v>
      </c>
      <c r="H24" s="36" t="str">
        <f t="shared" si="1"/>
        <v>جيد</v>
      </c>
      <c r="I24" s="52"/>
      <c r="J24" s="53"/>
    </row>
    <row r="25" spans="1:10" ht="30" customHeight="1" thickBot="1" x14ac:dyDescent="0.35">
      <c r="A25" s="10"/>
      <c r="B25" s="42" t="s">
        <v>197</v>
      </c>
      <c r="C25" s="43"/>
      <c r="D25" s="43"/>
      <c r="E25" s="30">
        <v>5</v>
      </c>
      <c r="F25" s="27">
        <v>3.5</v>
      </c>
      <c r="G25" s="40">
        <f t="shared" si="0"/>
        <v>0.7</v>
      </c>
      <c r="H25" s="41" t="str">
        <f t="shared" si="1"/>
        <v>جيد</v>
      </c>
      <c r="I25" s="54"/>
      <c r="J25" s="55"/>
    </row>
    <row r="26" spans="1:10" ht="30" customHeight="1" x14ac:dyDescent="0.3">
      <c r="A26" s="10"/>
      <c r="B26" s="48" t="s">
        <v>198</v>
      </c>
      <c r="C26" s="49"/>
      <c r="D26" s="49"/>
      <c r="E26" s="31"/>
      <c r="F26" s="37"/>
      <c r="G26" s="38"/>
      <c r="H26" s="39"/>
      <c r="I26" s="56"/>
      <c r="J26" s="57"/>
    </row>
    <row r="27" spans="1:10" ht="30" customHeight="1" x14ac:dyDescent="0.3">
      <c r="A27" s="10"/>
      <c r="B27" s="46" t="s">
        <v>199</v>
      </c>
      <c r="C27" s="47"/>
      <c r="D27" s="47"/>
      <c r="E27" s="9">
        <v>0</v>
      </c>
      <c r="F27" s="26" t="s">
        <v>17</v>
      </c>
      <c r="G27" s="35" t="str">
        <f t="shared" si="0"/>
        <v/>
      </c>
      <c r="H27" s="36" t="str">
        <f t="shared" si="1"/>
        <v>تم الإلغاء</v>
      </c>
      <c r="I27" s="52"/>
      <c r="J27" s="53"/>
    </row>
    <row r="28" spans="1:10" ht="30" customHeight="1" x14ac:dyDescent="0.3">
      <c r="A28" s="10"/>
      <c r="B28" s="46" t="s">
        <v>200</v>
      </c>
      <c r="C28" s="47"/>
      <c r="D28" s="47"/>
      <c r="E28" s="9">
        <v>0</v>
      </c>
      <c r="F28" s="26" t="s">
        <v>17</v>
      </c>
      <c r="G28" s="35" t="str">
        <f t="shared" si="0"/>
        <v/>
      </c>
      <c r="H28" s="36" t="str">
        <f t="shared" si="1"/>
        <v>تم الإلغاء</v>
      </c>
      <c r="I28" s="52"/>
      <c r="J28" s="53"/>
    </row>
    <row r="29" spans="1:10" ht="30" customHeight="1" x14ac:dyDescent="0.3">
      <c r="A29" s="10"/>
      <c r="B29" s="46" t="s">
        <v>201</v>
      </c>
      <c r="C29" s="47"/>
      <c r="D29" s="47"/>
      <c r="E29" s="9">
        <v>0</v>
      </c>
      <c r="F29" s="26" t="s">
        <v>17</v>
      </c>
      <c r="G29" s="35" t="str">
        <f t="shared" si="0"/>
        <v/>
      </c>
      <c r="H29" s="36" t="str">
        <f t="shared" si="1"/>
        <v>تم الإلغاء</v>
      </c>
      <c r="I29" s="52"/>
      <c r="J29" s="53"/>
    </row>
    <row r="30" spans="1:10" ht="30" customHeight="1" x14ac:dyDescent="0.3">
      <c r="A30" s="10"/>
      <c r="B30" s="46" t="s">
        <v>202</v>
      </c>
      <c r="C30" s="47"/>
      <c r="D30" s="47"/>
      <c r="E30" s="9">
        <v>0</v>
      </c>
      <c r="F30" s="26" t="s">
        <v>17</v>
      </c>
      <c r="G30" s="35" t="str">
        <f t="shared" si="0"/>
        <v/>
      </c>
      <c r="H30" s="36" t="str">
        <f t="shared" si="1"/>
        <v>تم الإلغاء</v>
      </c>
      <c r="I30" s="52"/>
      <c r="J30" s="53"/>
    </row>
    <row r="31" spans="1:10" ht="30" customHeight="1" x14ac:dyDescent="0.3">
      <c r="A31" s="10"/>
      <c r="B31" s="46" t="s">
        <v>203</v>
      </c>
      <c r="C31" s="47"/>
      <c r="D31" s="47"/>
      <c r="E31" s="9">
        <v>0</v>
      </c>
      <c r="F31" s="26" t="s">
        <v>17</v>
      </c>
      <c r="G31" s="35" t="str">
        <f t="shared" si="0"/>
        <v/>
      </c>
      <c r="H31" s="36" t="str">
        <f t="shared" si="1"/>
        <v>تم الإلغاء</v>
      </c>
      <c r="I31" s="52"/>
      <c r="J31" s="53"/>
    </row>
    <row r="32" spans="1:10" ht="30" customHeight="1" x14ac:dyDescent="0.3">
      <c r="A32" s="10"/>
      <c r="B32" s="46" t="s">
        <v>204</v>
      </c>
      <c r="C32" s="47"/>
      <c r="D32" s="47"/>
      <c r="E32" s="9">
        <v>0</v>
      </c>
      <c r="F32" s="26" t="s">
        <v>17</v>
      </c>
      <c r="G32" s="35" t="str">
        <f t="shared" si="0"/>
        <v/>
      </c>
      <c r="H32" s="36" t="str">
        <f t="shared" si="1"/>
        <v>تم الإلغاء</v>
      </c>
      <c r="I32" s="52"/>
      <c r="J32" s="53"/>
    </row>
    <row r="33" spans="1:10" ht="30" customHeight="1" thickBot="1" x14ac:dyDescent="0.35">
      <c r="A33" s="10"/>
      <c r="B33" s="42" t="s">
        <v>205</v>
      </c>
      <c r="C33" s="43"/>
      <c r="D33" s="43"/>
      <c r="E33" s="30">
        <v>0</v>
      </c>
      <c r="F33" s="27" t="s">
        <v>17</v>
      </c>
      <c r="G33" s="40" t="str">
        <f t="shared" si="0"/>
        <v/>
      </c>
      <c r="H33" s="41" t="str">
        <f t="shared" si="1"/>
        <v>تم الإلغاء</v>
      </c>
      <c r="I33" s="54"/>
      <c r="J33" s="55"/>
    </row>
    <row r="34" spans="1:10" ht="30" customHeight="1" x14ac:dyDescent="0.3">
      <c r="A34" s="10"/>
      <c r="B34" s="48" t="s">
        <v>206</v>
      </c>
      <c r="C34" s="49"/>
      <c r="D34" s="49"/>
      <c r="E34" s="31"/>
      <c r="F34" s="37"/>
      <c r="G34" s="38"/>
      <c r="H34" s="39"/>
      <c r="I34" s="56"/>
      <c r="J34" s="57"/>
    </row>
    <row r="35" spans="1:10" ht="39.9" customHeight="1" x14ac:dyDescent="0.3">
      <c r="A35" s="10"/>
      <c r="B35" s="46" t="s">
        <v>207</v>
      </c>
      <c r="C35" s="47"/>
      <c r="D35" s="47"/>
      <c r="E35" s="9">
        <v>0</v>
      </c>
      <c r="F35" s="26" t="s">
        <v>17</v>
      </c>
      <c r="G35" s="35" t="str">
        <f t="shared" si="0"/>
        <v/>
      </c>
      <c r="H35" s="36" t="str">
        <f t="shared" si="1"/>
        <v>تم الإلغاء</v>
      </c>
      <c r="I35" s="52"/>
      <c r="J35" s="53"/>
    </row>
    <row r="36" spans="1:10" ht="30" customHeight="1" x14ac:dyDescent="0.3">
      <c r="A36" s="10"/>
      <c r="B36" s="46" t="s">
        <v>208</v>
      </c>
      <c r="C36" s="47"/>
      <c r="D36" s="47"/>
      <c r="E36" s="29">
        <v>0</v>
      </c>
      <c r="F36" s="26" t="s">
        <v>17</v>
      </c>
      <c r="G36" s="35" t="str">
        <f t="shared" si="0"/>
        <v/>
      </c>
      <c r="H36" s="36" t="str">
        <f t="shared" si="1"/>
        <v>تم الإلغاء</v>
      </c>
      <c r="I36" s="52"/>
      <c r="J36" s="53"/>
    </row>
    <row r="37" spans="1:10" ht="30" customHeight="1" x14ac:dyDescent="0.3">
      <c r="A37" s="10"/>
      <c r="B37" s="46" t="s">
        <v>209</v>
      </c>
      <c r="C37" s="47"/>
      <c r="D37" s="47"/>
      <c r="E37" s="29">
        <v>0</v>
      </c>
      <c r="F37" s="26" t="s">
        <v>17</v>
      </c>
      <c r="G37" s="35" t="str">
        <f t="shared" si="0"/>
        <v/>
      </c>
      <c r="H37" s="36" t="str">
        <f t="shared" si="1"/>
        <v>تم الإلغاء</v>
      </c>
      <c r="I37" s="52"/>
      <c r="J37" s="53"/>
    </row>
    <row r="38" spans="1:10" ht="30" customHeight="1" thickBot="1" x14ac:dyDescent="0.35">
      <c r="A38" s="10"/>
      <c r="B38" s="42" t="s">
        <v>210</v>
      </c>
      <c r="C38" s="43"/>
      <c r="D38" s="43"/>
      <c r="E38" s="30">
        <v>0</v>
      </c>
      <c r="F38" s="27" t="s">
        <v>17</v>
      </c>
      <c r="G38" s="40" t="str">
        <f t="shared" si="0"/>
        <v/>
      </c>
      <c r="H38" s="41" t="str">
        <f t="shared" si="1"/>
        <v>تم الإلغاء</v>
      </c>
      <c r="I38" s="54"/>
      <c r="J38" s="55"/>
    </row>
    <row r="39" spans="1:10" ht="30" customHeight="1" x14ac:dyDescent="0.3">
      <c r="A39" s="10"/>
      <c r="B39" s="44" t="s">
        <v>211</v>
      </c>
      <c r="C39" s="45"/>
      <c r="D39" s="45"/>
      <c r="E39" s="31"/>
      <c r="F39" s="37"/>
      <c r="G39" s="38"/>
      <c r="H39" s="39"/>
      <c r="I39" s="56"/>
      <c r="J39" s="57"/>
    </row>
    <row r="40" spans="1:10" ht="30" customHeight="1" x14ac:dyDescent="0.3">
      <c r="A40" s="10"/>
      <c r="B40" s="46" t="s">
        <v>212</v>
      </c>
      <c r="C40" s="47"/>
      <c r="D40" s="47"/>
      <c r="E40" s="9">
        <v>0</v>
      </c>
      <c r="F40" s="26" t="s">
        <v>17</v>
      </c>
      <c r="G40" s="35" t="str">
        <f t="shared" si="0"/>
        <v/>
      </c>
      <c r="H40" s="36" t="str">
        <f t="shared" si="1"/>
        <v>تم الإلغاء</v>
      </c>
      <c r="I40" s="52"/>
      <c r="J40" s="53"/>
    </row>
    <row r="41" spans="1:10" ht="30" customHeight="1" x14ac:dyDescent="0.3">
      <c r="A41" s="10"/>
      <c r="B41" s="46" t="s">
        <v>213</v>
      </c>
      <c r="C41" s="47"/>
      <c r="D41" s="47"/>
      <c r="E41" s="9">
        <v>0</v>
      </c>
      <c r="F41" s="26" t="s">
        <v>17</v>
      </c>
      <c r="G41" s="35" t="str">
        <f t="shared" si="0"/>
        <v/>
      </c>
      <c r="H41" s="36" t="str">
        <f t="shared" si="1"/>
        <v>تم الإلغاء</v>
      </c>
      <c r="I41" s="52"/>
      <c r="J41" s="53"/>
    </row>
    <row r="42" spans="1:10" ht="30" customHeight="1" x14ac:dyDescent="0.3">
      <c r="A42" s="10"/>
      <c r="B42" s="46" t="s">
        <v>214</v>
      </c>
      <c r="C42" s="47"/>
      <c r="D42" s="47"/>
      <c r="E42" s="9">
        <v>0</v>
      </c>
      <c r="F42" s="26" t="s">
        <v>17</v>
      </c>
      <c r="G42" s="35" t="str">
        <f t="shared" si="0"/>
        <v/>
      </c>
      <c r="H42" s="36" t="str">
        <f t="shared" si="1"/>
        <v>تم الإلغاء</v>
      </c>
      <c r="I42" s="52"/>
      <c r="J42" s="53"/>
    </row>
    <row r="43" spans="1:10" ht="30" customHeight="1" x14ac:dyDescent="0.3">
      <c r="A43" s="10"/>
      <c r="B43" s="46" t="s">
        <v>215</v>
      </c>
      <c r="C43" s="47"/>
      <c r="D43" s="47"/>
      <c r="E43" s="9">
        <v>0</v>
      </c>
      <c r="F43" s="26" t="s">
        <v>17</v>
      </c>
      <c r="G43" s="35" t="str">
        <f t="shared" si="0"/>
        <v/>
      </c>
      <c r="H43" s="36" t="str">
        <f t="shared" si="1"/>
        <v>تم الإلغاء</v>
      </c>
      <c r="I43" s="52"/>
      <c r="J43" s="53"/>
    </row>
    <row r="44" spans="1:10" ht="30" customHeight="1" x14ac:dyDescent="0.3">
      <c r="A44" s="10"/>
      <c r="B44" s="46" t="s">
        <v>216</v>
      </c>
      <c r="C44" s="47"/>
      <c r="D44" s="47"/>
      <c r="E44" s="9">
        <v>0</v>
      </c>
      <c r="F44" s="26" t="s">
        <v>17</v>
      </c>
      <c r="G44" s="35" t="str">
        <f t="shared" si="0"/>
        <v/>
      </c>
      <c r="H44" s="36" t="str">
        <f t="shared" si="1"/>
        <v>تم الإلغاء</v>
      </c>
      <c r="I44" s="52"/>
      <c r="J44" s="53"/>
    </row>
    <row r="45" spans="1:10" ht="30" customHeight="1" x14ac:dyDescent="0.3">
      <c r="A45" s="10"/>
      <c r="B45" s="46" t="s">
        <v>217</v>
      </c>
      <c r="C45" s="47"/>
      <c r="D45" s="47"/>
      <c r="E45" s="9">
        <v>0</v>
      </c>
      <c r="F45" s="26" t="s">
        <v>17</v>
      </c>
      <c r="G45" s="35" t="str">
        <f t="shared" si="0"/>
        <v/>
      </c>
      <c r="H45" s="36" t="str">
        <f t="shared" si="1"/>
        <v>تم الإلغاء</v>
      </c>
      <c r="I45" s="52"/>
      <c r="J45" s="53"/>
    </row>
    <row r="46" spans="1:10" ht="30" customHeight="1" thickBot="1" x14ac:dyDescent="0.35">
      <c r="A46" s="10"/>
      <c r="B46" s="42" t="s">
        <v>218</v>
      </c>
      <c r="C46" s="43"/>
      <c r="D46" s="43"/>
      <c r="E46" s="32">
        <v>0</v>
      </c>
      <c r="F46" s="27" t="s">
        <v>17</v>
      </c>
      <c r="G46" s="40" t="str">
        <f t="shared" si="0"/>
        <v/>
      </c>
      <c r="H46" s="41" t="str">
        <f t="shared" si="1"/>
        <v>تم الإلغاء</v>
      </c>
      <c r="I46" s="54"/>
      <c r="J46" s="55"/>
    </row>
    <row r="47" spans="1:10" ht="30" customHeight="1" x14ac:dyDescent="0.3">
      <c r="A47" s="10"/>
      <c r="B47" s="48" t="s">
        <v>219</v>
      </c>
      <c r="C47" s="49"/>
      <c r="D47" s="49"/>
      <c r="E47" s="31"/>
      <c r="F47" s="37"/>
      <c r="G47" s="38"/>
      <c r="H47" s="39"/>
      <c r="I47" s="56"/>
      <c r="J47" s="57"/>
    </row>
    <row r="48" spans="1:10" ht="30" customHeight="1" x14ac:dyDescent="0.3">
      <c r="A48" s="10"/>
      <c r="B48" s="46" t="s">
        <v>220</v>
      </c>
      <c r="C48" s="47"/>
      <c r="D48" s="47"/>
      <c r="E48" s="9">
        <v>0</v>
      </c>
      <c r="F48" s="26" t="s">
        <v>17</v>
      </c>
      <c r="G48" s="35" t="str">
        <f t="shared" si="0"/>
        <v/>
      </c>
      <c r="H48" s="36" t="str">
        <f t="shared" si="1"/>
        <v>تم الإلغاء</v>
      </c>
      <c r="I48" s="52"/>
      <c r="J48" s="53"/>
    </row>
    <row r="49" spans="1:10" ht="30" customHeight="1" x14ac:dyDescent="0.3">
      <c r="A49" s="10"/>
      <c r="B49" s="46" t="s">
        <v>221</v>
      </c>
      <c r="C49" s="47"/>
      <c r="D49" s="47"/>
      <c r="E49" s="9">
        <v>0</v>
      </c>
      <c r="F49" s="26" t="s">
        <v>17</v>
      </c>
      <c r="G49" s="35" t="str">
        <f t="shared" si="0"/>
        <v/>
      </c>
      <c r="H49" s="36" t="str">
        <f t="shared" si="1"/>
        <v>تم الإلغاء</v>
      </c>
      <c r="I49" s="52"/>
      <c r="J49" s="53"/>
    </row>
    <row r="50" spans="1:10" ht="30" customHeight="1" x14ac:dyDescent="0.3">
      <c r="A50" s="10"/>
      <c r="B50" s="46" t="s">
        <v>222</v>
      </c>
      <c r="C50" s="47"/>
      <c r="D50" s="47"/>
      <c r="E50" s="9">
        <v>0</v>
      </c>
      <c r="F50" s="26" t="s">
        <v>17</v>
      </c>
      <c r="G50" s="35" t="str">
        <f t="shared" si="0"/>
        <v/>
      </c>
      <c r="H50" s="36" t="str">
        <f t="shared" si="1"/>
        <v>تم الإلغاء</v>
      </c>
      <c r="I50" s="52"/>
      <c r="J50" s="53"/>
    </row>
    <row r="51" spans="1:10" ht="30" customHeight="1" x14ac:dyDescent="0.3">
      <c r="A51" s="10"/>
      <c r="B51" s="46" t="s">
        <v>223</v>
      </c>
      <c r="C51" s="47"/>
      <c r="D51" s="47"/>
      <c r="E51" s="9">
        <v>0</v>
      </c>
      <c r="F51" s="26" t="s">
        <v>17</v>
      </c>
      <c r="G51" s="35" t="str">
        <f t="shared" si="0"/>
        <v/>
      </c>
      <c r="H51" s="36" t="str">
        <f t="shared" si="1"/>
        <v>تم الإلغاء</v>
      </c>
      <c r="I51" s="52"/>
      <c r="J51" s="53"/>
    </row>
    <row r="52" spans="1:10" ht="30" customHeight="1" x14ac:dyDescent="0.3">
      <c r="A52" s="10"/>
      <c r="B52" s="46" t="s">
        <v>224</v>
      </c>
      <c r="C52" s="47"/>
      <c r="D52" s="47"/>
      <c r="E52" s="9">
        <v>0</v>
      </c>
      <c r="F52" s="26" t="s">
        <v>17</v>
      </c>
      <c r="G52" s="35" t="str">
        <f t="shared" si="0"/>
        <v/>
      </c>
      <c r="H52" s="36" t="str">
        <f t="shared" si="1"/>
        <v>تم الإلغاء</v>
      </c>
      <c r="I52" s="52"/>
      <c r="J52" s="53"/>
    </row>
    <row r="53" spans="1:10" ht="30" customHeight="1" thickBot="1" x14ac:dyDescent="0.35">
      <c r="A53" s="10"/>
      <c r="B53" s="42" t="s">
        <v>225</v>
      </c>
      <c r="C53" s="43"/>
      <c r="D53" s="43"/>
      <c r="E53" s="30">
        <v>0</v>
      </c>
      <c r="F53" s="27" t="s">
        <v>17</v>
      </c>
      <c r="G53" s="40" t="str">
        <f t="shared" si="0"/>
        <v/>
      </c>
      <c r="H53" s="41" t="str">
        <f t="shared" si="1"/>
        <v>تم الإلغاء</v>
      </c>
      <c r="I53" s="54"/>
      <c r="J53" s="55"/>
    </row>
    <row r="54" spans="1:10" ht="30" customHeight="1" x14ac:dyDescent="0.3">
      <c r="A54" s="10"/>
      <c r="B54" s="44" t="s">
        <v>226</v>
      </c>
      <c r="C54" s="45"/>
      <c r="D54" s="45"/>
      <c r="E54" s="31"/>
      <c r="F54" s="37"/>
      <c r="G54" s="38"/>
      <c r="H54" s="39"/>
      <c r="I54" s="56"/>
      <c r="J54" s="57"/>
    </row>
    <row r="55" spans="1:10" ht="30" customHeight="1" x14ac:dyDescent="0.3">
      <c r="A55" s="10"/>
      <c r="B55" s="46" t="s">
        <v>227</v>
      </c>
      <c r="C55" s="47"/>
      <c r="D55" s="47"/>
      <c r="E55" s="9">
        <v>0</v>
      </c>
      <c r="F55" s="26" t="s">
        <v>17</v>
      </c>
      <c r="G55" s="35" t="str">
        <f t="shared" si="0"/>
        <v/>
      </c>
      <c r="H55" s="36" t="str">
        <f t="shared" si="1"/>
        <v>تم الإلغاء</v>
      </c>
      <c r="I55" s="52"/>
      <c r="J55" s="53"/>
    </row>
    <row r="56" spans="1:10" ht="30" customHeight="1" x14ac:dyDescent="0.3">
      <c r="A56" s="10"/>
      <c r="B56" s="46" t="s">
        <v>228</v>
      </c>
      <c r="C56" s="47"/>
      <c r="D56" s="47"/>
      <c r="E56" s="9">
        <v>0</v>
      </c>
      <c r="F56" s="26" t="s">
        <v>17</v>
      </c>
      <c r="G56" s="35" t="str">
        <f t="shared" si="0"/>
        <v/>
      </c>
      <c r="H56" s="36" t="str">
        <f t="shared" si="1"/>
        <v>تم الإلغاء</v>
      </c>
      <c r="I56" s="52"/>
      <c r="J56" s="53"/>
    </row>
    <row r="57" spans="1:10" ht="30" customHeight="1" thickBot="1" x14ac:dyDescent="0.35">
      <c r="A57" s="10"/>
      <c r="B57" s="42" t="s">
        <v>229</v>
      </c>
      <c r="C57" s="43"/>
      <c r="D57" s="43"/>
      <c r="E57" s="30">
        <v>0</v>
      </c>
      <c r="F57" s="27" t="s">
        <v>17</v>
      </c>
      <c r="G57" s="40" t="str">
        <f t="shared" si="0"/>
        <v/>
      </c>
      <c r="H57" s="41" t="str">
        <f t="shared" si="1"/>
        <v>تم الإلغاء</v>
      </c>
      <c r="I57" s="54"/>
      <c r="J57" s="55"/>
    </row>
    <row r="58" spans="1:10" ht="30" customHeight="1" x14ac:dyDescent="0.3">
      <c r="A58" s="10"/>
      <c r="B58" s="44" t="s">
        <v>230</v>
      </c>
      <c r="C58" s="45"/>
      <c r="D58" s="45"/>
      <c r="E58" s="28"/>
      <c r="F58" s="37"/>
      <c r="G58" s="38"/>
      <c r="H58" s="39"/>
      <c r="I58" s="56"/>
      <c r="J58" s="57"/>
    </row>
    <row r="59" spans="1:10" ht="30" customHeight="1" x14ac:dyDescent="0.3">
      <c r="A59" s="10"/>
      <c r="B59" s="46" t="s">
        <v>231</v>
      </c>
      <c r="C59" s="47"/>
      <c r="D59" s="47"/>
      <c r="E59" s="29">
        <v>5</v>
      </c>
      <c r="F59" s="26">
        <v>3.5</v>
      </c>
      <c r="G59" s="35">
        <f t="shared" si="0"/>
        <v>0.7</v>
      </c>
      <c r="H59" s="36" t="str">
        <f t="shared" si="1"/>
        <v>جيد</v>
      </c>
      <c r="I59" s="52"/>
      <c r="J59" s="53"/>
    </row>
    <row r="60" spans="1:10" ht="30" customHeight="1" thickBot="1" x14ac:dyDescent="0.35">
      <c r="A60" s="10"/>
      <c r="B60" s="42" t="s">
        <v>232</v>
      </c>
      <c r="C60" s="43"/>
      <c r="D60" s="43"/>
      <c r="E60" s="32">
        <v>0</v>
      </c>
      <c r="F60" s="27" t="s">
        <v>17</v>
      </c>
      <c r="G60" s="40" t="str">
        <f t="shared" si="0"/>
        <v/>
      </c>
      <c r="H60" s="41" t="str">
        <f t="shared" si="1"/>
        <v>تم الإلغاء</v>
      </c>
      <c r="I60" s="54"/>
      <c r="J60" s="55"/>
    </row>
    <row r="61" spans="1:10" ht="30" customHeight="1" thickBot="1" x14ac:dyDescent="0.35">
      <c r="A61" s="4"/>
      <c r="B61" s="86" t="s">
        <v>5</v>
      </c>
      <c r="C61" s="87"/>
      <c r="D61" s="87"/>
      <c r="E61" s="34">
        <f>SUM(E8:E60)</f>
        <v>110</v>
      </c>
      <c r="F61" s="34">
        <f>SUM(F8:F60)</f>
        <v>81.75</v>
      </c>
      <c r="G61" s="66"/>
      <c r="H61" s="67"/>
      <c r="I61" s="67"/>
      <c r="J61" s="68"/>
    </row>
    <row r="62" spans="1:10" ht="30" customHeight="1" thickBot="1" x14ac:dyDescent="0.35">
      <c r="A62" s="4"/>
      <c r="B62" s="50" t="s">
        <v>54</v>
      </c>
      <c r="C62" s="51"/>
      <c r="D62" s="51"/>
      <c r="E62" s="76">
        <f>F61/E61/100*100</f>
        <v>0.74318181818181817</v>
      </c>
      <c r="F62" s="76"/>
      <c r="G62" s="76"/>
      <c r="H62" s="76"/>
      <c r="I62" s="76"/>
      <c r="J62" s="77"/>
    </row>
    <row r="63" spans="1:10" ht="30" customHeight="1" thickBot="1" x14ac:dyDescent="0.35">
      <c r="A63" s="4"/>
      <c r="B63" s="50" t="s">
        <v>55</v>
      </c>
      <c r="C63" s="51"/>
      <c r="D63" s="51"/>
      <c r="E63" s="63" t="str">
        <f>_xlfn.IFS(E62&gt;=90%,"ممتاز",E62&gt;=80%,"جيد جداً",E62&gt;=70%,"جيد",E62&gt;=60%,"مقبول",E62&lt;60%,"راسب")</f>
        <v>جيد</v>
      </c>
      <c r="F63" s="63"/>
      <c r="G63" s="63"/>
      <c r="H63" s="63"/>
      <c r="I63" s="63"/>
      <c r="J63" s="64"/>
    </row>
    <row r="64" spans="1:10" ht="42" customHeight="1" x14ac:dyDescent="0.3">
      <c r="B64" s="59" t="s">
        <v>174</v>
      </c>
      <c r="C64" s="59"/>
      <c r="D64" s="59"/>
      <c r="E64" s="58" t="s">
        <v>52</v>
      </c>
      <c r="F64" s="58"/>
      <c r="G64" s="61" t="s">
        <v>119</v>
      </c>
      <c r="H64" s="61"/>
      <c r="I64" s="61"/>
      <c r="J64" s="61"/>
    </row>
    <row r="65" spans="1:10" ht="51" customHeight="1" x14ac:dyDescent="0.3">
      <c r="A65" s="5"/>
      <c r="B65" s="60"/>
      <c r="C65" s="60"/>
      <c r="D65" s="60"/>
      <c r="E65" s="65" t="s">
        <v>53</v>
      </c>
      <c r="F65" s="65"/>
      <c r="G65" s="62"/>
      <c r="H65" s="62"/>
      <c r="I65" s="62"/>
      <c r="J65" s="62"/>
    </row>
  </sheetData>
  <sheetProtection formatCells="0" formatColumns="0" formatRows="0" insertColumns="0" insertRows="0" insertHyperlinks="0" deleteColumns="0" deleteRows="0" selectLockedCells="1" sort="0" autoFilter="0" pivotTables="0"/>
  <mergeCells count="127">
    <mergeCell ref="B1:J1"/>
    <mergeCell ref="F2:J2"/>
    <mergeCell ref="B5:D6"/>
    <mergeCell ref="C2:D2"/>
    <mergeCell ref="C3:D3"/>
    <mergeCell ref="F3:J3"/>
    <mergeCell ref="E62:J6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1:D61"/>
    <mergeCell ref="B62:D62"/>
    <mergeCell ref="B64:D65"/>
    <mergeCell ref="G64:J64"/>
    <mergeCell ref="G65:J65"/>
    <mergeCell ref="E63:J63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5:F65"/>
    <mergeCell ref="G61:J61"/>
    <mergeCell ref="I47:J47"/>
    <mergeCell ref="E64:F64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3:D6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59:D59"/>
    <mergeCell ref="B60:D60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3">
    <cfRule type="expression" dxfId="14" priority="57">
      <formula>$E63="راسب"</formula>
    </cfRule>
  </conditionalFormatting>
  <conditionalFormatting sqref="E63:J63">
    <cfRule type="expression" dxfId="13" priority="58">
      <formula>$E63="مقبول"</formula>
    </cfRule>
    <cfRule type="expression" dxfId="12" priority="59">
      <formula>$E63="جيد"</formula>
    </cfRule>
    <cfRule type="expression" dxfId="11" priority="60">
      <formula>$E63="جيد جداً"</formula>
    </cfRule>
    <cfRule type="expression" dxfId="10" priority="61">
      <formula>$E63="ممتاز"</formula>
    </cfRule>
  </conditionalFormatting>
  <conditionalFormatting sqref="F8:F6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4:J64">
    <cfRule type="containsText" dxfId="6" priority="15" operator="containsText" text="أدخل اسم المحكم">
      <formula>NOT(ISERROR(SEARCH("أدخل اسم المحكم",G64)))</formula>
    </cfRule>
  </conditionalFormatting>
  <conditionalFormatting sqref="H8:H6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F59:F60 F55:F57 F48:F53 F40:F46 F35:F38 F27:F33 F10:F20 F22:F25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G64:J64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17FD8163-51FC-4E33-861A-E4B2D307F415}">
          <x14:formula1>
            <xm:f>'بيانات التقييم'!$A$111:$A$153</xm:f>
          </x14:formula1>
          <xm:sqref>F9</xm:sqref>
        </x14:dataValidation>
        <x14:dataValidation type="list" allowBlank="1" showInputMessage="1" showErrorMessage="1" xr:uid="{D5BD6AF1-B739-4907-87B1-BCD0DB382B5E}">
          <x14:formula1>
            <xm:f>'بيانات التقييم'!$A$111:$A$193</xm:f>
          </x14:formula1>
          <xm:sqref>F21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74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2025-10-07T17:53:58Z</dcterms:modified>
</cp:coreProperties>
</file>