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5E1FFF8-C26A-8641-B2C8-369B94663ED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5" i="2"/>
  <c r="H15" i="2"/>
  <c r="G16" i="2"/>
  <c r="H16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1" i="2"/>
  <c r="H51" i="2"/>
  <c r="G52" i="2"/>
  <c r="H52" i="2"/>
  <c r="G53" i="2"/>
  <c r="H53" i="2"/>
  <c r="G54" i="2"/>
  <c r="H54" i="2"/>
  <c r="G55" i="2"/>
  <c r="H55" i="2"/>
  <c r="G56" i="2"/>
  <c r="H56" i="2"/>
  <c r="F57" i="2"/>
  <c r="E57" i="2"/>
  <c r="E58" i="2"/>
  <c r="E59" i="2"/>
</calcChain>
</file>

<file path=xl/sharedStrings.xml><?xml version="1.0" encoding="utf-8"?>
<sst xmlns="http://schemas.openxmlformats.org/spreadsheetml/2006/main" count="288" uniqueCount="230">
  <si>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</si>
  <si>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</si>
  <si>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</si>
  <si>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</si>
  <si>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</si>
  <si>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</si>
  <si>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</si>
  <si>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</si>
  <si>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</si>
  <si>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</si>
  <si>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</si>
  <si>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</si>
  <si>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</si>
  <si>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</si>
  <si>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</si>
  <si>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</si>
  <si>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</si>
  <si>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</si>
  <si>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</si>
  <si>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</si>
  <si>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</si>
  <si>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</si>
  <si>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</si>
  <si>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</si>
  <si>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</si>
  <si>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</si>
  <si>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</si>
  <si>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</si>
  <si>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</si>
  <si>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</si>
  <si>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</si>
  <si>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</si>
  <si>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</si>
  <si>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</si>
  <si>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</si>
  <si>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</si>
  <si>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</si>
  <si>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</si>
  <si>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</si>
  <si>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</si>
  <si>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</si>
  <si>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</si>
  <si>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</si>
  <si>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</si>
  <si>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</si>
  <si>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</si>
  <si>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</si>
  <si>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</si>
  <si>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</si>
  <si>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</si>
  <si>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</si>
  <si>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</si>
  <si>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</si>
  <si>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</si>
  <si>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</si>
  <si>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</si>
  <si>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</si>
  <si>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</si>
  <si>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</si>
  <si>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</si>
  <si>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</si>
  <si>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</si>
  <si>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</si>
  <si>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</si>
  <si>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</si>
  <si>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</si>
  <si>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</si>
  <si>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</si>
  <si>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</si>
  <si>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</si>
  <si>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</si>
  <si>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</si>
  <si>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</si>
  <si>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</si>
  <si>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</si>
  <si>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</si>
  <si>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</si>
  <si>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</si>
  <si>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</si>
  <si>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</si>
  <si>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</si>
  <si>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</si>
  <si>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</si>
  <si>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</si>
  <si>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</si>
  <si>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</si>
  <si>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</si>
  <si>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</si>
  <si>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</si>
  <si>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</si>
  <si>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</si>
  <si>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</si>
  <si>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</si>
  <si>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</si>
  <si>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</si>
  <si>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</si>
  <si>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</si>
  <si>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</si>
  <si>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</si>
  <si>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</si>
  <si>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</si>
  <si>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</si>
  <si>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</si>
  <si>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</si>
  <si>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</si>
  <si>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</si>
  <si>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</si>
  <si>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</si>
  <si>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</si>
  <si>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</si>
  <si>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</si>
  <si>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</si>
  <si>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</si>
  <si>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</si>
  <si>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</si>
  <si>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</si>
  <si>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</si>
  <si>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</si>
  <si>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</si>
  <si>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</si>
  <si>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</si>
  <si>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</si>
  <si>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</si>
  <si>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</si>
  <si>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</si>
  <si>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</si>
  <si>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</si>
  <si>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</si>
  <si>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</si>
  <si>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</si>
  <si>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</si>
  <si>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</si>
  <si>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</si>
  <si>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</si>
  <si>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</si>
  <si>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</si>
  <si>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</si>
  <si>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</si>
  <si>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</si>
  <si>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</si>
  <si>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</si>
  <si>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</si>
  <si>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</si>
  <si>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</si>
  <si>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</si>
  <si>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</si>
  <si>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</si>
  <si>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</si>
  <si>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</si>
  <si>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</si>
  <si>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</si>
  <si>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</si>
  <si>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</si>
  <si>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</si>
  <si>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</si>
  <si>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</si>
  <si>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</si>
  <si>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</si>
  <si>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</si>
  <si>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</si>
  <si>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</si>
  <si>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</si>
  <si>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</si>
  <si>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</si>
  <si>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</si>
  <si>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</si>
  <si>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</si>
  <si>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</si>
  <si>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</si>
  <si>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</si>
  <si>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</si>
  <si>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</si>
  <si>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</si>
  <si>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</si>
  <si>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</si>
  <si>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</si>
  <si>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</si>
  <si>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</si>
  <si>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</si>
  <si>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</si>
  <si>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رفع الجاهزية القتالية لسرية الهندسة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</si>
  <si>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برقية رفع الحالة</t>
    </r>
    <r>
      <rPr>
        <b/>
        <sz val="12"/>
        <color rgb="FF000000"/>
        <rFont val="Arial"/>
        <family val="2"/>
      </rPr>
      <t xml:space="preserve"> (يتم التأكد من التالي):</t>
    </r>
  </si>
  <si>
    <t>أ.   الرد بالاعتراف على برقية رفع الحالة حسب الوقت المحدد.</t>
  </si>
  <si>
    <t>ب. تسجيل برقية رفع الحالة في سجل الحوادث.</t>
  </si>
  <si>
    <t>جـ. تحرير برقية برفع الحالة وإرسالها للمستوى الأدنى ونسخة للمستوى الأعلى.</t>
  </si>
  <si>
    <t>د.  الاعتراف من قبل المستوى الأدنى.</t>
  </si>
  <si>
    <t>هـ. التقيد بأصول المخابرة في عملية إرسال البرقية.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</si>
  <si>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استخدام وسائل الإنذار</t>
    </r>
  </si>
  <si>
    <t>أ.   مدى استخدام وسائل الإنذار الرئيسة / التبادلية.</t>
  </si>
  <si>
    <t>ب. التأكد من وصول وسيلة الإنذار للمرؤوسين وفهمهم لها.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</si>
  <si>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تنفيذ إجراءات التحول</t>
    </r>
  </si>
  <si>
    <t>أ.   التقيد بالتوقيتات المذكورة في الخطة الزمنية.</t>
  </si>
  <si>
    <t>ب. التأكد من أسلوب وإجراءات تنفيذ الخطة الزمنية.</t>
  </si>
  <si>
    <t>جـ. مدى جدية المرتب في تنفيذ إجراءات رفع الحالة.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</si>
  <si>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تحميل وتجهيز الآليات طبقاً للحالة القصوى</t>
    </r>
  </si>
  <si>
    <t>أ.   وجود وإدامة جداول الركوب والتحميل طبقاً لحالات الاستعداد القتالي.</t>
  </si>
  <si>
    <t>ب. التقيد بمقاييس التحميل الأليات</t>
  </si>
  <si>
    <t>جـ. مدى جاهزية الأليات والمعدات من حيث (الوقود، المياه، العدة، الذخيرة ..الخ ) حسب العدد المطلوب في تعليمات رفع حالات الاستعداد القتالي.</t>
  </si>
  <si>
    <t>د.  وجود وإدامة ملفات الآليات.</t>
  </si>
  <si>
    <t>هـ. مدى جاهـزيـة الآليات المحملـة بالذخائــر من حيث (الوقود، العهدة، وسائل الإطفاء، الحالة الفنية والأغطية).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</si>
  <si>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مدى جاهزية القوة</t>
    </r>
    <r>
      <rPr>
        <b/>
        <sz val="12"/>
        <color rgb="FF000000"/>
        <rFont val="Arial"/>
        <family val="2"/>
      </rPr>
      <t xml:space="preserve"> ( يتم التأكد من التالي ) :</t>
    </r>
  </si>
  <si>
    <t>أ.   اصطفاف القوة في الميدان بالوقت المحدد وتسليم القوة للمحكم من قبل قائد القوة.</t>
  </si>
  <si>
    <t>ب. جاهزية القوة والأطقم المتخصصة وإلمامهم بواجباتهم.</t>
  </si>
  <si>
    <t>جـ. تحميل جميع لوازم القوة وفقاً للمعدات المقررة.</t>
  </si>
  <si>
    <t>د.  مدى تفهم الضباط والرتب الأخرى لاستخدام المعدات والآليات حسب تخصصاتهم.</t>
  </si>
  <si>
    <t>هـ. نسبة استكمال الأطقم الفنية / والمهندسين مع عدد الأليات.</t>
  </si>
  <si>
    <t>و.  مدى التزام الأطقم بحالات وأوضاع الاستعداد القتالي.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</si>
  <si>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 xml:space="preserve">اللباس والمهمات الميدانية. </t>
    </r>
    <r>
      <rPr>
        <sz val="12"/>
        <color rgb="FF000000"/>
        <rFont val="Arial"/>
        <family val="2"/>
      </rPr>
      <t>التقيد بارتداء اللباس الميداني حسب التعليمات.</t>
    </r>
  </si>
  <si>
    <r>
      <t>7.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وجود حقيبة الميدان للمرتب ومحتوياتها كما يلي</t>
    </r>
    <r>
      <rPr>
        <b/>
        <sz val="12"/>
        <color rgb="FF000000"/>
        <rFont val="Arial"/>
        <family val="2"/>
      </rPr>
      <t>:</t>
    </r>
  </si>
  <si>
    <t>أ.   بدله مموهة.</t>
  </si>
  <si>
    <t>ب. خـوذة.</t>
  </si>
  <si>
    <t>جـ. فوطة.</t>
  </si>
  <si>
    <t>د.  جراب.</t>
  </si>
  <si>
    <t>هـ. ملابس داخلية فانيله.</t>
  </si>
  <si>
    <t>و.  ملابس رياضية (شورت، حذاء، فانيله ).</t>
  </si>
  <si>
    <t>ز.  أدوات الطعام.</t>
  </si>
  <si>
    <t>ح.  أدوات خياطة.</t>
  </si>
  <si>
    <t>ط. أدوات حلاقة + معجون وفرشاة أسنان.</t>
  </si>
  <si>
    <t>ي.  كيـس النـوم.</t>
  </si>
  <si>
    <t>ك.  لباس مدني.</t>
  </si>
  <si>
    <t>ل.  شماغ ( عسكري ومدني ).</t>
  </si>
  <si>
    <t>م.   مشمع أرضي.</t>
  </si>
  <si>
    <t>ن. ترتيب ونظافة محتويات الحقيبة.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</si>
  <si>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العمليات.</t>
    </r>
  </si>
  <si>
    <t>أ.   توفر صندوق لحفظ الوثائق، السجلات والقرطاسية اللازمة.</t>
  </si>
  <si>
    <t>ب. وجود وإدامة الخرائط.</t>
  </si>
  <si>
    <t>جـ. توفر وصلاحية وسائل الاتصالات الإشارية.</t>
  </si>
  <si>
    <t>د.  التأكد من مستوي تجهيز الغرفة ونظافتها.</t>
  </si>
  <si>
    <t>هـ. توفر وصلاحية الإضاءة المطلوبة والبديلة.</t>
  </si>
  <si>
    <t>و.  توفـر وصلاحية أجهزة تقنية المعلومات والقيادة والسيطرة.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</si>
</sst>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127562</xdr:colOff>
      <xdr:row>59</xdr:row>
      <xdr:rowOff>170836</xdr:rowOff>
    </xdr:from>
    <xdr:to>
      <xdr:col>9</xdr:col>
      <xdr:colOff>289168</xdr:colOff>
      <xdr:row>61</xdr:row>
      <xdr:rowOff>91832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2F35F10-0E6F-3E16-FBB5-AD291D4A7EE6}"/>
                </a:ext>
              </a:extLst>
            </xdr14:cNvPr>
            <xdr14:cNvContentPartPr/>
          </xdr14:nvContentPartPr>
          <xdr14:nvPr macro=""/>
          <xdr14:xfrm>
            <a:off x="10436104396" y="23529600"/>
            <a:ext cx="2135880" cy="1105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2F35F10-0E6F-3E16-FBB5-AD291D4A7E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098276" y="23523480"/>
              <a:ext cx="2148120" cy="1117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03:22:33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5544 1949 4224,'0'0'0,"0"-3"481,3-3-97,2-12-136,-5 18-248,16-14 224,-11-3 88,12 0-64,-10 0-32,-7 17-216,15-14 160,-11 9-48,1-9-8,0 14 24,-5 0-128,2 0 272,1-3 32,-1 3 0,-2-3-136,0 3-168,0 0 40,3-4-56,-1 4 0,-2-3 32,0 3-16,7-5 32,5-9 0,-4 9-8,13-14 0,-21 19-24,15-15-24,1-1-8,6-2 32,2-1 0,-24 19 0,27-21 32,-3 1-16,0 0-16,0 2-16,-24 18 16,19-17 0,-2 12-8,0-10-16,-12 15 8,-5 0 16,7-3-32,-2 3 24,-5 0 48,0 0 8,0 0-48,-3 0 24,-2 0 32,-9 1-40,7 3 24,7-4-40,-17 5 24,0 10-8,-2-10 0,2 12-24,17-17 8,-27 14 8,1 1-24,-3 2 40,-5 2-24,34-19 0,-33 22 0,-6 4 24,-2 3-80,-7 5 32,48-34 24,-50 38-64,-6 2 8,-1 3 24,-1 1 8,58-44 24,-60 47 0,0 0 8,2 1 16,3-2 8,55-46-32,-51 39 16,8-5 8,2-6 0,3-9 16,38-19-40,-37 13 24,4-6 8,-1 7 0,5-11 16,29-3-48,-26 5 96,7-3 40,4-2-16,10-5-16,3-17-56,2 22-48,0-21 0,0-4 16,12-4-16,7 0 8,-19 29-8,17-29 0,5 1 0,-1 3-8,1-3 8,-22 28 0,22-24-24,-3 1 8,-5 2 0,1 4 16,-15 17 0,5-5 0,9-12 16,-9 13 0,0 1-8,-5 3-8,2-3 40,0-1-16,-2 4 0,0 0-24,-16 0-16,4 5-8,-8 16 0,-6-2 24,26-19 0,-36 23 0,-5 5 16,-5-3-8,0 1 0,46-26-8,-43 26 8,0-4 16,4 0 0,1 0-24,38-22 0,-31 21 0,2-4 0,5-4 24,0-9 8,24-4-32,-17 1 48,2 1-96,11-2 0,-1 0-40,5 0 88,-5-3-80,5-2 88,0-16 56,5 4 32,-5 17-96,17-19 72,-5-3 24,2 5-136,0 2 48,-14 15-8,17-5-8,-2-11-24,-10 16 24,-1-3-24,-4 3 32,8 0 0,-8 0-16,0 1 24,-15 6-24,15-7 16,-14 17 0,-6-1 8,-1 1-80,-6 2-8,27-19 80,-26 18-80,-3-1-8,0-1 120,3-11-16,26-5-16,-29 15 24,7-11-40,-2 1 16,5 0 16,19-5-16,-17 5 8,5 0 48,7-3-8,-12-2 40,17 0-88,-4 0 80,-1 0-80,0 0 16,0 0-40,5 0 24,-5 0-16,5 0 40,0 0-32,0 0 8,0-4-8,0 4-8,0-3-8,0 0 16,0 3 8,0-4-16,0 1-16,3-2 32,-1-9-16,-2 14 16,0-5-8,3-17 16,-1 5-8,0 1-8,-2 16 8,0-13-8,3 7-48,-1-11 40,5 12 24,-7 5-8,5-17 8,0 12 8,0-12 0,0 3-8,-5 14-8,4-13-8,1-1 32,10 0-48,-10 1 0,-5 13 24,7-14-8,7 1-8,-11-1 16,-1 9 32,-2 5-32,2-14 8,1 11 8,-3 3 24,0-4-40,0 4 0,0 0 8,-5 0 24,0-3-24,-9 3 8,14 0-16,-15-4 24,3 4-16,-7 0 16,0 0-8,19 0-16,-22 2 8,-7 3 0,-4 11-16,-11-1 8,44-15 0,-50 17 16,-10 4 40,-15 2-24,-19 5 48,94-28-80,-106 30 64,-19 8-32,-9 6-56,-8 9-24,142-53 48,-152 65-48,1 7 32,-15 3 48,-7-2 16,173-73-48,-89 34 161,-22 5 63,0-3-8,-21 7-16,132-43-200,-130 39 24,-21 4-96,4-4-48,60-17 88,87-22 32,-94 22-56,1 1-152,-6-3-57,0 0-311,99-20 576,-103 21-592,4-2 80,-2 1 32,5-3 168,96-17 312,-99 16 1424,3-3-1672,0 1 40,7-9 72,89-5 136,-89 14-88,10-13 80,-3 3 72,17-3 48,65-1-112,-55 0 128,11-15-16,18-2-8,9-9-1712,17 26 1608,0-34 32,2-8 16,18-11 24,13-9 0,-33 62-72,48-71 184,17-11 16,27-17-88,100-97-32,-192 196-80,219-212-56,22-10-64,14 2 0,38-13 32,-293 233 88,498-360-64,-113 119 24,-56 52 40,-91 70-16,-238 119 16,239-111 64,-13 8-24,-5 11-32,-12 12 32,-209 80-40,190-66-88,-21 14 32,-25 17 64,-17 11 24,-127 24-32,101-14 24,-21 14 16,-25 5-64,-24 21 0,-31-26 24,15 29-16,-15 5 32,-17 7-16,-17 6 24,34-47-24,-43 55 24,-15 6-8,-11 6-56,-6 1 16,75-68 24,-82 68-16,-2 2 0,0-1 64,4-1-16,80-68-32,-74 65 24,7-7-24,6-2-8,6-7-8,55-49 16,-48 45-16,7-6 40,5-5 0,10-5-16,26-29-8,-17 27 0,14-1-48,-1-2 0,4-2-24,0-22 72,2 17-56,5-1 24,10-10 16,5 8 40,-22-14-24,19 5 0,0 0 16,5-3 40,-5-2-24,-19 0-32,22 0 64,-5-3 0,-5-1-48,-5 4-16,-7 0 0,7 0-8,1 0-24,-4 2-8,-1 1 48,-3-3-8,5 2 16,-5 3 16,0-2 8,-5 3-24,5-6-16,-17 17 8,10-4 0,-13 4-16,6 4 0,14-21 8,-19 22-8,2 0 8,0 5-24,-7-1 24,24-26 0,-19 26 32,-3-1-32,3-1 8,2-3-24,17-21 16,-12 20-64,7-3 56,-9-3 16,11-9 16,3-5-24,-4 5 32,1-2-48,3-1-16,0-2 16,0 0 16,5 0-8,7-3 16,-5-2-16,10-9 24,-17 14-16,5-3-8,2-3-8,-2 3 8,-3 3-16,-2 0 24,0 0 8,0 5 8,0 10 0,0-1-8,0-14-8,-4 14-16,-13-7 24,12 10 16,-12-12-40,17-5 16,-2 7-16,-13 6-8,13-9 16,-3 1 16,5-5-8,-5 5 0,0-3 8,-2-2 0,5 0 0,2 0-8,-3-4 16,3 1-8,0-2-8,5-9 8,-5 14-8,15-3-8,-11-13 32,11 13-24,-13-11 16,-2 14-16,3 0 8,-3 0 16,0 2-40,0-2 16,-15 7-16,10 10-8,-19-4 48,8 6-8,16-19-16,-20 21 16,3 1 8,1 0-32,1 0 16,15-22-8,-5 22-8,-9-1-16,14-2 0,0-4 16,0-15 8,0 14-32,2-9 0,6 10-88,16-8-2433,-24-7 2553,4 13-3288,-4-13 3288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1"/>
  <sheetViews>
    <sheetView rightToLeft="1" tabSelected="1" view="pageBreakPreview" topLeftCell="B22" zoomScale="130" zoomScaleNormal="100" zoomScaleSheetLayoutView="130" workbookViewId="0">
      <selection activeCell="F36" sqref="F3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74" t="s">
        <v>180</v>
      </c>
      <c r="C1" s="74"/>
      <c r="D1" s="74"/>
      <c r="E1" s="74"/>
      <c r="F1" s="74"/>
      <c r="G1" s="74"/>
      <c r="H1" s="74"/>
      <c r="I1" s="74"/>
      <c r="J1" s="74"/>
    </row>
    <row r="2" spans="1:10" ht="30" customHeight="1">
      <c r="B2" s="13" t="s">
        <v>8</v>
      </c>
      <c r="C2" s="80" t="s">
        <v>12</v>
      </c>
      <c r="D2" s="80"/>
      <c r="E2" s="13" t="s">
        <v>7</v>
      </c>
      <c r="F2" s="75">
        <v>45929</v>
      </c>
      <c r="G2" s="75"/>
      <c r="H2" s="75"/>
      <c r="I2" s="75"/>
      <c r="J2" s="75"/>
    </row>
    <row r="3" spans="1:10" ht="30" customHeight="1">
      <c r="B3" s="13" t="s">
        <v>9</v>
      </c>
      <c r="C3" s="80" t="s">
        <v>73</v>
      </c>
      <c r="D3" s="80"/>
      <c r="E3" s="13" t="s">
        <v>6</v>
      </c>
      <c r="F3" s="80" t="s">
        <v>119</v>
      </c>
      <c r="G3" s="80"/>
      <c r="H3" s="80"/>
      <c r="I3" s="80"/>
      <c r="J3" s="8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76" t="s">
        <v>0</v>
      </c>
      <c r="C5" s="77"/>
      <c r="D5" s="77"/>
      <c r="E5" s="85" t="s">
        <v>1</v>
      </c>
      <c r="F5" s="85"/>
      <c r="G5" s="85"/>
      <c r="H5" s="85"/>
      <c r="I5" s="85" t="s">
        <v>2</v>
      </c>
      <c r="J5" s="86"/>
    </row>
    <row r="6" spans="1:10" ht="24.95" customHeight="1" thickBot="1">
      <c r="A6" s="11"/>
      <c r="B6" s="78"/>
      <c r="C6" s="79"/>
      <c r="D6" s="79"/>
      <c r="E6" s="12" t="s">
        <v>3</v>
      </c>
      <c r="F6" s="12" t="s">
        <v>4</v>
      </c>
      <c r="G6" s="12" t="s">
        <v>23</v>
      </c>
      <c r="H6" s="12" t="s">
        <v>24</v>
      </c>
      <c r="I6" s="87"/>
      <c r="J6" s="88"/>
    </row>
    <row r="7" spans="1:10" ht="24.95" customHeight="1" thickBot="1">
      <c r="A7" s="11"/>
      <c r="B7" s="83" t="s">
        <v>21</v>
      </c>
      <c r="C7" s="84"/>
      <c r="D7" s="84"/>
      <c r="E7" s="35" t="s">
        <v>18</v>
      </c>
      <c r="F7" s="35" t="s">
        <v>19</v>
      </c>
      <c r="G7" s="35" t="s">
        <v>22</v>
      </c>
      <c r="H7" s="35" t="s">
        <v>20</v>
      </c>
      <c r="I7" s="89" t="s">
        <v>25</v>
      </c>
      <c r="J7" s="90"/>
    </row>
    <row r="8" spans="1:10" ht="30" customHeight="1">
      <c r="A8" s="11"/>
      <c r="B8" s="49" t="s">
        <v>181</v>
      </c>
      <c r="C8" s="50"/>
      <c r="D8" s="50"/>
      <c r="E8" s="30"/>
      <c r="F8" s="38"/>
      <c r="G8" s="39"/>
      <c r="H8" s="40"/>
      <c r="I8" s="59"/>
      <c r="J8" s="60"/>
    </row>
    <row r="9" spans="1:10" ht="30" customHeight="1">
      <c r="A9" s="11"/>
      <c r="B9" s="45" t="s">
        <v>182</v>
      </c>
      <c r="C9" s="46"/>
      <c r="D9" s="46"/>
      <c r="E9" s="9">
        <v>5</v>
      </c>
      <c r="F9" s="27">
        <v>3.75</v>
      </c>
      <c r="G9" s="36">
        <f>IFERROR(F9/E9,"")</f>
        <v>0.75</v>
      </c>
      <c r="H9" s="3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3"/>
      <c r="J9" s="54"/>
    </row>
    <row r="10" spans="1:10" ht="30" customHeight="1">
      <c r="A10" s="11"/>
      <c r="B10" s="45" t="s">
        <v>183</v>
      </c>
      <c r="C10" s="46"/>
      <c r="D10" s="46"/>
      <c r="E10" s="9">
        <v>5</v>
      </c>
      <c r="F10" s="27">
        <v>3.5</v>
      </c>
      <c r="G10" s="36">
        <f t="shared" ref="G10:G56" si="0">IFERROR(F10/E10,"")</f>
        <v>0.7</v>
      </c>
      <c r="H10" s="37" t="str">
        <f t="shared" ref="H10:H56" si="1">_xlfn.IFS(F10="أدخل العلامة","",F10="لا ينطبق","تم الإلغاء",G10&gt;=90%,"ممتاز",G10&gt;=80%,"جيد جداً",G10&gt;=70%,"جيد",G10&gt;=60%,"مقبول",G10&lt;60%,"راسب")</f>
        <v>جيد</v>
      </c>
      <c r="I10" s="53"/>
      <c r="J10" s="54"/>
    </row>
    <row r="11" spans="1:10" ht="39.950000000000003" customHeight="1">
      <c r="A11" s="11"/>
      <c r="B11" s="45" t="s">
        <v>184</v>
      </c>
      <c r="C11" s="46"/>
      <c r="D11" s="46"/>
      <c r="E11" s="9">
        <v>5</v>
      </c>
      <c r="F11" s="27">
        <v>4</v>
      </c>
      <c r="G11" s="36">
        <f t="shared" si="0"/>
        <v>0.8</v>
      </c>
      <c r="H11" s="37" t="str">
        <f t="shared" si="1"/>
        <v>جيد جداً</v>
      </c>
      <c r="I11" s="53"/>
      <c r="J11" s="54"/>
    </row>
    <row r="12" spans="1:10" ht="30" customHeight="1">
      <c r="A12" s="11"/>
      <c r="B12" s="45" t="s">
        <v>185</v>
      </c>
      <c r="C12" s="46"/>
      <c r="D12" s="46"/>
      <c r="E12" s="9">
        <v>5</v>
      </c>
      <c r="F12" s="27">
        <v>3.75</v>
      </c>
      <c r="G12" s="36">
        <f t="shared" si="0"/>
        <v>0.75</v>
      </c>
      <c r="H12" s="37" t="str">
        <f t="shared" si="1"/>
        <v>جيد</v>
      </c>
      <c r="I12" s="53"/>
      <c r="J12" s="54"/>
    </row>
    <row r="13" spans="1:10" ht="30" customHeight="1" thickBot="1">
      <c r="A13" s="11"/>
      <c r="B13" s="47" t="s">
        <v>186</v>
      </c>
      <c r="C13" s="48"/>
      <c r="D13" s="48"/>
      <c r="E13" s="31">
        <v>5</v>
      </c>
      <c r="F13" s="29">
        <v>3.75</v>
      </c>
      <c r="G13" s="41">
        <f t="shared" si="0"/>
        <v>0.75</v>
      </c>
      <c r="H13" s="42" t="str">
        <f t="shared" si="1"/>
        <v>جيد</v>
      </c>
      <c r="I13" s="55"/>
      <c r="J13" s="56"/>
    </row>
    <row r="14" spans="1:10" ht="30" customHeight="1">
      <c r="A14" s="11"/>
      <c r="B14" s="49" t="s">
        <v>187</v>
      </c>
      <c r="C14" s="50"/>
      <c r="D14" s="50"/>
      <c r="E14" s="32"/>
      <c r="F14" s="38"/>
      <c r="G14" s="39"/>
      <c r="H14" s="40"/>
      <c r="I14" s="59"/>
      <c r="J14" s="60"/>
    </row>
    <row r="15" spans="1:10" ht="30" customHeight="1">
      <c r="A15" s="11"/>
      <c r="B15" s="45" t="s">
        <v>188</v>
      </c>
      <c r="C15" s="46"/>
      <c r="D15" s="46"/>
      <c r="E15" s="33">
        <v>5</v>
      </c>
      <c r="F15" s="27">
        <v>3.75</v>
      </c>
      <c r="G15" s="36">
        <f t="shared" si="0"/>
        <v>0.75</v>
      </c>
      <c r="H15" s="37" t="str">
        <f t="shared" si="1"/>
        <v>جيد</v>
      </c>
      <c r="I15" s="53"/>
      <c r="J15" s="54"/>
    </row>
    <row r="16" spans="1:10" ht="30" customHeight="1" thickBot="1">
      <c r="A16" s="11"/>
      <c r="B16" s="47" t="s">
        <v>189</v>
      </c>
      <c r="C16" s="48"/>
      <c r="D16" s="48"/>
      <c r="E16" s="31">
        <v>5</v>
      </c>
      <c r="F16" s="29">
        <v>3.75</v>
      </c>
      <c r="G16" s="41">
        <f t="shared" si="0"/>
        <v>0.75</v>
      </c>
      <c r="H16" s="42" t="str">
        <f t="shared" si="1"/>
        <v>جيد</v>
      </c>
      <c r="I16" s="55"/>
      <c r="J16" s="56"/>
    </row>
    <row r="17" spans="1:10" ht="30" customHeight="1">
      <c r="A17" s="11"/>
      <c r="B17" s="49" t="s">
        <v>190</v>
      </c>
      <c r="C17" s="50"/>
      <c r="D17" s="50"/>
      <c r="E17" s="32"/>
      <c r="F17" s="38"/>
      <c r="G17" s="39"/>
      <c r="H17" s="40"/>
      <c r="I17" s="59"/>
      <c r="J17" s="60"/>
    </row>
    <row r="18" spans="1:10" ht="30" customHeight="1">
      <c r="A18" s="11"/>
      <c r="B18" s="45" t="s">
        <v>191</v>
      </c>
      <c r="C18" s="46"/>
      <c r="D18" s="46"/>
      <c r="E18" s="33">
        <v>5</v>
      </c>
      <c r="F18" s="27">
        <v>3.5</v>
      </c>
      <c r="G18" s="36">
        <f t="shared" si="0"/>
        <v>0.7</v>
      </c>
      <c r="H18" s="37" t="str">
        <f t="shared" si="1"/>
        <v>جيد</v>
      </c>
      <c r="I18" s="53"/>
      <c r="J18" s="54"/>
    </row>
    <row r="19" spans="1:10" ht="30" customHeight="1">
      <c r="A19" s="11"/>
      <c r="B19" s="45" t="s">
        <v>192</v>
      </c>
      <c r="C19" s="46"/>
      <c r="D19" s="46"/>
      <c r="E19" s="33">
        <v>5</v>
      </c>
      <c r="F19" s="27">
        <v>3.5</v>
      </c>
      <c r="G19" s="36">
        <f t="shared" si="0"/>
        <v>0.7</v>
      </c>
      <c r="H19" s="37" t="str">
        <f t="shared" si="1"/>
        <v>جيد</v>
      </c>
      <c r="I19" s="53"/>
      <c r="J19" s="54"/>
    </row>
    <row r="20" spans="1:10" ht="30" customHeight="1" thickBot="1">
      <c r="A20" s="11"/>
      <c r="B20" s="47" t="s">
        <v>193</v>
      </c>
      <c r="C20" s="48"/>
      <c r="D20" s="48"/>
      <c r="E20" s="34">
        <v>10</v>
      </c>
      <c r="F20" s="29">
        <v>7.5</v>
      </c>
      <c r="G20" s="41">
        <f t="shared" si="0"/>
        <v>0.75</v>
      </c>
      <c r="H20" s="42" t="str">
        <f t="shared" si="1"/>
        <v>جيد</v>
      </c>
      <c r="I20" s="55"/>
      <c r="J20" s="56"/>
    </row>
    <row r="21" spans="1:10" ht="30" customHeight="1">
      <c r="A21" s="11"/>
      <c r="B21" s="49" t="s">
        <v>194</v>
      </c>
      <c r="C21" s="50"/>
      <c r="D21" s="50"/>
      <c r="E21" s="32"/>
      <c r="F21" s="38"/>
      <c r="G21" s="39"/>
      <c r="H21" s="40"/>
      <c r="I21" s="59"/>
      <c r="J21" s="60"/>
    </row>
    <row r="22" spans="1:10" ht="39.950000000000003" customHeight="1">
      <c r="A22" s="11"/>
      <c r="B22" s="45" t="s">
        <v>195</v>
      </c>
      <c r="C22" s="46"/>
      <c r="D22" s="46"/>
      <c r="E22" s="9">
        <v>5</v>
      </c>
      <c r="F22" s="27">
        <v>3.75</v>
      </c>
      <c r="G22" s="36">
        <f t="shared" si="0"/>
        <v>0.75</v>
      </c>
      <c r="H22" s="37" t="str">
        <f t="shared" si="1"/>
        <v>جيد</v>
      </c>
      <c r="I22" s="53"/>
      <c r="J22" s="54"/>
    </row>
    <row r="23" spans="1:10" ht="30" customHeight="1">
      <c r="A23" s="11"/>
      <c r="B23" s="45" t="s">
        <v>196</v>
      </c>
      <c r="C23" s="46"/>
      <c r="D23" s="46"/>
      <c r="E23" s="33">
        <v>5</v>
      </c>
      <c r="F23" s="27">
        <v>3.25</v>
      </c>
      <c r="G23" s="36">
        <f t="shared" si="0"/>
        <v>0.65</v>
      </c>
      <c r="H23" s="37" t="str">
        <f t="shared" si="1"/>
        <v>مقبول</v>
      </c>
      <c r="I23" s="53"/>
      <c r="J23" s="54"/>
    </row>
    <row r="24" spans="1:10" ht="39.950000000000003" customHeight="1">
      <c r="A24" s="11"/>
      <c r="B24" s="45" t="s">
        <v>197</v>
      </c>
      <c r="C24" s="46"/>
      <c r="D24" s="46"/>
      <c r="E24" s="33">
        <v>10</v>
      </c>
      <c r="F24" s="27">
        <v>7</v>
      </c>
      <c r="G24" s="36">
        <f t="shared" si="0"/>
        <v>0.7</v>
      </c>
      <c r="H24" s="37" t="str">
        <f t="shared" si="1"/>
        <v>جيد</v>
      </c>
      <c r="I24" s="53"/>
      <c r="J24" s="54"/>
    </row>
    <row r="25" spans="1:10" ht="30" customHeight="1">
      <c r="A25" s="11"/>
      <c r="B25" s="45" t="s">
        <v>198</v>
      </c>
      <c r="C25" s="46"/>
      <c r="D25" s="46"/>
      <c r="E25" s="9">
        <v>5</v>
      </c>
      <c r="F25" s="27">
        <v>3.5</v>
      </c>
      <c r="G25" s="36">
        <f t="shared" si="0"/>
        <v>0.7</v>
      </c>
      <c r="H25" s="37" t="str">
        <f t="shared" si="1"/>
        <v>جيد</v>
      </c>
      <c r="I25" s="53"/>
      <c r="J25" s="54"/>
    </row>
    <row r="26" spans="1:10" ht="39.950000000000003" customHeight="1" thickBot="1">
      <c r="A26" s="11"/>
      <c r="B26" s="47" t="s">
        <v>199</v>
      </c>
      <c r="C26" s="48"/>
      <c r="D26" s="48"/>
      <c r="E26" s="31">
        <v>5</v>
      </c>
      <c r="F26" s="29">
        <v>3.75</v>
      </c>
      <c r="G26" s="41">
        <f t="shared" si="0"/>
        <v>0.75</v>
      </c>
      <c r="H26" s="42" t="str">
        <f t="shared" si="1"/>
        <v>جيد</v>
      </c>
      <c r="I26" s="55"/>
      <c r="J26" s="56"/>
    </row>
    <row r="27" spans="1:10" ht="30" customHeight="1">
      <c r="A27" s="11"/>
      <c r="B27" s="49" t="s">
        <v>200</v>
      </c>
      <c r="C27" s="50"/>
      <c r="D27" s="50"/>
      <c r="E27" s="30"/>
      <c r="F27" s="38"/>
      <c r="G27" s="39"/>
      <c r="H27" s="40"/>
      <c r="I27" s="59"/>
      <c r="J27" s="60"/>
    </row>
    <row r="28" spans="1:10" ht="39.950000000000003" customHeight="1">
      <c r="A28" s="11"/>
      <c r="B28" s="45" t="s">
        <v>201</v>
      </c>
      <c r="C28" s="46"/>
      <c r="D28" s="46"/>
      <c r="E28" s="9">
        <v>10</v>
      </c>
      <c r="F28" s="27">
        <v>8.75</v>
      </c>
      <c r="G28" s="36">
        <f t="shared" si="0"/>
        <v>0.875</v>
      </c>
      <c r="H28" s="37" t="str">
        <f t="shared" si="1"/>
        <v>جيد جداً</v>
      </c>
      <c r="I28" s="53"/>
      <c r="J28" s="54"/>
    </row>
    <row r="29" spans="1:10" ht="30" customHeight="1">
      <c r="A29" s="11"/>
      <c r="B29" s="45" t="s">
        <v>202</v>
      </c>
      <c r="C29" s="46"/>
      <c r="D29" s="46"/>
      <c r="E29" s="9">
        <v>6</v>
      </c>
      <c r="F29" s="27">
        <v>4.75</v>
      </c>
      <c r="G29" s="36">
        <f t="shared" si="0"/>
        <v>0.79166666666666663</v>
      </c>
      <c r="H29" s="37" t="str">
        <f t="shared" si="1"/>
        <v>جيد</v>
      </c>
      <c r="I29" s="53"/>
      <c r="J29" s="54"/>
    </row>
    <row r="30" spans="1:10" ht="30" customHeight="1">
      <c r="A30" s="11"/>
      <c r="B30" s="45" t="s">
        <v>203</v>
      </c>
      <c r="C30" s="46"/>
      <c r="D30" s="46"/>
      <c r="E30" s="9">
        <v>5</v>
      </c>
      <c r="F30" s="27">
        <v>3.5</v>
      </c>
      <c r="G30" s="36">
        <f t="shared" si="0"/>
        <v>0.7</v>
      </c>
      <c r="H30" s="37" t="str">
        <f t="shared" si="1"/>
        <v>جيد</v>
      </c>
      <c r="I30" s="53"/>
      <c r="J30" s="54"/>
    </row>
    <row r="31" spans="1:10" ht="39.950000000000003" customHeight="1">
      <c r="A31" s="11"/>
      <c r="B31" s="45" t="s">
        <v>204</v>
      </c>
      <c r="C31" s="46"/>
      <c r="D31" s="46"/>
      <c r="E31" s="9">
        <v>5</v>
      </c>
      <c r="F31" s="27">
        <v>3.75</v>
      </c>
      <c r="G31" s="36">
        <f t="shared" si="0"/>
        <v>0.75</v>
      </c>
      <c r="H31" s="37" t="str">
        <f t="shared" si="1"/>
        <v>جيد</v>
      </c>
      <c r="I31" s="53"/>
      <c r="J31" s="54"/>
    </row>
    <row r="32" spans="1:10" ht="30" customHeight="1">
      <c r="A32" s="11"/>
      <c r="B32" s="45" t="s">
        <v>205</v>
      </c>
      <c r="C32" s="46"/>
      <c r="D32" s="46"/>
      <c r="E32" s="9">
        <v>5</v>
      </c>
      <c r="F32" s="27">
        <v>3.5</v>
      </c>
      <c r="G32" s="36">
        <f t="shared" si="0"/>
        <v>0.7</v>
      </c>
      <c r="H32" s="37" t="str">
        <f t="shared" si="1"/>
        <v>جيد</v>
      </c>
      <c r="I32" s="53"/>
      <c r="J32" s="54"/>
    </row>
    <row r="33" spans="1:10" ht="30" customHeight="1" thickBot="1">
      <c r="A33" s="11"/>
      <c r="B33" s="47" t="s">
        <v>206</v>
      </c>
      <c r="C33" s="48"/>
      <c r="D33" s="48"/>
      <c r="E33" s="31">
        <v>5</v>
      </c>
      <c r="F33" s="29">
        <v>3.5</v>
      </c>
      <c r="G33" s="41">
        <f t="shared" si="0"/>
        <v>0.7</v>
      </c>
      <c r="H33" s="42" t="str">
        <f t="shared" si="1"/>
        <v>جيد</v>
      </c>
      <c r="I33" s="55"/>
      <c r="J33" s="56"/>
    </row>
    <row r="34" spans="1:10" ht="39.950000000000003" customHeight="1" thickBot="1">
      <c r="A34" s="11"/>
      <c r="B34" s="51" t="s">
        <v>207</v>
      </c>
      <c r="C34" s="52"/>
      <c r="D34" s="52"/>
      <c r="E34" s="10">
        <v>9</v>
      </c>
      <c r="F34" s="43">
        <v>7.75</v>
      </c>
      <c r="G34" s="44">
        <f t="shared" si="0"/>
        <v>0.86111111111111116</v>
      </c>
      <c r="H34" s="28" t="str">
        <f t="shared" si="1"/>
        <v>جيد جداً</v>
      </c>
      <c r="I34" s="57"/>
      <c r="J34" s="58"/>
    </row>
    <row r="35" spans="1:10" ht="30" customHeight="1">
      <c r="A35" s="11"/>
      <c r="B35" s="49" t="s">
        <v>208</v>
      </c>
      <c r="C35" s="50"/>
      <c r="D35" s="50"/>
      <c r="E35" s="30"/>
      <c r="F35" s="38"/>
      <c r="G35" s="39"/>
      <c r="H35" s="40"/>
      <c r="I35" s="59"/>
      <c r="J35" s="60"/>
    </row>
    <row r="36" spans="1:10" ht="30" customHeight="1">
      <c r="A36" s="11"/>
      <c r="B36" s="45" t="s">
        <v>209</v>
      </c>
      <c r="C36" s="46"/>
      <c r="D36" s="46"/>
      <c r="E36" s="33">
        <v>5</v>
      </c>
      <c r="F36" s="27">
        <v>4.5</v>
      </c>
      <c r="G36" s="36">
        <f t="shared" si="0"/>
        <v>0.9</v>
      </c>
      <c r="H36" s="37" t="str">
        <f t="shared" si="1"/>
        <v>ممتاز</v>
      </c>
      <c r="I36" s="53"/>
      <c r="J36" s="54"/>
    </row>
    <row r="37" spans="1:10" ht="30" customHeight="1">
      <c r="A37" s="11"/>
      <c r="B37" s="45" t="s">
        <v>210</v>
      </c>
      <c r="C37" s="46"/>
      <c r="D37" s="46"/>
      <c r="E37" s="33">
        <v>5</v>
      </c>
      <c r="F37" s="27">
        <v>3.5</v>
      </c>
      <c r="G37" s="36">
        <f t="shared" si="0"/>
        <v>0.7</v>
      </c>
      <c r="H37" s="37" t="str">
        <f t="shared" si="1"/>
        <v>جيد</v>
      </c>
      <c r="I37" s="53"/>
      <c r="J37" s="54"/>
    </row>
    <row r="38" spans="1:10" ht="30" customHeight="1">
      <c r="A38" s="11"/>
      <c r="B38" s="45" t="s">
        <v>211</v>
      </c>
      <c r="C38" s="46"/>
      <c r="D38" s="46"/>
      <c r="E38" s="33">
        <v>5</v>
      </c>
      <c r="F38" s="27">
        <v>3.75</v>
      </c>
      <c r="G38" s="36">
        <f t="shared" si="0"/>
        <v>0.75</v>
      </c>
      <c r="H38" s="37" t="str">
        <f t="shared" si="1"/>
        <v>جيد</v>
      </c>
      <c r="I38" s="53"/>
      <c r="J38" s="54"/>
    </row>
    <row r="39" spans="1:10" ht="30" customHeight="1">
      <c r="A39" s="11"/>
      <c r="B39" s="45" t="s">
        <v>212</v>
      </c>
      <c r="C39" s="46"/>
      <c r="D39" s="46"/>
      <c r="E39" s="33">
        <v>5</v>
      </c>
      <c r="F39" s="27">
        <v>4</v>
      </c>
      <c r="G39" s="36">
        <f t="shared" si="0"/>
        <v>0.8</v>
      </c>
      <c r="H39" s="37" t="str">
        <f t="shared" si="1"/>
        <v>جيد جداً</v>
      </c>
      <c r="I39" s="53"/>
      <c r="J39" s="54"/>
    </row>
    <row r="40" spans="1:10" ht="30" customHeight="1">
      <c r="A40" s="11"/>
      <c r="B40" s="45" t="s">
        <v>213</v>
      </c>
      <c r="C40" s="46"/>
      <c r="D40" s="46"/>
      <c r="E40" s="33">
        <v>5</v>
      </c>
      <c r="F40" s="27">
        <v>4</v>
      </c>
      <c r="G40" s="36">
        <f t="shared" si="0"/>
        <v>0.8</v>
      </c>
      <c r="H40" s="37" t="str">
        <f t="shared" si="1"/>
        <v>جيد جداً</v>
      </c>
      <c r="I40" s="53"/>
      <c r="J40" s="54"/>
    </row>
    <row r="41" spans="1:10" ht="30" customHeight="1">
      <c r="A41" s="11"/>
      <c r="B41" s="45" t="s">
        <v>214</v>
      </c>
      <c r="C41" s="46"/>
      <c r="D41" s="46"/>
      <c r="E41" s="33">
        <v>5</v>
      </c>
      <c r="F41" s="27">
        <v>4</v>
      </c>
      <c r="G41" s="36">
        <f t="shared" si="0"/>
        <v>0.8</v>
      </c>
      <c r="H41" s="37" t="str">
        <f t="shared" si="1"/>
        <v>جيد جداً</v>
      </c>
      <c r="I41" s="53"/>
      <c r="J41" s="54"/>
    </row>
    <row r="42" spans="1:10" ht="30" customHeight="1">
      <c r="A42" s="11"/>
      <c r="B42" s="45" t="s">
        <v>215</v>
      </c>
      <c r="C42" s="46"/>
      <c r="D42" s="46"/>
      <c r="E42" s="33">
        <v>5</v>
      </c>
      <c r="F42" s="27">
        <v>3.5</v>
      </c>
      <c r="G42" s="36">
        <f t="shared" si="0"/>
        <v>0.7</v>
      </c>
      <c r="H42" s="37" t="str">
        <f t="shared" si="1"/>
        <v>جيد</v>
      </c>
      <c r="I42" s="53"/>
      <c r="J42" s="54"/>
    </row>
    <row r="43" spans="1:10" ht="30" customHeight="1">
      <c r="A43" s="11"/>
      <c r="B43" s="45" t="s">
        <v>216</v>
      </c>
      <c r="C43" s="46"/>
      <c r="D43" s="46"/>
      <c r="E43" s="33">
        <v>5</v>
      </c>
      <c r="F43" s="27">
        <v>3.25</v>
      </c>
      <c r="G43" s="36">
        <f t="shared" si="0"/>
        <v>0.65</v>
      </c>
      <c r="H43" s="37" t="str">
        <f t="shared" si="1"/>
        <v>مقبول</v>
      </c>
      <c r="I43" s="53"/>
      <c r="J43" s="54"/>
    </row>
    <row r="44" spans="1:10" ht="30" customHeight="1">
      <c r="A44" s="11"/>
      <c r="B44" s="45" t="s">
        <v>217</v>
      </c>
      <c r="C44" s="46"/>
      <c r="D44" s="46"/>
      <c r="E44" s="33">
        <v>5</v>
      </c>
      <c r="F44" s="27">
        <v>4</v>
      </c>
      <c r="G44" s="36">
        <f t="shared" si="0"/>
        <v>0.8</v>
      </c>
      <c r="H44" s="37" t="str">
        <f t="shared" si="1"/>
        <v>جيد جداً</v>
      </c>
      <c r="I44" s="53"/>
      <c r="J44" s="54"/>
    </row>
    <row r="45" spans="1:10" ht="30" customHeight="1">
      <c r="A45" s="11"/>
      <c r="B45" s="45" t="s">
        <v>218</v>
      </c>
      <c r="C45" s="46"/>
      <c r="D45" s="46"/>
      <c r="E45" s="33">
        <v>5</v>
      </c>
      <c r="F45" s="27">
        <v>3.75</v>
      </c>
      <c r="G45" s="36">
        <f t="shared" si="0"/>
        <v>0.75</v>
      </c>
      <c r="H45" s="37" t="str">
        <f t="shared" si="1"/>
        <v>جيد</v>
      </c>
      <c r="I45" s="53"/>
      <c r="J45" s="54"/>
    </row>
    <row r="46" spans="1:10" ht="30" customHeight="1">
      <c r="A46" s="11"/>
      <c r="B46" s="45" t="s">
        <v>219</v>
      </c>
      <c r="C46" s="46"/>
      <c r="D46" s="46"/>
      <c r="E46" s="33">
        <v>5</v>
      </c>
      <c r="F46" s="27">
        <v>4</v>
      </c>
      <c r="G46" s="36">
        <f t="shared" si="0"/>
        <v>0.8</v>
      </c>
      <c r="H46" s="37" t="str">
        <f t="shared" si="1"/>
        <v>جيد جداً</v>
      </c>
      <c r="I46" s="53"/>
      <c r="J46" s="54"/>
    </row>
    <row r="47" spans="1:10" ht="30" customHeight="1">
      <c r="A47" s="11"/>
      <c r="B47" s="45" t="s">
        <v>220</v>
      </c>
      <c r="C47" s="46"/>
      <c r="D47" s="46"/>
      <c r="E47" s="33">
        <v>5</v>
      </c>
      <c r="F47" s="27">
        <v>4</v>
      </c>
      <c r="G47" s="36">
        <f t="shared" si="0"/>
        <v>0.8</v>
      </c>
      <c r="H47" s="37" t="str">
        <f t="shared" si="1"/>
        <v>جيد جداً</v>
      </c>
      <c r="I47" s="53"/>
      <c r="J47" s="54"/>
    </row>
    <row r="48" spans="1:10" ht="30" customHeight="1">
      <c r="A48" s="11"/>
      <c r="B48" s="45" t="s">
        <v>221</v>
      </c>
      <c r="C48" s="46"/>
      <c r="D48" s="46"/>
      <c r="E48" s="33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53"/>
      <c r="J48" s="54"/>
    </row>
    <row r="49" spans="1:10" ht="30" customHeight="1" thickBot="1">
      <c r="A49" s="11"/>
      <c r="B49" s="47" t="s">
        <v>222</v>
      </c>
      <c r="C49" s="48"/>
      <c r="D49" s="48"/>
      <c r="E49" s="34">
        <v>5</v>
      </c>
      <c r="F49" s="29">
        <v>4.5</v>
      </c>
      <c r="G49" s="41">
        <f t="shared" si="0"/>
        <v>0.9</v>
      </c>
      <c r="H49" s="42" t="str">
        <f t="shared" si="1"/>
        <v>ممتاز</v>
      </c>
      <c r="I49" s="55"/>
      <c r="J49" s="56"/>
    </row>
    <row r="50" spans="1:10" ht="30" customHeight="1">
      <c r="A50" s="11"/>
      <c r="B50" s="49" t="s">
        <v>223</v>
      </c>
      <c r="C50" s="50"/>
      <c r="D50" s="50"/>
      <c r="E50" s="30"/>
      <c r="F50" s="38"/>
      <c r="G50" s="39"/>
      <c r="H50" s="40"/>
      <c r="I50" s="59"/>
      <c r="J50" s="60"/>
    </row>
    <row r="51" spans="1:10" ht="30" customHeight="1">
      <c r="A51" s="11"/>
      <c r="B51" s="45" t="s">
        <v>224</v>
      </c>
      <c r="C51" s="46"/>
      <c r="D51" s="46"/>
      <c r="E51" s="9">
        <v>5</v>
      </c>
      <c r="F51" s="27">
        <v>4</v>
      </c>
      <c r="G51" s="36">
        <f t="shared" si="0"/>
        <v>0.8</v>
      </c>
      <c r="H51" s="37" t="str">
        <f t="shared" si="1"/>
        <v>جيد جداً</v>
      </c>
      <c r="I51" s="53"/>
      <c r="J51" s="54"/>
    </row>
    <row r="52" spans="1:10" ht="30" customHeight="1">
      <c r="A52" s="11"/>
      <c r="B52" s="45" t="s">
        <v>225</v>
      </c>
      <c r="C52" s="46"/>
      <c r="D52" s="46"/>
      <c r="E52" s="9">
        <v>5</v>
      </c>
      <c r="F52" s="27">
        <v>3.75</v>
      </c>
      <c r="G52" s="36">
        <f t="shared" si="0"/>
        <v>0.75</v>
      </c>
      <c r="H52" s="37" t="str">
        <f t="shared" si="1"/>
        <v>جيد</v>
      </c>
      <c r="I52" s="53"/>
      <c r="J52" s="54"/>
    </row>
    <row r="53" spans="1:10" ht="30" customHeight="1">
      <c r="A53" s="11"/>
      <c r="B53" s="45" t="s">
        <v>226</v>
      </c>
      <c r="C53" s="46"/>
      <c r="D53" s="46"/>
      <c r="E53" s="9">
        <v>5</v>
      </c>
      <c r="F53" s="27">
        <v>3.75</v>
      </c>
      <c r="G53" s="36">
        <f t="shared" si="0"/>
        <v>0.75</v>
      </c>
      <c r="H53" s="37" t="str">
        <f t="shared" si="1"/>
        <v>جيد</v>
      </c>
      <c r="I53" s="53"/>
      <c r="J53" s="54"/>
    </row>
    <row r="54" spans="1:10" ht="30" customHeight="1">
      <c r="A54" s="11"/>
      <c r="B54" s="45" t="s">
        <v>227</v>
      </c>
      <c r="C54" s="46"/>
      <c r="D54" s="46"/>
      <c r="E54" s="9">
        <v>5</v>
      </c>
      <c r="F54" s="27" t="s">
        <v>17</v>
      </c>
      <c r="G54" s="36" t="str">
        <f t="shared" si="0"/>
        <v/>
      </c>
      <c r="H54" s="37" t="str">
        <f t="shared" si="1"/>
        <v>تم الإلغاء</v>
      </c>
      <c r="I54" s="53"/>
      <c r="J54" s="54"/>
    </row>
    <row r="55" spans="1:10" ht="30" customHeight="1">
      <c r="A55" s="11"/>
      <c r="B55" s="45" t="s">
        <v>228</v>
      </c>
      <c r="C55" s="46"/>
      <c r="D55" s="46"/>
      <c r="E55" s="9">
        <v>5</v>
      </c>
      <c r="F55" s="27" t="s">
        <v>17</v>
      </c>
      <c r="G55" s="36" t="str">
        <f t="shared" si="0"/>
        <v/>
      </c>
      <c r="H55" s="37" t="str">
        <f t="shared" si="1"/>
        <v>تم الإلغاء</v>
      </c>
      <c r="I55" s="53"/>
      <c r="J55" s="54"/>
    </row>
    <row r="56" spans="1:10" ht="30" customHeight="1" thickBot="1">
      <c r="A56" s="11"/>
      <c r="B56" s="47" t="s">
        <v>229</v>
      </c>
      <c r="C56" s="48"/>
      <c r="D56" s="48"/>
      <c r="E56" s="31">
        <v>5</v>
      </c>
      <c r="F56" s="29">
        <v>3.75</v>
      </c>
      <c r="G56" s="41">
        <f t="shared" si="0"/>
        <v>0.75</v>
      </c>
      <c r="H56" s="42" t="str">
        <f t="shared" si="1"/>
        <v>جيد</v>
      </c>
      <c r="I56" s="55"/>
      <c r="J56" s="56"/>
    </row>
    <row r="57" spans="1:10" ht="30" customHeight="1" thickBot="1">
      <c r="A57" s="4"/>
      <c r="B57" s="61" t="s">
        <v>5</v>
      </c>
      <c r="C57" s="62"/>
      <c r="D57" s="62"/>
      <c r="E57" s="10">
        <f>SUM(E8:E56)</f>
        <v>230</v>
      </c>
      <c r="F57" s="10">
        <f>SUM(F8:F56)</f>
        <v>167.25</v>
      </c>
      <c r="G57" s="71"/>
      <c r="H57" s="72"/>
      <c r="I57" s="72"/>
      <c r="J57" s="73"/>
    </row>
    <row r="58" spans="1:10" ht="30" customHeight="1" thickBot="1">
      <c r="A58" s="4"/>
      <c r="B58" s="61" t="s">
        <v>54</v>
      </c>
      <c r="C58" s="62"/>
      <c r="D58" s="62"/>
      <c r="E58" s="81">
        <f>F57/E57/100*100</f>
        <v>0.72717391304347823</v>
      </c>
      <c r="F58" s="81"/>
      <c r="G58" s="81"/>
      <c r="H58" s="81"/>
      <c r="I58" s="81"/>
      <c r="J58" s="82"/>
    </row>
    <row r="59" spans="1:10" ht="30" customHeight="1" thickBot="1">
      <c r="A59" s="4"/>
      <c r="B59" s="61" t="s">
        <v>55</v>
      </c>
      <c r="C59" s="62"/>
      <c r="D59" s="62"/>
      <c r="E59" s="67" t="str">
        <f>_xlfn.IFS(E58&gt;=90%,"ممتاز",E58&gt;=80%,"جيد جداً",E58&gt;=70%,"جيد",E58&gt;=60%,"مقبول",E58&lt;60%,"راسب")</f>
        <v>جيد</v>
      </c>
      <c r="F59" s="67"/>
      <c r="G59" s="67"/>
      <c r="H59" s="67"/>
      <c r="I59" s="67"/>
      <c r="J59" s="68"/>
    </row>
    <row r="60" spans="1:10" ht="42" customHeight="1">
      <c r="B60" s="63" t="s">
        <v>174</v>
      </c>
      <c r="C60" s="63"/>
      <c r="D60" s="63"/>
      <c r="E60" s="69" t="s">
        <v>52</v>
      </c>
      <c r="F60" s="69"/>
      <c r="G60" s="65" t="s">
        <v>119</v>
      </c>
      <c r="H60" s="65"/>
      <c r="I60" s="65"/>
      <c r="J60" s="65"/>
    </row>
    <row r="61" spans="1:10" ht="51" customHeight="1">
      <c r="A61" s="5"/>
      <c r="B61" s="64"/>
      <c r="C61" s="64"/>
      <c r="D61" s="64"/>
      <c r="E61" s="70" t="s">
        <v>53</v>
      </c>
      <c r="F61" s="70"/>
      <c r="G61" s="66"/>
      <c r="H61" s="66"/>
      <c r="I61" s="66"/>
      <c r="J61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9">
    <mergeCell ref="B1:J1"/>
    <mergeCell ref="F2:J2"/>
    <mergeCell ref="B5:D6"/>
    <mergeCell ref="C2:D2"/>
    <mergeCell ref="C3:D3"/>
    <mergeCell ref="F3:J3"/>
    <mergeCell ref="E58:J58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0:D61"/>
    <mergeCell ref="G60:J60"/>
    <mergeCell ref="G61:J61"/>
    <mergeCell ref="E59:J59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45:J45"/>
    <mergeCell ref="I46:J46"/>
    <mergeCell ref="I47:J47"/>
    <mergeCell ref="I48:J48"/>
    <mergeCell ref="E60:F60"/>
    <mergeCell ref="E61:F61"/>
    <mergeCell ref="G57:J57"/>
    <mergeCell ref="I32:J32"/>
    <mergeCell ref="I33:J33"/>
    <mergeCell ref="I34:J34"/>
    <mergeCell ref="I35:J35"/>
    <mergeCell ref="I36:J36"/>
    <mergeCell ref="I8:J8"/>
    <mergeCell ref="B57:D57"/>
    <mergeCell ref="B58:D58"/>
    <mergeCell ref="B59:D5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9">
    <cfRule type="expression" dxfId="14" priority="57">
      <formula>$E59="راسب"</formula>
    </cfRule>
  </conditionalFormatting>
  <conditionalFormatting sqref="E59:J59">
    <cfRule type="expression" dxfId="13" priority="58">
      <formula>$E59="مقبول"</formula>
    </cfRule>
    <cfRule type="expression" dxfId="12" priority="59">
      <formula>$E59="جيد"</formula>
    </cfRule>
    <cfRule type="expression" dxfId="11" priority="60">
      <formula>$E59="جيد جداً"</formula>
    </cfRule>
    <cfRule type="expression" dxfId="10" priority="61">
      <formula>$E59="ممتاز"</formula>
    </cfRule>
  </conditionalFormatting>
  <conditionalFormatting sqref="F8:F5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0:J60">
    <cfRule type="containsText" dxfId="6" priority="15" operator="containsText" text="أدخل اسم المحكم">
      <formula>NOT(ISERROR(SEARCH("أدخل اسم المحكم",G60)))</formula>
    </cfRule>
  </conditionalFormatting>
  <conditionalFormatting sqref="H8:H5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F51:F56 F36:F49 F25:F26 F18:F19 F9:F13 F15:F16 F22:F23 F30:F33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G60:J60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61526B1-A61F-4578-928B-AD6F3E4F01B3}">
          <x14:formula1>
            <xm:f>'بيانات التقييم'!$A$111:$A$153</xm:f>
          </x14:formula1>
          <xm:sqref>F20 F24 F28</xm:sqref>
        </x14:dataValidation>
        <x14:dataValidation type="list" allowBlank="1" showInputMessage="1" showErrorMessage="1" xr:uid="{DC2E6A21-377E-4046-AD30-105CDED99AF1}">
          <x14:formula1>
            <xm:f>'بيانات التقييم'!$A$111:$A$137</xm:f>
          </x14:formula1>
          <xm:sqref>F29</xm:sqref>
        </x14:dataValidation>
        <x14:dataValidation type="list" allowBlank="1" showInputMessage="1" showErrorMessage="1" xr:uid="{9E5914F1-B145-4AD6-B252-460D8F6D7A9B}">
          <x14:formula1>
            <xm:f>'بيانات التقييم'!$A$111:$A$149</xm:f>
          </x14:formula1>
          <xm:sqref>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4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2025-09-25T09:20:02Z</dcterms:modified>
</cp:coreProperties>
</file>