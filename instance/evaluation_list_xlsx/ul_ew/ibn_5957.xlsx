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530FF9F5-0163-433A-8AA4-4D73DED3DFF3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التقييم'!#REF!</definedName>
    <definedName name="_xlnm.Print_Area" localSheetId="0">'قائمة التقييم'!$A$1:$J$23</definedName>
    <definedName name="_xlnm.Print_Titles" localSheetId="0">'قائمة التقييم'!$4:$4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2" l="1"/>
  <c r="H6" i="2" s="1"/>
  <c r="G7" i="2" l="1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5" i="2" l="1"/>
  <c r="H5" i="2" s="1"/>
  <c r="F19" i="2" l="1"/>
  <c r="E19" i="2" l="1"/>
  <c r="E20" i="2" l="1"/>
  <c r="E21" i="2" s="1"/>
</calcChain>
</file>

<file path=xl/sharedStrings.xml><?xml version="1.0" encoding="utf-8"?>
<sst xmlns="http://schemas.openxmlformats.org/spreadsheetml/2006/main" count="258" uniqueCount="191">
  <si>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</si>
  <si>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</si>
  <si>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</si>
  <si>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</si>
  <si>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</si>
  <si>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</si>
  <si>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</si>
  <si>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</si>
  <si>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</si>
  <si>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</si>
  <si>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</si>
  <si>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</si>
  <si>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</si>
  <si>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</si>
  <si>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</si>
  <si>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</si>
  <si>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</si>
  <si>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</si>
  <si>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</si>
  <si>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</si>
  <si>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</si>
  <si>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</si>
  <si>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</si>
  <si>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</si>
  <si>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</si>
  <si>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</si>
  <si>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</si>
  <si>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</si>
  <si>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</si>
  <si>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</si>
  <si>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</si>
  <si>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</si>
  <si>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</si>
  <si>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</si>
  <si>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</si>
  <si>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</si>
  <si>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</si>
  <si>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</si>
  <si>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</si>
  <si>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</si>
  <si>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</si>
  <si>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</si>
  <si>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</si>
  <si>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</si>
  <si>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</si>
  <si>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</si>
  <si>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</si>
  <si>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</si>
  <si>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</si>
  <si>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</si>
  <si>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</si>
  <si>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</si>
  <si>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</si>
  <si>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</si>
  <si>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</si>
  <si>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</si>
  <si>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</si>
  <si>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</si>
  <si>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</si>
  <si>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</si>
  <si>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</si>
  <si>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</si>
  <si>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</si>
  <si>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</si>
  <si>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</si>
  <si>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</si>
  <si>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</si>
  <si>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</si>
  <si>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</si>
  <si>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</si>
  <si>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</si>
  <si>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</si>
  <si>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</si>
  <si>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</si>
  <si>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</si>
  <si>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</si>
  <si>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</si>
  <si>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</si>
  <si>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</si>
  <si>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</si>
  <si>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</si>
  <si>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</si>
  <si>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</si>
  <si>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</si>
  <si>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</si>
  <si>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</si>
  <si>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</si>
  <si>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</si>
  <si>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</si>
  <si>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</si>
  <si>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</si>
  <si>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</si>
  <si>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</si>
  <si>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</si>
  <si>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</si>
  <si>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</si>
  <si>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</si>
  <si>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</si>
  <si>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</si>
  <si>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</si>
  <si>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</si>
  <si>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</si>
  <si>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</si>
  <si>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</si>
  <si>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</si>
  <si>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</si>
  <si>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</si>
  <si>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</si>
  <si>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</si>
  <si>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</si>
  <si>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</si>
  <si>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</si>
  <si>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</si>
  <si>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</si>
  <si>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</si>
  <si>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</si>
  <si>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</si>
  <si>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</si>
  <si>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</si>
  <si>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</si>
  <si>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</si>
  <si>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</si>
  <si>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</si>
  <si>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</si>
  <si>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</si>
  <si>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</si>
  <si>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</si>
  <si>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</si>
  <si>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</si>
  <si>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</si>
  <si>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</si>
  <si>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</si>
  <si>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</si>
  <si>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</si>
  <si>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</si>
  <si>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</si>
  <si>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</si>
  <si>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</si>
  <si>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</si>
  <si>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</si>
  <si>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</si>
  <si>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</si>
  <si>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</si>
  <si>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</si>
  <si>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</si>
  <si>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</si>
  <si>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</si>
  <si>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</si>
  <si>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</si>
  <si>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</si>
  <si>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</si>
  <si>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</si>
  <si>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</si>
  <si>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</si>
  <si>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</si>
  <si>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</si>
  <si>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</si>
  <si>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</si>
  <si>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</si>
  <si>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</si>
  <si>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</si>
  <si>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</si>
  <si>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</si>
  <si>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</si>
  <si>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</si>
  <si>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</si>
  <si>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</si>
  <si>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</si>
  <si>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</si>
  <si>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</si>
  <si>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</si>
  <si>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</si>
  <si>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</si>
  <si>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</si>
  <si>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</si>
  <si>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</si>
  <si>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التنسيق مع الادلاء لتحديد موقع السرية في منطقة التجمع.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</si>
  <si>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تأكد نائب قائد السرية من صلاحية الموقع لنصب الآليات.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</si>
  <si>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التأكد من تشكيل دفاع دائري السليم للمحطات وتوزيع أقواس الرمي.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</si>
  <si>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القيام بإجراءات الحماية الذاتية للمحطات.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</si>
  <si>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 xml:space="preserve">التأكد من تحقيق الاتصال مع محطة القيادة والسيطرة والمحطات الأخرى. 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</si>
  <si>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تحقيق اتصال بين قائد السرية ونائب قائد السرية وقادة الفصائل كما يقوم بتأكد من تحقيق اتصال بين قادة الفصائل والأطقم.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</si>
  <si>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تشغيل النظام في المحطة والتأكد من صلاحية النظام.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</si>
  <si>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تنفيذ أعمال الصيانة للأليات وللنظام والأجهزة.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</si>
  <si>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التأكد من ربط محطة القيادة والسيطرة مع المحطات الفرعية.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</si>
  <si>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تحقيق الاتصال بين قيادة السرية وقيادة مجموعة اللواء. 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</si>
  <si>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تجهيز وضبط إعدادات النظام والبدء بعملية الاستطلاع الإلكتروني.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</si>
  <si>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متابعة سير الأعمال لطاقم المحطات.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</si>
  <si>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تجهيز جداول مناوبات.</t>
    </r>
  </si>
  <si>
    <r>
      <t>14.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التنسيق مع ركن العمليات في مجموعة اللواء والعمل على خطة الاستطلاع من الأرض وتنفيذها.</t>
    </r>
  </si>
  <si>
    <t>تقييم سرية الحرب الإلكترونية في منطقة التجمع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</si>
</sst>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  <xf numFmtId="0" fontId="13" fillId="5" borderId="5" xfId="0" applyFont="1" applyFill="1" applyBorder="1" applyAlignment="1">
      <alignment horizontal="right" vertical="center" wrapText="1" readingOrder="2"/>
    </xf>
    <xf numFmtId="0" fontId="13" fillId="5" borderId="4" xfId="0" applyFont="1" applyFill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3"/>
  <sheetViews>
    <sheetView rightToLeft="1" tabSelected="1" view="pageBreakPreview" topLeftCell="A16" zoomScale="130" zoomScaleNormal="100" zoomScaleSheetLayoutView="130" workbookViewId="0">
      <selection activeCell="A2" sqref="A2:XFD4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thickBot="1" x14ac:dyDescent="0.25">
      <c r="B1" s="76" t="s">
        <v>190</v>
      </c>
      <c r="C1" s="76"/>
      <c r="D1" s="76"/>
      <c r="E1" s="76"/>
      <c r="F1" s="76"/>
      <c r="G1" s="76"/>
      <c r="H1" s="76"/>
      <c r="I1" s="76"/>
      <c r="J1" s="76"/>
    </row>
    <row r="2" spans="1:10" ht="24.95" customHeight="1" x14ac:dyDescent="0.2">
      <c r="A2" s="7"/>
      <c r="B2" s="55" t="s">
        <v>0</v>
      </c>
      <c r="C2" s="56"/>
      <c r="D2" s="56"/>
      <c r="E2" s="63" t="s">
        <v>1</v>
      </c>
      <c r="F2" s="63"/>
      <c r="G2" s="63"/>
      <c r="H2" s="63"/>
      <c r="I2" s="63" t="s">
        <v>2</v>
      </c>
      <c r="J2" s="64"/>
    </row>
    <row r="3" spans="1:10" ht="24.95" customHeight="1" thickBot="1" x14ac:dyDescent="0.25">
      <c r="A3" s="7"/>
      <c r="B3" s="57"/>
      <c r="C3" s="58"/>
      <c r="D3" s="58"/>
      <c r="E3" s="8" t="s">
        <v>3</v>
      </c>
      <c r="F3" s="8" t="s">
        <v>4</v>
      </c>
      <c r="G3" s="8" t="s">
        <v>19</v>
      </c>
      <c r="H3" s="8" t="s">
        <v>20</v>
      </c>
      <c r="I3" s="65"/>
      <c r="J3" s="66"/>
    </row>
    <row r="4" spans="1:10" ht="24.95" customHeight="1" thickBot="1" x14ac:dyDescent="0.25">
      <c r="A4" s="7"/>
      <c r="B4" s="61" t="s">
        <v>17</v>
      </c>
      <c r="C4" s="62"/>
      <c r="D4" s="62"/>
      <c r="E4" s="24" t="s">
        <v>14</v>
      </c>
      <c r="F4" s="24" t="s">
        <v>15</v>
      </c>
      <c r="G4" s="24" t="s">
        <v>18</v>
      </c>
      <c r="H4" s="24" t="s">
        <v>16</v>
      </c>
      <c r="I4" s="67" t="s">
        <v>21</v>
      </c>
      <c r="J4" s="68"/>
    </row>
    <row r="5" spans="1:10" ht="30" customHeight="1" x14ac:dyDescent="0.2">
      <c r="A5" s="7"/>
      <c r="B5" s="39" t="s">
        <v>176</v>
      </c>
      <c r="C5" s="40"/>
      <c r="D5" s="40"/>
      <c r="E5" s="28">
        <v>5</v>
      </c>
      <c r="F5" s="29" t="s">
        <v>57</v>
      </c>
      <c r="G5" s="30" t="str">
        <f>IFERROR(F5/E5,"")</f>
        <v/>
      </c>
      <c r="H5" s="31" t="str">
        <f>_xlfn.IFS(F5="أدخل العلامة","",F5="لا ينطبق","تم الإلغاء",G5&gt;=90%,"ممتاز",G5&gt;=80%,"جيد جداً",G5&gt;=70%,"جيد",G5&gt;=60%,"مقبول",G5&lt;60%,"راسب")</f>
        <v/>
      </c>
      <c r="I5" s="41"/>
      <c r="J5" s="42"/>
    </row>
    <row r="6" spans="1:10" ht="30" customHeight="1" x14ac:dyDescent="0.2">
      <c r="A6" s="7"/>
      <c r="B6" s="35" t="s">
        <v>177</v>
      </c>
      <c r="C6" s="36"/>
      <c r="D6" s="36"/>
      <c r="E6" s="6">
        <v>5</v>
      </c>
      <c r="F6" s="22" t="s">
        <v>57</v>
      </c>
      <c r="G6" s="26" t="str">
        <f>IFERROR(F6/E6,"")</f>
        <v/>
      </c>
      <c r="H6" s="27" t="str">
        <f>_xlfn.IFS(F6="أدخل العلامة","",F6="لا ينطبق","تم الإلغاء",G6&gt;=90%,"ممتاز",G6&gt;=80%,"جيد جداً",G6&gt;=70%,"جيد",G6&gt;=60%,"مقبول",G6&lt;60%,"راسب")</f>
        <v/>
      </c>
      <c r="I6" s="47"/>
      <c r="J6" s="48"/>
    </row>
    <row r="7" spans="1:10" ht="39.950000000000003" customHeight="1" x14ac:dyDescent="0.2">
      <c r="A7" s="7"/>
      <c r="B7" s="35" t="s">
        <v>178</v>
      </c>
      <c r="C7" s="36"/>
      <c r="D7" s="36"/>
      <c r="E7" s="6">
        <v>5</v>
      </c>
      <c r="F7" s="22" t="s">
        <v>57</v>
      </c>
      <c r="G7" s="26" t="str">
        <f t="shared" ref="G7:G18" si="0">IFERROR(F7/E7,"")</f>
        <v/>
      </c>
      <c r="H7" s="27" t="str">
        <f t="shared" ref="H7:H18" si="1">_xlfn.IFS(F7="أدخل العلامة","",F7="لا ينطبق","تم الإلغاء",G7&gt;=90%,"ممتاز",G7&gt;=80%,"جيد جداً",G7&gt;=70%,"جيد",G7&gt;=60%,"مقبول",G7&lt;60%,"راسب")</f>
        <v/>
      </c>
      <c r="I7" s="47"/>
      <c r="J7" s="48"/>
    </row>
    <row r="8" spans="1:10" ht="30" customHeight="1" x14ac:dyDescent="0.2">
      <c r="A8" s="7"/>
      <c r="B8" s="35" t="s">
        <v>179</v>
      </c>
      <c r="C8" s="36"/>
      <c r="D8" s="36"/>
      <c r="E8" s="6">
        <v>5</v>
      </c>
      <c r="F8" s="22" t="s">
        <v>57</v>
      </c>
      <c r="G8" s="26" t="str">
        <f t="shared" si="0"/>
        <v/>
      </c>
      <c r="H8" s="27" t="str">
        <f t="shared" si="1"/>
        <v/>
      </c>
      <c r="I8" s="47"/>
      <c r="J8" s="48"/>
    </row>
    <row r="9" spans="1:10" ht="39.950000000000003" customHeight="1" x14ac:dyDescent="0.2">
      <c r="A9" s="7"/>
      <c r="B9" s="35" t="s">
        <v>180</v>
      </c>
      <c r="C9" s="36"/>
      <c r="D9" s="36"/>
      <c r="E9" s="6">
        <v>5</v>
      </c>
      <c r="F9" s="22" t="s">
        <v>57</v>
      </c>
      <c r="G9" s="26" t="str">
        <f t="shared" si="0"/>
        <v/>
      </c>
      <c r="H9" s="27" t="str">
        <f t="shared" si="1"/>
        <v/>
      </c>
      <c r="I9" s="47"/>
      <c r="J9" s="48"/>
    </row>
    <row r="10" spans="1:10" ht="55.5" customHeight="1" x14ac:dyDescent="0.2">
      <c r="A10" s="7"/>
      <c r="B10" s="35" t="s">
        <v>181</v>
      </c>
      <c r="C10" s="36"/>
      <c r="D10" s="36"/>
      <c r="E10" s="6">
        <v>5</v>
      </c>
      <c r="F10" s="22" t="s">
        <v>57</v>
      </c>
      <c r="G10" s="26" t="str">
        <f t="shared" si="0"/>
        <v/>
      </c>
      <c r="H10" s="27" t="str">
        <f t="shared" si="1"/>
        <v/>
      </c>
      <c r="I10" s="47"/>
      <c r="J10" s="48"/>
    </row>
    <row r="11" spans="1:10" ht="30" customHeight="1" x14ac:dyDescent="0.2">
      <c r="A11" s="7"/>
      <c r="B11" s="35" t="s">
        <v>182</v>
      </c>
      <c r="C11" s="36"/>
      <c r="D11" s="36"/>
      <c r="E11" s="6">
        <v>5</v>
      </c>
      <c r="F11" s="22" t="s">
        <v>57</v>
      </c>
      <c r="G11" s="26" t="str">
        <f t="shared" si="0"/>
        <v/>
      </c>
      <c r="H11" s="27" t="str">
        <f t="shared" si="1"/>
        <v/>
      </c>
      <c r="I11" s="47"/>
      <c r="J11" s="48"/>
    </row>
    <row r="12" spans="1:10" ht="30" customHeight="1" x14ac:dyDescent="0.2">
      <c r="A12" s="7"/>
      <c r="B12" s="35" t="s">
        <v>183</v>
      </c>
      <c r="C12" s="36"/>
      <c r="D12" s="36"/>
      <c r="E12" s="6">
        <v>5</v>
      </c>
      <c r="F12" s="22" t="s">
        <v>57</v>
      </c>
      <c r="G12" s="26" t="str">
        <f t="shared" si="0"/>
        <v/>
      </c>
      <c r="H12" s="27" t="str">
        <f t="shared" si="1"/>
        <v/>
      </c>
      <c r="I12" s="47"/>
      <c r="J12" s="48"/>
    </row>
    <row r="13" spans="1:10" ht="39.950000000000003" customHeight="1" x14ac:dyDescent="0.2">
      <c r="A13" s="7"/>
      <c r="B13" s="35" t="s">
        <v>184</v>
      </c>
      <c r="C13" s="36"/>
      <c r="D13" s="36"/>
      <c r="E13" s="6">
        <v>5</v>
      </c>
      <c r="F13" s="22" t="s">
        <v>57</v>
      </c>
      <c r="G13" s="26" t="str">
        <f t="shared" si="0"/>
        <v/>
      </c>
      <c r="H13" s="27" t="str">
        <f t="shared" si="1"/>
        <v/>
      </c>
      <c r="I13" s="47"/>
      <c r="J13" s="48"/>
    </row>
    <row r="14" spans="1:10" ht="30" customHeight="1" x14ac:dyDescent="0.2">
      <c r="A14" s="7"/>
      <c r="B14" s="35" t="s">
        <v>185</v>
      </c>
      <c r="C14" s="36"/>
      <c r="D14" s="36"/>
      <c r="E14" s="6">
        <v>5</v>
      </c>
      <c r="F14" s="22" t="s">
        <v>57</v>
      </c>
      <c r="G14" s="26" t="str">
        <f t="shared" si="0"/>
        <v/>
      </c>
      <c r="H14" s="27" t="str">
        <f t="shared" si="1"/>
        <v/>
      </c>
      <c r="I14" s="47"/>
      <c r="J14" s="48"/>
    </row>
    <row r="15" spans="1:10" ht="39.950000000000003" customHeight="1" x14ac:dyDescent="0.2">
      <c r="A15" s="7"/>
      <c r="B15" s="35" t="s">
        <v>186</v>
      </c>
      <c r="C15" s="36"/>
      <c r="D15" s="36"/>
      <c r="E15" s="6">
        <v>5</v>
      </c>
      <c r="F15" s="22" t="s">
        <v>57</v>
      </c>
      <c r="G15" s="26" t="str">
        <f t="shared" si="0"/>
        <v/>
      </c>
      <c r="H15" s="27" t="str">
        <f t="shared" si="1"/>
        <v/>
      </c>
      <c r="I15" s="47"/>
      <c r="J15" s="48"/>
    </row>
    <row r="16" spans="1:10" ht="30" customHeight="1" x14ac:dyDescent="0.2">
      <c r="A16" s="7"/>
      <c r="B16" s="35" t="s">
        <v>187</v>
      </c>
      <c r="C16" s="36"/>
      <c r="D16" s="36"/>
      <c r="E16" s="6">
        <v>5</v>
      </c>
      <c r="F16" s="22" t="s">
        <v>57</v>
      </c>
      <c r="G16" s="26" t="str">
        <f t="shared" si="0"/>
        <v/>
      </c>
      <c r="H16" s="27" t="str">
        <f t="shared" si="1"/>
        <v/>
      </c>
      <c r="I16" s="47"/>
      <c r="J16" s="48"/>
    </row>
    <row r="17" spans="1:10" ht="30" customHeight="1" x14ac:dyDescent="0.2">
      <c r="A17" s="7"/>
      <c r="B17" s="35" t="s">
        <v>188</v>
      </c>
      <c r="C17" s="36"/>
      <c r="D17" s="36"/>
      <c r="E17" s="6">
        <v>5</v>
      </c>
      <c r="F17" s="22" t="s">
        <v>57</v>
      </c>
      <c r="G17" s="26" t="str">
        <f t="shared" si="0"/>
        <v/>
      </c>
      <c r="H17" s="27" t="str">
        <f t="shared" si="1"/>
        <v/>
      </c>
      <c r="I17" s="47"/>
      <c r="J17" s="48"/>
    </row>
    <row r="18" spans="1:10" ht="39.950000000000003" customHeight="1" thickBot="1" x14ac:dyDescent="0.25">
      <c r="A18" s="7"/>
      <c r="B18" s="37" t="s">
        <v>189</v>
      </c>
      <c r="C18" s="38"/>
      <c r="D18" s="38"/>
      <c r="E18" s="32">
        <v>5</v>
      </c>
      <c r="F18" s="23" t="s">
        <v>57</v>
      </c>
      <c r="G18" s="33" t="str">
        <f t="shared" si="0"/>
        <v/>
      </c>
      <c r="H18" s="34" t="str">
        <f t="shared" si="1"/>
        <v/>
      </c>
      <c r="I18" s="69"/>
      <c r="J18" s="70"/>
    </row>
    <row r="19" spans="1:10" ht="30" customHeight="1" thickBot="1" x14ac:dyDescent="0.25">
      <c r="A19" s="4"/>
      <c r="B19" s="43" t="s">
        <v>5</v>
      </c>
      <c r="C19" s="44"/>
      <c r="D19" s="44"/>
      <c r="E19" s="25">
        <f>SUM(E5:E18)</f>
        <v>70</v>
      </c>
      <c r="F19" s="25">
        <f>SUM(F5:F18)</f>
        <v>0</v>
      </c>
      <c r="G19" s="73"/>
      <c r="H19" s="74"/>
      <c r="I19" s="74"/>
      <c r="J19" s="75"/>
    </row>
    <row r="20" spans="1:10" ht="30" customHeight="1" thickBot="1" x14ac:dyDescent="0.25">
      <c r="A20" s="4"/>
      <c r="B20" s="45" t="s">
        <v>50</v>
      </c>
      <c r="C20" s="46"/>
      <c r="D20" s="46"/>
      <c r="E20" s="59">
        <f>F19/E19/100*100</f>
        <v>0</v>
      </c>
      <c r="F20" s="59"/>
      <c r="G20" s="59"/>
      <c r="H20" s="59"/>
      <c r="I20" s="59"/>
      <c r="J20" s="60"/>
    </row>
    <row r="21" spans="1:10" ht="30" customHeight="1" thickBot="1" x14ac:dyDescent="0.25">
      <c r="A21" s="4"/>
      <c r="B21" s="45" t="s">
        <v>51</v>
      </c>
      <c r="C21" s="46"/>
      <c r="D21" s="46"/>
      <c r="E21" s="53" t="str">
        <f>_xlfn.IFS(E20&gt;=90%,"ممتاز",E20&gt;=80%,"جيد جداً",E20&gt;=70%,"جيد",E20&gt;=60%,"مقبول",E20&lt;60%,"راسب")</f>
        <v>راسب</v>
      </c>
      <c r="F21" s="53"/>
      <c r="G21" s="53"/>
      <c r="H21" s="53"/>
      <c r="I21" s="53"/>
      <c r="J21" s="54"/>
    </row>
    <row r="22" spans="1:10" ht="42" customHeight="1" x14ac:dyDescent="0.2">
      <c r="B22" s="49" t="s">
        <v>170</v>
      </c>
      <c r="C22" s="49"/>
      <c r="D22" s="49"/>
      <c r="E22" s="71" t="s">
        <v>48</v>
      </c>
      <c r="F22" s="71"/>
      <c r="G22" s="51" t="s">
        <v>55</v>
      </c>
      <c r="H22" s="51"/>
      <c r="I22" s="51"/>
      <c r="J22" s="51"/>
    </row>
    <row r="23" spans="1:10" ht="51" customHeight="1" x14ac:dyDescent="0.2">
      <c r="A23" s="5"/>
      <c r="B23" s="50"/>
      <c r="C23" s="50"/>
      <c r="D23" s="50"/>
      <c r="E23" s="72" t="s">
        <v>49</v>
      </c>
      <c r="F23" s="72"/>
      <c r="G23" s="52"/>
      <c r="H23" s="52"/>
      <c r="I23" s="52"/>
      <c r="J23" s="5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5">
    <mergeCell ref="E22:F22"/>
    <mergeCell ref="E23:F23"/>
    <mergeCell ref="G19:J19"/>
    <mergeCell ref="I6:J6"/>
    <mergeCell ref="B22:D23"/>
    <mergeCell ref="G22:J22"/>
    <mergeCell ref="G23:J23"/>
    <mergeCell ref="E21:J21"/>
    <mergeCell ref="B1:J1"/>
    <mergeCell ref="B2:D3"/>
    <mergeCell ref="E20:J20"/>
    <mergeCell ref="B4:D4"/>
    <mergeCell ref="E2:H2"/>
    <mergeCell ref="I2:J3"/>
    <mergeCell ref="I4:J4"/>
    <mergeCell ref="I7:J7"/>
    <mergeCell ref="B19:D19"/>
    <mergeCell ref="B20:D20"/>
    <mergeCell ref="B21:D21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B10:D10"/>
    <mergeCell ref="B11:D11"/>
    <mergeCell ref="B12:D12"/>
    <mergeCell ref="B13:D13"/>
    <mergeCell ref="I5:J5"/>
    <mergeCell ref="B5:D5"/>
    <mergeCell ref="B6:D6"/>
    <mergeCell ref="B7:D7"/>
    <mergeCell ref="B8:D8"/>
    <mergeCell ref="B9:D9"/>
    <mergeCell ref="B14:D14"/>
    <mergeCell ref="B15:D15"/>
    <mergeCell ref="B16:D16"/>
    <mergeCell ref="B17:D17"/>
    <mergeCell ref="B18:D18"/>
  </mergeCells>
  <conditionalFormatting sqref="E21">
    <cfRule type="expression" dxfId="23" priority="57">
      <formula>$E21="راسب"</formula>
    </cfRule>
  </conditionalFormatting>
  <conditionalFormatting sqref="E21:J21">
    <cfRule type="expression" dxfId="22" priority="58">
      <formula>$E21="مقبول"</formula>
    </cfRule>
    <cfRule type="expression" dxfId="21" priority="59">
      <formula>$E21="جيد"</formula>
    </cfRule>
    <cfRule type="expression" dxfId="20" priority="60">
      <formula>$E21="جيد جداً"</formula>
    </cfRule>
    <cfRule type="expression" dxfId="19" priority="61">
      <formula>$E21="ممتاز"</formula>
    </cfRule>
  </conditionalFormatting>
  <conditionalFormatting sqref="H5 H7:H18">
    <cfRule type="containsText" dxfId="18" priority="39" operator="containsText" text="ممتاز">
      <formula>NOT(ISERROR(SEARCH("ممتاز",H5)))</formula>
    </cfRule>
    <cfRule type="containsText" dxfId="17" priority="40" operator="containsText" text="جيد جداً">
      <formula>NOT(ISERROR(SEARCH("جيد جداً",H5)))</formula>
    </cfRule>
    <cfRule type="containsText" dxfId="16" priority="41" operator="containsText" text="جيد">
      <formula>NOT(ISERROR(SEARCH("جيد",H5)))</formula>
    </cfRule>
    <cfRule type="containsText" dxfId="15" priority="42" operator="containsText" text="مقبول">
      <formula>NOT(ISERROR(SEARCH("مقبول",H5)))</formula>
    </cfRule>
    <cfRule type="containsText" dxfId="14" priority="43" operator="containsText" text="راسب">
      <formula>NOT(ISERROR(SEARCH("راسب",H5)))</formula>
    </cfRule>
  </conditionalFormatting>
  <conditionalFormatting sqref="H5 H7:H18">
    <cfRule type="containsText" dxfId="13" priority="38" operator="containsText" text="أدخل العلامة">
      <formula>NOT(ISERROR(SEARCH("أدخل العلامة",H5)))</formula>
    </cfRule>
  </conditionalFormatting>
  <conditionalFormatting sqref="G22:J22">
    <cfRule type="containsText" dxfId="8" priority="15" operator="containsText" text="أدخل اسم المحكم">
      <formula>NOT(ISERROR(SEARCH("أدخل اسم المحكم",G22)))</formula>
    </cfRule>
  </conditionalFormatting>
  <conditionalFormatting sqref="F5 F7:F18">
    <cfRule type="containsText" dxfId="7" priority="14" operator="containsText" text="أدخل العلامة">
      <formula>NOT(ISERROR(SEARCH("أدخل العلامة",F5)))</formula>
    </cfRule>
  </conditionalFormatting>
  <conditionalFormatting sqref="H6">
    <cfRule type="containsText" dxfId="6" priority="6" operator="containsText" text="ممتاز">
      <formula>NOT(ISERROR(SEARCH("ممتاز",H6)))</formula>
    </cfRule>
    <cfRule type="containsText" dxfId="5" priority="7" operator="containsText" text="جيد جداً">
      <formula>NOT(ISERROR(SEARCH("جيد جداً",H6)))</formula>
    </cfRule>
    <cfRule type="containsText" dxfId="4" priority="8" operator="containsText" text="جيد">
      <formula>NOT(ISERROR(SEARCH("جيد",H6)))</formula>
    </cfRule>
    <cfRule type="containsText" dxfId="3" priority="9" operator="containsText" text="مقبول">
      <formula>NOT(ISERROR(SEARCH("مقبول",H6)))</formula>
    </cfRule>
    <cfRule type="containsText" dxfId="2" priority="10" operator="containsText" text="راسب">
      <formula>NOT(ISERROR(SEARCH("راسب",H6)))</formula>
    </cfRule>
  </conditionalFormatting>
  <conditionalFormatting sqref="H6">
    <cfRule type="containsText" dxfId="1" priority="5" operator="containsText" text="أدخل العلامة">
      <formula>NOT(ISERROR(SEARCH("أدخل العلامة",H6)))</formula>
    </cfRule>
  </conditionalFormatting>
  <conditionalFormatting sqref="F6">
    <cfRule type="containsText" dxfId="0" priority="4" operator="containsText" text="أدخل العلامة">
      <formula>NOT(ISERROR(SEARCH("أدخل العلامة",F6)))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F5:F18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G22:J22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53</v>
      </c>
      <c r="C1" s="2" t="s">
        <v>56</v>
      </c>
    </row>
    <row r="2" spans="1:3" ht="20.100000000000001" customHeight="1" thickBot="1" x14ac:dyDescent="0.25">
      <c r="A2" s="2" t="s">
        <v>31</v>
      </c>
      <c r="C2" s="15" t="s">
        <v>58</v>
      </c>
    </row>
    <row r="3" spans="1:3" ht="20.100000000000001" customHeight="1" thickBot="1" x14ac:dyDescent="0.25">
      <c r="A3" s="2" t="s">
        <v>22</v>
      </c>
      <c r="C3" s="15" t="s">
        <v>59</v>
      </c>
    </row>
    <row r="4" spans="1:3" ht="20.100000000000001" customHeight="1" thickBot="1" x14ac:dyDescent="0.25">
      <c r="A4" s="2" t="s">
        <v>32</v>
      </c>
      <c r="C4" s="15" t="s">
        <v>60</v>
      </c>
    </row>
    <row r="5" spans="1:3" ht="20.100000000000001" customHeight="1" thickBot="1" x14ac:dyDescent="0.25">
      <c r="A5" s="2" t="s">
        <v>33</v>
      </c>
      <c r="C5" s="15" t="s">
        <v>61</v>
      </c>
    </row>
    <row r="6" spans="1:3" ht="20.100000000000001" customHeight="1" thickBot="1" x14ac:dyDescent="0.25">
      <c r="A6" s="2" t="s">
        <v>34</v>
      </c>
      <c r="C6" s="15" t="s">
        <v>62</v>
      </c>
    </row>
    <row r="7" spans="1:3" ht="20.100000000000001" customHeight="1" thickBot="1" x14ac:dyDescent="0.25">
      <c r="A7" s="2" t="s">
        <v>35</v>
      </c>
      <c r="C7" s="15" t="s">
        <v>63</v>
      </c>
    </row>
    <row r="8" spans="1:3" ht="20.100000000000001" customHeight="1" thickBot="1" x14ac:dyDescent="0.25">
      <c r="A8" s="2" t="s">
        <v>36</v>
      </c>
      <c r="C8" s="15" t="s">
        <v>64</v>
      </c>
    </row>
    <row r="9" spans="1:3" ht="20.100000000000001" customHeight="1" thickBot="1" x14ac:dyDescent="0.25">
      <c r="A9" s="2" t="s">
        <v>37</v>
      </c>
      <c r="C9" s="15" t="s">
        <v>65</v>
      </c>
    </row>
    <row r="10" spans="1:3" ht="20.100000000000001" customHeight="1" thickBot="1" x14ac:dyDescent="0.25">
      <c r="A10" s="2" t="s">
        <v>38</v>
      </c>
      <c r="C10" s="15" t="s">
        <v>66</v>
      </c>
    </row>
    <row r="11" spans="1:3" ht="20.100000000000001" customHeight="1" thickBot="1" x14ac:dyDescent="0.25">
      <c r="A11" s="2" t="s">
        <v>39</v>
      </c>
      <c r="C11" s="15" t="s">
        <v>67</v>
      </c>
    </row>
    <row r="12" spans="1:3" ht="20.100000000000001" customHeight="1" thickBot="1" x14ac:dyDescent="0.25">
      <c r="A12" s="2" t="s">
        <v>40</v>
      </c>
      <c r="C12" s="15" t="s">
        <v>68</v>
      </c>
    </row>
    <row r="13" spans="1:3" ht="20.100000000000001" customHeight="1" thickBot="1" x14ac:dyDescent="0.25">
      <c r="A13" s="2" t="s">
        <v>41</v>
      </c>
      <c r="C13" s="15" t="s">
        <v>69</v>
      </c>
    </row>
    <row r="14" spans="1:3" ht="20.100000000000001" customHeight="1" thickBot="1" x14ac:dyDescent="0.25">
      <c r="A14" s="2" t="s">
        <v>42</v>
      </c>
      <c r="C14" s="15" t="s">
        <v>70</v>
      </c>
    </row>
    <row r="15" spans="1:3" ht="20.100000000000001" customHeight="1" thickBot="1" x14ac:dyDescent="0.25">
      <c r="A15" s="2" t="s">
        <v>43</v>
      </c>
      <c r="C15" s="15" t="s">
        <v>71</v>
      </c>
    </row>
    <row r="16" spans="1:3" ht="20.100000000000001" customHeight="1" thickBot="1" x14ac:dyDescent="0.25">
      <c r="A16" s="2" t="s">
        <v>6</v>
      </c>
      <c r="C16" s="15" t="s">
        <v>72</v>
      </c>
    </row>
    <row r="17" spans="1:3" ht="20.100000000000001" customHeight="1" thickBot="1" x14ac:dyDescent="0.25">
      <c r="A17" s="2" t="s">
        <v>23</v>
      </c>
      <c r="C17" s="15" t="s">
        <v>73</v>
      </c>
    </row>
    <row r="18" spans="1:3" ht="20.100000000000001" customHeight="1" thickBot="1" x14ac:dyDescent="0.25">
      <c r="A18" s="2" t="s">
        <v>44</v>
      </c>
      <c r="C18" s="15" t="s">
        <v>74</v>
      </c>
    </row>
    <row r="19" spans="1:3" ht="20.100000000000001" customHeight="1" thickBot="1" x14ac:dyDescent="0.25">
      <c r="A19" s="2" t="s">
        <v>45</v>
      </c>
      <c r="C19" s="15" t="s">
        <v>75</v>
      </c>
    </row>
    <row r="20" spans="1:3" ht="20.100000000000001" customHeight="1" thickBot="1" x14ac:dyDescent="0.25">
      <c r="A20" s="2" t="s">
        <v>46</v>
      </c>
      <c r="C20" s="15" t="s">
        <v>76</v>
      </c>
    </row>
    <row r="21" spans="1:3" ht="20.100000000000001" customHeight="1" thickBot="1" x14ac:dyDescent="0.25">
      <c r="A21" s="2" t="s">
        <v>47</v>
      </c>
      <c r="C21" s="15" t="s">
        <v>77</v>
      </c>
    </row>
    <row r="22" spans="1:3" ht="20.100000000000001" customHeight="1" thickBot="1" x14ac:dyDescent="0.25">
      <c r="A22" s="2" t="s">
        <v>7</v>
      </c>
      <c r="C22" s="15" t="s">
        <v>78</v>
      </c>
    </row>
    <row r="23" spans="1:3" ht="20.100000000000001" customHeight="1" thickBot="1" x14ac:dyDescent="0.25">
      <c r="A23" s="2" t="s">
        <v>8</v>
      </c>
      <c r="C23" s="15" t="s">
        <v>79</v>
      </c>
    </row>
    <row r="24" spans="1:3" ht="20.100000000000001" customHeight="1" thickBot="1" x14ac:dyDescent="0.25">
      <c r="A24" s="2" t="s">
        <v>11</v>
      </c>
      <c r="C24" s="15" t="s">
        <v>80</v>
      </c>
    </row>
    <row r="25" spans="1:3" ht="20.100000000000001" customHeight="1" thickBot="1" x14ac:dyDescent="0.25">
      <c r="A25" s="2" t="s">
        <v>24</v>
      </c>
      <c r="C25" s="15" t="s">
        <v>81</v>
      </c>
    </row>
    <row r="26" spans="1:3" ht="20.100000000000001" customHeight="1" thickBot="1" x14ac:dyDescent="0.25">
      <c r="A26" s="2" t="s">
        <v>25</v>
      </c>
      <c r="C26" s="15" t="s">
        <v>82</v>
      </c>
    </row>
    <row r="27" spans="1:3" ht="20.100000000000001" customHeight="1" thickBot="1" x14ac:dyDescent="0.25">
      <c r="A27" s="2" t="s">
        <v>9</v>
      </c>
      <c r="C27" s="15" t="s">
        <v>83</v>
      </c>
    </row>
    <row r="28" spans="1:3" ht="20.100000000000001" customHeight="1" thickBot="1" x14ac:dyDescent="0.25">
      <c r="A28" s="2" t="s">
        <v>26</v>
      </c>
      <c r="C28" s="15" t="s">
        <v>84</v>
      </c>
    </row>
    <row r="29" spans="1:3" ht="20.100000000000001" customHeight="1" thickBot="1" x14ac:dyDescent="0.25">
      <c r="A29" s="2" t="s">
        <v>27</v>
      </c>
      <c r="C29" s="15" t="s">
        <v>173</v>
      </c>
    </row>
    <row r="30" spans="1:3" ht="20.100000000000001" customHeight="1" thickBot="1" x14ac:dyDescent="0.25">
      <c r="A30" s="2" t="s">
        <v>28</v>
      </c>
      <c r="C30" s="15" t="s">
        <v>174</v>
      </c>
    </row>
    <row r="31" spans="1:3" ht="20.100000000000001" customHeight="1" thickBot="1" x14ac:dyDescent="0.25">
      <c r="A31" s="2" t="s">
        <v>29</v>
      </c>
      <c r="C31" s="15" t="s">
        <v>175</v>
      </c>
    </row>
    <row r="32" spans="1:3" ht="20.100000000000001" customHeight="1" thickBot="1" x14ac:dyDescent="0.25">
      <c r="A32" s="2" t="s">
        <v>12</v>
      </c>
      <c r="C32" s="15"/>
    </row>
    <row r="33" spans="1:9" ht="20.100000000000001" customHeight="1" thickBot="1" x14ac:dyDescent="0.25">
      <c r="A33" s="2" t="s">
        <v>10</v>
      </c>
      <c r="C33" s="15"/>
    </row>
    <row r="34" spans="1:9" ht="20.100000000000001" customHeight="1" thickBot="1" x14ac:dyDescent="0.25">
      <c r="A34" s="2" t="s">
        <v>30</v>
      </c>
      <c r="C34" s="15"/>
    </row>
    <row r="35" spans="1:9" ht="20.100000000000001" customHeight="1" x14ac:dyDescent="0.2">
      <c r="A35" s="14"/>
    </row>
    <row r="36" spans="1:9" s="13" customFormat="1" ht="20.100000000000001" customHeight="1" x14ac:dyDescent="0.2">
      <c r="A36" s="11"/>
      <c r="B36" s="12"/>
      <c r="C36" s="12"/>
      <c r="D36" s="12"/>
      <c r="E36" s="12"/>
      <c r="F36" s="12"/>
      <c r="G36" s="12"/>
      <c r="H36" s="12"/>
      <c r="I36" s="12"/>
    </row>
    <row r="37" spans="1:9" ht="20.100000000000001" customHeight="1" thickBot="1" x14ac:dyDescent="0.25"/>
    <row r="38" spans="1:9" ht="20.100000000000001" customHeight="1" thickBot="1" x14ac:dyDescent="0.25">
      <c r="A38" s="2" t="s">
        <v>52</v>
      </c>
    </row>
    <row r="39" spans="1:9" ht="20.100000000000001" customHeight="1" thickBot="1" x14ac:dyDescent="0.25">
      <c r="A39" s="9">
        <v>45931</v>
      </c>
    </row>
    <row r="40" spans="1:9" ht="20.100000000000001" customHeight="1" thickBot="1" x14ac:dyDescent="0.25">
      <c r="A40" s="9">
        <v>45932</v>
      </c>
    </row>
    <row r="41" spans="1:9" ht="20.100000000000001" customHeight="1" thickBot="1" x14ac:dyDescent="0.25">
      <c r="A41" s="9">
        <v>45933</v>
      </c>
    </row>
    <row r="42" spans="1:9" ht="20.100000000000001" customHeight="1" thickBot="1" x14ac:dyDescent="0.25">
      <c r="A42" s="9">
        <v>45934</v>
      </c>
    </row>
    <row r="43" spans="1:9" ht="20.100000000000001" customHeight="1" thickBot="1" x14ac:dyDescent="0.25">
      <c r="A43" s="9">
        <v>45935</v>
      </c>
    </row>
    <row r="44" spans="1:9" ht="20.100000000000001" customHeight="1" thickBot="1" x14ac:dyDescent="0.25">
      <c r="A44" s="9">
        <v>45936</v>
      </c>
    </row>
    <row r="45" spans="1:9" ht="20.100000000000001" customHeight="1" thickBot="1" x14ac:dyDescent="0.25">
      <c r="A45" s="9">
        <v>45937</v>
      </c>
    </row>
    <row r="46" spans="1:9" ht="20.100000000000001" customHeight="1" thickBot="1" x14ac:dyDescent="0.25">
      <c r="A46" s="9">
        <v>45938</v>
      </c>
    </row>
    <row r="47" spans="1:9" ht="20.100000000000001" customHeight="1" thickBot="1" x14ac:dyDescent="0.25">
      <c r="A47" s="9">
        <v>45939</v>
      </c>
    </row>
    <row r="48" spans="1:9" ht="20.100000000000001" customHeight="1" thickBot="1" x14ac:dyDescent="0.25">
      <c r="A48" s="9">
        <v>45940</v>
      </c>
    </row>
    <row r="49" spans="1:1" ht="20.100000000000001" customHeight="1" thickBot="1" x14ac:dyDescent="0.25">
      <c r="A49" s="9">
        <v>45941</v>
      </c>
    </row>
    <row r="50" spans="1:1" ht="20.100000000000001" customHeight="1" thickBot="1" x14ac:dyDescent="0.25">
      <c r="A50" s="9">
        <v>45942</v>
      </c>
    </row>
    <row r="51" spans="1:1" ht="20.100000000000001" customHeight="1" thickBot="1" x14ac:dyDescent="0.25">
      <c r="A51" s="9">
        <v>45943</v>
      </c>
    </row>
    <row r="52" spans="1:1" ht="20.100000000000001" customHeight="1" thickBot="1" x14ac:dyDescent="0.25">
      <c r="A52" s="9">
        <v>45944</v>
      </c>
    </row>
    <row r="53" spans="1:1" ht="20.100000000000001" customHeight="1" thickBot="1" x14ac:dyDescent="0.25">
      <c r="A53" s="9">
        <v>45945</v>
      </c>
    </row>
    <row r="54" spans="1:1" ht="20.100000000000001" customHeight="1" thickBot="1" x14ac:dyDescent="0.25">
      <c r="A54" s="9">
        <v>45946</v>
      </c>
    </row>
    <row r="55" spans="1:1" ht="20.100000000000001" customHeight="1" thickBot="1" x14ac:dyDescent="0.25">
      <c r="A55" s="9">
        <v>45947</v>
      </c>
    </row>
    <row r="56" spans="1:1" ht="20.100000000000001" customHeight="1" thickBot="1" x14ac:dyDescent="0.25">
      <c r="A56" s="9">
        <v>45948</v>
      </c>
    </row>
    <row r="57" spans="1:1" ht="20.100000000000001" customHeight="1" thickBot="1" x14ac:dyDescent="0.25">
      <c r="A57" s="9">
        <v>45949</v>
      </c>
    </row>
    <row r="58" spans="1:1" ht="20.100000000000001" customHeight="1" thickBot="1" x14ac:dyDescent="0.25">
      <c r="A58" s="9">
        <v>45950</v>
      </c>
    </row>
    <row r="59" spans="1:1" ht="20.100000000000001" customHeight="1" thickBot="1" x14ac:dyDescent="0.25">
      <c r="A59" s="9">
        <v>45951</v>
      </c>
    </row>
    <row r="60" spans="1:1" ht="20.100000000000001" customHeight="1" thickBot="1" x14ac:dyDescent="0.25">
      <c r="A60" s="9">
        <v>45952</v>
      </c>
    </row>
    <row r="61" spans="1:1" ht="20.100000000000001" customHeight="1" thickBot="1" x14ac:dyDescent="0.25">
      <c r="A61" s="9">
        <v>45953</v>
      </c>
    </row>
    <row r="62" spans="1:1" ht="20.100000000000001" customHeight="1" thickBot="1" x14ac:dyDescent="0.25">
      <c r="A62" s="9">
        <v>45954</v>
      </c>
    </row>
    <row r="63" spans="1:1" ht="20.100000000000001" customHeight="1" thickBot="1" x14ac:dyDescent="0.25">
      <c r="A63" s="9">
        <v>45955</v>
      </c>
    </row>
    <row r="64" spans="1:1" ht="20.100000000000001" customHeight="1" thickBot="1" x14ac:dyDescent="0.25">
      <c r="A64" s="9">
        <v>45956</v>
      </c>
    </row>
    <row r="65" spans="1:1" ht="20.100000000000001" customHeight="1" thickBot="1" x14ac:dyDescent="0.25">
      <c r="A65" s="9">
        <v>45957</v>
      </c>
    </row>
    <row r="66" spans="1:1" ht="20.100000000000001" customHeight="1" thickBot="1" x14ac:dyDescent="0.25">
      <c r="A66" s="9">
        <v>45958</v>
      </c>
    </row>
    <row r="67" spans="1:1" ht="20.100000000000001" customHeight="1" thickBot="1" x14ac:dyDescent="0.25">
      <c r="A67" s="9">
        <v>45959</v>
      </c>
    </row>
    <row r="68" spans="1:1" ht="20.100000000000001" customHeight="1" thickBot="1" x14ac:dyDescent="0.25">
      <c r="A68" s="9">
        <v>45960</v>
      </c>
    </row>
    <row r="69" spans="1:1" ht="20.100000000000001" customHeight="1" thickBot="1" x14ac:dyDescent="0.25">
      <c r="A69" s="9">
        <v>45961</v>
      </c>
    </row>
    <row r="70" spans="1:1" ht="20.100000000000001" customHeight="1" thickBot="1" x14ac:dyDescent="0.25">
      <c r="A70" s="9"/>
    </row>
    <row r="71" spans="1:1" ht="20.100000000000001" customHeight="1" thickBot="1" x14ac:dyDescent="0.25">
      <c r="A71" s="9"/>
    </row>
    <row r="72" spans="1:1" ht="20.100000000000001" customHeight="1" thickBot="1" x14ac:dyDescent="0.25">
      <c r="A72" s="9"/>
    </row>
    <row r="73" spans="1:1" ht="20.100000000000001" customHeight="1" thickBot="1" x14ac:dyDescent="0.25">
      <c r="A73" s="9"/>
    </row>
    <row r="74" spans="1:1" ht="20.100000000000001" customHeight="1" thickBot="1" x14ac:dyDescent="0.25">
      <c r="A74" s="9"/>
    </row>
    <row r="75" spans="1:1" ht="20.100000000000001" customHeight="1" thickBot="1" x14ac:dyDescent="0.25">
      <c r="A75" s="9"/>
    </row>
    <row r="76" spans="1:1" ht="20.100000000000001" customHeight="1" thickBot="1" x14ac:dyDescent="0.25">
      <c r="A76" s="9"/>
    </row>
    <row r="77" spans="1:1" ht="20.100000000000001" customHeight="1" thickBot="1" x14ac:dyDescent="0.25">
      <c r="A77" s="9"/>
    </row>
    <row r="78" spans="1:1" ht="20.100000000000001" customHeight="1" thickBot="1" x14ac:dyDescent="0.25">
      <c r="A78" s="9"/>
    </row>
    <row r="79" spans="1:1" ht="20.100000000000001" customHeight="1" thickBot="1" x14ac:dyDescent="0.25">
      <c r="A79" s="9"/>
    </row>
    <row r="80" spans="1:1" ht="20.100000000000001" customHeight="1" thickBot="1" x14ac:dyDescent="0.25">
      <c r="A80" s="9"/>
    </row>
    <row r="81" spans="1:1" ht="20.100000000000001" customHeight="1" thickBot="1" x14ac:dyDescent="0.25">
      <c r="A81" s="9"/>
    </row>
    <row r="82" spans="1:1" ht="20.100000000000001" customHeight="1" thickBot="1" x14ac:dyDescent="0.25">
      <c r="A82" s="9"/>
    </row>
    <row r="83" spans="1:1" ht="20.100000000000001" customHeight="1" thickBot="1" x14ac:dyDescent="0.25">
      <c r="A83" s="9"/>
    </row>
    <row r="84" spans="1:1" ht="20.100000000000001" customHeight="1" thickBot="1" x14ac:dyDescent="0.25">
      <c r="A84" s="9"/>
    </row>
    <row r="85" spans="1:1" ht="20.100000000000001" customHeight="1" thickBot="1" x14ac:dyDescent="0.25">
      <c r="A85" s="9"/>
    </row>
    <row r="86" spans="1:1" ht="20.100000000000001" customHeight="1" thickBot="1" x14ac:dyDescent="0.25">
      <c r="A86" s="9"/>
    </row>
    <row r="87" spans="1:1" ht="20.100000000000001" customHeight="1" thickBot="1" x14ac:dyDescent="0.25">
      <c r="A87" s="9"/>
    </row>
    <row r="88" spans="1:1" ht="20.100000000000001" customHeight="1" thickBot="1" x14ac:dyDescent="0.25">
      <c r="A88" s="9"/>
    </row>
    <row r="89" spans="1:1" ht="20.100000000000001" customHeight="1" thickBot="1" x14ac:dyDescent="0.25">
      <c r="A89" s="9"/>
    </row>
    <row r="90" spans="1:1" ht="20.100000000000001" customHeight="1" thickBot="1" x14ac:dyDescent="0.25">
      <c r="A90" s="9"/>
    </row>
    <row r="91" spans="1:1" ht="20.100000000000001" customHeight="1" thickBot="1" x14ac:dyDescent="0.25">
      <c r="A91" s="9"/>
    </row>
    <row r="92" spans="1:1" ht="20.100000000000001" customHeight="1" thickBot="1" x14ac:dyDescent="0.25">
      <c r="A92" s="9"/>
    </row>
    <row r="93" spans="1:1" ht="20.100000000000001" customHeight="1" thickBot="1" x14ac:dyDescent="0.25">
      <c r="A93" s="9"/>
    </row>
    <row r="94" spans="1:1" ht="20.100000000000001" customHeight="1" thickBot="1" x14ac:dyDescent="0.25">
      <c r="A94" s="9"/>
    </row>
    <row r="95" spans="1:1" ht="20.100000000000001" customHeight="1" thickBot="1" x14ac:dyDescent="0.25">
      <c r="A95" s="9"/>
    </row>
    <row r="96" spans="1:1" ht="20.100000000000001" customHeight="1" thickBot="1" x14ac:dyDescent="0.25">
      <c r="A96" s="9"/>
    </row>
    <row r="97" spans="1:9" ht="20.100000000000001" customHeight="1" thickBot="1" x14ac:dyDescent="0.25">
      <c r="A97" s="9"/>
    </row>
    <row r="98" spans="1:9" ht="20.100000000000001" customHeight="1" thickBot="1" x14ac:dyDescent="0.25">
      <c r="A98" s="9"/>
    </row>
    <row r="99" spans="1:9" ht="20.100000000000001" customHeight="1" thickBot="1" x14ac:dyDescent="0.25">
      <c r="A99" s="9"/>
    </row>
    <row r="100" spans="1:9" ht="20.100000000000001" customHeight="1" thickBot="1" x14ac:dyDescent="0.25">
      <c r="A100" s="9"/>
    </row>
    <row r="101" spans="1:9" ht="20.100000000000001" customHeight="1" thickBot="1" x14ac:dyDescent="0.25">
      <c r="A101" s="9"/>
    </row>
    <row r="102" spans="1:9" ht="20.100000000000001" customHeight="1" thickBot="1" x14ac:dyDescent="0.25">
      <c r="A102" s="9"/>
    </row>
    <row r="103" spans="1:9" ht="20.100000000000001" customHeight="1" thickBot="1" x14ac:dyDescent="0.25">
      <c r="A103" s="9"/>
    </row>
    <row r="104" spans="1:9" ht="20.100000000000001" customHeight="1" thickBot="1" x14ac:dyDescent="0.25">
      <c r="A104" s="9"/>
    </row>
    <row r="105" spans="1:9" ht="20.100000000000001" customHeight="1" thickBot="1" x14ac:dyDescent="0.25">
      <c r="A105" s="9"/>
    </row>
    <row r="106" spans="1:9" ht="20.100000000000001" customHeight="1" thickBot="1" x14ac:dyDescent="0.25">
      <c r="A106" s="9"/>
    </row>
    <row r="107" spans="1:9" ht="20.100000000000001" customHeight="1" x14ac:dyDescent="0.2">
      <c r="A107" s="10"/>
    </row>
    <row r="108" spans="1:9" ht="20.100000000000001" customHeight="1" x14ac:dyDescent="0.2">
      <c r="A108" s="10"/>
    </row>
    <row r="109" spans="1:9" s="13" customFormat="1" ht="20.100000000000001" customHeight="1" x14ac:dyDescent="0.2">
      <c r="A109" s="11"/>
      <c r="B109" s="12"/>
      <c r="C109" s="12"/>
      <c r="D109" s="12"/>
      <c r="E109" s="12"/>
      <c r="F109" s="12"/>
      <c r="G109" s="12"/>
      <c r="H109" s="12"/>
      <c r="I109" s="12"/>
    </row>
    <row r="110" spans="1:9" ht="20.100000000000001" customHeight="1" thickBot="1" x14ac:dyDescent="0.25"/>
    <row r="111" spans="1:9" ht="20.100000000000001" customHeight="1" thickBot="1" x14ac:dyDescent="0.25">
      <c r="A111" s="2" t="s">
        <v>57</v>
      </c>
    </row>
    <row r="112" spans="1:9" ht="20.100000000000001" customHeight="1" thickBot="1" x14ac:dyDescent="0.25">
      <c r="A112" s="2" t="s">
        <v>13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25">
      <c r="A198" s="2" t="s">
        <v>55</v>
      </c>
    </row>
    <row r="199" spans="1:1" ht="20.100000000000001" customHeight="1" x14ac:dyDescent="0.2">
      <c r="A199" s="16" t="s">
        <v>85</v>
      </c>
    </row>
    <row r="200" spans="1:1" ht="20.100000000000001" customHeight="1" x14ac:dyDescent="0.2">
      <c r="A200" s="16" t="s">
        <v>86</v>
      </c>
    </row>
    <row r="201" spans="1:1" ht="20.100000000000001" customHeight="1" x14ac:dyDescent="0.2">
      <c r="A201" s="16" t="s">
        <v>87</v>
      </c>
    </row>
    <row r="202" spans="1:1" ht="20.100000000000001" customHeight="1" x14ac:dyDescent="0.2">
      <c r="A202" s="16" t="s">
        <v>88</v>
      </c>
    </row>
    <row r="203" spans="1:1" ht="20.100000000000001" customHeight="1" x14ac:dyDescent="0.2">
      <c r="A203" s="16" t="s">
        <v>89</v>
      </c>
    </row>
    <row r="204" spans="1:1" ht="20.100000000000001" customHeight="1" x14ac:dyDescent="0.2">
      <c r="A204" s="16" t="s">
        <v>90</v>
      </c>
    </row>
    <row r="205" spans="1:1" ht="20.100000000000001" customHeight="1" x14ac:dyDescent="0.2">
      <c r="A205" s="16" t="s">
        <v>91</v>
      </c>
    </row>
    <row r="206" spans="1:1" ht="20.100000000000001" customHeight="1" x14ac:dyDescent="0.2">
      <c r="A206" s="16" t="s">
        <v>92</v>
      </c>
    </row>
    <row r="207" spans="1:1" ht="20.100000000000001" customHeight="1" x14ac:dyDescent="0.2">
      <c r="A207" s="16" t="s">
        <v>93</v>
      </c>
    </row>
    <row r="208" spans="1:1" ht="20.100000000000001" customHeight="1" x14ac:dyDescent="0.2">
      <c r="A208" s="17" t="s">
        <v>94</v>
      </c>
    </row>
    <row r="209" spans="1:1" ht="20.100000000000001" customHeight="1" x14ac:dyDescent="0.2">
      <c r="A209" s="17" t="s">
        <v>95</v>
      </c>
    </row>
    <row r="210" spans="1:1" ht="20.100000000000001" customHeight="1" x14ac:dyDescent="0.2">
      <c r="A210" s="16" t="s">
        <v>96</v>
      </c>
    </row>
    <row r="211" spans="1:1" ht="20.100000000000001" customHeight="1" x14ac:dyDescent="0.2">
      <c r="A211" s="16" t="s">
        <v>97</v>
      </c>
    </row>
    <row r="212" spans="1:1" ht="20.100000000000001" customHeight="1" x14ac:dyDescent="0.2">
      <c r="A212" s="16" t="s">
        <v>171</v>
      </c>
    </row>
    <row r="213" spans="1:1" ht="20.100000000000001" customHeight="1" x14ac:dyDescent="0.2">
      <c r="A213" s="16" t="s">
        <v>98</v>
      </c>
    </row>
    <row r="214" spans="1:1" ht="20.100000000000001" customHeight="1" x14ac:dyDescent="0.2">
      <c r="A214" s="16" t="s">
        <v>99</v>
      </c>
    </row>
    <row r="215" spans="1:1" ht="20.100000000000001" customHeight="1" x14ac:dyDescent="0.2">
      <c r="A215" s="16" t="s">
        <v>100</v>
      </c>
    </row>
    <row r="216" spans="1:1" ht="20.100000000000001" customHeight="1" x14ac:dyDescent="0.2">
      <c r="A216" s="16" t="s">
        <v>101</v>
      </c>
    </row>
    <row r="217" spans="1:1" ht="20.100000000000001" customHeight="1" x14ac:dyDescent="0.2">
      <c r="A217" s="16" t="s">
        <v>102</v>
      </c>
    </row>
    <row r="218" spans="1:1" ht="20.100000000000001" customHeight="1" x14ac:dyDescent="0.2">
      <c r="A218" s="16" t="s">
        <v>103</v>
      </c>
    </row>
    <row r="219" spans="1:1" ht="20.100000000000001" customHeight="1" x14ac:dyDescent="0.2">
      <c r="A219" s="16" t="s">
        <v>104</v>
      </c>
    </row>
    <row r="220" spans="1:1" ht="20.100000000000001" customHeight="1" x14ac:dyDescent="0.2">
      <c r="A220" s="16" t="s">
        <v>105</v>
      </c>
    </row>
    <row r="221" spans="1:1" ht="20.100000000000001" customHeight="1" x14ac:dyDescent="0.2">
      <c r="A221" s="16" t="s">
        <v>106</v>
      </c>
    </row>
    <row r="222" spans="1:1" ht="20.100000000000001" customHeight="1" x14ac:dyDescent="0.2">
      <c r="A222" s="16" t="s">
        <v>107</v>
      </c>
    </row>
    <row r="223" spans="1:1" ht="20.100000000000001" customHeight="1" x14ac:dyDescent="0.2">
      <c r="A223" s="16" t="s">
        <v>108</v>
      </c>
    </row>
    <row r="224" spans="1:1" ht="20.100000000000001" customHeight="1" x14ac:dyDescent="0.2">
      <c r="A224" s="16" t="s">
        <v>172</v>
      </c>
    </row>
    <row r="225" spans="1:1" ht="20.100000000000001" customHeight="1" x14ac:dyDescent="0.2">
      <c r="A225" s="16" t="s">
        <v>109</v>
      </c>
    </row>
    <row r="226" spans="1:1" ht="20.100000000000001" customHeight="1" x14ac:dyDescent="0.2">
      <c r="A226" s="16" t="s">
        <v>110</v>
      </c>
    </row>
    <row r="227" spans="1:1" ht="20.100000000000001" customHeight="1" x14ac:dyDescent="0.2">
      <c r="A227" s="16" t="s">
        <v>111</v>
      </c>
    </row>
    <row r="228" spans="1:1" ht="20.100000000000001" customHeight="1" x14ac:dyDescent="0.2">
      <c r="A228" s="16" t="s">
        <v>112</v>
      </c>
    </row>
    <row r="229" spans="1:1" ht="20.100000000000001" customHeight="1" x14ac:dyDescent="0.2">
      <c r="A229" s="16" t="s">
        <v>113</v>
      </c>
    </row>
    <row r="230" spans="1:1" ht="20.100000000000001" customHeight="1" x14ac:dyDescent="0.2">
      <c r="A230" s="16" t="s">
        <v>114</v>
      </c>
    </row>
    <row r="231" spans="1:1" ht="20.100000000000001" customHeight="1" x14ac:dyDescent="0.2">
      <c r="A231" s="16" t="s">
        <v>115</v>
      </c>
    </row>
    <row r="232" spans="1:1" ht="20.100000000000001" customHeight="1" x14ac:dyDescent="0.2">
      <c r="A232" s="16" t="s">
        <v>116</v>
      </c>
    </row>
    <row r="233" spans="1:1" ht="20.100000000000001" customHeight="1" x14ac:dyDescent="0.2">
      <c r="A233" s="16" t="s">
        <v>117</v>
      </c>
    </row>
    <row r="234" spans="1:1" ht="20.100000000000001" customHeight="1" x14ac:dyDescent="0.2">
      <c r="A234" s="16" t="s">
        <v>118</v>
      </c>
    </row>
    <row r="235" spans="1:1" ht="20.100000000000001" customHeight="1" x14ac:dyDescent="0.2">
      <c r="A235" s="16" t="s">
        <v>119</v>
      </c>
    </row>
    <row r="236" spans="1:1" ht="20.100000000000001" customHeight="1" x14ac:dyDescent="0.2">
      <c r="A236" s="18" t="s">
        <v>120</v>
      </c>
    </row>
    <row r="237" spans="1:1" ht="20.100000000000001" customHeight="1" x14ac:dyDescent="0.2">
      <c r="A237" s="16" t="s">
        <v>121</v>
      </c>
    </row>
    <row r="238" spans="1:1" ht="20.100000000000001" customHeight="1" x14ac:dyDescent="0.2">
      <c r="A238" s="16" t="s">
        <v>122</v>
      </c>
    </row>
    <row r="239" spans="1:1" ht="20.100000000000001" customHeight="1" x14ac:dyDescent="0.2">
      <c r="A239" s="16" t="s">
        <v>123</v>
      </c>
    </row>
    <row r="240" spans="1:1" ht="20.100000000000001" customHeight="1" x14ac:dyDescent="0.2">
      <c r="A240" s="16" t="s">
        <v>124</v>
      </c>
    </row>
    <row r="241" spans="1:1" ht="20.100000000000001" customHeight="1" x14ac:dyDescent="0.2">
      <c r="A241" s="16" t="s">
        <v>125</v>
      </c>
    </row>
    <row r="242" spans="1:1" ht="20.100000000000001" customHeight="1" x14ac:dyDescent="0.2">
      <c r="A242" s="16" t="s">
        <v>126</v>
      </c>
    </row>
    <row r="243" spans="1:1" ht="20.100000000000001" customHeight="1" x14ac:dyDescent="0.2">
      <c r="A243" s="16" t="s">
        <v>127</v>
      </c>
    </row>
    <row r="244" spans="1:1" ht="20.100000000000001" customHeight="1" x14ac:dyDescent="0.2">
      <c r="A244" s="16" t="s">
        <v>128</v>
      </c>
    </row>
    <row r="245" spans="1:1" ht="20.100000000000001" customHeight="1" x14ac:dyDescent="0.2">
      <c r="A245" s="16" t="s">
        <v>129</v>
      </c>
    </row>
    <row r="246" spans="1:1" ht="20.100000000000001" customHeight="1" x14ac:dyDescent="0.2">
      <c r="A246" s="16" t="s">
        <v>130</v>
      </c>
    </row>
    <row r="247" spans="1:1" ht="20.100000000000001" customHeight="1" x14ac:dyDescent="0.2">
      <c r="A247" s="16" t="s">
        <v>131</v>
      </c>
    </row>
    <row r="248" spans="1:1" ht="20.100000000000001" customHeight="1" x14ac:dyDescent="0.2">
      <c r="A248" s="16" t="s">
        <v>122</v>
      </c>
    </row>
    <row r="249" spans="1:1" ht="20.100000000000001" customHeight="1" x14ac:dyDescent="0.2">
      <c r="A249" s="16" t="s">
        <v>132</v>
      </c>
    </row>
    <row r="250" spans="1:1" ht="20.100000000000001" customHeight="1" x14ac:dyDescent="0.2">
      <c r="A250" s="16" t="s">
        <v>133</v>
      </c>
    </row>
    <row r="251" spans="1:1" ht="20.100000000000001" customHeight="1" x14ac:dyDescent="0.2">
      <c r="A251" s="18" t="s">
        <v>134</v>
      </c>
    </row>
    <row r="252" spans="1:1" ht="20.100000000000001" customHeight="1" x14ac:dyDescent="0.2">
      <c r="A252" s="19" t="s">
        <v>135</v>
      </c>
    </row>
    <row r="253" spans="1:1" ht="20.100000000000001" customHeight="1" x14ac:dyDescent="0.2">
      <c r="A253" s="16" t="s">
        <v>136</v>
      </c>
    </row>
    <row r="254" spans="1:1" ht="20.100000000000001" customHeight="1" x14ac:dyDescent="0.2">
      <c r="A254" s="16" t="s">
        <v>137</v>
      </c>
    </row>
    <row r="255" spans="1:1" ht="20.100000000000001" customHeight="1" x14ac:dyDescent="0.2">
      <c r="A255" s="20" t="s">
        <v>138</v>
      </c>
    </row>
    <row r="256" spans="1:1" ht="20.100000000000001" customHeight="1" x14ac:dyDescent="0.2">
      <c r="A256" s="20" t="s">
        <v>139</v>
      </c>
    </row>
    <row r="257" spans="1:1" ht="20.100000000000001" customHeight="1" x14ac:dyDescent="0.2">
      <c r="A257" s="21" t="s">
        <v>140</v>
      </c>
    </row>
    <row r="258" spans="1:1" ht="20.100000000000001" customHeight="1" x14ac:dyDescent="0.2">
      <c r="A258" s="16" t="s">
        <v>141</v>
      </c>
    </row>
    <row r="259" spans="1:1" ht="20.100000000000001" customHeight="1" x14ac:dyDescent="0.2">
      <c r="A259" s="21" t="s">
        <v>142</v>
      </c>
    </row>
    <row r="260" spans="1:1" ht="20.100000000000001" customHeight="1" x14ac:dyDescent="0.2">
      <c r="A260" s="16" t="s">
        <v>143</v>
      </c>
    </row>
    <row r="261" spans="1:1" ht="20.100000000000001" customHeight="1" x14ac:dyDescent="0.2">
      <c r="A261" s="21" t="s">
        <v>144</v>
      </c>
    </row>
    <row r="262" spans="1:1" ht="20.100000000000001" customHeight="1" x14ac:dyDescent="0.2">
      <c r="A262" s="16" t="s">
        <v>145</v>
      </c>
    </row>
    <row r="263" spans="1:1" ht="20.100000000000001" customHeight="1" x14ac:dyDescent="0.2">
      <c r="A263" s="16" t="s">
        <v>146</v>
      </c>
    </row>
    <row r="264" spans="1:1" ht="20.100000000000001" customHeight="1" x14ac:dyDescent="0.2">
      <c r="A264" s="21" t="s">
        <v>147</v>
      </c>
    </row>
    <row r="265" spans="1:1" ht="20.100000000000001" customHeight="1" x14ac:dyDescent="0.2">
      <c r="A265" s="21" t="s">
        <v>148</v>
      </c>
    </row>
    <row r="266" spans="1:1" ht="20.100000000000001" customHeight="1" x14ac:dyDescent="0.2">
      <c r="A266" s="21" t="s">
        <v>149</v>
      </c>
    </row>
    <row r="267" spans="1:1" ht="20.100000000000001" customHeight="1" x14ac:dyDescent="0.2">
      <c r="A267" s="16" t="s">
        <v>150</v>
      </c>
    </row>
    <row r="268" spans="1:1" ht="20.100000000000001" customHeight="1" x14ac:dyDescent="0.2">
      <c r="A268" s="16" t="s">
        <v>151</v>
      </c>
    </row>
    <row r="269" spans="1:1" ht="20.100000000000001" customHeight="1" x14ac:dyDescent="0.2">
      <c r="A269" s="16" t="s">
        <v>152</v>
      </c>
    </row>
    <row r="270" spans="1:1" ht="20.100000000000001" customHeight="1" x14ac:dyDescent="0.2">
      <c r="A270" s="16" t="s">
        <v>153</v>
      </c>
    </row>
    <row r="271" spans="1:1" ht="20.100000000000001" customHeight="1" x14ac:dyDescent="0.2">
      <c r="A271" s="21" t="s">
        <v>154</v>
      </c>
    </row>
    <row r="272" spans="1:1" ht="20.100000000000001" customHeight="1" x14ac:dyDescent="0.2">
      <c r="A272" s="21" t="s">
        <v>155</v>
      </c>
    </row>
    <row r="273" spans="1:1" ht="20.100000000000001" customHeight="1" x14ac:dyDescent="0.2">
      <c r="A273" s="16" t="s">
        <v>156</v>
      </c>
    </row>
    <row r="274" spans="1:1" ht="20.100000000000001" customHeight="1" x14ac:dyDescent="0.2">
      <c r="A274" s="21" t="s">
        <v>157</v>
      </c>
    </row>
    <row r="275" spans="1:1" ht="20.100000000000001" customHeight="1" x14ac:dyDescent="0.2">
      <c r="A275" s="21" t="s">
        <v>158</v>
      </c>
    </row>
    <row r="276" spans="1:1" ht="20.100000000000001" customHeight="1" x14ac:dyDescent="0.2">
      <c r="A276" s="16" t="s">
        <v>159</v>
      </c>
    </row>
    <row r="277" spans="1:1" ht="20.100000000000001" customHeight="1" x14ac:dyDescent="0.2">
      <c r="A277" s="16" t="s">
        <v>160</v>
      </c>
    </row>
    <row r="278" spans="1:1" ht="20.100000000000001" customHeight="1" x14ac:dyDescent="0.2">
      <c r="A278" s="21" t="s">
        <v>161</v>
      </c>
    </row>
    <row r="279" spans="1:1" ht="20.100000000000001" customHeight="1" x14ac:dyDescent="0.2">
      <c r="A279" s="16" t="s">
        <v>162</v>
      </c>
    </row>
    <row r="280" spans="1:1" ht="20.100000000000001" customHeight="1" x14ac:dyDescent="0.2">
      <c r="A280" s="16" t="s">
        <v>163</v>
      </c>
    </row>
    <row r="281" spans="1:1" ht="20.100000000000001" customHeight="1" x14ac:dyDescent="0.2">
      <c r="A281" s="16" t="s">
        <v>164</v>
      </c>
    </row>
    <row r="282" spans="1:1" ht="20.100000000000001" customHeight="1" x14ac:dyDescent="0.2">
      <c r="A282" s="16" t="s">
        <v>165</v>
      </c>
    </row>
    <row r="283" spans="1:1" ht="20.100000000000001" customHeight="1" x14ac:dyDescent="0.2">
      <c r="A283" s="21" t="s">
        <v>166</v>
      </c>
    </row>
    <row r="284" spans="1:1" ht="20.100000000000001" customHeight="1" x14ac:dyDescent="0.2">
      <c r="A284" s="21" t="s">
        <v>167</v>
      </c>
    </row>
    <row r="285" spans="1:1" ht="20.100000000000001" customHeight="1" x14ac:dyDescent="0.2">
      <c r="A285" s="21" t="s">
        <v>168</v>
      </c>
    </row>
    <row r="286" spans="1:1" ht="20.100000000000001" customHeight="1" thickBot="1" x14ac:dyDescent="0.25">
      <c r="A286" s="16" t="s">
        <v>169</v>
      </c>
    </row>
    <row r="287" spans="1:1" ht="20.100000000000001" customHeight="1" thickBot="1" x14ac:dyDescent="0.25">
      <c r="A287" s="2" t="s">
        <v>54</v>
      </c>
    </row>
    <row r="288" spans="1:1" ht="20.100000000000001" customHeight="1" thickBot="1" x14ac:dyDescent="0.25">
      <c r="A288" s="2" t="s">
        <v>54</v>
      </c>
    </row>
    <row r="289" spans="1:1" ht="20.100000000000001" customHeight="1" thickBot="1" x14ac:dyDescent="0.25">
      <c r="A289" s="2" t="s">
        <v>54</v>
      </c>
    </row>
    <row r="290" spans="1:1" ht="20.100000000000001" customHeight="1" thickBot="1" x14ac:dyDescent="0.25">
      <c r="A290" s="2" t="s">
        <v>54</v>
      </c>
    </row>
    <row r="291" spans="1:1" ht="20.100000000000001" customHeight="1" thickBot="1" x14ac:dyDescent="0.25">
      <c r="A291" s="2" t="s">
        <v>54</v>
      </c>
    </row>
    <row r="292" spans="1:1" ht="20.100000000000001" customHeight="1" thickBot="1" x14ac:dyDescent="0.25">
      <c r="A292" s="2" t="s">
        <v>54</v>
      </c>
    </row>
    <row r="293" spans="1:1" ht="20.100000000000001" customHeight="1" thickBot="1" x14ac:dyDescent="0.25">
      <c r="A293" s="2" t="s">
        <v>54</v>
      </c>
    </row>
    <row r="294" spans="1:1" ht="20.100000000000001" customHeight="1" thickBot="1" x14ac:dyDescent="0.25">
      <c r="A294" s="2" t="s">
        <v>54</v>
      </c>
    </row>
    <row r="295" spans="1:1" ht="20.100000000000001" customHeight="1" thickBot="1" x14ac:dyDescent="0.25">
      <c r="A295" s="2" t="s">
        <v>54</v>
      </c>
    </row>
    <row r="296" spans="1:1" ht="20.100000000000001" customHeight="1" thickBot="1" x14ac:dyDescent="0.25">
      <c r="A296" s="2" t="s">
        <v>54</v>
      </c>
    </row>
    <row r="297" spans="1:1" ht="20.100000000000001" customHeight="1" thickBot="1" x14ac:dyDescent="0.25">
      <c r="A297" s="2" t="s">
        <v>54</v>
      </c>
    </row>
    <row r="298" spans="1:1" ht="20.100000000000001" customHeight="1" thickBot="1" x14ac:dyDescent="0.25">
      <c r="A298" s="2" t="s">
        <v>54</v>
      </c>
    </row>
    <row r="299" spans="1:1" ht="20.100000000000001" customHeight="1" thickBot="1" x14ac:dyDescent="0.25">
      <c r="A299" s="2" t="s">
        <v>54</v>
      </c>
    </row>
    <row r="300" spans="1:1" ht="20.100000000000001" customHeight="1" thickBot="1" x14ac:dyDescent="0.25">
      <c r="A300" s="2" t="s">
        <v>54</v>
      </c>
    </row>
    <row r="301" spans="1:1" ht="20.100000000000001" customHeight="1" thickBot="1" x14ac:dyDescent="0.25">
      <c r="A301" s="2" t="s">
        <v>54</v>
      </c>
    </row>
    <row r="302" spans="1:1" ht="20.100000000000001" customHeight="1" thickBot="1" x14ac:dyDescent="0.25">
      <c r="A302" s="2" t="s">
        <v>54</v>
      </c>
    </row>
    <row r="303" spans="1:1" ht="20.100000000000001" customHeight="1" thickBot="1" x14ac:dyDescent="0.25">
      <c r="A303" s="2" t="s">
        <v>54</v>
      </c>
    </row>
    <row r="304" spans="1:1" ht="20.100000000000001" customHeight="1" thickBot="1" x14ac:dyDescent="0.25">
      <c r="A304" s="2" t="s">
        <v>54</v>
      </c>
    </row>
    <row r="305" spans="1:1" ht="20.100000000000001" customHeight="1" thickBot="1" x14ac:dyDescent="0.25">
      <c r="A305" s="2" t="s">
        <v>54</v>
      </c>
    </row>
    <row r="306" spans="1:1" ht="20.100000000000001" customHeight="1" thickBot="1" x14ac:dyDescent="0.25">
      <c r="A306" s="2" t="s">
        <v>54</v>
      </c>
    </row>
    <row r="307" spans="1:1" ht="20.100000000000001" customHeight="1" thickBot="1" x14ac:dyDescent="0.25">
      <c r="A307" s="2" t="s">
        <v>54</v>
      </c>
    </row>
    <row r="308" spans="1:1" ht="20.100000000000001" customHeight="1" thickBot="1" x14ac:dyDescent="0.25">
      <c r="A308" s="2" t="s">
        <v>54</v>
      </c>
    </row>
    <row r="309" spans="1:1" ht="20.100000000000001" customHeight="1" thickBot="1" x14ac:dyDescent="0.25">
      <c r="A309" s="2" t="s">
        <v>54</v>
      </c>
    </row>
    <row r="310" spans="1:1" ht="20.100000000000001" customHeight="1" thickBot="1" x14ac:dyDescent="0.25">
      <c r="A310" s="2" t="s">
        <v>54</v>
      </c>
    </row>
    <row r="311" spans="1:1" ht="20.100000000000001" customHeight="1" thickBot="1" x14ac:dyDescent="0.25">
      <c r="A311" s="2" t="s">
        <v>54</v>
      </c>
    </row>
    <row r="312" spans="1:1" ht="20.100000000000001" customHeight="1" thickBot="1" x14ac:dyDescent="0.25">
      <c r="A312" s="2" t="s">
        <v>54</v>
      </c>
    </row>
    <row r="313" spans="1:1" ht="20.100000000000001" customHeight="1" thickBot="1" x14ac:dyDescent="0.25">
      <c r="A313" s="2" t="s">
        <v>54</v>
      </c>
    </row>
    <row r="314" spans="1:1" ht="20.100000000000001" customHeight="1" thickBot="1" x14ac:dyDescent="0.25">
      <c r="A314" s="2" t="s">
        <v>54</v>
      </c>
    </row>
    <row r="315" spans="1:1" ht="20.100000000000001" customHeight="1" thickBot="1" x14ac:dyDescent="0.25">
      <c r="A315" s="2" t="s">
        <v>54</v>
      </c>
    </row>
    <row r="316" spans="1:1" ht="20.100000000000001" customHeight="1" thickBot="1" x14ac:dyDescent="0.25">
      <c r="A316" s="2" t="s">
        <v>54</v>
      </c>
    </row>
    <row r="317" spans="1:1" ht="20.100000000000001" customHeight="1" thickBot="1" x14ac:dyDescent="0.25">
      <c r="A317" s="2" t="s">
        <v>54</v>
      </c>
    </row>
    <row r="318" spans="1:1" ht="20.100000000000001" customHeight="1" thickBot="1" x14ac:dyDescent="0.25">
      <c r="A318" s="2" t="s">
        <v>54</v>
      </c>
    </row>
    <row r="319" spans="1:1" ht="20.100000000000001" customHeight="1" thickBot="1" x14ac:dyDescent="0.25">
      <c r="A319" s="2" t="s">
        <v>54</v>
      </c>
    </row>
    <row r="320" spans="1:1" ht="20.100000000000001" customHeight="1" thickBot="1" x14ac:dyDescent="0.25">
      <c r="A320" s="2" t="s">
        <v>54</v>
      </c>
    </row>
    <row r="321" spans="1:1" ht="20.100000000000001" customHeight="1" thickBot="1" x14ac:dyDescent="0.25">
      <c r="A321" s="2" t="s">
        <v>54</v>
      </c>
    </row>
    <row r="322" spans="1:1" ht="20.100000000000001" customHeight="1" thickBot="1" x14ac:dyDescent="0.25">
      <c r="A322" s="2" t="s">
        <v>54</v>
      </c>
    </row>
    <row r="323" spans="1:1" ht="20.100000000000001" customHeight="1" thickBot="1" x14ac:dyDescent="0.25">
      <c r="A323" s="2" t="s">
        <v>54</v>
      </c>
    </row>
    <row r="324" spans="1:1" ht="20.100000000000001" customHeight="1" thickBot="1" x14ac:dyDescent="0.25">
      <c r="A324" s="2" t="s">
        <v>54</v>
      </c>
    </row>
    <row r="325" spans="1:1" ht="20.100000000000001" customHeight="1" thickBot="1" x14ac:dyDescent="0.25">
      <c r="A325" s="2" t="s">
        <v>54</v>
      </c>
    </row>
    <row r="326" spans="1:1" ht="20.100000000000001" customHeight="1" thickBot="1" x14ac:dyDescent="0.25">
      <c r="A326" s="2" t="s">
        <v>54</v>
      </c>
    </row>
    <row r="327" spans="1:1" ht="20.100000000000001" customHeight="1" thickBot="1" x14ac:dyDescent="0.25">
      <c r="A327" s="2" t="s">
        <v>54</v>
      </c>
    </row>
    <row r="328" spans="1:1" ht="20.100000000000001" customHeight="1" thickBot="1" x14ac:dyDescent="0.25">
      <c r="A328" s="2" t="s">
        <v>54</v>
      </c>
    </row>
    <row r="329" spans="1:1" ht="20.100000000000001" customHeight="1" thickBot="1" x14ac:dyDescent="0.25">
      <c r="A329" s="2" t="s">
        <v>54</v>
      </c>
    </row>
    <row r="330" spans="1:1" ht="20.100000000000001" customHeight="1" thickBot="1" x14ac:dyDescent="0.25">
      <c r="A330" s="2" t="s">
        <v>54</v>
      </c>
    </row>
    <row r="331" spans="1:1" ht="20.100000000000001" customHeight="1" thickBot="1" x14ac:dyDescent="0.25">
      <c r="A331" s="2" t="s">
        <v>54</v>
      </c>
    </row>
    <row r="332" spans="1:1" ht="20.100000000000001" customHeight="1" thickBot="1" x14ac:dyDescent="0.25">
      <c r="A332" s="2" t="s">
        <v>54</v>
      </c>
    </row>
    <row r="333" spans="1:1" ht="20.100000000000001" customHeight="1" thickBot="1" x14ac:dyDescent="0.25">
      <c r="A333" s="2" t="s">
        <v>54</v>
      </c>
    </row>
    <row r="334" spans="1:1" ht="20.100000000000001" customHeight="1" thickBot="1" x14ac:dyDescent="0.25">
      <c r="A334" s="2" t="s">
        <v>54</v>
      </c>
    </row>
    <row r="335" spans="1:1" ht="20.100000000000001" customHeight="1" thickBot="1" x14ac:dyDescent="0.25">
      <c r="A335" s="2" t="s">
        <v>54</v>
      </c>
    </row>
    <row r="336" spans="1:1" ht="20.100000000000001" customHeight="1" thickBot="1" x14ac:dyDescent="0.25">
      <c r="A336" s="2" t="s">
        <v>54</v>
      </c>
    </row>
    <row r="337" spans="1:1" ht="20.100000000000001" customHeight="1" thickBot="1" x14ac:dyDescent="0.25">
      <c r="A337" s="2" t="s">
        <v>54</v>
      </c>
    </row>
    <row r="338" spans="1:1" ht="20.100000000000001" customHeight="1" thickBot="1" x14ac:dyDescent="0.25">
      <c r="A338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2026-09-08T07:13:10Z</dcterms:modified>
</cp:coreProperties>
</file>