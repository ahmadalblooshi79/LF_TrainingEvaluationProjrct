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F59E4A8-7C05-4F85-BBBC-A8C5789310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 s="1"/>
  <c r="G11" i="2"/>
  <c r="H11" i="2" s="1"/>
  <c r="G12" i="2"/>
  <c r="H12" i="2"/>
  <c r="G13" i="2"/>
  <c r="H13" i="2"/>
  <c r="G14" i="2"/>
  <c r="H14" i="2"/>
  <c r="G15" i="2"/>
  <c r="H15" i="2" s="1"/>
  <c r="G16" i="2"/>
  <c r="H16" i="2"/>
  <c r="G17" i="2"/>
  <c r="H17" i="2"/>
  <c r="G19" i="2"/>
  <c r="H19" i="2" s="1"/>
  <c r="G20" i="2"/>
  <c r="H20" i="2" s="1"/>
  <c r="G21" i="2"/>
  <c r="H21" i="2" s="1"/>
  <c r="G22" i="2"/>
  <c r="H22" i="2" s="1"/>
  <c r="G24" i="2"/>
  <c r="H24" i="2" s="1"/>
  <c r="G25" i="2"/>
  <c r="H25" i="2" s="1"/>
  <c r="G26" i="2"/>
  <c r="H26" i="2" s="1"/>
  <c r="G27" i="2"/>
  <c r="H27" i="2"/>
  <c r="G28" i="2"/>
  <c r="H28" i="2" s="1"/>
  <c r="G29" i="2"/>
  <c r="H29" i="2" s="1"/>
  <c r="G31" i="2"/>
  <c r="H31" i="2"/>
  <c r="G32" i="2"/>
  <c r="H32" i="2" s="1"/>
  <c r="G34" i="2"/>
  <c r="H34" i="2" s="1"/>
  <c r="G35" i="2"/>
  <c r="H35" i="2"/>
  <c r="G36" i="2"/>
  <c r="H36" i="2" s="1"/>
  <c r="G37" i="2"/>
  <c r="H37" i="2" s="1"/>
  <c r="F38" i="2"/>
  <c r="E38" i="2"/>
  <c r="E39" i="2" l="1"/>
  <c r="E40" i="2" s="1"/>
</calcChain>
</file>

<file path=xl/sharedStrings.xml><?xml version="1.0" encoding="utf-8"?>
<sst xmlns="http://schemas.openxmlformats.org/spreadsheetml/2006/main" count="275" uniqueCount="212">
  <si>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</si>
  <si>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</si>
  <si>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</si>
  <si>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</si>
  <si>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</si>
  <si>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</si>
  <si>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</si>
  <si>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</si>
  <si>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</si>
  <si>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</si>
  <si>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</si>
  <si>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</si>
  <si>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</si>
  <si>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</si>
  <si>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</si>
  <si>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</si>
  <si>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</si>
  <si>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</si>
  <si>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</si>
  <si>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</si>
  <si>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</si>
  <si>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</si>
  <si>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</si>
  <si>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</si>
  <si>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</si>
  <si>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</si>
  <si>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</si>
  <si>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</si>
  <si>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</si>
  <si>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</si>
  <si>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</si>
  <si>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</si>
  <si>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</si>
  <si>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</si>
  <si>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</si>
  <si>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</si>
  <si>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</si>
  <si>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</si>
  <si>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</si>
  <si>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</si>
  <si>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</si>
  <si>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</si>
  <si>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</si>
  <si>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</si>
  <si>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</si>
  <si>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</si>
  <si>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</si>
  <si>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</si>
  <si>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</si>
  <si>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</si>
  <si>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</si>
  <si>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</si>
  <si>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</si>
  <si>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</si>
  <si>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</si>
  <si>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</si>
  <si>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</si>
  <si>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</si>
  <si>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</si>
  <si>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</si>
  <si>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</si>
  <si>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</si>
  <si>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</si>
  <si>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</si>
  <si>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</si>
  <si>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</si>
  <si>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</si>
  <si>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</si>
  <si>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</si>
  <si>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</si>
  <si>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</si>
  <si>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</si>
  <si>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</si>
  <si>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</si>
  <si>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</si>
  <si>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</si>
  <si>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</si>
  <si>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</si>
  <si>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</si>
  <si>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</si>
  <si>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</si>
  <si>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</si>
  <si>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</si>
  <si>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</si>
  <si>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</si>
  <si>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</si>
  <si>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</si>
  <si>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</si>
  <si>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</si>
  <si>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</si>
  <si>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</si>
  <si>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</si>
  <si>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</si>
  <si>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</si>
  <si>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</si>
  <si>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</si>
  <si>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</si>
  <si>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</si>
  <si>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</si>
  <si>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</si>
  <si>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</si>
  <si>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</si>
  <si>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</si>
  <si>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</si>
  <si>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</si>
  <si>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</si>
  <si>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</si>
  <si>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</si>
  <si>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</si>
  <si>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</si>
  <si>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</si>
  <si>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</si>
  <si>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</si>
  <si>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</si>
  <si>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</si>
  <si>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</si>
  <si>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</si>
  <si>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</si>
  <si>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</si>
  <si>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</si>
  <si>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</si>
  <si>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</si>
  <si>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</si>
  <si>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</si>
  <si>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</si>
  <si>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</si>
  <si>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</si>
  <si>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</si>
  <si>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</si>
  <si>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</si>
  <si>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</si>
  <si>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</si>
  <si>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</si>
  <si>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</si>
  <si>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</si>
  <si>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</si>
  <si>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</si>
  <si>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</si>
  <si>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</si>
  <si>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</si>
  <si>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</si>
  <si>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</si>
  <si>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</si>
  <si>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</si>
  <si>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</si>
  <si>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</si>
  <si>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</si>
  <si>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</si>
  <si>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</si>
  <si>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</si>
  <si>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</si>
  <si>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</si>
  <si>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</si>
  <si>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</si>
  <si>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</si>
  <si>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</si>
  <si>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</si>
  <si>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</si>
  <si>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</si>
  <si>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</si>
  <si>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</si>
  <si>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</si>
  <si>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</si>
  <si>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</si>
  <si>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</si>
  <si>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</si>
  <si>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</si>
  <si>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</si>
  <si>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</si>
  <si>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</si>
  <si>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</si>
  <si>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</si>
  <si>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</si>
  <si>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</si>
  <si>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</si>
  <si>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</si>
  <si>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</si>
  <si>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</si>
  <si>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</si>
  <si>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</si>
  <si>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القافلة، وتشمل:</t>
    </r>
  </si>
  <si>
    <r>
      <t xml:space="preserve">أ.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</si>
  <si>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ب. وجود أمـر التنقل ودقة البيانات الواردة به.</t>
  </si>
  <si>
    <t>جـ. وجود جدول التنقل ودقة البيانات الواردة به.</t>
  </si>
  <si>
    <t>د. وجود يومية التحرك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</si>
  <si>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السيطرة).</t>
    </r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</si>
  <si>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التحرك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</si>
  <si>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</si>
  <si>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وجود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</si>
  <si>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</si>
  <si>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الشـرطة العسكرية</t>
    </r>
    <r>
      <rPr>
        <b/>
        <sz val="12"/>
        <color theme="1"/>
        <rFont val="Arial"/>
        <family val="2"/>
      </rPr>
      <t>.</t>
    </r>
  </si>
  <si>
    <t>أ. وجود برقية إخطار الشرطة العسكرية بالتحرك صادرة من المستوى الأعلى.</t>
  </si>
  <si>
    <t>ب. التأكد من التنسيق مع الشرطة المدينة حول التحرك من قبل الشرطة العسكرية.</t>
  </si>
  <si>
    <t>جـ. التأكد من عدم السماح للسيارة المدينة بالدخول بين آليات القافلة العسكرية.</t>
  </si>
  <si>
    <t>د. التأكد من جاهزية الأفراد والآليات من حيث (عدد الأفراد / الآليات، التسليح، الاتصالات، اللباس).</t>
  </si>
  <si>
    <r>
      <t>8.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.</t>
    </r>
  </si>
  <si>
    <t>أ.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</si>
  <si>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الآلية، جدول التحميل / الركوب لكل آلية.</t>
  </si>
  <si>
    <t>جـ. مدى صلاحية وجاهزية الآليات من حيث (الوقود، المياه، الإطار الاحتياطي، غطاء التمويه مع الركائز).</t>
  </si>
  <si>
    <t>د. التأكد من عدم تحميل الآليات أكثر من حمولتها أو وضع حمولة غير مرتبة بحيث توحي بأنها محملة أكثر من حمولتها.</t>
  </si>
  <si>
    <t>هـ. التأكد من تحميل ثلث ذخيرة الخط الأول لجميع الأصناف في صناديق (أثناء التنقل لتنفيذ التمارين الخارجية) مع وجود سند صرف لاستلام الذخائر.</t>
  </si>
  <si>
    <t>و.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</si>
  <si>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عند تحميل أي ذخيرة في القافلة.</t>
    </r>
  </si>
  <si>
    <t>أ. وجود سيارة إطفاء والتأكد من جاهزيتها وصلاحيتها وكفاءة طاقمها.</t>
  </si>
  <si>
    <t>ب. وجود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</si>
  <si>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u/>
        <sz val="12"/>
        <color rgb="FF000000"/>
        <rFont val="Arial"/>
        <family val="2"/>
      </rPr>
      <t>الشؤون الإدارية</t>
    </r>
    <r>
      <rPr>
        <b/>
        <sz val="12"/>
        <color rgb="FF000000"/>
        <rFont val="Arial"/>
        <family val="2"/>
      </rPr>
      <t>.</t>
    </r>
  </si>
  <si>
    <t>أ. توفر الإعاشة أثناء التنقـل.</t>
  </si>
  <si>
    <t>ب. وجود سيارة إسعاف مع طبيب /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</si>
  <si>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</si>
  <si>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وجود آلية قطر احتياط لأليات النقل الثقيلة.</t>
  </si>
  <si>
    <r>
      <rPr>
        <b/>
        <sz val="14"/>
        <color rgb="FF000000"/>
        <rFont val="Arial"/>
        <family val="2"/>
      </rPr>
      <t>تقييم التنقل الإداري لسرية الحرب الإلكترونية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</si>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</sst>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314782</xdr:colOff>
      <xdr:row>42</xdr:row>
      <xdr:rowOff>196230</xdr:rowOff>
    </xdr:from>
    <xdr:to>
      <xdr:col>8</xdr:col>
      <xdr:colOff>315502</xdr:colOff>
      <xdr:row>43</xdr:row>
      <xdr:rowOff>159797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791596-A661-5AF1-1CAD-F2A76E2D219B}"/>
                </a:ext>
              </a:extLst>
            </xdr14:cNvPr>
            <xdr14:cNvContentPartPr/>
          </xdr14:nvContentPartPr>
          <xdr14:nvPr macro=""/>
          <xdr14:xfrm>
            <a:off x="10398929404" y="20920320"/>
            <a:ext cx="720" cy="159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8791596-A661-5AF1-1CAD-F2A76E2D21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17164" y="20914200"/>
              <a:ext cx="2520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310476</xdr:colOff>
      <xdr:row>41</xdr:row>
      <xdr:rowOff>73093</xdr:rowOff>
    </xdr:from>
    <xdr:to>
      <xdr:col>8</xdr:col>
      <xdr:colOff>401902</xdr:colOff>
      <xdr:row>42</xdr:row>
      <xdr:rowOff>43950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11E9FD8-38F6-6FAD-9CD3-135941C64E7C}"/>
                </a:ext>
              </a:extLst>
            </xdr14:cNvPr>
            <xdr14:cNvContentPartPr/>
          </xdr14:nvContentPartPr>
          <xdr14:nvPr macro=""/>
          <xdr14:xfrm>
            <a:off x="10398843004" y="20150640"/>
            <a:ext cx="749520" cy="617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11E9FD8-38F6-6FAD-9CD3-135941C64E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836887" y="20144520"/>
              <a:ext cx="761754" cy="629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8:35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8,'0'311'0,"0"-179"0,0-132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8:37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1553 564 5785,'-4'0'0,"4"0"384,-2 0-136,2 0-112,0 0-136,-12-1 96,12 2 40,0-1 24,-4 0 128,4 0-288,-11 19 336,11-19 32,-2 0 16,2 0 80,0 0-464,-6-15 528,6 14 1,-4 0-65,4-1-64,0 2-400,-4-31 384,4 29-24,0-1-104,0 1-160,0 2-96,19-45-80,-17 42-152,0-5-80,0 5-128,-2 3 440,70-90-472,-66 82 64,4-2 96,0 2 136,-8 8 176,80-92-89,-74 84 57,1 0 0,3 0 32,-10 8 0,74-92-24,-66 84 56,0-1-16,-2 2 16,-6 7-32,66-64-8,-60 61 0,-2-6 8,3 7-8,-7 2 8,32-34 8,-25 33-16,-5-1-56,0 0-32,-2 2 96,33 3-168,-25-5-16,-6 1 48,0 1-8,-2 0 144,35-1-128,-33 1-8,-2 0-48,2 1 24,-2-1 160,0 13-200,0-12 40,0 2 48,0-1 16,0-2 96,-31 66 24,27-64-8,0 6-8,-4-6 24,8-2-32,-74 91 24,63-83-40,3-1 56,-2 3-24,10-10-16,-140 117 0,126-106 56,0 1-80,-3 4-16,17-16 40,-205 193-24,186-175-32,-3 2 24,1 0 24,21-20 8,-247 238 0,221-215-16,3 1 8,-4 1 8,27-25 0,-226 227-16,204-204 56,1-2-24,1-2 16,20-19-32,-150 156 8,137-141-8,-1-2 24,2-2-16,12-11-8,-115 90 16,106-80 0,-3-1-16,2-2 0,10-7 0,-97 64 16,85-62-8,4 7 48,-1-7-32,9-2-24,-76 49 24,66-47 0,2 4-8,2-4-16,6-2 0,-52 32-8,46-31-16,4 2 16,-2 0 0,4-3 8,-10 17 16,8-15 8,2-2-40,0 0 72,0 0-56,0-26 88,0 25 0,0-2 16,0-6-16,0 9-88,10-90 48,-10 83 24,2-4 8,-2 3 24,0 8-104,-14-94 152,14 86-16,-2 1 128,0-1 120,2 8-384,-64-72 673,62 64 271,-6 0-16,3-1-56,5 9-872,-57-74 616,53 66-272,-4 1-72,6 0-120,2 7-152,-17-64 33,15 60-33,0-3-57,2 4-7,0 3 64,8-62-104,-8 58-16,0-4 16,2 5-8,-2 3 112,33-34-96,-31 31-112,4 1-24,-2 2-96,-4 0 328,118 28-376,-108-26 112,2 4-16,1-3 80,-13-3 200,182 92-112,-167-84-24,1 0 48,5-1 64,-21-7 24,209 47-72,-188-44 24,1 5-24,-3-7-40,-19-1 112,170-10-88,-153 10-80,-1-2-48,-3-5-96,-13 7 312,113-61-432,-101 54-17,-2 0 81,-3 4 88,-7 3 280,16-76-144,-14 69 80,0 1 48,-2-1-8,0 7 24,-70-107 24,60 99 56,4-3 96,-3 1 384,9 10-560,-113-91 1025,101 82 231,0-1 184,0 4-151,12 6-1289,-91-50 896,79 47-160,6-1-200,-1 2-152,7 2-384,-18-1 216,14 0-88,4 1-176,0 2-40,0-2 88,22 64-128,-22-61 16,2 5 40,5-5 16,-7-3 56,82 47-32,-74-45 32,0 5-16,1-5-8,-9-2 24,92 17 0,-82-15-8,-1-2 16,-3 0-40,-6 0 32,33-16-80,-23 15-112,-10 0-128,2 0 32,-2 1 288,2-26-232,-2 23 56,0-3 8,0 2-160,0 4 328,-53-107-392,46 99 7,1-2 329,-2-1 433,8 11-377,-80-109 792,72 100 424,3 0 104,-5 1 25,10 8-1345,-26-30 1296,19 27-176,7 0-272,0 0-320,0 3-528,66-18 240,-64 17-200,12 1 0,-3 0 104,-11 0-144,218 72 232,-198-69 49,3 9 79,3-3-88,-26-9-272,265 131 168,-238-117-48,-4 2 24,4-2-88,-27-14-56,203 151 40,-183-137 0,-3 0-176,1 1-32,-18-15 168,132 152-760,-120-137-1417,-1-2-2456,3 0-5985,-14-13 10618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A34" zoomScale="130" zoomScaleNormal="100" zoomScaleSheetLayoutView="130" workbookViewId="0">
      <selection activeCell="F24" sqref="F2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2" t="s">
        <v>210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3">
      <c r="B2" s="11" t="s">
        <v>8</v>
      </c>
      <c r="C2" s="78" t="s">
        <v>14</v>
      </c>
      <c r="D2" s="78"/>
      <c r="E2" s="11" t="s">
        <v>7</v>
      </c>
      <c r="F2" s="73">
        <v>45936</v>
      </c>
      <c r="G2" s="73"/>
      <c r="H2" s="73"/>
      <c r="I2" s="73"/>
      <c r="J2" s="73"/>
    </row>
    <row r="3" spans="1:10" ht="30" customHeight="1" x14ac:dyDescent="0.3">
      <c r="B3" s="11" t="s">
        <v>9</v>
      </c>
      <c r="C3" s="78" t="s">
        <v>60</v>
      </c>
      <c r="D3" s="78"/>
      <c r="E3" s="11" t="s">
        <v>6</v>
      </c>
      <c r="F3" s="78" t="s">
        <v>123</v>
      </c>
      <c r="G3" s="78"/>
      <c r="H3" s="78"/>
      <c r="I3" s="78"/>
      <c r="J3" s="78"/>
    </row>
    <row r="4" spans="1:10" ht="30" customHeight="1" thickBot="1" x14ac:dyDescent="0.35">
      <c r="B4" s="6"/>
      <c r="C4" s="7"/>
      <c r="D4" s="7" t="s">
        <v>211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74" t="s">
        <v>0</v>
      </c>
      <c r="C5" s="75"/>
      <c r="D5" s="75"/>
      <c r="E5" s="83" t="s">
        <v>1</v>
      </c>
      <c r="F5" s="83"/>
      <c r="G5" s="83"/>
      <c r="H5" s="83"/>
      <c r="I5" s="83" t="s">
        <v>2</v>
      </c>
      <c r="J5" s="84"/>
    </row>
    <row r="6" spans="1:10" ht="24.9" customHeight="1" thickBot="1" x14ac:dyDescent="0.35">
      <c r="A6" s="9"/>
      <c r="B6" s="76"/>
      <c r="C6" s="77"/>
      <c r="D6" s="77"/>
      <c r="E6" s="10" t="s">
        <v>3</v>
      </c>
      <c r="F6" s="10" t="s">
        <v>4</v>
      </c>
      <c r="G6" s="10" t="s">
        <v>23</v>
      </c>
      <c r="H6" s="10" t="s">
        <v>24</v>
      </c>
      <c r="I6" s="85"/>
      <c r="J6" s="86"/>
    </row>
    <row r="7" spans="1:10" ht="24.9" customHeight="1" thickBot="1" x14ac:dyDescent="0.35">
      <c r="A7" s="9"/>
      <c r="B7" s="81" t="s">
        <v>21</v>
      </c>
      <c r="C7" s="82"/>
      <c r="D7" s="82"/>
      <c r="E7" s="28" t="s">
        <v>18</v>
      </c>
      <c r="F7" s="28" t="s">
        <v>19</v>
      </c>
      <c r="G7" s="28" t="s">
        <v>22</v>
      </c>
      <c r="H7" s="28" t="s">
        <v>20</v>
      </c>
      <c r="I7" s="87" t="s">
        <v>25</v>
      </c>
      <c r="J7" s="88"/>
    </row>
    <row r="8" spans="1:10" ht="39.9" customHeight="1" x14ac:dyDescent="0.3">
      <c r="A8" s="9"/>
      <c r="B8" s="44" t="s">
        <v>180</v>
      </c>
      <c r="C8" s="45"/>
      <c r="D8" s="45"/>
      <c r="E8" s="33"/>
      <c r="F8" s="34"/>
      <c r="G8" s="35"/>
      <c r="H8" s="36"/>
      <c r="I8" s="64"/>
      <c r="J8" s="65"/>
    </row>
    <row r="9" spans="1:10" ht="39.9" customHeight="1" x14ac:dyDescent="0.3">
      <c r="A9" s="9"/>
      <c r="B9" s="46" t="s">
        <v>181</v>
      </c>
      <c r="C9" s="47"/>
      <c r="D9" s="47"/>
      <c r="E9" s="32">
        <v>5</v>
      </c>
      <c r="F9" s="25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8"/>
      <c r="J9" s="59"/>
    </row>
    <row r="10" spans="1:10" ht="39.9" customHeight="1" x14ac:dyDescent="0.3">
      <c r="A10" s="9"/>
      <c r="B10" s="46" t="s">
        <v>182</v>
      </c>
      <c r="C10" s="47"/>
      <c r="D10" s="47"/>
      <c r="E10" s="32">
        <v>5</v>
      </c>
      <c r="F10" s="25">
        <v>4.25</v>
      </c>
      <c r="G10" s="30">
        <f t="shared" ref="G10:G37" si="0">IFERROR(F10/E10,"")</f>
        <v>0.85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8"/>
      <c r="J10" s="59"/>
    </row>
    <row r="11" spans="1:10" ht="39.9" customHeight="1" x14ac:dyDescent="0.3">
      <c r="A11" s="9"/>
      <c r="B11" s="46" t="s">
        <v>183</v>
      </c>
      <c r="C11" s="47"/>
      <c r="D11" s="47"/>
      <c r="E11" s="32">
        <v>5</v>
      </c>
      <c r="F11" s="25">
        <v>3.75</v>
      </c>
      <c r="G11" s="30">
        <f t="shared" si="0"/>
        <v>0.75</v>
      </c>
      <c r="H11" s="31" t="str">
        <f t="shared" si="1"/>
        <v>جيد</v>
      </c>
      <c r="I11" s="58"/>
      <c r="J11" s="59"/>
    </row>
    <row r="12" spans="1:10" ht="39.9" customHeight="1" thickBot="1" x14ac:dyDescent="0.35">
      <c r="A12" s="9"/>
      <c r="B12" s="48" t="s">
        <v>184</v>
      </c>
      <c r="C12" s="49"/>
      <c r="D12" s="49"/>
      <c r="E12" s="37">
        <v>5</v>
      </c>
      <c r="F12" s="27">
        <v>4</v>
      </c>
      <c r="G12" s="38">
        <f t="shared" si="0"/>
        <v>0.8</v>
      </c>
      <c r="H12" s="39" t="str">
        <f t="shared" si="1"/>
        <v>جيد جداً</v>
      </c>
      <c r="I12" s="60"/>
      <c r="J12" s="61"/>
    </row>
    <row r="13" spans="1:10" ht="39.9" customHeight="1" thickBot="1" x14ac:dyDescent="0.35">
      <c r="A13" s="9"/>
      <c r="B13" s="54" t="s">
        <v>185</v>
      </c>
      <c r="C13" s="55"/>
      <c r="D13" s="55"/>
      <c r="E13" s="40">
        <v>5</v>
      </c>
      <c r="F13" s="41">
        <v>3.5</v>
      </c>
      <c r="G13" s="42">
        <f t="shared" si="0"/>
        <v>0.7</v>
      </c>
      <c r="H13" s="26" t="str">
        <f t="shared" si="1"/>
        <v>جيد</v>
      </c>
      <c r="I13" s="62"/>
      <c r="J13" s="63"/>
    </row>
    <row r="14" spans="1:10" ht="54.75" customHeight="1" thickBot="1" x14ac:dyDescent="0.35">
      <c r="A14" s="9"/>
      <c r="B14" s="54" t="s">
        <v>186</v>
      </c>
      <c r="C14" s="55"/>
      <c r="D14" s="55"/>
      <c r="E14" s="40">
        <v>5</v>
      </c>
      <c r="F14" s="41">
        <v>3.5</v>
      </c>
      <c r="G14" s="42">
        <f t="shared" si="0"/>
        <v>0.7</v>
      </c>
      <c r="H14" s="26" t="str">
        <f t="shared" si="1"/>
        <v>جيد</v>
      </c>
      <c r="I14" s="62"/>
      <c r="J14" s="63"/>
    </row>
    <row r="15" spans="1:10" ht="54.75" customHeight="1" thickBot="1" x14ac:dyDescent="0.35">
      <c r="A15" s="9"/>
      <c r="B15" s="54" t="s">
        <v>187</v>
      </c>
      <c r="C15" s="55"/>
      <c r="D15" s="55"/>
      <c r="E15" s="40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62"/>
      <c r="J15" s="63"/>
    </row>
    <row r="16" spans="1:10" ht="39.9" customHeight="1" thickBot="1" x14ac:dyDescent="0.35">
      <c r="A16" s="9"/>
      <c r="B16" s="54" t="s">
        <v>188</v>
      </c>
      <c r="C16" s="55"/>
      <c r="D16" s="55"/>
      <c r="E16" s="40">
        <v>5</v>
      </c>
      <c r="F16" s="41">
        <v>3.75</v>
      </c>
      <c r="G16" s="42">
        <f t="shared" si="0"/>
        <v>0.75</v>
      </c>
      <c r="H16" s="26" t="str">
        <f t="shared" si="1"/>
        <v>جيد</v>
      </c>
      <c r="I16" s="62"/>
      <c r="J16" s="63"/>
    </row>
    <row r="17" spans="1:10" ht="39.9" customHeight="1" thickBot="1" x14ac:dyDescent="0.35">
      <c r="A17" s="9"/>
      <c r="B17" s="54" t="s">
        <v>189</v>
      </c>
      <c r="C17" s="55"/>
      <c r="D17" s="55"/>
      <c r="E17" s="40">
        <v>5</v>
      </c>
      <c r="F17" s="41">
        <v>4</v>
      </c>
      <c r="G17" s="42">
        <f t="shared" si="0"/>
        <v>0.8</v>
      </c>
      <c r="H17" s="26" t="str">
        <f t="shared" si="1"/>
        <v>جيد جداً</v>
      </c>
      <c r="I17" s="62"/>
      <c r="J17" s="63"/>
    </row>
    <row r="18" spans="1:10" ht="39.9" customHeight="1" x14ac:dyDescent="0.3">
      <c r="A18" s="9"/>
      <c r="B18" s="50" t="s">
        <v>190</v>
      </c>
      <c r="C18" s="51"/>
      <c r="D18" s="51"/>
      <c r="E18" s="43"/>
      <c r="F18" s="34"/>
      <c r="G18" s="35"/>
      <c r="H18" s="36"/>
      <c r="I18" s="64"/>
      <c r="J18" s="65"/>
    </row>
    <row r="19" spans="1:10" ht="39.9" customHeight="1" x14ac:dyDescent="0.3">
      <c r="A19" s="9"/>
      <c r="B19" s="46" t="s">
        <v>191</v>
      </c>
      <c r="C19" s="47"/>
      <c r="D19" s="47"/>
      <c r="E19" s="32">
        <v>5</v>
      </c>
      <c r="F19" s="25">
        <v>4.25</v>
      </c>
      <c r="G19" s="30">
        <f t="shared" si="0"/>
        <v>0.85</v>
      </c>
      <c r="H19" s="31" t="str">
        <f t="shared" si="1"/>
        <v>جيد جداً</v>
      </c>
      <c r="I19" s="58"/>
      <c r="J19" s="59"/>
    </row>
    <row r="20" spans="1:10" ht="39.9" customHeight="1" x14ac:dyDescent="0.3">
      <c r="A20" s="9"/>
      <c r="B20" s="46" t="s">
        <v>192</v>
      </c>
      <c r="C20" s="47"/>
      <c r="D20" s="47"/>
      <c r="E20" s="32">
        <v>0</v>
      </c>
      <c r="F20" s="25" t="s">
        <v>17</v>
      </c>
      <c r="G20" s="30" t="str">
        <f t="shared" si="0"/>
        <v/>
      </c>
      <c r="H20" s="31" t="str">
        <f t="shared" si="1"/>
        <v>تم الإلغاء</v>
      </c>
      <c r="I20" s="58"/>
      <c r="J20" s="59"/>
    </row>
    <row r="21" spans="1:10" ht="39.9" customHeight="1" x14ac:dyDescent="0.3">
      <c r="A21" s="9"/>
      <c r="B21" s="46" t="s">
        <v>193</v>
      </c>
      <c r="C21" s="47"/>
      <c r="D21" s="47"/>
      <c r="E21" s="32">
        <v>5</v>
      </c>
      <c r="F21" s="25">
        <v>3.75</v>
      </c>
      <c r="G21" s="30">
        <f t="shared" si="0"/>
        <v>0.75</v>
      </c>
      <c r="H21" s="31" t="str">
        <f t="shared" si="1"/>
        <v>جيد</v>
      </c>
      <c r="I21" s="58"/>
      <c r="J21" s="59"/>
    </row>
    <row r="22" spans="1:10" ht="39.9" customHeight="1" thickBot="1" x14ac:dyDescent="0.35">
      <c r="A22" s="9"/>
      <c r="B22" s="48" t="s">
        <v>194</v>
      </c>
      <c r="C22" s="49"/>
      <c r="D22" s="49"/>
      <c r="E22" s="37">
        <v>5</v>
      </c>
      <c r="F22" s="27">
        <v>3.75</v>
      </c>
      <c r="G22" s="38">
        <f t="shared" si="0"/>
        <v>0.75</v>
      </c>
      <c r="H22" s="39" t="str">
        <f t="shared" si="1"/>
        <v>جيد</v>
      </c>
      <c r="I22" s="60"/>
      <c r="J22" s="61"/>
    </row>
    <row r="23" spans="1:10" ht="39.9" customHeight="1" x14ac:dyDescent="0.3">
      <c r="A23" s="9"/>
      <c r="B23" s="50" t="s">
        <v>195</v>
      </c>
      <c r="C23" s="51"/>
      <c r="D23" s="51"/>
      <c r="E23" s="43"/>
      <c r="F23" s="34"/>
      <c r="G23" s="35"/>
      <c r="H23" s="36"/>
      <c r="I23" s="64"/>
      <c r="J23" s="65"/>
    </row>
    <row r="24" spans="1:10" ht="51" customHeight="1" x14ac:dyDescent="0.3">
      <c r="A24" s="9"/>
      <c r="B24" s="46" t="s">
        <v>196</v>
      </c>
      <c r="C24" s="47"/>
      <c r="D24" s="47"/>
      <c r="E24" s="32">
        <v>5</v>
      </c>
      <c r="F24" s="25">
        <v>3.5</v>
      </c>
      <c r="G24" s="30">
        <f t="shared" si="0"/>
        <v>0.7</v>
      </c>
      <c r="H24" s="31" t="str">
        <f t="shared" si="1"/>
        <v>جيد</v>
      </c>
      <c r="I24" s="58"/>
      <c r="J24" s="59"/>
    </row>
    <row r="25" spans="1:10" ht="39.9" customHeight="1" x14ac:dyDescent="0.3">
      <c r="A25" s="9"/>
      <c r="B25" s="46" t="s">
        <v>197</v>
      </c>
      <c r="C25" s="47"/>
      <c r="D25" s="47"/>
      <c r="E25" s="32">
        <v>5</v>
      </c>
      <c r="F25" s="25">
        <v>3.75</v>
      </c>
      <c r="G25" s="30">
        <f t="shared" si="0"/>
        <v>0.75</v>
      </c>
      <c r="H25" s="31" t="str">
        <f t="shared" si="1"/>
        <v>جيد</v>
      </c>
      <c r="I25" s="58"/>
      <c r="J25" s="59"/>
    </row>
    <row r="26" spans="1:10" ht="39.9" customHeight="1" x14ac:dyDescent="0.3">
      <c r="A26" s="9"/>
      <c r="B26" s="46" t="s">
        <v>198</v>
      </c>
      <c r="C26" s="47"/>
      <c r="D26" s="47"/>
      <c r="E26" s="32">
        <v>5</v>
      </c>
      <c r="F26" s="25">
        <v>3.75</v>
      </c>
      <c r="G26" s="30">
        <f t="shared" si="0"/>
        <v>0.75</v>
      </c>
      <c r="H26" s="31" t="str">
        <f t="shared" si="1"/>
        <v>جيد</v>
      </c>
      <c r="I26" s="58"/>
      <c r="J26" s="59"/>
    </row>
    <row r="27" spans="1:10" ht="39.9" customHeight="1" x14ac:dyDescent="0.3">
      <c r="A27" s="9"/>
      <c r="B27" s="46" t="s">
        <v>199</v>
      </c>
      <c r="C27" s="47"/>
      <c r="D27" s="47"/>
      <c r="E27" s="32">
        <v>5</v>
      </c>
      <c r="F27" s="25">
        <v>3.75</v>
      </c>
      <c r="G27" s="30">
        <f t="shared" si="0"/>
        <v>0.75</v>
      </c>
      <c r="H27" s="31" t="str">
        <f t="shared" si="1"/>
        <v>جيد</v>
      </c>
      <c r="I27" s="58"/>
      <c r="J27" s="59"/>
    </row>
    <row r="28" spans="1:10" ht="39.9" customHeight="1" x14ac:dyDescent="0.3">
      <c r="A28" s="9"/>
      <c r="B28" s="46" t="s">
        <v>200</v>
      </c>
      <c r="C28" s="47"/>
      <c r="D28" s="47"/>
      <c r="E28" s="32">
        <v>0</v>
      </c>
      <c r="F28" s="25" t="s">
        <v>17</v>
      </c>
      <c r="G28" s="30" t="str">
        <f t="shared" si="0"/>
        <v/>
      </c>
      <c r="H28" s="31" t="str">
        <f t="shared" si="1"/>
        <v>تم الإلغاء</v>
      </c>
      <c r="I28" s="58"/>
      <c r="J28" s="59"/>
    </row>
    <row r="29" spans="1:10" ht="39.9" customHeight="1" thickBot="1" x14ac:dyDescent="0.35">
      <c r="A29" s="9"/>
      <c r="B29" s="48" t="s">
        <v>201</v>
      </c>
      <c r="C29" s="49"/>
      <c r="D29" s="49"/>
      <c r="E29" s="37">
        <v>0</v>
      </c>
      <c r="F29" s="27" t="s">
        <v>17</v>
      </c>
      <c r="G29" s="38" t="str">
        <f t="shared" si="0"/>
        <v/>
      </c>
      <c r="H29" s="39" t="str">
        <f t="shared" si="1"/>
        <v>تم الإلغاء</v>
      </c>
      <c r="I29" s="60"/>
      <c r="J29" s="61"/>
    </row>
    <row r="30" spans="1:10" ht="39.9" customHeight="1" x14ac:dyDescent="0.3">
      <c r="A30" s="9"/>
      <c r="B30" s="50" t="s">
        <v>202</v>
      </c>
      <c r="C30" s="51"/>
      <c r="D30" s="51"/>
      <c r="E30" s="43"/>
      <c r="F30" s="34"/>
      <c r="G30" s="35"/>
      <c r="H30" s="36"/>
      <c r="I30" s="64"/>
      <c r="J30" s="65"/>
    </row>
    <row r="31" spans="1:10" ht="39.9" customHeight="1" x14ac:dyDescent="0.3">
      <c r="A31" s="9"/>
      <c r="B31" s="46" t="s">
        <v>203</v>
      </c>
      <c r="C31" s="47"/>
      <c r="D31" s="47"/>
      <c r="E31" s="32">
        <v>0</v>
      </c>
      <c r="F31" s="25" t="s">
        <v>17</v>
      </c>
      <c r="G31" s="30" t="str">
        <f t="shared" si="0"/>
        <v/>
      </c>
      <c r="H31" s="31" t="str">
        <f t="shared" si="1"/>
        <v>تم الإلغاء</v>
      </c>
      <c r="I31" s="58"/>
      <c r="J31" s="59"/>
    </row>
    <row r="32" spans="1:10" ht="39.9" customHeight="1" thickBot="1" x14ac:dyDescent="0.35">
      <c r="A32" s="9"/>
      <c r="B32" s="48" t="s">
        <v>204</v>
      </c>
      <c r="C32" s="49"/>
      <c r="D32" s="49"/>
      <c r="E32" s="37">
        <v>0</v>
      </c>
      <c r="F32" s="27" t="s">
        <v>17</v>
      </c>
      <c r="G32" s="38" t="str">
        <f t="shared" si="0"/>
        <v/>
      </c>
      <c r="H32" s="39" t="str">
        <f t="shared" si="1"/>
        <v>تم الإلغاء</v>
      </c>
      <c r="I32" s="60"/>
      <c r="J32" s="61"/>
    </row>
    <row r="33" spans="1:10" ht="39.9" customHeight="1" x14ac:dyDescent="0.3">
      <c r="A33" s="9"/>
      <c r="B33" s="44" t="s">
        <v>205</v>
      </c>
      <c r="C33" s="45"/>
      <c r="D33" s="45"/>
      <c r="E33" s="43"/>
      <c r="F33" s="34"/>
      <c r="G33" s="35"/>
      <c r="H33" s="36"/>
      <c r="I33" s="64"/>
      <c r="J33" s="65"/>
    </row>
    <row r="34" spans="1:10" ht="39.9" customHeight="1" x14ac:dyDescent="0.3">
      <c r="A34" s="9"/>
      <c r="B34" s="46" t="s">
        <v>206</v>
      </c>
      <c r="C34" s="47"/>
      <c r="D34" s="47"/>
      <c r="E34" s="32">
        <v>5</v>
      </c>
      <c r="F34" s="25">
        <v>3.5</v>
      </c>
      <c r="G34" s="30">
        <f t="shared" si="0"/>
        <v>0.7</v>
      </c>
      <c r="H34" s="31" t="str">
        <f t="shared" si="1"/>
        <v>جيد</v>
      </c>
      <c r="I34" s="58"/>
      <c r="J34" s="59"/>
    </row>
    <row r="35" spans="1:10" ht="39.9" customHeight="1" x14ac:dyDescent="0.3">
      <c r="A35" s="9"/>
      <c r="B35" s="46" t="s">
        <v>207</v>
      </c>
      <c r="C35" s="47"/>
      <c r="D35" s="47"/>
      <c r="E35" s="32">
        <v>0</v>
      </c>
      <c r="F35" s="25" t="s">
        <v>17</v>
      </c>
      <c r="G35" s="30" t="str">
        <f t="shared" si="0"/>
        <v/>
      </c>
      <c r="H35" s="31" t="str">
        <f t="shared" si="1"/>
        <v>تم الإلغاء</v>
      </c>
      <c r="I35" s="58"/>
      <c r="J35" s="59"/>
    </row>
    <row r="36" spans="1:10" ht="39.9" customHeight="1" x14ac:dyDescent="0.3">
      <c r="A36" s="9"/>
      <c r="B36" s="46" t="s">
        <v>208</v>
      </c>
      <c r="C36" s="47"/>
      <c r="D36" s="47"/>
      <c r="E36" s="32">
        <v>5</v>
      </c>
      <c r="F36" s="25">
        <v>3.75</v>
      </c>
      <c r="G36" s="30">
        <f t="shared" si="0"/>
        <v>0.75</v>
      </c>
      <c r="H36" s="31" t="str">
        <f t="shared" si="1"/>
        <v>جيد</v>
      </c>
      <c r="I36" s="58"/>
      <c r="J36" s="59"/>
    </row>
    <row r="37" spans="1:10" ht="39.9" customHeight="1" thickBot="1" x14ac:dyDescent="0.35">
      <c r="A37" s="9"/>
      <c r="B37" s="48" t="s">
        <v>209</v>
      </c>
      <c r="C37" s="49"/>
      <c r="D37" s="49"/>
      <c r="E37" s="37">
        <v>0</v>
      </c>
      <c r="F37" s="27" t="s">
        <v>17</v>
      </c>
      <c r="G37" s="38" t="str">
        <f t="shared" si="0"/>
        <v/>
      </c>
      <c r="H37" s="39" t="str">
        <f t="shared" si="1"/>
        <v>تم الإلغاء</v>
      </c>
      <c r="I37" s="60"/>
      <c r="J37" s="61"/>
    </row>
    <row r="38" spans="1:10" ht="30" customHeight="1" thickBot="1" x14ac:dyDescent="0.35">
      <c r="A38" s="4"/>
      <c r="B38" s="52" t="s">
        <v>5</v>
      </c>
      <c r="C38" s="53"/>
      <c r="D38" s="53"/>
      <c r="E38" s="29">
        <f>SUM(E8:E37)</f>
        <v>90</v>
      </c>
      <c r="F38" s="29">
        <f>SUM(F8:F37)</f>
        <v>68.25</v>
      </c>
      <c r="G38" s="91"/>
      <c r="H38" s="92"/>
      <c r="I38" s="92"/>
      <c r="J38" s="93"/>
    </row>
    <row r="39" spans="1:10" ht="30" customHeight="1" thickBot="1" x14ac:dyDescent="0.35">
      <c r="A39" s="4"/>
      <c r="B39" s="56" t="s">
        <v>54</v>
      </c>
      <c r="C39" s="57"/>
      <c r="D39" s="57"/>
      <c r="E39" s="79">
        <f>F38/E38/100*100</f>
        <v>0.7583333333333333</v>
      </c>
      <c r="F39" s="79"/>
      <c r="G39" s="79"/>
      <c r="H39" s="79"/>
      <c r="I39" s="79"/>
      <c r="J39" s="80"/>
    </row>
    <row r="40" spans="1:10" ht="30" customHeight="1" thickBot="1" x14ac:dyDescent="0.35">
      <c r="A40" s="4"/>
      <c r="B40" s="56" t="s">
        <v>55</v>
      </c>
      <c r="C40" s="57"/>
      <c r="D40" s="57"/>
      <c r="E40" s="70" t="str">
        <f>_xlfn.IFS(E39&gt;=90%,"ممتاز",E39&gt;=80%,"جيد جداً",E39&gt;=70%,"جيد",E39&gt;=60%,"مقبول",E39&lt;60%,"راسب")</f>
        <v>جيد</v>
      </c>
      <c r="F40" s="70"/>
      <c r="G40" s="70"/>
      <c r="H40" s="70"/>
      <c r="I40" s="70"/>
      <c r="J40" s="71"/>
    </row>
    <row r="41" spans="1:10" ht="42" customHeight="1" x14ac:dyDescent="0.3">
      <c r="B41" s="66" t="s">
        <v>174</v>
      </c>
      <c r="C41" s="66"/>
      <c r="D41" s="66"/>
      <c r="E41" s="89" t="s">
        <v>52</v>
      </c>
      <c r="F41" s="89"/>
      <c r="G41" s="68" t="s">
        <v>123</v>
      </c>
      <c r="H41" s="68"/>
      <c r="I41" s="68"/>
      <c r="J41" s="68"/>
    </row>
    <row r="42" spans="1:10" ht="51" customHeight="1" x14ac:dyDescent="0.3">
      <c r="A42" s="5"/>
      <c r="B42" s="67"/>
      <c r="C42" s="67"/>
      <c r="D42" s="67"/>
      <c r="E42" s="90" t="s">
        <v>53</v>
      </c>
      <c r="F42" s="90"/>
      <c r="G42" s="69"/>
      <c r="H42" s="69"/>
      <c r="I42" s="69"/>
      <c r="J42" s="69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  <mergeCell ref="I5:J6"/>
    <mergeCell ref="I7:J7"/>
    <mergeCell ref="I10:J10"/>
    <mergeCell ref="I19:J19"/>
    <mergeCell ref="I20:J20"/>
    <mergeCell ref="I8:J8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18:D18"/>
    <mergeCell ref="B19:D19"/>
    <mergeCell ref="B20:D20"/>
    <mergeCell ref="B21:D21"/>
    <mergeCell ref="B38:D38"/>
    <mergeCell ref="B13:D13"/>
    <mergeCell ref="B14:D14"/>
    <mergeCell ref="B15:D15"/>
    <mergeCell ref="B16:D16"/>
    <mergeCell ref="B17:D17"/>
    <mergeCell ref="B22:D22"/>
    <mergeCell ref="B23:D23"/>
    <mergeCell ref="B35:D35"/>
    <mergeCell ref="B36:D36"/>
    <mergeCell ref="B37:D37"/>
    <mergeCell ref="B26:D26"/>
    <mergeCell ref="B27:D27"/>
    <mergeCell ref="B8:D8"/>
    <mergeCell ref="B9:D9"/>
    <mergeCell ref="B10:D10"/>
    <mergeCell ref="B11:D11"/>
    <mergeCell ref="B12:D12"/>
    <mergeCell ref="B33:D33"/>
    <mergeCell ref="B34:D34"/>
    <mergeCell ref="B24:D24"/>
    <mergeCell ref="B25:D25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F31:F32 F24:F29 F19:F22 F9:F17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2025-10-21T18:04:40Z</dcterms:modified>
</cp:coreProperties>
</file>