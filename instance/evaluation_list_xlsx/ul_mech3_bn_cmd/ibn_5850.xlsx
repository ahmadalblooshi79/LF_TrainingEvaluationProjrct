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8A6FD707-F06C-4BE9-B027-CD47D111AB49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التقييم'!$A$1:$J$54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1" i="2"/>
  <c r="H31" i="2" s="1"/>
  <c r="G32" i="2"/>
  <c r="H32" i="2" s="1"/>
  <c r="G33" i="2"/>
  <c r="H33" i="2" s="1"/>
  <c r="G34" i="2"/>
  <c r="H34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5" i="2"/>
  <c r="H45" i="2" s="1"/>
  <c r="G46" i="2"/>
  <c r="H46" i="2" s="1"/>
  <c r="G47" i="2"/>
  <c r="H47" i="2" s="1"/>
  <c r="G48" i="2"/>
  <c r="H48" i="2" s="1"/>
  <c r="G49" i="2"/>
  <c r="H49" i="2" s="1"/>
  <c r="F50" i="2" l="1"/>
  <c r="E50" i="2" l="1"/>
  <c r="E51" i="2" l="1"/>
  <c r="E52" i="2" s="1"/>
</calcChain>
</file>

<file path=xl/sharedStrings.xml><?xml version="1.0" encoding="utf-8"?>
<sst xmlns="http://schemas.openxmlformats.org/spreadsheetml/2006/main" count="108" uniqueCount="71">
  <si>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</si>
  <si>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</si>
  <si>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</si>
  <si>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</si>
  <si>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</si>
  <si>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</si>
  <si>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</si>
  <si>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</si>
  <si>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</si>
  <si>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</si>
  <si>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</si>
  <si>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</si>
  <si>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</si>
  <si>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</si>
  <si>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</si>
  <si>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</si>
  <si>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</si>
  <si>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</si>
  <si>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</si>
  <si>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</si>
  <si>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</si>
  <si>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</si>
  <si>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</si>
  <si>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</si>
  <si>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</si>
  <si>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</si>
  <si>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</si>
  <si>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</si>
  <si>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مرحلة التخطيط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</si>
  <si>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تستلم قيادة وحدة المناورة أمر العمليات ويتم البدء بالتخطيط للعملية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</si>
  <si>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الاستطلاع من الخارطة أو تنفيذ الاستطلاع من الأرض إن أمكن لتحديد منطقة تجمع أولية لقيادة وحدة المناورة والوحدات المرؤوسة.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</si>
  <si>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اختيار منطقة التجمع لوحدة المناورة التي يجب أن توفر ما يلي:</t>
    </r>
  </si>
  <si>
    <t>أ. أن تكون خارج مدى مراقبة العدو الأرضية من مواقعه الأمامية.</t>
  </si>
  <si>
    <t>ب. أن تكون محمية ومستورة.</t>
  </si>
  <si>
    <t>د. لها مداخل ومخارج جيدة.</t>
  </si>
  <si>
    <t>هـ. أن يتم وضع الإشارات والعلامات فيها بعناية وحذر.</t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</si>
  <si>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تقوم قيادة وحدة المناورة بتحديد موقع لكل وحدة مرؤوسة في منطقة التجمع.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</si>
  <si>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اختيار جماعة المأوى.</t>
    </r>
  </si>
  <si>
    <t>ب. إعداد تعليمات جماعة المأوى.</t>
  </si>
  <si>
    <t>جـ. تعيين عدد كافي من الأفراد للقيام باختيار وتأشير الطرق، توجيه الجسم الرئيسي نحو مواقعه وحماية المنطقة.</t>
  </si>
  <si>
    <r>
      <t>6.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تحديد نظام المسير الذي يساعد على الاحتلال السريع لمنطقة التجمع.</t>
    </r>
  </si>
  <si>
    <r>
      <t>7.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إعداد خطة للدفاع عن منطقة التجمع.</t>
    </r>
  </si>
  <si>
    <r>
      <t>8.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تحديد أولوية العمل وتوفير أعمال الصيانة وإعادة التزويد.</t>
    </r>
  </si>
  <si>
    <r>
      <t>9.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التخطيط لاحتلال منطقة التجمع في الوقت الذي تكون فيه الرؤية محدودة إن أمكن (مثل ساعات الظلام).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</si>
  <si>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دمج ومزامنة الوظائف القتالية بناءً على متغيرات المهمة.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</si>
  <si>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تنفيذ إدارة المخاطر.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</si>
  <si>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إصدار الأوامر للوحدات المرؤوسة.</t>
    </r>
  </si>
  <si>
    <r>
      <t>13.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تقديم إيجازات تأكيدية من القادة المرؤوسين فور استلامهم للأوامر للتأكد من فهمهم لقصد القائد ومفهوم عملياته.</t>
    </r>
  </si>
  <si>
    <t>مرحلة التحضير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</si>
  <si>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تنقيح الخطة بناءً على التحديثات الاستخبارية المستمرة.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</si>
  <si>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تنفيذ تفقدات وتفتيشات ما قبل المعركة.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</si>
  <si>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الإشراف على إجراءات الوحدات المرؤوسة للتأكد من أن جهود التخطيط والتحضير تجري في الاتجاه الصحيح وتتوافق مع قصد القائد.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</si>
  <si>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إجراء التجارب خلال ساعات النهار وفي ظل ظروف الرؤية المحدودة إن أمكن.</t>
    </r>
  </si>
  <si>
    <t>مرحلة التنفيذ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</si>
  <si>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إرسال جماعة المأوى لمنطقة التجمع.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</si>
  <si>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حركة الجسم الرئيسي واحتلال منطقة التجمع حسب الخطة الموضوعة.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</si>
  <si>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تطبيق إجراءات حماية القوات أثناء الحركة.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</si>
  <si>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تنظيم الدخول لمنطقة التجمع بنظام الأرتال للسرايا وحسب تسلسل بدء الحركة ونظام المسير لكل وحدة وتحتل كل سرية قطاع محدد.  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</si>
  <si>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السيطرة على الطرق المؤدية من وإلى منطقة التجمع.</t>
    </r>
  </si>
  <si>
    <r>
      <t>6.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توضيع عناصر الإسناد القتالي مع الوحدات المرؤوسة التي ستقوم بإسنادها.</t>
    </r>
  </si>
  <si>
    <r>
      <t>7.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توضيع مركز القيادة والنقليات في منتصف منطقة التجمع.</t>
    </r>
  </si>
  <si>
    <r>
      <t>8.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توضيع أسلحة الهاون (إن وُجدت) بناءً على مسافات الاستخدام.</t>
    </r>
  </si>
  <si>
    <r>
      <t>9.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تنفيذ الأعمال التالية في منطقة التجمع حسب الأولوية والأوامر التعبوية المستديمة:</t>
    </r>
  </si>
  <si>
    <t>ب. تأكيد تفهم الأوامر وخطة العملية القادمة.</t>
  </si>
  <si>
    <t>جـ. إعادة تزويد الآليات في حال كانت المسافة بعيدة بين منطقة الحشد والتجمع أو كانت الأرض وعرة وساعات تشغيل الآليات طويلة.</t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</si>
  <si>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يتم المكوث في منطقة التجمع أقل وقت ممكن لتنفيذ الواجبات والعمل بشكل متوازي لجميع القطعات لتحقيق أقل وقت ممكن في منطقة التجمع.</t>
    </r>
  </si>
  <si>
    <t>جـ.	مسافات الانتشار. يتم انتشار الوحدات في منطقة الحشد بحيث تحقق كثافة انتشار بمعدل ( 40 ) آلية لكل ( 1 ) كم² ومسافة (200) متر بين كل آلية وحسب المساحات التالية :
       (1)    انتشار كتيبة  2 × 2 = 4 كم².
       (2)    انتشار مجموعة القتال  2 × 3 = 6 كم².
       (3)    انتشار لواء  4 × 4 = 16 كم².
       (4)    انتشار مجموعة لواء 4 × 6 = 24 كم².</t>
  </si>
  <si>
    <t>أ.   الدفاع الدائري ودفع نقاط الحراسات والإنذار المبكر.</t>
  </si>
  <si>
    <t>د.  استطلاع القادة لمواقع العدو للتأكيد على الخطة.</t>
  </si>
  <si>
    <t>أ.   تحديد قائد جماعة المأوى.</t>
  </si>
  <si>
    <t>تقييم احتلال الكتيبة / مجموعة القتال لمنطقة التجمع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</si>
</sst>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0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B8CCE4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2"/>
    </xf>
    <xf numFmtId="0" fontId="2" fillId="4" borderId="11" xfId="0" applyFont="1" applyFill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8" fillId="4" borderId="21" xfId="0" applyFont="1" applyFill="1" applyBorder="1" applyAlignment="1">
      <alignment horizontal="right" vertical="center" wrapText="1" indent="1" readingOrder="2"/>
    </xf>
    <xf numFmtId="0" fontId="8" fillId="4" borderId="2" xfId="0" applyFont="1" applyFill="1" applyBorder="1" applyAlignment="1">
      <alignment horizontal="right" vertical="center" wrapText="1" indent="1" readingOrder="2"/>
    </xf>
    <xf numFmtId="0" fontId="8" fillId="4" borderId="21" xfId="0" applyFont="1" applyFill="1" applyBorder="1" applyAlignment="1">
      <alignment horizontal="right" vertical="center" wrapText="1" indent="3" readingOrder="2"/>
    </xf>
    <xf numFmtId="0" fontId="8" fillId="4" borderId="2" xfId="0" applyFont="1" applyFill="1" applyBorder="1" applyAlignment="1">
      <alignment horizontal="right" vertical="center" wrapText="1" indent="3" readingOrder="2"/>
    </xf>
    <xf numFmtId="0" fontId="8" fillId="4" borderId="10" xfId="0" applyFont="1" applyFill="1" applyBorder="1" applyAlignment="1">
      <alignment horizontal="right" vertical="center" wrapText="1" indent="1" readingOrder="2"/>
    </xf>
    <xf numFmtId="0" fontId="8" fillId="4" borderId="11" xfId="0" applyFont="1" applyFill="1" applyBorder="1" applyAlignment="1">
      <alignment horizontal="right" vertical="center" wrapText="1" indent="1" readingOrder="2"/>
    </xf>
    <xf numFmtId="0" fontId="3" fillId="5" borderId="22" xfId="0" applyFont="1" applyFill="1" applyBorder="1" applyAlignment="1">
      <alignment vertical="center" wrapText="1" readingOrder="2"/>
    </xf>
    <xf numFmtId="0" fontId="3" fillId="5" borderId="23" xfId="0" applyFont="1" applyFill="1" applyBorder="1" applyAlignment="1">
      <alignment vertical="center" wrapText="1" readingOrder="2"/>
    </xf>
    <xf numFmtId="0" fontId="3" fillId="5" borderId="24" xfId="0" applyFont="1" applyFill="1" applyBorder="1" applyAlignment="1">
      <alignment vertical="center" wrapText="1" readingOrder="2"/>
    </xf>
    <xf numFmtId="0" fontId="3" fillId="6" borderId="22" xfId="0" applyFont="1" applyFill="1" applyBorder="1" applyAlignment="1">
      <alignment vertical="center" wrapText="1" readingOrder="2"/>
    </xf>
    <xf numFmtId="0" fontId="3" fillId="6" borderId="23" xfId="0" applyFont="1" applyFill="1" applyBorder="1" applyAlignment="1">
      <alignment vertical="center" wrapText="1" readingOrder="2"/>
    </xf>
    <xf numFmtId="0" fontId="3" fillId="6" borderId="24" xfId="0" applyFont="1" applyFill="1" applyBorder="1" applyAlignment="1">
      <alignment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19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6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3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4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2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8" t="s">
        <v>70</v>
      </c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2">
      <c r="B2" s="10" t="s">
        <v>8</v>
      </c>
      <c r="C2" s="52" t="s">
        <v>23</v>
      </c>
      <c r="D2" s="52"/>
      <c r="E2" s="10" t="s">
        <v>7</v>
      </c>
      <c r="F2" s="47" t="s">
        <v>22</v>
      </c>
      <c r="G2" s="47"/>
      <c r="H2" s="47"/>
      <c r="I2" s="47"/>
      <c r="J2" s="47"/>
    </row>
    <row r="3" spans="1:10" ht="30" customHeight="1" x14ac:dyDescent="0.2">
      <c r="B3" s="10" t="s">
        <v>9</v>
      </c>
      <c r="C3" s="52" t="s">
        <v>25</v>
      </c>
      <c r="D3" s="52"/>
      <c r="E3" s="10" t="s">
        <v>6</v>
      </c>
      <c r="F3" s="52" t="s">
        <v>24</v>
      </c>
      <c r="G3" s="52"/>
      <c r="H3" s="52"/>
      <c r="I3" s="52"/>
      <c r="J3" s="52"/>
    </row>
    <row r="4" spans="1:10" ht="30" customHeight="1" thickBot="1" x14ac:dyDescent="0.25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">
      <c r="A5" s="8"/>
      <c r="B5" s="48" t="s">
        <v>0</v>
      </c>
      <c r="C5" s="49"/>
      <c r="D5" s="49"/>
      <c r="E5" s="57" t="s">
        <v>1</v>
      </c>
      <c r="F5" s="57"/>
      <c r="G5" s="57"/>
      <c r="H5" s="57"/>
      <c r="I5" s="57" t="s">
        <v>2</v>
      </c>
      <c r="J5" s="58"/>
    </row>
    <row r="6" spans="1:10" ht="24.95" customHeight="1" thickBot="1" x14ac:dyDescent="0.25">
      <c r="A6" s="8"/>
      <c r="B6" s="50"/>
      <c r="C6" s="51"/>
      <c r="D6" s="51"/>
      <c r="E6" s="9" t="s">
        <v>3</v>
      </c>
      <c r="F6" s="9" t="s">
        <v>4</v>
      </c>
      <c r="G6" s="9" t="s">
        <v>15</v>
      </c>
      <c r="H6" s="9" t="s">
        <v>16</v>
      </c>
      <c r="I6" s="59"/>
      <c r="J6" s="60"/>
    </row>
    <row r="7" spans="1:10" ht="24.95" customHeight="1" thickBot="1" x14ac:dyDescent="0.25">
      <c r="A7" s="8"/>
      <c r="B7" s="55" t="s">
        <v>13</v>
      </c>
      <c r="C7" s="56"/>
      <c r="D7" s="56"/>
      <c r="E7" s="13" t="s">
        <v>10</v>
      </c>
      <c r="F7" s="13" t="s">
        <v>11</v>
      </c>
      <c r="G7" s="13" t="s">
        <v>14</v>
      </c>
      <c r="H7" s="13" t="s">
        <v>12</v>
      </c>
      <c r="I7" s="61" t="s">
        <v>17</v>
      </c>
      <c r="J7" s="62"/>
    </row>
    <row r="8" spans="1:10" ht="30" customHeight="1" x14ac:dyDescent="0.2">
      <c r="A8" s="8"/>
      <c r="B8" s="27" t="s">
        <v>28</v>
      </c>
      <c r="C8" s="28"/>
      <c r="D8" s="28"/>
      <c r="E8" s="28"/>
      <c r="F8" s="28"/>
      <c r="G8" s="28"/>
      <c r="H8" s="28"/>
      <c r="I8" s="28"/>
      <c r="J8" s="29"/>
    </row>
    <row r="9" spans="1:10" ht="64.5" customHeight="1" x14ac:dyDescent="0.2">
      <c r="A9" s="8"/>
      <c r="B9" s="21" t="s">
        <v>29</v>
      </c>
      <c r="C9" s="22"/>
      <c r="D9" s="22"/>
      <c r="E9" s="17">
        <v>5</v>
      </c>
      <c r="F9" s="11" t="s">
        <v>26</v>
      </c>
      <c r="G9" s="15" t="str">
        <f>IFERROR(F9/E9,"")</f>
        <v/>
      </c>
      <c r="H9" s="16" t="str">
        <f>_xlfn.IFS(F9="أدخل العلامة","",F9="لا ينطبق","تم الإلغاء",G9&gt;=90%,"ممتاز",G9&gt;=80%,"جيد جداً",G9&gt;=70%,"جيد",G9&gt;=60%,"مقبول",G9&lt;60%,"راسب")</f>
        <v/>
      </c>
      <c r="I9" s="33"/>
      <c r="J9" s="34"/>
    </row>
    <row r="10" spans="1:10" ht="39.950000000000003" customHeight="1" x14ac:dyDescent="0.2">
      <c r="A10" s="8"/>
      <c r="B10" s="21" t="s">
        <v>30</v>
      </c>
      <c r="C10" s="22"/>
      <c r="D10" s="22"/>
      <c r="E10" s="17">
        <v>5</v>
      </c>
      <c r="F10" s="11" t="s">
        <v>26</v>
      </c>
      <c r="G10" s="15" t="str">
        <f t="shared" ref="G10:G49" si="0">IFERROR(F10/E10,"")</f>
        <v/>
      </c>
      <c r="H10" s="16" t="str">
        <f t="shared" ref="H10:H49" si="1">_xlfn.IFS(F10="أدخل العلامة","",F10="لا ينطبق","تم الإلغاء",G10&gt;=90%,"ممتاز",G10&gt;=80%,"جيد جداً",G10&gt;=70%,"جيد",G10&gt;=60%,"مقبول",G10&lt;60%,"راسب")</f>
        <v/>
      </c>
      <c r="I10" s="33"/>
      <c r="J10" s="34"/>
    </row>
    <row r="11" spans="1:10" ht="30" customHeight="1" x14ac:dyDescent="0.2">
      <c r="A11" s="8"/>
      <c r="B11" s="21" t="s">
        <v>31</v>
      </c>
      <c r="C11" s="22"/>
      <c r="D11" s="22"/>
      <c r="E11" s="17"/>
      <c r="F11" s="11"/>
      <c r="G11" s="15"/>
      <c r="H11" s="16"/>
      <c r="I11" s="33"/>
      <c r="J11" s="34"/>
    </row>
    <row r="12" spans="1:10" ht="30" customHeight="1" x14ac:dyDescent="0.2">
      <c r="A12" s="8"/>
      <c r="B12" s="23" t="s">
        <v>32</v>
      </c>
      <c r="C12" s="24"/>
      <c r="D12" s="24"/>
      <c r="E12" s="17">
        <v>5</v>
      </c>
      <c r="F12" s="11" t="s">
        <v>26</v>
      </c>
      <c r="G12" s="15" t="str">
        <f t="shared" si="0"/>
        <v/>
      </c>
      <c r="H12" s="16" t="str">
        <f t="shared" si="1"/>
        <v/>
      </c>
      <c r="I12" s="33"/>
      <c r="J12" s="34"/>
    </row>
    <row r="13" spans="1:10" ht="30" customHeight="1" x14ac:dyDescent="0.2">
      <c r="A13" s="8"/>
      <c r="B13" s="23" t="s">
        <v>33</v>
      </c>
      <c r="C13" s="24"/>
      <c r="D13" s="24"/>
      <c r="E13" s="17">
        <v>5</v>
      </c>
      <c r="F13" s="11" t="s">
        <v>26</v>
      </c>
      <c r="G13" s="15" t="str">
        <f t="shared" si="0"/>
        <v/>
      </c>
      <c r="H13" s="16" t="str">
        <f t="shared" si="1"/>
        <v/>
      </c>
      <c r="I13" s="33"/>
      <c r="J13" s="34"/>
    </row>
    <row r="14" spans="1:10" ht="117" customHeight="1" x14ac:dyDescent="0.2">
      <c r="A14" s="8"/>
      <c r="B14" s="23" t="s">
        <v>66</v>
      </c>
      <c r="C14" s="24"/>
      <c r="D14" s="24"/>
      <c r="E14" s="17">
        <v>10</v>
      </c>
      <c r="F14" s="11" t="s">
        <v>26</v>
      </c>
      <c r="G14" s="15" t="str">
        <f t="shared" si="0"/>
        <v/>
      </c>
      <c r="H14" s="16" t="str">
        <f t="shared" si="1"/>
        <v/>
      </c>
      <c r="I14" s="33"/>
      <c r="J14" s="34"/>
    </row>
    <row r="15" spans="1:10" ht="30" customHeight="1" x14ac:dyDescent="0.2">
      <c r="A15" s="8"/>
      <c r="B15" s="23" t="s">
        <v>34</v>
      </c>
      <c r="C15" s="24"/>
      <c r="D15" s="24"/>
      <c r="E15" s="17">
        <v>5</v>
      </c>
      <c r="F15" s="11" t="s">
        <v>26</v>
      </c>
      <c r="G15" s="15" t="str">
        <f t="shared" si="0"/>
        <v/>
      </c>
      <c r="H15" s="16" t="str">
        <f t="shared" si="1"/>
        <v/>
      </c>
      <c r="I15" s="33"/>
      <c r="J15" s="34"/>
    </row>
    <row r="16" spans="1:10" ht="30" customHeight="1" x14ac:dyDescent="0.2">
      <c r="A16" s="8"/>
      <c r="B16" s="23" t="s">
        <v>35</v>
      </c>
      <c r="C16" s="24"/>
      <c r="D16" s="24"/>
      <c r="E16" s="17">
        <v>5</v>
      </c>
      <c r="F16" s="11" t="s">
        <v>26</v>
      </c>
      <c r="G16" s="15" t="str">
        <f t="shared" si="0"/>
        <v/>
      </c>
      <c r="H16" s="16" t="str">
        <f t="shared" si="1"/>
        <v/>
      </c>
      <c r="I16" s="33"/>
      <c r="J16" s="34"/>
    </row>
    <row r="17" spans="1:10" ht="39.950000000000003" customHeight="1" x14ac:dyDescent="0.2">
      <c r="A17" s="8"/>
      <c r="B17" s="21" t="s">
        <v>36</v>
      </c>
      <c r="C17" s="22"/>
      <c r="D17" s="22"/>
      <c r="E17" s="17">
        <v>5</v>
      </c>
      <c r="F17" s="11" t="s">
        <v>26</v>
      </c>
      <c r="G17" s="15" t="str">
        <f t="shared" si="0"/>
        <v/>
      </c>
      <c r="H17" s="16" t="str">
        <f t="shared" si="1"/>
        <v/>
      </c>
      <c r="I17" s="33"/>
      <c r="J17" s="34"/>
    </row>
    <row r="18" spans="1:10" ht="30" customHeight="1" x14ac:dyDescent="0.2">
      <c r="A18" s="8"/>
      <c r="B18" s="21" t="s">
        <v>37</v>
      </c>
      <c r="C18" s="22"/>
      <c r="D18" s="22"/>
      <c r="E18" s="17">
        <v>5</v>
      </c>
      <c r="F18" s="11" t="s">
        <v>26</v>
      </c>
      <c r="G18" s="15" t="str">
        <f t="shared" si="0"/>
        <v/>
      </c>
      <c r="H18" s="16" t="str">
        <f t="shared" si="1"/>
        <v/>
      </c>
      <c r="I18" s="33"/>
      <c r="J18" s="34"/>
    </row>
    <row r="19" spans="1:10" ht="30" customHeight="1" x14ac:dyDescent="0.2">
      <c r="A19" s="8"/>
      <c r="B19" s="23" t="s">
        <v>69</v>
      </c>
      <c r="C19" s="24"/>
      <c r="D19" s="24"/>
      <c r="E19" s="17">
        <v>5</v>
      </c>
      <c r="F19" s="11" t="s">
        <v>26</v>
      </c>
      <c r="G19" s="15" t="str">
        <f t="shared" si="0"/>
        <v/>
      </c>
      <c r="H19" s="16" t="str">
        <f t="shared" si="1"/>
        <v/>
      </c>
      <c r="I19" s="33"/>
      <c r="J19" s="34"/>
    </row>
    <row r="20" spans="1:10" ht="30" customHeight="1" x14ac:dyDescent="0.2">
      <c r="A20" s="8"/>
      <c r="B20" s="23" t="s">
        <v>38</v>
      </c>
      <c r="C20" s="24"/>
      <c r="D20" s="24"/>
      <c r="E20" s="17">
        <v>5</v>
      </c>
      <c r="F20" s="11" t="s">
        <v>26</v>
      </c>
      <c r="G20" s="15" t="str">
        <f t="shared" si="0"/>
        <v/>
      </c>
      <c r="H20" s="16" t="str">
        <f t="shared" si="1"/>
        <v/>
      </c>
      <c r="I20" s="33"/>
      <c r="J20" s="34"/>
    </row>
    <row r="21" spans="1:10" ht="39.950000000000003" customHeight="1" x14ac:dyDescent="0.2">
      <c r="A21" s="8"/>
      <c r="B21" s="23" t="s">
        <v>39</v>
      </c>
      <c r="C21" s="24"/>
      <c r="D21" s="24"/>
      <c r="E21" s="17">
        <v>5</v>
      </c>
      <c r="F21" s="11" t="s">
        <v>26</v>
      </c>
      <c r="G21" s="15" t="str">
        <f t="shared" si="0"/>
        <v/>
      </c>
      <c r="H21" s="16" t="str">
        <f t="shared" si="1"/>
        <v/>
      </c>
      <c r="I21" s="33"/>
      <c r="J21" s="34"/>
    </row>
    <row r="22" spans="1:10" ht="30" customHeight="1" x14ac:dyDescent="0.2">
      <c r="A22" s="8"/>
      <c r="B22" s="21" t="s">
        <v>40</v>
      </c>
      <c r="C22" s="22"/>
      <c r="D22" s="22"/>
      <c r="E22" s="17">
        <v>5</v>
      </c>
      <c r="F22" s="11" t="s">
        <v>26</v>
      </c>
      <c r="G22" s="15" t="str">
        <f t="shared" si="0"/>
        <v/>
      </c>
      <c r="H22" s="16" t="str">
        <f t="shared" si="1"/>
        <v/>
      </c>
      <c r="I22" s="33"/>
      <c r="J22" s="34"/>
    </row>
    <row r="23" spans="1:10" ht="30" customHeight="1" x14ac:dyDescent="0.2">
      <c r="A23" s="8"/>
      <c r="B23" s="21" t="s">
        <v>41</v>
      </c>
      <c r="C23" s="22"/>
      <c r="D23" s="22"/>
      <c r="E23" s="17">
        <v>5</v>
      </c>
      <c r="F23" s="11" t="s">
        <v>26</v>
      </c>
      <c r="G23" s="15" t="str">
        <f t="shared" si="0"/>
        <v/>
      </c>
      <c r="H23" s="16" t="str">
        <f t="shared" si="1"/>
        <v/>
      </c>
      <c r="I23" s="33"/>
      <c r="J23" s="34"/>
    </row>
    <row r="24" spans="1:10" ht="30" customHeight="1" x14ac:dyDescent="0.2">
      <c r="A24" s="8"/>
      <c r="B24" s="21" t="s">
        <v>42</v>
      </c>
      <c r="C24" s="22"/>
      <c r="D24" s="22"/>
      <c r="E24" s="17">
        <v>5</v>
      </c>
      <c r="F24" s="11" t="s">
        <v>26</v>
      </c>
      <c r="G24" s="15" t="str">
        <f t="shared" si="0"/>
        <v/>
      </c>
      <c r="H24" s="16" t="str">
        <f t="shared" si="1"/>
        <v/>
      </c>
      <c r="I24" s="33"/>
      <c r="J24" s="34"/>
    </row>
    <row r="25" spans="1:10" ht="39.950000000000003" customHeight="1" x14ac:dyDescent="0.2">
      <c r="A25" s="8"/>
      <c r="B25" s="21" t="s">
        <v>43</v>
      </c>
      <c r="C25" s="22"/>
      <c r="D25" s="22"/>
      <c r="E25" s="17">
        <v>5</v>
      </c>
      <c r="F25" s="11" t="s">
        <v>26</v>
      </c>
      <c r="G25" s="15" t="str">
        <f t="shared" si="0"/>
        <v/>
      </c>
      <c r="H25" s="16" t="str">
        <f t="shared" si="1"/>
        <v/>
      </c>
      <c r="I25" s="33"/>
      <c r="J25" s="34"/>
    </row>
    <row r="26" spans="1:10" ht="30" customHeight="1" x14ac:dyDescent="0.2">
      <c r="A26" s="8"/>
      <c r="B26" s="21" t="s">
        <v>44</v>
      </c>
      <c r="C26" s="22"/>
      <c r="D26" s="22"/>
      <c r="E26" s="17">
        <v>5</v>
      </c>
      <c r="F26" s="11" t="s">
        <v>26</v>
      </c>
      <c r="G26" s="15" t="str">
        <f t="shared" si="0"/>
        <v/>
      </c>
      <c r="H26" s="16" t="str">
        <f t="shared" si="1"/>
        <v/>
      </c>
      <c r="I26" s="33"/>
      <c r="J26" s="34"/>
    </row>
    <row r="27" spans="1:10" ht="30" customHeight="1" x14ac:dyDescent="0.2">
      <c r="A27" s="8"/>
      <c r="B27" s="21" t="s">
        <v>45</v>
      </c>
      <c r="C27" s="22"/>
      <c r="D27" s="22"/>
      <c r="E27" s="17">
        <v>5</v>
      </c>
      <c r="F27" s="11" t="s">
        <v>26</v>
      </c>
      <c r="G27" s="15" t="str">
        <f t="shared" si="0"/>
        <v/>
      </c>
      <c r="H27" s="16" t="str">
        <f t="shared" si="1"/>
        <v/>
      </c>
      <c r="I27" s="33"/>
      <c r="J27" s="34"/>
    </row>
    <row r="28" spans="1:10" ht="30" customHeight="1" x14ac:dyDescent="0.2">
      <c r="A28" s="8"/>
      <c r="B28" s="21" t="s">
        <v>46</v>
      </c>
      <c r="C28" s="22"/>
      <c r="D28" s="22"/>
      <c r="E28" s="17">
        <v>5</v>
      </c>
      <c r="F28" s="11" t="s">
        <v>26</v>
      </c>
      <c r="G28" s="15" t="str">
        <f t="shared" si="0"/>
        <v/>
      </c>
      <c r="H28" s="16" t="str">
        <f t="shared" si="1"/>
        <v/>
      </c>
      <c r="I28" s="33"/>
      <c r="J28" s="34"/>
    </row>
    <row r="29" spans="1:10" ht="39.950000000000003" customHeight="1" thickBot="1" x14ac:dyDescent="0.25">
      <c r="A29" s="8"/>
      <c r="B29" s="25" t="s">
        <v>47</v>
      </c>
      <c r="C29" s="26"/>
      <c r="D29" s="26"/>
      <c r="E29" s="18">
        <v>5</v>
      </c>
      <c r="F29" s="12" t="s">
        <v>26</v>
      </c>
      <c r="G29" s="19" t="str">
        <f t="shared" si="0"/>
        <v/>
      </c>
      <c r="H29" s="20" t="str">
        <f t="shared" si="1"/>
        <v/>
      </c>
      <c r="I29" s="35"/>
      <c r="J29" s="36"/>
    </row>
    <row r="30" spans="1:10" ht="39.950000000000003" customHeight="1" x14ac:dyDescent="0.2">
      <c r="A30" s="8"/>
      <c r="B30" s="30" t="s">
        <v>48</v>
      </c>
      <c r="C30" s="31"/>
      <c r="D30" s="31"/>
      <c r="E30" s="31"/>
      <c r="F30" s="31"/>
      <c r="G30" s="31"/>
      <c r="H30" s="31"/>
      <c r="I30" s="31"/>
      <c r="J30" s="32"/>
    </row>
    <row r="31" spans="1:10" ht="30" customHeight="1" x14ac:dyDescent="0.2">
      <c r="A31" s="8"/>
      <c r="B31" s="21" t="s">
        <v>49</v>
      </c>
      <c r="C31" s="22"/>
      <c r="D31" s="22"/>
      <c r="E31" s="17">
        <v>5</v>
      </c>
      <c r="F31" s="11" t="s">
        <v>26</v>
      </c>
      <c r="G31" s="15" t="str">
        <f t="shared" si="0"/>
        <v/>
      </c>
      <c r="H31" s="16" t="str">
        <f t="shared" si="1"/>
        <v/>
      </c>
      <c r="I31" s="33"/>
      <c r="J31" s="34"/>
    </row>
    <row r="32" spans="1:10" ht="30" customHeight="1" x14ac:dyDescent="0.2">
      <c r="A32" s="8"/>
      <c r="B32" s="21" t="s">
        <v>50</v>
      </c>
      <c r="C32" s="22"/>
      <c r="D32" s="22"/>
      <c r="E32" s="17">
        <v>5</v>
      </c>
      <c r="F32" s="11" t="s">
        <v>26</v>
      </c>
      <c r="G32" s="15" t="str">
        <f t="shared" si="0"/>
        <v/>
      </c>
      <c r="H32" s="16" t="str">
        <f t="shared" si="1"/>
        <v/>
      </c>
      <c r="I32" s="33"/>
      <c r="J32" s="34"/>
    </row>
    <row r="33" spans="1:10" ht="39.950000000000003" customHeight="1" x14ac:dyDescent="0.2">
      <c r="A33" s="8"/>
      <c r="B33" s="21" t="s">
        <v>51</v>
      </c>
      <c r="C33" s="22"/>
      <c r="D33" s="22"/>
      <c r="E33" s="17">
        <v>5</v>
      </c>
      <c r="F33" s="11" t="s">
        <v>26</v>
      </c>
      <c r="G33" s="15" t="str">
        <f t="shared" si="0"/>
        <v/>
      </c>
      <c r="H33" s="16" t="str">
        <f t="shared" si="1"/>
        <v/>
      </c>
      <c r="I33" s="33"/>
      <c r="J33" s="34"/>
    </row>
    <row r="34" spans="1:10" ht="39.950000000000003" customHeight="1" thickBot="1" x14ac:dyDescent="0.25">
      <c r="A34" s="8"/>
      <c r="B34" s="25" t="s">
        <v>52</v>
      </c>
      <c r="C34" s="26"/>
      <c r="D34" s="26"/>
      <c r="E34" s="18">
        <v>5</v>
      </c>
      <c r="F34" s="12" t="s">
        <v>26</v>
      </c>
      <c r="G34" s="19" t="str">
        <f t="shared" si="0"/>
        <v/>
      </c>
      <c r="H34" s="20" t="str">
        <f t="shared" si="1"/>
        <v/>
      </c>
      <c r="I34" s="35"/>
      <c r="J34" s="36"/>
    </row>
    <row r="35" spans="1:10" ht="39.950000000000003" customHeight="1" x14ac:dyDescent="0.2">
      <c r="A35" s="8"/>
      <c r="B35" s="30" t="s">
        <v>53</v>
      </c>
      <c r="C35" s="31"/>
      <c r="D35" s="31"/>
      <c r="E35" s="31"/>
      <c r="F35" s="31"/>
      <c r="G35" s="31"/>
      <c r="H35" s="31"/>
      <c r="I35" s="31"/>
      <c r="J35" s="32"/>
    </row>
    <row r="36" spans="1:10" ht="30" customHeight="1" x14ac:dyDescent="0.2">
      <c r="A36" s="8"/>
      <c r="B36" s="21" t="s">
        <v>54</v>
      </c>
      <c r="C36" s="22"/>
      <c r="D36" s="22"/>
      <c r="E36" s="17">
        <v>5</v>
      </c>
      <c r="F36" s="11" t="s">
        <v>26</v>
      </c>
      <c r="G36" s="15" t="str">
        <f t="shared" si="0"/>
        <v/>
      </c>
      <c r="H36" s="16" t="str">
        <f t="shared" si="1"/>
        <v/>
      </c>
      <c r="I36" s="33"/>
      <c r="J36" s="34"/>
    </row>
    <row r="37" spans="1:10" ht="39.950000000000003" customHeight="1" x14ac:dyDescent="0.2">
      <c r="A37" s="8"/>
      <c r="B37" s="21" t="s">
        <v>55</v>
      </c>
      <c r="C37" s="22"/>
      <c r="D37" s="22"/>
      <c r="E37" s="17">
        <v>5</v>
      </c>
      <c r="F37" s="11" t="s">
        <v>26</v>
      </c>
      <c r="G37" s="15" t="str">
        <f t="shared" si="0"/>
        <v/>
      </c>
      <c r="H37" s="16" t="str">
        <f t="shared" si="1"/>
        <v/>
      </c>
      <c r="I37" s="33"/>
      <c r="J37" s="34"/>
    </row>
    <row r="38" spans="1:10" ht="30" customHeight="1" x14ac:dyDescent="0.2">
      <c r="A38" s="8"/>
      <c r="B38" s="21" t="s">
        <v>56</v>
      </c>
      <c r="C38" s="22"/>
      <c r="D38" s="22"/>
      <c r="E38" s="17">
        <v>5</v>
      </c>
      <c r="F38" s="11" t="s">
        <v>26</v>
      </c>
      <c r="G38" s="15" t="str">
        <f t="shared" si="0"/>
        <v/>
      </c>
      <c r="H38" s="16" t="str">
        <f t="shared" si="1"/>
        <v/>
      </c>
      <c r="I38" s="33"/>
      <c r="J38" s="34"/>
    </row>
    <row r="39" spans="1:10" ht="39.950000000000003" customHeight="1" x14ac:dyDescent="0.2">
      <c r="A39" s="8"/>
      <c r="B39" s="21" t="s">
        <v>57</v>
      </c>
      <c r="C39" s="22"/>
      <c r="D39" s="22"/>
      <c r="E39" s="17">
        <v>5</v>
      </c>
      <c r="F39" s="11" t="s">
        <v>26</v>
      </c>
      <c r="G39" s="15" t="str">
        <f t="shared" si="0"/>
        <v/>
      </c>
      <c r="H39" s="16" t="str">
        <f t="shared" si="1"/>
        <v/>
      </c>
      <c r="I39" s="33"/>
      <c r="J39" s="34"/>
    </row>
    <row r="40" spans="1:10" ht="30" customHeight="1" x14ac:dyDescent="0.2">
      <c r="A40" s="8"/>
      <c r="B40" s="21" t="s">
        <v>58</v>
      </c>
      <c r="C40" s="22"/>
      <c r="D40" s="22"/>
      <c r="E40" s="17">
        <v>5</v>
      </c>
      <c r="F40" s="11" t="s">
        <v>26</v>
      </c>
      <c r="G40" s="15" t="str">
        <f t="shared" si="0"/>
        <v/>
      </c>
      <c r="H40" s="16" t="str">
        <f t="shared" si="1"/>
        <v/>
      </c>
      <c r="I40" s="33"/>
      <c r="J40" s="34"/>
    </row>
    <row r="41" spans="1:10" ht="39.950000000000003" customHeight="1" x14ac:dyDescent="0.2">
      <c r="A41" s="8"/>
      <c r="B41" s="21" t="s">
        <v>59</v>
      </c>
      <c r="C41" s="22"/>
      <c r="D41" s="22"/>
      <c r="E41" s="17">
        <v>5</v>
      </c>
      <c r="F41" s="11" t="s">
        <v>26</v>
      </c>
      <c r="G41" s="15" t="str">
        <f t="shared" si="0"/>
        <v/>
      </c>
      <c r="H41" s="16" t="str">
        <f t="shared" si="1"/>
        <v/>
      </c>
      <c r="I41" s="33"/>
      <c r="J41" s="34"/>
    </row>
    <row r="42" spans="1:10" ht="30" customHeight="1" x14ac:dyDescent="0.2">
      <c r="A42" s="8"/>
      <c r="B42" s="21" t="s">
        <v>60</v>
      </c>
      <c r="C42" s="22"/>
      <c r="D42" s="22"/>
      <c r="E42" s="17">
        <v>5</v>
      </c>
      <c r="F42" s="11" t="s">
        <v>26</v>
      </c>
      <c r="G42" s="15" t="str">
        <f t="shared" si="0"/>
        <v/>
      </c>
      <c r="H42" s="16" t="str">
        <f t="shared" si="1"/>
        <v/>
      </c>
      <c r="I42" s="33"/>
      <c r="J42" s="34"/>
    </row>
    <row r="43" spans="1:10" ht="30" customHeight="1" x14ac:dyDescent="0.2">
      <c r="A43" s="8"/>
      <c r="B43" s="21" t="s">
        <v>61</v>
      </c>
      <c r="C43" s="22"/>
      <c r="D43" s="22"/>
      <c r="E43" s="17">
        <v>5</v>
      </c>
      <c r="F43" s="11" t="s">
        <v>26</v>
      </c>
      <c r="G43" s="15" t="str">
        <f t="shared" si="0"/>
        <v/>
      </c>
      <c r="H43" s="16" t="str">
        <f t="shared" si="1"/>
        <v/>
      </c>
      <c r="I43" s="33"/>
      <c r="J43" s="34"/>
    </row>
    <row r="44" spans="1:10" ht="39.950000000000003" customHeight="1" x14ac:dyDescent="0.2">
      <c r="A44" s="8"/>
      <c r="B44" s="21" t="s">
        <v>62</v>
      </c>
      <c r="C44" s="22"/>
      <c r="D44" s="22"/>
      <c r="E44" s="17"/>
      <c r="F44" s="11"/>
      <c r="G44" s="15"/>
      <c r="H44" s="16"/>
      <c r="I44" s="33"/>
      <c r="J44" s="34"/>
    </row>
    <row r="45" spans="1:10" ht="30" customHeight="1" x14ac:dyDescent="0.2">
      <c r="A45" s="8"/>
      <c r="B45" s="23" t="s">
        <v>67</v>
      </c>
      <c r="C45" s="24"/>
      <c r="D45" s="24"/>
      <c r="E45" s="17">
        <v>5</v>
      </c>
      <c r="F45" s="11" t="s">
        <v>26</v>
      </c>
      <c r="G45" s="15" t="str">
        <f t="shared" si="0"/>
        <v/>
      </c>
      <c r="H45" s="16" t="str">
        <f t="shared" si="1"/>
        <v/>
      </c>
      <c r="I45" s="33"/>
      <c r="J45" s="34"/>
    </row>
    <row r="46" spans="1:10" ht="30" customHeight="1" x14ac:dyDescent="0.2">
      <c r="A46" s="8"/>
      <c r="B46" s="23" t="s">
        <v>63</v>
      </c>
      <c r="C46" s="24"/>
      <c r="D46" s="24"/>
      <c r="E46" s="17">
        <v>5</v>
      </c>
      <c r="F46" s="11" t="s">
        <v>26</v>
      </c>
      <c r="G46" s="15" t="str">
        <f t="shared" si="0"/>
        <v/>
      </c>
      <c r="H46" s="16" t="str">
        <f t="shared" si="1"/>
        <v/>
      </c>
      <c r="I46" s="33"/>
      <c r="J46" s="34"/>
    </row>
    <row r="47" spans="1:10" ht="39.950000000000003" customHeight="1" x14ac:dyDescent="0.2">
      <c r="A47" s="8"/>
      <c r="B47" s="23" t="s">
        <v>64</v>
      </c>
      <c r="C47" s="24"/>
      <c r="D47" s="24"/>
      <c r="E47" s="17">
        <v>5</v>
      </c>
      <c r="F47" s="11" t="s">
        <v>26</v>
      </c>
      <c r="G47" s="15" t="str">
        <f t="shared" si="0"/>
        <v/>
      </c>
      <c r="H47" s="16" t="str">
        <f t="shared" si="1"/>
        <v/>
      </c>
      <c r="I47" s="33"/>
      <c r="J47" s="34"/>
    </row>
    <row r="48" spans="1:10" ht="30" customHeight="1" x14ac:dyDescent="0.2">
      <c r="A48" s="8"/>
      <c r="B48" s="23" t="s">
        <v>68</v>
      </c>
      <c r="C48" s="24"/>
      <c r="D48" s="24"/>
      <c r="E48" s="17">
        <v>5</v>
      </c>
      <c r="F48" s="11" t="s">
        <v>26</v>
      </c>
      <c r="G48" s="15" t="str">
        <f t="shared" si="0"/>
        <v/>
      </c>
      <c r="H48" s="16" t="str">
        <f t="shared" si="1"/>
        <v/>
      </c>
      <c r="I48" s="33"/>
      <c r="J48" s="34"/>
    </row>
    <row r="49" spans="1:10" ht="39.950000000000003" customHeight="1" thickBot="1" x14ac:dyDescent="0.25">
      <c r="A49" s="8"/>
      <c r="B49" s="25" t="s">
        <v>65</v>
      </c>
      <c r="C49" s="26"/>
      <c r="D49" s="26"/>
      <c r="E49" s="18">
        <v>5</v>
      </c>
      <c r="F49" s="12" t="s">
        <v>26</v>
      </c>
      <c r="G49" s="19" t="str">
        <f t="shared" si="0"/>
        <v/>
      </c>
      <c r="H49" s="20" t="str">
        <f t="shared" si="1"/>
        <v/>
      </c>
      <c r="I49" s="35"/>
      <c r="J49" s="36"/>
    </row>
    <row r="50" spans="1:10" ht="30" customHeight="1" thickBot="1" x14ac:dyDescent="0.25">
      <c r="A50" s="3"/>
      <c r="B50" s="37" t="s">
        <v>5</v>
      </c>
      <c r="C50" s="38"/>
      <c r="D50" s="38"/>
      <c r="E50" s="14">
        <f>SUM(E8:E49)</f>
        <v>190</v>
      </c>
      <c r="F50" s="14">
        <f>SUM(F8:F49)</f>
        <v>0</v>
      </c>
      <c r="G50" s="65"/>
      <c r="H50" s="66"/>
      <c r="I50" s="66"/>
      <c r="J50" s="67"/>
    </row>
    <row r="51" spans="1:10" ht="30" customHeight="1" thickBot="1" x14ac:dyDescent="0.25">
      <c r="A51" s="3"/>
      <c r="B51" s="39" t="s">
        <v>20</v>
      </c>
      <c r="C51" s="40"/>
      <c r="D51" s="40"/>
      <c r="E51" s="53">
        <f>F50/E50/100*100</f>
        <v>0</v>
      </c>
      <c r="F51" s="53"/>
      <c r="G51" s="53"/>
      <c r="H51" s="53"/>
      <c r="I51" s="53"/>
      <c r="J51" s="54"/>
    </row>
    <row r="52" spans="1:10" ht="30" customHeight="1" thickBot="1" x14ac:dyDescent="0.25">
      <c r="A52" s="3"/>
      <c r="B52" s="39" t="s">
        <v>21</v>
      </c>
      <c r="C52" s="40"/>
      <c r="D52" s="40"/>
      <c r="E52" s="45" t="str">
        <f>_xlfn.IFS(E51&gt;=90%,"ممتاز",E51&gt;=80%,"جيد جداً",E51&gt;=70%,"جيد",E51&gt;=60%,"مقبول",E51&lt;60%,"راسب")</f>
        <v>راسب</v>
      </c>
      <c r="F52" s="45"/>
      <c r="G52" s="45"/>
      <c r="H52" s="45"/>
      <c r="I52" s="45"/>
      <c r="J52" s="46"/>
    </row>
    <row r="53" spans="1:10" ht="42" customHeight="1" x14ac:dyDescent="0.2">
      <c r="B53" s="41" t="s">
        <v>27</v>
      </c>
      <c r="C53" s="41"/>
      <c r="D53" s="41"/>
      <c r="E53" s="63" t="s">
        <v>18</v>
      </c>
      <c r="F53" s="63"/>
      <c r="G53" s="43" t="s">
        <v>24</v>
      </c>
      <c r="H53" s="43"/>
      <c r="I53" s="43"/>
      <c r="J53" s="43"/>
    </row>
    <row r="54" spans="1:10" ht="51" customHeight="1" x14ac:dyDescent="0.2">
      <c r="A54" s="4"/>
      <c r="B54" s="42"/>
      <c r="C54" s="42"/>
      <c r="D54" s="42"/>
      <c r="E54" s="64" t="s">
        <v>19</v>
      </c>
      <c r="F54" s="64"/>
      <c r="G54" s="44"/>
      <c r="H54" s="44"/>
      <c r="I54" s="44"/>
      <c r="J54" s="4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2">
    <mergeCell ref="B1:J1"/>
    <mergeCell ref="F2:J2"/>
    <mergeCell ref="B5:D6"/>
    <mergeCell ref="C2:D2"/>
    <mergeCell ref="C3:D3"/>
    <mergeCell ref="F3:J3"/>
    <mergeCell ref="E51:J51"/>
    <mergeCell ref="B7:D7"/>
    <mergeCell ref="I34:J34"/>
    <mergeCell ref="I26:J26"/>
    <mergeCell ref="I27:J27"/>
    <mergeCell ref="E5:H5"/>
    <mergeCell ref="I33:J33"/>
    <mergeCell ref="I5:J6"/>
    <mergeCell ref="I7:J7"/>
    <mergeCell ref="I10:J10"/>
    <mergeCell ref="I15:J15"/>
    <mergeCell ref="I16:J16"/>
    <mergeCell ref="I17:J17"/>
    <mergeCell ref="I18:J18"/>
    <mergeCell ref="I19:J19"/>
    <mergeCell ref="I20:J20"/>
    <mergeCell ref="I21:J21"/>
    <mergeCell ref="I22:J22"/>
    <mergeCell ref="B53:D54"/>
    <mergeCell ref="G53:J53"/>
    <mergeCell ref="G54:J54"/>
    <mergeCell ref="E52:J52"/>
    <mergeCell ref="I36:J36"/>
    <mergeCell ref="I37:J37"/>
    <mergeCell ref="I38:J38"/>
    <mergeCell ref="I39:J39"/>
    <mergeCell ref="I40:J40"/>
    <mergeCell ref="I45:J45"/>
    <mergeCell ref="I46:J46"/>
    <mergeCell ref="I47:J47"/>
    <mergeCell ref="I48:J48"/>
    <mergeCell ref="I49:J49"/>
    <mergeCell ref="I41:J41"/>
    <mergeCell ref="I42:J42"/>
    <mergeCell ref="I43:J43"/>
    <mergeCell ref="I44:J44"/>
    <mergeCell ref="E53:F53"/>
    <mergeCell ref="E54:F54"/>
    <mergeCell ref="G50:J50"/>
    <mergeCell ref="I32:J32"/>
    <mergeCell ref="B50:D50"/>
    <mergeCell ref="B51:D51"/>
    <mergeCell ref="B52:D52"/>
    <mergeCell ref="I11:J11"/>
    <mergeCell ref="I12:J12"/>
    <mergeCell ref="I13:J13"/>
    <mergeCell ref="I14:J14"/>
    <mergeCell ref="I24:J24"/>
    <mergeCell ref="I25:J25"/>
    <mergeCell ref="I23:J23"/>
    <mergeCell ref="B9:D9"/>
    <mergeCell ref="B10:D10"/>
    <mergeCell ref="B11:D11"/>
    <mergeCell ref="B12:D12"/>
    <mergeCell ref="B13:D13"/>
    <mergeCell ref="B14:D14"/>
    <mergeCell ref="I28:J28"/>
    <mergeCell ref="I29:J29"/>
    <mergeCell ref="I31:J31"/>
    <mergeCell ref="I9:J9"/>
    <mergeCell ref="B29:D29"/>
    <mergeCell ref="B31:D31"/>
    <mergeCell ref="B32:D32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42:D42"/>
    <mergeCell ref="B43:D43"/>
    <mergeCell ref="B44:D44"/>
    <mergeCell ref="B45:D45"/>
    <mergeCell ref="B46:D46"/>
    <mergeCell ref="B47:D47"/>
    <mergeCell ref="B48:D48"/>
    <mergeCell ref="B49:D49"/>
    <mergeCell ref="B8:J8"/>
    <mergeCell ref="B30:J30"/>
    <mergeCell ref="B35:J35"/>
    <mergeCell ref="B33:D33"/>
    <mergeCell ref="B34:D34"/>
    <mergeCell ref="B36:D36"/>
    <mergeCell ref="B37:D37"/>
    <mergeCell ref="B38:D38"/>
    <mergeCell ref="B39:D39"/>
    <mergeCell ref="B40:D40"/>
    <mergeCell ref="B41:D41"/>
    <mergeCell ref="B24:D24"/>
    <mergeCell ref="B25:D25"/>
    <mergeCell ref="B26:D26"/>
    <mergeCell ref="B27:D27"/>
    <mergeCell ref="B28:D28"/>
  </mergeCells>
  <conditionalFormatting sqref="E52">
    <cfRule type="expression" dxfId="22" priority="57">
      <formula>$E52="راسب"</formula>
    </cfRule>
  </conditionalFormatting>
  <conditionalFormatting sqref="E52:J52">
    <cfRule type="expression" dxfId="21" priority="58">
      <formula>$E52="مقبول"</formula>
    </cfRule>
    <cfRule type="expression" dxfId="20" priority="59">
      <formula>$E52="جيد"</formula>
    </cfRule>
    <cfRule type="expression" dxfId="19" priority="60">
      <formula>$E52="جيد جداً"</formula>
    </cfRule>
    <cfRule type="expression" dxfId="18" priority="61">
      <formula>$E52="ممتاز"</formula>
    </cfRule>
  </conditionalFormatting>
  <conditionalFormatting sqref="H10:H29 H31:H34 H36:H49">
    <cfRule type="containsText" dxfId="17" priority="39" operator="containsText" text="ممتاز">
      <formula>NOT(ISERROR(SEARCH("ممتاز",H10)))</formula>
    </cfRule>
    <cfRule type="containsText" dxfId="16" priority="40" operator="containsText" text="جيد جداً">
      <formula>NOT(ISERROR(SEARCH("جيد جداً",H10)))</formula>
    </cfRule>
    <cfRule type="containsText" dxfId="15" priority="41" operator="containsText" text="جيد">
      <formula>NOT(ISERROR(SEARCH("جيد",H10)))</formula>
    </cfRule>
    <cfRule type="containsText" dxfId="14" priority="42" operator="containsText" text="مقبول">
      <formula>NOT(ISERROR(SEARCH("مقبول",H10)))</formula>
    </cfRule>
    <cfRule type="containsText" dxfId="13" priority="43" operator="containsText" text="راسب">
      <formula>NOT(ISERROR(SEARCH("راسب",H10)))</formula>
    </cfRule>
  </conditionalFormatting>
  <conditionalFormatting sqref="H10:H29 F10:F29 F31:F34 H31:H34 H36:H49 F36:F49">
    <cfRule type="containsText" dxfId="12" priority="38" operator="containsText" text="أدخل العلامة">
      <formula>NOT(ISERROR(SEARCH("أدخل العلامة",F10)))</formula>
    </cfRule>
  </conditionalFormatting>
  <conditionalFormatting sqref="F2:J2">
    <cfRule type="containsText" dxfId="11" priority="19" operator="containsText" text="أدخل التاريخ">
      <formula>NOT(ISERROR(SEARCH("أدخل التاريخ",F2)))</formula>
    </cfRule>
  </conditionalFormatting>
  <conditionalFormatting sqref="C2:D2">
    <cfRule type="containsText" dxfId="10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9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8" priority="16" operator="containsText" text="أدخل أسم المحكم">
      <formula>NOT(ISERROR(SEARCH("أدخل أسم المحكم",F3)))</formula>
    </cfRule>
  </conditionalFormatting>
  <conditionalFormatting sqref="G53:J53">
    <cfRule type="containsText" dxfId="7" priority="15" operator="containsText" text="أدخل اسم المحكم">
      <formula>NOT(ISERROR(SEARCH("أدخل اسم المحكم",G53)))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#REF!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G53:J53 F3:J3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C3:D3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F45:F49 F36:F43 F31:F34 F9:F10 F12:F13 F15:F29</xm:sqref>
        </x14:dataValidation>
        <x14:dataValidation type="list" allowBlank="1" showInputMessage="1" showErrorMessage="1" xr:uid="{3E62B6B5-2066-45FD-9FA2-E776774891AB}">
          <x14:formula1>
            <xm:f>#REF!</xm:f>
          </x14:formula1>
          <xm:sqref>F14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2026-08-30T04:37:38Z</dcterms:modified>
</cp:coreProperties>
</file>