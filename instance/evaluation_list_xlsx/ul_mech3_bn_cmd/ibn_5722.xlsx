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105" yWindow="-105" windowWidth="23250" windowHeight="1257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التقييم'!$A$1:$J$54</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0" i="2" l="1"/>
  <c r="H10" i="2" s="1"/>
  <c r="G11" i="2"/>
  <c r="H11" i="2" s="1"/>
  <c r="G13" i="2"/>
  <c r="H13" i="2" s="1"/>
  <c r="G14" i="2"/>
  <c r="H14" i="2" s="1"/>
  <c r="G15" i="2"/>
  <c r="H15" i="2" s="1"/>
  <c r="G16" i="2"/>
  <c r="H16" i="2" s="1"/>
  <c r="G17" i="2"/>
  <c r="H17" i="2" s="1"/>
  <c r="G18" i="2"/>
  <c r="H18" i="2" s="1"/>
  <c r="G19" i="2"/>
  <c r="H19" i="2" s="1"/>
  <c r="G21" i="2"/>
  <c r="H21" i="2" s="1"/>
  <c r="G24" i="2"/>
  <c r="H24" i="2" s="1"/>
  <c r="G25" i="2"/>
  <c r="H25" i="2" s="1"/>
  <c r="G26" i="2"/>
  <c r="H26" i="2" s="1"/>
  <c r="G27" i="2"/>
  <c r="H27" i="2" s="1"/>
  <c r="G30" i="2"/>
  <c r="H30" i="2" s="1"/>
  <c r="G31" i="2"/>
  <c r="H31" i="2" s="1"/>
  <c r="G32" i="2"/>
  <c r="H32" i="2" s="1"/>
  <c r="G33" i="2"/>
  <c r="H33" i="2" s="1"/>
  <c r="G35" i="2"/>
  <c r="H35" i="2" s="1"/>
  <c r="G36" i="2"/>
  <c r="H36" i="2" s="1"/>
  <c r="G37" i="2"/>
  <c r="H37" i="2" s="1"/>
  <c r="G38" i="2"/>
  <c r="H38" i="2" s="1"/>
  <c r="G40" i="2"/>
  <c r="H40" i="2" s="1"/>
  <c r="G41" i="2"/>
  <c r="H41" i="2" s="1"/>
  <c r="G42" i="2"/>
  <c r="H42" i="2" s="1"/>
  <c r="G43" i="2"/>
  <c r="H43" i="2" s="1"/>
  <c r="G44" i="2"/>
  <c r="H44" i="2" s="1"/>
  <c r="G47" i="2"/>
  <c r="H47" i="2" s="1"/>
  <c r="G48" i="2"/>
  <c r="H48" i="2" s="1"/>
  <c r="G49" i="2"/>
  <c r="H49" i="2" s="1"/>
  <c r="F50" i="2" l="1"/>
  <c r="E50" i="2" l="1"/>
  <c r="E51" i="2" l="1"/>
  <c r="E52" i="2" s="1"/>
</calcChain>
</file>

<file path=xl/sharedStrings.xml><?xml version="1.0" encoding="utf-8"?>
<sst xmlns="http://schemas.openxmlformats.org/spreadsheetml/2006/main" count="101" uniqueCount="71">
  <si>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</si>
  <si>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</si>
  <si>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</si>
  <si>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</si>
  <si>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</si>
  <si>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</si>
  <si>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</si>
  <si>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</si>
  <si>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</si>
  <si>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</si>
  <si>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</si>
  <si>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</si>
  <si>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</si>
  <si>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</si>
  <si>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</si>
  <si>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</si>
  <si>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</si>
  <si>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</si>
  <si>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</si>
  <si>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</si>
  <si>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</si>
  <si>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</si>
  <si>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</si>
  <si>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</si>
  <si>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</si>
  <si>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</si>
  <si>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</si>
  <si>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</si>
  <si>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r>
      <t xml:space="preserve">إجراءات التخطيط. </t>
    </r>
    <r>
      <rPr>
        <sz val="12"/>
        <color rgb="FF000000"/>
        <rFont val="Arial"/>
        <family val="2"/>
      </rPr>
      <t>أثناء تنفيذ عملية تقدم للتماس، تواجه الكتيبة/ مجموعة القتال مانع، موقع معادي أو قوة معادية ويصدر لها الأمر بالتجاوز وكما يلي:</t>
    </r>
  </si>
  <si>
    <r>
      <t>1.</t>
    </r>
    <r>
      <rPr>
        <sz val="7"/>
        <color theme="1"/>
        <rFont val="Times New Roman"/>
        <family val="1"/>
      </rPr>
      <t xml:space="preserve">     </t>
    </r>
    <r>
      <rPr>
        <sz val="12"/>
        <color rgb="FF000000"/>
        <rFont val="Arial"/>
        <family val="2"/>
      </rPr>
      <t xml:space="preserve"> تقوم قيادة الكتيبة بتطوير خطة التخطي (إذا لم تكن سياسة التخطي موجودة أصلاً) وبما يتوافق مع قصد القائد في المستوى الأعلى كما يلي.</t>
    </r>
  </si>
  <si>
    <t>أ.    إبلاغ المستوى الأعلى بوجود مانع، موقع معادي أو قوة معادية ضمن محور التقدم للكتيبة/ مجموعة القتال.</t>
  </si>
  <si>
    <t>ب.   توزيع المعلومات المتعلقة بموقع وطبيعة المانع أو القوة المعادية على الوحدات المرؤوسة للكتيبة/ مجموعة القتال.</t>
  </si>
  <si>
    <t>جـ.   تنفيذ الاستطلاع من الخارطة، وحسب ما يسمح به الوقت، لتحديد:</t>
  </si>
  <si>
    <t>(1)   ممرات التخطي.</t>
  </si>
  <si>
    <t>(2)   مواقع الحماية الأولية ومواقع الإسناد بالنيران حسب الحاجة.</t>
  </si>
  <si>
    <t>(3)   مقتربات العدو المحتملة.</t>
  </si>
  <si>
    <t>د.   استخدام عناصر الاستطلاع والمراقبة للقيام باستطلاع المنطقة لتحديد ما يلي:</t>
  </si>
  <si>
    <t>(1)   طبيعة قوة العدو أو المانع من حيث الحجم، الموقع، التأليف، التوزيعات وغيرها.</t>
  </si>
  <si>
    <t>(2)   ممرات التخطي التي توفر التخفية والتستر ومسافة الأمان الكافية التي تحرم قوات العدو من إعاقة حركة الكتيبة/ مجموعة القتال أو الاشتباك معها بشكل فعال.</t>
  </si>
  <si>
    <t>(3)   التأكد من أن طبيعة الأرض الموجودة على طول ممرات التخطي تساند حركة الكتيبة/ مجموعة القتال.</t>
  </si>
  <si>
    <r>
      <t xml:space="preserve"> </t>
    </r>
    <r>
      <rPr>
        <sz val="12"/>
        <color rgb="FF000000"/>
        <rFont val="Arial"/>
        <family val="2"/>
      </rPr>
      <t>ملاحظة: إذا لم تقم عناصر الاستطلاع بتحديد ممر حركة مناسب للتخطي، يقوم قائد الكتيبة/ مجموعة القتال بإرسال تقرير موقف للمستوى الأعلى ويحضّر الوحدة لتنفيذ أوامر المستوى الأعلى.</t>
    </r>
  </si>
  <si>
    <t>هـ.   تنظيم القوة لتنفيذ التخطي (حسب الحاجة).</t>
  </si>
  <si>
    <t>إجراءات التحضير.</t>
  </si>
  <si>
    <r>
      <t>1.</t>
    </r>
    <r>
      <rPr>
        <sz val="7"/>
        <color rgb="FF000000"/>
        <rFont val="Times New Roman"/>
        <family val="1"/>
      </rPr>
      <t xml:space="preserve"> </t>
    </r>
    <r>
      <rPr>
        <sz val="12"/>
        <color rgb="FF000000"/>
        <rFont val="Arial"/>
        <family val="2"/>
      </rPr>
      <t xml:space="preserve">   تقوم الكتيبة/ مجموعة القتال بالتحضير لعملية التخطي وكما يلي:</t>
    </r>
  </si>
  <si>
    <t>أ.   توضيع القوة وحسب الخطة الموضوعة.</t>
  </si>
  <si>
    <t>ب.   تحديد ممرات التخطي التي تؤمن الحماية من نيران أسلحة مقاومة الدبابات المعادية وتحديد نظام المسير على هذه الممرات.</t>
  </si>
  <si>
    <t>جـ.   التخطيط لوضع إجراءات حماية إضافية مثل استخدام الستار الدخاني أو نيران الإعماء، إن إمكن، لستر عملية التخطي في حال عدم توفر التخفية والتستر المناسبة أو مسافة الأمان الكافية عن نيران قوات العدو.</t>
  </si>
  <si>
    <t>د.   إصدار أمر مجزأ للتخطي مع المخططات والشفافات (حسب الحاجة).</t>
  </si>
  <si>
    <t>إجراءات التنفيذ.</t>
  </si>
  <si>
    <r>
      <t>1.</t>
    </r>
    <r>
      <rPr>
        <sz val="7"/>
        <color theme="1"/>
        <rFont val="Times New Roman"/>
        <family val="1"/>
      </rPr>
      <t xml:space="preserve">  </t>
    </r>
    <r>
      <rPr>
        <sz val="12"/>
        <color rgb="FF000000"/>
        <rFont val="Arial"/>
        <family val="2"/>
      </rPr>
      <t xml:space="preserve">   تقوم الكتيبة/ مجموعة القتال بتنفيذ عملية التخطي على النحو التالي:</t>
    </r>
  </si>
  <si>
    <t>أ.    استخدام التشكيل أو أسلوب الحركة المناسب.</t>
  </si>
  <si>
    <t>ب.   تجنب التعرض للكشف أو الإعاقة إن أمكن.</t>
  </si>
  <si>
    <t>جـ.   تأشير ممرات التخطي حسب الحاجة.</t>
  </si>
  <si>
    <t>د.   تحديد مواقع قوات العدو على طول ممر الحركة وكيفية التعامل معها.</t>
  </si>
  <si>
    <t>هـ.   عند مواجهة قوات أو مواقع العدو لا يمكن تخطيها تقوم الكتيبة/ مجموعة القتال بما يلي:</t>
  </si>
  <si>
    <t>(1)   تثبيت العدو عند الضرورة.</t>
  </si>
  <si>
    <t xml:space="preserve">(2)   تنفيذ الحركة التعبوية والمناورة باستخدام أسلوب الحركة أو التشكيل المناسب.  </t>
  </si>
  <si>
    <t>(3)   طلب النيران غير المباشرة ونيران الإعماء وتعديلها لستر حركة الكتيبة/ مجموعة القتال.</t>
  </si>
  <si>
    <t>(4)   تجنب الدخول في الاشتباك الحاسم إن أمكن.</t>
  </si>
  <si>
    <t>و.   القيام بما يلي عند مواجهة الموانع (عدم إمكانية التخطي):</t>
  </si>
  <si>
    <t>(1)   المناورة لإسكات وإعماء عناصر العدو المكلفة بمراقبة المانع.</t>
  </si>
  <si>
    <t>(2)   تخفيف المانع من خلال الاستعانة بعناصر الهندسة إن أمكن.</t>
  </si>
  <si>
    <t>(3)   فتح ممرات عبر المانع.</t>
  </si>
  <si>
    <t>(4)   تأشير الممرات عند الضرورة.</t>
  </si>
  <si>
    <t>(5)   توفير الأدلاء لتوجيه الجسم الرئيسي أثناء عبور المانع.</t>
  </si>
  <si>
    <t>ملاحظة: تقوم عناصر الهندسة الملحقة بالجسم الرئيسي بإسناد عملية تخطي المانع من خلال فتح الثغرات فيه، تأسيس وتأشير الممرات وتوجيه الجسم الرئيسي أثناء عبور المانع.</t>
  </si>
  <si>
    <t>ز.   تقييم الموقف مباشرة بعد الانتهاء من عملية التخطي أو التماس مع قوات العدو والقيام بما يلي:</t>
  </si>
  <si>
    <r>
      <t>(1)</t>
    </r>
    <r>
      <rPr>
        <sz val="7"/>
        <color rgb="FF000000"/>
        <rFont val="Times New Roman"/>
        <family val="1"/>
      </rPr>
      <t xml:space="preserve">  </t>
    </r>
    <r>
      <rPr>
        <sz val="12"/>
        <color rgb="FF000000"/>
        <rFont val="Arial"/>
        <family val="2"/>
      </rPr>
      <t xml:space="preserve">  تمرير المعلومات للمستوى الأعلى عند الانتهاء من عملية التخطي وممرات التخطي وارسال تقرير الموقف بعد التماس مع قوات العدو.</t>
    </r>
  </si>
  <si>
    <r>
      <t>(2)</t>
    </r>
    <r>
      <rPr>
        <sz val="7"/>
        <color rgb="FF000000"/>
        <rFont val="Times New Roman"/>
        <family val="1"/>
      </rPr>
      <t xml:space="preserve">  </t>
    </r>
    <r>
      <rPr>
        <sz val="12"/>
        <color rgb="FF000000"/>
        <rFont val="Arial"/>
        <family val="2"/>
      </rPr>
      <t xml:space="preserve">  تأمين أسرى الحرب كما هو مطلوب.</t>
    </r>
  </si>
  <si>
    <t>(3)   معالجة وإخلاء المصابين.</t>
  </si>
  <si>
    <t>تقييم الكتيبة/ مجموعة القتال في تنفيذ عمليات التخطي (التجاوز)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</si>
</sst>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15"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4"/>
      <color rgb="FF000000"/>
      <name val="Arial"/>
      <family val="2"/>
    </font>
    <font>
      <sz val="10"/>
      <color theme="1"/>
      <name val="Calibri Light"/>
      <family val="2"/>
    </font>
    <font>
      <sz val="12"/>
      <color theme="1"/>
      <name val="Calibri Light"/>
      <family val="2"/>
    </font>
    <font>
      <sz val="12"/>
      <color rgb="FF000000"/>
      <name val="Arial"/>
      <family val="2"/>
    </font>
    <font>
      <sz val="14"/>
      <color theme="1"/>
      <name val="Arial"/>
      <family val="2"/>
    </font>
    <font>
      <sz val="7"/>
      <color theme="1"/>
      <name val="Times New Roman"/>
      <family val="1"/>
    </font>
    <font>
      <sz val="14"/>
      <color theme="1"/>
      <name val="Calibri Light"/>
      <family val="2"/>
    </font>
    <font>
      <sz val="7"/>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4" tint="0.59999389629810485"/>
        <bgColor indexed="64"/>
      </patternFill>
    </fill>
  </fills>
  <borders count="25">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86">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2" fillId="0" borderId="18" xfId="0" applyFont="1" applyBorder="1" applyAlignment="1">
      <alignment horizontal="center" vertical="center" wrapText="1" readingOrder="2"/>
    </xf>
    <xf numFmtId="0" fontId="8" fillId="0" borderId="2" xfId="0" applyFont="1" applyBorder="1" applyAlignment="1">
      <alignment vertical="center" wrapText="1"/>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0" fontId="9"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1" xfId="0" applyFont="1" applyBorder="1" applyAlignment="1">
      <alignment horizontal="center" vertical="center" wrapText="1"/>
    </xf>
    <xf numFmtId="9" fontId="3" fillId="0" borderId="11"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1"/>
    </xf>
    <xf numFmtId="0" fontId="2" fillId="0" borderId="11" xfId="0" applyFont="1" applyBorder="1" applyAlignment="1">
      <alignment horizontal="center" vertical="center" wrapText="1" readingOrder="2"/>
    </xf>
    <xf numFmtId="0" fontId="8" fillId="4" borderId="3" xfId="0" applyFont="1" applyFill="1" applyBorder="1" applyAlignment="1">
      <alignment vertical="center" wrapText="1"/>
    </xf>
    <xf numFmtId="0" fontId="3" fillId="4" borderId="3" xfId="0" applyFont="1" applyFill="1" applyBorder="1" applyAlignment="1" applyProtection="1">
      <alignment horizontal="center" vertical="center" wrapText="1" readingOrder="2"/>
      <protection locked="0"/>
    </xf>
    <xf numFmtId="9" fontId="3" fillId="4" borderId="3" xfId="0" applyNumberFormat="1" applyFont="1" applyFill="1" applyBorder="1" applyAlignment="1">
      <alignment horizontal="center" vertical="center" wrapText="1" readingOrder="2"/>
    </xf>
    <xf numFmtId="0" fontId="2" fillId="4" borderId="3" xfId="0" applyFont="1" applyFill="1" applyBorder="1" applyAlignment="1">
      <alignment horizontal="center" vertical="center" wrapText="1" readingOrder="1"/>
    </xf>
    <xf numFmtId="0" fontId="1" fillId="4" borderId="22" xfId="0" applyFont="1" applyFill="1" applyBorder="1" applyAlignment="1">
      <alignment horizontal="right" vertical="center" wrapText="1" readingOrder="2"/>
    </xf>
    <xf numFmtId="0" fontId="1" fillId="4" borderId="23" xfId="0" applyFont="1" applyFill="1" applyBorder="1" applyAlignment="1">
      <alignment horizontal="right" vertical="center" wrapText="1" readingOrder="2"/>
    </xf>
    <xf numFmtId="0" fontId="1" fillId="4" borderId="24" xfId="0" applyFont="1" applyFill="1" applyBorder="1" applyAlignment="1">
      <alignment horizontal="right" vertical="center" wrapText="1" readingOrder="2"/>
    </xf>
    <xf numFmtId="0" fontId="10" fillId="0" borderId="21" xfId="0" applyFont="1" applyBorder="1" applyAlignment="1">
      <alignment horizontal="right" vertical="center" wrapText="1" indent="4" readingOrder="2"/>
    </xf>
    <xf numFmtId="0" fontId="10" fillId="0" borderId="2" xfId="0" applyFont="1" applyBorder="1" applyAlignment="1">
      <alignment horizontal="right" vertical="center" wrapText="1" indent="4" readingOrder="2"/>
    </xf>
    <xf numFmtId="0" fontId="10" fillId="0" borderId="21" xfId="0" applyFont="1" applyBorder="1" applyAlignment="1">
      <alignment horizontal="right" vertical="center" wrapText="1" readingOrder="2"/>
    </xf>
    <xf numFmtId="0" fontId="10" fillId="0" borderId="2" xfId="0" applyFont="1" applyBorder="1" applyAlignment="1">
      <alignment horizontal="right" vertical="center" wrapText="1" readingOrder="2"/>
    </xf>
    <xf numFmtId="0" fontId="10" fillId="0" borderId="21" xfId="0" applyFont="1" applyBorder="1" applyAlignment="1">
      <alignment horizontal="right" vertical="center" wrapText="1" indent="2" readingOrder="2"/>
    </xf>
    <xf numFmtId="0" fontId="10" fillId="0" borderId="2" xfId="0" applyFont="1" applyBorder="1" applyAlignment="1">
      <alignment horizontal="right" vertical="center" wrapText="1" indent="2" readingOrder="2"/>
    </xf>
    <xf numFmtId="0" fontId="10" fillId="0" borderId="10" xfId="0" applyFont="1" applyBorder="1" applyAlignment="1">
      <alignment horizontal="right" vertical="center" wrapText="1" indent="4" readingOrder="2"/>
    </xf>
    <xf numFmtId="0" fontId="10" fillId="0" borderId="11" xfId="0" applyFont="1" applyBorder="1" applyAlignment="1">
      <alignment horizontal="right" vertical="center" wrapText="1" indent="4" readingOrder="2"/>
    </xf>
    <xf numFmtId="0" fontId="10" fillId="0" borderId="10" xfId="0" applyFont="1" applyBorder="1" applyAlignment="1">
      <alignment horizontal="right" vertical="center" wrapText="1" indent="2" readingOrder="2"/>
    </xf>
    <xf numFmtId="0" fontId="10" fillId="0" borderId="11" xfId="0" applyFont="1" applyBorder="1" applyAlignment="1">
      <alignment horizontal="right" vertical="center" wrapText="1" indent="2" readingOrder="2"/>
    </xf>
    <xf numFmtId="0" fontId="11" fillId="0" borderId="21" xfId="0" applyFont="1" applyBorder="1" applyAlignment="1">
      <alignment horizontal="right" vertical="center" wrapText="1" readingOrder="2"/>
    </xf>
    <xf numFmtId="0" fontId="11" fillId="0" borderId="2" xfId="0" applyFont="1" applyBorder="1" applyAlignment="1">
      <alignment horizontal="right" vertical="center" wrapText="1" readingOrder="2"/>
    </xf>
    <xf numFmtId="0" fontId="13" fillId="0" borderId="21" xfId="0" applyFont="1" applyBorder="1" applyAlignment="1">
      <alignment horizontal="right" vertical="center" wrapText="1" readingOrder="2"/>
    </xf>
    <xf numFmtId="0" fontId="13" fillId="0" borderId="2" xfId="0" applyFont="1" applyBorder="1" applyAlignment="1">
      <alignment horizontal="right" vertical="center" wrapText="1" readingOrder="2"/>
    </xf>
    <xf numFmtId="0" fontId="1" fillId="4" borderId="4" xfId="0" applyFont="1" applyFill="1" applyBorder="1" applyAlignment="1">
      <alignment horizontal="right" vertical="center" wrapText="1" readingOrder="2"/>
    </xf>
    <xf numFmtId="0" fontId="1" fillId="4" borderId="3" xfId="0" applyFont="1" applyFill="1" applyBorder="1" applyAlignment="1">
      <alignment horizontal="right" vertical="center" wrapText="1" readingOrder="2"/>
    </xf>
    <xf numFmtId="0" fontId="3" fillId="0" borderId="2"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5" fillId="3" borderId="17" xfId="0" applyFont="1" applyFill="1" applyBorder="1" applyAlignment="1" applyProtection="1">
      <alignment horizontal="center" vertical="center" wrapText="1" readingOrder="2"/>
      <protection locked="0"/>
    </xf>
    <xf numFmtId="0" fontId="5" fillId="3" borderId="18" xfId="0" applyFont="1" applyFill="1" applyBorder="1" applyAlignment="1" applyProtection="1">
      <alignment horizontal="center" vertical="center" wrapText="1" readingOrder="2"/>
      <protection locked="0"/>
    </xf>
    <xf numFmtId="0" fontId="5" fillId="3" borderId="7" xfId="0" applyFont="1" applyFill="1" applyBorder="1" applyAlignment="1" applyProtection="1">
      <alignment horizontal="center" vertical="center" wrapText="1" readingOrder="2"/>
      <protection locked="0"/>
    </xf>
    <xf numFmtId="0" fontId="5" fillId="3" borderId="8" xfId="0" applyFont="1" applyFill="1" applyBorder="1" applyAlignment="1" applyProtection="1">
      <alignment horizontal="center" vertical="center" wrapText="1" readingOrder="2"/>
      <protection locked="0"/>
    </xf>
    <xf numFmtId="0" fontId="4" fillId="0" borderId="1" xfId="0" applyFont="1" applyBorder="1" applyAlignment="1" applyProtection="1">
      <alignment vertical="top" wrapText="1" readingOrder="2"/>
      <protection locked="0"/>
    </xf>
    <xf numFmtId="0" fontId="4" fillId="0" borderId="0" xfId="0" applyFont="1" applyBorder="1" applyAlignment="1" applyProtection="1">
      <alignment vertical="top" wrapText="1" readingOrder="2"/>
      <protection locked="0"/>
    </xf>
    <xf numFmtId="0" fontId="5" fillId="0" borderId="0" xfId="0" applyFont="1" applyBorder="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0" fontId="3" fillId="0" borderId="11"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6" fillId="3" borderId="11"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6" fillId="3" borderId="14" xfId="0" applyFont="1" applyFill="1" applyBorder="1" applyAlignment="1" applyProtection="1">
      <alignment horizontal="center" vertical="center" wrapText="1" readingOrder="2"/>
      <protection locked="0"/>
    </xf>
    <xf numFmtId="0" fontId="6" fillId="3" borderId="15" xfId="0" applyFont="1" applyFill="1" applyBorder="1" applyAlignment="1" applyProtection="1">
      <alignment horizontal="center"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5" fillId="3" borderId="16" xfId="0" applyFont="1" applyFill="1" applyBorder="1" applyAlignment="1" applyProtection="1">
      <alignment horizontal="center" vertical="center" wrapText="1" readingOrder="2"/>
      <protection locked="0"/>
    </xf>
    <xf numFmtId="0" fontId="3" fillId="4" borderId="3" xfId="0" applyFont="1" applyFill="1" applyBorder="1" applyAlignment="1" applyProtection="1">
      <alignment horizontal="center" vertical="center" wrapText="1" readingOrder="2"/>
      <protection locked="0"/>
    </xf>
    <xf numFmtId="0" fontId="3" fillId="4" borderId="5" xfId="0" applyFont="1" applyFill="1" applyBorder="1" applyAlignment="1" applyProtection="1">
      <alignment horizontal="center" vertical="center" wrapText="1" readingOrder="2"/>
      <protection locked="0"/>
    </xf>
    <xf numFmtId="0" fontId="5" fillId="0" borderId="1" xfId="0" applyFont="1" applyBorder="1" applyAlignment="1" applyProtection="1">
      <alignment horizontal="left" vertical="center" wrapText="1" readingOrder="2"/>
      <protection locked="0"/>
    </xf>
    <xf numFmtId="0" fontId="5" fillId="0" borderId="0" xfId="0" applyFont="1" applyAlignment="1" applyProtection="1">
      <alignment horizontal="left" vertical="center" wrapText="1" readingOrder="2"/>
      <protection locked="0"/>
    </xf>
    <xf numFmtId="0" fontId="2" fillId="0" borderId="19" xfId="0" applyFont="1" applyBorder="1" applyAlignment="1">
      <alignment horizontal="center" vertical="center" wrapText="1" readingOrder="2"/>
    </xf>
    <xf numFmtId="0" fontId="2" fillId="0" borderId="13" xfId="0" applyFont="1" applyBorder="1" applyAlignment="1">
      <alignment horizontal="center" vertical="center" wrapText="1" readingOrder="2"/>
    </xf>
    <xf numFmtId="0" fontId="2" fillId="0" borderId="20" xfId="0" applyFont="1" applyBorder="1" applyAlignment="1">
      <alignment horizontal="center" vertical="center" wrapText="1" readingOrder="2"/>
    </xf>
    <xf numFmtId="49" fontId="4" fillId="0" borderId="0" xfId="0" applyNumberFormat="1" applyFont="1" applyAlignment="1" applyProtection="1">
      <alignment horizontal="center" vertical="center" wrapText="1" readingOrder="2"/>
      <protection locked="0"/>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54"/>
  <sheetViews>
    <sheetView rightToLeft="1" tabSelected="1" view="pageBreakPreview"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2" customWidth="1"/>
    <col min="9" max="9" width="9.28515625" style="1" customWidth="1"/>
    <col min="10" max="10" width="15.42578125" style="1" customWidth="1"/>
    <col min="11" max="16384" width="9" style="1"/>
  </cols>
  <sheetData>
    <row r="1" spans="1:10" ht="45" customHeight="1" x14ac:dyDescent="0.25">
      <c r="B1" s="85" t="s">
        <v>70</v>
      </c>
      <c r="C1" s="85"/>
      <c r="D1" s="85"/>
      <c r="E1" s="85"/>
      <c r="F1" s="85"/>
      <c r="G1" s="85"/>
      <c r="H1" s="85"/>
      <c r="I1" s="85"/>
      <c r="J1" s="85"/>
    </row>
    <row r="2" spans="1:10" ht="30" customHeight="1" x14ac:dyDescent="0.25">
      <c r="B2" s="11" t="s">
        <v>8</v>
      </c>
      <c r="C2" s="67" t="s">
        <v>23</v>
      </c>
      <c r="D2" s="67"/>
      <c r="E2" s="11" t="s">
        <v>7</v>
      </c>
      <c r="F2" s="62" t="s">
        <v>22</v>
      </c>
      <c r="G2" s="62"/>
      <c r="H2" s="62"/>
      <c r="I2" s="62"/>
      <c r="J2" s="62"/>
    </row>
    <row r="3" spans="1:10" ht="30" customHeight="1" x14ac:dyDescent="0.25">
      <c r="B3" s="11" t="s">
        <v>9</v>
      </c>
      <c r="C3" s="67" t="s">
        <v>25</v>
      </c>
      <c r="D3" s="67"/>
      <c r="E3" s="11" t="s">
        <v>6</v>
      </c>
      <c r="F3" s="67" t="s">
        <v>24</v>
      </c>
      <c r="G3" s="67"/>
      <c r="H3" s="67"/>
      <c r="I3" s="67"/>
      <c r="J3" s="67"/>
    </row>
    <row r="4" spans="1:10" ht="30" customHeight="1" thickBot="1" x14ac:dyDescent="0.3">
      <c r="B4" s="5"/>
      <c r="C4" s="6"/>
      <c r="D4" s="6"/>
      <c r="E4" s="5"/>
      <c r="F4" s="6"/>
      <c r="G4" s="6"/>
      <c r="H4" s="7"/>
      <c r="I4" s="6"/>
      <c r="J4" s="6"/>
    </row>
    <row r="5" spans="1:10" ht="24.95" customHeight="1" x14ac:dyDescent="0.25">
      <c r="A5" s="9"/>
      <c r="B5" s="63" t="s">
        <v>0</v>
      </c>
      <c r="C5" s="64"/>
      <c r="D5" s="64"/>
      <c r="E5" s="72" t="s">
        <v>1</v>
      </c>
      <c r="F5" s="72"/>
      <c r="G5" s="72"/>
      <c r="H5" s="72"/>
      <c r="I5" s="72" t="s">
        <v>2</v>
      </c>
      <c r="J5" s="73"/>
    </row>
    <row r="6" spans="1:10" ht="24.95" customHeight="1" thickBot="1" x14ac:dyDescent="0.3">
      <c r="A6" s="9"/>
      <c r="B6" s="65"/>
      <c r="C6" s="66"/>
      <c r="D6" s="66"/>
      <c r="E6" s="10" t="s">
        <v>3</v>
      </c>
      <c r="F6" s="10" t="s">
        <v>4</v>
      </c>
      <c r="G6" s="10" t="s">
        <v>15</v>
      </c>
      <c r="H6" s="10" t="s">
        <v>16</v>
      </c>
      <c r="I6" s="74"/>
      <c r="J6" s="75"/>
    </row>
    <row r="7" spans="1:10" ht="24.95" customHeight="1" thickBot="1" x14ac:dyDescent="0.3">
      <c r="A7" s="9"/>
      <c r="B7" s="70" t="s">
        <v>13</v>
      </c>
      <c r="C7" s="71"/>
      <c r="D7" s="71"/>
      <c r="E7" s="14" t="s">
        <v>10</v>
      </c>
      <c r="F7" s="14" t="s">
        <v>11</v>
      </c>
      <c r="G7" s="14" t="s">
        <v>14</v>
      </c>
      <c r="H7" s="14" t="s">
        <v>12</v>
      </c>
      <c r="I7" s="76" t="s">
        <v>17</v>
      </c>
      <c r="J7" s="77"/>
    </row>
    <row r="8" spans="1:10" ht="39.950000000000003" customHeight="1" x14ac:dyDescent="0.25">
      <c r="A8" s="9"/>
      <c r="B8" s="29" t="s">
        <v>28</v>
      </c>
      <c r="C8" s="30"/>
      <c r="D8" s="30"/>
      <c r="E8" s="30"/>
      <c r="F8" s="30"/>
      <c r="G8" s="30"/>
      <c r="H8" s="30"/>
      <c r="I8" s="30"/>
      <c r="J8" s="31"/>
    </row>
    <row r="9" spans="1:10" ht="39.950000000000003" customHeight="1" x14ac:dyDescent="0.25">
      <c r="A9" s="9"/>
      <c r="B9" s="42" t="s">
        <v>29</v>
      </c>
      <c r="C9" s="43"/>
      <c r="D9" s="43"/>
      <c r="E9" s="16"/>
      <c r="F9" s="12"/>
      <c r="G9" s="17"/>
      <c r="H9" s="18"/>
      <c r="I9" s="48"/>
      <c r="J9" s="49"/>
    </row>
    <row r="10" spans="1:10" ht="39.950000000000003" customHeight="1" x14ac:dyDescent="0.25">
      <c r="A10" s="9"/>
      <c r="B10" s="36" t="s">
        <v>30</v>
      </c>
      <c r="C10" s="37"/>
      <c r="D10" s="37"/>
      <c r="E10" s="8">
        <v>5</v>
      </c>
      <c r="F10" s="12" t="s">
        <v>26</v>
      </c>
      <c r="G10" s="17" t="str">
        <f t="shared" ref="G10:G49" si="0">IFERROR(F10/E10,"")</f>
        <v/>
      </c>
      <c r="H10" s="18" t="str">
        <f t="shared" ref="H10:H49" si="1">_xlfn.IFS(F10="أدخل العلامة","",F10="لا ينطبق","تم الإلغاء",G10&gt;=90%,"ممتاز",G10&gt;=80%,"جيد جداً",G10&gt;=70%,"جيد",G10&gt;=60%,"مقبول",G10&lt;60%,"راسب")</f>
        <v/>
      </c>
      <c r="I10" s="48"/>
      <c r="J10" s="49"/>
    </row>
    <row r="11" spans="1:10" ht="39.950000000000003" customHeight="1" x14ac:dyDescent="0.25">
      <c r="A11" s="9"/>
      <c r="B11" s="36" t="s">
        <v>31</v>
      </c>
      <c r="C11" s="37"/>
      <c r="D11" s="37"/>
      <c r="E11" s="8">
        <v>5</v>
      </c>
      <c r="F11" s="12" t="s">
        <v>26</v>
      </c>
      <c r="G11" s="17" t="str">
        <f t="shared" si="0"/>
        <v/>
      </c>
      <c r="H11" s="18" t="str">
        <f t="shared" si="1"/>
        <v/>
      </c>
      <c r="I11" s="48"/>
      <c r="J11" s="49"/>
    </row>
    <row r="12" spans="1:10" ht="39.950000000000003" customHeight="1" x14ac:dyDescent="0.25">
      <c r="A12" s="9"/>
      <c r="B12" s="36" t="s">
        <v>32</v>
      </c>
      <c r="C12" s="37"/>
      <c r="D12" s="37"/>
      <c r="E12" s="16"/>
      <c r="F12" s="12"/>
      <c r="G12" s="17"/>
      <c r="H12" s="18"/>
      <c r="I12" s="48"/>
      <c r="J12" s="49"/>
    </row>
    <row r="13" spans="1:10" ht="39.950000000000003" customHeight="1" x14ac:dyDescent="0.25">
      <c r="A13" s="9"/>
      <c r="B13" s="32" t="s">
        <v>33</v>
      </c>
      <c r="C13" s="33"/>
      <c r="D13" s="33"/>
      <c r="E13" s="8">
        <v>5</v>
      </c>
      <c r="F13" s="12" t="s">
        <v>26</v>
      </c>
      <c r="G13" s="17" t="str">
        <f t="shared" si="0"/>
        <v/>
      </c>
      <c r="H13" s="18" t="str">
        <f t="shared" si="1"/>
        <v/>
      </c>
      <c r="I13" s="48"/>
      <c r="J13" s="49"/>
    </row>
    <row r="14" spans="1:10" ht="39.950000000000003" customHeight="1" x14ac:dyDescent="0.25">
      <c r="A14" s="9"/>
      <c r="B14" s="32" t="s">
        <v>34</v>
      </c>
      <c r="C14" s="33"/>
      <c r="D14" s="33"/>
      <c r="E14" s="8">
        <v>5</v>
      </c>
      <c r="F14" s="12" t="s">
        <v>26</v>
      </c>
      <c r="G14" s="17" t="str">
        <f t="shared" si="0"/>
        <v/>
      </c>
      <c r="H14" s="18" t="str">
        <f t="shared" si="1"/>
        <v/>
      </c>
      <c r="I14" s="48"/>
      <c r="J14" s="49"/>
    </row>
    <row r="15" spans="1:10" ht="39.950000000000003" customHeight="1" x14ac:dyDescent="0.25">
      <c r="A15" s="9"/>
      <c r="B15" s="32" t="s">
        <v>35</v>
      </c>
      <c r="C15" s="33"/>
      <c r="D15" s="33"/>
      <c r="E15" s="8">
        <v>5</v>
      </c>
      <c r="F15" s="12" t="s">
        <v>26</v>
      </c>
      <c r="G15" s="17" t="str">
        <f t="shared" si="0"/>
        <v/>
      </c>
      <c r="H15" s="18" t="str">
        <f t="shared" si="1"/>
        <v/>
      </c>
      <c r="I15" s="48"/>
      <c r="J15" s="49"/>
    </row>
    <row r="16" spans="1:10" ht="39.950000000000003" customHeight="1" x14ac:dyDescent="0.25">
      <c r="A16" s="9"/>
      <c r="B16" s="36" t="s">
        <v>36</v>
      </c>
      <c r="C16" s="37"/>
      <c r="D16" s="37"/>
      <c r="E16" s="8"/>
      <c r="F16" s="12" t="s">
        <v>26</v>
      </c>
      <c r="G16" s="17" t="str">
        <f t="shared" si="0"/>
        <v/>
      </c>
      <c r="H16" s="18" t="str">
        <f t="shared" si="1"/>
        <v/>
      </c>
      <c r="I16" s="48"/>
      <c r="J16" s="49"/>
    </row>
    <row r="17" spans="1:10" ht="39.950000000000003" customHeight="1" x14ac:dyDescent="0.25">
      <c r="A17" s="9"/>
      <c r="B17" s="32" t="s">
        <v>37</v>
      </c>
      <c r="C17" s="33"/>
      <c r="D17" s="33"/>
      <c r="E17" s="8">
        <v>5</v>
      </c>
      <c r="F17" s="12" t="s">
        <v>26</v>
      </c>
      <c r="G17" s="17" t="str">
        <f t="shared" si="0"/>
        <v/>
      </c>
      <c r="H17" s="18" t="str">
        <f t="shared" si="1"/>
        <v/>
      </c>
      <c r="I17" s="48"/>
      <c r="J17" s="49"/>
    </row>
    <row r="18" spans="1:10" ht="54.95" customHeight="1" x14ac:dyDescent="0.25">
      <c r="A18" s="9"/>
      <c r="B18" s="32" t="s">
        <v>38</v>
      </c>
      <c r="C18" s="33"/>
      <c r="D18" s="33"/>
      <c r="E18" s="8">
        <v>5</v>
      </c>
      <c r="F18" s="12" t="s">
        <v>26</v>
      </c>
      <c r="G18" s="17" t="str">
        <f t="shared" si="0"/>
        <v/>
      </c>
      <c r="H18" s="18" t="str">
        <f t="shared" si="1"/>
        <v/>
      </c>
      <c r="I18" s="48"/>
      <c r="J18" s="49"/>
    </row>
    <row r="19" spans="1:10" ht="39.950000000000003" customHeight="1" x14ac:dyDescent="0.25">
      <c r="A19" s="9"/>
      <c r="B19" s="32" t="s">
        <v>39</v>
      </c>
      <c r="C19" s="33"/>
      <c r="D19" s="33"/>
      <c r="E19" s="8">
        <v>5</v>
      </c>
      <c r="F19" s="12" t="s">
        <v>26</v>
      </c>
      <c r="G19" s="17" t="str">
        <f t="shared" si="0"/>
        <v/>
      </c>
      <c r="H19" s="18" t="str">
        <f t="shared" si="1"/>
        <v/>
      </c>
      <c r="I19" s="48"/>
      <c r="J19" s="49"/>
    </row>
    <row r="20" spans="1:10" ht="54.95" customHeight="1" x14ac:dyDescent="0.25">
      <c r="A20" s="9"/>
      <c r="B20" s="44" t="s">
        <v>40</v>
      </c>
      <c r="C20" s="45"/>
      <c r="D20" s="45"/>
      <c r="E20" s="16"/>
      <c r="F20" s="12"/>
      <c r="G20" s="17"/>
      <c r="H20" s="18"/>
      <c r="I20" s="48"/>
      <c r="J20" s="49"/>
    </row>
    <row r="21" spans="1:10" ht="39.950000000000003" customHeight="1" thickBot="1" x14ac:dyDescent="0.3">
      <c r="A21" s="9"/>
      <c r="B21" s="40" t="s">
        <v>41</v>
      </c>
      <c r="C21" s="41"/>
      <c r="D21" s="41"/>
      <c r="E21" s="24">
        <v>5</v>
      </c>
      <c r="F21" s="13" t="s">
        <v>26</v>
      </c>
      <c r="G21" s="22" t="str">
        <f t="shared" si="0"/>
        <v/>
      </c>
      <c r="H21" s="23" t="str">
        <f t="shared" si="1"/>
        <v/>
      </c>
      <c r="I21" s="60"/>
      <c r="J21" s="61"/>
    </row>
    <row r="22" spans="1:10" ht="39.950000000000003" customHeight="1" x14ac:dyDescent="0.25">
      <c r="A22" s="9"/>
      <c r="B22" s="46" t="s">
        <v>42</v>
      </c>
      <c r="C22" s="47"/>
      <c r="D22" s="47"/>
      <c r="E22" s="25"/>
      <c r="F22" s="26"/>
      <c r="G22" s="27"/>
      <c r="H22" s="28"/>
      <c r="I22" s="78"/>
      <c r="J22" s="79"/>
    </row>
    <row r="23" spans="1:10" ht="39.950000000000003" customHeight="1" x14ac:dyDescent="0.25">
      <c r="A23" s="9"/>
      <c r="B23" s="34" t="s">
        <v>43</v>
      </c>
      <c r="C23" s="35"/>
      <c r="D23" s="35"/>
      <c r="E23" s="8"/>
      <c r="F23" s="12"/>
      <c r="G23" s="17"/>
      <c r="H23" s="18"/>
      <c r="I23" s="48"/>
      <c r="J23" s="49"/>
    </row>
    <row r="24" spans="1:10" ht="39.950000000000003" customHeight="1" x14ac:dyDescent="0.25">
      <c r="A24" s="9"/>
      <c r="B24" s="36" t="s">
        <v>44</v>
      </c>
      <c r="C24" s="37"/>
      <c r="D24" s="37"/>
      <c r="E24" s="8">
        <v>5</v>
      </c>
      <c r="F24" s="12" t="s">
        <v>26</v>
      </c>
      <c r="G24" s="17" t="str">
        <f t="shared" si="0"/>
        <v/>
      </c>
      <c r="H24" s="18" t="str">
        <f t="shared" si="1"/>
        <v/>
      </c>
      <c r="I24" s="48"/>
      <c r="J24" s="49"/>
    </row>
    <row r="25" spans="1:10" ht="39.950000000000003" customHeight="1" x14ac:dyDescent="0.25">
      <c r="A25" s="9"/>
      <c r="B25" s="36" t="s">
        <v>45</v>
      </c>
      <c r="C25" s="37"/>
      <c r="D25" s="37"/>
      <c r="E25" s="8">
        <v>5</v>
      </c>
      <c r="F25" s="12" t="s">
        <v>26</v>
      </c>
      <c r="G25" s="17" t="str">
        <f t="shared" si="0"/>
        <v/>
      </c>
      <c r="H25" s="18" t="str">
        <f t="shared" si="1"/>
        <v/>
      </c>
      <c r="I25" s="48"/>
      <c r="J25" s="49"/>
    </row>
    <row r="26" spans="1:10" ht="65.099999999999994" customHeight="1" x14ac:dyDescent="0.25">
      <c r="A26" s="9"/>
      <c r="B26" s="36" t="s">
        <v>46</v>
      </c>
      <c r="C26" s="37"/>
      <c r="D26" s="37"/>
      <c r="E26" s="8">
        <v>5</v>
      </c>
      <c r="F26" s="12" t="s">
        <v>26</v>
      </c>
      <c r="G26" s="17" t="str">
        <f t="shared" si="0"/>
        <v/>
      </c>
      <c r="H26" s="18" t="str">
        <f t="shared" si="1"/>
        <v/>
      </c>
      <c r="I26" s="48"/>
      <c r="J26" s="49"/>
    </row>
    <row r="27" spans="1:10" ht="39.950000000000003" customHeight="1" thickBot="1" x14ac:dyDescent="0.3">
      <c r="A27" s="9"/>
      <c r="B27" s="40" t="s">
        <v>47</v>
      </c>
      <c r="C27" s="41"/>
      <c r="D27" s="41"/>
      <c r="E27" s="24">
        <v>5</v>
      </c>
      <c r="F27" s="13" t="s">
        <v>26</v>
      </c>
      <c r="G27" s="22" t="str">
        <f t="shared" si="0"/>
        <v/>
      </c>
      <c r="H27" s="23" t="str">
        <f t="shared" si="1"/>
        <v/>
      </c>
      <c r="I27" s="60"/>
      <c r="J27" s="61"/>
    </row>
    <row r="28" spans="1:10" ht="39.950000000000003" customHeight="1" x14ac:dyDescent="0.25">
      <c r="A28" s="9"/>
      <c r="B28" s="29" t="s">
        <v>48</v>
      </c>
      <c r="C28" s="30"/>
      <c r="D28" s="30"/>
      <c r="E28" s="30"/>
      <c r="F28" s="30"/>
      <c r="G28" s="30"/>
      <c r="H28" s="30"/>
      <c r="I28" s="30"/>
      <c r="J28" s="31"/>
    </row>
    <row r="29" spans="1:10" ht="39.950000000000003" customHeight="1" x14ac:dyDescent="0.25">
      <c r="A29" s="9"/>
      <c r="B29" s="42" t="s">
        <v>49</v>
      </c>
      <c r="C29" s="43"/>
      <c r="D29" s="43"/>
      <c r="E29" s="8"/>
      <c r="F29" s="12"/>
      <c r="G29" s="17"/>
      <c r="H29" s="18"/>
      <c r="I29" s="48"/>
      <c r="J29" s="49"/>
    </row>
    <row r="30" spans="1:10" ht="39.950000000000003" customHeight="1" x14ac:dyDescent="0.25">
      <c r="A30" s="9"/>
      <c r="B30" s="36" t="s">
        <v>50</v>
      </c>
      <c r="C30" s="37"/>
      <c r="D30" s="37"/>
      <c r="E30" s="8">
        <v>5</v>
      </c>
      <c r="F30" s="12" t="s">
        <v>26</v>
      </c>
      <c r="G30" s="17" t="str">
        <f t="shared" si="0"/>
        <v/>
      </c>
      <c r="H30" s="18" t="str">
        <f t="shared" si="1"/>
        <v/>
      </c>
      <c r="I30" s="48"/>
      <c r="J30" s="49"/>
    </row>
    <row r="31" spans="1:10" ht="39.950000000000003" customHeight="1" x14ac:dyDescent="0.25">
      <c r="A31" s="9"/>
      <c r="B31" s="36" t="s">
        <v>51</v>
      </c>
      <c r="C31" s="37"/>
      <c r="D31" s="37"/>
      <c r="E31" s="8">
        <v>5</v>
      </c>
      <c r="F31" s="12" t="s">
        <v>26</v>
      </c>
      <c r="G31" s="17" t="str">
        <f t="shared" si="0"/>
        <v/>
      </c>
      <c r="H31" s="18" t="str">
        <f t="shared" si="1"/>
        <v/>
      </c>
      <c r="I31" s="48"/>
      <c r="J31" s="49"/>
    </row>
    <row r="32" spans="1:10" ht="39.950000000000003" customHeight="1" x14ac:dyDescent="0.25">
      <c r="A32" s="9"/>
      <c r="B32" s="36" t="s">
        <v>52</v>
      </c>
      <c r="C32" s="37"/>
      <c r="D32" s="37"/>
      <c r="E32" s="8">
        <v>5</v>
      </c>
      <c r="F32" s="12" t="s">
        <v>26</v>
      </c>
      <c r="G32" s="17" t="str">
        <f t="shared" si="0"/>
        <v/>
      </c>
      <c r="H32" s="18" t="str">
        <f t="shared" si="1"/>
        <v/>
      </c>
      <c r="I32" s="48"/>
      <c r="J32" s="49"/>
    </row>
    <row r="33" spans="1:10" ht="39.950000000000003" customHeight="1" x14ac:dyDescent="0.25">
      <c r="A33" s="9"/>
      <c r="B33" s="36" t="s">
        <v>53</v>
      </c>
      <c r="C33" s="37"/>
      <c r="D33" s="37"/>
      <c r="E33" s="8">
        <v>5</v>
      </c>
      <c r="F33" s="12" t="s">
        <v>26</v>
      </c>
      <c r="G33" s="17" t="str">
        <f t="shared" si="0"/>
        <v/>
      </c>
      <c r="H33" s="18" t="str">
        <f t="shared" si="1"/>
        <v/>
      </c>
      <c r="I33" s="48"/>
      <c r="J33" s="49"/>
    </row>
    <row r="34" spans="1:10" ht="39.950000000000003" customHeight="1" x14ac:dyDescent="0.25">
      <c r="A34" s="9"/>
      <c r="B34" s="36" t="s">
        <v>54</v>
      </c>
      <c r="C34" s="37"/>
      <c r="D34" s="37"/>
      <c r="E34" s="16"/>
      <c r="F34" s="12"/>
      <c r="G34" s="17"/>
      <c r="H34" s="18"/>
      <c r="I34" s="48"/>
      <c r="J34" s="49"/>
    </row>
    <row r="35" spans="1:10" ht="39.950000000000003" customHeight="1" x14ac:dyDescent="0.25">
      <c r="A35" s="9"/>
      <c r="B35" s="32" t="s">
        <v>55</v>
      </c>
      <c r="C35" s="33"/>
      <c r="D35" s="33"/>
      <c r="E35" s="8">
        <v>5</v>
      </c>
      <c r="F35" s="12" t="s">
        <v>26</v>
      </c>
      <c r="G35" s="17" t="str">
        <f t="shared" si="0"/>
        <v/>
      </c>
      <c r="H35" s="18" t="str">
        <f t="shared" si="1"/>
        <v/>
      </c>
      <c r="I35" s="48"/>
      <c r="J35" s="49"/>
    </row>
    <row r="36" spans="1:10" ht="39.950000000000003" customHeight="1" x14ac:dyDescent="0.25">
      <c r="A36" s="9"/>
      <c r="B36" s="32" t="s">
        <v>56</v>
      </c>
      <c r="C36" s="33"/>
      <c r="D36" s="33"/>
      <c r="E36" s="8">
        <v>5</v>
      </c>
      <c r="F36" s="12" t="s">
        <v>26</v>
      </c>
      <c r="G36" s="17" t="str">
        <f t="shared" si="0"/>
        <v/>
      </c>
      <c r="H36" s="18" t="str">
        <f t="shared" si="1"/>
        <v/>
      </c>
      <c r="I36" s="48"/>
      <c r="J36" s="49"/>
    </row>
    <row r="37" spans="1:10" ht="39.950000000000003" customHeight="1" x14ac:dyDescent="0.25">
      <c r="A37" s="9"/>
      <c r="B37" s="32" t="s">
        <v>57</v>
      </c>
      <c r="C37" s="33"/>
      <c r="D37" s="33"/>
      <c r="E37" s="8">
        <v>5</v>
      </c>
      <c r="F37" s="12" t="s">
        <v>26</v>
      </c>
      <c r="G37" s="17" t="str">
        <f t="shared" si="0"/>
        <v/>
      </c>
      <c r="H37" s="18" t="str">
        <f t="shared" si="1"/>
        <v/>
      </c>
      <c r="I37" s="48"/>
      <c r="J37" s="49"/>
    </row>
    <row r="38" spans="1:10" ht="39.950000000000003" customHeight="1" x14ac:dyDescent="0.25">
      <c r="A38" s="9"/>
      <c r="B38" s="32" t="s">
        <v>58</v>
      </c>
      <c r="C38" s="33"/>
      <c r="D38" s="33"/>
      <c r="E38" s="8">
        <v>5</v>
      </c>
      <c r="F38" s="12" t="s">
        <v>26</v>
      </c>
      <c r="G38" s="17" t="str">
        <f t="shared" si="0"/>
        <v/>
      </c>
      <c r="H38" s="18" t="str">
        <f t="shared" si="1"/>
        <v/>
      </c>
      <c r="I38" s="48"/>
      <c r="J38" s="49"/>
    </row>
    <row r="39" spans="1:10" ht="39.950000000000003" customHeight="1" x14ac:dyDescent="0.25">
      <c r="A39" s="9"/>
      <c r="B39" s="36" t="s">
        <v>59</v>
      </c>
      <c r="C39" s="37"/>
      <c r="D39" s="37"/>
      <c r="E39" s="16"/>
      <c r="F39" s="12"/>
      <c r="G39" s="17"/>
      <c r="H39" s="18"/>
      <c r="I39" s="48"/>
      <c r="J39" s="49"/>
    </row>
    <row r="40" spans="1:10" ht="39.950000000000003" customHeight="1" x14ac:dyDescent="0.25">
      <c r="A40" s="9"/>
      <c r="B40" s="32" t="s">
        <v>60</v>
      </c>
      <c r="C40" s="33"/>
      <c r="D40" s="33"/>
      <c r="E40" s="8">
        <v>5</v>
      </c>
      <c r="F40" s="12" t="s">
        <v>26</v>
      </c>
      <c r="G40" s="17" t="str">
        <f t="shared" si="0"/>
        <v/>
      </c>
      <c r="H40" s="18" t="str">
        <f t="shared" si="1"/>
        <v/>
      </c>
      <c r="I40" s="48"/>
      <c r="J40" s="49"/>
    </row>
    <row r="41" spans="1:10" ht="39.950000000000003" customHeight="1" x14ac:dyDescent="0.25">
      <c r="A41" s="9"/>
      <c r="B41" s="32" t="s">
        <v>61</v>
      </c>
      <c r="C41" s="33"/>
      <c r="D41" s="33"/>
      <c r="E41" s="8">
        <v>5</v>
      </c>
      <c r="F41" s="12" t="s">
        <v>26</v>
      </c>
      <c r="G41" s="17" t="str">
        <f t="shared" si="0"/>
        <v/>
      </c>
      <c r="H41" s="18" t="str">
        <f t="shared" si="1"/>
        <v/>
      </c>
      <c r="I41" s="48"/>
      <c r="J41" s="49"/>
    </row>
    <row r="42" spans="1:10" ht="39.950000000000003" customHeight="1" x14ac:dyDescent="0.25">
      <c r="A42" s="9"/>
      <c r="B42" s="32" t="s">
        <v>62</v>
      </c>
      <c r="C42" s="33"/>
      <c r="D42" s="33"/>
      <c r="E42" s="8">
        <v>5</v>
      </c>
      <c r="F42" s="12" t="s">
        <v>26</v>
      </c>
      <c r="G42" s="17" t="str">
        <f t="shared" si="0"/>
        <v/>
      </c>
      <c r="H42" s="18" t="str">
        <f t="shared" si="1"/>
        <v/>
      </c>
      <c r="I42" s="48"/>
      <c r="J42" s="49"/>
    </row>
    <row r="43" spans="1:10" ht="39.950000000000003" customHeight="1" x14ac:dyDescent="0.25">
      <c r="A43" s="9"/>
      <c r="B43" s="32" t="s">
        <v>63</v>
      </c>
      <c r="C43" s="33"/>
      <c r="D43" s="33"/>
      <c r="E43" s="8">
        <v>5</v>
      </c>
      <c r="F43" s="12" t="s">
        <v>26</v>
      </c>
      <c r="G43" s="17" t="str">
        <f t="shared" si="0"/>
        <v/>
      </c>
      <c r="H43" s="18" t="str">
        <f t="shared" si="1"/>
        <v/>
      </c>
      <c r="I43" s="48"/>
      <c r="J43" s="49"/>
    </row>
    <row r="44" spans="1:10" ht="39.950000000000003" customHeight="1" x14ac:dyDescent="0.25">
      <c r="A44" s="9"/>
      <c r="B44" s="32" t="s">
        <v>64</v>
      </c>
      <c r="C44" s="33"/>
      <c r="D44" s="33"/>
      <c r="E44" s="8">
        <v>5</v>
      </c>
      <c r="F44" s="12" t="s">
        <v>26</v>
      </c>
      <c r="G44" s="17" t="str">
        <f t="shared" si="0"/>
        <v/>
      </c>
      <c r="H44" s="18" t="str">
        <f t="shared" si="1"/>
        <v/>
      </c>
      <c r="I44" s="48"/>
      <c r="J44" s="49"/>
    </row>
    <row r="45" spans="1:10" ht="54.95" customHeight="1" x14ac:dyDescent="0.25">
      <c r="A45" s="9"/>
      <c r="B45" s="34" t="s">
        <v>65</v>
      </c>
      <c r="C45" s="35"/>
      <c r="D45" s="35"/>
      <c r="E45" s="16"/>
      <c r="F45" s="12"/>
      <c r="G45" s="17"/>
      <c r="H45" s="18"/>
      <c r="I45" s="48"/>
      <c r="J45" s="49"/>
    </row>
    <row r="46" spans="1:10" ht="39.950000000000003" customHeight="1" x14ac:dyDescent="0.25">
      <c r="A46" s="9"/>
      <c r="B46" s="36" t="s">
        <v>66</v>
      </c>
      <c r="C46" s="37"/>
      <c r="D46" s="37"/>
      <c r="E46" s="19"/>
      <c r="F46" s="12"/>
      <c r="G46" s="17"/>
      <c r="H46" s="18"/>
      <c r="I46" s="48"/>
      <c r="J46" s="49"/>
    </row>
    <row r="47" spans="1:10" ht="50.1" customHeight="1" x14ac:dyDescent="0.25">
      <c r="A47" s="9"/>
      <c r="B47" s="32" t="s">
        <v>67</v>
      </c>
      <c r="C47" s="33"/>
      <c r="D47" s="33"/>
      <c r="E47" s="20">
        <v>5</v>
      </c>
      <c r="F47" s="12" t="s">
        <v>26</v>
      </c>
      <c r="G47" s="17" t="str">
        <f t="shared" si="0"/>
        <v/>
      </c>
      <c r="H47" s="18" t="str">
        <f t="shared" si="1"/>
        <v/>
      </c>
      <c r="I47" s="48"/>
      <c r="J47" s="49"/>
    </row>
    <row r="48" spans="1:10" ht="39.950000000000003" customHeight="1" x14ac:dyDescent="0.25">
      <c r="A48" s="9"/>
      <c r="B48" s="32" t="s">
        <v>68</v>
      </c>
      <c r="C48" s="33"/>
      <c r="D48" s="33"/>
      <c r="E48" s="20">
        <v>5</v>
      </c>
      <c r="F48" s="12" t="s">
        <v>26</v>
      </c>
      <c r="G48" s="17" t="str">
        <f t="shared" si="0"/>
        <v/>
      </c>
      <c r="H48" s="18" t="str">
        <f t="shared" si="1"/>
        <v/>
      </c>
      <c r="I48" s="48"/>
      <c r="J48" s="49"/>
    </row>
    <row r="49" spans="1:10" ht="39.950000000000003" customHeight="1" thickBot="1" x14ac:dyDescent="0.3">
      <c r="A49" s="9"/>
      <c r="B49" s="38" t="s">
        <v>69</v>
      </c>
      <c r="C49" s="39"/>
      <c r="D49" s="39"/>
      <c r="E49" s="21">
        <v>5</v>
      </c>
      <c r="F49" s="13" t="s">
        <v>26</v>
      </c>
      <c r="G49" s="22" t="str">
        <f t="shared" si="0"/>
        <v/>
      </c>
      <c r="H49" s="23" t="str">
        <f t="shared" si="1"/>
        <v/>
      </c>
      <c r="I49" s="60"/>
      <c r="J49" s="61"/>
    </row>
    <row r="50" spans="1:10" ht="30" customHeight="1" thickBot="1" x14ac:dyDescent="0.3">
      <c r="A50" s="3"/>
      <c r="B50" s="50" t="s">
        <v>5</v>
      </c>
      <c r="C50" s="51"/>
      <c r="D50" s="51"/>
      <c r="E50" s="15">
        <f>SUM(E8:E49)</f>
        <v>145</v>
      </c>
      <c r="F50" s="15">
        <f>SUM(F8:F49)</f>
        <v>0</v>
      </c>
      <c r="G50" s="82"/>
      <c r="H50" s="83"/>
      <c r="I50" s="83"/>
      <c r="J50" s="84"/>
    </row>
    <row r="51" spans="1:10" ht="30" customHeight="1" thickBot="1" x14ac:dyDescent="0.3">
      <c r="A51" s="3"/>
      <c r="B51" s="52" t="s">
        <v>20</v>
      </c>
      <c r="C51" s="53"/>
      <c r="D51" s="53"/>
      <c r="E51" s="68">
        <f>F50/E50/100*100</f>
        <v>0</v>
      </c>
      <c r="F51" s="68"/>
      <c r="G51" s="68"/>
      <c r="H51" s="68"/>
      <c r="I51" s="68"/>
      <c r="J51" s="69"/>
    </row>
    <row r="52" spans="1:10" ht="30" customHeight="1" thickBot="1" x14ac:dyDescent="0.3">
      <c r="A52" s="3"/>
      <c r="B52" s="52" t="s">
        <v>21</v>
      </c>
      <c r="C52" s="53"/>
      <c r="D52" s="53"/>
      <c r="E52" s="58" t="str">
        <f>_xlfn.IFS(E51&gt;=90%,"ممتاز",E51&gt;=80%,"جيد جداً",E51&gt;=70%,"جيد",E51&gt;=60%,"مقبول",E51&lt;60%,"راسب")</f>
        <v>راسب</v>
      </c>
      <c r="F52" s="58"/>
      <c r="G52" s="58"/>
      <c r="H52" s="58"/>
      <c r="I52" s="58"/>
      <c r="J52" s="59"/>
    </row>
    <row r="53" spans="1:10" ht="42" customHeight="1" x14ac:dyDescent="0.25">
      <c r="B53" s="54" t="s">
        <v>27</v>
      </c>
      <c r="C53" s="54"/>
      <c r="D53" s="54"/>
      <c r="E53" s="80" t="s">
        <v>18</v>
      </c>
      <c r="F53" s="80"/>
      <c r="G53" s="56" t="s">
        <v>24</v>
      </c>
      <c r="H53" s="56"/>
      <c r="I53" s="56"/>
      <c r="J53" s="56"/>
    </row>
    <row r="54" spans="1:10" ht="51" customHeight="1" x14ac:dyDescent="0.25">
      <c r="A54" s="4"/>
      <c r="B54" s="55"/>
      <c r="C54" s="55"/>
      <c r="D54" s="55"/>
      <c r="E54" s="81" t="s">
        <v>19</v>
      </c>
      <c r="F54" s="81"/>
      <c r="G54" s="57"/>
      <c r="H54" s="57"/>
      <c r="I54" s="57"/>
      <c r="J54" s="57"/>
    </row>
  </sheetData>
  <sheetProtection sheet="1" formatCells="0" formatColumns="0" formatRows="0" insertColumns="0" insertRows="0" insertHyperlinks="0" deleteColumns="0" deleteRows="0" selectLockedCells="1" sort="0" autoFilter="0" pivotTables="0"/>
  <mergeCells count="103">
    <mergeCell ref="B1:J1"/>
    <mergeCell ref="F2:J2"/>
    <mergeCell ref="B5:D6"/>
    <mergeCell ref="C2:D2"/>
    <mergeCell ref="C3:D3"/>
    <mergeCell ref="F3:J3"/>
    <mergeCell ref="E51:J51"/>
    <mergeCell ref="B7:D7"/>
    <mergeCell ref="I38:J38"/>
    <mergeCell ref="I39:J39"/>
    <mergeCell ref="I30:J30"/>
    <mergeCell ref="I31:J31"/>
    <mergeCell ref="E5:H5"/>
    <mergeCell ref="I37:J37"/>
    <mergeCell ref="I5:J6"/>
    <mergeCell ref="I7:J7"/>
    <mergeCell ref="I10:J10"/>
    <mergeCell ref="I19:J19"/>
    <mergeCell ref="I20:J20"/>
    <mergeCell ref="I21:J21"/>
    <mergeCell ref="I22:J22"/>
    <mergeCell ref="I23:J23"/>
    <mergeCell ref="I24:J24"/>
    <mergeCell ref="I25:J25"/>
    <mergeCell ref="B53:D54"/>
    <mergeCell ref="G53:J53"/>
    <mergeCell ref="G54:J54"/>
    <mergeCell ref="E52:J52"/>
    <mergeCell ref="I40:J40"/>
    <mergeCell ref="I41:J41"/>
    <mergeCell ref="I42:J42"/>
    <mergeCell ref="I43:J43"/>
    <mergeCell ref="I44:J44"/>
    <mergeCell ref="I49:J49"/>
    <mergeCell ref="I45:J45"/>
    <mergeCell ref="I46:J46"/>
    <mergeCell ref="I47:J47"/>
    <mergeCell ref="I48:J48"/>
    <mergeCell ref="E53:F53"/>
    <mergeCell ref="E54:F54"/>
    <mergeCell ref="G50:J50"/>
    <mergeCell ref="I33:J33"/>
    <mergeCell ref="I34:J34"/>
    <mergeCell ref="I35:J35"/>
    <mergeCell ref="I36:J36"/>
    <mergeCell ref="B50:D50"/>
    <mergeCell ref="B51:D51"/>
    <mergeCell ref="B52:D52"/>
    <mergeCell ref="I11:J11"/>
    <mergeCell ref="I12:J12"/>
    <mergeCell ref="I13:J13"/>
    <mergeCell ref="I14:J14"/>
    <mergeCell ref="I15:J15"/>
    <mergeCell ref="I16:J16"/>
    <mergeCell ref="I17:J17"/>
    <mergeCell ref="I18:J18"/>
    <mergeCell ref="I29:J29"/>
    <mergeCell ref="I26:J26"/>
    <mergeCell ref="I27:J27"/>
    <mergeCell ref="B9:D9"/>
    <mergeCell ref="B10:D10"/>
    <mergeCell ref="B11:D11"/>
    <mergeCell ref="B12:D12"/>
    <mergeCell ref="B13:D13"/>
    <mergeCell ref="B14:D14"/>
    <mergeCell ref="B15:D15"/>
    <mergeCell ref="B16:D16"/>
    <mergeCell ref="I32:J32"/>
    <mergeCell ref="I9:J9"/>
    <mergeCell ref="B34:D34"/>
    <mergeCell ref="B17:D17"/>
    <mergeCell ref="B18:D18"/>
    <mergeCell ref="B19:D19"/>
    <mergeCell ref="B20:D20"/>
    <mergeCell ref="B21:D21"/>
    <mergeCell ref="B22:D22"/>
    <mergeCell ref="B23:D23"/>
    <mergeCell ref="B24:D24"/>
    <mergeCell ref="B25:D25"/>
    <mergeCell ref="B28:J28"/>
    <mergeCell ref="B8:J8"/>
    <mergeCell ref="B44:D44"/>
    <mergeCell ref="B45:D45"/>
    <mergeCell ref="B46:D46"/>
    <mergeCell ref="B47:D47"/>
    <mergeCell ref="B48:D48"/>
    <mergeCell ref="B49:D49"/>
    <mergeCell ref="B35:D35"/>
    <mergeCell ref="B36:D36"/>
    <mergeCell ref="B37:D37"/>
    <mergeCell ref="B38:D38"/>
    <mergeCell ref="B39:D39"/>
    <mergeCell ref="B40:D40"/>
    <mergeCell ref="B41:D41"/>
    <mergeCell ref="B42:D42"/>
    <mergeCell ref="B43:D43"/>
    <mergeCell ref="B26:D26"/>
    <mergeCell ref="B27:D27"/>
    <mergeCell ref="B29:D29"/>
    <mergeCell ref="B30:D30"/>
    <mergeCell ref="B31:D31"/>
    <mergeCell ref="B32:D32"/>
    <mergeCell ref="B33:D33"/>
  </mergeCells>
  <conditionalFormatting sqref="E52">
    <cfRule type="expression" dxfId="23" priority="57">
      <formula>$E52="راسب"</formula>
    </cfRule>
  </conditionalFormatting>
  <conditionalFormatting sqref="E52:J52">
    <cfRule type="expression" dxfId="22" priority="58">
      <formula>$E52="مقبول"</formula>
    </cfRule>
    <cfRule type="expression" dxfId="21" priority="59">
      <formula>$E52="جيد"</formula>
    </cfRule>
    <cfRule type="expression" dxfId="20" priority="60">
      <formula>$E52="جيد جداً"</formula>
    </cfRule>
    <cfRule type="expression" dxfId="19" priority="61">
      <formula>$E52="ممتاز"</formula>
    </cfRule>
  </conditionalFormatting>
  <conditionalFormatting sqref="H10:H27 H29:H49">
    <cfRule type="containsText" dxfId="18" priority="39" operator="containsText" text="ممتاز">
      <formula>NOT(ISERROR(SEARCH("ممتاز",H10)))</formula>
    </cfRule>
    <cfRule type="containsText" dxfId="17" priority="40" operator="containsText" text="جيد جداً">
      <formula>NOT(ISERROR(SEARCH("جيد جداً",H10)))</formula>
    </cfRule>
    <cfRule type="containsText" dxfId="16" priority="41" operator="containsText" text="جيد">
      <formula>NOT(ISERROR(SEARCH("جيد",H10)))</formula>
    </cfRule>
    <cfRule type="containsText" dxfId="15" priority="42" operator="containsText" text="مقبول">
      <formula>NOT(ISERROR(SEARCH("مقبول",H10)))</formula>
    </cfRule>
    <cfRule type="containsText" dxfId="14" priority="43" operator="containsText" text="راسب">
      <formula>NOT(ISERROR(SEARCH("راسب",H10)))</formula>
    </cfRule>
  </conditionalFormatting>
  <conditionalFormatting sqref="H10:H27 H29:H49">
    <cfRule type="containsText" dxfId="13" priority="38" operator="containsText" text="أدخل العلامة">
      <formula>NOT(ISERROR(SEARCH("أدخل العلامة",H10)))</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53:J53">
    <cfRule type="containsText" dxfId="8" priority="15" operator="containsText" text="أدخل اسم المحكم">
      <formula>NOT(ISERROR(SEARCH("أدخل اسم المحكم",G53)))</formula>
    </cfRule>
  </conditionalFormatting>
  <conditionalFormatting sqref="F10:F27 F29:F49">
    <cfRule type="containsText" dxfId="7" priority="14" operator="containsText" text="أدخل العلامة">
      <formula>NOT(ISERROR(SEARCH("أدخل العلامة",F10)))</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14:formula1>
            <xm:f>#REF!</xm:f>
          </x14:formula1>
          <xm:sqref>F2:J2</xm:sqref>
        </x14:dataValidation>
        <x14:dataValidation type="list" allowBlank="1" showInputMessage="1" showErrorMessage="1">
          <x14:formula1>
            <xm:f>#REF!</xm:f>
          </x14:formula1>
          <xm:sqref>C2:D2</xm:sqref>
        </x14:dataValidation>
        <x14:dataValidation type="list" allowBlank="1" showInputMessage="1" showErrorMessage="1">
          <x14:formula1>
            <xm:f>#REF!</xm:f>
          </x14:formula1>
          <xm:sqref>F47:F49 F40:F44 F35:F38 F30:F33 F24:F27 F21 F13:F19 F10:F11</xm:sqref>
        </x14:dataValidation>
        <x14:dataValidation type="list" allowBlank="1" showInputMessage="1" showErrorMessage="1">
          <x14:formula1>
            <xm:f>#REF!</xm:f>
          </x14:formula1>
          <xm:sqref>G53:J53 F3:J3</xm:sqref>
        </x14:dataValidation>
        <x14:dataValidation type="list" allowBlank="1" showInputMessage="1" showErrorMessage="1">
          <x14:formula1>
            <xm:f>#REF!</xm:f>
          </x14:formula1>
          <xm:sqref>C3:D3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2026-08-30T05:11:14Z</dcterms:modified>
</cp:coreProperties>
</file>