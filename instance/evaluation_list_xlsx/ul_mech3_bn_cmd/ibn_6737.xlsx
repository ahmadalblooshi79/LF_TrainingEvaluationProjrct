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التقييم'!$A$1:$J$76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1" i="2" l="1"/>
  <c r="H11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20" i="2"/>
  <c r="H20" i="2" s="1"/>
  <c r="G21" i="2"/>
  <c r="H21" i="2" s="1"/>
  <c r="G22" i="2"/>
  <c r="H22" i="2" s="1"/>
  <c r="G23" i="2"/>
  <c r="H23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7" i="2"/>
  <c r="H37" i="2" s="1"/>
  <c r="G38" i="2"/>
  <c r="H38" i="2" s="1"/>
  <c r="G39" i="2"/>
  <c r="H39" i="2" s="1"/>
  <c r="G40" i="2"/>
  <c r="H40" i="2" s="1"/>
  <c r="G41" i="2"/>
  <c r="H41" i="2" s="1"/>
  <c r="G43" i="2"/>
  <c r="H43" i="2" s="1"/>
  <c r="G44" i="2"/>
  <c r="H44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F72" i="2" l="1"/>
  <c r="E72" i="2" l="1"/>
  <c r="E73" i="2" l="1"/>
  <c r="E74" i="2" s="1"/>
</calcChain>
</file>

<file path=xl/sharedStrings.xml><?xml version="1.0" encoding="utf-8"?>
<sst xmlns="http://schemas.openxmlformats.org/spreadsheetml/2006/main" count="146" uniqueCount="93">
  <si>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</si>
  <si>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</si>
  <si>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</si>
  <si>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</si>
  <si>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</si>
  <si>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</si>
  <si>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</si>
  <si>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</si>
  <si>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</si>
  <si>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</si>
  <si>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</si>
  <si>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</si>
  <si>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</si>
  <si>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</si>
  <si>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</si>
  <si>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</si>
  <si>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</si>
  <si>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</si>
  <si>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</si>
  <si>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</si>
  <si>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</si>
  <si>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</si>
  <si>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</si>
  <si>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</si>
  <si>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</si>
  <si>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</si>
  <si>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</si>
  <si>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</si>
  <si>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</si>
  <si>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(3)   مناطق العمليات للوحدات المرؤوسة.</t>
  </si>
  <si>
    <t>(4)   المقتربات وممرات الحركة من منطقة التجمع وحتى الأهداف.</t>
  </si>
  <si>
    <t>(5)   خط البدء وخطوط الفتح التعبوي.</t>
  </si>
  <si>
    <t>جـ.   تنفيذ التحضير الاستخباري لميدان المعركة.</t>
  </si>
  <si>
    <t>(1)   تحديد قوات الجهد الرئيسي (العملية الحاسمة).</t>
  </si>
  <si>
    <t>(2)   تحديد قوات الجهود المساندة وعمليات التمهيد/ التهيئة.</t>
  </si>
  <si>
    <t>(3)   تحديد قوات الاحتياط (القائد، التأليف والموقع).</t>
  </si>
  <si>
    <t xml:space="preserve">(4)   تخصيص وحدات الإسناد القتالي.  </t>
  </si>
  <si>
    <t>هـ.   توحيد وتنسيق الوظائف القتالية كما يلي:</t>
  </si>
  <si>
    <t>(ب)  تخطيط النيران على جميع مواقع العدو المعروفة والمحتملة ولعزل الهدف.</t>
  </si>
  <si>
    <t>(جـ)   تخطيط نيران الخداع لتضليل العدو وحسب الضرورة.</t>
  </si>
  <si>
    <t>(د)   تخطيط نيران الإعماء/ الحجب عند الضرورة.</t>
  </si>
  <si>
    <t>(هـ)   تخطيط نيران إسناد قوات فتح الثغرة في الموانع.</t>
  </si>
  <si>
    <t>(و)   تخطيط النيران لحماية القوات المقتحمة بواسطة إسكات وتحييد وتدمير أسلحة نيران العدو المباشرة.</t>
  </si>
  <si>
    <t>(ز)   التخطيط للنيران لما بعد الأهداف لإسناد الهجوم السريع أو الدفاع السريع (العمليات اللاحقة).</t>
  </si>
  <si>
    <t>(ح)   تخطيط وتنسيق النيران غير المباشرة والإسناد الجوي القريب لتأخير أو تحييد إعادة تموضع قوات العدو واحتياطه.</t>
  </si>
  <si>
    <t>(ط)   تخطيط النيران ضد تعزيزات العدو أثناء الهجوم ولإسناد التثبت وإعادة التنظيم للقوات الصديقة فور احتلال الهدف والاستيلاء عليه.</t>
  </si>
  <si>
    <t>(ي)   تخطيط النيران لقوات الاحتياط والوحدات اللاحقة.</t>
  </si>
  <si>
    <t>(2)   الإسناد الهندسي:</t>
  </si>
  <si>
    <t>(ب)   دمج وتوحيد متطلبات استخبارات الموانع ضمن متطلبات أولويات الاستخبارات وخطة الاستطلاع.</t>
  </si>
  <si>
    <t>(جـ)   تحديد مكان مواقع فتح الثغرات وعددها بناءً على خطة المناورة والعمل على الهدف وحجم قوة الاقتحام.</t>
  </si>
  <si>
    <t>(د)   التخطيط الملائم للتحول السريع لأولويات الجهد والإسناد الهندسي من أجل تعزيز النجاح أو الاستجابة للمواقف المتغيرة.</t>
  </si>
  <si>
    <t>إجراءات التحضير.</t>
  </si>
  <si>
    <t>أ.    تنقيح الخطة بناءً على الاستخبارات المحدثة باستمرار.</t>
  </si>
  <si>
    <t>ب.  تنفيذ الاستطلاع الواسع من أجل تحديد ما يلي:</t>
  </si>
  <si>
    <t>(1)   حجم وتأليف وتوزيعات قوة العدو في منطقة الأهداف والاحتياط.</t>
  </si>
  <si>
    <t>(2)   موقع ونوع وعمق وتأليف الموانع والممرات حول الموانع.</t>
  </si>
  <si>
    <t>(4)   نوع التحصينات المعادية وجهد القدرة على البقاء.</t>
  </si>
  <si>
    <t>(5)   مناطق اشتباك العدو.</t>
  </si>
  <si>
    <t>(6)   نقاط ضعف العدو.</t>
  </si>
  <si>
    <t>(7)   الفجوات في دفاع العدو.</t>
  </si>
  <si>
    <t>(8)   الأجنحة المكشوفة أو الضعيفة للعدو.</t>
  </si>
  <si>
    <t>(9)   المقتربات غير المراقبة أو المدافع عنها والتي تؤدي إلى أجنحة أو عمق ومؤخرة العدو.</t>
  </si>
  <si>
    <t>(10)   الطرق التي تتوفر فيها التخفية والتستر التي تسمح للقوات الصديقة بالاقتراب من دفاعات العدو.</t>
  </si>
  <si>
    <t>إجراءات التنفيذ.</t>
  </si>
  <si>
    <t>أ.   الحركة من منطقة التجمع إلى منطقة التشكيل وخط البدء، بأسلوب الحركة والتشكيلة المناسبين.</t>
  </si>
  <si>
    <t>ب.  تأسيس قاعدة/ قواعد الاسناد بالنيران.</t>
  </si>
  <si>
    <t>جـ.   تنفيذ خطة الإسناد الناري غير المباشر لإسناد القوات المهاجمة.</t>
  </si>
  <si>
    <t xml:space="preserve">د.   القيام بإجراءات فتح الثغرة في موانع العدو عند الضرورة.  </t>
  </si>
  <si>
    <t xml:space="preserve">هـ.   المناورة من خط البدء إلى الأهداف.   </t>
  </si>
  <si>
    <t>ز.   نقل النيران والدخان لإسكات قوات العدو وحجب قواتنا الصديقة.</t>
  </si>
  <si>
    <t>ح.   اقتحام الأهداف.</t>
  </si>
  <si>
    <t xml:space="preserve">ط.   إشراك الاحتياط عند الحاجة لتعزيز زخم الهجوم ومنع الهجمات المعاكسة للعدو واستغلال النجاح عند الحاجة. </t>
  </si>
  <si>
    <t>ي.   استدعاء مصادر الإدامة للأمام عند الحاجة.</t>
  </si>
  <si>
    <t>ك.   التثبت وإعادة التنظيم على الهدف.</t>
  </si>
  <si>
    <t xml:space="preserve">ل.   تنفيذ التحول حسب الخطة.   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</si>
  <si>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 يعمل القادة في الكتيبة/ مجموعة القتال على فهم الموقف باستخدام كافة الوسائل المتوفرة.</t>
    </r>
  </si>
  <si>
    <r>
      <t>2.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 تستلم قيادة الكتيبة/ مجموعة القتال أمر العمليات من المستوى الأعلى ويتم القيام بما يلي:</t>
    </r>
  </si>
  <si>
    <r>
      <t>أ‌.</t>
    </r>
    <r>
      <rPr>
        <sz val="7"/>
        <color rgb="FF000000"/>
        <rFont val="Arial"/>
        <family val="2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الثمانية.</t>
    </r>
  </si>
  <si>
    <r>
      <t>ب‌.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</si>
  <si>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مناطق التجمع التعبوية للسرايا/ فرق القتال والوحدات المساندة.</t>
    </r>
  </si>
  <si>
    <r>
      <t>(2)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</si>
  <si>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r>
      <t>د.    تنظيم القوات المتوفرة وتجميعها لإنجاز المهمة وتخصيص الواجبات الرئيسة وكما يلي:</t>
    </r>
    <r>
      <rPr>
        <sz val="14"/>
        <color theme="1"/>
        <rFont val="Arial"/>
        <family val="2"/>
      </rPr>
      <t xml:space="preserve">  </t>
    </r>
  </si>
  <si>
    <r>
      <t>(1)</t>
    </r>
    <r>
      <rPr>
        <sz val="7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النيران غير المباشرة:</t>
    </r>
  </si>
  <si>
    <r>
      <t>3.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القائد ومفهوم عملياته.</t>
    </r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</si>
  <si>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تقوم الكتيبة/ مجموعة القتال بالتحضير والاستعداد للمهمة من خلال:</t>
    </r>
  </si>
  <si>
    <r>
      <t>(3)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الطرق المحتملة للهجوم المعاكس أو التعزيزات المعادية.</t>
    </r>
  </si>
  <si>
    <r>
      <t>2.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الإشراف على إجراءات المعركة للوحدات المرؤوسة لضمان أن التخطيط والتحضير يجري بطريقة صحيحة وتتفق مع قصد القائد.</t>
    </r>
  </si>
  <si>
    <r>
      <t>3.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التجارب أثناء النهار وفي فترات الرؤية المحدودة إذا أمكن.</t>
    </r>
  </si>
  <si>
    <r>
      <t>4.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توضيع القوات للحركة.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</si>
  <si>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تنفذ الكتيبة/ مجموعة القتال الهجوم وتقوم بالإجراءات التالية:</t>
    </r>
  </si>
  <si>
    <t>( أ )    تخطيط النيران لإسناد جهد الاستطلاع.</t>
  </si>
  <si>
    <t>( أ )   تحديد واجبات قابلية الحركة الضرورية في منطقة عمليات الكتيبة/ مجموعة القتال وعلى طول ممرات الحركة وحتى الأهداف.</t>
  </si>
  <si>
    <t>تقييم الكتيبة/ مجموعة القتال في تنفيذ الهجوم (المدبر)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</si>
</sst>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right" vertical="center" wrapText="1" indent="1" readingOrder="2"/>
    </xf>
    <xf numFmtId="0" fontId="8" fillId="0" borderId="11" xfId="0" applyFont="1" applyBorder="1" applyAlignment="1">
      <alignment horizontal="right" vertical="center" wrapText="1" indent="1" readingOrder="2"/>
    </xf>
    <xf numFmtId="0" fontId="1" fillId="4" borderId="22" xfId="0" applyFont="1" applyFill="1" applyBorder="1" applyAlignment="1">
      <alignment horizontal="right" vertical="center" wrapText="1" indent="1" readingOrder="2"/>
    </xf>
    <xf numFmtId="0" fontId="1" fillId="4" borderId="23" xfId="0" applyFont="1" applyFill="1" applyBorder="1" applyAlignment="1">
      <alignment horizontal="right" vertical="center" wrapText="1" indent="1" readingOrder="2"/>
    </xf>
    <xf numFmtId="0" fontId="1" fillId="4" borderId="24" xfId="0" applyFont="1" applyFill="1" applyBorder="1" applyAlignment="1">
      <alignment horizontal="right" vertical="center" wrapText="1" indent="1" readingOrder="2"/>
    </xf>
    <xf numFmtId="0" fontId="8" fillId="0" borderId="21" xfId="0" applyFont="1" applyBorder="1" applyAlignment="1">
      <alignment horizontal="right" vertical="center" wrapText="1" indent="1" readingOrder="2"/>
    </xf>
    <xf numFmtId="0" fontId="8" fillId="0" borderId="2" xfId="0" applyFont="1" applyBorder="1" applyAlignment="1">
      <alignment horizontal="right" vertical="center" wrapText="1" indent="1" readingOrder="2"/>
    </xf>
    <xf numFmtId="0" fontId="9" fillId="0" borderId="21" xfId="0" applyFont="1" applyBorder="1" applyAlignment="1">
      <alignment horizontal="right" vertical="center" wrapText="1" indent="1" readingOrder="2"/>
    </xf>
    <xf numFmtId="0" fontId="9" fillId="0" borderId="2" xfId="0" applyFont="1" applyBorder="1" applyAlignment="1">
      <alignment horizontal="right" vertical="center" wrapText="1" indent="1" readingOrder="2"/>
    </xf>
    <xf numFmtId="0" fontId="8" fillId="0" borderId="21" xfId="0" applyFont="1" applyBorder="1" applyAlignment="1">
      <alignment horizontal="right" vertical="center" wrapText="1" indent="7" readingOrder="2"/>
    </xf>
    <xf numFmtId="0" fontId="8" fillId="0" borderId="2" xfId="0" applyFont="1" applyBorder="1" applyAlignment="1">
      <alignment horizontal="right" vertical="center" wrapText="1" indent="7" readingOrder="2"/>
    </xf>
    <xf numFmtId="0" fontId="8" fillId="0" borderId="21" xfId="0" applyFont="1" applyBorder="1" applyAlignment="1">
      <alignment horizontal="right" vertical="center" wrapText="1" indent="5" readingOrder="2"/>
    </xf>
    <xf numFmtId="0" fontId="8" fillId="0" borderId="2" xfId="0" applyFont="1" applyBorder="1" applyAlignment="1">
      <alignment horizontal="right" vertical="center" wrapText="1" indent="5" readingOrder="2"/>
    </xf>
    <xf numFmtId="0" fontId="9" fillId="0" borderId="10" xfId="0" applyFont="1" applyBorder="1" applyAlignment="1">
      <alignment horizontal="right" vertical="center" wrapText="1" indent="1" readingOrder="2"/>
    </xf>
    <xf numFmtId="0" fontId="9" fillId="0" borderId="11" xfId="0" applyFont="1" applyBorder="1" applyAlignment="1">
      <alignment horizontal="right" vertical="center" wrapText="1" indent="1" readingOrder="2"/>
    </xf>
    <xf numFmtId="0" fontId="8" fillId="0" borderId="21" xfId="0" applyFont="1" applyBorder="1" applyAlignment="1">
      <alignment horizontal="right" vertical="center" wrapText="1" indent="3" readingOrder="2"/>
    </xf>
    <xf numFmtId="0" fontId="8" fillId="0" borderId="2" xfId="0" applyFont="1" applyBorder="1" applyAlignment="1">
      <alignment horizontal="right" vertical="center" wrapText="1" indent="3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76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7" t="s">
        <v>92</v>
      </c>
      <c r="C1" s="77"/>
      <c r="D1" s="77"/>
      <c r="E1" s="77"/>
      <c r="F1" s="77"/>
      <c r="G1" s="77"/>
      <c r="H1" s="77"/>
      <c r="I1" s="77"/>
      <c r="J1" s="77"/>
    </row>
    <row r="2" spans="1:10" ht="30" customHeight="1" x14ac:dyDescent="0.25">
      <c r="B2" s="11" t="s">
        <v>8</v>
      </c>
      <c r="C2" s="61" t="s">
        <v>23</v>
      </c>
      <c r="D2" s="61"/>
      <c r="E2" s="11" t="s">
        <v>7</v>
      </c>
      <c r="F2" s="56" t="s">
        <v>22</v>
      </c>
      <c r="G2" s="56"/>
      <c r="H2" s="56"/>
      <c r="I2" s="56"/>
      <c r="J2" s="56"/>
    </row>
    <row r="3" spans="1:10" ht="30" customHeight="1" x14ac:dyDescent="0.25">
      <c r="B3" s="11" t="s">
        <v>9</v>
      </c>
      <c r="C3" s="61" t="s">
        <v>25</v>
      </c>
      <c r="D3" s="61"/>
      <c r="E3" s="11" t="s">
        <v>6</v>
      </c>
      <c r="F3" s="61" t="s">
        <v>24</v>
      </c>
      <c r="G3" s="61"/>
      <c r="H3" s="61"/>
      <c r="I3" s="61"/>
      <c r="J3" s="61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57" t="s">
        <v>0</v>
      </c>
      <c r="C5" s="58"/>
      <c r="D5" s="58"/>
      <c r="E5" s="66" t="s">
        <v>1</v>
      </c>
      <c r="F5" s="66"/>
      <c r="G5" s="66"/>
      <c r="H5" s="66"/>
      <c r="I5" s="66" t="s">
        <v>2</v>
      </c>
      <c r="J5" s="67"/>
    </row>
    <row r="6" spans="1:10" ht="24.95" customHeight="1" thickBot="1" x14ac:dyDescent="0.3">
      <c r="A6" s="9"/>
      <c r="B6" s="59"/>
      <c r="C6" s="60"/>
      <c r="D6" s="60"/>
      <c r="E6" s="10" t="s">
        <v>3</v>
      </c>
      <c r="F6" s="10" t="s">
        <v>4</v>
      </c>
      <c r="G6" s="10" t="s">
        <v>15</v>
      </c>
      <c r="H6" s="10" t="s">
        <v>16</v>
      </c>
      <c r="I6" s="68"/>
      <c r="J6" s="69"/>
    </row>
    <row r="7" spans="1:10" ht="24.95" customHeight="1" thickBot="1" x14ac:dyDescent="0.3">
      <c r="A7" s="9"/>
      <c r="B7" s="64" t="s">
        <v>13</v>
      </c>
      <c r="C7" s="65"/>
      <c r="D7" s="65"/>
      <c r="E7" s="14" t="s">
        <v>10</v>
      </c>
      <c r="F7" s="14" t="s">
        <v>11</v>
      </c>
      <c r="G7" s="14" t="s">
        <v>14</v>
      </c>
      <c r="H7" s="14" t="s">
        <v>12</v>
      </c>
      <c r="I7" s="70" t="s">
        <v>17</v>
      </c>
      <c r="J7" s="71"/>
    </row>
    <row r="8" spans="1:10" ht="39.950000000000003" customHeight="1" x14ac:dyDescent="0.25">
      <c r="A8" s="9"/>
      <c r="B8" s="27" t="s">
        <v>28</v>
      </c>
      <c r="C8" s="28"/>
      <c r="D8" s="28"/>
      <c r="E8" s="28"/>
      <c r="F8" s="28"/>
      <c r="G8" s="28"/>
      <c r="H8" s="28"/>
      <c r="I8" s="28"/>
      <c r="J8" s="29"/>
    </row>
    <row r="9" spans="1:10" ht="39.950000000000003" customHeight="1" x14ac:dyDescent="0.25">
      <c r="A9" s="9"/>
      <c r="B9" s="32" t="s">
        <v>75</v>
      </c>
      <c r="C9" s="33"/>
      <c r="D9" s="33"/>
      <c r="E9" s="8">
        <v>5</v>
      </c>
      <c r="F9" s="12" t="s">
        <v>26</v>
      </c>
      <c r="G9" s="16" t="str">
        <f>IFERROR(F9/E9,"")</f>
        <v/>
      </c>
      <c r="H9" s="17" t="str">
        <f>_xlfn.IFS(F9="أدخل العلامة","",F9="لا ينطبق","تم الإلغاء",G9&gt;=90%,"ممتاز",G9&gt;=80%,"جيد جداً",G9&gt;=70%,"جيد",G9&gt;=60%,"مقبول",G9&lt;60%,"راسب")</f>
        <v/>
      </c>
      <c r="I9" s="42"/>
      <c r="J9" s="43"/>
    </row>
    <row r="10" spans="1:10" ht="39.950000000000003" customHeight="1" x14ac:dyDescent="0.25">
      <c r="A10" s="9"/>
      <c r="B10" s="32" t="s">
        <v>76</v>
      </c>
      <c r="C10" s="33"/>
      <c r="D10" s="33"/>
      <c r="E10" s="23"/>
      <c r="F10" s="12"/>
      <c r="G10" s="16"/>
      <c r="H10" s="17"/>
      <c r="I10" s="42"/>
      <c r="J10" s="43"/>
    </row>
    <row r="11" spans="1:10" ht="39.950000000000003" customHeight="1" x14ac:dyDescent="0.25">
      <c r="A11" s="9"/>
      <c r="B11" s="40" t="s">
        <v>77</v>
      </c>
      <c r="C11" s="41"/>
      <c r="D11" s="41"/>
      <c r="E11" s="8">
        <v>5</v>
      </c>
      <c r="F11" s="12" t="s">
        <v>26</v>
      </c>
      <c r="G11" s="16" t="str">
        <f t="shared" ref="G11:G71" si="0">IFERROR(F11/E11,"")</f>
        <v/>
      </c>
      <c r="H11" s="17" t="str">
        <f t="shared" ref="H11:H71" si="1">_xlfn.IFS(F11="أدخل العلامة","",F11="لا ينطبق","تم الإلغاء",G11&gt;=90%,"ممتاز",G11&gt;=80%,"جيد جداً",G11&gt;=70%,"جيد",G11&gt;=60%,"مقبول",G11&lt;60%,"راسب")</f>
        <v/>
      </c>
      <c r="I11" s="42"/>
      <c r="J11" s="43"/>
    </row>
    <row r="12" spans="1:10" ht="39.950000000000003" customHeight="1" x14ac:dyDescent="0.25">
      <c r="A12" s="9"/>
      <c r="B12" s="40" t="s">
        <v>78</v>
      </c>
      <c r="C12" s="41"/>
      <c r="D12" s="41"/>
      <c r="E12" s="23"/>
      <c r="F12" s="12"/>
      <c r="G12" s="16"/>
      <c r="H12" s="17"/>
      <c r="I12" s="42"/>
      <c r="J12" s="43"/>
    </row>
    <row r="13" spans="1:10" ht="39.950000000000003" customHeight="1" x14ac:dyDescent="0.25">
      <c r="A13" s="9"/>
      <c r="B13" s="36" t="s">
        <v>79</v>
      </c>
      <c r="C13" s="37"/>
      <c r="D13" s="37"/>
      <c r="E13" s="8">
        <v>5</v>
      </c>
      <c r="F13" s="12" t="s">
        <v>26</v>
      </c>
      <c r="G13" s="16" t="str">
        <f t="shared" si="0"/>
        <v/>
      </c>
      <c r="H13" s="17" t="str">
        <f t="shared" si="1"/>
        <v/>
      </c>
      <c r="I13" s="42"/>
      <c r="J13" s="43"/>
    </row>
    <row r="14" spans="1:10" ht="39.950000000000003" customHeight="1" x14ac:dyDescent="0.25">
      <c r="A14" s="9"/>
      <c r="B14" s="36" t="s">
        <v>80</v>
      </c>
      <c r="C14" s="37"/>
      <c r="D14" s="37"/>
      <c r="E14" s="8">
        <v>5</v>
      </c>
      <c r="F14" s="12" t="s">
        <v>26</v>
      </c>
      <c r="G14" s="16" t="str">
        <f t="shared" si="0"/>
        <v/>
      </c>
      <c r="H14" s="17" t="str">
        <f t="shared" si="1"/>
        <v/>
      </c>
      <c r="I14" s="42"/>
      <c r="J14" s="43"/>
    </row>
    <row r="15" spans="1:10" ht="39.950000000000003" customHeight="1" x14ac:dyDescent="0.25">
      <c r="A15" s="9"/>
      <c r="B15" s="36" t="s">
        <v>29</v>
      </c>
      <c r="C15" s="37"/>
      <c r="D15" s="37"/>
      <c r="E15" s="8">
        <v>5</v>
      </c>
      <c r="F15" s="12" t="s">
        <v>26</v>
      </c>
      <c r="G15" s="16" t="str">
        <f t="shared" si="0"/>
        <v/>
      </c>
      <c r="H15" s="17" t="str">
        <f t="shared" si="1"/>
        <v/>
      </c>
      <c r="I15" s="42"/>
      <c r="J15" s="43"/>
    </row>
    <row r="16" spans="1:10" ht="39.950000000000003" customHeight="1" x14ac:dyDescent="0.25">
      <c r="A16" s="9"/>
      <c r="B16" s="36" t="s">
        <v>30</v>
      </c>
      <c r="C16" s="37"/>
      <c r="D16" s="37"/>
      <c r="E16" s="8">
        <v>5</v>
      </c>
      <c r="F16" s="12" t="s">
        <v>26</v>
      </c>
      <c r="G16" s="16" t="str">
        <f t="shared" si="0"/>
        <v/>
      </c>
      <c r="H16" s="17" t="str">
        <f t="shared" si="1"/>
        <v/>
      </c>
      <c r="I16" s="42"/>
      <c r="J16" s="43"/>
    </row>
    <row r="17" spans="1:10" ht="39.950000000000003" customHeight="1" x14ac:dyDescent="0.25">
      <c r="A17" s="9"/>
      <c r="B17" s="36" t="s">
        <v>31</v>
      </c>
      <c r="C17" s="37"/>
      <c r="D17" s="37"/>
      <c r="E17" s="8">
        <v>5</v>
      </c>
      <c r="F17" s="12" t="s">
        <v>26</v>
      </c>
      <c r="G17" s="16" t="str">
        <f t="shared" si="0"/>
        <v/>
      </c>
      <c r="H17" s="17" t="str">
        <f t="shared" si="1"/>
        <v/>
      </c>
      <c r="I17" s="42"/>
      <c r="J17" s="43"/>
    </row>
    <row r="18" spans="1:10" ht="39.950000000000003" customHeight="1" x14ac:dyDescent="0.25">
      <c r="A18" s="9"/>
      <c r="B18" s="40" t="s">
        <v>32</v>
      </c>
      <c r="C18" s="41"/>
      <c r="D18" s="41"/>
      <c r="E18" s="8">
        <v>5</v>
      </c>
      <c r="F18" s="12" t="s">
        <v>26</v>
      </c>
      <c r="G18" s="16" t="str">
        <f t="shared" si="0"/>
        <v/>
      </c>
      <c r="H18" s="17" t="str">
        <f t="shared" si="1"/>
        <v/>
      </c>
      <c r="I18" s="42"/>
      <c r="J18" s="43"/>
    </row>
    <row r="19" spans="1:10" ht="39.950000000000003" customHeight="1" x14ac:dyDescent="0.25">
      <c r="A19" s="9"/>
      <c r="B19" s="40" t="s">
        <v>81</v>
      </c>
      <c r="C19" s="41"/>
      <c r="D19" s="41"/>
      <c r="E19" s="23"/>
      <c r="F19" s="12"/>
      <c r="G19" s="16"/>
      <c r="H19" s="17"/>
      <c r="I19" s="42"/>
      <c r="J19" s="43"/>
    </row>
    <row r="20" spans="1:10" ht="39.950000000000003" customHeight="1" x14ac:dyDescent="0.25">
      <c r="A20" s="9"/>
      <c r="B20" s="36" t="s">
        <v>33</v>
      </c>
      <c r="C20" s="37"/>
      <c r="D20" s="37"/>
      <c r="E20" s="8">
        <v>5</v>
      </c>
      <c r="F20" s="12" t="s">
        <v>26</v>
      </c>
      <c r="G20" s="16" t="str">
        <f t="shared" si="0"/>
        <v/>
      </c>
      <c r="H20" s="17" t="str">
        <f t="shared" si="1"/>
        <v/>
      </c>
      <c r="I20" s="42"/>
      <c r="J20" s="43"/>
    </row>
    <row r="21" spans="1:10" ht="39.950000000000003" customHeight="1" x14ac:dyDescent="0.25">
      <c r="A21" s="9"/>
      <c r="B21" s="36" t="s">
        <v>34</v>
      </c>
      <c r="C21" s="37"/>
      <c r="D21" s="37"/>
      <c r="E21" s="8">
        <v>5</v>
      </c>
      <c r="F21" s="12" t="s">
        <v>26</v>
      </c>
      <c r="G21" s="16" t="str">
        <f t="shared" si="0"/>
        <v/>
      </c>
      <c r="H21" s="17" t="str">
        <f t="shared" si="1"/>
        <v/>
      </c>
      <c r="I21" s="42"/>
      <c r="J21" s="43"/>
    </row>
    <row r="22" spans="1:10" ht="39.950000000000003" customHeight="1" x14ac:dyDescent="0.25">
      <c r="A22" s="9"/>
      <c r="B22" s="36" t="s">
        <v>35</v>
      </c>
      <c r="C22" s="37"/>
      <c r="D22" s="37"/>
      <c r="E22" s="8">
        <v>5</v>
      </c>
      <c r="F22" s="12" t="s">
        <v>26</v>
      </c>
      <c r="G22" s="16" t="str">
        <f t="shared" si="0"/>
        <v/>
      </c>
      <c r="H22" s="17" t="str">
        <f t="shared" si="1"/>
        <v/>
      </c>
      <c r="I22" s="42"/>
      <c r="J22" s="43"/>
    </row>
    <row r="23" spans="1:10" ht="39.950000000000003" customHeight="1" x14ac:dyDescent="0.25">
      <c r="A23" s="9"/>
      <c r="B23" s="36" t="s">
        <v>36</v>
      </c>
      <c r="C23" s="37"/>
      <c r="D23" s="37"/>
      <c r="E23" s="8">
        <v>5</v>
      </c>
      <c r="F23" s="12" t="s">
        <v>26</v>
      </c>
      <c r="G23" s="16" t="str">
        <f t="shared" si="0"/>
        <v/>
      </c>
      <c r="H23" s="17" t="str">
        <f t="shared" si="1"/>
        <v/>
      </c>
      <c r="I23" s="42"/>
      <c r="J23" s="43"/>
    </row>
    <row r="24" spans="1:10" ht="39.950000000000003" customHeight="1" x14ac:dyDescent="0.25">
      <c r="A24" s="9"/>
      <c r="B24" s="40" t="s">
        <v>37</v>
      </c>
      <c r="C24" s="41"/>
      <c r="D24" s="41"/>
      <c r="E24" s="8"/>
      <c r="F24" s="12"/>
      <c r="G24" s="16"/>
      <c r="H24" s="17"/>
      <c r="I24" s="42"/>
      <c r="J24" s="43"/>
    </row>
    <row r="25" spans="1:10" ht="39.950000000000003" customHeight="1" x14ac:dyDescent="0.25">
      <c r="A25" s="9"/>
      <c r="B25" s="36" t="s">
        <v>82</v>
      </c>
      <c r="C25" s="37"/>
      <c r="D25" s="37"/>
      <c r="E25" s="23"/>
      <c r="F25" s="12"/>
      <c r="G25" s="16"/>
      <c r="H25" s="17"/>
      <c r="I25" s="42"/>
      <c r="J25" s="43"/>
    </row>
    <row r="26" spans="1:10" ht="39.950000000000003" customHeight="1" x14ac:dyDescent="0.25">
      <c r="A26" s="9"/>
      <c r="B26" s="34" t="s">
        <v>90</v>
      </c>
      <c r="C26" s="35"/>
      <c r="D26" s="35"/>
      <c r="E26" s="8">
        <v>5</v>
      </c>
      <c r="F26" s="12" t="s">
        <v>26</v>
      </c>
      <c r="G26" s="16" t="str">
        <f t="shared" si="0"/>
        <v/>
      </c>
      <c r="H26" s="17" t="str">
        <f t="shared" si="1"/>
        <v/>
      </c>
      <c r="I26" s="42"/>
      <c r="J26" s="43"/>
    </row>
    <row r="27" spans="1:10" ht="39.950000000000003" customHeight="1" x14ac:dyDescent="0.25">
      <c r="A27" s="9"/>
      <c r="B27" s="34" t="s">
        <v>38</v>
      </c>
      <c r="C27" s="35"/>
      <c r="D27" s="35"/>
      <c r="E27" s="8">
        <v>5</v>
      </c>
      <c r="F27" s="12" t="s">
        <v>26</v>
      </c>
      <c r="G27" s="16" t="str">
        <f t="shared" si="0"/>
        <v/>
      </c>
      <c r="H27" s="17" t="str">
        <f t="shared" si="1"/>
        <v/>
      </c>
      <c r="I27" s="42"/>
      <c r="J27" s="43"/>
    </row>
    <row r="28" spans="1:10" ht="39.950000000000003" customHeight="1" x14ac:dyDescent="0.25">
      <c r="A28" s="9"/>
      <c r="B28" s="34" t="s">
        <v>39</v>
      </c>
      <c r="C28" s="35"/>
      <c r="D28" s="35"/>
      <c r="E28" s="18">
        <v>5</v>
      </c>
      <c r="F28" s="12" t="s">
        <v>26</v>
      </c>
      <c r="G28" s="16" t="str">
        <f t="shared" si="0"/>
        <v/>
      </c>
      <c r="H28" s="17" t="str">
        <f t="shared" si="1"/>
        <v/>
      </c>
      <c r="I28" s="42"/>
      <c r="J28" s="43"/>
    </row>
    <row r="29" spans="1:10" ht="39.950000000000003" customHeight="1" x14ac:dyDescent="0.25">
      <c r="A29" s="9"/>
      <c r="B29" s="34" t="s">
        <v>40</v>
      </c>
      <c r="C29" s="35"/>
      <c r="D29" s="35"/>
      <c r="E29" s="18">
        <v>5</v>
      </c>
      <c r="F29" s="12" t="s">
        <v>26</v>
      </c>
      <c r="G29" s="16" t="str">
        <f t="shared" si="0"/>
        <v/>
      </c>
      <c r="H29" s="17" t="str">
        <f t="shared" si="1"/>
        <v/>
      </c>
      <c r="I29" s="42"/>
      <c r="J29" s="43"/>
    </row>
    <row r="30" spans="1:10" ht="39.950000000000003" customHeight="1" x14ac:dyDescent="0.25">
      <c r="A30" s="9"/>
      <c r="B30" s="34" t="s">
        <v>41</v>
      </c>
      <c r="C30" s="35"/>
      <c r="D30" s="35"/>
      <c r="E30" s="18">
        <v>5</v>
      </c>
      <c r="F30" s="12" t="s">
        <v>26</v>
      </c>
      <c r="G30" s="16" t="str">
        <f t="shared" si="0"/>
        <v/>
      </c>
      <c r="H30" s="17" t="str">
        <f t="shared" si="1"/>
        <v/>
      </c>
      <c r="I30" s="42"/>
      <c r="J30" s="43"/>
    </row>
    <row r="31" spans="1:10" ht="39.950000000000003" customHeight="1" x14ac:dyDescent="0.25">
      <c r="A31" s="9"/>
      <c r="B31" s="34" t="s">
        <v>42</v>
      </c>
      <c r="C31" s="35"/>
      <c r="D31" s="35"/>
      <c r="E31" s="18">
        <v>5</v>
      </c>
      <c r="F31" s="12" t="s">
        <v>26</v>
      </c>
      <c r="G31" s="16" t="str">
        <f t="shared" si="0"/>
        <v/>
      </c>
      <c r="H31" s="17" t="str">
        <f t="shared" si="1"/>
        <v/>
      </c>
      <c r="I31" s="42"/>
      <c r="J31" s="43"/>
    </row>
    <row r="32" spans="1:10" ht="39.950000000000003" customHeight="1" x14ac:dyDescent="0.25">
      <c r="A32" s="9"/>
      <c r="B32" s="34" t="s">
        <v>43</v>
      </c>
      <c r="C32" s="35"/>
      <c r="D32" s="35"/>
      <c r="E32" s="18">
        <v>5</v>
      </c>
      <c r="F32" s="12" t="s">
        <v>26</v>
      </c>
      <c r="G32" s="16" t="str">
        <f t="shared" si="0"/>
        <v/>
      </c>
      <c r="H32" s="17" t="str">
        <f t="shared" si="1"/>
        <v/>
      </c>
      <c r="I32" s="42"/>
      <c r="J32" s="43"/>
    </row>
    <row r="33" spans="1:10" ht="39.950000000000003" customHeight="1" x14ac:dyDescent="0.25">
      <c r="A33" s="9"/>
      <c r="B33" s="34" t="s">
        <v>44</v>
      </c>
      <c r="C33" s="35"/>
      <c r="D33" s="35"/>
      <c r="E33" s="18">
        <v>5</v>
      </c>
      <c r="F33" s="12" t="s">
        <v>26</v>
      </c>
      <c r="G33" s="16" t="str">
        <f t="shared" si="0"/>
        <v/>
      </c>
      <c r="H33" s="17" t="str">
        <f t="shared" si="1"/>
        <v/>
      </c>
      <c r="I33" s="42"/>
      <c r="J33" s="43"/>
    </row>
    <row r="34" spans="1:10" ht="54.95" customHeight="1" x14ac:dyDescent="0.25">
      <c r="A34" s="9"/>
      <c r="B34" s="34" t="s">
        <v>45</v>
      </c>
      <c r="C34" s="35"/>
      <c r="D34" s="35"/>
      <c r="E34" s="18">
        <v>5</v>
      </c>
      <c r="F34" s="12" t="s">
        <v>26</v>
      </c>
      <c r="G34" s="16" t="str">
        <f t="shared" si="0"/>
        <v/>
      </c>
      <c r="H34" s="17" t="str">
        <f t="shared" si="1"/>
        <v/>
      </c>
      <c r="I34" s="42"/>
      <c r="J34" s="43"/>
    </row>
    <row r="35" spans="1:10" ht="39.950000000000003" customHeight="1" x14ac:dyDescent="0.25">
      <c r="A35" s="9"/>
      <c r="B35" s="34" t="s">
        <v>46</v>
      </c>
      <c r="C35" s="35"/>
      <c r="D35" s="35"/>
      <c r="E35" s="18">
        <v>5</v>
      </c>
      <c r="F35" s="12" t="s">
        <v>26</v>
      </c>
      <c r="G35" s="16" t="str">
        <f t="shared" si="0"/>
        <v/>
      </c>
      <c r="H35" s="17" t="str">
        <f t="shared" si="1"/>
        <v/>
      </c>
      <c r="I35" s="42"/>
      <c r="J35" s="43"/>
    </row>
    <row r="36" spans="1:10" ht="39.950000000000003" customHeight="1" x14ac:dyDescent="0.25">
      <c r="A36" s="9"/>
      <c r="B36" s="36" t="s">
        <v>47</v>
      </c>
      <c r="C36" s="37"/>
      <c r="D36" s="37"/>
      <c r="E36" s="24"/>
      <c r="F36" s="12"/>
      <c r="G36" s="16"/>
      <c r="H36" s="17"/>
      <c r="I36" s="42"/>
      <c r="J36" s="43"/>
    </row>
    <row r="37" spans="1:10" ht="54.95" customHeight="1" x14ac:dyDescent="0.25">
      <c r="A37" s="9"/>
      <c r="B37" s="36" t="s">
        <v>91</v>
      </c>
      <c r="C37" s="37"/>
      <c r="D37" s="37"/>
      <c r="E37" s="18">
        <v>5</v>
      </c>
      <c r="F37" s="12" t="s">
        <v>26</v>
      </c>
      <c r="G37" s="16" t="str">
        <f t="shared" si="0"/>
        <v/>
      </c>
      <c r="H37" s="17" t="str">
        <f t="shared" si="1"/>
        <v/>
      </c>
      <c r="I37" s="42"/>
      <c r="J37" s="43"/>
    </row>
    <row r="38" spans="1:10" ht="39.950000000000003" customHeight="1" x14ac:dyDescent="0.25">
      <c r="A38" s="9"/>
      <c r="B38" s="36" t="s">
        <v>48</v>
      </c>
      <c r="C38" s="37"/>
      <c r="D38" s="37"/>
      <c r="E38" s="18">
        <v>5</v>
      </c>
      <c r="F38" s="12" t="s">
        <v>26</v>
      </c>
      <c r="G38" s="16" t="str">
        <f t="shared" si="0"/>
        <v/>
      </c>
      <c r="H38" s="17" t="str">
        <f t="shared" si="1"/>
        <v/>
      </c>
      <c r="I38" s="42"/>
      <c r="J38" s="43"/>
    </row>
    <row r="39" spans="1:10" ht="39.950000000000003" customHeight="1" x14ac:dyDescent="0.25">
      <c r="A39" s="9"/>
      <c r="B39" s="36" t="s">
        <v>49</v>
      </c>
      <c r="C39" s="37"/>
      <c r="D39" s="37"/>
      <c r="E39" s="18">
        <v>5</v>
      </c>
      <c r="F39" s="12" t="s">
        <v>26</v>
      </c>
      <c r="G39" s="16" t="str">
        <f t="shared" si="0"/>
        <v/>
      </c>
      <c r="H39" s="17" t="str">
        <f t="shared" si="1"/>
        <v/>
      </c>
      <c r="I39" s="42"/>
      <c r="J39" s="43"/>
    </row>
    <row r="40" spans="1:10" ht="39.950000000000003" customHeight="1" x14ac:dyDescent="0.25">
      <c r="A40" s="9"/>
      <c r="B40" s="36" t="s">
        <v>50</v>
      </c>
      <c r="C40" s="37"/>
      <c r="D40" s="37"/>
      <c r="E40" s="18">
        <v>5</v>
      </c>
      <c r="F40" s="12" t="s">
        <v>26</v>
      </c>
      <c r="G40" s="16" t="str">
        <f t="shared" si="0"/>
        <v/>
      </c>
      <c r="H40" s="17" t="str">
        <f t="shared" si="1"/>
        <v/>
      </c>
      <c r="I40" s="42"/>
      <c r="J40" s="43"/>
    </row>
    <row r="41" spans="1:10" ht="39.950000000000003" customHeight="1" thickBot="1" x14ac:dyDescent="0.3">
      <c r="A41" s="9"/>
      <c r="B41" s="38" t="s">
        <v>83</v>
      </c>
      <c r="C41" s="39"/>
      <c r="D41" s="39"/>
      <c r="E41" s="22">
        <v>5</v>
      </c>
      <c r="F41" s="13" t="s">
        <v>26</v>
      </c>
      <c r="G41" s="20" t="str">
        <f t="shared" si="0"/>
        <v/>
      </c>
      <c r="H41" s="21" t="str">
        <f t="shared" si="1"/>
        <v/>
      </c>
      <c r="I41" s="54"/>
      <c r="J41" s="55"/>
    </row>
    <row r="42" spans="1:10" ht="39.950000000000003" customHeight="1" x14ac:dyDescent="0.25">
      <c r="A42" s="9"/>
      <c r="B42" s="27" t="s">
        <v>51</v>
      </c>
      <c r="C42" s="28"/>
      <c r="D42" s="28"/>
      <c r="E42" s="28"/>
      <c r="F42" s="28"/>
      <c r="G42" s="28"/>
      <c r="H42" s="28"/>
      <c r="I42" s="28"/>
      <c r="J42" s="29"/>
    </row>
    <row r="43" spans="1:10" ht="39.950000000000003" customHeight="1" x14ac:dyDescent="0.25">
      <c r="A43" s="9"/>
      <c r="B43" s="32" t="s">
        <v>84</v>
      </c>
      <c r="C43" s="33"/>
      <c r="D43" s="33"/>
      <c r="E43" s="8"/>
      <c r="F43" s="12" t="s">
        <v>26</v>
      </c>
      <c r="G43" s="16" t="str">
        <f t="shared" si="0"/>
        <v/>
      </c>
      <c r="H43" s="17" t="str">
        <f t="shared" si="1"/>
        <v/>
      </c>
      <c r="I43" s="42"/>
      <c r="J43" s="43"/>
    </row>
    <row r="44" spans="1:10" ht="39.950000000000003" customHeight="1" x14ac:dyDescent="0.25">
      <c r="A44" s="9"/>
      <c r="B44" s="30" t="s">
        <v>52</v>
      </c>
      <c r="C44" s="31"/>
      <c r="D44" s="31"/>
      <c r="E44" s="8">
        <v>5</v>
      </c>
      <c r="F44" s="12" t="s">
        <v>26</v>
      </c>
      <c r="G44" s="16" t="str">
        <f t="shared" si="0"/>
        <v/>
      </c>
      <c r="H44" s="17" t="str">
        <f t="shared" si="1"/>
        <v/>
      </c>
      <c r="I44" s="42"/>
      <c r="J44" s="43"/>
    </row>
    <row r="45" spans="1:10" ht="39.950000000000003" customHeight="1" x14ac:dyDescent="0.25">
      <c r="A45" s="9"/>
      <c r="B45" s="30" t="s">
        <v>53</v>
      </c>
      <c r="C45" s="31"/>
      <c r="D45" s="31"/>
      <c r="E45" s="23"/>
      <c r="F45" s="12"/>
      <c r="G45" s="16"/>
      <c r="H45" s="17"/>
      <c r="I45" s="42"/>
      <c r="J45" s="43"/>
    </row>
    <row r="46" spans="1:10" ht="39.950000000000003" customHeight="1" x14ac:dyDescent="0.25">
      <c r="A46" s="9"/>
      <c r="B46" s="30" t="s">
        <v>54</v>
      </c>
      <c r="C46" s="31"/>
      <c r="D46" s="31"/>
      <c r="E46" s="8">
        <v>5</v>
      </c>
      <c r="F46" s="12" t="s">
        <v>26</v>
      </c>
      <c r="G46" s="16" t="str">
        <f t="shared" si="0"/>
        <v/>
      </c>
      <c r="H46" s="17" t="str">
        <f t="shared" si="1"/>
        <v/>
      </c>
      <c r="I46" s="42"/>
      <c r="J46" s="43"/>
    </row>
    <row r="47" spans="1:10" ht="39.950000000000003" customHeight="1" x14ac:dyDescent="0.25">
      <c r="A47" s="9"/>
      <c r="B47" s="30" t="s">
        <v>55</v>
      </c>
      <c r="C47" s="31"/>
      <c r="D47" s="31"/>
      <c r="E47" s="8">
        <v>5</v>
      </c>
      <c r="F47" s="12" t="s">
        <v>26</v>
      </c>
      <c r="G47" s="16" t="str">
        <f t="shared" si="0"/>
        <v/>
      </c>
      <c r="H47" s="17" t="str">
        <f t="shared" si="1"/>
        <v/>
      </c>
      <c r="I47" s="42"/>
      <c r="J47" s="43"/>
    </row>
    <row r="48" spans="1:10" ht="39.950000000000003" customHeight="1" x14ac:dyDescent="0.25">
      <c r="A48" s="9"/>
      <c r="B48" s="30" t="s">
        <v>85</v>
      </c>
      <c r="C48" s="31"/>
      <c r="D48" s="31"/>
      <c r="E48" s="8">
        <v>5</v>
      </c>
      <c r="F48" s="12" t="s">
        <v>26</v>
      </c>
      <c r="G48" s="16" t="str">
        <f t="shared" si="0"/>
        <v/>
      </c>
      <c r="H48" s="17" t="str">
        <f t="shared" si="1"/>
        <v/>
      </c>
      <c r="I48" s="42"/>
      <c r="J48" s="43"/>
    </row>
    <row r="49" spans="1:10" ht="39.950000000000003" customHeight="1" x14ac:dyDescent="0.25">
      <c r="A49" s="9"/>
      <c r="B49" s="30" t="s">
        <v>56</v>
      </c>
      <c r="C49" s="31"/>
      <c r="D49" s="31"/>
      <c r="E49" s="8">
        <v>5</v>
      </c>
      <c r="F49" s="12" t="s">
        <v>26</v>
      </c>
      <c r="G49" s="16" t="str">
        <f t="shared" si="0"/>
        <v/>
      </c>
      <c r="H49" s="17" t="str">
        <f t="shared" si="1"/>
        <v/>
      </c>
      <c r="I49" s="42"/>
      <c r="J49" s="43"/>
    </row>
    <row r="50" spans="1:10" ht="39.950000000000003" customHeight="1" x14ac:dyDescent="0.25">
      <c r="A50" s="9"/>
      <c r="B50" s="30" t="s">
        <v>57</v>
      </c>
      <c r="C50" s="31"/>
      <c r="D50" s="31"/>
      <c r="E50" s="8">
        <v>5</v>
      </c>
      <c r="F50" s="12" t="s">
        <v>26</v>
      </c>
      <c r="G50" s="16" t="str">
        <f t="shared" si="0"/>
        <v/>
      </c>
      <c r="H50" s="17" t="str">
        <f t="shared" si="1"/>
        <v/>
      </c>
      <c r="I50" s="42"/>
      <c r="J50" s="43"/>
    </row>
    <row r="51" spans="1:10" ht="39.950000000000003" customHeight="1" x14ac:dyDescent="0.25">
      <c r="A51" s="9"/>
      <c r="B51" s="30" t="s">
        <v>58</v>
      </c>
      <c r="C51" s="31"/>
      <c r="D51" s="31"/>
      <c r="E51" s="8">
        <v>5</v>
      </c>
      <c r="F51" s="12" t="s">
        <v>26</v>
      </c>
      <c r="G51" s="16" t="str">
        <f t="shared" si="0"/>
        <v/>
      </c>
      <c r="H51" s="17" t="str">
        <f t="shared" si="1"/>
        <v/>
      </c>
      <c r="I51" s="42"/>
      <c r="J51" s="43"/>
    </row>
    <row r="52" spans="1:10" ht="39.950000000000003" customHeight="1" x14ac:dyDescent="0.25">
      <c r="A52" s="9"/>
      <c r="B52" s="30" t="s">
        <v>59</v>
      </c>
      <c r="C52" s="31"/>
      <c r="D52" s="31"/>
      <c r="E52" s="8">
        <v>5</v>
      </c>
      <c r="F52" s="12" t="s">
        <v>26</v>
      </c>
      <c r="G52" s="16" t="str">
        <f t="shared" si="0"/>
        <v/>
      </c>
      <c r="H52" s="17" t="str">
        <f t="shared" si="1"/>
        <v/>
      </c>
      <c r="I52" s="42"/>
      <c r="J52" s="43"/>
    </row>
    <row r="53" spans="1:10" ht="39.950000000000003" customHeight="1" x14ac:dyDescent="0.25">
      <c r="A53" s="9"/>
      <c r="B53" s="30" t="s">
        <v>60</v>
      </c>
      <c r="C53" s="31"/>
      <c r="D53" s="31"/>
      <c r="E53" s="8">
        <v>5</v>
      </c>
      <c r="F53" s="12" t="s">
        <v>26</v>
      </c>
      <c r="G53" s="16" t="str">
        <f t="shared" si="0"/>
        <v/>
      </c>
      <c r="H53" s="17" t="str">
        <f t="shared" si="1"/>
        <v/>
      </c>
      <c r="I53" s="42"/>
      <c r="J53" s="43"/>
    </row>
    <row r="54" spans="1:10" ht="39.950000000000003" customHeight="1" x14ac:dyDescent="0.25">
      <c r="A54" s="9"/>
      <c r="B54" s="30" t="s">
        <v>61</v>
      </c>
      <c r="C54" s="31"/>
      <c r="D54" s="31"/>
      <c r="E54" s="8">
        <v>5</v>
      </c>
      <c r="F54" s="12" t="s">
        <v>26</v>
      </c>
      <c r="G54" s="16" t="str">
        <f t="shared" si="0"/>
        <v/>
      </c>
      <c r="H54" s="17" t="str">
        <f t="shared" si="1"/>
        <v/>
      </c>
      <c r="I54" s="42"/>
      <c r="J54" s="43"/>
    </row>
    <row r="55" spans="1:10" ht="39.950000000000003" customHeight="1" x14ac:dyDescent="0.25">
      <c r="A55" s="9"/>
      <c r="B55" s="30" t="s">
        <v>62</v>
      </c>
      <c r="C55" s="31"/>
      <c r="D55" s="31"/>
      <c r="E55" s="8">
        <v>5</v>
      </c>
      <c r="F55" s="12" t="s">
        <v>26</v>
      </c>
      <c r="G55" s="16" t="str">
        <f t="shared" si="0"/>
        <v/>
      </c>
      <c r="H55" s="17" t="str">
        <f t="shared" si="1"/>
        <v/>
      </c>
      <c r="I55" s="42"/>
      <c r="J55" s="43"/>
    </row>
    <row r="56" spans="1:10" ht="39.950000000000003" customHeight="1" x14ac:dyDescent="0.25">
      <c r="A56" s="9"/>
      <c r="B56" s="30" t="s">
        <v>86</v>
      </c>
      <c r="C56" s="31"/>
      <c r="D56" s="31"/>
      <c r="E56" s="8">
        <v>5</v>
      </c>
      <c r="F56" s="12" t="s">
        <v>26</v>
      </c>
      <c r="G56" s="16" t="str">
        <f t="shared" si="0"/>
        <v/>
      </c>
      <c r="H56" s="17" t="str">
        <f t="shared" si="1"/>
        <v/>
      </c>
      <c r="I56" s="42"/>
      <c r="J56" s="43"/>
    </row>
    <row r="57" spans="1:10" ht="39.950000000000003" customHeight="1" x14ac:dyDescent="0.25">
      <c r="A57" s="9"/>
      <c r="B57" s="30" t="s">
        <v>87</v>
      </c>
      <c r="C57" s="31"/>
      <c r="D57" s="31"/>
      <c r="E57" s="8">
        <v>5</v>
      </c>
      <c r="F57" s="12" t="s">
        <v>26</v>
      </c>
      <c r="G57" s="16" t="str">
        <f t="shared" si="0"/>
        <v/>
      </c>
      <c r="H57" s="17" t="str">
        <f t="shared" si="1"/>
        <v/>
      </c>
      <c r="I57" s="42"/>
      <c r="J57" s="43"/>
    </row>
    <row r="58" spans="1:10" ht="39.950000000000003" customHeight="1" thickBot="1" x14ac:dyDescent="0.3">
      <c r="A58" s="9"/>
      <c r="B58" s="25" t="s">
        <v>88</v>
      </c>
      <c r="C58" s="26"/>
      <c r="D58" s="26"/>
      <c r="E58" s="19">
        <v>5</v>
      </c>
      <c r="F58" s="13" t="s">
        <v>26</v>
      </c>
      <c r="G58" s="20" t="str">
        <f t="shared" si="0"/>
        <v/>
      </c>
      <c r="H58" s="21" t="str">
        <f t="shared" si="1"/>
        <v/>
      </c>
      <c r="I58" s="54"/>
      <c r="J58" s="55"/>
    </row>
    <row r="59" spans="1:10" ht="39.950000000000003" customHeight="1" x14ac:dyDescent="0.25">
      <c r="A59" s="9"/>
      <c r="B59" s="27" t="s">
        <v>63</v>
      </c>
      <c r="C59" s="28"/>
      <c r="D59" s="28"/>
      <c r="E59" s="28"/>
      <c r="F59" s="28"/>
      <c r="G59" s="28"/>
      <c r="H59" s="28"/>
      <c r="I59" s="28"/>
      <c r="J59" s="29"/>
    </row>
    <row r="60" spans="1:10" ht="39.950000000000003" customHeight="1" x14ac:dyDescent="0.25">
      <c r="A60" s="9"/>
      <c r="B60" s="32" t="s">
        <v>89</v>
      </c>
      <c r="C60" s="33"/>
      <c r="D60" s="33"/>
      <c r="E60" s="8"/>
      <c r="F60" s="12"/>
      <c r="G60" s="16"/>
      <c r="H60" s="17"/>
      <c r="I60" s="42"/>
      <c r="J60" s="43"/>
    </row>
    <row r="61" spans="1:10" ht="39.950000000000003" customHeight="1" x14ac:dyDescent="0.25">
      <c r="A61" s="9"/>
      <c r="B61" s="30" t="s">
        <v>64</v>
      </c>
      <c r="C61" s="31"/>
      <c r="D61" s="31"/>
      <c r="E61" s="8">
        <v>5</v>
      </c>
      <c r="F61" s="12" t="s">
        <v>26</v>
      </c>
      <c r="G61" s="16" t="str">
        <f t="shared" si="0"/>
        <v/>
      </c>
      <c r="H61" s="17" t="str">
        <f t="shared" si="1"/>
        <v/>
      </c>
      <c r="I61" s="42"/>
      <c r="J61" s="43"/>
    </row>
    <row r="62" spans="1:10" ht="39.950000000000003" customHeight="1" x14ac:dyDescent="0.25">
      <c r="A62" s="9"/>
      <c r="B62" s="30" t="s">
        <v>65</v>
      </c>
      <c r="C62" s="31"/>
      <c r="D62" s="31"/>
      <c r="E62" s="8">
        <v>5</v>
      </c>
      <c r="F62" s="12" t="s">
        <v>26</v>
      </c>
      <c r="G62" s="16" t="str">
        <f t="shared" si="0"/>
        <v/>
      </c>
      <c r="H62" s="17" t="str">
        <f t="shared" si="1"/>
        <v/>
      </c>
      <c r="I62" s="42"/>
      <c r="J62" s="43"/>
    </row>
    <row r="63" spans="1:10" ht="39.950000000000003" customHeight="1" x14ac:dyDescent="0.25">
      <c r="A63" s="9"/>
      <c r="B63" s="30" t="s">
        <v>66</v>
      </c>
      <c r="C63" s="31"/>
      <c r="D63" s="31"/>
      <c r="E63" s="8">
        <v>5</v>
      </c>
      <c r="F63" s="12" t="s">
        <v>26</v>
      </c>
      <c r="G63" s="16" t="str">
        <f t="shared" si="0"/>
        <v/>
      </c>
      <c r="H63" s="17" t="str">
        <f t="shared" si="1"/>
        <v/>
      </c>
      <c r="I63" s="42"/>
      <c r="J63" s="43"/>
    </row>
    <row r="64" spans="1:10" ht="39.950000000000003" customHeight="1" x14ac:dyDescent="0.25">
      <c r="A64" s="9"/>
      <c r="B64" s="30" t="s">
        <v>67</v>
      </c>
      <c r="C64" s="31"/>
      <c r="D64" s="31"/>
      <c r="E64" s="8">
        <v>5</v>
      </c>
      <c r="F64" s="12" t="s">
        <v>26</v>
      </c>
      <c r="G64" s="16" t="str">
        <f t="shared" si="0"/>
        <v/>
      </c>
      <c r="H64" s="17" t="str">
        <f t="shared" si="1"/>
        <v/>
      </c>
      <c r="I64" s="42"/>
      <c r="J64" s="43"/>
    </row>
    <row r="65" spans="1:10" ht="39.950000000000003" customHeight="1" x14ac:dyDescent="0.25">
      <c r="A65" s="9"/>
      <c r="B65" s="30" t="s">
        <v>68</v>
      </c>
      <c r="C65" s="31"/>
      <c r="D65" s="31"/>
      <c r="E65" s="8">
        <v>5</v>
      </c>
      <c r="F65" s="12" t="s">
        <v>26</v>
      </c>
      <c r="G65" s="16" t="str">
        <f t="shared" si="0"/>
        <v/>
      </c>
      <c r="H65" s="17" t="str">
        <f t="shared" si="1"/>
        <v/>
      </c>
      <c r="I65" s="42"/>
      <c r="J65" s="43"/>
    </row>
    <row r="66" spans="1:10" ht="39.950000000000003" customHeight="1" x14ac:dyDescent="0.25">
      <c r="A66" s="9"/>
      <c r="B66" s="30" t="s">
        <v>69</v>
      </c>
      <c r="C66" s="31"/>
      <c r="D66" s="31"/>
      <c r="E66" s="8">
        <v>5</v>
      </c>
      <c r="F66" s="12" t="s">
        <v>26</v>
      </c>
      <c r="G66" s="16" t="str">
        <f t="shared" si="0"/>
        <v/>
      </c>
      <c r="H66" s="17" t="str">
        <f t="shared" si="1"/>
        <v/>
      </c>
      <c r="I66" s="42"/>
      <c r="J66" s="43"/>
    </row>
    <row r="67" spans="1:10" ht="39.950000000000003" customHeight="1" x14ac:dyDescent="0.25">
      <c r="A67" s="9"/>
      <c r="B67" s="30" t="s">
        <v>70</v>
      </c>
      <c r="C67" s="31"/>
      <c r="D67" s="31"/>
      <c r="E67" s="8">
        <v>5</v>
      </c>
      <c r="F67" s="12" t="s">
        <v>26</v>
      </c>
      <c r="G67" s="16" t="str">
        <f t="shared" si="0"/>
        <v/>
      </c>
      <c r="H67" s="17" t="str">
        <f t="shared" si="1"/>
        <v/>
      </c>
      <c r="I67" s="42"/>
      <c r="J67" s="43"/>
    </row>
    <row r="68" spans="1:10" ht="39.950000000000003" customHeight="1" x14ac:dyDescent="0.25">
      <c r="A68" s="9"/>
      <c r="B68" s="30" t="s">
        <v>71</v>
      </c>
      <c r="C68" s="31"/>
      <c r="D68" s="31"/>
      <c r="E68" s="8">
        <v>5</v>
      </c>
      <c r="F68" s="12" t="s">
        <v>26</v>
      </c>
      <c r="G68" s="16" t="str">
        <f t="shared" si="0"/>
        <v/>
      </c>
      <c r="H68" s="17" t="str">
        <f t="shared" si="1"/>
        <v/>
      </c>
      <c r="I68" s="42"/>
      <c r="J68" s="43"/>
    </row>
    <row r="69" spans="1:10" ht="39.950000000000003" customHeight="1" x14ac:dyDescent="0.25">
      <c r="A69" s="9"/>
      <c r="B69" s="30" t="s">
        <v>72</v>
      </c>
      <c r="C69" s="31"/>
      <c r="D69" s="31"/>
      <c r="E69" s="8">
        <v>5</v>
      </c>
      <c r="F69" s="12" t="s">
        <v>26</v>
      </c>
      <c r="G69" s="16" t="str">
        <f t="shared" si="0"/>
        <v/>
      </c>
      <c r="H69" s="17" t="str">
        <f t="shared" si="1"/>
        <v/>
      </c>
      <c r="I69" s="42"/>
      <c r="J69" s="43"/>
    </row>
    <row r="70" spans="1:10" ht="39.950000000000003" customHeight="1" x14ac:dyDescent="0.25">
      <c r="A70" s="9"/>
      <c r="B70" s="30" t="s">
        <v>73</v>
      </c>
      <c r="C70" s="31"/>
      <c r="D70" s="31"/>
      <c r="E70" s="8">
        <v>5</v>
      </c>
      <c r="F70" s="12" t="s">
        <v>26</v>
      </c>
      <c r="G70" s="16" t="str">
        <f t="shared" si="0"/>
        <v/>
      </c>
      <c r="H70" s="17" t="str">
        <f t="shared" si="1"/>
        <v/>
      </c>
      <c r="I70" s="42"/>
      <c r="J70" s="43"/>
    </row>
    <row r="71" spans="1:10" ht="39.950000000000003" customHeight="1" thickBot="1" x14ac:dyDescent="0.3">
      <c r="A71" s="9"/>
      <c r="B71" s="25" t="s">
        <v>74</v>
      </c>
      <c r="C71" s="26"/>
      <c r="D71" s="26"/>
      <c r="E71" s="19">
        <v>5</v>
      </c>
      <c r="F71" s="13" t="s">
        <v>26</v>
      </c>
      <c r="G71" s="20" t="str">
        <f t="shared" si="0"/>
        <v/>
      </c>
      <c r="H71" s="21" t="str">
        <f t="shared" si="1"/>
        <v/>
      </c>
      <c r="I71" s="54"/>
      <c r="J71" s="55"/>
    </row>
    <row r="72" spans="1:10" ht="30" customHeight="1" thickBot="1" x14ac:dyDescent="0.3">
      <c r="A72" s="3"/>
      <c r="B72" s="44" t="s">
        <v>5</v>
      </c>
      <c r="C72" s="45"/>
      <c r="D72" s="45"/>
      <c r="E72" s="15">
        <f>SUM(E8:E71)</f>
        <v>260</v>
      </c>
      <c r="F72" s="15">
        <f>SUM(F8:F71)</f>
        <v>0</v>
      </c>
      <c r="G72" s="74"/>
      <c r="H72" s="75"/>
      <c r="I72" s="75"/>
      <c r="J72" s="76"/>
    </row>
    <row r="73" spans="1:10" ht="30" customHeight="1" thickBot="1" x14ac:dyDescent="0.3">
      <c r="A73" s="3"/>
      <c r="B73" s="46" t="s">
        <v>20</v>
      </c>
      <c r="C73" s="47"/>
      <c r="D73" s="47"/>
      <c r="E73" s="62">
        <f>F72/E72/100*100</f>
        <v>0</v>
      </c>
      <c r="F73" s="62"/>
      <c r="G73" s="62"/>
      <c r="H73" s="62"/>
      <c r="I73" s="62"/>
      <c r="J73" s="63"/>
    </row>
    <row r="74" spans="1:10" ht="30" customHeight="1" thickBot="1" x14ac:dyDescent="0.3">
      <c r="A74" s="3"/>
      <c r="B74" s="46" t="s">
        <v>21</v>
      </c>
      <c r="C74" s="47"/>
      <c r="D74" s="47"/>
      <c r="E74" s="52" t="str">
        <f>_xlfn.IFS(E73&gt;=90%,"ممتاز",E73&gt;=80%,"جيد جداً",E73&gt;=70%,"جيد",E73&gt;=60%,"مقبول",E73&lt;60%,"راسب")</f>
        <v>راسب</v>
      </c>
      <c r="F74" s="52"/>
      <c r="G74" s="52"/>
      <c r="H74" s="52"/>
      <c r="I74" s="52"/>
      <c r="J74" s="53"/>
    </row>
    <row r="75" spans="1:10" ht="42" customHeight="1" x14ac:dyDescent="0.25">
      <c r="B75" s="48" t="s">
        <v>27</v>
      </c>
      <c r="C75" s="48"/>
      <c r="D75" s="48"/>
      <c r="E75" s="72" t="s">
        <v>18</v>
      </c>
      <c r="F75" s="72"/>
      <c r="G75" s="50" t="s">
        <v>24</v>
      </c>
      <c r="H75" s="50"/>
      <c r="I75" s="50"/>
      <c r="J75" s="50"/>
    </row>
    <row r="76" spans="1:10" ht="51" customHeight="1" x14ac:dyDescent="0.25">
      <c r="A76" s="4"/>
      <c r="B76" s="49"/>
      <c r="C76" s="49"/>
      <c r="D76" s="49"/>
      <c r="E76" s="73" t="s">
        <v>19</v>
      </c>
      <c r="F76" s="73"/>
      <c r="G76" s="51"/>
      <c r="H76" s="51"/>
      <c r="I76" s="51"/>
      <c r="J76" s="5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6">
    <mergeCell ref="I67:J67"/>
    <mergeCell ref="I68:J68"/>
    <mergeCell ref="I69:J69"/>
    <mergeCell ref="I70:J70"/>
    <mergeCell ref="I71:J71"/>
    <mergeCell ref="E75:F75"/>
    <mergeCell ref="E76:F76"/>
    <mergeCell ref="G72:J72"/>
    <mergeCell ref="I9:J9"/>
    <mergeCell ref="B1:J1"/>
    <mergeCell ref="F2:J2"/>
    <mergeCell ref="B5:D6"/>
    <mergeCell ref="C2:D2"/>
    <mergeCell ref="C3:D3"/>
    <mergeCell ref="F3:J3"/>
    <mergeCell ref="E73:J73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75:D76"/>
    <mergeCell ref="G75:J75"/>
    <mergeCell ref="G76:J76"/>
    <mergeCell ref="E74:J74"/>
    <mergeCell ref="I40:J40"/>
    <mergeCell ref="I41:J41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I63:J63"/>
    <mergeCell ref="I33:J33"/>
    <mergeCell ref="I34:J34"/>
    <mergeCell ref="I35:J35"/>
    <mergeCell ref="I36:J36"/>
    <mergeCell ref="B72:D72"/>
    <mergeCell ref="B73:D73"/>
    <mergeCell ref="B74:D74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60:J60"/>
    <mergeCell ref="I61:J61"/>
    <mergeCell ref="I26:J26"/>
    <mergeCell ref="I27:J27"/>
    <mergeCell ref="I64:J64"/>
    <mergeCell ref="I65:J65"/>
    <mergeCell ref="I66:J66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0:D40"/>
    <mergeCell ref="B41:D41"/>
    <mergeCell ref="B43:D43"/>
    <mergeCell ref="B71:D71"/>
    <mergeCell ref="B59:J59"/>
    <mergeCell ref="B42:J42"/>
    <mergeCell ref="B8:J8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53:D53"/>
    <mergeCell ref="B54:D54"/>
    <mergeCell ref="B55:D55"/>
    <mergeCell ref="B56:D56"/>
    <mergeCell ref="B57:D57"/>
    <mergeCell ref="B58:D58"/>
    <mergeCell ref="B60:D60"/>
    <mergeCell ref="B61:D61"/>
    <mergeCell ref="B44:D44"/>
    <mergeCell ref="B45:D45"/>
    <mergeCell ref="B46:D46"/>
  </mergeCells>
  <conditionalFormatting sqref="E74">
    <cfRule type="expression" dxfId="23" priority="57">
      <formula>$E74="راسب"</formula>
    </cfRule>
  </conditionalFormatting>
  <conditionalFormatting sqref="E74:J74">
    <cfRule type="expression" dxfId="22" priority="58">
      <formula>$E74="مقبول"</formula>
    </cfRule>
    <cfRule type="expression" dxfId="21" priority="59">
      <formula>$E74="جيد"</formula>
    </cfRule>
    <cfRule type="expression" dxfId="20" priority="60">
      <formula>$E74="جيد جداً"</formula>
    </cfRule>
    <cfRule type="expression" dxfId="19" priority="61">
      <formula>$E74="ممتاز"</formula>
    </cfRule>
  </conditionalFormatting>
  <conditionalFormatting sqref="H10:H41 H60:H71 H43:H58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41 H60:H71 H43:H58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75:J75">
    <cfRule type="containsText" dxfId="8" priority="15" operator="containsText" text="أدخل اسم المحكم">
      <formula>NOT(ISERROR(SEARCH("أدخل اسم المحكم",G75)))</formula>
    </cfRule>
  </conditionalFormatting>
  <conditionalFormatting sqref="F10:F41 F60:F71 F43:F58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F61:F71 F46:F58 F43:F44 F37:F41 F26:F35 F20:F23 F13:F18 F11 F9</xm:sqref>
        </x14:dataValidation>
        <x14:dataValidation type="list" allowBlank="1" showInputMessage="1" showErrorMessage="1">
          <x14:formula1>
            <xm:f>#REF!</xm:f>
          </x14:formula1>
          <xm:sqref>G75:J75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2026-08-30T05:11:33Z</dcterms:modified>
</cp:coreProperties>
</file>