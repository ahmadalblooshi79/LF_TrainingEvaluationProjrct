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0F3CEC1A-9AE0-1940-A133-698E3381951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<sst xmlns="http://schemas.openxmlformats.org/spreadsheetml/2006/main" count="286" uniqueCount="226">
  <si>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</si>
  <si>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</si>
  <si>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</si>
  <si>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</si>
  <si>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</si>
  <si>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</si>
  <si>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</si>
  <si>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</si>
  <si>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</si>
  <si>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</si>
  <si>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</si>
  <si>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</si>
  <si>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</si>
  <si>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</si>
  <si>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</si>
  <si>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</si>
  <si>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</si>
  <si>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</si>
  <si>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</si>
  <si>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</si>
  <si>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</si>
  <si>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</si>
  <si>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</si>
  <si>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</si>
  <si>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</si>
  <si>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</si>
  <si>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</si>
  <si>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</si>
  <si>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</si>
  <si>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</si>
  <si>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</si>
  <si>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</si>
  <si>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</si>
  <si>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</si>
  <si>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</si>
  <si>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</si>
  <si>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</si>
  <si>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</si>
  <si>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</si>
  <si>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</si>
  <si>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</si>
  <si>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</si>
  <si>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</si>
  <si>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</si>
  <si>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</si>
  <si>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</si>
  <si>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</si>
  <si>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</si>
  <si>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</si>
  <si>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</si>
  <si>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</si>
  <si>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</si>
  <si>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</si>
  <si>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</si>
  <si>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</si>
  <si>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</si>
  <si>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</si>
  <si>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</si>
  <si>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</si>
  <si>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</si>
  <si>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</si>
  <si>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</si>
  <si>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</si>
  <si>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</si>
  <si>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</si>
  <si>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</si>
  <si>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</si>
  <si>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</si>
  <si>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</si>
  <si>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</si>
  <si>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</si>
  <si>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</si>
  <si>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</si>
  <si>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</si>
  <si>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</si>
  <si>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</si>
  <si>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</si>
  <si>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</si>
  <si>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</si>
  <si>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</si>
  <si>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</si>
  <si>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</si>
  <si>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</si>
  <si>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</si>
  <si>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</si>
  <si>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</si>
  <si>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</si>
  <si>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</si>
  <si>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</si>
  <si>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</si>
  <si>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</si>
  <si>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</si>
  <si>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</si>
  <si>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</si>
  <si>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</si>
  <si>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</si>
  <si>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</si>
  <si>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</si>
  <si>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</si>
  <si>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</si>
  <si>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</si>
  <si>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</si>
  <si>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</si>
  <si>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</si>
  <si>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</si>
  <si>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</si>
  <si>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</si>
  <si>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</si>
  <si>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</si>
  <si>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</si>
  <si>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</si>
  <si>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أ.   قام ضابط العمليات بما يلي: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</si>
  <si>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</si>
  <si>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</si>
  <si>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</si>
  <si>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</si>
  <si>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</si>
  <si>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</si>
  <si>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</si>
  <si>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</si>
  <si>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</si>
  <si>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</si>
  <si>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</si>
  <si>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</si>
  <si>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</si>
  <si>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</si>
  <si>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</si>
  <si>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</si>
  <si>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</si>
  <si>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</si>
  <si>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</si>
  <si>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</si>
  <si>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</si>
  <si>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</si>
  <si>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</si>
  <si>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</si>
  <si>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</si>
  <si>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</si>
  <si>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</si>
  <si>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</si>
  <si>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</si>
  <si>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</si>
  <si>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</si>
  <si>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</si>
  <si>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</si>
  <si>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</si>
  <si>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</si>
  <si>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</si>
  <si>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</si>
  <si>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</si>
  <si>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</si>
  <si>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</si>
  <si>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</si>
  <si>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</si>
  <si>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</si>
  <si>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</si>
  <si>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</si>
  <si>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</si>
  <si>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</si>
  <si>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</si>
  <si>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</si>
  <si>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</si>
  <si>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</si>
  <si>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</si>
  <si>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</si>
  <si>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</si>
  <si>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</si>
  <si>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</si>
  <si>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</si>
  <si>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</si>
  <si>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</si>
  <si>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</si>
  <si>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</si>
  <si>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</si>
  <si>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</si>
  <si>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</si>
  <si>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</si>
  <si>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</si>
  <si>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</si>
  <si>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</si>
  <si>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</si>
  <si>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</si>
  <si>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</si>
  <si>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</si>
  <si>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</si>
  <si>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</si>
  <si>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</si>
  <si>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</si>
  <si>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</si>
  <si>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</si>
  <si>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</si>
  <si>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</si>
  <si>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</si>
  <si>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</si>
  <si>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</si>
  <si>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</si>
  <si>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</si>
  <si>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</si>
  <si>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</si>
  <si>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</si>
  <si>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</si>
  <si>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</si>
  <si>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</si>
  <si>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</si>
  <si>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</si>
  <si>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</si>
  <si>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</si>
  <si>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</si>
  <si>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</si>
  <si>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</si>
  <si>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</si>
  <si>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</si>
  <si>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</si>
  <si>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</si>
  <si>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</si>
  <si>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</si>
  <si>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</si>
  <si>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</si>
  <si>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</si>
  <si>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</si>
  <si>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</si>
  <si>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</si>
  <si>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</si>
  <si>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</si>
  <si>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</si>
  <si>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الكتيبة/مجموعة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</si>
</sst>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96938</xdr:colOff>
      <xdr:row>59</xdr:row>
      <xdr:rowOff>98760</xdr:rowOff>
    </xdr:from>
    <xdr:to>
      <xdr:col>8</xdr:col>
      <xdr:colOff>65315</xdr:colOff>
      <xdr:row>59</xdr:row>
      <xdr:rowOff>297840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6ACC8B3-D9FC-9F48-F0A4-4D15B7D111E9}"/>
                </a:ext>
              </a:extLst>
            </xdr14:cNvPr>
            <xdr14:cNvContentPartPr/>
          </xdr14:nvContentPartPr>
          <xdr14:nvPr macro=""/>
          <xdr14:xfrm>
            <a:off x="10423637485" y="25092360"/>
            <a:ext cx="622800" cy="199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6ACC8B3-D9FC-9F48-F0A4-4D15B7D111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628845" y="25083720"/>
              <a:ext cx="64044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238058</xdr:colOff>
      <xdr:row>59</xdr:row>
      <xdr:rowOff>40440</xdr:rowOff>
    </xdr:from>
    <xdr:to>
      <xdr:col>9</xdr:col>
      <xdr:colOff>137731</xdr:colOff>
      <xdr:row>60</xdr:row>
      <xdr:rowOff>52178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5DC8CDF-9C35-1867-13EB-CC5553589D05}"/>
                </a:ext>
              </a:extLst>
            </xdr14:cNvPr>
            <xdr14:cNvContentPartPr/>
          </xdr14:nvContentPartPr>
          <xdr14:nvPr macro=""/>
          <xdr14:xfrm>
            <a:off x="10422910645" y="25034040"/>
            <a:ext cx="1208520" cy="661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5DC8CDF-9C35-1867-13EB-CC5553589D0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01645" y="25025400"/>
              <a:ext cx="1226160" cy="67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49:00.0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1209 553 7753,'0'0'0,"0"0"0,-3-3 3697,0-9-1121,-7 2-1799,6 6-417,1 1-200,-1-1-72,4 4-88,-3-3 32,2-1-16,-1 2-8,1-1 8,0 1-8,1 2-32,0 0 24,0-3-8,0 1-24,0 0-24,0-1 8,0 1-24,0-1 8,0 1-8,0 2 72,0-2-80,0-2-24,0 0-24,2-5-16,1 6-72,-1-6-40,-2 9 256,2-4-313,2-8-79,0 9-40,6-12-32,-6 5-32,7-2-16,-11 12 512,9-14-504,1 0-40,3 0-48,0-2-17,2 2-55,1-1-72,-16 15 736,17-13-768,2-1-16,2 0 40,0 3 96,2-1 87,1 1 113,-24 11 448,24-10-360,0 7 88,-1-7 64,-1 8 48,-2-2 40,-20 4 120,20-2-80,-1 2 40,0 0 16,-1 0 0,-1 1 8,-1 1 8,-16-2 8,14 4 8,-2 5 8,0-5 8,-1 8 8,-1-2 0,-7 0 0,-3-10-32,12 11 40,-9 1 0,6-1 24,-9 1 8,3 1 16,-1 0 24,-2-13-112,0 15 120,0-1 24,0 0-8,0 1 16,-2-3 16,-2 0 16,4-12-184,-11 10 192,8 0 48,-9-6 65,2 8 15,-1-9 48,-1 7-32,12-10-336,-12 3 280,-2 1-24,-1 0-32,0-2-48,-2-2-40,0 1 8,17-1-144,-18 0 56,2 0 56,-2-2 8,0-2-24,0 1 40,-3-1-64,21 4-72,-21-11 112,-1 8-72,1-9-32,-2 1-32,-1-1-80,-1 1 80,25 11 24,-25-13-80,-2-3 72,0 1 16,-2-2-32,-1 3 72,-2 2-40,32 12-8,-35-12 24,0 0-16,-1 1 32,2 0-8,-2 7 96,1-9-80,35 13-48,-36-3 144,-2-7-88,1 8-104,1-2 112,-2 1-112,1 0 72,37 3-24,-37-2-8,-2-1 16,2 1-24,0 0 24,1 2 0,1 0 48,35 0-56,-34 0 24,0 0-40,-1-3 48,1 3-32,0-3 72,2-1-32,32 4-40,-29-10 24,1 8-72,1-2-16,2-5 64,0 6-32,2-7-64,23 10 96,-22-4-120,2-9-128,1 3-104,2 7-136,1-12-264,3 6-168,13 9 920,-13-10-1033,2-2 177,6 1 272,0 1 240,2-4 232,2 1 56,1 13 56,0-14-40,2-2-16,11 1-1864,-13 15 1920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49:01.0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2707 1 2224,'0'0'0,"36"1"160,11 0-144,-47-1-16,57 4 16,-7-1 16,-8 7 40,-3-6-40,0 6-8,-3-5 8,-36-5-32,35 13-16,-2-2 24,-1 1 32,-2 1-40,-2-1 16,-4 0 0,-24-12-16,21 12-8,1 3 104,-4-1-40,-1-2-16,-4 1 8,-1-1-24,-12-12-24,9 13 80,-6-1 72,0 2 104,0-4 96,-3 2 104,-3 0 161,3-12-617,-11 12 720,-3 1 96,-4 2 0,-6 0-160,-3 2-184,-7 0-168,34-17-304,-37 18 208,-5 0 64,-5-1-176,-2 1-16,-2 0-16,-2 0-136,53-18 72,-56 19 32,-3 1 16,-2 1-31,-3 0-9,0 1 8,-4-2-32,68-20 16,-67 20 16,-3 1-8,0 0-8,-1 0-24,1-1-9,3-1-39,67-19 72,-66 20-48,3-3-40,3 0-104,5-1-160,3-1-328,4 0-320,48-15 1000,-45 13-1336,6-1-33,2-1 369,2 0 344,1-2-1624,34-9 2280</inkml:trace>
  <inkml:trace contextRef="#ctx0" brushRef="#br0" timeOffset="1">2066 577 9145,'0'0'0,"0"0"0,-12-2 4081,-2-8-2584,-5 8-1217,0 2-272,2 0-88,-2 4-32,19-4 112,-21 9-152,1 1 0,-3 0 40,2 2-16,-1-1-64,2 1-105,20-12 297,-20 11-616,2 0-304,2-2-304,0-4-96,1 6 87,0-7 73,15-4 1160,-14 10-1080,1-6-88,-1 1 71,3 0 305,0-2 272,-1 0 288,12-3 232,-12 3-40,0-2 0,-1 1 16,1-1 8,0 0 0,1 0 16,11-1 0,-10 1 32,-1-1-8,1 2 8,0-1 64,-1-1 224,2 0 256,9 0-576,-11 1 792,0-1 217,0 0-49,2 0-24,-2 0 72,1 0 16,10 0-1024,-10 1 1113,-2 0-145,1-1-120,-1 0-192,-1 0-256,-1 0-64,14 0-336,-13 0 312,-1 0-120,-2 2-23,1-1-41,-2 0-72,-1 2-16,18-3-40,-18 4 88,0-2-72,-1 1-24,-2-2-32,1 1 16,-1 2 120,21-4-96,-23 4-32,-1-2-40,-1-1-152,-1 0-201,0 1-23,0 0-96,26-2 544,-27 2-784,0 0-176,0-1-232,-1-1-241,-4 0-127,1 0-168,31 0 1728,-33-3-1297,0 0 425,2-9 384,1 1-368,2 2-608,28 9 1464</inkml:trace>
  <inkml:trace contextRef="#ctx0" brushRef="#br0" timeOffset="2">526 429 2304,'0'0'0,"0"0"0,3 1 40,-1 2 0,2 1-24,-2 6-8,-2-1 40,0 2-40,0-11-8,0 12 0,-3 4 24,-7 4 0,0 3-40,0 6 56,-4-1-48,14-28 8,-16 29-48,-1 2 88,-4 3-40,-1 2 8,-1 2 40,-4 2-32,3 0-24,24-40 8,-28 44 24,2-1-56,-2 2 56,0 2-24,1 0 24,-1-1 24,28-46-48,-26 47 80,1 1 96,0-1 64,2 0 8,2-1 8,3-3-24,18-43-232,-14 42 208,2-2-8,7-2 0,0-1-40,4-1-15,1-2 47,0-34-192,10 33 216,3-4 120,5-1-8,6-4 32,5-1 0,4-3-88,-33-20-272,39 17 312,4-4-56,5-1-80,6-9-112,4 7-96,5-8-104,-63-2 136,64 3-416,6-2-512,1-1-424,2 0 127,5-2 337,-1-9 408,-77 11 480,82-4-1992,-82 4 1992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A54" zoomScale="130" zoomScaleNormal="100" zoomScaleSheetLayoutView="130" workbookViewId="0">
      <selection activeCell="G60" sqref="G60:J6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7" t="s">
        <v>225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2">
      <c r="B2" s="12" t="s">
        <v>8</v>
      </c>
      <c r="C2" s="44" t="s">
        <v>40</v>
      </c>
      <c r="D2" s="44"/>
      <c r="E2" s="12" t="s">
        <v>7</v>
      </c>
      <c r="F2" s="39">
        <v>45951</v>
      </c>
      <c r="G2" s="39"/>
      <c r="H2" s="39"/>
      <c r="I2" s="39"/>
      <c r="J2" s="39"/>
    </row>
    <row r="3" spans="1:10" ht="30" customHeight="1" x14ac:dyDescent="0.2">
      <c r="B3" s="12" t="s">
        <v>9</v>
      </c>
      <c r="C3" s="44" t="s">
        <v>217</v>
      </c>
      <c r="D3" s="44"/>
      <c r="E3" s="12" t="s">
        <v>6</v>
      </c>
      <c r="F3" s="44" t="s">
        <v>115</v>
      </c>
      <c r="G3" s="44"/>
      <c r="H3" s="44"/>
      <c r="I3" s="44"/>
      <c r="J3" s="4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0" t="s">
        <v>0</v>
      </c>
      <c r="C5" s="41"/>
      <c r="D5" s="41"/>
      <c r="E5" s="53" t="s">
        <v>1</v>
      </c>
      <c r="F5" s="53"/>
      <c r="G5" s="53"/>
      <c r="H5" s="53"/>
      <c r="I5" s="53" t="s">
        <v>2</v>
      </c>
      <c r="J5" s="54"/>
    </row>
    <row r="6" spans="1:10" ht="24.95" customHeight="1" thickBot="1" x14ac:dyDescent="0.25">
      <c r="A6" s="10"/>
      <c r="B6" s="42"/>
      <c r="C6" s="43"/>
      <c r="D6" s="43"/>
      <c r="E6" s="11" t="s">
        <v>3</v>
      </c>
      <c r="F6" s="11" t="s">
        <v>4</v>
      </c>
      <c r="G6" s="11" t="s">
        <v>23</v>
      </c>
      <c r="H6" s="11" t="s">
        <v>24</v>
      </c>
      <c r="I6" s="55"/>
      <c r="J6" s="56"/>
    </row>
    <row r="7" spans="1:10" ht="24.95" customHeight="1" thickBot="1" x14ac:dyDescent="0.25">
      <c r="A7" s="10"/>
      <c r="B7" s="47" t="s">
        <v>21</v>
      </c>
      <c r="C7" s="48"/>
      <c r="D7" s="48"/>
      <c r="E7" s="21" t="s">
        <v>18</v>
      </c>
      <c r="F7" s="21" t="s">
        <v>19</v>
      </c>
      <c r="G7" s="21" t="s">
        <v>22</v>
      </c>
      <c r="H7" s="21" t="s">
        <v>20</v>
      </c>
      <c r="I7" s="57" t="s">
        <v>25</v>
      </c>
      <c r="J7" s="58"/>
    </row>
    <row r="8" spans="1:10" ht="30" customHeight="1" x14ac:dyDescent="0.2">
      <c r="A8" s="10"/>
      <c r="B8" s="80" t="s">
        <v>80</v>
      </c>
      <c r="C8" s="81"/>
      <c r="D8" s="81"/>
      <c r="E8" s="81"/>
      <c r="F8" s="81"/>
      <c r="G8" s="81"/>
      <c r="H8" s="81"/>
      <c r="I8" s="81"/>
      <c r="J8" s="82"/>
    </row>
    <row r="9" spans="1:10" ht="30" customHeight="1" x14ac:dyDescent="0.2">
      <c r="A9" s="10"/>
      <c r="B9" s="70" t="s">
        <v>102</v>
      </c>
      <c r="C9" s="71"/>
      <c r="D9" s="71"/>
      <c r="E9" s="9">
        <v>5</v>
      </c>
      <c r="F9" s="19">
        <v>3.75</v>
      </c>
      <c r="G9" s="23">
        <f>IFERROR(F9/E9,"")</f>
        <v>0.75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9.950000000000003" customHeight="1" x14ac:dyDescent="0.2">
      <c r="A10" s="10"/>
      <c r="B10" s="70" t="s">
        <v>64</v>
      </c>
      <c r="C10" s="71"/>
      <c r="D10" s="71"/>
      <c r="E10" s="9"/>
      <c r="F10" s="19"/>
      <c r="G10" s="23"/>
      <c r="H10" s="24"/>
      <c r="I10" s="51"/>
      <c r="J10" s="52"/>
    </row>
    <row r="11" spans="1:10" ht="50.1" customHeight="1" x14ac:dyDescent="0.2">
      <c r="A11" s="10"/>
      <c r="B11" s="78" t="s">
        <v>81</v>
      </c>
      <c r="C11" s="79"/>
      <c r="D11" s="79"/>
      <c r="E11" s="9">
        <v>5</v>
      </c>
      <c r="F11" s="19">
        <v>3.75</v>
      </c>
      <c r="G11" s="23">
        <f t="shared" ref="G11:G55" si="0">IFERROR(F11/E11,"")</f>
        <v>0.75</v>
      </c>
      <c r="H11" s="24" t="str">
        <f t="shared" ref="H11:H55" si="1">_xlfn.IFS(F11="أدخل العلامة","",F11="لا ينطبق","تم الإلغاء",G11&gt;=90%,"ممتاز",G11&gt;=80%,"جيد جداً",G11&gt;=70%,"جيد",G11&gt;=60%,"مقبول",G11&lt;60%,"راسب")</f>
        <v>جيد</v>
      </c>
      <c r="I11" s="51"/>
      <c r="J11" s="52"/>
    </row>
    <row r="12" spans="1:10" ht="39.950000000000003" customHeight="1" x14ac:dyDescent="0.2">
      <c r="A12" s="10"/>
      <c r="B12" s="78" t="s">
        <v>82</v>
      </c>
      <c r="C12" s="79"/>
      <c r="D12" s="79"/>
      <c r="E12" s="9">
        <v>5</v>
      </c>
      <c r="F12" s="19">
        <v>3.75</v>
      </c>
      <c r="G12" s="23">
        <f t="shared" si="0"/>
        <v>0.75</v>
      </c>
      <c r="H12" s="24" t="str">
        <f t="shared" si="1"/>
        <v>جيد</v>
      </c>
      <c r="I12" s="51"/>
      <c r="J12" s="52"/>
    </row>
    <row r="13" spans="1:10" ht="30" customHeight="1" x14ac:dyDescent="0.2">
      <c r="A13" s="10"/>
      <c r="B13" s="78" t="s">
        <v>83</v>
      </c>
      <c r="C13" s="79"/>
      <c r="D13" s="79"/>
      <c r="E13" s="9">
        <v>5</v>
      </c>
      <c r="F13" s="19">
        <v>3.75</v>
      </c>
      <c r="G13" s="23">
        <f t="shared" si="0"/>
        <v>0.75</v>
      </c>
      <c r="H13" s="24" t="str">
        <f t="shared" si="1"/>
        <v>جيد</v>
      </c>
      <c r="I13" s="51"/>
      <c r="J13" s="52"/>
    </row>
    <row r="14" spans="1:10" ht="30" customHeight="1" x14ac:dyDescent="0.2">
      <c r="A14" s="10"/>
      <c r="B14" s="78" t="s">
        <v>84</v>
      </c>
      <c r="C14" s="79"/>
      <c r="D14" s="79"/>
      <c r="E14" s="9">
        <v>5</v>
      </c>
      <c r="F14" s="19">
        <v>3.75</v>
      </c>
      <c r="G14" s="23">
        <f t="shared" si="0"/>
        <v>0.75</v>
      </c>
      <c r="H14" s="24" t="str">
        <f t="shared" si="1"/>
        <v>جيد</v>
      </c>
      <c r="I14" s="51"/>
      <c r="J14" s="52"/>
    </row>
    <row r="15" spans="1:10" ht="30" customHeight="1" x14ac:dyDescent="0.2">
      <c r="A15" s="10"/>
      <c r="B15" s="78" t="s">
        <v>85</v>
      </c>
      <c r="C15" s="79"/>
      <c r="D15" s="79"/>
      <c r="E15" s="9">
        <v>5</v>
      </c>
      <c r="F15" s="19">
        <v>3.75</v>
      </c>
      <c r="G15" s="23">
        <f t="shared" si="0"/>
        <v>0.75</v>
      </c>
      <c r="H15" s="24" t="str">
        <f t="shared" si="1"/>
        <v>جيد</v>
      </c>
      <c r="I15" s="51"/>
      <c r="J15" s="52"/>
    </row>
    <row r="16" spans="1:10" ht="50.1" customHeight="1" x14ac:dyDescent="0.2">
      <c r="A16" s="10"/>
      <c r="B16" s="70" t="s">
        <v>65</v>
      </c>
      <c r="C16" s="71"/>
      <c r="D16" s="71"/>
      <c r="E16" s="9">
        <v>5</v>
      </c>
      <c r="F16" s="19">
        <v>3.75</v>
      </c>
      <c r="G16" s="23">
        <f t="shared" si="0"/>
        <v>0.75</v>
      </c>
      <c r="H16" s="24" t="str">
        <f t="shared" si="1"/>
        <v>جيد</v>
      </c>
      <c r="I16" s="51"/>
      <c r="J16" s="52"/>
    </row>
    <row r="17" spans="1:10" ht="30" customHeight="1" x14ac:dyDescent="0.2">
      <c r="A17" s="10"/>
      <c r="B17" s="70" t="s">
        <v>103</v>
      </c>
      <c r="C17" s="71"/>
      <c r="D17" s="71"/>
      <c r="E17" s="9"/>
      <c r="F17" s="19"/>
      <c r="G17" s="23"/>
      <c r="H17" s="24"/>
      <c r="I17" s="51"/>
      <c r="J17" s="52"/>
    </row>
    <row r="18" spans="1:10" ht="30" customHeight="1" x14ac:dyDescent="0.2">
      <c r="A18" s="10"/>
      <c r="B18" s="78" t="s">
        <v>86</v>
      </c>
      <c r="C18" s="79"/>
      <c r="D18" s="79"/>
      <c r="E18" s="9">
        <v>5</v>
      </c>
      <c r="F18" s="19">
        <v>3.5</v>
      </c>
      <c r="G18" s="23">
        <f t="shared" si="0"/>
        <v>0.7</v>
      </c>
      <c r="H18" s="24" t="str">
        <f t="shared" si="1"/>
        <v>جيد</v>
      </c>
      <c r="I18" s="51"/>
      <c r="J18" s="52"/>
    </row>
    <row r="19" spans="1:10" ht="30" customHeight="1" x14ac:dyDescent="0.2">
      <c r="A19" s="10"/>
      <c r="B19" s="78" t="s">
        <v>87</v>
      </c>
      <c r="C19" s="79"/>
      <c r="D19" s="79"/>
      <c r="E19" s="9">
        <v>5</v>
      </c>
      <c r="F19" s="19">
        <v>3.5</v>
      </c>
      <c r="G19" s="23">
        <f t="shared" si="0"/>
        <v>0.7</v>
      </c>
      <c r="H19" s="24" t="str">
        <f t="shared" si="1"/>
        <v>جيد</v>
      </c>
      <c r="I19" s="51"/>
      <c r="J19" s="52"/>
    </row>
    <row r="20" spans="1:10" ht="30" customHeight="1" x14ac:dyDescent="0.2">
      <c r="A20" s="10"/>
      <c r="B20" s="78" t="s">
        <v>88</v>
      </c>
      <c r="C20" s="79"/>
      <c r="D20" s="79"/>
      <c r="E20" s="9">
        <v>5</v>
      </c>
      <c r="F20" s="19">
        <v>3.75</v>
      </c>
      <c r="G20" s="23">
        <f t="shared" si="0"/>
        <v>0.75</v>
      </c>
      <c r="H20" s="24" t="str">
        <f t="shared" si="1"/>
        <v>جيد</v>
      </c>
      <c r="I20" s="51"/>
      <c r="J20" s="52"/>
    </row>
    <row r="21" spans="1:10" ht="30" customHeight="1" x14ac:dyDescent="0.2">
      <c r="A21" s="10"/>
      <c r="B21" s="70" t="s">
        <v>66</v>
      </c>
      <c r="C21" s="71"/>
      <c r="D21" s="71"/>
      <c r="E21" s="9"/>
      <c r="F21" s="19"/>
      <c r="G21" s="23"/>
      <c r="H21" s="24"/>
      <c r="I21" s="51"/>
      <c r="J21" s="52"/>
    </row>
    <row r="22" spans="1:10" ht="39.950000000000003" customHeight="1" x14ac:dyDescent="0.2">
      <c r="A22" s="10"/>
      <c r="B22" s="78" t="s">
        <v>89</v>
      </c>
      <c r="C22" s="79"/>
      <c r="D22" s="79"/>
      <c r="E22" s="9">
        <v>5</v>
      </c>
      <c r="F22" s="19">
        <v>3.75</v>
      </c>
      <c r="G22" s="23">
        <f t="shared" si="0"/>
        <v>0.75</v>
      </c>
      <c r="H22" s="24" t="str">
        <f t="shared" si="1"/>
        <v>جيد</v>
      </c>
      <c r="I22" s="51"/>
      <c r="J22" s="52"/>
    </row>
    <row r="23" spans="1:10" ht="30" customHeight="1" x14ac:dyDescent="0.2">
      <c r="A23" s="10"/>
      <c r="B23" s="78" t="s">
        <v>90</v>
      </c>
      <c r="C23" s="79"/>
      <c r="D23" s="79"/>
      <c r="E23" s="9">
        <v>5</v>
      </c>
      <c r="F23" s="19">
        <v>3.75</v>
      </c>
      <c r="G23" s="23">
        <f t="shared" si="0"/>
        <v>0.75</v>
      </c>
      <c r="H23" s="24" t="str">
        <f t="shared" si="1"/>
        <v>جيد</v>
      </c>
      <c r="I23" s="51"/>
      <c r="J23" s="52"/>
    </row>
    <row r="24" spans="1:10" ht="39.950000000000003" customHeight="1" x14ac:dyDescent="0.2">
      <c r="A24" s="10"/>
      <c r="B24" s="78" t="s">
        <v>91</v>
      </c>
      <c r="C24" s="79"/>
      <c r="D24" s="79"/>
      <c r="E24" s="9">
        <v>5</v>
      </c>
      <c r="F24" s="19">
        <v>3.75</v>
      </c>
      <c r="G24" s="23">
        <f t="shared" si="0"/>
        <v>0.75</v>
      </c>
      <c r="H24" s="24" t="str">
        <f t="shared" si="1"/>
        <v>جيد</v>
      </c>
      <c r="I24" s="51"/>
      <c r="J24" s="52"/>
    </row>
    <row r="25" spans="1:10" ht="30" customHeight="1" thickBot="1" x14ac:dyDescent="0.25">
      <c r="A25" s="10"/>
      <c r="B25" s="76" t="s">
        <v>104</v>
      </c>
      <c r="C25" s="77"/>
      <c r="D25" s="77"/>
      <c r="E25" s="29">
        <v>5</v>
      </c>
      <c r="F25" s="20">
        <v>3.75</v>
      </c>
      <c r="G25" s="27">
        <f t="shared" si="0"/>
        <v>0.75</v>
      </c>
      <c r="H25" s="28" t="str">
        <f t="shared" si="1"/>
        <v>جيد</v>
      </c>
      <c r="I25" s="49"/>
      <c r="J25" s="50"/>
    </row>
    <row r="26" spans="1:10" ht="30" customHeight="1" x14ac:dyDescent="0.2">
      <c r="A26" s="10"/>
      <c r="B26" s="80" t="s">
        <v>92</v>
      </c>
      <c r="C26" s="81"/>
      <c r="D26" s="81"/>
      <c r="E26" s="81"/>
      <c r="F26" s="81"/>
      <c r="G26" s="81"/>
      <c r="H26" s="81"/>
      <c r="I26" s="81"/>
      <c r="J26" s="82"/>
    </row>
    <row r="27" spans="1:10" ht="30" customHeight="1" x14ac:dyDescent="0.2">
      <c r="A27" s="10"/>
      <c r="B27" s="70" t="s">
        <v>105</v>
      </c>
      <c r="C27" s="71"/>
      <c r="D27" s="71"/>
      <c r="E27" s="25">
        <v>5</v>
      </c>
      <c r="F27" s="19">
        <v>3.5</v>
      </c>
      <c r="G27" s="23">
        <f t="shared" si="0"/>
        <v>0.7</v>
      </c>
      <c r="H27" s="24" t="str">
        <f t="shared" si="1"/>
        <v>جيد</v>
      </c>
      <c r="I27" s="51"/>
      <c r="J27" s="52"/>
    </row>
    <row r="28" spans="1:10" ht="30" customHeight="1" x14ac:dyDescent="0.2">
      <c r="A28" s="10"/>
      <c r="B28" s="70" t="s">
        <v>67</v>
      </c>
      <c r="C28" s="71"/>
      <c r="D28" s="71"/>
      <c r="E28" s="25">
        <v>5</v>
      </c>
      <c r="F28" s="19">
        <v>3.5</v>
      </c>
      <c r="G28" s="23">
        <f t="shared" si="0"/>
        <v>0.7</v>
      </c>
      <c r="H28" s="24" t="str">
        <f t="shared" si="1"/>
        <v>جيد</v>
      </c>
      <c r="I28" s="51"/>
      <c r="J28" s="52"/>
    </row>
    <row r="29" spans="1:10" ht="30" customHeight="1" x14ac:dyDescent="0.2">
      <c r="A29" s="10"/>
      <c r="B29" s="70" t="s">
        <v>68</v>
      </c>
      <c r="C29" s="71"/>
      <c r="D29" s="71"/>
      <c r="E29" s="25">
        <v>5</v>
      </c>
      <c r="F29" s="19">
        <v>3.5</v>
      </c>
      <c r="G29" s="23">
        <f t="shared" si="0"/>
        <v>0.7</v>
      </c>
      <c r="H29" s="24" t="str">
        <f t="shared" si="1"/>
        <v>جيد</v>
      </c>
      <c r="I29" s="51"/>
      <c r="J29" s="52"/>
    </row>
    <row r="30" spans="1:10" ht="30" customHeight="1" x14ac:dyDescent="0.2">
      <c r="A30" s="10"/>
      <c r="B30" s="70" t="s">
        <v>69</v>
      </c>
      <c r="C30" s="71"/>
      <c r="D30" s="71"/>
      <c r="E30" s="25">
        <v>5</v>
      </c>
      <c r="F30" s="19">
        <v>3.5</v>
      </c>
      <c r="G30" s="23">
        <f t="shared" si="0"/>
        <v>0.7</v>
      </c>
      <c r="H30" s="24" t="str">
        <f t="shared" si="1"/>
        <v>جيد</v>
      </c>
      <c r="I30" s="51"/>
      <c r="J30" s="52"/>
    </row>
    <row r="31" spans="1:10" ht="30" customHeight="1" x14ac:dyDescent="0.2">
      <c r="A31" s="10"/>
      <c r="B31" s="70" t="s">
        <v>70</v>
      </c>
      <c r="C31" s="71"/>
      <c r="D31" s="71"/>
      <c r="E31" s="25">
        <v>5</v>
      </c>
      <c r="F31" s="19">
        <v>3.5</v>
      </c>
      <c r="G31" s="23">
        <f t="shared" si="0"/>
        <v>0.7</v>
      </c>
      <c r="H31" s="24" t="str">
        <f t="shared" si="1"/>
        <v>جيد</v>
      </c>
      <c r="I31" s="51"/>
      <c r="J31" s="52"/>
    </row>
    <row r="32" spans="1:10" ht="39.950000000000003" customHeight="1" x14ac:dyDescent="0.2">
      <c r="A32" s="10"/>
      <c r="B32" s="70" t="s">
        <v>106</v>
      </c>
      <c r="C32" s="71"/>
      <c r="D32" s="71"/>
      <c r="E32" s="25">
        <v>5</v>
      </c>
      <c r="F32" s="19">
        <v>3.75</v>
      </c>
      <c r="G32" s="23">
        <f t="shared" si="0"/>
        <v>0.75</v>
      </c>
      <c r="H32" s="24" t="str">
        <f t="shared" si="1"/>
        <v>جيد</v>
      </c>
      <c r="I32" s="51"/>
      <c r="J32" s="52"/>
    </row>
    <row r="33" spans="1:10" ht="30" customHeight="1" x14ac:dyDescent="0.2">
      <c r="A33" s="10"/>
      <c r="B33" s="70" t="s">
        <v>71</v>
      </c>
      <c r="C33" s="71"/>
      <c r="D33" s="71"/>
      <c r="E33" s="25">
        <v>5</v>
      </c>
      <c r="F33" s="19">
        <v>3.75</v>
      </c>
      <c r="G33" s="23">
        <f t="shared" si="0"/>
        <v>0.75</v>
      </c>
      <c r="H33" s="24" t="str">
        <f t="shared" si="1"/>
        <v>جيد</v>
      </c>
      <c r="I33" s="51"/>
      <c r="J33" s="52"/>
    </row>
    <row r="34" spans="1:10" ht="30" customHeight="1" x14ac:dyDescent="0.2">
      <c r="A34" s="10"/>
      <c r="B34" s="70" t="s">
        <v>72</v>
      </c>
      <c r="C34" s="71"/>
      <c r="D34" s="71"/>
      <c r="E34" s="25">
        <v>5</v>
      </c>
      <c r="F34" s="19">
        <v>3.5</v>
      </c>
      <c r="G34" s="23">
        <f t="shared" si="0"/>
        <v>0.7</v>
      </c>
      <c r="H34" s="24" t="str">
        <f t="shared" si="1"/>
        <v>جيد</v>
      </c>
      <c r="I34" s="51"/>
      <c r="J34" s="52"/>
    </row>
    <row r="35" spans="1:10" ht="39.950000000000003" customHeight="1" x14ac:dyDescent="0.2">
      <c r="A35" s="10"/>
      <c r="B35" s="70" t="s">
        <v>73</v>
      </c>
      <c r="C35" s="71"/>
      <c r="D35" s="71"/>
      <c r="E35" s="25">
        <v>5</v>
      </c>
      <c r="F35" s="19">
        <v>3.5</v>
      </c>
      <c r="G35" s="23">
        <f t="shared" si="0"/>
        <v>0.7</v>
      </c>
      <c r="H35" s="24" t="str">
        <f t="shared" si="1"/>
        <v>جيد</v>
      </c>
      <c r="I35" s="51"/>
      <c r="J35" s="52"/>
    </row>
    <row r="36" spans="1:10" ht="30" customHeight="1" x14ac:dyDescent="0.2">
      <c r="A36" s="10"/>
      <c r="B36" s="70" t="s">
        <v>74</v>
      </c>
      <c r="C36" s="71"/>
      <c r="D36" s="71"/>
      <c r="E36" s="25">
        <v>5</v>
      </c>
      <c r="F36" s="19">
        <v>3.5</v>
      </c>
      <c r="G36" s="23">
        <f t="shared" si="0"/>
        <v>0.7</v>
      </c>
      <c r="H36" s="24" t="str">
        <f t="shared" si="1"/>
        <v>جيد</v>
      </c>
      <c r="I36" s="51"/>
      <c r="J36" s="52"/>
    </row>
    <row r="37" spans="1:10" ht="39.950000000000003" customHeight="1" x14ac:dyDescent="0.2">
      <c r="A37" s="10"/>
      <c r="B37" s="70" t="s">
        <v>75</v>
      </c>
      <c r="C37" s="71"/>
      <c r="D37" s="71"/>
      <c r="E37" s="25">
        <v>5</v>
      </c>
      <c r="F37" s="19">
        <v>3.5</v>
      </c>
      <c r="G37" s="23">
        <f t="shared" si="0"/>
        <v>0.7</v>
      </c>
      <c r="H37" s="24" t="str">
        <f t="shared" si="1"/>
        <v>جيد</v>
      </c>
      <c r="I37" s="51"/>
      <c r="J37" s="52"/>
    </row>
    <row r="38" spans="1:10" ht="30" customHeight="1" thickBot="1" x14ac:dyDescent="0.25">
      <c r="A38" s="10"/>
      <c r="B38" s="76" t="s">
        <v>76</v>
      </c>
      <c r="C38" s="77"/>
      <c r="D38" s="77"/>
      <c r="E38" s="26">
        <v>5</v>
      </c>
      <c r="F38" s="20">
        <v>4</v>
      </c>
      <c r="G38" s="27">
        <f t="shared" si="0"/>
        <v>0.8</v>
      </c>
      <c r="H38" s="28" t="str">
        <f t="shared" si="1"/>
        <v>جيد جداً</v>
      </c>
      <c r="I38" s="49"/>
      <c r="J38" s="50"/>
    </row>
    <row r="39" spans="1:10" ht="30" customHeight="1" x14ac:dyDescent="0.2">
      <c r="A39" s="10"/>
      <c r="B39" s="80" t="s">
        <v>93</v>
      </c>
      <c r="C39" s="81"/>
      <c r="D39" s="81"/>
      <c r="E39" s="81"/>
      <c r="F39" s="81"/>
      <c r="G39" s="81"/>
      <c r="H39" s="81"/>
      <c r="I39" s="81"/>
      <c r="J39" s="82"/>
    </row>
    <row r="40" spans="1:10" ht="30" customHeight="1" x14ac:dyDescent="0.2">
      <c r="A40" s="10"/>
      <c r="B40" s="70" t="s">
        <v>111</v>
      </c>
      <c r="C40" s="71"/>
      <c r="D40" s="71"/>
      <c r="E40" s="9"/>
      <c r="F40" s="19"/>
      <c r="G40" s="23"/>
      <c r="H40" s="24"/>
      <c r="I40" s="51"/>
      <c r="J40" s="52"/>
    </row>
    <row r="41" spans="1:10" ht="30" customHeight="1" x14ac:dyDescent="0.2">
      <c r="A41" s="10"/>
      <c r="B41" s="78" t="s">
        <v>94</v>
      </c>
      <c r="C41" s="79"/>
      <c r="D41" s="79"/>
      <c r="E41" s="25">
        <v>5</v>
      </c>
      <c r="F41" s="19">
        <v>3.5</v>
      </c>
      <c r="G41" s="23">
        <f t="shared" si="0"/>
        <v>0.7</v>
      </c>
      <c r="H41" s="24" t="str">
        <f t="shared" si="1"/>
        <v>جيد</v>
      </c>
      <c r="I41" s="51"/>
      <c r="J41" s="52"/>
    </row>
    <row r="42" spans="1:10" ht="30" customHeight="1" x14ac:dyDescent="0.2">
      <c r="A42" s="10"/>
      <c r="B42" s="78" t="s">
        <v>95</v>
      </c>
      <c r="C42" s="79"/>
      <c r="D42" s="79"/>
      <c r="E42" s="25">
        <v>5</v>
      </c>
      <c r="F42" s="19">
        <v>4</v>
      </c>
      <c r="G42" s="23">
        <f t="shared" si="0"/>
        <v>0.8</v>
      </c>
      <c r="H42" s="24" t="str">
        <f t="shared" si="1"/>
        <v>جيد جداً</v>
      </c>
      <c r="I42" s="51"/>
      <c r="J42" s="52"/>
    </row>
    <row r="43" spans="1:10" ht="30" customHeight="1" x14ac:dyDescent="0.2">
      <c r="A43" s="10"/>
      <c r="B43" s="78" t="s">
        <v>96</v>
      </c>
      <c r="C43" s="79"/>
      <c r="D43" s="79"/>
      <c r="E43" s="25">
        <v>5</v>
      </c>
      <c r="F43" s="19">
        <v>4</v>
      </c>
      <c r="G43" s="23">
        <f t="shared" si="0"/>
        <v>0.8</v>
      </c>
      <c r="H43" s="24" t="str">
        <f t="shared" si="1"/>
        <v>جيد جداً</v>
      </c>
      <c r="I43" s="51"/>
      <c r="J43" s="52"/>
    </row>
    <row r="44" spans="1:10" ht="39.950000000000003" customHeight="1" x14ac:dyDescent="0.2">
      <c r="A44" s="10"/>
      <c r="B44" s="78" t="s">
        <v>97</v>
      </c>
      <c r="C44" s="79"/>
      <c r="D44" s="79"/>
      <c r="E44" s="25">
        <v>5</v>
      </c>
      <c r="F44" s="19">
        <v>3.75</v>
      </c>
      <c r="G44" s="23">
        <f t="shared" si="0"/>
        <v>0.75</v>
      </c>
      <c r="H44" s="24" t="str">
        <f t="shared" si="1"/>
        <v>جيد</v>
      </c>
      <c r="I44" s="51"/>
      <c r="J44" s="52"/>
    </row>
    <row r="45" spans="1:10" ht="30" customHeight="1" x14ac:dyDescent="0.2">
      <c r="A45" s="10"/>
      <c r="B45" s="70" t="s">
        <v>107</v>
      </c>
      <c r="C45" s="71"/>
      <c r="D45" s="71"/>
      <c r="E45" s="9"/>
      <c r="F45" s="19"/>
      <c r="G45" s="23"/>
      <c r="H45" s="24"/>
      <c r="I45" s="51"/>
      <c r="J45" s="52"/>
    </row>
    <row r="46" spans="1:10" ht="30" customHeight="1" x14ac:dyDescent="0.2">
      <c r="A46" s="10"/>
      <c r="B46" s="78" t="s">
        <v>98</v>
      </c>
      <c r="C46" s="79"/>
      <c r="D46" s="79"/>
      <c r="E46" s="25">
        <v>5</v>
      </c>
      <c r="F46" s="19">
        <v>3.75</v>
      </c>
      <c r="G46" s="23">
        <f t="shared" si="0"/>
        <v>0.75</v>
      </c>
      <c r="H46" s="24" t="str">
        <f t="shared" si="1"/>
        <v>جيد</v>
      </c>
      <c r="I46" s="51"/>
      <c r="J46" s="52"/>
    </row>
    <row r="47" spans="1:10" ht="30" customHeight="1" x14ac:dyDescent="0.2">
      <c r="A47" s="10"/>
      <c r="B47" s="78" t="s">
        <v>99</v>
      </c>
      <c r="C47" s="79"/>
      <c r="D47" s="79"/>
      <c r="E47" s="25">
        <v>5</v>
      </c>
      <c r="F47" s="19">
        <v>3.75</v>
      </c>
      <c r="G47" s="23">
        <f t="shared" si="0"/>
        <v>0.75</v>
      </c>
      <c r="H47" s="24" t="str">
        <f t="shared" si="1"/>
        <v>جيد</v>
      </c>
      <c r="I47" s="51"/>
      <c r="J47" s="52"/>
    </row>
    <row r="48" spans="1:10" ht="30" customHeight="1" x14ac:dyDescent="0.2">
      <c r="A48" s="10"/>
      <c r="B48" s="78" t="s">
        <v>100</v>
      </c>
      <c r="C48" s="79"/>
      <c r="D48" s="79"/>
      <c r="E48" s="25">
        <v>5</v>
      </c>
      <c r="F48" s="19">
        <v>3.5</v>
      </c>
      <c r="G48" s="23">
        <f t="shared" si="0"/>
        <v>0.7</v>
      </c>
      <c r="H48" s="24" t="str">
        <f t="shared" si="1"/>
        <v>جيد</v>
      </c>
      <c r="I48" s="51"/>
      <c r="J48" s="52"/>
    </row>
    <row r="49" spans="1:10" ht="50.1" customHeight="1" x14ac:dyDescent="0.2">
      <c r="A49" s="10"/>
      <c r="B49" s="78" t="s">
        <v>101</v>
      </c>
      <c r="C49" s="79"/>
      <c r="D49" s="79"/>
      <c r="E49" s="25">
        <v>5</v>
      </c>
      <c r="F49" s="19">
        <v>3.75</v>
      </c>
      <c r="G49" s="23">
        <f t="shared" si="0"/>
        <v>0.75</v>
      </c>
      <c r="H49" s="24" t="str">
        <f t="shared" si="1"/>
        <v>جيد</v>
      </c>
      <c r="I49" s="51"/>
      <c r="J49" s="52"/>
    </row>
    <row r="50" spans="1:10" ht="39.950000000000003" customHeight="1" x14ac:dyDescent="0.2">
      <c r="A50" s="10"/>
      <c r="B50" s="70" t="s">
        <v>77</v>
      </c>
      <c r="C50" s="71"/>
      <c r="D50" s="71"/>
      <c r="E50" s="25">
        <v>5</v>
      </c>
      <c r="F50" s="19">
        <v>3.75</v>
      </c>
      <c r="G50" s="23">
        <f t="shared" si="0"/>
        <v>0.75</v>
      </c>
      <c r="H50" s="24" t="str">
        <f t="shared" si="1"/>
        <v>جيد</v>
      </c>
      <c r="I50" s="51"/>
      <c r="J50" s="52"/>
    </row>
    <row r="51" spans="1:10" ht="39.950000000000003" customHeight="1" x14ac:dyDescent="0.2">
      <c r="A51" s="10"/>
      <c r="B51" s="70" t="s">
        <v>108</v>
      </c>
      <c r="C51" s="71"/>
      <c r="D51" s="71"/>
      <c r="E51" s="25">
        <v>5</v>
      </c>
      <c r="F51" s="19">
        <v>3.5</v>
      </c>
      <c r="G51" s="23">
        <f t="shared" si="0"/>
        <v>0.7</v>
      </c>
      <c r="H51" s="24" t="str">
        <f t="shared" si="1"/>
        <v>جيد</v>
      </c>
      <c r="I51" s="51"/>
      <c r="J51" s="52"/>
    </row>
    <row r="52" spans="1:10" ht="30" customHeight="1" x14ac:dyDescent="0.2">
      <c r="A52" s="10"/>
      <c r="B52" s="70" t="s">
        <v>78</v>
      </c>
      <c r="C52" s="71"/>
      <c r="D52" s="71"/>
      <c r="E52" s="25">
        <v>5</v>
      </c>
      <c r="F52" s="19">
        <v>3.75</v>
      </c>
      <c r="G52" s="23">
        <f t="shared" si="0"/>
        <v>0.75</v>
      </c>
      <c r="H52" s="24" t="str">
        <f t="shared" si="1"/>
        <v>جيد</v>
      </c>
      <c r="I52" s="51"/>
      <c r="J52" s="52"/>
    </row>
    <row r="53" spans="1:10" ht="39.950000000000003" customHeight="1" x14ac:dyDescent="0.2">
      <c r="A53" s="10"/>
      <c r="B53" s="70" t="s">
        <v>109</v>
      </c>
      <c r="C53" s="71"/>
      <c r="D53" s="71"/>
      <c r="E53" s="25">
        <v>5</v>
      </c>
      <c r="F53" s="19">
        <v>3.75</v>
      </c>
      <c r="G53" s="23">
        <f t="shared" si="0"/>
        <v>0.75</v>
      </c>
      <c r="H53" s="24" t="str">
        <f t="shared" si="1"/>
        <v>جيد</v>
      </c>
      <c r="I53" s="51"/>
      <c r="J53" s="52"/>
    </row>
    <row r="54" spans="1:10" ht="39.950000000000003" customHeight="1" x14ac:dyDescent="0.2">
      <c r="A54" s="10"/>
      <c r="B54" s="70" t="s">
        <v>110</v>
      </c>
      <c r="C54" s="71"/>
      <c r="D54" s="71"/>
      <c r="E54" s="25">
        <v>5</v>
      </c>
      <c r="F54" s="19">
        <v>3.5</v>
      </c>
      <c r="G54" s="23">
        <f t="shared" si="0"/>
        <v>0.7</v>
      </c>
      <c r="H54" s="24" t="str">
        <f t="shared" si="1"/>
        <v>جيد</v>
      </c>
      <c r="I54" s="51"/>
      <c r="J54" s="52"/>
    </row>
    <row r="55" spans="1:10" ht="39.950000000000003" customHeight="1" thickBot="1" x14ac:dyDescent="0.25">
      <c r="A55" s="10"/>
      <c r="B55" s="76" t="s">
        <v>79</v>
      </c>
      <c r="C55" s="77"/>
      <c r="D55" s="77"/>
      <c r="E55" s="26">
        <v>5</v>
      </c>
      <c r="F55" s="20">
        <v>3.5</v>
      </c>
      <c r="G55" s="27">
        <f t="shared" si="0"/>
        <v>0.7</v>
      </c>
      <c r="H55" s="28" t="str">
        <f t="shared" si="1"/>
        <v>جيد</v>
      </c>
      <c r="I55" s="49"/>
      <c r="J55" s="50"/>
    </row>
    <row r="56" spans="1:10" ht="30" customHeight="1" thickBot="1" x14ac:dyDescent="0.25">
      <c r="A56" s="4"/>
      <c r="B56" s="72" t="s">
        <v>5</v>
      </c>
      <c r="C56" s="73"/>
      <c r="D56" s="73"/>
      <c r="E56" s="22">
        <f>SUM(E8:E55)</f>
        <v>200</v>
      </c>
      <c r="F56" s="22">
        <f>SUM(F8:F55)</f>
        <v>146.75</v>
      </c>
      <c r="G56" s="67"/>
      <c r="H56" s="68"/>
      <c r="I56" s="68"/>
      <c r="J56" s="69"/>
    </row>
    <row r="57" spans="1:10" ht="30" customHeight="1" thickBot="1" x14ac:dyDescent="0.25">
      <c r="A57" s="4"/>
      <c r="B57" s="74" t="s">
        <v>54</v>
      </c>
      <c r="C57" s="75"/>
      <c r="D57" s="75"/>
      <c r="E57" s="45">
        <f>F56/E56/100*100</f>
        <v>0.73375000000000001</v>
      </c>
      <c r="F57" s="45"/>
      <c r="G57" s="45"/>
      <c r="H57" s="45"/>
      <c r="I57" s="45"/>
      <c r="J57" s="46"/>
    </row>
    <row r="58" spans="1:10" ht="30" customHeight="1" thickBot="1" x14ac:dyDescent="0.25">
      <c r="A58" s="4"/>
      <c r="B58" s="74" t="s">
        <v>55</v>
      </c>
      <c r="C58" s="75"/>
      <c r="D58" s="75"/>
      <c r="E58" s="63" t="str">
        <f>_xlfn.IFS(E57&gt;=90%,"ممتاز",E57&gt;=80%,"جيد جداً",E57&gt;=70%,"جيد",E57&gt;=60%,"مقبول",E57&lt;60%,"راسب")</f>
        <v>جيد</v>
      </c>
      <c r="F58" s="63"/>
      <c r="G58" s="63"/>
      <c r="H58" s="63"/>
      <c r="I58" s="63"/>
      <c r="J58" s="64"/>
    </row>
    <row r="59" spans="1:10" ht="42" customHeight="1" x14ac:dyDescent="0.2">
      <c r="B59" s="59" t="s">
        <v>63</v>
      </c>
      <c r="C59" s="59"/>
      <c r="D59" s="59"/>
      <c r="E59" s="65" t="s">
        <v>52</v>
      </c>
      <c r="F59" s="65"/>
      <c r="G59" s="61" t="s">
        <v>115</v>
      </c>
      <c r="H59" s="61"/>
      <c r="I59" s="61"/>
      <c r="J59" s="61"/>
    </row>
    <row r="60" spans="1:10" ht="51" customHeight="1" x14ac:dyDescent="0.2">
      <c r="A60" s="5"/>
      <c r="B60" s="60"/>
      <c r="C60" s="60"/>
      <c r="D60" s="60"/>
      <c r="E60" s="66" t="s">
        <v>53</v>
      </c>
      <c r="F60" s="66"/>
      <c r="G60" s="62"/>
      <c r="H60" s="62"/>
      <c r="I60" s="62"/>
      <c r="J60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E9 F9:F25 F27:F38 F40:F55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C2" sqref="C2:C29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36" t="s">
        <v>198</v>
      </c>
    </row>
    <row r="3" spans="1:3" ht="20.100000000000001" customHeight="1" thickBot="1" x14ac:dyDescent="0.3">
      <c r="A3" s="2" t="s">
        <v>26</v>
      </c>
      <c r="C3" s="36" t="s">
        <v>199</v>
      </c>
    </row>
    <row r="4" spans="1:3" ht="20.100000000000001" customHeight="1" thickBot="1" x14ac:dyDescent="0.3">
      <c r="A4" s="2" t="s">
        <v>36</v>
      </c>
      <c r="C4" s="36" t="s">
        <v>200</v>
      </c>
    </row>
    <row r="5" spans="1:3" ht="20.100000000000001" customHeight="1" thickBot="1" x14ac:dyDescent="0.3">
      <c r="A5" s="2" t="s">
        <v>37</v>
      </c>
      <c r="C5" s="36" t="s">
        <v>201</v>
      </c>
    </row>
    <row r="6" spans="1:3" ht="20.100000000000001" customHeight="1" thickBot="1" x14ac:dyDescent="0.3">
      <c r="A6" s="2" t="s">
        <v>38</v>
      </c>
      <c r="C6" s="36" t="s">
        <v>202</v>
      </c>
    </row>
    <row r="7" spans="1:3" ht="20.100000000000001" customHeight="1" thickBot="1" x14ac:dyDescent="0.3">
      <c r="A7" s="2" t="s">
        <v>39</v>
      </c>
      <c r="C7" s="36" t="s">
        <v>203</v>
      </c>
    </row>
    <row r="8" spans="1:3" ht="20.100000000000001" customHeight="1" thickBot="1" x14ac:dyDescent="0.3">
      <c r="A8" s="2" t="s">
        <v>40</v>
      </c>
      <c r="C8" s="36" t="s">
        <v>204</v>
      </c>
    </row>
    <row r="9" spans="1:3" ht="20.100000000000001" customHeight="1" thickBot="1" x14ac:dyDescent="0.3">
      <c r="A9" s="2" t="s">
        <v>41</v>
      </c>
      <c r="C9" s="36" t="s">
        <v>205</v>
      </c>
    </row>
    <row r="10" spans="1:3" ht="20.100000000000001" customHeight="1" thickBot="1" x14ac:dyDescent="0.3">
      <c r="A10" s="2" t="s">
        <v>42</v>
      </c>
      <c r="C10" s="36" t="s">
        <v>206</v>
      </c>
    </row>
    <row r="11" spans="1:3" ht="20.100000000000001" customHeight="1" thickBot="1" x14ac:dyDescent="0.3">
      <c r="A11" s="2" t="s">
        <v>43</v>
      </c>
      <c r="C11" s="36" t="s">
        <v>207</v>
      </c>
    </row>
    <row r="12" spans="1:3" ht="20.100000000000001" customHeight="1" thickBot="1" x14ac:dyDescent="0.3">
      <c r="A12" s="2" t="s">
        <v>44</v>
      </c>
      <c r="C12" s="36" t="s">
        <v>208</v>
      </c>
    </row>
    <row r="13" spans="1:3" ht="20.100000000000001" customHeight="1" thickBot="1" x14ac:dyDescent="0.3">
      <c r="A13" s="2" t="s">
        <v>45</v>
      </c>
      <c r="C13" s="36" t="s">
        <v>209</v>
      </c>
    </row>
    <row r="14" spans="1:3" ht="20.100000000000001" customHeight="1" thickBot="1" x14ac:dyDescent="0.3">
      <c r="A14" s="2" t="s">
        <v>46</v>
      </c>
      <c r="C14" s="36" t="s">
        <v>210</v>
      </c>
    </row>
    <row r="15" spans="1:3" ht="20.100000000000001" customHeight="1" thickBot="1" x14ac:dyDescent="0.3">
      <c r="A15" s="2" t="s">
        <v>47</v>
      </c>
      <c r="C15" s="36" t="s">
        <v>211</v>
      </c>
    </row>
    <row r="16" spans="1:3" ht="20.100000000000001" customHeight="1" thickBot="1" x14ac:dyDescent="0.3">
      <c r="A16" s="2" t="s">
        <v>10</v>
      </c>
      <c r="C16" s="36" t="s">
        <v>212</v>
      </c>
    </row>
    <row r="17" spans="1:3" ht="20.100000000000001" customHeight="1" thickBot="1" x14ac:dyDescent="0.3">
      <c r="A17" s="2" t="s">
        <v>27</v>
      </c>
      <c r="C17" s="36" t="s">
        <v>213</v>
      </c>
    </row>
    <row r="18" spans="1:3" ht="20.100000000000001" customHeight="1" thickBot="1" x14ac:dyDescent="0.3">
      <c r="A18" s="2" t="s">
        <v>48</v>
      </c>
      <c r="C18" s="36" t="s">
        <v>214</v>
      </c>
    </row>
    <row r="19" spans="1:3" ht="20.100000000000001" customHeight="1" thickBot="1" x14ac:dyDescent="0.3">
      <c r="A19" s="2" t="s">
        <v>49</v>
      </c>
      <c r="C19" s="36" t="s">
        <v>215</v>
      </c>
    </row>
    <row r="20" spans="1:3" ht="20.100000000000001" customHeight="1" thickBot="1" x14ac:dyDescent="0.3">
      <c r="A20" s="2" t="s">
        <v>50</v>
      </c>
      <c r="C20" s="36" t="s">
        <v>216</v>
      </c>
    </row>
    <row r="21" spans="1:3" ht="20.100000000000001" customHeight="1" thickBot="1" x14ac:dyDescent="0.3">
      <c r="A21" s="2" t="s">
        <v>51</v>
      </c>
      <c r="C21" s="36" t="s">
        <v>217</v>
      </c>
    </row>
    <row r="22" spans="1:3" ht="20.100000000000001" customHeight="1" thickBot="1" x14ac:dyDescent="0.3">
      <c r="A22" s="2" t="s">
        <v>11</v>
      </c>
      <c r="C22" s="36" t="s">
        <v>218</v>
      </c>
    </row>
    <row r="23" spans="1:3" ht="20.100000000000001" customHeight="1" thickBot="1" x14ac:dyDescent="0.3">
      <c r="A23" s="2" t="s">
        <v>12</v>
      </c>
      <c r="C23" s="36" t="s">
        <v>219</v>
      </c>
    </row>
    <row r="24" spans="1:3" ht="20.100000000000001" customHeight="1" thickBot="1" x14ac:dyDescent="0.3">
      <c r="A24" s="2" t="s">
        <v>15</v>
      </c>
      <c r="C24" s="36" t="s">
        <v>220</v>
      </c>
    </row>
    <row r="25" spans="1:3" ht="20.100000000000001" customHeight="1" thickBot="1" x14ac:dyDescent="0.3">
      <c r="A25" s="2" t="s">
        <v>28</v>
      </c>
      <c r="C25" s="36" t="s">
        <v>221</v>
      </c>
    </row>
    <row r="26" spans="1:3" ht="20.100000000000001" customHeight="1" thickBot="1" x14ac:dyDescent="0.3">
      <c r="A26" s="2" t="s">
        <v>29</v>
      </c>
      <c r="C26" s="36" t="s">
        <v>222</v>
      </c>
    </row>
    <row r="27" spans="1:3" ht="20.100000000000001" customHeight="1" thickBot="1" x14ac:dyDescent="0.3">
      <c r="A27" s="2" t="s">
        <v>13</v>
      </c>
      <c r="C27" s="36" t="s">
        <v>223</v>
      </c>
    </row>
    <row r="28" spans="1:3" ht="20.100000000000001" customHeight="1" thickBot="1" x14ac:dyDescent="0.3">
      <c r="A28" s="2" t="s">
        <v>30</v>
      </c>
      <c r="C28" s="36" t="s">
        <v>224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30" t="s">
        <v>112</v>
      </c>
    </row>
    <row r="200" spans="1:1" ht="20.100000000000001" customHeight="1" x14ac:dyDescent="0.2">
      <c r="A200" s="30" t="s">
        <v>113</v>
      </c>
    </row>
    <row r="201" spans="1:1" ht="20.100000000000001" customHeight="1" x14ac:dyDescent="0.2">
      <c r="A201" s="30" t="s">
        <v>114</v>
      </c>
    </row>
    <row r="202" spans="1:1" ht="20.100000000000001" customHeight="1" x14ac:dyDescent="0.2">
      <c r="A202" s="30" t="s">
        <v>115</v>
      </c>
    </row>
    <row r="203" spans="1:1" ht="20.100000000000001" customHeight="1" x14ac:dyDescent="0.2">
      <c r="A203" s="30" t="s">
        <v>116</v>
      </c>
    </row>
    <row r="204" spans="1:1" ht="20.100000000000001" customHeight="1" x14ac:dyDescent="0.2">
      <c r="A204" s="30" t="s">
        <v>117</v>
      </c>
    </row>
    <row r="205" spans="1:1" ht="20.100000000000001" customHeight="1" x14ac:dyDescent="0.2">
      <c r="A205" s="30" t="s">
        <v>118</v>
      </c>
    </row>
    <row r="206" spans="1:1" ht="20.100000000000001" customHeight="1" x14ac:dyDescent="0.2">
      <c r="A206" s="30" t="s">
        <v>119</v>
      </c>
    </row>
    <row r="207" spans="1:1" ht="20.100000000000001" customHeight="1" x14ac:dyDescent="0.2">
      <c r="A207" s="30" t="s">
        <v>120</v>
      </c>
    </row>
    <row r="208" spans="1:1" ht="20.100000000000001" customHeight="1" x14ac:dyDescent="0.2">
      <c r="A208" s="31" t="s">
        <v>121</v>
      </c>
    </row>
    <row r="209" spans="1:1" ht="20.100000000000001" customHeight="1" x14ac:dyDescent="0.2">
      <c r="A209" s="31" t="s">
        <v>122</v>
      </c>
    </row>
    <row r="210" spans="1:1" ht="20.100000000000001" customHeight="1" x14ac:dyDescent="0.2">
      <c r="A210" s="30" t="s">
        <v>123</v>
      </c>
    </row>
    <row r="211" spans="1:1" ht="20.100000000000001" customHeight="1" x14ac:dyDescent="0.2">
      <c r="A211" s="30" t="s">
        <v>124</v>
      </c>
    </row>
    <row r="212" spans="1:1" ht="20.100000000000001" customHeight="1" x14ac:dyDescent="0.2">
      <c r="A212" s="30" t="s">
        <v>125</v>
      </c>
    </row>
    <row r="213" spans="1:1" ht="20.100000000000001" customHeight="1" x14ac:dyDescent="0.2">
      <c r="A213" s="30" t="s">
        <v>126</v>
      </c>
    </row>
    <row r="214" spans="1:1" ht="20.100000000000001" customHeight="1" x14ac:dyDescent="0.2">
      <c r="A214" s="30" t="s">
        <v>127</v>
      </c>
    </row>
    <row r="215" spans="1:1" ht="20.100000000000001" customHeight="1" x14ac:dyDescent="0.2">
      <c r="A215" s="30" t="s">
        <v>128</v>
      </c>
    </row>
    <row r="216" spans="1:1" ht="20.100000000000001" customHeight="1" x14ac:dyDescent="0.2">
      <c r="A216" s="30" t="s">
        <v>129</v>
      </c>
    </row>
    <row r="217" spans="1:1" ht="20.100000000000001" customHeight="1" x14ac:dyDescent="0.2">
      <c r="A217" s="30" t="s">
        <v>130</v>
      </c>
    </row>
    <row r="218" spans="1:1" ht="20.100000000000001" customHeight="1" x14ac:dyDescent="0.2">
      <c r="A218" s="30" t="s">
        <v>131</v>
      </c>
    </row>
    <row r="219" spans="1:1" ht="20.100000000000001" customHeight="1" x14ac:dyDescent="0.2">
      <c r="A219" s="30" t="s">
        <v>132</v>
      </c>
    </row>
    <row r="220" spans="1:1" ht="20.100000000000001" customHeight="1" x14ac:dyDescent="0.2">
      <c r="A220" s="30" t="s">
        <v>133</v>
      </c>
    </row>
    <row r="221" spans="1:1" ht="20.100000000000001" customHeight="1" x14ac:dyDescent="0.2">
      <c r="A221" s="30" t="s">
        <v>134</v>
      </c>
    </row>
    <row r="222" spans="1:1" ht="20.100000000000001" customHeight="1" x14ac:dyDescent="0.2">
      <c r="A222" s="30" t="s">
        <v>135</v>
      </c>
    </row>
    <row r="223" spans="1:1" ht="20.100000000000001" customHeight="1" x14ac:dyDescent="0.2">
      <c r="A223" s="30" t="s">
        <v>136</v>
      </c>
    </row>
    <row r="224" spans="1:1" ht="20.100000000000001" customHeight="1" x14ac:dyDescent="0.2">
      <c r="A224" s="30" t="s">
        <v>137</v>
      </c>
    </row>
    <row r="225" spans="1:1" ht="20.100000000000001" customHeight="1" x14ac:dyDescent="0.2">
      <c r="A225" s="30" t="s">
        <v>138</v>
      </c>
    </row>
    <row r="226" spans="1:1" ht="20.100000000000001" customHeight="1" x14ac:dyDescent="0.2">
      <c r="A226" s="30" t="s">
        <v>139</v>
      </c>
    </row>
    <row r="227" spans="1:1" ht="20.100000000000001" customHeight="1" x14ac:dyDescent="0.2">
      <c r="A227" s="30" t="s">
        <v>140</v>
      </c>
    </row>
    <row r="228" spans="1:1" ht="20.100000000000001" customHeight="1" x14ac:dyDescent="0.2">
      <c r="A228" s="30" t="s">
        <v>141</v>
      </c>
    </row>
    <row r="229" spans="1:1" ht="20.100000000000001" customHeight="1" x14ac:dyDescent="0.2">
      <c r="A229" s="30" t="s">
        <v>142</v>
      </c>
    </row>
    <row r="230" spans="1:1" ht="20.100000000000001" customHeight="1" x14ac:dyDescent="0.2">
      <c r="A230" s="30" t="s">
        <v>143</v>
      </c>
    </row>
    <row r="231" spans="1:1" ht="20.100000000000001" customHeight="1" x14ac:dyDescent="0.2">
      <c r="A231" s="30" t="s">
        <v>144</v>
      </c>
    </row>
    <row r="232" spans="1:1" ht="20.100000000000001" customHeight="1" x14ac:dyDescent="0.2">
      <c r="A232" s="30" t="s">
        <v>145</v>
      </c>
    </row>
    <row r="233" spans="1:1" ht="20.100000000000001" customHeight="1" x14ac:dyDescent="0.2">
      <c r="A233" s="30" t="s">
        <v>146</v>
      </c>
    </row>
    <row r="234" spans="1:1" ht="20.100000000000001" customHeight="1" x14ac:dyDescent="0.2">
      <c r="A234" s="30" t="s">
        <v>147</v>
      </c>
    </row>
    <row r="235" spans="1:1" ht="20.100000000000001" customHeight="1" x14ac:dyDescent="0.2">
      <c r="A235" s="32" t="s">
        <v>148</v>
      </c>
    </row>
    <row r="236" spans="1:1" ht="20.100000000000001" customHeight="1" x14ac:dyDescent="0.2">
      <c r="A236" s="30" t="s">
        <v>149</v>
      </c>
    </row>
    <row r="237" spans="1:1" ht="20.100000000000001" customHeight="1" x14ac:dyDescent="0.2">
      <c r="A237" s="30" t="s">
        <v>150</v>
      </c>
    </row>
    <row r="238" spans="1:1" ht="20.100000000000001" customHeight="1" x14ac:dyDescent="0.2">
      <c r="A238" s="30" t="s">
        <v>151</v>
      </c>
    </row>
    <row r="239" spans="1:1" ht="20.100000000000001" customHeight="1" x14ac:dyDescent="0.2">
      <c r="A239" s="30" t="s">
        <v>152</v>
      </c>
    </row>
    <row r="240" spans="1:1" ht="20.100000000000001" customHeight="1" x14ac:dyDescent="0.2">
      <c r="A240" s="30" t="s">
        <v>153</v>
      </c>
    </row>
    <row r="241" spans="1:1" ht="20.100000000000001" customHeight="1" x14ac:dyDescent="0.2">
      <c r="A241" s="30" t="s">
        <v>154</v>
      </c>
    </row>
    <row r="242" spans="1:1" ht="20.100000000000001" customHeight="1" x14ac:dyDescent="0.2">
      <c r="A242" s="30" t="s">
        <v>155</v>
      </c>
    </row>
    <row r="243" spans="1:1" ht="20.100000000000001" customHeight="1" x14ac:dyDescent="0.2">
      <c r="A243" s="30" t="s">
        <v>156</v>
      </c>
    </row>
    <row r="244" spans="1:1" ht="20.100000000000001" customHeight="1" x14ac:dyDescent="0.2">
      <c r="A244" s="30" t="s">
        <v>157</v>
      </c>
    </row>
    <row r="245" spans="1:1" ht="20.100000000000001" customHeight="1" x14ac:dyDescent="0.2">
      <c r="A245" s="30" t="s">
        <v>158</v>
      </c>
    </row>
    <row r="246" spans="1:1" ht="20.100000000000001" customHeight="1" x14ac:dyDescent="0.2">
      <c r="A246" s="30" t="s">
        <v>159</v>
      </c>
    </row>
    <row r="247" spans="1:1" ht="20.100000000000001" customHeight="1" x14ac:dyDescent="0.2">
      <c r="A247" s="30" t="s">
        <v>150</v>
      </c>
    </row>
    <row r="248" spans="1:1" ht="20.100000000000001" customHeight="1" x14ac:dyDescent="0.2">
      <c r="A248" s="30" t="s">
        <v>160</v>
      </c>
    </row>
    <row r="249" spans="1:1" ht="20.100000000000001" customHeight="1" x14ac:dyDescent="0.2">
      <c r="A249" s="30" t="s">
        <v>161</v>
      </c>
    </row>
    <row r="250" spans="1:1" ht="20.100000000000001" customHeight="1" x14ac:dyDescent="0.2">
      <c r="A250" s="32" t="s">
        <v>162</v>
      </c>
    </row>
    <row r="251" spans="1:1" ht="20.100000000000001" customHeight="1" x14ac:dyDescent="0.2">
      <c r="A251" s="33" t="s">
        <v>163</v>
      </c>
    </row>
    <row r="252" spans="1:1" ht="20.100000000000001" customHeight="1" x14ac:dyDescent="0.2">
      <c r="A252" s="30" t="s">
        <v>164</v>
      </c>
    </row>
    <row r="253" spans="1:1" ht="20.100000000000001" customHeight="1" x14ac:dyDescent="0.2">
      <c r="A253" s="30" t="s">
        <v>165</v>
      </c>
    </row>
    <row r="254" spans="1:1" ht="20.100000000000001" customHeight="1" x14ac:dyDescent="0.2">
      <c r="A254" s="34" t="s">
        <v>166</v>
      </c>
    </row>
    <row r="255" spans="1:1" ht="20.100000000000001" customHeight="1" x14ac:dyDescent="0.2">
      <c r="A255" s="34" t="s">
        <v>167</v>
      </c>
    </row>
    <row r="256" spans="1:1" ht="20.100000000000001" customHeight="1" x14ac:dyDescent="0.2">
      <c r="A256" s="35" t="s">
        <v>168</v>
      </c>
    </row>
    <row r="257" spans="1:1" ht="20.100000000000001" customHeight="1" x14ac:dyDescent="0.2">
      <c r="A257" s="30" t="s">
        <v>169</v>
      </c>
    </row>
    <row r="258" spans="1:1" ht="20.100000000000001" customHeight="1" x14ac:dyDescent="0.2">
      <c r="A258" s="35" t="s">
        <v>170</v>
      </c>
    </row>
    <row r="259" spans="1:1" ht="20.100000000000001" customHeight="1" x14ac:dyDescent="0.2">
      <c r="A259" s="30" t="s">
        <v>171</v>
      </c>
    </row>
    <row r="260" spans="1:1" ht="20.100000000000001" customHeight="1" x14ac:dyDescent="0.2">
      <c r="A260" s="35" t="s">
        <v>172</v>
      </c>
    </row>
    <row r="261" spans="1:1" ht="20.100000000000001" customHeight="1" x14ac:dyDescent="0.2">
      <c r="A261" s="30" t="s">
        <v>173</v>
      </c>
    </row>
    <row r="262" spans="1:1" ht="20.100000000000001" customHeight="1" x14ac:dyDescent="0.2">
      <c r="A262" s="30" t="s">
        <v>174</v>
      </c>
    </row>
    <row r="263" spans="1:1" ht="20.100000000000001" customHeight="1" x14ac:dyDescent="0.2">
      <c r="A263" s="35" t="s">
        <v>175</v>
      </c>
    </row>
    <row r="264" spans="1:1" ht="20.100000000000001" customHeight="1" x14ac:dyDescent="0.2">
      <c r="A264" s="35" t="s">
        <v>176</v>
      </c>
    </row>
    <row r="265" spans="1:1" ht="20.100000000000001" customHeight="1" x14ac:dyDescent="0.2">
      <c r="A265" s="35" t="s">
        <v>177</v>
      </c>
    </row>
    <row r="266" spans="1:1" ht="20.100000000000001" customHeight="1" x14ac:dyDescent="0.2">
      <c r="A266" s="30" t="s">
        <v>178</v>
      </c>
    </row>
    <row r="267" spans="1:1" ht="20.100000000000001" customHeight="1" x14ac:dyDescent="0.2">
      <c r="A267" s="30" t="s">
        <v>179</v>
      </c>
    </row>
    <row r="268" spans="1:1" ht="20.100000000000001" customHeight="1" x14ac:dyDescent="0.2">
      <c r="A268" s="30" t="s">
        <v>180</v>
      </c>
    </row>
    <row r="269" spans="1:1" ht="20.100000000000001" customHeight="1" x14ac:dyDescent="0.2">
      <c r="A269" s="30" t="s">
        <v>181</v>
      </c>
    </row>
    <row r="270" spans="1:1" ht="20.100000000000001" customHeight="1" x14ac:dyDescent="0.2">
      <c r="A270" s="35" t="s">
        <v>182</v>
      </c>
    </row>
    <row r="271" spans="1:1" ht="20.100000000000001" customHeight="1" x14ac:dyDescent="0.2">
      <c r="A271" s="35" t="s">
        <v>183</v>
      </c>
    </row>
    <row r="272" spans="1:1" ht="20.100000000000001" customHeight="1" x14ac:dyDescent="0.2">
      <c r="A272" s="30" t="s">
        <v>184</v>
      </c>
    </row>
    <row r="273" spans="1:1" ht="20.100000000000001" customHeight="1" x14ac:dyDescent="0.2">
      <c r="A273" s="35" t="s">
        <v>185</v>
      </c>
    </row>
    <row r="274" spans="1:1" ht="20.100000000000001" customHeight="1" x14ac:dyDescent="0.2">
      <c r="A274" s="35" t="s">
        <v>186</v>
      </c>
    </row>
    <row r="275" spans="1:1" ht="20.100000000000001" customHeight="1" x14ac:dyDescent="0.2">
      <c r="A275" s="30" t="s">
        <v>187</v>
      </c>
    </row>
    <row r="276" spans="1:1" ht="20.100000000000001" customHeight="1" x14ac:dyDescent="0.2">
      <c r="A276" s="30" t="s">
        <v>188</v>
      </c>
    </row>
    <row r="277" spans="1:1" ht="20.100000000000001" customHeight="1" x14ac:dyDescent="0.2">
      <c r="A277" s="35" t="s">
        <v>189</v>
      </c>
    </row>
    <row r="278" spans="1:1" ht="20.100000000000001" customHeight="1" x14ac:dyDescent="0.2">
      <c r="A278" s="30" t="s">
        <v>190</v>
      </c>
    </row>
    <row r="279" spans="1:1" ht="20.100000000000001" customHeight="1" x14ac:dyDescent="0.2">
      <c r="A279" s="30" t="s">
        <v>191</v>
      </c>
    </row>
    <row r="280" spans="1:1" ht="20.100000000000001" customHeight="1" x14ac:dyDescent="0.2">
      <c r="A280" s="30" t="s">
        <v>192</v>
      </c>
    </row>
    <row r="281" spans="1:1" ht="20.100000000000001" customHeight="1" x14ac:dyDescent="0.2">
      <c r="A281" s="30" t="s">
        <v>193</v>
      </c>
    </row>
    <row r="282" spans="1:1" ht="20.100000000000001" customHeight="1" x14ac:dyDescent="0.2">
      <c r="A282" s="35" t="s">
        <v>194</v>
      </c>
    </row>
    <row r="283" spans="1:1" ht="20.100000000000001" customHeight="1" x14ac:dyDescent="0.2">
      <c r="A283" s="35" t="s">
        <v>195</v>
      </c>
    </row>
    <row r="284" spans="1:1" ht="20.100000000000001" customHeight="1" x14ac:dyDescent="0.2">
      <c r="A284" s="35" t="s">
        <v>196</v>
      </c>
    </row>
    <row r="285" spans="1:1" ht="20.100000000000001" customHeight="1" thickBot="1" x14ac:dyDescent="0.25">
      <c r="A285" s="30" t="s">
        <v>197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2025-10-19T15:37:00Z</dcterms:modified>
</cp:coreProperties>
</file>