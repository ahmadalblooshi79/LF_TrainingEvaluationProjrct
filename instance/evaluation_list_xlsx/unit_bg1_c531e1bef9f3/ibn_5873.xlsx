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2" i="2"/>
  <c r="H32" i="2" s="1"/>
  <c r="G33" i="2"/>
  <c r="H33" i="2" s="1"/>
  <c r="G34" i="2"/>
  <c r="H34" i="2" s="1"/>
  <c r="G35" i="2"/>
  <c r="H35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F44" i="2" l="1"/>
  <c r="E44" i="2" l="1"/>
  <c r="E45" i="2" l="1"/>
  <c r="E46" i="2" s="1"/>
</calcChain>
</file>

<file path=xl/sharedStrings.xml><?xml version="1.0" encoding="utf-8"?>
<sst xmlns="http://schemas.openxmlformats.org/spreadsheetml/2006/main" count="304" uniqueCount="214">
  <si>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</si>
  <si>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</si>
  <si>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</si>
  <si>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</si>
  <si>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</si>
  <si>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</si>
  <si>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</si>
  <si>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</si>
  <si>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</si>
  <si>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</si>
  <si>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</si>
  <si>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</si>
  <si>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</si>
  <si>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</si>
  <si>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</si>
  <si>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</si>
  <si>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</si>
  <si>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</si>
  <si>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</si>
  <si>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</si>
  <si>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</si>
  <si>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</si>
  <si>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</si>
  <si>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</si>
  <si>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</si>
  <si>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</si>
  <si>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</si>
  <si>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</si>
  <si>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</si>
  <si>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</si>
  <si>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</si>
  <si>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</si>
  <si>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</si>
  <si>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</si>
  <si>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</si>
  <si>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</si>
  <si>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</si>
  <si>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</si>
  <si>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</si>
  <si>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</si>
  <si>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</si>
  <si>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</si>
  <si>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</si>
  <si>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</si>
  <si>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</si>
  <si>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</si>
  <si>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</si>
  <si>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</si>
  <si>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</si>
  <si>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</si>
  <si>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</si>
  <si>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</si>
  <si>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</si>
  <si>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</si>
  <si>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</si>
  <si>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</si>
  <si>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</si>
  <si>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</si>
  <si>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</si>
  <si>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</si>
  <si>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</si>
  <si>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</si>
  <si>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</si>
  <si>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</si>
  <si>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</si>
  <si>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</si>
  <si>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</si>
  <si>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</si>
  <si>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</si>
  <si>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ب. يعمل قائد السرية على تخطيط وترتيب أولويات العمل خلال التجارب وذلك من خلال:</t>
  </si>
  <si>
    <t>أ.   يعمل القادة في السرية على فهم الموقف باستخدام كافة الوسائل المتوفرة.</t>
  </si>
  <si>
    <t>د.  التأكيد على زمان ومكان التجربة وكما جاء في أمر عمليات السرية أو الأمر الإنذاري</t>
  </si>
  <si>
    <t>أ.   قام نائب قائد السرية بما يلي:</t>
  </si>
  <si>
    <t>جـ. قام قادة الفصائل بتطبيق أدوارهم في العملية وحسب تسلسل الأحداث.</t>
  </si>
  <si>
    <t>هـ. بعد انتهاء التجارب يتم تعديل الخطة حسب الحاجة وإبلاغ المعنيين بذلك حسب الأوامر التعبوية المستديمة.</t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</si>
  <si>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b/>
        <u/>
        <sz val="12"/>
        <color theme="1"/>
        <rFont val="Arial"/>
        <family val="2"/>
      </rPr>
      <t>مرحلة التنفيذ</t>
    </r>
    <r>
      <rPr>
        <b/>
        <sz val="12"/>
        <color theme="1"/>
        <rFont val="Arial"/>
        <family val="2"/>
      </rPr>
      <t>.</t>
    </r>
  </si>
  <si>
    <r>
      <t>أ.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يُحَضِّر قائد السرية لإجراء التجارب بمساعدة نائبه ووكيل السرية ويقوموا بالإجراءات التالية:</t>
    </r>
  </si>
  <si>
    <r>
      <t>ب.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يكمل القادة المرؤوسين تحضيراتهم للتجارب من خلال:</t>
    </r>
  </si>
  <si>
    <r>
      <t>جـ.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يتحرك المشاركون إلى موقع التجربة.</t>
    </r>
  </si>
  <si>
    <t>(1)   تدقيق قائمة الأحداث الهامة التي سيتم تطبيق التجارب عليها.</t>
  </si>
  <si>
    <t>(2)   تخصيص الوقت للتجارب.</t>
  </si>
  <si>
    <t>(3)   مراجعة التجميع للواجب للعملية.</t>
  </si>
  <si>
    <t>(4)   التأكد من حضور المشاركين في التجارب.</t>
  </si>
  <si>
    <t>(5)   التأكد من جاهزية المعدات اللازمة للتجارب.</t>
  </si>
  <si>
    <t xml:space="preserve">(6)   التأكد من توفر الشفافات والمخططات اللازمة. </t>
  </si>
  <si>
    <t>(1)   إنهاء عملية التخطيط الخاصة بهم.</t>
  </si>
  <si>
    <t>(2)   تحضير أية أمور تتعلق بتنفيذ المهمة لمناقشتها أثناء التجارب مع قيادة السرية.</t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</si>
  <si>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إيجاز المشاركين عن أسلوب تنفيذ التجارب.</t>
    </r>
  </si>
  <si>
    <r>
      <t>(2)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التأكيد على التجميع للواجب للعملية.</t>
    </r>
  </si>
  <si>
    <r>
      <t>(3)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عرض مفهوم السرية.</t>
    </r>
  </si>
  <si>
    <r>
      <t>(4)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</si>
  <si>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theme="1"/>
        <rFont val="Times New Roman"/>
        <family val="1"/>
      </rPr>
      <t xml:space="preserve">   </t>
    </r>
    <r>
      <rPr>
        <sz val="12"/>
        <color theme="1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</si>
  <si>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</si>
  <si>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</si>
  <si>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</si>
  <si>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r>
      <t>(5)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مكان التجارب.</t>
    </r>
  </si>
  <si>
    <r>
      <t>(4)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</si>
  <si>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(3)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تحديد المشاركين في التجارب.</t>
    </r>
  </si>
  <si>
    <r>
      <t>(2)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</si>
  <si>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(1)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</si>
  <si>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</si>
  <si>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</si>
  <si>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</si>
  <si>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</si>
  <si>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</si>
  <si>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</si>
  <si>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</si>
  <si>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</si>
  <si>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</si>
  <si>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</si>
  <si>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</si>
  <si>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</si>
  <si>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</si>
  <si>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</si>
  <si>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</si>
  <si>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</si>
  <si>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</si>
  <si>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</si>
  <si>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</si>
  <si>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</si>
  <si>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</si>
  <si>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</si>
  <si>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</si>
  <si>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</si>
  <si>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</si>
  <si>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</si>
  <si>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</si>
  <si>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</si>
  <si>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</si>
  <si>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</si>
  <si>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</si>
  <si>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</si>
  <si>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</si>
  <si>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</si>
  <si>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</si>
  <si>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</si>
  <si>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</si>
  <si>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</si>
  <si>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</si>
  <si>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</si>
  <si>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</si>
  <si>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</si>
  <si>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</si>
  <si>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</si>
  <si>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</si>
  <si>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</si>
  <si>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</si>
  <si>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</si>
  <si>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</si>
  <si>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</si>
  <si>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</si>
  <si>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</si>
  <si>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</si>
  <si>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</si>
  <si>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</si>
  <si>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</si>
  <si>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</si>
  <si>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</si>
  <si>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</si>
  <si>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</si>
  <si>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</si>
  <si>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</si>
  <si>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</si>
  <si>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</si>
  <si>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</si>
  <si>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</si>
  <si>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</si>
  <si>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</si>
  <si>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</si>
  <si>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</si>
  <si>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</si>
  <si>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</si>
  <si>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</si>
  <si>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</si>
  <si>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</si>
  <si>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</si>
  <si>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</si>
  <si>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</si>
  <si>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</si>
  <si>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</si>
  <si>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</si>
  <si>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</si>
  <si>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</si>
  <si>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</si>
  <si>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</si>
  <si>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</si>
  <si>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</si>
  <si>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</si>
  <si>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</si>
  <si>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</si>
  <si>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</si>
  <si>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</si>
  <si>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</si>
  <si>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</si>
  <si>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</si>
  <si>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</si>
  <si>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</si>
  <si>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</si>
  <si>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</si>
  <si>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</si>
  <si>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</si>
  <si>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</si>
  <si>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</si>
  <si>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</si>
  <si>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</si>
  <si>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</si>
  <si>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</si>
  <si>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</si>
  <si>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</si>
  <si>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</si>
  <si>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</si>
  <si>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</si>
  <si>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</si>
  <si>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تقييم تجارب تقييم سرية الإسناد القتالي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</si>
</sst>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b/>
      <u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9" fontId="11" fillId="0" borderId="3" xfId="0" applyNumberFormat="1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 applyProtection="1">
      <alignment horizontal="center" vertical="center" wrapText="1" readingOrder="2"/>
      <protection locked="0"/>
    </xf>
    <xf numFmtId="0" fontId="11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2" fillId="0" borderId="22" xfId="0" applyFont="1" applyBorder="1" applyAlignment="1">
      <alignment horizontal="right" vertical="center" wrapText="1" indent="4" readingOrder="2"/>
    </xf>
    <xf numFmtId="0" fontId="12" fillId="0" borderId="3" xfId="0" applyFont="1" applyBorder="1" applyAlignment="1">
      <alignment horizontal="right" vertical="center" wrapText="1" indent="4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3" xfId="0" applyFont="1" applyBorder="1" applyAlignment="1">
      <alignment horizontal="right" vertical="center" wrapText="1" indent="4" readingOrder="2"/>
    </xf>
    <xf numFmtId="0" fontId="9" fillId="5" borderId="11" xfId="0" applyFont="1" applyFill="1" applyBorder="1" applyAlignment="1">
      <alignment horizontal="right" vertical="center" wrapText="1" indent="2" readingOrder="2"/>
    </xf>
    <xf numFmtId="0" fontId="9" fillId="5" borderId="12" xfId="0" applyFont="1" applyFill="1" applyBorder="1" applyAlignment="1">
      <alignment horizontal="right" vertical="center" wrapText="1" indent="2" readingOrder="2"/>
    </xf>
    <xf numFmtId="0" fontId="12" fillId="0" borderId="22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9" fillId="5" borderId="22" xfId="0" applyFont="1" applyFill="1" applyBorder="1" applyAlignment="1">
      <alignment horizontal="right" vertical="center" wrapText="1" indent="4" readingOrder="2"/>
    </xf>
    <xf numFmtId="0" fontId="9" fillId="5" borderId="3" xfId="0" applyFont="1" applyFill="1" applyBorder="1" applyAlignment="1">
      <alignment horizontal="right" vertical="center" wrapText="1" indent="4" readingOrder="2"/>
    </xf>
    <xf numFmtId="0" fontId="9" fillId="5" borderId="22" xfId="0" applyFont="1" applyFill="1" applyBorder="1" applyAlignment="1">
      <alignment horizontal="right" vertical="center" wrapText="1" indent="2" readingOrder="2"/>
    </xf>
    <xf numFmtId="0" fontId="9" fillId="5" borderId="3" xfId="0" applyFont="1" applyFill="1" applyBorder="1" applyAlignment="1">
      <alignment horizontal="right" vertical="center" wrapText="1" indent="2" readingOrder="2"/>
    </xf>
    <xf numFmtId="0" fontId="9" fillId="0" borderId="5" xfId="0" applyFont="1" applyBorder="1" applyAlignment="1">
      <alignment horizontal="right" vertical="center" wrapText="1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6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readingOrder="2"/>
    </xf>
    <xf numFmtId="0" fontId="12" fillId="0" borderId="25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48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99" t="s">
        <v>213</v>
      </c>
      <c r="C1" s="100"/>
      <c r="D1" s="100"/>
      <c r="E1" s="100"/>
      <c r="F1" s="100"/>
      <c r="G1" s="100"/>
      <c r="H1" s="100"/>
      <c r="I1" s="100"/>
      <c r="J1" s="100"/>
    </row>
    <row r="2" spans="1:10" ht="30" customHeight="1" x14ac:dyDescent="0.25">
      <c r="B2" s="12" t="s">
        <v>8</v>
      </c>
      <c r="C2" s="59" t="s">
        <v>57</v>
      </c>
      <c r="D2" s="59"/>
      <c r="E2" s="12" t="s">
        <v>7</v>
      </c>
      <c r="F2" s="54" t="s">
        <v>56</v>
      </c>
      <c r="G2" s="54"/>
      <c r="H2" s="54"/>
      <c r="I2" s="54"/>
      <c r="J2" s="54"/>
    </row>
    <row r="3" spans="1:10" ht="30" customHeight="1" x14ac:dyDescent="0.25">
      <c r="B3" s="12" t="s">
        <v>9</v>
      </c>
      <c r="C3" s="59" t="s">
        <v>60</v>
      </c>
      <c r="D3" s="59"/>
      <c r="E3" s="12" t="s">
        <v>6</v>
      </c>
      <c r="F3" s="59" t="s">
        <v>59</v>
      </c>
      <c r="G3" s="59"/>
      <c r="H3" s="59"/>
      <c r="I3" s="59"/>
      <c r="J3" s="59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0"/>
      <c r="B5" s="55" t="s">
        <v>0</v>
      </c>
      <c r="C5" s="56"/>
      <c r="D5" s="56"/>
      <c r="E5" s="46" t="s">
        <v>1</v>
      </c>
      <c r="F5" s="46"/>
      <c r="G5" s="46"/>
      <c r="H5" s="46"/>
      <c r="I5" s="46" t="s">
        <v>2</v>
      </c>
      <c r="J5" s="49"/>
    </row>
    <row r="6" spans="1:10" ht="24.95" customHeight="1" thickBot="1" x14ac:dyDescent="0.3">
      <c r="A6" s="10"/>
      <c r="B6" s="57"/>
      <c r="C6" s="58"/>
      <c r="D6" s="58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3">
      <c r="A7" s="10"/>
      <c r="B7" s="42" t="s">
        <v>21</v>
      </c>
      <c r="C7" s="43"/>
      <c r="D7" s="43"/>
      <c r="E7" s="20" t="s">
        <v>18</v>
      </c>
      <c r="F7" s="20" t="s">
        <v>19</v>
      </c>
      <c r="G7" s="20" t="s">
        <v>22</v>
      </c>
      <c r="H7" s="20" t="s">
        <v>20</v>
      </c>
      <c r="I7" s="52" t="s">
        <v>25</v>
      </c>
      <c r="J7" s="53"/>
    </row>
    <row r="8" spans="1:10" ht="30" customHeight="1" x14ac:dyDescent="0.25">
      <c r="A8" s="10"/>
      <c r="B8" s="93" t="s">
        <v>65</v>
      </c>
      <c r="C8" s="94"/>
      <c r="D8" s="94"/>
      <c r="E8" s="94"/>
      <c r="F8" s="94"/>
      <c r="G8" s="94"/>
      <c r="H8" s="94"/>
      <c r="I8" s="94"/>
      <c r="J8" s="95"/>
    </row>
    <row r="9" spans="1:10" ht="39.950000000000003" customHeight="1" x14ac:dyDescent="0.25">
      <c r="A9" s="10"/>
      <c r="B9" s="65" t="s">
        <v>70</v>
      </c>
      <c r="C9" s="66"/>
      <c r="D9" s="66"/>
      <c r="E9" s="9">
        <v>5</v>
      </c>
      <c r="F9" s="19" t="s">
        <v>62</v>
      </c>
      <c r="G9" s="22" t="str">
        <f>IFERROR(F9/E9,"")</f>
        <v/>
      </c>
      <c r="H9" s="23" t="str">
        <f>_xlfn.IFS(F9="أدخل العلامة","",F9="لا ينطبق","تم الإلغاء",G9&gt;=90%,"ممتاز",G9&gt;=80%,"جيد جداً",G9&gt;=70%,"جيد",G9&gt;=60%,"مقبول",G9&lt;60%,"راسب")</f>
        <v/>
      </c>
      <c r="I9" s="44"/>
      <c r="J9" s="45"/>
    </row>
    <row r="10" spans="1:10" ht="39.950000000000003" customHeight="1" x14ac:dyDescent="0.25">
      <c r="A10" s="10"/>
      <c r="B10" s="65" t="s">
        <v>69</v>
      </c>
      <c r="C10" s="66"/>
      <c r="D10" s="66"/>
      <c r="E10" s="9"/>
      <c r="F10" s="19"/>
      <c r="G10" s="22"/>
      <c r="H10" s="23"/>
      <c r="I10" s="44"/>
      <c r="J10" s="45"/>
    </row>
    <row r="11" spans="1:10" ht="50.1" customHeight="1" x14ac:dyDescent="0.25">
      <c r="A11" s="10"/>
      <c r="B11" s="83" t="s">
        <v>99</v>
      </c>
      <c r="C11" s="84"/>
      <c r="D11" s="84"/>
      <c r="E11" s="9">
        <v>5</v>
      </c>
      <c r="F11" s="19" t="s">
        <v>62</v>
      </c>
      <c r="G11" s="22" t="str">
        <f t="shared" ref="G11:G43" si="0">IFERROR(F11/E11,"")</f>
        <v/>
      </c>
      <c r="H11" s="23" t="str">
        <f t="shared" ref="H11:H43" si="1">_xlfn.IFS(F11="أدخل العلامة","",F11="لا ينطبق","تم الإلغاء",G11&gt;=90%,"ممتاز",G11&gt;=80%,"جيد جداً",G11&gt;=70%,"جيد",G11&gt;=60%,"مقبول",G11&lt;60%,"راسب")</f>
        <v/>
      </c>
      <c r="I11" s="44"/>
      <c r="J11" s="45"/>
    </row>
    <row r="12" spans="1:10" ht="39.950000000000003" customHeight="1" x14ac:dyDescent="0.25">
      <c r="A12" s="10"/>
      <c r="B12" s="83" t="s">
        <v>98</v>
      </c>
      <c r="C12" s="84"/>
      <c r="D12" s="84"/>
      <c r="E12" s="9">
        <v>5</v>
      </c>
      <c r="F12" s="19" t="s">
        <v>62</v>
      </c>
      <c r="G12" s="22" t="str">
        <f t="shared" si="0"/>
        <v/>
      </c>
      <c r="H12" s="23" t="str">
        <f t="shared" si="1"/>
        <v/>
      </c>
      <c r="I12" s="44"/>
      <c r="J12" s="45"/>
    </row>
    <row r="13" spans="1:10" ht="30" customHeight="1" x14ac:dyDescent="0.25">
      <c r="A13" s="10"/>
      <c r="B13" s="83" t="s">
        <v>97</v>
      </c>
      <c r="C13" s="84"/>
      <c r="D13" s="84"/>
      <c r="E13" s="9">
        <v>5</v>
      </c>
      <c r="F13" s="19" t="s">
        <v>62</v>
      </c>
      <c r="G13" s="22" t="str">
        <f t="shared" si="0"/>
        <v/>
      </c>
      <c r="H13" s="23" t="str">
        <f t="shared" si="1"/>
        <v/>
      </c>
      <c r="I13" s="44"/>
      <c r="J13" s="45"/>
    </row>
    <row r="14" spans="1:10" ht="30" customHeight="1" x14ac:dyDescent="0.25">
      <c r="A14" s="10"/>
      <c r="B14" s="83" t="s">
        <v>96</v>
      </c>
      <c r="C14" s="84"/>
      <c r="D14" s="84"/>
      <c r="E14" s="9">
        <v>5</v>
      </c>
      <c r="F14" s="19" t="s">
        <v>62</v>
      </c>
      <c r="G14" s="22" t="str">
        <f t="shared" si="0"/>
        <v/>
      </c>
      <c r="H14" s="23" t="str">
        <f t="shared" si="1"/>
        <v/>
      </c>
      <c r="I14" s="44"/>
      <c r="J14" s="45"/>
    </row>
    <row r="15" spans="1:10" ht="30" customHeight="1" x14ac:dyDescent="0.25">
      <c r="A15" s="10"/>
      <c r="B15" s="83" t="s">
        <v>95</v>
      </c>
      <c r="C15" s="84"/>
      <c r="D15" s="84"/>
      <c r="E15" s="9">
        <v>5</v>
      </c>
      <c r="F15" s="19" t="s">
        <v>62</v>
      </c>
      <c r="G15" s="22" t="str">
        <f t="shared" si="0"/>
        <v/>
      </c>
      <c r="H15" s="23" t="str">
        <f t="shared" si="1"/>
        <v/>
      </c>
      <c r="I15" s="44"/>
      <c r="J15" s="45"/>
    </row>
    <row r="16" spans="1:10" ht="50.1" customHeight="1" x14ac:dyDescent="0.25">
      <c r="A16" s="10"/>
      <c r="B16" s="65" t="s">
        <v>64</v>
      </c>
      <c r="C16" s="66"/>
      <c r="D16" s="66"/>
      <c r="E16" s="9">
        <v>5</v>
      </c>
      <c r="F16" s="19" t="s">
        <v>62</v>
      </c>
      <c r="G16" s="22" t="str">
        <f t="shared" si="0"/>
        <v/>
      </c>
      <c r="H16" s="23" t="str">
        <f t="shared" si="1"/>
        <v/>
      </c>
      <c r="I16" s="44"/>
      <c r="J16" s="45"/>
    </row>
    <row r="17" spans="1:10" ht="30" customHeight="1" thickBot="1" x14ac:dyDescent="0.3">
      <c r="A17" s="10"/>
      <c r="B17" s="65" t="s">
        <v>71</v>
      </c>
      <c r="C17" s="66"/>
      <c r="D17" s="66"/>
      <c r="E17" s="9">
        <v>5</v>
      </c>
      <c r="F17" s="19" t="s">
        <v>62</v>
      </c>
      <c r="G17" s="22" t="str">
        <f t="shared" si="0"/>
        <v/>
      </c>
      <c r="H17" s="23" t="str">
        <f t="shared" si="1"/>
        <v/>
      </c>
      <c r="I17" s="44"/>
      <c r="J17" s="45"/>
    </row>
    <row r="18" spans="1:10" ht="30" customHeight="1" x14ac:dyDescent="0.25">
      <c r="A18" s="10"/>
      <c r="B18" s="93" t="s">
        <v>66</v>
      </c>
      <c r="C18" s="94"/>
      <c r="D18" s="94"/>
      <c r="E18" s="94"/>
      <c r="F18" s="94"/>
      <c r="G18" s="94"/>
      <c r="H18" s="94"/>
      <c r="I18" s="94"/>
      <c r="J18" s="95"/>
    </row>
    <row r="19" spans="1:10" ht="39.950000000000003" customHeight="1" x14ac:dyDescent="0.25">
      <c r="A19" s="10"/>
      <c r="B19" s="91" t="s">
        <v>76</v>
      </c>
      <c r="C19" s="92"/>
      <c r="D19" s="92"/>
      <c r="E19" s="24"/>
      <c r="F19" s="28"/>
      <c r="G19" s="22"/>
      <c r="H19" s="23"/>
      <c r="I19" s="44"/>
      <c r="J19" s="45"/>
    </row>
    <row r="20" spans="1:10" ht="30" customHeight="1" x14ac:dyDescent="0.25">
      <c r="A20" s="10"/>
      <c r="B20" s="89" t="s">
        <v>79</v>
      </c>
      <c r="C20" s="90"/>
      <c r="D20" s="90"/>
      <c r="E20" s="24">
        <v>5</v>
      </c>
      <c r="F20" s="28" t="s">
        <v>62</v>
      </c>
      <c r="G20" s="22" t="str">
        <f t="shared" si="0"/>
        <v/>
      </c>
      <c r="H20" s="23" t="str">
        <f t="shared" si="1"/>
        <v/>
      </c>
      <c r="I20" s="44"/>
      <c r="J20" s="45"/>
    </row>
    <row r="21" spans="1:10" ht="30" customHeight="1" x14ac:dyDescent="0.25">
      <c r="A21" s="10"/>
      <c r="B21" s="89" t="s">
        <v>80</v>
      </c>
      <c r="C21" s="90"/>
      <c r="D21" s="90"/>
      <c r="E21" s="24">
        <v>5</v>
      </c>
      <c r="F21" s="28" t="s">
        <v>62</v>
      </c>
      <c r="G21" s="22" t="str">
        <f t="shared" si="0"/>
        <v/>
      </c>
      <c r="H21" s="23" t="str">
        <f t="shared" si="1"/>
        <v/>
      </c>
      <c r="I21" s="44"/>
      <c r="J21" s="45"/>
    </row>
    <row r="22" spans="1:10" ht="30" customHeight="1" x14ac:dyDescent="0.25">
      <c r="A22" s="10"/>
      <c r="B22" s="89" t="s">
        <v>81</v>
      </c>
      <c r="C22" s="90"/>
      <c r="D22" s="90"/>
      <c r="E22" s="24">
        <v>5</v>
      </c>
      <c r="F22" s="28" t="s">
        <v>62</v>
      </c>
      <c r="G22" s="22" t="str">
        <f t="shared" si="0"/>
        <v/>
      </c>
      <c r="H22" s="23" t="str">
        <f t="shared" si="1"/>
        <v/>
      </c>
      <c r="I22" s="44"/>
      <c r="J22" s="45"/>
    </row>
    <row r="23" spans="1:10" ht="30" customHeight="1" x14ac:dyDescent="0.25">
      <c r="A23" s="10"/>
      <c r="B23" s="89" t="s">
        <v>82</v>
      </c>
      <c r="C23" s="90"/>
      <c r="D23" s="90"/>
      <c r="E23" s="24">
        <v>5</v>
      </c>
      <c r="F23" s="28" t="s">
        <v>62</v>
      </c>
      <c r="G23" s="22" t="str">
        <f t="shared" si="0"/>
        <v/>
      </c>
      <c r="H23" s="23" t="str">
        <f t="shared" si="1"/>
        <v/>
      </c>
      <c r="I23" s="44"/>
      <c r="J23" s="45"/>
    </row>
    <row r="24" spans="1:10" ht="30" customHeight="1" x14ac:dyDescent="0.25">
      <c r="A24" s="10"/>
      <c r="B24" s="89" t="s">
        <v>83</v>
      </c>
      <c r="C24" s="90"/>
      <c r="D24" s="90"/>
      <c r="E24" s="24">
        <v>5</v>
      </c>
      <c r="F24" s="28" t="s">
        <v>62</v>
      </c>
      <c r="G24" s="22" t="str">
        <f t="shared" si="0"/>
        <v/>
      </c>
      <c r="H24" s="23" t="str">
        <f t="shared" si="1"/>
        <v/>
      </c>
      <c r="I24" s="44"/>
      <c r="J24" s="45"/>
    </row>
    <row r="25" spans="1:10" ht="30" customHeight="1" x14ac:dyDescent="0.25">
      <c r="A25" s="10"/>
      <c r="B25" s="89" t="s">
        <v>84</v>
      </c>
      <c r="C25" s="90"/>
      <c r="D25" s="90"/>
      <c r="E25" s="24">
        <v>5</v>
      </c>
      <c r="F25" s="28" t="s">
        <v>62</v>
      </c>
      <c r="G25" s="22" t="str">
        <f t="shared" si="0"/>
        <v/>
      </c>
      <c r="H25" s="23" t="str">
        <f t="shared" si="1"/>
        <v/>
      </c>
      <c r="I25" s="44"/>
      <c r="J25" s="45"/>
    </row>
    <row r="26" spans="1:10" ht="30" customHeight="1" x14ac:dyDescent="0.25">
      <c r="A26" s="10"/>
      <c r="B26" s="91" t="s">
        <v>77</v>
      </c>
      <c r="C26" s="92"/>
      <c r="D26" s="92"/>
      <c r="E26" s="24"/>
      <c r="F26" s="28"/>
      <c r="G26" s="22"/>
      <c r="H26" s="23"/>
      <c r="I26" s="44"/>
      <c r="J26" s="45"/>
    </row>
    <row r="27" spans="1:10" ht="30" customHeight="1" x14ac:dyDescent="0.25">
      <c r="A27" s="10"/>
      <c r="B27" s="89" t="s">
        <v>85</v>
      </c>
      <c r="C27" s="90"/>
      <c r="D27" s="90"/>
      <c r="E27" s="24">
        <v>5</v>
      </c>
      <c r="F27" s="28" t="s">
        <v>62</v>
      </c>
      <c r="G27" s="22" t="str">
        <f t="shared" si="0"/>
        <v/>
      </c>
      <c r="H27" s="23" t="str">
        <f t="shared" si="1"/>
        <v/>
      </c>
      <c r="I27" s="44"/>
      <c r="J27" s="45"/>
    </row>
    <row r="28" spans="1:10" ht="39.950000000000003" customHeight="1" x14ac:dyDescent="0.25">
      <c r="A28" s="10"/>
      <c r="B28" s="89" t="s">
        <v>86</v>
      </c>
      <c r="C28" s="90"/>
      <c r="D28" s="90"/>
      <c r="E28" s="24">
        <v>5</v>
      </c>
      <c r="F28" s="28" t="s">
        <v>62</v>
      </c>
      <c r="G28" s="22" t="str">
        <f t="shared" si="0"/>
        <v/>
      </c>
      <c r="H28" s="23" t="str">
        <f t="shared" si="1"/>
        <v/>
      </c>
      <c r="I28" s="44"/>
      <c r="J28" s="45"/>
    </row>
    <row r="29" spans="1:10" ht="30" customHeight="1" thickBot="1" x14ac:dyDescent="0.3">
      <c r="A29" s="10"/>
      <c r="B29" s="85" t="s">
        <v>78</v>
      </c>
      <c r="C29" s="86"/>
      <c r="D29" s="86"/>
      <c r="E29" s="25">
        <v>5</v>
      </c>
      <c r="F29" s="29" t="s">
        <v>62</v>
      </c>
      <c r="G29" s="26" t="str">
        <f t="shared" si="0"/>
        <v/>
      </c>
      <c r="H29" s="27" t="str">
        <f t="shared" si="1"/>
        <v/>
      </c>
      <c r="I29" s="47"/>
      <c r="J29" s="48"/>
    </row>
    <row r="30" spans="1:10" ht="30" customHeight="1" x14ac:dyDescent="0.25">
      <c r="A30" s="10"/>
      <c r="B30" s="96" t="s">
        <v>75</v>
      </c>
      <c r="C30" s="97"/>
      <c r="D30" s="97"/>
      <c r="E30" s="97"/>
      <c r="F30" s="97"/>
      <c r="G30" s="97"/>
      <c r="H30" s="97"/>
      <c r="I30" s="97"/>
      <c r="J30" s="98"/>
    </row>
    <row r="31" spans="1:10" ht="30" customHeight="1" x14ac:dyDescent="0.25">
      <c r="A31" s="10"/>
      <c r="B31" s="87" t="s">
        <v>72</v>
      </c>
      <c r="C31" s="88"/>
      <c r="D31" s="88"/>
      <c r="E31" s="30"/>
      <c r="F31" s="31"/>
      <c r="G31" s="32"/>
      <c r="H31" s="33"/>
      <c r="I31" s="77"/>
      <c r="J31" s="78"/>
    </row>
    <row r="32" spans="1:10" ht="30" customHeight="1" x14ac:dyDescent="0.25">
      <c r="A32" s="10"/>
      <c r="B32" s="81" t="s">
        <v>87</v>
      </c>
      <c r="C32" s="82"/>
      <c r="D32" s="82"/>
      <c r="E32" s="34">
        <v>5</v>
      </c>
      <c r="F32" s="31" t="s">
        <v>62</v>
      </c>
      <c r="G32" s="32" t="str">
        <f t="shared" si="0"/>
        <v/>
      </c>
      <c r="H32" s="33" t="str">
        <f t="shared" si="1"/>
        <v/>
      </c>
      <c r="I32" s="77"/>
      <c r="J32" s="78"/>
    </row>
    <row r="33" spans="1:10" ht="30" customHeight="1" x14ac:dyDescent="0.25">
      <c r="A33" s="10"/>
      <c r="B33" s="81" t="s">
        <v>88</v>
      </c>
      <c r="C33" s="82"/>
      <c r="D33" s="82"/>
      <c r="E33" s="34">
        <v>5</v>
      </c>
      <c r="F33" s="31" t="s">
        <v>62</v>
      </c>
      <c r="G33" s="32" t="str">
        <f t="shared" si="0"/>
        <v/>
      </c>
      <c r="H33" s="33" t="str">
        <f t="shared" si="1"/>
        <v/>
      </c>
      <c r="I33" s="77"/>
      <c r="J33" s="78"/>
    </row>
    <row r="34" spans="1:10" ht="30" customHeight="1" x14ac:dyDescent="0.25">
      <c r="A34" s="10"/>
      <c r="B34" s="81" t="s">
        <v>89</v>
      </c>
      <c r="C34" s="82"/>
      <c r="D34" s="82"/>
      <c r="E34" s="34">
        <v>5</v>
      </c>
      <c r="F34" s="31" t="s">
        <v>62</v>
      </c>
      <c r="G34" s="32" t="str">
        <f t="shared" si="0"/>
        <v/>
      </c>
      <c r="H34" s="33" t="str">
        <f t="shared" si="1"/>
        <v/>
      </c>
      <c r="I34" s="77"/>
      <c r="J34" s="78"/>
    </row>
    <row r="35" spans="1:10" ht="30" customHeight="1" x14ac:dyDescent="0.25">
      <c r="A35" s="10"/>
      <c r="B35" s="81" t="s">
        <v>90</v>
      </c>
      <c r="C35" s="82"/>
      <c r="D35" s="82"/>
      <c r="E35" s="34">
        <v>5</v>
      </c>
      <c r="F35" s="31" t="s">
        <v>62</v>
      </c>
      <c r="G35" s="32" t="str">
        <f t="shared" si="0"/>
        <v/>
      </c>
      <c r="H35" s="33" t="str">
        <f t="shared" si="1"/>
        <v/>
      </c>
      <c r="I35" s="77"/>
      <c r="J35" s="78"/>
    </row>
    <row r="36" spans="1:10" ht="30" customHeight="1" x14ac:dyDescent="0.25">
      <c r="A36" s="10"/>
      <c r="B36" s="87" t="s">
        <v>67</v>
      </c>
      <c r="C36" s="88"/>
      <c r="D36" s="88"/>
      <c r="E36" s="30"/>
      <c r="F36" s="31"/>
      <c r="G36" s="32"/>
      <c r="H36" s="33"/>
      <c r="I36" s="77"/>
      <c r="J36" s="78"/>
    </row>
    <row r="37" spans="1:10" ht="30" customHeight="1" x14ac:dyDescent="0.25">
      <c r="A37" s="10"/>
      <c r="B37" s="81" t="s">
        <v>91</v>
      </c>
      <c r="C37" s="82"/>
      <c r="D37" s="82"/>
      <c r="E37" s="34">
        <v>5</v>
      </c>
      <c r="F37" s="31" t="s">
        <v>62</v>
      </c>
      <c r="G37" s="32" t="str">
        <f t="shared" si="0"/>
        <v/>
      </c>
      <c r="H37" s="33" t="str">
        <f t="shared" si="1"/>
        <v/>
      </c>
      <c r="I37" s="77"/>
      <c r="J37" s="78"/>
    </row>
    <row r="38" spans="1:10" ht="30" customHeight="1" x14ac:dyDescent="0.25">
      <c r="A38" s="10"/>
      <c r="B38" s="83" t="s">
        <v>92</v>
      </c>
      <c r="C38" s="84"/>
      <c r="D38" s="84"/>
      <c r="E38" s="24">
        <v>5</v>
      </c>
      <c r="F38" s="19" t="s">
        <v>62</v>
      </c>
      <c r="G38" s="22" t="str">
        <f t="shared" si="0"/>
        <v/>
      </c>
      <c r="H38" s="23" t="str">
        <f t="shared" si="1"/>
        <v/>
      </c>
      <c r="I38" s="44"/>
      <c r="J38" s="45"/>
    </row>
    <row r="39" spans="1:10" ht="30" customHeight="1" x14ac:dyDescent="0.25">
      <c r="A39" s="10"/>
      <c r="B39" s="83" t="s">
        <v>93</v>
      </c>
      <c r="C39" s="84"/>
      <c r="D39" s="84"/>
      <c r="E39" s="24">
        <v>5</v>
      </c>
      <c r="F39" s="19" t="s">
        <v>62</v>
      </c>
      <c r="G39" s="22" t="str">
        <f t="shared" si="0"/>
        <v/>
      </c>
      <c r="H39" s="23" t="str">
        <f t="shared" si="1"/>
        <v/>
      </c>
      <c r="I39" s="44"/>
      <c r="J39" s="45"/>
    </row>
    <row r="40" spans="1:10" ht="50.1" customHeight="1" x14ac:dyDescent="0.25">
      <c r="A40" s="10"/>
      <c r="B40" s="83" t="s">
        <v>94</v>
      </c>
      <c r="C40" s="84"/>
      <c r="D40" s="84"/>
      <c r="E40" s="24">
        <v>5</v>
      </c>
      <c r="F40" s="19" t="s">
        <v>62</v>
      </c>
      <c r="G40" s="22" t="str">
        <f t="shared" si="0"/>
        <v/>
      </c>
      <c r="H40" s="23" t="str">
        <f t="shared" si="1"/>
        <v/>
      </c>
      <c r="I40" s="44"/>
      <c r="J40" s="45"/>
    </row>
    <row r="41" spans="1:10" ht="39.950000000000003" customHeight="1" x14ac:dyDescent="0.25">
      <c r="A41" s="10"/>
      <c r="B41" s="65" t="s">
        <v>73</v>
      </c>
      <c r="C41" s="66"/>
      <c r="D41" s="66"/>
      <c r="E41" s="24">
        <v>5</v>
      </c>
      <c r="F41" s="19" t="s">
        <v>62</v>
      </c>
      <c r="G41" s="22" t="str">
        <f t="shared" si="0"/>
        <v/>
      </c>
      <c r="H41" s="23" t="str">
        <f t="shared" si="1"/>
        <v/>
      </c>
      <c r="I41" s="44"/>
      <c r="J41" s="45"/>
    </row>
    <row r="42" spans="1:10" ht="39.950000000000003" customHeight="1" x14ac:dyDescent="0.25">
      <c r="A42" s="10"/>
      <c r="B42" s="65" t="s">
        <v>68</v>
      </c>
      <c r="C42" s="66"/>
      <c r="D42" s="66"/>
      <c r="E42" s="24">
        <v>5</v>
      </c>
      <c r="F42" s="19" t="s">
        <v>62</v>
      </c>
      <c r="G42" s="22" t="str">
        <f t="shared" si="0"/>
        <v/>
      </c>
      <c r="H42" s="23" t="str">
        <f t="shared" si="1"/>
        <v/>
      </c>
      <c r="I42" s="44"/>
      <c r="J42" s="45"/>
    </row>
    <row r="43" spans="1:10" ht="30" customHeight="1" x14ac:dyDescent="0.25">
      <c r="A43" s="10"/>
      <c r="B43" s="65" t="s">
        <v>74</v>
      </c>
      <c r="C43" s="66"/>
      <c r="D43" s="66"/>
      <c r="E43" s="24">
        <v>5</v>
      </c>
      <c r="F43" s="19" t="s">
        <v>62</v>
      </c>
      <c r="G43" s="22" t="str">
        <f t="shared" si="0"/>
        <v/>
      </c>
      <c r="H43" s="23" t="str">
        <f t="shared" si="1"/>
        <v/>
      </c>
      <c r="I43" s="44"/>
      <c r="J43" s="45"/>
    </row>
    <row r="44" spans="1:10" ht="30" customHeight="1" thickBot="1" x14ac:dyDescent="0.3">
      <c r="A44" s="4"/>
      <c r="B44" s="79" t="s">
        <v>5</v>
      </c>
      <c r="C44" s="80"/>
      <c r="D44" s="80"/>
      <c r="E44" s="21">
        <f>SUM(E8:E43)</f>
        <v>140</v>
      </c>
      <c r="F44" s="21">
        <f>SUM(F8:F43)</f>
        <v>0</v>
      </c>
      <c r="G44" s="62"/>
      <c r="H44" s="63"/>
      <c r="I44" s="63"/>
      <c r="J44" s="64"/>
    </row>
    <row r="45" spans="1:10" ht="30" customHeight="1" thickBot="1" x14ac:dyDescent="0.3">
      <c r="A45" s="4"/>
      <c r="B45" s="75" t="s">
        <v>54</v>
      </c>
      <c r="C45" s="76"/>
      <c r="D45" s="76"/>
      <c r="E45" s="67">
        <f>F44/E44/100*100</f>
        <v>0</v>
      </c>
      <c r="F45" s="67"/>
      <c r="G45" s="67"/>
      <c r="H45" s="67"/>
      <c r="I45" s="67"/>
      <c r="J45" s="68"/>
    </row>
    <row r="46" spans="1:10" ht="30" customHeight="1" thickBot="1" x14ac:dyDescent="0.3">
      <c r="A46" s="4"/>
      <c r="B46" s="75" t="s">
        <v>55</v>
      </c>
      <c r="C46" s="76"/>
      <c r="D46" s="76"/>
      <c r="E46" s="73" t="str">
        <f>_xlfn.IFS(E45&gt;=90%,"ممتاز",E45&gt;=80%,"جيد جداً",E45&gt;=70%,"جيد",E45&gt;=60%,"مقبول",E45&lt;60%,"راسب")</f>
        <v>راسب</v>
      </c>
      <c r="F46" s="73"/>
      <c r="G46" s="73"/>
      <c r="H46" s="73"/>
      <c r="I46" s="73"/>
      <c r="J46" s="74"/>
    </row>
    <row r="47" spans="1:10" ht="42" customHeight="1" x14ac:dyDescent="0.25">
      <c r="B47" s="69" t="s">
        <v>63</v>
      </c>
      <c r="C47" s="69"/>
      <c r="D47" s="69"/>
      <c r="E47" s="60" t="s">
        <v>52</v>
      </c>
      <c r="F47" s="60"/>
      <c r="G47" s="71" t="s">
        <v>59</v>
      </c>
      <c r="H47" s="71"/>
      <c r="I47" s="71"/>
      <c r="J47" s="71"/>
    </row>
    <row r="48" spans="1:10" ht="51" customHeight="1" x14ac:dyDescent="0.25">
      <c r="A48" s="5"/>
      <c r="B48" s="70"/>
      <c r="C48" s="70"/>
      <c r="D48" s="70"/>
      <c r="E48" s="61" t="s">
        <v>53</v>
      </c>
      <c r="F48" s="61"/>
      <c r="G48" s="72"/>
      <c r="H48" s="72"/>
      <c r="I48" s="72"/>
      <c r="J48" s="7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0">
    <mergeCell ref="B8:J8"/>
    <mergeCell ref="B18:J18"/>
    <mergeCell ref="B30:J30"/>
    <mergeCell ref="B35:D35"/>
    <mergeCell ref="B36:D36"/>
    <mergeCell ref="B19:D19"/>
    <mergeCell ref="B9:D9"/>
    <mergeCell ref="B10:D10"/>
    <mergeCell ref="B11:D11"/>
    <mergeCell ref="B12:D12"/>
    <mergeCell ref="B13:D13"/>
    <mergeCell ref="B14:D14"/>
    <mergeCell ref="B15:D15"/>
    <mergeCell ref="B16:D16"/>
    <mergeCell ref="I24:J24"/>
    <mergeCell ref="I9:J9"/>
    <mergeCell ref="B17:D17"/>
    <mergeCell ref="I25:J25"/>
    <mergeCell ref="I26:J26"/>
    <mergeCell ref="I27:J27"/>
    <mergeCell ref="I28:J28"/>
    <mergeCell ref="B20:D20"/>
    <mergeCell ref="B21:D21"/>
    <mergeCell ref="B22:D22"/>
    <mergeCell ref="B23:D23"/>
    <mergeCell ref="B24:D24"/>
    <mergeCell ref="B27:D27"/>
    <mergeCell ref="B28:D28"/>
    <mergeCell ref="I20:J20"/>
    <mergeCell ref="I21:J21"/>
    <mergeCell ref="B25:D25"/>
    <mergeCell ref="B26:D26"/>
    <mergeCell ref="B29:D29"/>
    <mergeCell ref="B31:D31"/>
    <mergeCell ref="B32:D32"/>
    <mergeCell ref="B33:D33"/>
    <mergeCell ref="B34:D34"/>
    <mergeCell ref="I36:J36"/>
    <mergeCell ref="I37:J37"/>
    <mergeCell ref="I38:J38"/>
    <mergeCell ref="B44:D44"/>
    <mergeCell ref="B45:D45"/>
    <mergeCell ref="B42:D42"/>
    <mergeCell ref="I39:J39"/>
    <mergeCell ref="I40:J40"/>
    <mergeCell ref="I41:J41"/>
    <mergeCell ref="I42:J42"/>
    <mergeCell ref="B41:D41"/>
    <mergeCell ref="B37:D37"/>
    <mergeCell ref="B38:D38"/>
    <mergeCell ref="B39:D39"/>
    <mergeCell ref="B40:D40"/>
    <mergeCell ref="I31:J31"/>
    <mergeCell ref="I32:J32"/>
    <mergeCell ref="I33:J33"/>
    <mergeCell ref="I34:J34"/>
    <mergeCell ref="I35:J35"/>
    <mergeCell ref="E47:F47"/>
    <mergeCell ref="E48:F48"/>
    <mergeCell ref="G44:J44"/>
    <mergeCell ref="B43:D43"/>
    <mergeCell ref="E45:J45"/>
    <mergeCell ref="B47:D48"/>
    <mergeCell ref="G47:J47"/>
    <mergeCell ref="G48:J48"/>
    <mergeCell ref="E46:J46"/>
    <mergeCell ref="I43:J43"/>
    <mergeCell ref="B46:D46"/>
    <mergeCell ref="B1:J1"/>
    <mergeCell ref="F2:J2"/>
    <mergeCell ref="B5:D6"/>
    <mergeCell ref="C2:D2"/>
    <mergeCell ref="C3:D3"/>
    <mergeCell ref="F3:J3"/>
    <mergeCell ref="B7:D7"/>
    <mergeCell ref="I22:J22"/>
    <mergeCell ref="I23:J23"/>
    <mergeCell ref="E5:H5"/>
    <mergeCell ref="I29:J29"/>
    <mergeCell ref="I5:J6"/>
    <mergeCell ref="I7:J7"/>
    <mergeCell ref="I10:J10"/>
    <mergeCell ref="I19:J19"/>
    <mergeCell ref="I11:J11"/>
    <mergeCell ref="I12:J12"/>
    <mergeCell ref="I13:J13"/>
    <mergeCell ref="I14:J14"/>
    <mergeCell ref="I15:J15"/>
    <mergeCell ref="I16:J16"/>
    <mergeCell ref="I17:J17"/>
  </mergeCells>
  <conditionalFormatting sqref="E46">
    <cfRule type="expression" dxfId="23" priority="57">
      <formula>$E46="راسب"</formula>
    </cfRule>
  </conditionalFormatting>
  <conditionalFormatting sqref="E46:J46">
    <cfRule type="expression" dxfId="22" priority="58">
      <formula>$E46="مقبول"</formula>
    </cfRule>
    <cfRule type="expression" dxfId="21" priority="59">
      <formula>$E46="جيد"</formula>
    </cfRule>
    <cfRule type="expression" dxfId="20" priority="60">
      <formula>$E46="جيد جداً"</formula>
    </cfRule>
    <cfRule type="expression" dxfId="19" priority="61">
      <formula>$E46="ممتاز"</formula>
    </cfRule>
  </conditionalFormatting>
  <conditionalFormatting sqref="H19:H29 H31:H43 H10:H17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9:H29 H31:H43 H10:H17 F10:F17">
    <cfRule type="containsText" dxfId="13" priority="38" operator="containsText" text="أدخل العلامة">
      <formula>NOT(ISERROR(SEARCH("أدخل العلامة",F10)))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47:J47">
    <cfRule type="containsText" dxfId="8" priority="15" operator="containsText" text="أدخل اسم المحكم">
      <formula>NOT(ISERROR(SEARCH("أدخل اسم المحكم",G47)))</formula>
    </cfRule>
  </conditionalFormatting>
  <conditionalFormatting sqref="F19:F29 F31:F43">
    <cfRule type="containsText" dxfId="7" priority="14" operator="containsText" text="أدخل العلامة">
      <formula>NOT(ISERROR(SEARCH("أدخل العلامة",F19)))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>
          <x14:formula1>
            <xm:f>'بيانات التقييم'!$A$111:$A$133</xm:f>
          </x14:formula1>
          <xm:sqref>F27:F29 F11:F17 F9 F20:F25 F32:F35 F37:F43</xm:sqref>
        </x14:dataValidation>
        <x14:dataValidation type="list" allowBlank="1" showInputMessage="1" showErrorMessage="1">
          <x14:formula1>
            <xm:f>'بيانات التقييم'!$A$198:$A$286</xm:f>
          </x14:formula1>
          <xm:sqref>G47:J47 F3:J3</xm:sqref>
        </x14:dataValidation>
        <x14:dataValidation type="list" allowBlank="1" showInputMessage="1" showErrorMessage="1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7"/>
  <sheetViews>
    <sheetView rightToLeft="1" topLeftCell="A4" workbookViewId="0">
      <selection activeCell="C2" sqref="C2:C28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41" t="s">
        <v>186</v>
      </c>
    </row>
    <row r="3" spans="1:3" ht="20.100000000000001" customHeight="1" thickBot="1" x14ac:dyDescent="0.3">
      <c r="A3" s="2" t="s">
        <v>26</v>
      </c>
      <c r="C3" s="41" t="s">
        <v>187</v>
      </c>
    </row>
    <row r="4" spans="1:3" ht="20.100000000000001" customHeight="1" thickBot="1" x14ac:dyDescent="0.3">
      <c r="A4" s="2" t="s">
        <v>36</v>
      </c>
      <c r="C4" s="41" t="s">
        <v>188</v>
      </c>
    </row>
    <row r="5" spans="1:3" ht="20.100000000000001" customHeight="1" thickBot="1" x14ac:dyDescent="0.3">
      <c r="A5" s="2" t="s">
        <v>37</v>
      </c>
      <c r="C5" s="41" t="s">
        <v>189</v>
      </c>
    </row>
    <row r="6" spans="1:3" ht="20.100000000000001" customHeight="1" thickBot="1" x14ac:dyDescent="0.3">
      <c r="A6" s="2" t="s">
        <v>38</v>
      </c>
      <c r="C6" s="41" t="s">
        <v>190</v>
      </c>
    </row>
    <row r="7" spans="1:3" ht="20.100000000000001" customHeight="1" thickBot="1" x14ac:dyDescent="0.3">
      <c r="A7" s="2" t="s">
        <v>39</v>
      </c>
      <c r="C7" s="41" t="s">
        <v>191</v>
      </c>
    </row>
    <row r="8" spans="1:3" ht="20.100000000000001" customHeight="1" thickBot="1" x14ac:dyDescent="0.3">
      <c r="A8" s="2" t="s">
        <v>40</v>
      </c>
      <c r="C8" s="41" t="s">
        <v>192</v>
      </c>
    </row>
    <row r="9" spans="1:3" ht="20.100000000000001" customHeight="1" thickBot="1" x14ac:dyDescent="0.3">
      <c r="A9" s="2" t="s">
        <v>41</v>
      </c>
      <c r="C9" s="41" t="s">
        <v>193</v>
      </c>
    </row>
    <row r="10" spans="1:3" ht="20.100000000000001" customHeight="1" thickBot="1" x14ac:dyDescent="0.3">
      <c r="A10" s="2" t="s">
        <v>42</v>
      </c>
      <c r="C10" s="41" t="s">
        <v>194</v>
      </c>
    </row>
    <row r="11" spans="1:3" ht="20.100000000000001" customHeight="1" thickBot="1" x14ac:dyDescent="0.3">
      <c r="A11" s="2" t="s">
        <v>43</v>
      </c>
      <c r="C11" s="41" t="s">
        <v>195</v>
      </c>
    </row>
    <row r="12" spans="1:3" ht="20.100000000000001" customHeight="1" thickBot="1" x14ac:dyDescent="0.3">
      <c r="A12" s="2" t="s">
        <v>44</v>
      </c>
      <c r="C12" s="41" t="s">
        <v>196</v>
      </c>
    </row>
    <row r="13" spans="1:3" ht="20.100000000000001" customHeight="1" thickBot="1" x14ac:dyDescent="0.3">
      <c r="A13" s="2" t="s">
        <v>45</v>
      </c>
      <c r="C13" s="41" t="s">
        <v>197</v>
      </c>
    </row>
    <row r="14" spans="1:3" ht="20.100000000000001" customHeight="1" thickBot="1" x14ac:dyDescent="0.3">
      <c r="A14" s="2" t="s">
        <v>46</v>
      </c>
      <c r="C14" s="41" t="s">
        <v>198</v>
      </c>
    </row>
    <row r="15" spans="1:3" ht="20.100000000000001" customHeight="1" thickBot="1" x14ac:dyDescent="0.3">
      <c r="A15" s="2" t="s">
        <v>47</v>
      </c>
      <c r="C15" s="41" t="s">
        <v>199</v>
      </c>
    </row>
    <row r="16" spans="1:3" ht="20.100000000000001" customHeight="1" thickBot="1" x14ac:dyDescent="0.3">
      <c r="A16" s="2" t="s">
        <v>10</v>
      </c>
      <c r="C16" s="41" t="s">
        <v>200</v>
      </c>
    </row>
    <row r="17" spans="1:3" ht="20.100000000000001" customHeight="1" thickBot="1" x14ac:dyDescent="0.3">
      <c r="A17" s="2" t="s">
        <v>27</v>
      </c>
      <c r="C17" s="41" t="s">
        <v>201</v>
      </c>
    </row>
    <row r="18" spans="1:3" ht="20.100000000000001" customHeight="1" thickBot="1" x14ac:dyDescent="0.3">
      <c r="A18" s="2" t="s">
        <v>48</v>
      </c>
      <c r="C18" s="41" t="s">
        <v>202</v>
      </c>
    </row>
    <row r="19" spans="1:3" ht="20.100000000000001" customHeight="1" thickBot="1" x14ac:dyDescent="0.3">
      <c r="A19" s="2" t="s">
        <v>49</v>
      </c>
      <c r="C19" s="41" t="s">
        <v>203</v>
      </c>
    </row>
    <row r="20" spans="1:3" ht="20.100000000000001" customHeight="1" thickBot="1" x14ac:dyDescent="0.3">
      <c r="A20" s="2" t="s">
        <v>50</v>
      </c>
      <c r="C20" s="41" t="s">
        <v>204</v>
      </c>
    </row>
    <row r="21" spans="1:3" ht="20.100000000000001" customHeight="1" thickBot="1" x14ac:dyDescent="0.3">
      <c r="A21" s="2" t="s">
        <v>51</v>
      </c>
      <c r="C21" s="41" t="s">
        <v>205</v>
      </c>
    </row>
    <row r="22" spans="1:3" ht="20.100000000000001" customHeight="1" thickBot="1" x14ac:dyDescent="0.3">
      <c r="A22" s="2" t="s">
        <v>11</v>
      </c>
      <c r="C22" s="41" t="s">
        <v>206</v>
      </c>
    </row>
    <row r="23" spans="1:3" ht="20.100000000000001" customHeight="1" thickBot="1" x14ac:dyDescent="0.3">
      <c r="A23" s="2" t="s">
        <v>12</v>
      </c>
      <c r="C23" s="41" t="s">
        <v>207</v>
      </c>
    </row>
    <row r="24" spans="1:3" ht="20.100000000000001" customHeight="1" thickBot="1" x14ac:dyDescent="0.3">
      <c r="A24" s="2" t="s">
        <v>15</v>
      </c>
      <c r="C24" s="41" t="s">
        <v>208</v>
      </c>
    </row>
    <row r="25" spans="1:3" ht="20.100000000000001" customHeight="1" thickBot="1" x14ac:dyDescent="0.3">
      <c r="A25" s="2" t="s">
        <v>28</v>
      </c>
      <c r="C25" s="41" t="s">
        <v>209</v>
      </c>
    </row>
    <row r="26" spans="1:3" ht="20.100000000000001" customHeight="1" thickBot="1" x14ac:dyDescent="0.3">
      <c r="A26" s="2" t="s">
        <v>29</v>
      </c>
      <c r="C26" s="41" t="s">
        <v>210</v>
      </c>
    </row>
    <row r="27" spans="1:3" ht="20.100000000000001" customHeight="1" thickBot="1" x14ac:dyDescent="0.3">
      <c r="A27" s="2" t="s">
        <v>13</v>
      </c>
      <c r="C27" s="41" t="s">
        <v>211</v>
      </c>
    </row>
    <row r="28" spans="1:3" ht="20.100000000000001" customHeight="1" thickBot="1" x14ac:dyDescent="0.3">
      <c r="A28" s="2" t="s">
        <v>30</v>
      </c>
      <c r="C28" s="41" t="s">
        <v>212</v>
      </c>
    </row>
    <row r="29" spans="1:3" ht="20.100000000000001" customHeight="1" thickBot="1" x14ac:dyDescent="0.3">
      <c r="A29" s="2" t="s">
        <v>31</v>
      </c>
      <c r="C29" s="2" t="s">
        <v>61</v>
      </c>
    </row>
    <row r="30" spans="1:3" ht="20.100000000000001" customHeight="1" thickBot="1" x14ac:dyDescent="0.3">
      <c r="A30" s="2" t="s">
        <v>32</v>
      </c>
      <c r="C30" s="2" t="s">
        <v>61</v>
      </c>
    </row>
    <row r="31" spans="1:3" ht="20.100000000000001" customHeight="1" thickBot="1" x14ac:dyDescent="0.3">
      <c r="A31" s="2" t="s">
        <v>33</v>
      </c>
      <c r="C31" s="2" t="s">
        <v>61</v>
      </c>
    </row>
    <row r="32" spans="1:3" ht="20.100000000000001" customHeight="1" thickBot="1" x14ac:dyDescent="0.3">
      <c r="A32" s="2" t="s">
        <v>16</v>
      </c>
      <c r="C32" s="2" t="s">
        <v>61</v>
      </c>
    </row>
    <row r="33" spans="1:9" ht="20.100000000000001" customHeight="1" thickBot="1" x14ac:dyDescent="0.3">
      <c r="A33" s="2" t="s">
        <v>14</v>
      </c>
      <c r="C33" s="2" t="s">
        <v>61</v>
      </c>
    </row>
    <row r="34" spans="1:9" ht="20.100000000000001" customHeight="1" thickBot="1" x14ac:dyDescent="0.3">
      <c r="A34" s="2" t="s">
        <v>34</v>
      </c>
      <c r="C34" s="2" t="s">
        <v>61</v>
      </c>
    </row>
    <row r="35" spans="1:9" ht="20.100000000000001" customHeight="1" x14ac:dyDescent="0.25">
      <c r="A35" s="18"/>
    </row>
    <row r="36" spans="1:9" s="17" customFormat="1" ht="20.100000000000001" customHeight="1" x14ac:dyDescent="0.2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5">
      <c r="A107" s="14"/>
    </row>
    <row r="108" spans="1:9" ht="20.100000000000001" customHeight="1" x14ac:dyDescent="0.25">
      <c r="A108" s="14"/>
    </row>
    <row r="109" spans="1:9" s="17" customFormat="1" ht="20.100000000000001" customHeight="1" x14ac:dyDescent="0.2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"/>
    <row r="111" spans="1:9" ht="20.100000000000001" customHeight="1" thickBot="1" x14ac:dyDescent="0.3">
      <c r="A111" s="2" t="s">
        <v>62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35" t="s">
        <v>100</v>
      </c>
    </row>
    <row r="200" spans="1:1" ht="20.100000000000001" customHeight="1" x14ac:dyDescent="0.25">
      <c r="A200" s="35" t="s">
        <v>101</v>
      </c>
    </row>
    <row r="201" spans="1:1" ht="20.100000000000001" customHeight="1" x14ac:dyDescent="0.25">
      <c r="A201" s="35" t="s">
        <v>102</v>
      </c>
    </row>
    <row r="202" spans="1:1" ht="20.100000000000001" customHeight="1" x14ac:dyDescent="0.25">
      <c r="A202" s="35" t="s">
        <v>103</v>
      </c>
    </row>
    <row r="203" spans="1:1" ht="20.100000000000001" customHeight="1" x14ac:dyDescent="0.25">
      <c r="A203" s="35" t="s">
        <v>104</v>
      </c>
    </row>
    <row r="204" spans="1:1" ht="20.100000000000001" customHeight="1" x14ac:dyDescent="0.25">
      <c r="A204" s="35" t="s">
        <v>105</v>
      </c>
    </row>
    <row r="205" spans="1:1" ht="20.100000000000001" customHeight="1" x14ac:dyDescent="0.25">
      <c r="A205" s="35" t="s">
        <v>106</v>
      </c>
    </row>
    <row r="206" spans="1:1" ht="20.100000000000001" customHeight="1" x14ac:dyDescent="0.25">
      <c r="A206" s="35" t="s">
        <v>107</v>
      </c>
    </row>
    <row r="207" spans="1:1" ht="20.100000000000001" customHeight="1" x14ac:dyDescent="0.25">
      <c r="A207" s="35" t="s">
        <v>108</v>
      </c>
    </row>
    <row r="208" spans="1:1" ht="20.100000000000001" customHeight="1" x14ac:dyDescent="0.25">
      <c r="A208" s="36" t="s">
        <v>109</v>
      </c>
    </row>
    <row r="209" spans="1:1" ht="20.100000000000001" customHeight="1" x14ac:dyDescent="0.25">
      <c r="A209" s="36" t="s">
        <v>110</v>
      </c>
    </row>
    <row r="210" spans="1:1" ht="20.100000000000001" customHeight="1" x14ac:dyDescent="0.25">
      <c r="A210" s="35" t="s">
        <v>111</v>
      </c>
    </row>
    <row r="211" spans="1:1" ht="20.100000000000001" customHeight="1" x14ac:dyDescent="0.25">
      <c r="A211" s="35" t="s">
        <v>112</v>
      </c>
    </row>
    <row r="212" spans="1:1" ht="20.100000000000001" customHeight="1" x14ac:dyDescent="0.25">
      <c r="A212" s="35" t="s">
        <v>113</v>
      </c>
    </row>
    <row r="213" spans="1:1" ht="20.100000000000001" customHeight="1" x14ac:dyDescent="0.25">
      <c r="A213" s="35" t="s">
        <v>114</v>
      </c>
    </row>
    <row r="214" spans="1:1" ht="20.100000000000001" customHeight="1" x14ac:dyDescent="0.25">
      <c r="A214" s="35" t="s">
        <v>115</v>
      </c>
    </row>
    <row r="215" spans="1:1" ht="20.100000000000001" customHeight="1" x14ac:dyDescent="0.25">
      <c r="A215" s="35" t="s">
        <v>116</v>
      </c>
    </row>
    <row r="216" spans="1:1" ht="20.100000000000001" customHeight="1" x14ac:dyDescent="0.25">
      <c r="A216" s="35" t="s">
        <v>117</v>
      </c>
    </row>
    <row r="217" spans="1:1" ht="20.100000000000001" customHeight="1" x14ac:dyDescent="0.25">
      <c r="A217" s="35" t="s">
        <v>118</v>
      </c>
    </row>
    <row r="218" spans="1:1" ht="20.100000000000001" customHeight="1" x14ac:dyDescent="0.25">
      <c r="A218" s="35" t="s">
        <v>119</v>
      </c>
    </row>
    <row r="219" spans="1:1" ht="20.100000000000001" customHeight="1" x14ac:dyDescent="0.25">
      <c r="A219" s="35" t="s">
        <v>120</v>
      </c>
    </row>
    <row r="220" spans="1:1" ht="20.100000000000001" customHeight="1" x14ac:dyDescent="0.25">
      <c r="A220" s="35" t="s">
        <v>121</v>
      </c>
    </row>
    <row r="221" spans="1:1" ht="20.100000000000001" customHeight="1" x14ac:dyDescent="0.25">
      <c r="A221" s="35" t="s">
        <v>122</v>
      </c>
    </row>
    <row r="222" spans="1:1" ht="20.100000000000001" customHeight="1" x14ac:dyDescent="0.25">
      <c r="A222" s="35" t="s">
        <v>123</v>
      </c>
    </row>
    <row r="223" spans="1:1" ht="20.100000000000001" customHeight="1" x14ac:dyDescent="0.25">
      <c r="A223" s="35" t="s">
        <v>124</v>
      </c>
    </row>
    <row r="224" spans="1:1" ht="20.100000000000001" customHeight="1" x14ac:dyDescent="0.25">
      <c r="A224" s="35" t="s">
        <v>125</v>
      </c>
    </row>
    <row r="225" spans="1:1" ht="20.100000000000001" customHeight="1" x14ac:dyDescent="0.25">
      <c r="A225" s="35" t="s">
        <v>126</v>
      </c>
    </row>
    <row r="226" spans="1:1" ht="20.100000000000001" customHeight="1" x14ac:dyDescent="0.25">
      <c r="A226" s="35" t="s">
        <v>127</v>
      </c>
    </row>
    <row r="227" spans="1:1" ht="20.100000000000001" customHeight="1" x14ac:dyDescent="0.25">
      <c r="A227" s="35" t="s">
        <v>128</v>
      </c>
    </row>
    <row r="228" spans="1:1" ht="20.100000000000001" customHeight="1" x14ac:dyDescent="0.25">
      <c r="A228" s="35" t="s">
        <v>129</v>
      </c>
    </row>
    <row r="229" spans="1:1" ht="20.100000000000001" customHeight="1" x14ac:dyDescent="0.25">
      <c r="A229" s="35" t="s">
        <v>130</v>
      </c>
    </row>
    <row r="230" spans="1:1" ht="20.100000000000001" customHeight="1" x14ac:dyDescent="0.25">
      <c r="A230" s="35" t="s">
        <v>131</v>
      </c>
    </row>
    <row r="231" spans="1:1" ht="20.100000000000001" customHeight="1" x14ac:dyDescent="0.25">
      <c r="A231" s="35" t="s">
        <v>132</v>
      </c>
    </row>
    <row r="232" spans="1:1" ht="20.100000000000001" customHeight="1" x14ac:dyDescent="0.25">
      <c r="A232" s="35" t="s">
        <v>133</v>
      </c>
    </row>
    <row r="233" spans="1:1" ht="20.100000000000001" customHeight="1" x14ac:dyDescent="0.25">
      <c r="A233" s="35" t="s">
        <v>134</v>
      </c>
    </row>
    <row r="234" spans="1:1" ht="20.100000000000001" customHeight="1" x14ac:dyDescent="0.25">
      <c r="A234" s="35" t="s">
        <v>135</v>
      </c>
    </row>
    <row r="235" spans="1:1" ht="20.100000000000001" customHeight="1" x14ac:dyDescent="0.25">
      <c r="A235" s="37" t="s">
        <v>136</v>
      </c>
    </row>
    <row r="236" spans="1:1" ht="20.100000000000001" customHeight="1" x14ac:dyDescent="0.25">
      <c r="A236" s="35" t="s">
        <v>137</v>
      </c>
    </row>
    <row r="237" spans="1:1" ht="20.100000000000001" customHeight="1" x14ac:dyDescent="0.25">
      <c r="A237" s="35" t="s">
        <v>138</v>
      </c>
    </row>
    <row r="238" spans="1:1" ht="20.100000000000001" customHeight="1" x14ac:dyDescent="0.25">
      <c r="A238" s="35" t="s">
        <v>139</v>
      </c>
    </row>
    <row r="239" spans="1:1" ht="20.100000000000001" customHeight="1" x14ac:dyDescent="0.25">
      <c r="A239" s="35" t="s">
        <v>140</v>
      </c>
    </row>
    <row r="240" spans="1:1" ht="20.100000000000001" customHeight="1" x14ac:dyDescent="0.25">
      <c r="A240" s="35" t="s">
        <v>141</v>
      </c>
    </row>
    <row r="241" spans="1:1" ht="20.100000000000001" customHeight="1" x14ac:dyDescent="0.25">
      <c r="A241" s="35" t="s">
        <v>142</v>
      </c>
    </row>
    <row r="242" spans="1:1" ht="20.100000000000001" customHeight="1" x14ac:dyDescent="0.25">
      <c r="A242" s="35" t="s">
        <v>143</v>
      </c>
    </row>
    <row r="243" spans="1:1" ht="20.100000000000001" customHeight="1" x14ac:dyDescent="0.25">
      <c r="A243" s="35" t="s">
        <v>144</v>
      </c>
    </row>
    <row r="244" spans="1:1" ht="20.100000000000001" customHeight="1" x14ac:dyDescent="0.25">
      <c r="A244" s="35" t="s">
        <v>145</v>
      </c>
    </row>
    <row r="245" spans="1:1" ht="20.100000000000001" customHeight="1" x14ac:dyDescent="0.25">
      <c r="A245" s="35" t="s">
        <v>146</v>
      </c>
    </row>
    <row r="246" spans="1:1" ht="20.100000000000001" customHeight="1" x14ac:dyDescent="0.25">
      <c r="A246" s="35" t="s">
        <v>147</v>
      </c>
    </row>
    <row r="247" spans="1:1" ht="20.100000000000001" customHeight="1" x14ac:dyDescent="0.25">
      <c r="A247" s="35" t="s">
        <v>138</v>
      </c>
    </row>
    <row r="248" spans="1:1" ht="20.100000000000001" customHeight="1" x14ac:dyDescent="0.25">
      <c r="A248" s="35" t="s">
        <v>148</v>
      </c>
    </row>
    <row r="249" spans="1:1" ht="20.100000000000001" customHeight="1" x14ac:dyDescent="0.25">
      <c r="A249" s="35" t="s">
        <v>149</v>
      </c>
    </row>
    <row r="250" spans="1:1" ht="20.100000000000001" customHeight="1" x14ac:dyDescent="0.25">
      <c r="A250" s="37" t="s">
        <v>150</v>
      </c>
    </row>
    <row r="251" spans="1:1" ht="20.100000000000001" customHeight="1" x14ac:dyDescent="0.25">
      <c r="A251" s="38" t="s">
        <v>151</v>
      </c>
    </row>
    <row r="252" spans="1:1" ht="20.100000000000001" customHeight="1" x14ac:dyDescent="0.25">
      <c r="A252" s="35" t="s">
        <v>152</v>
      </c>
    </row>
    <row r="253" spans="1:1" ht="20.100000000000001" customHeight="1" x14ac:dyDescent="0.25">
      <c r="A253" s="35" t="s">
        <v>153</v>
      </c>
    </row>
    <row r="254" spans="1:1" ht="20.100000000000001" customHeight="1" x14ac:dyDescent="0.25">
      <c r="A254" s="39" t="s">
        <v>154</v>
      </c>
    </row>
    <row r="255" spans="1:1" ht="20.100000000000001" customHeight="1" x14ac:dyDescent="0.25">
      <c r="A255" s="39" t="s">
        <v>155</v>
      </c>
    </row>
    <row r="256" spans="1:1" ht="20.100000000000001" customHeight="1" x14ac:dyDescent="0.25">
      <c r="A256" s="40" t="s">
        <v>156</v>
      </c>
    </row>
    <row r="257" spans="1:1" ht="20.100000000000001" customHeight="1" x14ac:dyDescent="0.25">
      <c r="A257" s="35" t="s">
        <v>157</v>
      </c>
    </row>
    <row r="258" spans="1:1" ht="20.100000000000001" customHeight="1" x14ac:dyDescent="0.25">
      <c r="A258" s="40" t="s">
        <v>158</v>
      </c>
    </row>
    <row r="259" spans="1:1" ht="20.100000000000001" customHeight="1" x14ac:dyDescent="0.25">
      <c r="A259" s="35" t="s">
        <v>159</v>
      </c>
    </row>
    <row r="260" spans="1:1" ht="20.100000000000001" customHeight="1" x14ac:dyDescent="0.25">
      <c r="A260" s="40" t="s">
        <v>160</v>
      </c>
    </row>
    <row r="261" spans="1:1" ht="20.100000000000001" customHeight="1" x14ac:dyDescent="0.25">
      <c r="A261" s="35" t="s">
        <v>161</v>
      </c>
    </row>
    <row r="262" spans="1:1" ht="20.100000000000001" customHeight="1" x14ac:dyDescent="0.25">
      <c r="A262" s="35" t="s">
        <v>162</v>
      </c>
    </row>
    <row r="263" spans="1:1" ht="20.100000000000001" customHeight="1" x14ac:dyDescent="0.25">
      <c r="A263" s="40" t="s">
        <v>163</v>
      </c>
    </row>
    <row r="264" spans="1:1" ht="20.100000000000001" customHeight="1" x14ac:dyDescent="0.25">
      <c r="A264" s="40" t="s">
        <v>164</v>
      </c>
    </row>
    <row r="265" spans="1:1" ht="20.100000000000001" customHeight="1" x14ac:dyDescent="0.25">
      <c r="A265" s="40" t="s">
        <v>165</v>
      </c>
    </row>
    <row r="266" spans="1:1" ht="20.100000000000001" customHeight="1" x14ac:dyDescent="0.25">
      <c r="A266" s="35" t="s">
        <v>166</v>
      </c>
    </row>
    <row r="267" spans="1:1" ht="20.100000000000001" customHeight="1" x14ac:dyDescent="0.25">
      <c r="A267" s="35" t="s">
        <v>167</v>
      </c>
    </row>
    <row r="268" spans="1:1" ht="20.100000000000001" customHeight="1" x14ac:dyDescent="0.25">
      <c r="A268" s="35" t="s">
        <v>168</v>
      </c>
    </row>
    <row r="269" spans="1:1" ht="20.100000000000001" customHeight="1" x14ac:dyDescent="0.25">
      <c r="A269" s="35" t="s">
        <v>169</v>
      </c>
    </row>
    <row r="270" spans="1:1" ht="20.100000000000001" customHeight="1" x14ac:dyDescent="0.25">
      <c r="A270" s="40" t="s">
        <v>170</v>
      </c>
    </row>
    <row r="271" spans="1:1" ht="20.100000000000001" customHeight="1" x14ac:dyDescent="0.25">
      <c r="A271" s="40" t="s">
        <v>171</v>
      </c>
    </row>
    <row r="272" spans="1:1" ht="20.100000000000001" customHeight="1" x14ac:dyDescent="0.25">
      <c r="A272" s="35" t="s">
        <v>172</v>
      </c>
    </row>
    <row r="273" spans="1:1" ht="20.100000000000001" customHeight="1" x14ac:dyDescent="0.25">
      <c r="A273" s="40" t="s">
        <v>173</v>
      </c>
    </row>
    <row r="274" spans="1:1" ht="20.100000000000001" customHeight="1" x14ac:dyDescent="0.25">
      <c r="A274" s="40" t="s">
        <v>174</v>
      </c>
    </row>
    <row r="275" spans="1:1" ht="20.100000000000001" customHeight="1" x14ac:dyDescent="0.25">
      <c r="A275" s="35" t="s">
        <v>175</v>
      </c>
    </row>
    <row r="276" spans="1:1" ht="20.100000000000001" customHeight="1" x14ac:dyDescent="0.25">
      <c r="A276" s="35" t="s">
        <v>176</v>
      </c>
    </row>
    <row r="277" spans="1:1" ht="20.100000000000001" customHeight="1" x14ac:dyDescent="0.25">
      <c r="A277" s="40" t="s">
        <v>177</v>
      </c>
    </row>
    <row r="278" spans="1:1" ht="20.100000000000001" customHeight="1" x14ac:dyDescent="0.25">
      <c r="A278" s="35" t="s">
        <v>178</v>
      </c>
    </row>
    <row r="279" spans="1:1" ht="20.100000000000001" customHeight="1" x14ac:dyDescent="0.25">
      <c r="A279" s="35" t="s">
        <v>179</v>
      </c>
    </row>
    <row r="280" spans="1:1" ht="20.100000000000001" customHeight="1" x14ac:dyDescent="0.25">
      <c r="A280" s="35" t="s">
        <v>180</v>
      </c>
    </row>
    <row r="281" spans="1:1" ht="20.100000000000001" customHeight="1" x14ac:dyDescent="0.25">
      <c r="A281" s="35" t="s">
        <v>181</v>
      </c>
    </row>
    <row r="282" spans="1:1" ht="20.100000000000001" customHeight="1" x14ac:dyDescent="0.25">
      <c r="A282" s="40" t="s">
        <v>182</v>
      </c>
    </row>
    <row r="283" spans="1:1" ht="20.100000000000001" customHeight="1" x14ac:dyDescent="0.25">
      <c r="A283" s="40" t="s">
        <v>183</v>
      </c>
    </row>
    <row r="284" spans="1:1" ht="20.100000000000001" customHeight="1" x14ac:dyDescent="0.25">
      <c r="A284" s="40" t="s">
        <v>184</v>
      </c>
    </row>
    <row r="285" spans="1:1" ht="20.100000000000001" customHeight="1" thickBot="1" x14ac:dyDescent="0.3">
      <c r="A285" s="35" t="s">
        <v>185</v>
      </c>
    </row>
    <row r="286" spans="1:1" ht="20.100000000000001" customHeight="1" thickBot="1" x14ac:dyDescent="0.3">
      <c r="A286" s="2" t="s">
        <v>58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2026-09-06T08:14:13Z</dcterms:modified>
</cp:coreProperties>
</file>