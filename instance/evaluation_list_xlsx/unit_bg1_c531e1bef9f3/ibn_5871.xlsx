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105" yWindow="-105" windowWidth="23250" windowHeight="1257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التقييم'!$A$1:$J$97</definedName>
    <definedName name="_xlnm.Print_Titles" localSheetId="0">'قائمة التقييم'!$7:$7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9" i="2" l="1"/>
  <c r="H9" i="2" s="1"/>
  <c r="G10" i="2" l="1"/>
  <c r="H10" i="2" s="1"/>
  <c r="G12" i="2"/>
  <c r="H12" i="2" s="1"/>
  <c r="G13" i="2"/>
  <c r="H13" i="2" s="1"/>
  <c r="G14" i="2"/>
  <c r="H14" i="2" s="1"/>
  <c r="G15" i="2"/>
  <c r="H15" i="2" s="1"/>
  <c r="G17" i="2"/>
  <c r="H17" i="2" s="1"/>
  <c r="G18" i="2"/>
  <c r="H18" i="2" s="1"/>
  <c r="G19" i="2"/>
  <c r="H19" i="2" s="1"/>
  <c r="G20" i="2"/>
  <c r="H20" i="2" s="1"/>
  <c r="G21" i="2"/>
  <c r="H21" i="2" s="1"/>
  <c r="G22" i="2"/>
  <c r="H22" i="2" s="1"/>
  <c r="G23" i="2"/>
  <c r="H23" i="2" s="1"/>
  <c r="G24" i="2"/>
  <c r="H24" i="2" s="1"/>
  <c r="G25" i="2"/>
  <c r="H25" i="2" s="1"/>
  <c r="G26" i="2"/>
  <c r="H26" i="2" s="1"/>
  <c r="G28" i="2"/>
  <c r="H28" i="2" s="1"/>
  <c r="G29" i="2"/>
  <c r="H29" i="2" s="1"/>
  <c r="G30" i="2"/>
  <c r="H30" i="2" s="1"/>
  <c r="G31" i="2"/>
  <c r="H31" i="2" s="1"/>
  <c r="G32" i="2"/>
  <c r="H32" i="2" s="1"/>
  <c r="G33" i="2"/>
  <c r="H33" i="2" s="1"/>
  <c r="G35" i="2"/>
  <c r="H35" i="2" s="1"/>
  <c r="G36" i="2"/>
  <c r="H36" i="2" s="1"/>
  <c r="G37" i="2"/>
  <c r="H37" i="2" s="1"/>
  <c r="G38" i="2"/>
  <c r="H38" i="2" s="1"/>
  <c r="G39" i="2"/>
  <c r="H39" i="2" s="1"/>
  <c r="G42" i="2"/>
  <c r="H42" i="2" s="1"/>
  <c r="G43" i="2"/>
  <c r="H43" i="2" s="1"/>
  <c r="G44" i="2"/>
  <c r="H44" i="2" s="1"/>
  <c r="G46" i="2"/>
  <c r="H46" i="2" s="1"/>
  <c r="G47" i="2"/>
  <c r="H47" i="2" s="1"/>
  <c r="G48" i="2"/>
  <c r="H48" i="2" s="1"/>
  <c r="G49" i="2"/>
  <c r="H49" i="2" s="1"/>
  <c r="G50" i="2"/>
  <c r="H50" i="2" s="1"/>
  <c r="G51" i="2"/>
  <c r="H51" i="2" s="1"/>
  <c r="G52" i="2"/>
  <c r="H52" i="2" s="1"/>
  <c r="G54" i="2"/>
  <c r="H54" i="2" s="1"/>
  <c r="G55" i="2"/>
  <c r="H55" i="2" s="1"/>
  <c r="G56" i="2"/>
  <c r="H56" i="2" s="1"/>
  <c r="G57" i="2"/>
  <c r="H57" i="2" s="1"/>
  <c r="G58" i="2"/>
  <c r="H58" i="2" s="1"/>
  <c r="G60" i="2"/>
  <c r="H60" i="2" s="1"/>
  <c r="G61" i="2"/>
  <c r="H61" i="2" s="1"/>
  <c r="G62" i="2"/>
  <c r="H62" i="2" s="1"/>
  <c r="G63" i="2"/>
  <c r="H63" i="2" s="1"/>
  <c r="G65" i="2"/>
  <c r="H65" i="2" s="1"/>
  <c r="G68" i="2"/>
  <c r="H68" i="2" s="1"/>
  <c r="G69" i="2"/>
  <c r="H69" i="2" s="1"/>
  <c r="G70" i="2"/>
  <c r="H70" i="2" s="1"/>
  <c r="G71" i="2"/>
  <c r="H71" i="2" s="1"/>
  <c r="G72" i="2"/>
  <c r="H72" i="2" s="1"/>
  <c r="G73" i="2"/>
  <c r="H73" i="2" s="1"/>
  <c r="G74" i="2"/>
  <c r="H74" i="2" s="1"/>
  <c r="G76" i="2"/>
  <c r="H76" i="2" s="1"/>
  <c r="G77" i="2"/>
  <c r="H77" i="2" s="1"/>
  <c r="G78" i="2"/>
  <c r="H78" i="2" s="1"/>
  <c r="G79" i="2"/>
  <c r="H79" i="2" s="1"/>
  <c r="G80" i="2"/>
  <c r="H80" i="2" s="1"/>
  <c r="G83" i="2"/>
  <c r="H83" i="2" s="1"/>
  <c r="G84" i="2"/>
  <c r="H84" i="2" s="1"/>
  <c r="G85" i="2"/>
  <c r="H85" i="2" s="1"/>
  <c r="G87" i="2"/>
  <c r="H87" i="2" s="1"/>
  <c r="G88" i="2"/>
  <c r="H88" i="2" s="1"/>
  <c r="G90" i="2"/>
  <c r="H90" i="2" s="1"/>
  <c r="G91" i="2"/>
  <c r="H91" i="2" s="1"/>
  <c r="G92" i="2"/>
  <c r="H92" i="2" s="1"/>
  <c r="G8" i="2" l="1"/>
  <c r="H8" i="2" s="1"/>
  <c r="F93" i="2" l="1"/>
  <c r="E93" i="2" l="1"/>
  <c r="E94" i="2" l="1"/>
  <c r="E95" i="2" s="1"/>
</calcChain>
</file>

<file path=xl/sharedStrings.xml><?xml version="1.0" encoding="utf-8"?>
<sst xmlns="http://schemas.openxmlformats.org/spreadsheetml/2006/main" count="394" uniqueCount="264">
  <si>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</si>
  <si>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</si>
  <si>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</si>
  <si>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</si>
  <si>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</si>
  <si>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</si>
  <si>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</si>
  <si>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</si>
  <si>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</si>
  <si>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</si>
  <si>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</si>
  <si>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</si>
  <si>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</si>
  <si>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</si>
  <si>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</si>
  <si>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</si>
  <si>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</si>
  <si>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</si>
  <si>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</si>
  <si>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</si>
  <si>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</si>
  <si>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</si>
  <si>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</si>
  <si>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</si>
  <si>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</si>
  <si>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</si>
  <si>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</si>
  <si>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</si>
  <si>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</si>
  <si>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</si>
  <si>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</si>
  <si>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</si>
  <si>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</si>
  <si>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</si>
  <si>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</si>
  <si>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</si>
  <si>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</si>
  <si>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</si>
  <si>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</si>
  <si>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</si>
  <si>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</si>
  <si>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</si>
  <si>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</si>
  <si>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</si>
  <si>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</si>
  <si>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</si>
  <si>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</si>
  <si>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</si>
  <si>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</si>
  <si>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</si>
  <si>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</si>
  <si>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</si>
  <si>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</si>
  <si>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</si>
  <si>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</si>
  <si>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</si>
  <si>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</si>
  <si>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</si>
  <si>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</si>
  <si>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</si>
  <si>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</si>
  <si>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t>
  </si>
  <si>
    <t>أدخل العلامة</t>
  </si>
  <si>
    <t>1.   تنظيم جلوس قسم الأمر.</t>
  </si>
  <si>
    <r>
      <t xml:space="preserve">أ.   </t>
    </r>
    <r>
      <rPr>
        <u/>
        <sz val="12"/>
        <color rgb="FF000000"/>
        <rFont val="Arial"/>
        <family val="2"/>
      </rPr>
      <t>منطقة الاهتمام</t>
    </r>
    <r>
      <rPr>
        <sz val="12"/>
        <color rgb="FF000000"/>
        <rFont val="Arial"/>
        <family val="2"/>
      </rPr>
      <t>.</t>
    </r>
  </si>
  <si>
    <r>
      <t xml:space="preserve">ب.  </t>
    </r>
    <r>
      <rPr>
        <u/>
        <sz val="12"/>
        <color rgb="FF000000"/>
        <rFont val="Arial"/>
        <family val="2"/>
      </rPr>
      <t>منطقة العمليات</t>
    </r>
    <r>
      <rPr>
        <sz val="12"/>
        <color rgb="FF000000"/>
        <rFont val="Arial"/>
        <family val="2"/>
      </rPr>
      <t>.</t>
    </r>
  </si>
  <si>
    <t xml:space="preserve">أ.   نظام معركة العدو.   </t>
  </si>
  <si>
    <t>ب.  توزيعاته.</t>
  </si>
  <si>
    <t>جـ.  قصده.</t>
  </si>
  <si>
    <t>د.   هويته.</t>
  </si>
  <si>
    <t>هـ.  تعزيزاته.</t>
  </si>
  <si>
    <t>و.   قدرات إسناد العدو.</t>
  </si>
  <si>
    <t>ز.   نقاط القوة ونقاط الضعف.</t>
  </si>
  <si>
    <t>ح.   معنوياته.</t>
  </si>
  <si>
    <t>ط.  امكانياته.</t>
  </si>
  <si>
    <t>ي.  عمل العدو الأكثر احتمالا.</t>
  </si>
  <si>
    <t>أ.   مهمة وقصد القيادة العليا (مستويين أعلى).</t>
  </si>
  <si>
    <t>ب.  مهام الوحدات المجاورة ( يمين ثم يسار وثم أمام وثم خلف).</t>
  </si>
  <si>
    <t>جـ.  مهام وحدات الاسناد (وحدات الإسناد التي تساند المستوى الأعلى).</t>
  </si>
  <si>
    <t>د.   الهيئات الحكومية وغير الحكومية (تبرز بشكل خاص في مهام الاستقرار وإسناد السلطات المدنية).</t>
  </si>
  <si>
    <t>هـ.  الملحقون والمنفصلون.</t>
  </si>
  <si>
    <t>و.   الموقف الجوي (إذا كان الموقف الجوي متعادل يكتب كفقرة مستقلة).</t>
  </si>
  <si>
    <t>أ.   ماذا؟</t>
  </si>
  <si>
    <t>ب.  من؟</t>
  </si>
  <si>
    <t>جـ.  متى؟</t>
  </si>
  <si>
    <t>د.   أين؟</t>
  </si>
  <si>
    <t>هـ.  لماذا؟</t>
  </si>
  <si>
    <r>
      <t xml:space="preserve">8.   </t>
    </r>
    <r>
      <rPr>
        <b/>
        <u/>
        <sz val="12"/>
        <color rgb="FF000000"/>
        <rFont val="Arial"/>
        <family val="2"/>
      </rPr>
      <t>التنفيــذ</t>
    </r>
    <r>
      <rPr>
        <sz val="12"/>
        <color rgb="FF000000"/>
        <rFont val="Arial"/>
        <family val="2"/>
      </rPr>
      <t>.</t>
    </r>
  </si>
  <si>
    <r>
      <t xml:space="preserve">(1)  </t>
    </r>
    <r>
      <rPr>
        <u/>
        <sz val="12"/>
        <color rgb="FF000000"/>
        <rFont val="Arial"/>
        <family val="2"/>
      </rPr>
      <t>القصد</t>
    </r>
    <r>
      <rPr>
        <sz val="12"/>
        <color rgb="FF000000"/>
        <rFont val="Arial"/>
        <family val="2"/>
      </rPr>
      <t>.   (ماذا ولماذا).</t>
    </r>
  </si>
  <si>
    <r>
      <t xml:space="preserve">(2)  </t>
    </r>
    <r>
      <rPr>
        <u/>
        <sz val="12"/>
        <color rgb="FF000000"/>
        <rFont val="Arial"/>
        <family val="2"/>
      </rPr>
      <t>الواجبات الرئيسة</t>
    </r>
    <r>
      <rPr>
        <sz val="12"/>
        <color rgb="FF000000"/>
        <rFont val="Arial"/>
        <family val="2"/>
      </rPr>
      <t>. هي واجبات ضرورية لإنجاح المهمة وقد تشتمل على الواجبات الأساسية (لا تزيد عن 5 واجبات).</t>
    </r>
  </si>
  <si>
    <r>
      <t xml:space="preserve">(3)  </t>
    </r>
    <r>
      <rPr>
        <u/>
        <sz val="12"/>
        <color rgb="FF000000"/>
        <rFont val="Arial"/>
        <family val="2"/>
      </rPr>
      <t>النهاية المرغوبة</t>
    </r>
    <r>
      <rPr>
        <sz val="12"/>
        <color rgb="FF000000"/>
        <rFont val="Arial"/>
        <family val="2"/>
      </rPr>
      <t>. وتتضمن حالة العدو، قواتنا، الارض والمدنيين بعد انتهاء العمليات.</t>
    </r>
  </si>
  <si>
    <r>
      <t xml:space="preserve">(1)  </t>
    </r>
    <r>
      <rPr>
        <u/>
        <sz val="12"/>
        <color rgb="FF000000"/>
        <rFont val="Arial"/>
        <family val="2"/>
      </rPr>
      <t>عــــام.</t>
    </r>
    <r>
      <rPr>
        <sz val="12"/>
        <color rgb="FF000000"/>
        <rFont val="Arial"/>
        <family val="2"/>
      </rPr>
      <t xml:space="preserve">   يجيب عن ماذا، من، اين، كيف، لماذا وتشمل عمليات التمهيد والعمليات الحاسمة وعمليات الادامة.</t>
    </r>
  </si>
  <si>
    <r>
      <t xml:space="preserve">(3)  </t>
    </r>
    <r>
      <rPr>
        <u/>
        <sz val="12"/>
        <color rgb="FF000000"/>
        <rFont val="Arial"/>
        <family val="2"/>
      </rPr>
      <t>النيران.</t>
    </r>
    <r>
      <rPr>
        <sz val="12"/>
        <color rgb="FF000000"/>
        <rFont val="Arial"/>
        <family val="2"/>
      </rPr>
      <t xml:space="preserve">   يتم ذكر الواجب الرئيسي لوحدات المدفعية والغرض من الواجب ثم تحديد أولوية النيران في كل مرحلة.</t>
    </r>
  </si>
  <si>
    <r>
      <t xml:space="preserve">(5)  </t>
    </r>
    <r>
      <rPr>
        <u/>
        <sz val="12"/>
        <color rgb="FF000000"/>
        <rFont val="Arial"/>
        <family val="2"/>
      </rPr>
      <t>الحماية.</t>
    </r>
    <r>
      <rPr>
        <sz val="12"/>
        <color rgb="FF000000"/>
        <rFont val="Arial"/>
        <family val="2"/>
      </rPr>
      <t xml:space="preserve"> (تصور القائد لكيفية استخدام عناصر الحماية لإسناد مفهوم العمليات حسب توفرها في كل مرحلة مثل (الدفاع الجوي والشرطة العسكرية والطبية والامن والاسناد الهندسي والدفاع الكيميائي ....الخ).</t>
    </r>
  </si>
  <si>
    <t>(6)  عمليات الاستقرار وإسناد السلطات المدنية. (التنسيق مع السلطات المدنية من خلال تنفيذ الواجبات في حال التحول للعمل لهذه العمليات).</t>
  </si>
  <si>
    <r>
      <t xml:space="preserve">أ.   </t>
    </r>
    <r>
      <rPr>
        <u/>
        <sz val="12"/>
        <color rgb="FF000000"/>
        <rFont val="Arial"/>
        <family val="2"/>
      </rPr>
      <t>التوقيتات.</t>
    </r>
    <r>
      <rPr>
        <sz val="12"/>
        <color rgb="FF000000"/>
        <rFont val="Arial"/>
        <family val="2"/>
      </rPr>
      <t xml:space="preserve"> توقيت سريان التجميع للواجب وأي توقيتات أخرى.</t>
    </r>
  </si>
  <si>
    <r>
      <t xml:space="preserve">ب.  </t>
    </r>
    <r>
      <rPr>
        <u/>
        <sz val="12"/>
        <color rgb="FF000000"/>
        <rFont val="Arial"/>
        <family val="2"/>
      </rPr>
      <t>الحدود</t>
    </r>
    <r>
      <rPr>
        <sz val="12"/>
        <color rgb="FF000000"/>
        <rFont val="Arial"/>
        <family val="2"/>
      </rPr>
      <t>.</t>
    </r>
  </si>
  <si>
    <r>
      <t xml:space="preserve">جـ.  </t>
    </r>
    <r>
      <rPr>
        <u/>
        <sz val="12"/>
        <color rgb="FF000000"/>
        <rFont val="Arial"/>
        <family val="2"/>
      </rPr>
      <t>الطرق</t>
    </r>
    <r>
      <rPr>
        <sz val="12"/>
        <color rgb="FF000000"/>
        <rFont val="Arial"/>
        <family val="2"/>
      </rPr>
      <t>.</t>
    </r>
  </si>
  <si>
    <r>
      <t xml:space="preserve">د.   </t>
    </r>
    <r>
      <rPr>
        <u/>
        <sz val="12"/>
        <color rgb="FF000000"/>
        <rFont val="Arial"/>
        <family val="2"/>
      </rPr>
      <t>نقاط التنسيق</t>
    </r>
    <r>
      <rPr>
        <sz val="12"/>
        <color rgb="FF000000"/>
        <rFont val="Arial"/>
        <family val="2"/>
      </rPr>
      <t>.</t>
    </r>
  </si>
  <si>
    <r>
      <t xml:space="preserve">هـ.  </t>
    </r>
    <r>
      <rPr>
        <u/>
        <sz val="12"/>
        <color rgb="FF000000"/>
        <rFont val="Arial"/>
        <family val="2"/>
      </rPr>
      <t>قواعد الاشتباك</t>
    </r>
    <r>
      <rPr>
        <sz val="12"/>
        <color rgb="FF000000"/>
        <rFont val="Arial"/>
        <family val="2"/>
      </rPr>
      <t>.</t>
    </r>
  </si>
  <si>
    <r>
      <t xml:space="preserve">و.   </t>
    </r>
    <r>
      <rPr>
        <u/>
        <sz val="12"/>
        <color rgb="FF000000"/>
        <rFont val="Arial"/>
        <family val="2"/>
      </rPr>
      <t>متطلبات القائد من المعلومات الحرجة.</t>
    </r>
  </si>
  <si>
    <r>
      <t xml:space="preserve">(1)  </t>
    </r>
    <r>
      <rPr>
        <u/>
        <sz val="12"/>
        <color rgb="FF000000"/>
        <rFont val="Arial"/>
        <family val="2"/>
      </rPr>
      <t>متطلبات الاستخبارات ذات الأولوية</t>
    </r>
    <r>
      <rPr>
        <sz val="12"/>
        <color rgb="FF000000"/>
        <rFont val="Arial"/>
        <family val="2"/>
      </rPr>
      <t>. (ماذا يريد أن يعرف القائد عن العدو).</t>
    </r>
  </si>
  <si>
    <r>
      <t xml:space="preserve">(2)  </t>
    </r>
    <r>
      <rPr>
        <u/>
        <sz val="12"/>
        <color rgb="FF000000"/>
        <rFont val="Arial"/>
        <family val="2"/>
      </rPr>
      <t>متطلبات معلومات القوات الصديقة</t>
    </r>
    <r>
      <rPr>
        <sz val="12"/>
        <color rgb="FF000000"/>
        <rFont val="Arial"/>
        <family val="2"/>
      </rPr>
      <t>. (ماذا يريد أن يعرف القائد عن قواتنا).</t>
    </r>
  </si>
  <si>
    <r>
      <t xml:space="preserve">(3)  </t>
    </r>
    <r>
      <rPr>
        <u/>
        <sz val="12"/>
        <color rgb="FF000000"/>
        <rFont val="Arial"/>
        <family val="2"/>
      </rPr>
      <t>معلومات عن قواتنا يجب إخفاؤها عن العدو</t>
    </r>
    <r>
      <rPr>
        <sz val="12"/>
        <color rgb="FF000000"/>
        <rFont val="Arial"/>
        <family val="2"/>
      </rPr>
      <t>.   (الجوانب الهامة من عمليات القوات الصديقة إذا ما عرفها العدو تعرض العملية للخطر).</t>
    </r>
  </si>
  <si>
    <t>ز.   أيُّ تعليمات إضافية.</t>
  </si>
  <si>
    <r>
      <t xml:space="preserve">أ.   </t>
    </r>
    <r>
      <rPr>
        <u/>
        <sz val="12"/>
        <color rgb="FF000000"/>
        <rFont val="Arial"/>
        <family val="2"/>
      </rPr>
      <t>مفهوم الإدامة</t>
    </r>
    <r>
      <rPr>
        <sz val="12"/>
        <color rgb="FF000000"/>
        <rFont val="Arial"/>
        <family val="2"/>
      </rPr>
      <t>.</t>
    </r>
  </si>
  <si>
    <r>
      <t xml:space="preserve">ب.  </t>
    </r>
    <r>
      <rPr>
        <u/>
        <sz val="12"/>
        <color rgb="FF000000"/>
        <rFont val="Arial"/>
        <family val="2"/>
      </rPr>
      <t>المواد والخدمات</t>
    </r>
    <r>
      <rPr>
        <sz val="12"/>
        <color rgb="FF000000"/>
        <rFont val="Arial"/>
        <family val="2"/>
      </rPr>
      <t>. وتشمل ما يلي:</t>
    </r>
  </si>
  <si>
    <t>(1)  التزويد.</t>
  </si>
  <si>
    <t>( أ ) الأرزاق.</t>
  </si>
  <si>
    <t>(ب) الوقود.</t>
  </si>
  <si>
    <t>(جـ) الذخيرة.</t>
  </si>
  <si>
    <t>( د ) المياه.</t>
  </si>
  <si>
    <t>(2)  النقليات.</t>
  </si>
  <si>
    <t>(3)  الصيانة.</t>
  </si>
  <si>
    <r>
      <t>جـ.  ا</t>
    </r>
    <r>
      <rPr>
        <u/>
        <sz val="12"/>
        <color rgb="FF000000"/>
        <rFont val="Arial"/>
        <family val="2"/>
      </rPr>
      <t>لخدمات الطبية</t>
    </r>
    <r>
      <rPr>
        <sz val="12"/>
        <color rgb="FF000000"/>
        <rFont val="Arial"/>
        <family val="2"/>
      </rPr>
      <t>.</t>
    </r>
  </si>
  <si>
    <r>
      <t xml:space="preserve">د.   </t>
    </r>
    <r>
      <rPr>
        <u/>
        <sz val="12"/>
        <color rgb="FF000000"/>
        <rFont val="Arial"/>
        <family val="2"/>
      </rPr>
      <t>القوى البشرية</t>
    </r>
    <r>
      <rPr>
        <sz val="12"/>
        <color rgb="FF000000"/>
        <rFont val="Arial"/>
        <family val="2"/>
      </rPr>
      <t>.</t>
    </r>
  </si>
  <si>
    <t>(1)  التعزيز.</t>
  </si>
  <si>
    <t>(2)  الشهداء.</t>
  </si>
  <si>
    <t>(3)  أسرى الحرب.</t>
  </si>
  <si>
    <t>(4)  الخسائر.</t>
  </si>
  <si>
    <t>(5)  المدنيين.</t>
  </si>
  <si>
    <r>
      <t xml:space="preserve">أ.   </t>
    </r>
    <r>
      <rPr>
        <u/>
        <sz val="12"/>
        <color rgb="FF000000"/>
        <rFont val="Arial"/>
        <family val="2"/>
      </rPr>
      <t>القيادة.</t>
    </r>
  </si>
  <si>
    <t xml:space="preserve">(1)  موقع القائد.   </t>
  </si>
  <si>
    <t>(2)  تسلسل القيادة.</t>
  </si>
  <si>
    <t>(3)  متطلبات الارتباط.</t>
  </si>
  <si>
    <r>
      <t xml:space="preserve">ب.  </t>
    </r>
    <r>
      <rPr>
        <u/>
        <sz val="12"/>
        <color rgb="FF000000"/>
        <rFont val="Arial"/>
        <family val="2"/>
      </rPr>
      <t>السيطرة.</t>
    </r>
  </si>
  <si>
    <t>(1)  مركز القيادة. (الرئيسي، البديل، مركز السيطرة الخلفي).</t>
  </si>
  <si>
    <t>(2)  التقارير.</t>
  </si>
  <si>
    <r>
      <t xml:space="preserve">جـ.  </t>
    </r>
    <r>
      <rPr>
        <u/>
        <sz val="12"/>
        <color rgb="FF000000"/>
        <rFont val="Arial"/>
        <family val="2"/>
      </rPr>
      <t>الاتصالات.</t>
    </r>
  </si>
  <si>
    <t>(1)  التعليمات الإشارية. (التقيد بالتعليمات الإشارية الواردة في ملحق أمر العمليات).</t>
  </si>
  <si>
    <t>(2)  الكلمات الرمزية.</t>
  </si>
  <si>
    <t>يقيم في أمر العمليات التحريري وتعطى (5) علامات لكل بند</t>
  </si>
  <si>
    <r>
      <t>ملاحظـــات</t>
    </r>
    <r>
      <rPr>
        <b/>
        <sz val="12"/>
        <color rgb="FF000000"/>
        <rFont val="Arial"/>
        <family val="2"/>
      </rPr>
      <t xml:space="preserve">: 
</t>
    </r>
    <r>
      <rPr>
        <sz val="12"/>
        <color rgb="FF000000"/>
        <rFont val="Arial"/>
        <family val="2"/>
      </rPr>
      <t>1.    يعتبر هذا النموذج (سري للغاية) بعد إدخال علامات التقييم.
2.    نموذج التقييم قابل للتطوير والتعديل.
3.    حمل الخرائط من قبل قسم الأمر وتكون مؤشرة.
4.    تأشير الخرائط من قبل هيئة الركن في القيادات.
5.    الالتزام بلباس المعركة كامل.
6.    الوصف الدقيق لطبيعة الأرض وقوات العدو.
7.    متابعة القائد من قبل قسم الأمر أثناء إعطاء الأمر.
8.    التأكد من التسلسل المنطقي لفقرات الأمر.
9.    التأكد عند إعطاء أمر العمليات من تطابق الخطة مع الطاولة الرملية.
10.    التأكد من توزيع التجميع للواجب لجميع الوحدات المرؤوسة.
11.    التأكيدات بعد إعطاء الأوامر من قبل القائد.
12.    التأكد من أن قصد القائد يخدم قصد القيادة الأعلى ولا يتشابه معه.</t>
    </r>
  </si>
  <si>
    <r>
      <t xml:space="preserve">7.   </t>
    </r>
    <r>
      <rPr>
        <b/>
        <u/>
        <sz val="12"/>
        <color rgb="FF000000"/>
        <rFont val="Arial"/>
        <family val="2"/>
      </rPr>
      <t>المهمــــة.</t>
    </r>
    <r>
      <rPr>
        <sz val="12"/>
        <color rgb="FF000000"/>
        <rFont val="Arial"/>
        <family val="2"/>
      </rPr>
      <t xml:space="preserve"> تقدم من قبل قائد الكتيبة وهي عبارة عن جملة واضحة وصريحة تحدد:</t>
    </r>
  </si>
  <si>
    <r>
      <t xml:space="preserve">أ.   </t>
    </r>
    <r>
      <rPr>
        <u/>
        <sz val="12"/>
        <color rgb="FF000000"/>
        <rFont val="Arial"/>
        <family val="2"/>
      </rPr>
      <t>قصد القائد</t>
    </r>
    <r>
      <rPr>
        <sz val="12"/>
        <color rgb="FF000000"/>
        <rFont val="Arial"/>
        <family val="2"/>
      </rPr>
      <t>.</t>
    </r>
    <r>
      <rPr>
        <b/>
        <sz val="12"/>
        <color rgb="FF000000"/>
        <rFont val="Arial"/>
        <family val="2"/>
      </rPr>
      <t xml:space="preserve">   </t>
    </r>
    <r>
      <rPr>
        <sz val="12"/>
        <color rgb="FF000000"/>
        <rFont val="Arial"/>
        <family val="2"/>
      </rPr>
      <t>(القائد المصدر للأمر) ويقدم من قبل قائد الكتيبة ويشمل:</t>
    </r>
  </si>
  <si>
    <r>
      <t xml:space="preserve">(4)  </t>
    </r>
    <r>
      <rPr>
        <u/>
        <sz val="12"/>
        <color rgb="FF000000"/>
        <rFont val="Arial"/>
        <family val="2"/>
      </rPr>
      <t>قابلية الحركة/ إعاقة العدو</t>
    </r>
    <r>
      <rPr>
        <sz val="12"/>
        <color rgb="FF000000"/>
        <rFont val="Arial"/>
        <family val="2"/>
      </rPr>
      <t>.   (تظهر في حالة عمل الكتيبة في شكل مستقل وتوفر الاسناد الهندسي أو إذا تم إلحاق فصيل هندسة للكتيبة).</t>
    </r>
  </si>
  <si>
    <r>
      <t>12.</t>
    </r>
    <r>
      <rPr>
        <sz val="12"/>
        <color rgb="FF000000"/>
        <rFont val="Times New Roman"/>
        <family val="1"/>
      </rPr>
      <t xml:space="preserve">  </t>
    </r>
    <r>
      <rPr>
        <sz val="12"/>
        <color rgb="FF000000"/>
        <rFont val="Arial"/>
        <family val="2"/>
      </rPr>
      <t>يقدم قائد الكتيبة ملخصاً ويجيب على الأسئلة وضبط الوقت.</t>
    </r>
  </si>
  <si>
    <t>3.   قيام قائد السرية بتحفيز قسم الأمر والتأكد من الجاهزية وفهم تطورات الموقف.</t>
  </si>
  <si>
    <r>
      <t xml:space="preserve">4.   </t>
    </r>
    <r>
      <rPr>
        <b/>
        <u/>
        <sz val="12"/>
        <color rgb="FF000000"/>
        <rFont val="Arial"/>
        <family val="2"/>
      </rPr>
      <t>الموقــــف.</t>
    </r>
    <r>
      <rPr>
        <sz val="12"/>
        <color rgb="FF000000"/>
        <rFont val="Arial"/>
        <family val="2"/>
      </rPr>
      <t xml:space="preserve"> قائد السرية (الآن أوامر) وتحديد منطقة العمليات ومنطقة الاهتمام.</t>
    </r>
  </si>
  <si>
    <r>
      <t xml:space="preserve">جـ.  </t>
    </r>
    <r>
      <rPr>
        <u/>
        <sz val="12"/>
        <color rgb="FF000000"/>
        <rFont val="Arial"/>
        <family val="2"/>
      </rPr>
      <t>تحليل الأرض والطقس</t>
    </r>
    <r>
      <rPr>
        <sz val="12"/>
        <color rgb="FF000000"/>
        <rFont val="Arial"/>
        <family val="2"/>
      </rPr>
      <t>.  من قبل قائد السرية .</t>
    </r>
  </si>
  <si>
    <r>
      <t xml:space="preserve">5.  </t>
    </r>
    <r>
      <rPr>
        <b/>
        <u/>
        <sz val="12"/>
        <color rgb="FF000000"/>
        <rFont val="Arial"/>
        <family val="2"/>
      </rPr>
      <t xml:space="preserve"> قوات العــــــدو</t>
    </r>
    <r>
      <rPr>
        <sz val="12"/>
        <color rgb="FF000000"/>
        <rFont val="Arial"/>
        <family val="2"/>
      </rPr>
      <t>.   تقدم من قبل قائد السرية.</t>
    </r>
  </si>
  <si>
    <r>
      <t xml:space="preserve">6.   </t>
    </r>
    <r>
      <rPr>
        <b/>
        <u/>
        <sz val="12"/>
        <color rgb="FF000000"/>
        <rFont val="Arial"/>
        <family val="2"/>
      </rPr>
      <t>قواتنا</t>
    </r>
    <r>
      <rPr>
        <sz val="12"/>
        <color rgb="FF000000"/>
        <rFont val="Arial"/>
        <family val="2"/>
      </rPr>
      <t>.   تقدم من قبل قائد السرية.</t>
    </r>
  </si>
  <si>
    <r>
      <t xml:space="preserve">ب.  </t>
    </r>
    <r>
      <rPr>
        <u/>
        <sz val="12"/>
        <color rgb="FF000000"/>
        <rFont val="Arial"/>
        <family val="2"/>
      </rPr>
      <t>مفهوم العمليات</t>
    </r>
    <r>
      <rPr>
        <sz val="12"/>
        <color rgb="FF000000"/>
        <rFont val="Arial"/>
        <family val="2"/>
      </rPr>
      <t>. يقدم من قبل قائد السرية ويشمل ما يلي:</t>
    </r>
  </si>
  <si>
    <r>
      <t xml:space="preserve">9.   </t>
    </r>
    <r>
      <rPr>
        <b/>
        <u/>
        <sz val="12"/>
        <color rgb="FF000000"/>
        <rFont val="Arial"/>
        <family val="2"/>
      </rPr>
      <t>تعليمات التنسيق</t>
    </r>
    <r>
      <rPr>
        <sz val="12"/>
        <color rgb="FF000000"/>
        <rFont val="Arial"/>
        <family val="2"/>
      </rPr>
      <t>. تقدم من قبل قائد السرية.</t>
    </r>
  </si>
  <si>
    <r>
      <t>10.</t>
    </r>
    <r>
      <rPr>
        <sz val="12"/>
        <color rgb="FF000000"/>
        <rFont val="Times New Roman"/>
        <family val="1"/>
      </rPr>
      <t xml:space="preserve">  </t>
    </r>
    <r>
      <rPr>
        <b/>
        <u/>
        <sz val="12"/>
        <color rgb="FF000000"/>
        <rFont val="Arial"/>
        <family val="2"/>
      </rPr>
      <t>الإدامة</t>
    </r>
    <r>
      <rPr>
        <b/>
        <sz val="12"/>
        <color rgb="FF000000"/>
        <rFont val="Arial"/>
        <family val="2"/>
      </rPr>
      <t xml:space="preserve">. </t>
    </r>
    <r>
      <rPr>
        <sz val="12"/>
        <color rgb="FF000000"/>
        <rFont val="Arial"/>
        <family val="2"/>
      </rPr>
      <t>تقدم من قبل قائد السرية.</t>
    </r>
  </si>
  <si>
    <r>
      <t>11.</t>
    </r>
    <r>
      <rPr>
        <sz val="12"/>
        <color rgb="FF000000"/>
        <rFont val="Times New Roman"/>
        <family val="1"/>
      </rPr>
      <t xml:space="preserve">  </t>
    </r>
    <r>
      <rPr>
        <b/>
        <u/>
        <sz val="12"/>
        <color rgb="FF000000"/>
        <rFont val="Arial"/>
        <family val="2"/>
      </rPr>
      <t>القيـــادة والسيطرة والاتصـــالات</t>
    </r>
    <r>
      <rPr>
        <b/>
        <sz val="12"/>
        <color rgb="FF000000"/>
        <rFont val="Arial"/>
        <family val="2"/>
      </rPr>
      <t xml:space="preserve">. </t>
    </r>
    <r>
      <rPr>
        <sz val="12"/>
        <color rgb="FF000000"/>
        <rFont val="Arial"/>
        <family val="2"/>
      </rPr>
      <t>تقدم من قبل قائد السرية.</t>
    </r>
  </si>
  <si>
    <t>2.   يقوم قائد السرية بتفقد المشاركين.</t>
  </si>
  <si>
    <r>
      <t>د.   ا</t>
    </r>
    <r>
      <rPr>
        <u/>
        <sz val="12"/>
        <color rgb="FF000000"/>
        <rFont val="Arial"/>
        <family val="2"/>
      </rPr>
      <t>لاعتبارات المدنية</t>
    </r>
    <r>
      <rPr>
        <sz val="12"/>
        <color rgb="FF000000"/>
        <rFont val="Arial"/>
        <family val="2"/>
      </rPr>
      <t>. تقدم من قبل قائد السرية وتشمل: (السكان، نوعية المجتمع، الفئة العمرية الديانة، اللغة، الولاء، التركيبة الاجتماعية) البنية التحتية، (الكهرباء، المياه، الطرق، المواصلات).</t>
    </r>
  </si>
  <si>
    <r>
      <t xml:space="preserve">جـ.  </t>
    </r>
    <r>
      <rPr>
        <u/>
        <sz val="12"/>
        <color rgb="FF000000"/>
        <rFont val="Arial"/>
        <family val="2"/>
      </rPr>
      <t>واجبات الوحدات المرؤوسة</t>
    </r>
    <r>
      <rPr>
        <sz val="12"/>
        <color rgb="FF000000"/>
        <rFont val="Arial"/>
        <family val="2"/>
      </rPr>
      <t>. تقدم من قبل قائد المصدر للأمر ويشمل واجبات الفصائل.</t>
    </r>
  </si>
  <si>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</si>
  <si>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</si>
  <si>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</si>
  <si>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</si>
  <si>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</si>
  <si>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</si>
  <si>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</si>
  <si>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</si>
  <si>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</si>
  <si>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</si>
  <si>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</si>
  <si>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</si>
  <si>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</si>
  <si>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</si>
  <si>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</si>
  <si>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</si>
  <si>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</si>
  <si>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</si>
  <si>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</si>
  <si>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</si>
  <si>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</si>
  <si>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</si>
  <si>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</si>
  <si>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</si>
  <si>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</si>
  <si>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</si>
  <si>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</si>
  <si>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</si>
  <si>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</si>
  <si>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</si>
  <si>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</si>
  <si>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</si>
  <si>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</si>
  <si>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</si>
  <si>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</si>
  <si>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</si>
  <si>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</si>
  <si>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</si>
  <si>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</si>
  <si>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</si>
  <si>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</si>
  <si>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</si>
  <si>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</si>
  <si>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</si>
  <si>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</si>
  <si>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</si>
  <si>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</si>
  <si>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</si>
  <si>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</si>
  <si>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</si>
  <si>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</si>
  <si>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</si>
  <si>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</si>
  <si>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</si>
  <si>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</si>
  <si>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</si>
  <si>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</si>
  <si>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</si>
  <si>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</si>
  <si>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</si>
  <si>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</si>
  <si>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</si>
  <si>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</si>
  <si>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</si>
  <si>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</si>
  <si>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</si>
  <si>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</si>
  <si>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</si>
  <si>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</si>
  <si>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</si>
  <si>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</si>
  <si>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</si>
  <si>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</si>
  <si>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</si>
  <si>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</si>
  <si>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</si>
  <si>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</si>
  <si>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</si>
  <si>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</si>
  <si>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</si>
  <si>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</si>
  <si>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</si>
  <si>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</si>
  <si>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</si>
  <si>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</si>
  <si>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</si>
  <si>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</si>
  <si>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</si>
  <si>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</si>
  <si>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</si>
  <si>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</si>
  <si>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</si>
  <si>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</si>
  <si>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</si>
  <si>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</si>
  <si>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</si>
  <si>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</si>
  <si>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</si>
  <si>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</si>
  <si>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</si>
  <si>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</si>
  <si>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</si>
  <si>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</si>
  <si>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</si>
  <si>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</si>
  <si>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</si>
  <si>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</si>
  <si>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</si>
  <si>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</si>
  <si>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</si>
  <si>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</si>
  <si>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</si>
  <si>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</si>
  <si>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r>
      <t xml:space="preserve">(2)  </t>
    </r>
    <r>
      <rPr>
        <u/>
        <sz val="12"/>
        <color rgb="FF000000"/>
        <rFont val="Arial"/>
        <family val="2"/>
      </rPr>
      <t>المناورة.</t>
    </r>
    <r>
      <rPr>
        <sz val="12"/>
        <color rgb="FF000000"/>
        <rFont val="Arial"/>
        <family val="2"/>
      </rPr>
      <t xml:space="preserve"> يتم ذكر الواجبات الرئيسية لجميع الوحدات مع ذكر الغرض من هذا الواجب</t>
    </r>
  </si>
  <si>
    <t>تقييم أمر عمليات قائد تقييم سرية الإسناد القتالي - العمليات التعرضية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</si>
</sst>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10C0000]d\ mmmm\ yyyy;@"/>
  </numFmts>
  <fonts count="16"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2"/>
      <color rgb="FF000000"/>
      <name val="Arial"/>
      <family val="2"/>
    </font>
    <font>
      <u/>
      <sz val="12"/>
      <color rgb="FF000000"/>
      <name val="Arial"/>
      <family val="2"/>
    </font>
    <font>
      <sz val="12"/>
      <color rgb="FF000000"/>
      <name val="Times New Roman"/>
      <family val="1"/>
    </font>
    <font>
      <sz val="12"/>
      <color theme="1"/>
      <name val="Arial"/>
      <family val="2"/>
    </font>
    <font>
      <b/>
      <sz val="12"/>
      <color theme="1"/>
      <name val="Calibri"/>
      <family val="2"/>
      <scheme val="minor"/>
    </font>
    <font>
      <b/>
      <sz val="12"/>
      <name val="Arial"/>
      <family val="2"/>
    </font>
    <font>
      <b/>
      <sz val="12"/>
      <name val="Calibri"/>
      <family val="2"/>
      <scheme val="minor"/>
    </font>
    <font>
      <sz val="16"/>
      <color theme="1"/>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32">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s>
  <cellStyleXfs count="1">
    <xf numFmtId="0" fontId="0" fillId="0" borderId="0"/>
  </cellStyleXfs>
  <cellXfs count="108">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Alignment="1" applyProtection="1">
      <alignment vertical="center" wrapText="1" readingOrder="2"/>
      <protection locked="0"/>
    </xf>
    <xf numFmtId="0" fontId="1" fillId="0" borderId="0" xfId="0" applyFont="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Alignment="1" applyProtection="1">
      <alignment horizontal="center" vertical="center" wrapText="1" readingOrder="2"/>
      <protection locked="0"/>
    </xf>
    <xf numFmtId="164" fontId="4" fillId="3" borderId="0" xfId="0" applyNumberFormat="1" applyFont="1" applyFill="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0" fontId="2" fillId="0" borderId="3" xfId="0" applyFont="1" applyBorder="1" applyAlignment="1">
      <alignment horizontal="center" vertical="center" wrapText="1"/>
    </xf>
    <xf numFmtId="0" fontId="6" fillId="4" borderId="21"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8" fillId="0" borderId="3" xfId="0" applyFont="1" applyBorder="1" applyAlignment="1">
      <alignment vertical="center" wrapText="1" readingOrder="2"/>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3" fillId="0" borderId="9" xfId="0" applyFont="1" applyBorder="1" applyAlignment="1">
      <alignment horizontal="center" vertical="center" wrapText="1" readingOrder="2"/>
    </xf>
    <xf numFmtId="0" fontId="12" fillId="0" borderId="3" xfId="0" applyFont="1" applyBorder="1" applyAlignment="1">
      <alignment horizontal="center" vertical="center"/>
    </xf>
    <xf numFmtId="0" fontId="12" fillId="0" borderId="31" xfId="0" applyFont="1" applyBorder="1" applyAlignment="1">
      <alignment horizontal="center" vertical="center"/>
    </xf>
    <xf numFmtId="0" fontId="13" fillId="0" borderId="3" xfId="0" applyFont="1" applyBorder="1" applyAlignment="1">
      <alignment horizontal="center" vertical="center"/>
    </xf>
    <xf numFmtId="0" fontId="3" fillId="0" borderId="3" xfId="0" applyFont="1" applyBorder="1" applyAlignment="1">
      <alignment horizontal="center" vertical="center"/>
    </xf>
    <xf numFmtId="0" fontId="14" fillId="0" borderId="3" xfId="0" applyFont="1" applyBorder="1" applyAlignment="1">
      <alignment horizontal="center" vertical="center"/>
    </xf>
    <xf numFmtId="0" fontId="15" fillId="0" borderId="3" xfId="0" applyFont="1" applyBorder="1" applyAlignment="1">
      <alignment horizontal="center" vertical="center"/>
    </xf>
    <xf numFmtId="0" fontId="8" fillId="0" borderId="17" xfId="0" applyFont="1" applyBorder="1" applyAlignment="1">
      <alignment horizontal="right" vertical="center" wrapText="1" indent="4" readingOrder="2"/>
    </xf>
    <xf numFmtId="0" fontId="8" fillId="0" borderId="3" xfId="0" applyFont="1" applyBorder="1" applyAlignment="1">
      <alignment horizontal="right" vertical="center" wrapText="1" indent="4" readingOrder="2"/>
    </xf>
    <xf numFmtId="0" fontId="8" fillId="0" borderId="11" xfId="0" applyFont="1" applyBorder="1" applyAlignment="1">
      <alignment horizontal="right" vertical="center" wrapText="1" indent="4" readingOrder="2"/>
    </xf>
    <xf numFmtId="0" fontId="8" fillId="0" borderId="12" xfId="0" applyFont="1" applyBorder="1" applyAlignment="1">
      <alignment horizontal="right" vertical="center" wrapText="1" indent="4" readingOrder="2"/>
    </xf>
    <xf numFmtId="0" fontId="8" fillId="0" borderId="8" xfId="0" applyFont="1" applyBorder="1" applyAlignment="1">
      <alignment horizontal="right" vertical="center" wrapText="1" readingOrder="2"/>
    </xf>
    <xf numFmtId="0" fontId="8" fillId="0" borderId="9" xfId="0" applyFont="1" applyBorder="1" applyAlignment="1">
      <alignment horizontal="right" vertical="center" wrapText="1" readingOrder="2"/>
    </xf>
    <xf numFmtId="0" fontId="8" fillId="0" borderId="18" xfId="0" applyFont="1" applyBorder="1" applyAlignment="1">
      <alignment horizontal="right" vertical="center" wrapText="1" indent="2" readingOrder="2"/>
    </xf>
    <xf numFmtId="0" fontId="8" fillId="0" borderId="19" xfId="0" applyFont="1" applyBorder="1" applyAlignment="1">
      <alignment horizontal="right" vertical="center" wrapText="1" indent="2" readingOrder="2"/>
    </xf>
    <xf numFmtId="0" fontId="8" fillId="0" borderId="23" xfId="0" applyFont="1" applyBorder="1" applyAlignment="1">
      <alignment horizontal="right" vertical="center" wrapText="1" indent="2" readingOrder="2"/>
    </xf>
    <xf numFmtId="0" fontId="8" fillId="0" borderId="24" xfId="0" applyFont="1" applyBorder="1" applyAlignment="1">
      <alignment horizontal="right" vertical="center" wrapText="1" readingOrder="2"/>
    </xf>
    <xf numFmtId="0" fontId="8" fillId="0" borderId="25" xfId="0" applyFont="1" applyBorder="1" applyAlignment="1">
      <alignment horizontal="right" vertical="center" wrapText="1" readingOrder="2"/>
    </xf>
    <xf numFmtId="0" fontId="8" fillId="0" borderId="26" xfId="0" applyFont="1" applyBorder="1" applyAlignment="1">
      <alignment horizontal="right" vertical="center" wrapText="1" readingOrder="2"/>
    </xf>
    <xf numFmtId="0" fontId="11" fillId="0" borderId="17" xfId="0" applyFont="1" applyBorder="1" applyAlignment="1">
      <alignment horizontal="right" vertical="center" wrapText="1" indent="4" readingOrder="2"/>
    </xf>
    <xf numFmtId="0" fontId="11" fillId="0" borderId="3" xfId="0" applyFont="1" applyBorder="1" applyAlignment="1">
      <alignment horizontal="right" vertical="center" wrapText="1" indent="4" readingOrder="2"/>
    </xf>
    <xf numFmtId="0" fontId="11" fillId="0" borderId="11" xfId="0" applyFont="1" applyBorder="1" applyAlignment="1">
      <alignment horizontal="right" vertical="center" wrapText="1" indent="4" readingOrder="2"/>
    </xf>
    <xf numFmtId="0" fontId="11" fillId="0" borderId="12" xfId="0" applyFont="1" applyBorder="1" applyAlignment="1">
      <alignment horizontal="right" vertical="center" wrapText="1" indent="4" readingOrder="2"/>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8" fillId="0" borderId="17" xfId="0" applyFont="1" applyBorder="1" applyAlignment="1">
      <alignment horizontal="right" vertical="center" wrapText="1" indent="6" readingOrder="2"/>
    </xf>
    <xf numFmtId="0" fontId="8" fillId="0" borderId="3" xfId="0" applyFont="1" applyBorder="1" applyAlignment="1">
      <alignment horizontal="right" vertical="center" wrapText="1" indent="6" readingOrder="2"/>
    </xf>
    <xf numFmtId="0" fontId="8" fillId="0" borderId="18" xfId="0" applyFont="1" applyBorder="1" applyAlignment="1">
      <alignment horizontal="right" vertical="center" wrapText="1" indent="4" readingOrder="2"/>
    </xf>
    <xf numFmtId="0" fontId="8" fillId="0" borderId="19" xfId="0" applyFont="1" applyBorder="1" applyAlignment="1">
      <alignment horizontal="right" vertical="center" wrapText="1" indent="4" readingOrder="2"/>
    </xf>
    <xf numFmtId="0" fontId="8" fillId="0" borderId="23" xfId="0" applyFont="1" applyBorder="1" applyAlignment="1">
      <alignment horizontal="right" vertical="center" wrapText="1" indent="4" readingOrder="2"/>
    </xf>
    <xf numFmtId="0" fontId="8" fillId="0" borderId="17" xfId="0" applyFont="1" applyBorder="1" applyAlignment="1">
      <alignment horizontal="right" vertical="center" wrapText="1" indent="3" readingOrder="2"/>
    </xf>
    <xf numFmtId="0" fontId="8" fillId="0" borderId="3" xfId="0" applyFont="1" applyBorder="1" applyAlignment="1">
      <alignment horizontal="right" vertical="center" wrapText="1" indent="3" readingOrder="2"/>
    </xf>
    <xf numFmtId="0" fontId="8" fillId="0" borderId="17" xfId="0" applyFont="1" applyBorder="1" applyAlignment="1">
      <alignment horizontal="right" vertical="center" wrapText="1" indent="2" readingOrder="2"/>
    </xf>
    <xf numFmtId="0" fontId="8" fillId="0" borderId="3" xfId="0" applyFont="1" applyBorder="1" applyAlignment="1">
      <alignment horizontal="right" vertical="center" wrapText="1" indent="2" readingOrder="2"/>
    </xf>
    <xf numFmtId="0" fontId="8" fillId="0" borderId="11" xfId="0" applyFont="1" applyBorder="1" applyAlignment="1">
      <alignment horizontal="right" vertical="center" wrapText="1" indent="2" readingOrder="2"/>
    </xf>
    <xf numFmtId="0" fontId="8" fillId="0" borderId="12" xfId="0" applyFont="1" applyBorder="1" applyAlignment="1">
      <alignment horizontal="right" vertical="center" wrapText="1" indent="2" readingOrder="2"/>
    </xf>
    <xf numFmtId="0" fontId="11" fillId="0" borderId="27" xfId="0" applyFont="1" applyBorder="1" applyAlignment="1" applyProtection="1">
      <alignment horizontal="center" vertical="center" wrapText="1" readingOrder="2"/>
      <protection locked="0"/>
    </xf>
    <xf numFmtId="0" fontId="11" fillId="0" borderId="28" xfId="0" applyFont="1" applyBorder="1" applyAlignment="1" applyProtection="1">
      <alignment horizontal="center" vertical="center" wrapText="1" readingOrder="2"/>
      <protection locked="0"/>
    </xf>
    <xf numFmtId="0" fontId="11" fillId="0" borderId="29" xfId="0" applyFont="1" applyBorder="1" applyAlignment="1" applyProtection="1">
      <alignment horizontal="center" vertical="center" wrapText="1" readingOrder="2"/>
      <protection locked="0"/>
    </xf>
    <xf numFmtId="0" fontId="11" fillId="0" borderId="30" xfId="0" applyFont="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Alignment="1" applyProtection="1">
      <alignment vertical="top"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6" fillId="0" borderId="0" xfId="0" applyFont="1" applyAlignment="1" applyProtection="1">
      <alignment horizontal="left" vertical="top"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20" xfId="0" applyFont="1" applyFill="1" applyBorder="1" applyAlignment="1" applyProtection="1">
      <alignment horizontal="center" vertical="center" wrapText="1" readingOrder="2"/>
      <protection locked="0"/>
    </xf>
    <xf numFmtId="0" fontId="7" fillId="4" borderId="21" xfId="0" applyFont="1" applyFill="1" applyBorder="1" applyAlignment="1" applyProtection="1">
      <alignment horizontal="center" vertical="center" wrapText="1" readingOrder="2"/>
      <protection locked="0"/>
    </xf>
    <xf numFmtId="0" fontId="6" fillId="4" borderId="21" xfId="0" applyFont="1" applyFill="1" applyBorder="1" applyAlignment="1" applyProtection="1">
      <alignment horizontal="center" vertical="center" wrapText="1" readingOrder="2"/>
      <protection locked="0"/>
    </xf>
    <xf numFmtId="0" fontId="6" fillId="4" borderId="22" xfId="0" applyFont="1" applyFill="1" applyBorder="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49" fontId="5" fillId="0" borderId="0" xfId="0" applyNumberFormat="1" applyFont="1" applyAlignment="1" applyProtection="1">
      <alignment horizontal="center" vertical="center" wrapText="1" readingOrder="2"/>
      <protection locked="0"/>
    </xf>
    <xf numFmtId="49" fontId="5" fillId="0" borderId="0" xfId="0" applyNumberFormat="1" applyFont="1" applyAlignment="1" applyProtection="1">
      <alignment horizontal="center" vertical="center" readingOrder="2"/>
      <protection locked="0"/>
    </xf>
  </cellXfs>
  <cellStyles count="1">
    <cellStyle name="Normal" xfId="0" builtinId="0"/>
  </cellStyles>
  <dxfs count="24">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J97"/>
  <sheetViews>
    <sheetView rightToLeft="1" tabSelected="1" view="pageBreakPreview" zoomScale="130" zoomScaleNormal="100" zoomScaleSheetLayoutView="130" workbookViewId="0">
      <selection activeCell="B1" sqref="B1:J1"/>
    </sheetView>
  </sheetViews>
  <sheetFormatPr defaultColWidth="9" defaultRowHeight="15" x14ac:dyDescent="0.25"/>
  <cols>
    <col min="1" max="1" width="5.140625" style="1" customWidth="1"/>
    <col min="2" max="2" width="12.140625" style="1" customWidth="1"/>
    <col min="3" max="3" width="9" style="1"/>
    <col min="4" max="4" width="28.140625" style="1" customWidth="1"/>
    <col min="5" max="7" width="9.28515625" style="1" customWidth="1"/>
    <col min="8" max="8" width="9.28515625" style="3" customWidth="1"/>
    <col min="9" max="9" width="9.28515625" style="1" customWidth="1"/>
    <col min="10" max="10" width="15.42578125" style="1" customWidth="1"/>
    <col min="11" max="16384" width="9" style="1"/>
  </cols>
  <sheetData>
    <row r="1" spans="1:10" ht="45" customHeight="1" x14ac:dyDescent="0.25">
      <c r="B1" s="106" t="s">
        <v>263</v>
      </c>
      <c r="C1" s="107"/>
      <c r="D1" s="107"/>
      <c r="E1" s="107"/>
      <c r="F1" s="107"/>
      <c r="G1" s="107"/>
      <c r="H1" s="107"/>
      <c r="I1" s="107"/>
      <c r="J1" s="107"/>
    </row>
    <row r="2" spans="1:10" ht="30" customHeight="1" x14ac:dyDescent="0.25">
      <c r="B2" s="13" t="s">
        <v>8</v>
      </c>
      <c r="C2" s="100" t="s">
        <v>57</v>
      </c>
      <c r="D2" s="100"/>
      <c r="E2" s="13" t="s">
        <v>7</v>
      </c>
      <c r="F2" s="95" t="s">
        <v>56</v>
      </c>
      <c r="G2" s="95"/>
      <c r="H2" s="95"/>
      <c r="I2" s="95"/>
      <c r="J2" s="95"/>
    </row>
    <row r="3" spans="1:10" ht="30" customHeight="1" x14ac:dyDescent="0.25">
      <c r="B3" s="13" t="s">
        <v>9</v>
      </c>
      <c r="C3" s="100" t="s">
        <v>60</v>
      </c>
      <c r="D3" s="100"/>
      <c r="E3" s="13" t="s">
        <v>6</v>
      </c>
      <c r="F3" s="100" t="s">
        <v>59</v>
      </c>
      <c r="G3" s="100"/>
      <c r="H3" s="100"/>
      <c r="I3" s="100"/>
      <c r="J3" s="100"/>
    </row>
    <row r="4" spans="1:10" ht="30" customHeight="1" thickBot="1" x14ac:dyDescent="0.3">
      <c r="B4" s="6"/>
      <c r="C4" s="7"/>
      <c r="D4" s="7"/>
      <c r="E4" s="6"/>
      <c r="F4" s="7"/>
      <c r="G4" s="7"/>
      <c r="H4" s="8"/>
      <c r="I4" s="7"/>
      <c r="J4" s="7"/>
    </row>
    <row r="5" spans="1:10" ht="24.95" customHeight="1" x14ac:dyDescent="0.25">
      <c r="A5" s="11"/>
      <c r="B5" s="96" t="s">
        <v>0</v>
      </c>
      <c r="C5" s="97"/>
      <c r="D5" s="97"/>
      <c r="E5" s="101" t="s">
        <v>1</v>
      </c>
      <c r="F5" s="101"/>
      <c r="G5" s="101"/>
      <c r="H5" s="101"/>
      <c r="I5" s="101" t="s">
        <v>2</v>
      </c>
      <c r="J5" s="102"/>
    </row>
    <row r="6" spans="1:10" ht="24.95" customHeight="1" thickBot="1" x14ac:dyDescent="0.3">
      <c r="A6" s="11"/>
      <c r="B6" s="98"/>
      <c r="C6" s="99"/>
      <c r="D6" s="99"/>
      <c r="E6" s="12" t="s">
        <v>3</v>
      </c>
      <c r="F6" s="12" t="s">
        <v>4</v>
      </c>
      <c r="G6" s="12" t="s">
        <v>23</v>
      </c>
      <c r="H6" s="12" t="s">
        <v>24</v>
      </c>
      <c r="I6" s="103"/>
      <c r="J6" s="104"/>
    </row>
    <row r="7" spans="1:10" ht="24.95" customHeight="1" thickBot="1" x14ac:dyDescent="0.3">
      <c r="A7" s="11"/>
      <c r="B7" s="91" t="s">
        <v>21</v>
      </c>
      <c r="C7" s="92"/>
      <c r="D7" s="92"/>
      <c r="E7" s="25" t="s">
        <v>18</v>
      </c>
      <c r="F7" s="25" t="s">
        <v>19</v>
      </c>
      <c r="G7" s="25" t="s">
        <v>22</v>
      </c>
      <c r="H7" s="25" t="s">
        <v>20</v>
      </c>
      <c r="I7" s="93" t="s">
        <v>25</v>
      </c>
      <c r="J7" s="94"/>
    </row>
    <row r="8" spans="1:10" ht="30" customHeight="1" thickBot="1" x14ac:dyDescent="0.3">
      <c r="A8" s="11"/>
      <c r="B8" s="44" t="s">
        <v>63</v>
      </c>
      <c r="C8" s="45"/>
      <c r="D8" s="45"/>
      <c r="E8" s="33">
        <v>5</v>
      </c>
      <c r="F8" s="31" t="s">
        <v>62</v>
      </c>
      <c r="G8" s="32" t="str">
        <f>IFERROR(F8/E8,"")</f>
        <v/>
      </c>
      <c r="H8" s="22" t="str">
        <f>_xlfn.IFS(F8="أدخل العلامة","",F8="لا ينطبق","تم الإلغاء",G8&gt;=90%,"ممتاز",G8&gt;=80%,"جيد جداً",G8&gt;=70%,"جيد",G8&gt;=60%,"مقبول",G8&lt;60%,"راسب")</f>
        <v/>
      </c>
      <c r="I8" s="87"/>
      <c r="J8" s="88"/>
    </row>
    <row r="9" spans="1:10" ht="30" customHeight="1" thickBot="1" x14ac:dyDescent="0.3">
      <c r="A9" s="11"/>
      <c r="B9" s="44" t="s">
        <v>146</v>
      </c>
      <c r="C9" s="45"/>
      <c r="D9" s="45"/>
      <c r="E9" s="33">
        <v>5</v>
      </c>
      <c r="F9" s="31" t="s">
        <v>62</v>
      </c>
      <c r="G9" s="32" t="str">
        <f>IFERROR(F9/E9,"")</f>
        <v/>
      </c>
      <c r="H9" s="22" t="str">
        <f>_xlfn.IFS(F9="أدخل العلامة","",F9="لا ينطبق","تم الإلغاء",G9&gt;=90%,"ممتاز",G9&gt;=80%,"جيد جداً",G9&gt;=70%,"جيد",G9&gt;=60%,"مقبول",G9&lt;60%,"راسب")</f>
        <v/>
      </c>
      <c r="I9" s="87"/>
      <c r="J9" s="88"/>
    </row>
    <row r="10" spans="1:10" ht="39.950000000000003" customHeight="1" thickBot="1" x14ac:dyDescent="0.3">
      <c r="A10" s="11"/>
      <c r="B10" s="44" t="s">
        <v>137</v>
      </c>
      <c r="C10" s="45"/>
      <c r="D10" s="45"/>
      <c r="E10" s="33">
        <v>5</v>
      </c>
      <c r="F10" s="31" t="s">
        <v>62</v>
      </c>
      <c r="G10" s="32" t="str">
        <f t="shared" ref="G10:G52" si="0">IFERROR(F10/E10,"")</f>
        <v/>
      </c>
      <c r="H10" s="22" t="str">
        <f t="shared" ref="H10:H52" si="1">_xlfn.IFS(F10="أدخل العلامة","",F10="لا ينطبق","تم الإلغاء",G10&gt;=90%,"ممتاز",G10&gt;=80%,"جيد جداً",G10&gt;=70%,"جيد",G10&gt;=60%,"مقبول",G10&lt;60%,"راسب")</f>
        <v/>
      </c>
      <c r="I10" s="87"/>
      <c r="J10" s="88"/>
    </row>
    <row r="11" spans="1:10" ht="30" customHeight="1" x14ac:dyDescent="0.25">
      <c r="A11" s="11"/>
      <c r="B11" s="49" t="s">
        <v>138</v>
      </c>
      <c r="C11" s="50"/>
      <c r="D11" s="50"/>
      <c r="E11" s="50"/>
      <c r="F11" s="50"/>
      <c r="G11" s="50"/>
      <c r="H11" s="50"/>
      <c r="I11" s="50"/>
      <c r="J11" s="51"/>
    </row>
    <row r="12" spans="1:10" ht="30" customHeight="1" x14ac:dyDescent="0.25">
      <c r="A12" s="11"/>
      <c r="B12" s="67" t="s">
        <v>64</v>
      </c>
      <c r="C12" s="68"/>
      <c r="D12" s="68"/>
      <c r="E12" s="9">
        <v>5</v>
      </c>
      <c r="F12" s="20" t="s">
        <v>62</v>
      </c>
      <c r="G12" s="26" t="str">
        <f t="shared" si="0"/>
        <v/>
      </c>
      <c r="H12" s="27" t="str">
        <f t="shared" si="1"/>
        <v/>
      </c>
      <c r="I12" s="56"/>
      <c r="J12" s="57"/>
    </row>
    <row r="13" spans="1:10" ht="30" customHeight="1" x14ac:dyDescent="0.25">
      <c r="A13" s="11"/>
      <c r="B13" s="67" t="s">
        <v>65</v>
      </c>
      <c r="C13" s="68"/>
      <c r="D13" s="68"/>
      <c r="E13" s="9">
        <v>5</v>
      </c>
      <c r="F13" s="20" t="s">
        <v>62</v>
      </c>
      <c r="G13" s="26" t="str">
        <f t="shared" si="0"/>
        <v/>
      </c>
      <c r="H13" s="27" t="str">
        <f t="shared" si="1"/>
        <v/>
      </c>
      <c r="I13" s="56"/>
      <c r="J13" s="57"/>
    </row>
    <row r="14" spans="1:10" ht="30" customHeight="1" x14ac:dyDescent="0.25">
      <c r="A14" s="11"/>
      <c r="B14" s="67" t="s">
        <v>139</v>
      </c>
      <c r="C14" s="68"/>
      <c r="D14" s="68"/>
      <c r="E14" s="9">
        <v>5</v>
      </c>
      <c r="F14" s="20" t="s">
        <v>62</v>
      </c>
      <c r="G14" s="26" t="str">
        <f t="shared" si="0"/>
        <v/>
      </c>
      <c r="H14" s="27" t="str">
        <f t="shared" si="1"/>
        <v/>
      </c>
      <c r="I14" s="71" t="s">
        <v>131</v>
      </c>
      <c r="J14" s="72"/>
    </row>
    <row r="15" spans="1:10" ht="66.599999999999994" customHeight="1" thickBot="1" x14ac:dyDescent="0.3">
      <c r="A15" s="11"/>
      <c r="B15" s="69" t="s">
        <v>147</v>
      </c>
      <c r="C15" s="70"/>
      <c r="D15" s="70"/>
      <c r="E15" s="23">
        <v>5</v>
      </c>
      <c r="F15" s="21" t="s">
        <v>62</v>
      </c>
      <c r="G15" s="28" t="str">
        <f t="shared" si="0"/>
        <v/>
      </c>
      <c r="H15" s="29" t="str">
        <f t="shared" si="1"/>
        <v/>
      </c>
      <c r="I15" s="73"/>
      <c r="J15" s="74"/>
    </row>
    <row r="16" spans="1:10" ht="30" customHeight="1" x14ac:dyDescent="0.25">
      <c r="A16" s="11"/>
      <c r="B16" s="49" t="s">
        <v>140</v>
      </c>
      <c r="C16" s="50"/>
      <c r="D16" s="50"/>
      <c r="E16" s="50"/>
      <c r="F16" s="50"/>
      <c r="G16" s="50"/>
      <c r="H16" s="50"/>
      <c r="I16" s="50"/>
      <c r="J16" s="51"/>
    </row>
    <row r="17" spans="1:10" ht="30" customHeight="1" x14ac:dyDescent="0.25">
      <c r="A17" s="11"/>
      <c r="B17" s="67" t="s">
        <v>66</v>
      </c>
      <c r="C17" s="68"/>
      <c r="D17" s="68"/>
      <c r="E17" s="9">
        <v>15</v>
      </c>
      <c r="F17" s="20" t="s">
        <v>62</v>
      </c>
      <c r="G17" s="26" t="str">
        <f t="shared" si="0"/>
        <v/>
      </c>
      <c r="H17" s="27" t="str">
        <f t="shared" si="1"/>
        <v/>
      </c>
      <c r="I17" s="56"/>
      <c r="J17" s="57"/>
    </row>
    <row r="18" spans="1:10" ht="30" customHeight="1" x14ac:dyDescent="0.25">
      <c r="A18" s="11"/>
      <c r="B18" s="67" t="s">
        <v>67</v>
      </c>
      <c r="C18" s="68"/>
      <c r="D18" s="68"/>
      <c r="E18" s="9">
        <v>5</v>
      </c>
      <c r="F18" s="20" t="s">
        <v>62</v>
      </c>
      <c r="G18" s="26" t="str">
        <f t="shared" si="0"/>
        <v/>
      </c>
      <c r="H18" s="27" t="str">
        <f t="shared" si="1"/>
        <v/>
      </c>
      <c r="I18" s="56"/>
      <c r="J18" s="57"/>
    </row>
    <row r="19" spans="1:10" ht="30" customHeight="1" x14ac:dyDescent="0.25">
      <c r="A19" s="11"/>
      <c r="B19" s="67" t="s">
        <v>68</v>
      </c>
      <c r="C19" s="68"/>
      <c r="D19" s="68"/>
      <c r="E19" s="9">
        <v>5</v>
      </c>
      <c r="F19" s="20" t="s">
        <v>62</v>
      </c>
      <c r="G19" s="26" t="str">
        <f t="shared" si="0"/>
        <v/>
      </c>
      <c r="H19" s="27" t="str">
        <f t="shared" si="1"/>
        <v/>
      </c>
      <c r="I19" s="56"/>
      <c r="J19" s="57"/>
    </row>
    <row r="20" spans="1:10" ht="30" customHeight="1" x14ac:dyDescent="0.25">
      <c r="A20" s="11"/>
      <c r="B20" s="67" t="s">
        <v>69</v>
      </c>
      <c r="C20" s="68"/>
      <c r="D20" s="68"/>
      <c r="E20" s="9">
        <v>5</v>
      </c>
      <c r="F20" s="20" t="s">
        <v>62</v>
      </c>
      <c r="G20" s="26" t="str">
        <f t="shared" si="0"/>
        <v/>
      </c>
      <c r="H20" s="27" t="str">
        <f t="shared" si="1"/>
        <v/>
      </c>
      <c r="I20" s="56"/>
      <c r="J20" s="57"/>
    </row>
    <row r="21" spans="1:10" ht="30" customHeight="1" x14ac:dyDescent="0.25">
      <c r="A21" s="11"/>
      <c r="B21" s="67" t="s">
        <v>70</v>
      </c>
      <c r="C21" s="68"/>
      <c r="D21" s="68"/>
      <c r="E21" s="9">
        <v>5</v>
      </c>
      <c r="F21" s="20" t="s">
        <v>62</v>
      </c>
      <c r="G21" s="26" t="str">
        <f t="shared" si="0"/>
        <v/>
      </c>
      <c r="H21" s="27" t="str">
        <f t="shared" si="1"/>
        <v/>
      </c>
      <c r="I21" s="56"/>
      <c r="J21" s="57"/>
    </row>
    <row r="22" spans="1:10" ht="30" customHeight="1" x14ac:dyDescent="0.25">
      <c r="A22" s="11"/>
      <c r="B22" s="67" t="s">
        <v>71</v>
      </c>
      <c r="C22" s="68"/>
      <c r="D22" s="68"/>
      <c r="E22" s="9">
        <v>5</v>
      </c>
      <c r="F22" s="20" t="s">
        <v>62</v>
      </c>
      <c r="G22" s="26" t="str">
        <f t="shared" si="0"/>
        <v/>
      </c>
      <c r="H22" s="27" t="str">
        <f t="shared" si="1"/>
        <v/>
      </c>
      <c r="I22" s="56"/>
      <c r="J22" s="57"/>
    </row>
    <row r="23" spans="1:10" ht="30" customHeight="1" x14ac:dyDescent="0.25">
      <c r="A23" s="11"/>
      <c r="B23" s="67" t="s">
        <v>72</v>
      </c>
      <c r="C23" s="68"/>
      <c r="D23" s="68"/>
      <c r="E23" s="24">
        <v>5</v>
      </c>
      <c r="F23" s="20" t="s">
        <v>62</v>
      </c>
      <c r="G23" s="26" t="str">
        <f t="shared" si="0"/>
        <v/>
      </c>
      <c r="H23" s="27" t="str">
        <f t="shared" si="1"/>
        <v/>
      </c>
      <c r="I23" s="56"/>
      <c r="J23" s="57"/>
    </row>
    <row r="24" spans="1:10" ht="30" customHeight="1" x14ac:dyDescent="0.25">
      <c r="A24" s="11"/>
      <c r="B24" s="67" t="s">
        <v>73</v>
      </c>
      <c r="C24" s="68"/>
      <c r="D24" s="68"/>
      <c r="E24" s="24">
        <v>5</v>
      </c>
      <c r="F24" s="20" t="s">
        <v>62</v>
      </c>
      <c r="G24" s="26" t="str">
        <f t="shared" si="0"/>
        <v/>
      </c>
      <c r="H24" s="27" t="str">
        <f t="shared" si="1"/>
        <v/>
      </c>
      <c r="I24" s="56"/>
      <c r="J24" s="57"/>
    </row>
    <row r="25" spans="1:10" ht="30" customHeight="1" x14ac:dyDescent="0.25">
      <c r="A25" s="11"/>
      <c r="B25" s="67" t="s">
        <v>74</v>
      </c>
      <c r="C25" s="68"/>
      <c r="D25" s="68"/>
      <c r="E25" s="9">
        <v>5</v>
      </c>
      <c r="F25" s="20" t="s">
        <v>62</v>
      </c>
      <c r="G25" s="26" t="str">
        <f t="shared" si="0"/>
        <v/>
      </c>
      <c r="H25" s="27" t="str">
        <f t="shared" si="1"/>
        <v/>
      </c>
      <c r="I25" s="56"/>
      <c r="J25" s="57"/>
    </row>
    <row r="26" spans="1:10" ht="30" customHeight="1" thickBot="1" x14ac:dyDescent="0.3">
      <c r="A26" s="11"/>
      <c r="B26" s="67" t="s">
        <v>75</v>
      </c>
      <c r="C26" s="68"/>
      <c r="D26" s="68"/>
      <c r="E26" s="9">
        <v>10</v>
      </c>
      <c r="F26" s="20" t="s">
        <v>62</v>
      </c>
      <c r="G26" s="26" t="str">
        <f t="shared" si="0"/>
        <v/>
      </c>
      <c r="H26" s="27" t="str">
        <f t="shared" si="1"/>
        <v/>
      </c>
      <c r="I26" s="56"/>
      <c r="J26" s="57"/>
    </row>
    <row r="27" spans="1:10" ht="30" customHeight="1" x14ac:dyDescent="0.25">
      <c r="A27" s="11"/>
      <c r="B27" s="49" t="s">
        <v>141</v>
      </c>
      <c r="C27" s="50"/>
      <c r="D27" s="50"/>
      <c r="E27" s="50"/>
      <c r="F27" s="50"/>
      <c r="G27" s="50"/>
      <c r="H27" s="50"/>
      <c r="I27" s="50"/>
      <c r="J27" s="51"/>
    </row>
    <row r="28" spans="1:10" ht="30" customHeight="1" x14ac:dyDescent="0.25">
      <c r="A28" s="11"/>
      <c r="B28" s="67" t="s">
        <v>76</v>
      </c>
      <c r="C28" s="68"/>
      <c r="D28" s="68"/>
      <c r="E28" s="9">
        <v>5</v>
      </c>
      <c r="F28" s="20" t="s">
        <v>62</v>
      </c>
      <c r="G28" s="26" t="str">
        <f t="shared" si="0"/>
        <v/>
      </c>
      <c r="H28" s="27" t="str">
        <f t="shared" si="1"/>
        <v/>
      </c>
      <c r="I28" s="56"/>
      <c r="J28" s="57"/>
    </row>
    <row r="29" spans="1:10" ht="30" customHeight="1" x14ac:dyDescent="0.25">
      <c r="A29" s="11"/>
      <c r="B29" s="67" t="s">
        <v>77</v>
      </c>
      <c r="C29" s="68"/>
      <c r="D29" s="68"/>
      <c r="E29" s="9">
        <v>5</v>
      </c>
      <c r="F29" s="20" t="s">
        <v>62</v>
      </c>
      <c r="G29" s="26" t="str">
        <f t="shared" si="0"/>
        <v/>
      </c>
      <c r="H29" s="27" t="str">
        <f t="shared" si="1"/>
        <v/>
      </c>
      <c r="I29" s="56"/>
      <c r="J29" s="57"/>
    </row>
    <row r="30" spans="1:10" ht="30" customHeight="1" x14ac:dyDescent="0.25">
      <c r="A30" s="11"/>
      <c r="B30" s="67" t="s">
        <v>78</v>
      </c>
      <c r="C30" s="68"/>
      <c r="D30" s="68"/>
      <c r="E30" s="9">
        <v>5</v>
      </c>
      <c r="F30" s="20" t="s">
        <v>62</v>
      </c>
      <c r="G30" s="26" t="str">
        <f t="shared" si="0"/>
        <v/>
      </c>
      <c r="H30" s="27" t="str">
        <f t="shared" si="1"/>
        <v/>
      </c>
      <c r="I30" s="56"/>
      <c r="J30" s="57"/>
    </row>
    <row r="31" spans="1:10" ht="39.950000000000003" customHeight="1" x14ac:dyDescent="0.25">
      <c r="A31" s="11"/>
      <c r="B31" s="67" t="s">
        <v>79</v>
      </c>
      <c r="C31" s="68"/>
      <c r="D31" s="68"/>
      <c r="E31" s="9">
        <v>5</v>
      </c>
      <c r="F31" s="20" t="s">
        <v>62</v>
      </c>
      <c r="G31" s="26" t="str">
        <f t="shared" si="0"/>
        <v/>
      </c>
      <c r="H31" s="27" t="str">
        <f t="shared" si="1"/>
        <v/>
      </c>
      <c r="I31" s="56"/>
      <c r="J31" s="57"/>
    </row>
    <row r="32" spans="1:10" ht="30" customHeight="1" x14ac:dyDescent="0.25">
      <c r="A32" s="11"/>
      <c r="B32" s="67" t="s">
        <v>80</v>
      </c>
      <c r="C32" s="68"/>
      <c r="D32" s="68"/>
      <c r="E32" s="9">
        <v>5</v>
      </c>
      <c r="F32" s="20" t="s">
        <v>62</v>
      </c>
      <c r="G32" s="26" t="str">
        <f t="shared" si="0"/>
        <v/>
      </c>
      <c r="H32" s="27" t="str">
        <f t="shared" si="1"/>
        <v/>
      </c>
      <c r="I32" s="56"/>
      <c r="J32" s="57"/>
    </row>
    <row r="33" spans="1:10" ht="39.950000000000003" customHeight="1" thickBot="1" x14ac:dyDescent="0.3">
      <c r="A33" s="11"/>
      <c r="B33" s="69" t="s">
        <v>81</v>
      </c>
      <c r="C33" s="70"/>
      <c r="D33" s="70"/>
      <c r="E33" s="23">
        <v>5</v>
      </c>
      <c r="F33" s="21" t="s">
        <v>62</v>
      </c>
      <c r="G33" s="28" t="str">
        <f t="shared" si="0"/>
        <v/>
      </c>
      <c r="H33" s="29" t="str">
        <f t="shared" si="1"/>
        <v/>
      </c>
      <c r="I33" s="58"/>
      <c r="J33" s="59"/>
    </row>
    <row r="34" spans="1:10" ht="30" customHeight="1" x14ac:dyDescent="0.25">
      <c r="A34" s="11"/>
      <c r="B34" s="49" t="s">
        <v>133</v>
      </c>
      <c r="C34" s="50"/>
      <c r="D34" s="50"/>
      <c r="E34" s="50"/>
      <c r="F34" s="50"/>
      <c r="G34" s="50"/>
      <c r="H34" s="50"/>
      <c r="I34" s="50"/>
      <c r="J34" s="51"/>
    </row>
    <row r="35" spans="1:10" ht="30" customHeight="1" x14ac:dyDescent="0.25">
      <c r="A35" s="11"/>
      <c r="B35" s="67" t="s">
        <v>82</v>
      </c>
      <c r="C35" s="68"/>
      <c r="D35" s="68"/>
      <c r="E35" s="9">
        <v>5</v>
      </c>
      <c r="F35" s="20" t="s">
        <v>62</v>
      </c>
      <c r="G35" s="26" t="str">
        <f t="shared" si="0"/>
        <v/>
      </c>
      <c r="H35" s="27" t="str">
        <f t="shared" si="1"/>
        <v/>
      </c>
      <c r="I35" s="56"/>
      <c r="J35" s="57"/>
    </row>
    <row r="36" spans="1:10" ht="30" customHeight="1" x14ac:dyDescent="0.25">
      <c r="A36" s="11"/>
      <c r="B36" s="67" t="s">
        <v>83</v>
      </c>
      <c r="C36" s="68"/>
      <c r="D36" s="68"/>
      <c r="E36" s="9">
        <v>5</v>
      </c>
      <c r="F36" s="20" t="s">
        <v>62</v>
      </c>
      <c r="G36" s="26" t="str">
        <f t="shared" si="0"/>
        <v/>
      </c>
      <c r="H36" s="27" t="str">
        <f t="shared" si="1"/>
        <v/>
      </c>
      <c r="I36" s="56"/>
      <c r="J36" s="57"/>
    </row>
    <row r="37" spans="1:10" ht="30" customHeight="1" x14ac:dyDescent="0.25">
      <c r="A37" s="11"/>
      <c r="B37" s="67" t="s">
        <v>84</v>
      </c>
      <c r="C37" s="68"/>
      <c r="D37" s="68"/>
      <c r="E37" s="9">
        <v>5</v>
      </c>
      <c r="F37" s="20" t="s">
        <v>62</v>
      </c>
      <c r="G37" s="26" t="str">
        <f t="shared" si="0"/>
        <v/>
      </c>
      <c r="H37" s="27" t="str">
        <f t="shared" si="1"/>
        <v/>
      </c>
      <c r="I37" s="56"/>
      <c r="J37" s="57"/>
    </row>
    <row r="38" spans="1:10" ht="30" customHeight="1" x14ac:dyDescent="0.25">
      <c r="A38" s="11"/>
      <c r="B38" s="67" t="s">
        <v>85</v>
      </c>
      <c r="C38" s="68"/>
      <c r="D38" s="68"/>
      <c r="E38" s="9">
        <v>5</v>
      </c>
      <c r="F38" s="20" t="s">
        <v>62</v>
      </c>
      <c r="G38" s="26" t="str">
        <f t="shared" si="0"/>
        <v/>
      </c>
      <c r="H38" s="27" t="str">
        <f t="shared" si="1"/>
        <v/>
      </c>
      <c r="I38" s="56"/>
      <c r="J38" s="57"/>
    </row>
    <row r="39" spans="1:10" ht="30" customHeight="1" thickBot="1" x14ac:dyDescent="0.3">
      <c r="A39" s="11"/>
      <c r="B39" s="69" t="s">
        <v>86</v>
      </c>
      <c r="C39" s="70"/>
      <c r="D39" s="70"/>
      <c r="E39" s="23">
        <v>5</v>
      </c>
      <c r="F39" s="21" t="s">
        <v>62</v>
      </c>
      <c r="G39" s="28" t="str">
        <f t="shared" si="0"/>
        <v/>
      </c>
      <c r="H39" s="29" t="str">
        <f t="shared" si="1"/>
        <v/>
      </c>
      <c r="I39" s="58"/>
      <c r="J39" s="59"/>
    </row>
    <row r="40" spans="1:10" ht="30" customHeight="1" x14ac:dyDescent="0.25">
      <c r="A40" s="11"/>
      <c r="B40" s="49" t="s">
        <v>87</v>
      </c>
      <c r="C40" s="50"/>
      <c r="D40" s="50"/>
      <c r="E40" s="50"/>
      <c r="F40" s="50"/>
      <c r="G40" s="50"/>
      <c r="H40" s="50"/>
      <c r="I40" s="50"/>
      <c r="J40" s="51"/>
    </row>
    <row r="41" spans="1:10" ht="39.950000000000003" customHeight="1" x14ac:dyDescent="0.25">
      <c r="A41" s="11"/>
      <c r="B41" s="46" t="s">
        <v>134</v>
      </c>
      <c r="C41" s="47"/>
      <c r="D41" s="48"/>
      <c r="E41" s="30"/>
      <c r="F41" s="20"/>
      <c r="G41" s="26"/>
      <c r="H41" s="27"/>
      <c r="I41" s="56"/>
      <c r="J41" s="57"/>
    </row>
    <row r="42" spans="1:10" ht="30" customHeight="1" x14ac:dyDescent="0.25">
      <c r="A42" s="11"/>
      <c r="B42" s="40" t="s">
        <v>88</v>
      </c>
      <c r="C42" s="41"/>
      <c r="D42" s="41"/>
      <c r="E42" s="9">
        <v>5</v>
      </c>
      <c r="F42" s="20" t="s">
        <v>62</v>
      </c>
      <c r="G42" s="26" t="str">
        <f t="shared" si="0"/>
        <v/>
      </c>
      <c r="H42" s="27" t="str">
        <f t="shared" si="1"/>
        <v/>
      </c>
      <c r="I42" s="56"/>
      <c r="J42" s="57"/>
    </row>
    <row r="43" spans="1:10" ht="39.950000000000003" customHeight="1" x14ac:dyDescent="0.25">
      <c r="A43" s="11"/>
      <c r="B43" s="40" t="s">
        <v>89</v>
      </c>
      <c r="C43" s="41"/>
      <c r="D43" s="41"/>
      <c r="E43" s="9">
        <v>5</v>
      </c>
      <c r="F43" s="20" t="s">
        <v>62</v>
      </c>
      <c r="G43" s="26" t="str">
        <f t="shared" si="0"/>
        <v/>
      </c>
      <c r="H43" s="27" t="str">
        <f t="shared" si="1"/>
        <v/>
      </c>
      <c r="I43" s="56"/>
      <c r="J43" s="57"/>
    </row>
    <row r="44" spans="1:10" ht="39.950000000000003" customHeight="1" x14ac:dyDescent="0.25">
      <c r="A44" s="11"/>
      <c r="B44" s="40" t="s">
        <v>90</v>
      </c>
      <c r="C44" s="41"/>
      <c r="D44" s="41"/>
      <c r="E44" s="9">
        <v>5</v>
      </c>
      <c r="F44" s="20" t="s">
        <v>62</v>
      </c>
      <c r="G44" s="26" t="str">
        <f t="shared" si="0"/>
        <v/>
      </c>
      <c r="H44" s="27" t="str">
        <f t="shared" si="1"/>
        <v/>
      </c>
      <c r="I44" s="56"/>
      <c r="J44" s="57"/>
    </row>
    <row r="45" spans="1:10" ht="30" customHeight="1" x14ac:dyDescent="0.25">
      <c r="A45" s="11"/>
      <c r="B45" s="67" t="s">
        <v>142</v>
      </c>
      <c r="C45" s="68"/>
      <c r="D45" s="68"/>
      <c r="E45" s="9"/>
      <c r="F45" s="20"/>
      <c r="G45" s="26"/>
      <c r="H45" s="27"/>
      <c r="I45" s="56"/>
      <c r="J45" s="57"/>
    </row>
    <row r="46" spans="1:10" ht="39.950000000000003" customHeight="1" x14ac:dyDescent="0.25">
      <c r="A46" s="11"/>
      <c r="B46" s="40" t="s">
        <v>91</v>
      </c>
      <c r="C46" s="41"/>
      <c r="D46" s="41"/>
      <c r="E46" s="9">
        <v>10</v>
      </c>
      <c r="F46" s="20" t="s">
        <v>62</v>
      </c>
      <c r="G46" s="26" t="str">
        <f t="shared" si="0"/>
        <v/>
      </c>
      <c r="H46" s="27" t="str">
        <f t="shared" si="1"/>
        <v/>
      </c>
      <c r="I46" s="56"/>
      <c r="J46" s="57"/>
    </row>
    <row r="47" spans="1:10" ht="50.1" customHeight="1" x14ac:dyDescent="0.25">
      <c r="A47" s="11"/>
      <c r="B47" s="40" t="s">
        <v>262</v>
      </c>
      <c r="C47" s="41"/>
      <c r="D47" s="41"/>
      <c r="E47" s="9">
        <v>5</v>
      </c>
      <c r="F47" s="20" t="s">
        <v>62</v>
      </c>
      <c r="G47" s="26" t="str">
        <f t="shared" si="0"/>
        <v/>
      </c>
      <c r="H47" s="27" t="str">
        <f t="shared" si="1"/>
        <v/>
      </c>
      <c r="I47" s="56"/>
      <c r="J47" s="57"/>
    </row>
    <row r="48" spans="1:10" ht="39.950000000000003" customHeight="1" x14ac:dyDescent="0.25">
      <c r="A48" s="11"/>
      <c r="B48" s="40" t="s">
        <v>92</v>
      </c>
      <c r="C48" s="41"/>
      <c r="D48" s="41"/>
      <c r="E48" s="9">
        <v>5</v>
      </c>
      <c r="F48" s="20" t="s">
        <v>62</v>
      </c>
      <c r="G48" s="26" t="str">
        <f t="shared" si="0"/>
        <v/>
      </c>
      <c r="H48" s="27" t="str">
        <f t="shared" si="1"/>
        <v/>
      </c>
      <c r="I48" s="56"/>
      <c r="J48" s="57"/>
    </row>
    <row r="49" spans="1:10" ht="50.1" customHeight="1" x14ac:dyDescent="0.25">
      <c r="A49" s="11"/>
      <c r="B49" s="40" t="s">
        <v>135</v>
      </c>
      <c r="C49" s="41"/>
      <c r="D49" s="41"/>
      <c r="E49" s="9">
        <v>5</v>
      </c>
      <c r="F49" s="20" t="s">
        <v>62</v>
      </c>
      <c r="G49" s="26" t="str">
        <f t="shared" si="0"/>
        <v/>
      </c>
      <c r="H49" s="27" t="str">
        <f t="shared" si="1"/>
        <v/>
      </c>
      <c r="I49" s="56"/>
      <c r="J49" s="57"/>
    </row>
    <row r="50" spans="1:10" ht="71.25" customHeight="1" x14ac:dyDescent="0.25">
      <c r="A50" s="11"/>
      <c r="B50" s="40" t="s">
        <v>93</v>
      </c>
      <c r="C50" s="41"/>
      <c r="D50" s="41"/>
      <c r="E50" s="9">
        <v>5</v>
      </c>
      <c r="F50" s="20" t="s">
        <v>62</v>
      </c>
      <c r="G50" s="26" t="str">
        <f t="shared" si="0"/>
        <v/>
      </c>
      <c r="H50" s="27" t="str">
        <f t="shared" si="1"/>
        <v/>
      </c>
      <c r="I50" s="56"/>
      <c r="J50" s="57"/>
    </row>
    <row r="51" spans="1:10" ht="50.1" customHeight="1" x14ac:dyDescent="0.25">
      <c r="A51" s="11"/>
      <c r="B51" s="40" t="s">
        <v>94</v>
      </c>
      <c r="C51" s="41"/>
      <c r="D51" s="41"/>
      <c r="E51" s="9">
        <v>5</v>
      </c>
      <c r="F51" s="20" t="s">
        <v>62</v>
      </c>
      <c r="G51" s="26" t="str">
        <f t="shared" si="0"/>
        <v/>
      </c>
      <c r="H51" s="27" t="str">
        <f t="shared" si="1"/>
        <v/>
      </c>
      <c r="I51" s="56"/>
      <c r="J51" s="57"/>
    </row>
    <row r="52" spans="1:10" ht="30" customHeight="1" thickBot="1" x14ac:dyDescent="0.3">
      <c r="A52" s="11"/>
      <c r="B52" s="46" t="s">
        <v>148</v>
      </c>
      <c r="C52" s="47"/>
      <c r="D52" s="48"/>
      <c r="E52" s="9">
        <v>5</v>
      </c>
      <c r="F52" s="20" t="s">
        <v>62</v>
      </c>
      <c r="G52" s="26" t="str">
        <f t="shared" si="0"/>
        <v/>
      </c>
      <c r="H52" s="27" t="str">
        <f t="shared" si="1"/>
        <v/>
      </c>
      <c r="I52" s="56"/>
      <c r="J52" s="57"/>
    </row>
    <row r="53" spans="1:10" ht="30" customHeight="1" x14ac:dyDescent="0.25">
      <c r="A53" s="11"/>
      <c r="B53" s="49" t="s">
        <v>143</v>
      </c>
      <c r="C53" s="50"/>
      <c r="D53" s="50"/>
      <c r="E53" s="50"/>
      <c r="F53" s="50"/>
      <c r="G53" s="50"/>
      <c r="H53" s="50"/>
      <c r="I53" s="50"/>
      <c r="J53" s="51"/>
    </row>
    <row r="54" spans="1:10" ht="30" customHeight="1" x14ac:dyDescent="0.25">
      <c r="A54" s="11"/>
      <c r="B54" s="67" t="s">
        <v>95</v>
      </c>
      <c r="C54" s="68"/>
      <c r="D54" s="68"/>
      <c r="E54" s="9">
        <v>5</v>
      </c>
      <c r="F54" s="20" t="s">
        <v>62</v>
      </c>
      <c r="G54" s="26" t="str">
        <f t="shared" ref="G54:G92" si="2">IFERROR(F54/E54,"")</f>
        <v/>
      </c>
      <c r="H54" s="27" t="str">
        <f t="shared" ref="H54:H92" si="3">_xlfn.IFS(F54="أدخل العلامة","",F54="لا ينطبق","تم الإلغاء",G54&gt;=90%,"ممتاز",G54&gt;=80%,"جيد جداً",G54&gt;=70%,"جيد",G54&gt;=60%,"مقبول",G54&lt;60%,"راسب")</f>
        <v/>
      </c>
      <c r="I54" s="56"/>
      <c r="J54" s="57"/>
    </row>
    <row r="55" spans="1:10" ht="30" customHeight="1" x14ac:dyDescent="0.25">
      <c r="A55" s="11"/>
      <c r="B55" s="67" t="s">
        <v>96</v>
      </c>
      <c r="C55" s="68"/>
      <c r="D55" s="68"/>
      <c r="E55" s="9">
        <v>5</v>
      </c>
      <c r="F55" s="20" t="s">
        <v>62</v>
      </c>
      <c r="G55" s="26" t="str">
        <f t="shared" si="2"/>
        <v/>
      </c>
      <c r="H55" s="27" t="str">
        <f t="shared" si="3"/>
        <v/>
      </c>
      <c r="I55" s="56"/>
      <c r="J55" s="57"/>
    </row>
    <row r="56" spans="1:10" ht="30" customHeight="1" x14ac:dyDescent="0.25">
      <c r="A56" s="11"/>
      <c r="B56" s="67" t="s">
        <v>97</v>
      </c>
      <c r="C56" s="68"/>
      <c r="D56" s="68"/>
      <c r="E56" s="9">
        <v>5</v>
      </c>
      <c r="F56" s="20" t="s">
        <v>62</v>
      </c>
      <c r="G56" s="26" t="str">
        <f t="shared" si="2"/>
        <v/>
      </c>
      <c r="H56" s="27" t="str">
        <f t="shared" si="3"/>
        <v/>
      </c>
      <c r="I56" s="56"/>
      <c r="J56" s="57"/>
    </row>
    <row r="57" spans="1:10" ht="30" customHeight="1" x14ac:dyDescent="0.25">
      <c r="A57" s="11"/>
      <c r="B57" s="67" t="s">
        <v>98</v>
      </c>
      <c r="C57" s="68"/>
      <c r="D57" s="68"/>
      <c r="E57" s="9">
        <v>5</v>
      </c>
      <c r="F57" s="20" t="s">
        <v>62</v>
      </c>
      <c r="G57" s="26" t="str">
        <f t="shared" si="2"/>
        <v/>
      </c>
      <c r="H57" s="27" t="str">
        <f t="shared" si="3"/>
        <v/>
      </c>
      <c r="I57" s="56"/>
      <c r="J57" s="57"/>
    </row>
    <row r="58" spans="1:10" ht="30" customHeight="1" x14ac:dyDescent="0.25">
      <c r="A58" s="11"/>
      <c r="B58" s="67" t="s">
        <v>99</v>
      </c>
      <c r="C58" s="68"/>
      <c r="D58" s="68"/>
      <c r="E58" s="9">
        <v>5</v>
      </c>
      <c r="F58" s="20" t="s">
        <v>62</v>
      </c>
      <c r="G58" s="26" t="str">
        <f t="shared" si="2"/>
        <v/>
      </c>
      <c r="H58" s="27" t="str">
        <f t="shared" si="3"/>
        <v/>
      </c>
      <c r="I58" s="56"/>
      <c r="J58" s="57"/>
    </row>
    <row r="59" spans="1:10" ht="30" customHeight="1" x14ac:dyDescent="0.25">
      <c r="A59" s="11"/>
      <c r="B59" s="46" t="s">
        <v>100</v>
      </c>
      <c r="C59" s="47"/>
      <c r="D59" s="48"/>
      <c r="E59" s="30"/>
      <c r="F59" s="20"/>
      <c r="G59" s="26"/>
      <c r="H59" s="27"/>
      <c r="I59" s="56"/>
      <c r="J59" s="57"/>
    </row>
    <row r="60" spans="1:10" ht="39.950000000000003" customHeight="1" x14ac:dyDescent="0.25">
      <c r="A60" s="11"/>
      <c r="B60" s="40" t="s">
        <v>101</v>
      </c>
      <c r="C60" s="41"/>
      <c r="D60" s="41"/>
      <c r="E60" s="9">
        <v>5</v>
      </c>
      <c r="F60" s="20" t="s">
        <v>62</v>
      </c>
      <c r="G60" s="26" t="str">
        <f t="shared" si="2"/>
        <v/>
      </c>
      <c r="H60" s="27" t="str">
        <f t="shared" si="3"/>
        <v/>
      </c>
      <c r="I60" s="56"/>
      <c r="J60" s="57"/>
    </row>
    <row r="61" spans="1:10" ht="39.950000000000003" customHeight="1" x14ac:dyDescent="0.25">
      <c r="A61" s="11"/>
      <c r="B61" s="40" t="s">
        <v>102</v>
      </c>
      <c r="C61" s="41"/>
      <c r="D61" s="41"/>
      <c r="E61" s="9">
        <v>5</v>
      </c>
      <c r="F61" s="20" t="s">
        <v>62</v>
      </c>
      <c r="G61" s="26" t="str">
        <f t="shared" si="2"/>
        <v/>
      </c>
      <c r="H61" s="27" t="str">
        <f t="shared" si="3"/>
        <v/>
      </c>
      <c r="I61" s="56"/>
      <c r="J61" s="57"/>
    </row>
    <row r="62" spans="1:10" ht="50.1" customHeight="1" x14ac:dyDescent="0.25">
      <c r="A62" s="11"/>
      <c r="B62" s="40" t="s">
        <v>103</v>
      </c>
      <c r="C62" s="41"/>
      <c r="D62" s="41"/>
      <c r="E62" s="9">
        <v>5</v>
      </c>
      <c r="F62" s="20" t="s">
        <v>62</v>
      </c>
      <c r="G62" s="26" t="str">
        <f t="shared" si="2"/>
        <v/>
      </c>
      <c r="H62" s="27" t="str">
        <f t="shared" si="3"/>
        <v/>
      </c>
      <c r="I62" s="56"/>
      <c r="J62" s="57"/>
    </row>
    <row r="63" spans="1:10" ht="30" customHeight="1" thickBot="1" x14ac:dyDescent="0.3">
      <c r="A63" s="11"/>
      <c r="B63" s="69" t="s">
        <v>104</v>
      </c>
      <c r="C63" s="70"/>
      <c r="D63" s="70"/>
      <c r="E63" s="23">
        <v>5</v>
      </c>
      <c r="F63" s="21" t="s">
        <v>62</v>
      </c>
      <c r="G63" s="28" t="str">
        <f t="shared" si="2"/>
        <v/>
      </c>
      <c r="H63" s="29" t="str">
        <f t="shared" si="3"/>
        <v/>
      </c>
      <c r="I63" s="58"/>
      <c r="J63" s="59"/>
    </row>
    <row r="64" spans="1:10" ht="30" customHeight="1" x14ac:dyDescent="0.25">
      <c r="A64" s="11"/>
      <c r="B64" s="49" t="s">
        <v>144</v>
      </c>
      <c r="C64" s="50"/>
      <c r="D64" s="50"/>
      <c r="E64" s="50"/>
      <c r="F64" s="50"/>
      <c r="G64" s="50"/>
      <c r="H64" s="50"/>
      <c r="I64" s="50"/>
      <c r="J64" s="51"/>
    </row>
    <row r="65" spans="1:10" ht="30" customHeight="1" x14ac:dyDescent="0.25">
      <c r="A65" s="11"/>
      <c r="B65" s="67" t="s">
        <v>105</v>
      </c>
      <c r="C65" s="68"/>
      <c r="D65" s="68"/>
      <c r="E65" s="9">
        <v>5</v>
      </c>
      <c r="F65" s="20" t="s">
        <v>62</v>
      </c>
      <c r="G65" s="26" t="str">
        <f t="shared" si="2"/>
        <v/>
      </c>
      <c r="H65" s="27" t="str">
        <f t="shared" si="3"/>
        <v/>
      </c>
      <c r="I65" s="56"/>
      <c r="J65" s="57"/>
    </row>
    <row r="66" spans="1:10" ht="30" customHeight="1" x14ac:dyDescent="0.25">
      <c r="A66" s="11"/>
      <c r="B66" s="46" t="s">
        <v>106</v>
      </c>
      <c r="C66" s="47"/>
      <c r="D66" s="48"/>
      <c r="E66" s="30"/>
      <c r="F66" s="20"/>
      <c r="G66" s="26"/>
      <c r="H66" s="27"/>
      <c r="I66" s="56"/>
      <c r="J66" s="57"/>
    </row>
    <row r="67" spans="1:10" ht="30" customHeight="1" x14ac:dyDescent="0.25">
      <c r="A67" s="11"/>
      <c r="B67" s="62" t="s">
        <v>107</v>
      </c>
      <c r="C67" s="63"/>
      <c r="D67" s="64"/>
      <c r="E67" s="30"/>
      <c r="F67" s="20"/>
      <c r="G67" s="26"/>
      <c r="H67" s="27"/>
      <c r="I67" s="56"/>
      <c r="J67" s="57"/>
    </row>
    <row r="68" spans="1:10" ht="30" customHeight="1" x14ac:dyDescent="0.25">
      <c r="A68" s="11"/>
      <c r="B68" s="60" t="s">
        <v>108</v>
      </c>
      <c r="C68" s="61"/>
      <c r="D68" s="61"/>
      <c r="E68" s="9">
        <v>5</v>
      </c>
      <c r="F68" s="20" t="s">
        <v>62</v>
      </c>
      <c r="G68" s="26" t="str">
        <f t="shared" si="2"/>
        <v/>
      </c>
      <c r="H68" s="27" t="str">
        <f t="shared" si="3"/>
        <v/>
      </c>
      <c r="I68" s="56"/>
      <c r="J68" s="57"/>
    </row>
    <row r="69" spans="1:10" ht="30" customHeight="1" x14ac:dyDescent="0.25">
      <c r="A69" s="11"/>
      <c r="B69" s="60" t="s">
        <v>109</v>
      </c>
      <c r="C69" s="61"/>
      <c r="D69" s="61"/>
      <c r="E69" s="9">
        <v>5</v>
      </c>
      <c r="F69" s="20" t="s">
        <v>62</v>
      </c>
      <c r="G69" s="26" t="str">
        <f t="shared" si="2"/>
        <v/>
      </c>
      <c r="H69" s="27" t="str">
        <f t="shared" si="3"/>
        <v/>
      </c>
      <c r="I69" s="56"/>
      <c r="J69" s="57"/>
    </row>
    <row r="70" spans="1:10" ht="30" customHeight="1" x14ac:dyDescent="0.25">
      <c r="A70" s="11"/>
      <c r="B70" s="60" t="s">
        <v>110</v>
      </c>
      <c r="C70" s="61"/>
      <c r="D70" s="61"/>
      <c r="E70" s="9">
        <v>5</v>
      </c>
      <c r="F70" s="20" t="s">
        <v>62</v>
      </c>
      <c r="G70" s="26" t="str">
        <f t="shared" si="2"/>
        <v/>
      </c>
      <c r="H70" s="27" t="str">
        <f t="shared" si="3"/>
        <v/>
      </c>
      <c r="I70" s="56"/>
      <c r="J70" s="57"/>
    </row>
    <row r="71" spans="1:10" ht="30" customHeight="1" x14ac:dyDescent="0.25">
      <c r="A71" s="11"/>
      <c r="B71" s="60" t="s">
        <v>111</v>
      </c>
      <c r="C71" s="61"/>
      <c r="D71" s="61"/>
      <c r="E71" s="9">
        <v>5</v>
      </c>
      <c r="F71" s="20" t="s">
        <v>62</v>
      </c>
      <c r="G71" s="26" t="str">
        <f t="shared" si="2"/>
        <v/>
      </c>
      <c r="H71" s="27" t="str">
        <f t="shared" si="3"/>
        <v/>
      </c>
      <c r="I71" s="56"/>
      <c r="J71" s="57"/>
    </row>
    <row r="72" spans="1:10" ht="30" customHeight="1" x14ac:dyDescent="0.25">
      <c r="A72" s="11"/>
      <c r="B72" s="65" t="s">
        <v>112</v>
      </c>
      <c r="C72" s="66"/>
      <c r="D72" s="66"/>
      <c r="E72" s="9">
        <v>5</v>
      </c>
      <c r="F72" s="20" t="s">
        <v>62</v>
      </c>
      <c r="G72" s="26" t="str">
        <f t="shared" si="2"/>
        <v/>
      </c>
      <c r="H72" s="27" t="str">
        <f t="shared" si="3"/>
        <v/>
      </c>
      <c r="I72" s="56"/>
      <c r="J72" s="57"/>
    </row>
    <row r="73" spans="1:10" ht="30" customHeight="1" x14ac:dyDescent="0.25">
      <c r="A73" s="11"/>
      <c r="B73" s="65" t="s">
        <v>113</v>
      </c>
      <c r="C73" s="66"/>
      <c r="D73" s="66"/>
      <c r="E73" s="9">
        <v>5</v>
      </c>
      <c r="F73" s="20" t="s">
        <v>62</v>
      </c>
      <c r="G73" s="26" t="str">
        <f t="shared" si="2"/>
        <v/>
      </c>
      <c r="H73" s="27" t="str">
        <f t="shared" si="3"/>
        <v/>
      </c>
      <c r="I73" s="56"/>
      <c r="J73" s="57"/>
    </row>
    <row r="74" spans="1:10" ht="30" customHeight="1" x14ac:dyDescent="0.25">
      <c r="A74" s="11"/>
      <c r="B74" s="67" t="s">
        <v>114</v>
      </c>
      <c r="C74" s="68"/>
      <c r="D74" s="68"/>
      <c r="E74" s="9">
        <v>5</v>
      </c>
      <c r="F74" s="20" t="s">
        <v>62</v>
      </c>
      <c r="G74" s="26" t="str">
        <f t="shared" si="2"/>
        <v/>
      </c>
      <c r="H74" s="27" t="str">
        <f t="shared" si="3"/>
        <v/>
      </c>
      <c r="I74" s="56"/>
      <c r="J74" s="57"/>
    </row>
    <row r="75" spans="1:10" ht="30" customHeight="1" x14ac:dyDescent="0.25">
      <c r="A75" s="11"/>
      <c r="B75" s="46" t="s">
        <v>115</v>
      </c>
      <c r="C75" s="47"/>
      <c r="D75" s="48"/>
      <c r="E75" s="30"/>
      <c r="F75" s="20"/>
      <c r="G75" s="26"/>
      <c r="H75" s="27"/>
      <c r="I75" s="56"/>
      <c r="J75" s="57"/>
    </row>
    <row r="76" spans="1:10" ht="30" customHeight="1" x14ac:dyDescent="0.25">
      <c r="A76" s="11"/>
      <c r="B76" s="40" t="s">
        <v>116</v>
      </c>
      <c r="C76" s="41"/>
      <c r="D76" s="41"/>
      <c r="E76" s="9">
        <v>5</v>
      </c>
      <c r="F76" s="20" t="s">
        <v>62</v>
      </c>
      <c r="G76" s="26" t="str">
        <f t="shared" si="2"/>
        <v/>
      </c>
      <c r="H76" s="27" t="str">
        <f t="shared" si="3"/>
        <v/>
      </c>
      <c r="I76" s="56"/>
      <c r="J76" s="57"/>
    </row>
    <row r="77" spans="1:10" ht="30" customHeight="1" x14ac:dyDescent="0.25">
      <c r="A77" s="11"/>
      <c r="B77" s="40" t="s">
        <v>117</v>
      </c>
      <c r="C77" s="41"/>
      <c r="D77" s="41"/>
      <c r="E77" s="9">
        <v>5</v>
      </c>
      <c r="F77" s="20" t="s">
        <v>62</v>
      </c>
      <c r="G77" s="26" t="str">
        <f t="shared" si="2"/>
        <v/>
      </c>
      <c r="H77" s="27" t="str">
        <f t="shared" si="3"/>
        <v/>
      </c>
      <c r="I77" s="56"/>
      <c r="J77" s="57"/>
    </row>
    <row r="78" spans="1:10" ht="30" customHeight="1" x14ac:dyDescent="0.25">
      <c r="A78" s="11"/>
      <c r="B78" s="40" t="s">
        <v>118</v>
      </c>
      <c r="C78" s="41"/>
      <c r="D78" s="41"/>
      <c r="E78" s="9">
        <v>5</v>
      </c>
      <c r="F78" s="20" t="s">
        <v>62</v>
      </c>
      <c r="G78" s="26" t="str">
        <f t="shared" si="2"/>
        <v/>
      </c>
      <c r="H78" s="27" t="str">
        <f t="shared" si="3"/>
        <v/>
      </c>
      <c r="I78" s="56"/>
      <c r="J78" s="57"/>
    </row>
    <row r="79" spans="1:10" ht="30" customHeight="1" x14ac:dyDescent="0.25">
      <c r="A79" s="11"/>
      <c r="B79" s="52" t="s">
        <v>119</v>
      </c>
      <c r="C79" s="53"/>
      <c r="D79" s="53"/>
      <c r="E79" s="9">
        <v>5</v>
      </c>
      <c r="F79" s="20" t="s">
        <v>62</v>
      </c>
      <c r="G79" s="26" t="str">
        <f t="shared" si="2"/>
        <v/>
      </c>
      <c r="H79" s="27" t="str">
        <f t="shared" si="3"/>
        <v/>
      </c>
      <c r="I79" s="56"/>
      <c r="J79" s="57"/>
    </row>
    <row r="80" spans="1:10" ht="30" customHeight="1" thickBot="1" x14ac:dyDescent="0.3">
      <c r="A80" s="11"/>
      <c r="B80" s="54" t="s">
        <v>120</v>
      </c>
      <c r="C80" s="55"/>
      <c r="D80" s="55"/>
      <c r="E80" s="23">
        <v>5</v>
      </c>
      <c r="F80" s="21" t="s">
        <v>62</v>
      </c>
      <c r="G80" s="28" t="str">
        <f t="shared" si="2"/>
        <v/>
      </c>
      <c r="H80" s="29" t="str">
        <f t="shared" si="3"/>
        <v/>
      </c>
      <c r="I80" s="58"/>
      <c r="J80" s="59"/>
    </row>
    <row r="81" spans="1:10" ht="30" customHeight="1" x14ac:dyDescent="0.25">
      <c r="A81" s="11"/>
      <c r="B81" s="49" t="s">
        <v>145</v>
      </c>
      <c r="C81" s="50"/>
      <c r="D81" s="50"/>
      <c r="E81" s="50"/>
      <c r="F81" s="50"/>
      <c r="G81" s="50"/>
      <c r="H81" s="50"/>
      <c r="I81" s="50"/>
      <c r="J81" s="51"/>
    </row>
    <row r="82" spans="1:10" ht="30" customHeight="1" x14ac:dyDescent="0.25">
      <c r="A82" s="11"/>
      <c r="B82" s="46" t="s">
        <v>121</v>
      </c>
      <c r="C82" s="47"/>
      <c r="D82" s="48"/>
      <c r="E82" s="30"/>
      <c r="F82" s="20"/>
      <c r="G82" s="26"/>
      <c r="H82" s="27"/>
      <c r="I82" s="56"/>
      <c r="J82" s="57"/>
    </row>
    <row r="83" spans="1:10" ht="30" customHeight="1" x14ac:dyDescent="0.25">
      <c r="A83" s="11"/>
      <c r="B83" s="40" t="s">
        <v>122</v>
      </c>
      <c r="C83" s="41"/>
      <c r="D83" s="41"/>
      <c r="E83" s="9">
        <v>5</v>
      </c>
      <c r="F83" s="20" t="s">
        <v>62</v>
      </c>
      <c r="G83" s="26" t="str">
        <f t="shared" si="2"/>
        <v/>
      </c>
      <c r="H83" s="27" t="str">
        <f t="shared" si="3"/>
        <v/>
      </c>
      <c r="I83" s="56"/>
      <c r="J83" s="57"/>
    </row>
    <row r="84" spans="1:10" ht="30" customHeight="1" x14ac:dyDescent="0.25">
      <c r="A84" s="11"/>
      <c r="B84" s="40" t="s">
        <v>123</v>
      </c>
      <c r="C84" s="41"/>
      <c r="D84" s="41"/>
      <c r="E84" s="9">
        <v>5</v>
      </c>
      <c r="F84" s="20" t="s">
        <v>62</v>
      </c>
      <c r="G84" s="26" t="str">
        <f t="shared" si="2"/>
        <v/>
      </c>
      <c r="H84" s="27" t="str">
        <f t="shared" si="3"/>
        <v/>
      </c>
      <c r="I84" s="56"/>
      <c r="J84" s="57"/>
    </row>
    <row r="85" spans="1:10" ht="30" customHeight="1" x14ac:dyDescent="0.25">
      <c r="A85" s="11"/>
      <c r="B85" s="40" t="s">
        <v>124</v>
      </c>
      <c r="C85" s="41"/>
      <c r="D85" s="41"/>
      <c r="E85" s="9">
        <v>5</v>
      </c>
      <c r="F85" s="20" t="s">
        <v>62</v>
      </c>
      <c r="G85" s="26" t="str">
        <f t="shared" si="2"/>
        <v/>
      </c>
      <c r="H85" s="27" t="str">
        <f t="shared" si="3"/>
        <v/>
      </c>
      <c r="I85" s="56"/>
      <c r="J85" s="57"/>
    </row>
    <row r="86" spans="1:10" ht="30" customHeight="1" x14ac:dyDescent="0.25">
      <c r="A86" s="11"/>
      <c r="B86" s="46" t="s">
        <v>125</v>
      </c>
      <c r="C86" s="47"/>
      <c r="D86" s="48"/>
      <c r="E86" s="30"/>
      <c r="F86" s="20"/>
      <c r="G86" s="26"/>
      <c r="H86" s="27"/>
      <c r="I86" s="56"/>
      <c r="J86" s="57"/>
    </row>
    <row r="87" spans="1:10" ht="30" customHeight="1" x14ac:dyDescent="0.25">
      <c r="A87" s="11"/>
      <c r="B87" s="40" t="s">
        <v>126</v>
      </c>
      <c r="C87" s="41"/>
      <c r="D87" s="41"/>
      <c r="E87" s="9">
        <v>5</v>
      </c>
      <c r="F87" s="20" t="s">
        <v>62</v>
      </c>
      <c r="G87" s="26" t="str">
        <f t="shared" si="2"/>
        <v/>
      </c>
      <c r="H87" s="27" t="str">
        <f t="shared" si="3"/>
        <v/>
      </c>
      <c r="I87" s="56"/>
      <c r="J87" s="57"/>
    </row>
    <row r="88" spans="1:10" ht="30" customHeight="1" x14ac:dyDescent="0.25">
      <c r="A88" s="11"/>
      <c r="B88" s="40" t="s">
        <v>127</v>
      </c>
      <c r="C88" s="41"/>
      <c r="D88" s="41"/>
      <c r="E88" s="9">
        <v>5</v>
      </c>
      <c r="F88" s="20" t="s">
        <v>62</v>
      </c>
      <c r="G88" s="26" t="str">
        <f t="shared" si="2"/>
        <v/>
      </c>
      <c r="H88" s="27" t="str">
        <f t="shared" si="3"/>
        <v/>
      </c>
      <c r="I88" s="56"/>
      <c r="J88" s="57"/>
    </row>
    <row r="89" spans="1:10" ht="30" customHeight="1" x14ac:dyDescent="0.25">
      <c r="A89" s="11"/>
      <c r="B89" s="46" t="s">
        <v>128</v>
      </c>
      <c r="C89" s="47"/>
      <c r="D89" s="48"/>
      <c r="E89" s="30"/>
      <c r="F89" s="20"/>
      <c r="G89" s="26"/>
      <c r="H89" s="27"/>
      <c r="I89" s="56"/>
      <c r="J89" s="57"/>
    </row>
    <row r="90" spans="1:10" ht="39.950000000000003" customHeight="1" x14ac:dyDescent="0.25">
      <c r="A90" s="11"/>
      <c r="B90" s="40" t="s">
        <v>129</v>
      </c>
      <c r="C90" s="41"/>
      <c r="D90" s="41"/>
      <c r="E90" s="9">
        <v>5</v>
      </c>
      <c r="F90" s="20" t="s">
        <v>62</v>
      </c>
      <c r="G90" s="26" t="str">
        <f t="shared" si="2"/>
        <v/>
      </c>
      <c r="H90" s="27" t="str">
        <f t="shared" si="3"/>
        <v/>
      </c>
      <c r="I90" s="56"/>
      <c r="J90" s="57"/>
    </row>
    <row r="91" spans="1:10" ht="30" customHeight="1" thickBot="1" x14ac:dyDescent="0.3">
      <c r="A91" s="11"/>
      <c r="B91" s="42" t="s">
        <v>130</v>
      </c>
      <c r="C91" s="43"/>
      <c r="D91" s="43"/>
      <c r="E91" s="23">
        <v>5</v>
      </c>
      <c r="F91" s="21" t="s">
        <v>62</v>
      </c>
      <c r="G91" s="28" t="str">
        <f t="shared" si="2"/>
        <v/>
      </c>
      <c r="H91" s="29" t="str">
        <f t="shared" si="3"/>
        <v/>
      </c>
      <c r="I91" s="58"/>
      <c r="J91" s="59"/>
    </row>
    <row r="92" spans="1:10" ht="30" customHeight="1" thickBot="1" x14ac:dyDescent="0.3">
      <c r="A92" s="11"/>
      <c r="B92" s="44" t="s">
        <v>136</v>
      </c>
      <c r="C92" s="45"/>
      <c r="D92" s="45"/>
      <c r="E92" s="10">
        <v>5</v>
      </c>
      <c r="F92" s="31" t="s">
        <v>62</v>
      </c>
      <c r="G92" s="32" t="str">
        <f t="shared" si="2"/>
        <v/>
      </c>
      <c r="H92" s="22" t="str">
        <f t="shared" si="3"/>
        <v/>
      </c>
      <c r="I92" s="87"/>
      <c r="J92" s="88"/>
    </row>
    <row r="93" spans="1:10" ht="30" customHeight="1" thickBot="1" x14ac:dyDescent="0.3">
      <c r="A93" s="4"/>
      <c r="B93" s="81" t="s">
        <v>5</v>
      </c>
      <c r="C93" s="82"/>
      <c r="D93" s="82"/>
      <c r="E93" s="10">
        <f>SUM(E8:E92)</f>
        <v>360</v>
      </c>
      <c r="F93" s="10">
        <f>SUM(F8:F92)</f>
        <v>0</v>
      </c>
      <c r="G93" s="84"/>
      <c r="H93" s="85"/>
      <c r="I93" s="85"/>
      <c r="J93" s="86"/>
    </row>
    <row r="94" spans="1:10" ht="30" customHeight="1" thickBot="1" x14ac:dyDescent="0.3">
      <c r="A94" s="4"/>
      <c r="B94" s="81" t="s">
        <v>54</v>
      </c>
      <c r="C94" s="82"/>
      <c r="D94" s="82"/>
      <c r="E94" s="89">
        <f>F93/E93/100*100</f>
        <v>0</v>
      </c>
      <c r="F94" s="89"/>
      <c r="G94" s="89"/>
      <c r="H94" s="89"/>
      <c r="I94" s="89"/>
      <c r="J94" s="90"/>
    </row>
    <row r="95" spans="1:10" ht="30" customHeight="1" thickBot="1" x14ac:dyDescent="0.3">
      <c r="A95" s="4"/>
      <c r="B95" s="81" t="s">
        <v>55</v>
      </c>
      <c r="C95" s="82"/>
      <c r="D95" s="82"/>
      <c r="E95" s="79" t="str">
        <f>_xlfn.IFS(E94&gt;=90%,"ممتاز",E94&gt;=80%,"جيد جداً",E94&gt;=70%,"جيد",E94&gt;=60%,"مقبول",E94&lt;60%,"راسب")</f>
        <v>راسب</v>
      </c>
      <c r="F95" s="79"/>
      <c r="G95" s="79"/>
      <c r="H95" s="79"/>
      <c r="I95" s="79"/>
      <c r="J95" s="80"/>
    </row>
    <row r="96" spans="1:10" ht="42" customHeight="1" x14ac:dyDescent="0.25">
      <c r="B96" s="75" t="s">
        <v>132</v>
      </c>
      <c r="C96" s="75"/>
      <c r="D96" s="75"/>
      <c r="E96" s="105" t="s">
        <v>52</v>
      </c>
      <c r="F96" s="105"/>
      <c r="G96" s="77" t="s">
        <v>59</v>
      </c>
      <c r="H96" s="77"/>
      <c r="I96" s="77"/>
      <c r="J96" s="77"/>
    </row>
    <row r="97" spans="1:10" ht="165" customHeight="1" x14ac:dyDescent="0.25">
      <c r="A97" s="5"/>
      <c r="B97" s="76"/>
      <c r="C97" s="76"/>
      <c r="D97" s="76"/>
      <c r="E97" s="83" t="s">
        <v>53</v>
      </c>
      <c r="F97" s="83"/>
      <c r="G97" s="78"/>
      <c r="H97" s="78"/>
      <c r="I97" s="78"/>
      <c r="J97" s="78"/>
    </row>
  </sheetData>
  <sheetProtection sheet="1" formatCells="0" formatColumns="0" formatRows="0" insertColumns="0" insertRows="0" insertHyperlinks="0" deleteColumns="0" deleteRows="0" selectLockedCells="1" sort="0" autoFilter="0" pivotTables="0"/>
  <mergeCells count="182">
    <mergeCell ref="I86:J86"/>
    <mergeCell ref="I87:J87"/>
    <mergeCell ref="I88:J88"/>
    <mergeCell ref="I89:J89"/>
    <mergeCell ref="I90:J90"/>
    <mergeCell ref="I91:J91"/>
    <mergeCell ref="E96:F96"/>
    <mergeCell ref="I24:J24"/>
    <mergeCell ref="I25:J25"/>
    <mergeCell ref="I26:J26"/>
    <mergeCell ref="I44:J44"/>
    <mergeCell ref="I45:J45"/>
    <mergeCell ref="I46:J46"/>
    <mergeCell ref="I47:J47"/>
    <mergeCell ref="I72:J72"/>
    <mergeCell ref="I67:J67"/>
    <mergeCell ref="I68:J68"/>
    <mergeCell ref="I69:J69"/>
    <mergeCell ref="I70:J70"/>
    <mergeCell ref="I71:J71"/>
    <mergeCell ref="I28:J28"/>
    <mergeCell ref="I56:J56"/>
    <mergeCell ref="I57:J57"/>
    <mergeCell ref="I58:J58"/>
    <mergeCell ref="I59:J59"/>
    <mergeCell ref="I60:J60"/>
    <mergeCell ref="I61:J61"/>
    <mergeCell ref="I62:J62"/>
    <mergeCell ref="I63:J63"/>
    <mergeCell ref="B1:J1"/>
    <mergeCell ref="F2:J2"/>
    <mergeCell ref="B5:D6"/>
    <mergeCell ref="C2:D2"/>
    <mergeCell ref="C3:D3"/>
    <mergeCell ref="F3:J3"/>
    <mergeCell ref="E5:H5"/>
    <mergeCell ref="I5:J6"/>
    <mergeCell ref="B9:D9"/>
    <mergeCell ref="I9:J9"/>
    <mergeCell ref="B10:D10"/>
    <mergeCell ref="B25:D25"/>
    <mergeCell ref="B26:D26"/>
    <mergeCell ref="B28:D28"/>
    <mergeCell ref="B29:D29"/>
    <mergeCell ref="B30:D30"/>
    <mergeCell ref="B31:D31"/>
    <mergeCell ref="B32:D32"/>
    <mergeCell ref="B24:D24"/>
    <mergeCell ref="B33:D33"/>
    <mergeCell ref="E94:J94"/>
    <mergeCell ref="B7:D7"/>
    <mergeCell ref="I37:J37"/>
    <mergeCell ref="I38:J38"/>
    <mergeCell ref="I54:J54"/>
    <mergeCell ref="I55:J55"/>
    <mergeCell ref="I29:J29"/>
    <mergeCell ref="I30:J30"/>
    <mergeCell ref="I36:J36"/>
    <mergeCell ref="I7:J7"/>
    <mergeCell ref="I10:J10"/>
    <mergeCell ref="I31:J31"/>
    <mergeCell ref="I32:J32"/>
    <mergeCell ref="I33:J33"/>
    <mergeCell ref="I35:J35"/>
    <mergeCell ref="I8:J8"/>
    <mergeCell ref="B93:D93"/>
    <mergeCell ref="B94:D94"/>
    <mergeCell ref="B8:D8"/>
    <mergeCell ref="I12:J12"/>
    <mergeCell ref="I13:J13"/>
    <mergeCell ref="I17:J17"/>
    <mergeCell ref="I18:J18"/>
    <mergeCell ref="B96:D97"/>
    <mergeCell ref="G96:J96"/>
    <mergeCell ref="G97:J97"/>
    <mergeCell ref="E95:J95"/>
    <mergeCell ref="I39:J39"/>
    <mergeCell ref="I41:J41"/>
    <mergeCell ref="I42:J42"/>
    <mergeCell ref="I43:J43"/>
    <mergeCell ref="I65:J65"/>
    <mergeCell ref="I48:J48"/>
    <mergeCell ref="I49:J49"/>
    <mergeCell ref="I50:J50"/>
    <mergeCell ref="I51:J51"/>
    <mergeCell ref="I52:J52"/>
    <mergeCell ref="I73:J73"/>
    <mergeCell ref="B95:D95"/>
    <mergeCell ref="I66:J66"/>
    <mergeCell ref="B46:D46"/>
    <mergeCell ref="B47:D47"/>
    <mergeCell ref="E97:F97"/>
    <mergeCell ref="G93:J93"/>
    <mergeCell ref="I92:J92"/>
    <mergeCell ref="I84:J84"/>
    <mergeCell ref="I85:J85"/>
    <mergeCell ref="I19:J19"/>
    <mergeCell ref="I20:J20"/>
    <mergeCell ref="I21:J21"/>
    <mergeCell ref="I22:J22"/>
    <mergeCell ref="I23:J23"/>
    <mergeCell ref="B12:D12"/>
    <mergeCell ref="B13:D13"/>
    <mergeCell ref="B14:D14"/>
    <mergeCell ref="B15:D15"/>
    <mergeCell ref="B17:D17"/>
    <mergeCell ref="B18:D18"/>
    <mergeCell ref="B19:D19"/>
    <mergeCell ref="B20:D20"/>
    <mergeCell ref="B21:D21"/>
    <mergeCell ref="B22:D22"/>
    <mergeCell ref="B23:D23"/>
    <mergeCell ref="I14:J15"/>
    <mergeCell ref="B54:D54"/>
    <mergeCell ref="B48:D48"/>
    <mergeCell ref="B49:D49"/>
    <mergeCell ref="B50:D50"/>
    <mergeCell ref="B51:D51"/>
    <mergeCell ref="B35:D35"/>
    <mergeCell ref="B36:D36"/>
    <mergeCell ref="B37:D37"/>
    <mergeCell ref="B38:D38"/>
    <mergeCell ref="B39:D39"/>
    <mergeCell ref="B42:D42"/>
    <mergeCell ref="B43:D43"/>
    <mergeCell ref="B44:D44"/>
    <mergeCell ref="B45:D45"/>
    <mergeCell ref="B55:D55"/>
    <mergeCell ref="B56:D56"/>
    <mergeCell ref="B57:D57"/>
    <mergeCell ref="B58:D58"/>
    <mergeCell ref="B60:D60"/>
    <mergeCell ref="B61:D61"/>
    <mergeCell ref="B62:D62"/>
    <mergeCell ref="B63:D63"/>
    <mergeCell ref="B65:D65"/>
    <mergeCell ref="B68:D68"/>
    <mergeCell ref="B69:D69"/>
    <mergeCell ref="B70:D70"/>
    <mergeCell ref="B71:D71"/>
    <mergeCell ref="B67:D67"/>
    <mergeCell ref="B72:D72"/>
    <mergeCell ref="B73:D73"/>
    <mergeCell ref="B74:D74"/>
    <mergeCell ref="B76:D76"/>
    <mergeCell ref="B83:D83"/>
    <mergeCell ref="B75:D75"/>
    <mergeCell ref="B81:J81"/>
    <mergeCell ref="B82:D82"/>
    <mergeCell ref="I74:J74"/>
    <mergeCell ref="I75:J75"/>
    <mergeCell ref="I76:J76"/>
    <mergeCell ref="I77:J77"/>
    <mergeCell ref="I78:J78"/>
    <mergeCell ref="I79:J79"/>
    <mergeCell ref="I80:J80"/>
    <mergeCell ref="I82:J82"/>
    <mergeCell ref="I83:J83"/>
    <mergeCell ref="B87:D87"/>
    <mergeCell ref="B88:D88"/>
    <mergeCell ref="B90:D90"/>
    <mergeCell ref="B91:D91"/>
    <mergeCell ref="B92:D92"/>
    <mergeCell ref="B86:D86"/>
    <mergeCell ref="B89:D89"/>
    <mergeCell ref="B11:J11"/>
    <mergeCell ref="B16:J16"/>
    <mergeCell ref="B27:J27"/>
    <mergeCell ref="B34:J34"/>
    <mergeCell ref="B40:J40"/>
    <mergeCell ref="B41:D41"/>
    <mergeCell ref="B52:D52"/>
    <mergeCell ref="B53:J53"/>
    <mergeCell ref="B59:D59"/>
    <mergeCell ref="B66:D66"/>
    <mergeCell ref="B64:J64"/>
    <mergeCell ref="B84:D84"/>
    <mergeCell ref="B85:D85"/>
    <mergeCell ref="B77:D77"/>
    <mergeCell ref="B78:D78"/>
    <mergeCell ref="B79:D79"/>
    <mergeCell ref="B80:D80"/>
  </mergeCells>
  <conditionalFormatting sqref="C2:D2">
    <cfRule type="containsText" dxfId="23" priority="18" operator="containsText" text="أدخل الوحدة الخاضعة للتقييم">
      <formula>NOT(ISERROR(SEARCH("أدخل الوحدة الخاضعة للتقييم",C2)))</formula>
    </cfRule>
  </conditionalFormatting>
  <conditionalFormatting sqref="C3:D3">
    <cfRule type="containsText" dxfId="22" priority="17" operator="containsText" text="أدخل أسم قائد الوحدة الخاضعة للتقييم">
      <formula>NOT(ISERROR(SEARCH("أدخل أسم قائد الوحدة الخاضعة للتقييم",C3)))</formula>
    </cfRule>
  </conditionalFormatting>
  <conditionalFormatting sqref="E95">
    <cfRule type="expression" dxfId="21" priority="57">
      <formula>$E95="راسب"</formula>
    </cfRule>
  </conditionalFormatting>
  <conditionalFormatting sqref="E95:J95">
    <cfRule type="expression" dxfId="20" priority="58">
      <formula>$E95="مقبول"</formula>
    </cfRule>
    <cfRule type="expression" dxfId="19" priority="59">
      <formula>$E95="جيد"</formula>
    </cfRule>
    <cfRule type="expression" dxfId="18" priority="60">
      <formula>$E95="جيد جداً"</formula>
    </cfRule>
    <cfRule type="expression" dxfId="17" priority="61">
      <formula>$E95="ممتاز"</formula>
    </cfRule>
  </conditionalFormatting>
  <conditionalFormatting sqref="F8:F10">
    <cfRule type="containsText" dxfId="16" priority="4" operator="containsText" text="أدخل العلامة">
      <formula>NOT(ISERROR(SEARCH("أدخل العلامة",F8)))</formula>
    </cfRule>
  </conditionalFormatting>
  <conditionalFormatting sqref="F12:F15 F17:F26 F28:F33 F35:F39 F41:F52 F54:F63 F65:F80 F82:F92">
    <cfRule type="containsText" dxfId="15" priority="14" operator="containsText" text="أدخل العلامة">
      <formula>NOT(ISERROR(SEARCH("أدخل العلامة",F12)))</formula>
    </cfRule>
  </conditionalFormatting>
  <conditionalFormatting sqref="F2:J2">
    <cfRule type="containsText" dxfId="14" priority="19" operator="containsText" text="أدخل التاريخ">
      <formula>NOT(ISERROR(SEARCH("أدخل التاريخ",F2)))</formula>
    </cfRule>
  </conditionalFormatting>
  <conditionalFormatting sqref="F3:J3">
    <cfRule type="containsText" dxfId="13" priority="16" operator="containsText" text="أدخل أسم المحكم">
      <formula>NOT(ISERROR(SEARCH("أدخل أسم المحكم",F3)))</formula>
    </cfRule>
  </conditionalFormatting>
  <conditionalFormatting sqref="G96:J96">
    <cfRule type="containsText" dxfId="12" priority="15" operator="containsText" text="أدخل اسم المحكم">
      <formula>NOT(ISERROR(SEARCH("أدخل اسم المحكم",G96)))</formula>
    </cfRule>
  </conditionalFormatting>
  <conditionalFormatting sqref="H8:H10">
    <cfRule type="containsText" dxfId="11" priority="5" operator="containsText" text="أدخل العلامة">
      <formula>NOT(ISERROR(SEARCH("أدخل العلامة",H8)))</formula>
    </cfRule>
    <cfRule type="containsText" dxfId="10" priority="6" operator="containsText" text="ممتاز">
      <formula>NOT(ISERROR(SEARCH("ممتاز",H8)))</formula>
    </cfRule>
    <cfRule type="containsText" dxfId="9" priority="7" operator="containsText" text="جيد جداً">
      <formula>NOT(ISERROR(SEARCH("جيد جداً",H8)))</formula>
    </cfRule>
    <cfRule type="containsText" dxfId="8" priority="8" operator="containsText" text="جيد">
      <formula>NOT(ISERROR(SEARCH("جيد",H8)))</formula>
    </cfRule>
    <cfRule type="containsText" dxfId="7" priority="9" operator="containsText" text="مقبول">
      <formula>NOT(ISERROR(SEARCH("مقبول",H8)))</formula>
    </cfRule>
    <cfRule type="containsText" dxfId="6" priority="10" operator="containsText" text="راسب">
      <formula>NOT(ISERROR(SEARCH("راسب",H8)))</formula>
    </cfRule>
  </conditionalFormatting>
  <conditionalFormatting sqref="H12:H15 H17:H26 H28:H33 H35:H39 H41:H52 H54:H63 H65:H80 H82:H92">
    <cfRule type="containsText" dxfId="5" priority="38" operator="containsText" text="أدخل العلامة">
      <formula>NOT(ISERROR(SEARCH("أدخل العلامة",H12)))</formula>
    </cfRule>
    <cfRule type="containsText" dxfId="4" priority="39" operator="containsText" text="ممتاز">
      <formula>NOT(ISERROR(SEARCH("ممتاز",H12)))</formula>
    </cfRule>
    <cfRule type="containsText" dxfId="3" priority="40" operator="containsText" text="جيد جداً">
      <formula>NOT(ISERROR(SEARCH("جيد جداً",H12)))</formula>
    </cfRule>
    <cfRule type="containsText" dxfId="2" priority="41" operator="containsText" text="جيد">
      <formula>NOT(ISERROR(SEARCH("جيد",H12)))</formula>
    </cfRule>
    <cfRule type="containsText" dxfId="1" priority="42" operator="containsText" text="مقبول">
      <formula>NOT(ISERROR(SEARCH("مقبول",H12)))</formula>
    </cfRule>
    <cfRule type="containsText" dxfId="0" priority="43" operator="containsText" text="راسب">
      <formula>NOT(ISERROR(SEARCH("راسب",H12)))</formula>
    </cfRule>
  </conditionalFormatting>
  <printOptions horizontalCentered="1"/>
  <pageMargins left="0.70866141732283472" right="0.70866141732283472" top="0.74803149606299213" bottom="0.74803149606299213" header="0.31496062992125984" footer="0.31496062992125984"/>
  <pageSetup paperSize="9" scale="75" fitToHeight="0" orientation="portrait" r:id="rId1"/>
  <headerFooter>
    <oddHeader>&amp;C&amp;"-,Bold"&amp;12&amp;Uسري للغاية</oddHeader>
    <oddFooter>&amp;C&amp;"-,Bold"&amp;P&amp;"-,Regular"
&amp;"-,Bold"&amp;Uسري للغاية</oddFooter>
  </headerFooter>
  <rowBreaks count="2" manualBreakCount="2">
    <brk id="73" max="9" man="1"/>
    <brk id="95" max="9" man="1"/>
  </rowBreaks>
  <extLst>
    <ext xmlns:x14="http://schemas.microsoft.com/office/spreadsheetml/2009/9/main" uri="{CCE6A557-97BC-4b89-ADB6-D9C93CAAB3DF}">
      <x14:dataValidations xmlns:xm="http://schemas.microsoft.com/office/excel/2006/main" count="7">
        <x14:dataValidation type="list" allowBlank="1" showInputMessage="1" showErrorMessage="1">
          <x14:formula1>
            <xm:f>'بيانات التقييم'!$A$38:$A$106</xm:f>
          </x14:formula1>
          <xm:sqref>F2:J2</xm:sqref>
        </x14:dataValidation>
        <x14:dataValidation type="list" allowBlank="1" showInputMessage="1" showErrorMessage="1">
          <x14:formula1>
            <xm:f>'بيانات التقييم'!$A$1:$A$34</xm:f>
          </x14:formula1>
          <xm:sqref>C2:D2</xm:sqref>
        </x14:dataValidation>
        <x14:dataValidation type="list" allowBlank="1" showInputMessage="1" showErrorMessage="1">
          <x14:formula1>
            <xm:f>'بيانات التقييم'!$A$111:$A$133</xm:f>
          </x14:formula1>
          <xm:sqref>F8:F10 F12:F15 F60:F63 F28:F33 F35:F39 F18:F25 F68:F74 F83:F85 F47:F52 F90:F92 F87:F88 F76:F80 F65 F54:F58 F42:F44</xm:sqref>
        </x14:dataValidation>
        <x14:dataValidation type="list" allowBlank="1" showInputMessage="1" showErrorMessage="1">
          <x14:formula1>
            <xm:f>'بيانات التقييم'!$A$198:$A$286</xm:f>
          </x14:formula1>
          <xm:sqref>G96:J96 F3:J3</xm:sqref>
        </x14:dataValidation>
        <x14:dataValidation type="list" allowBlank="1" showInputMessage="1" showErrorMessage="1">
          <x14:formula1>
            <xm:f>'بيانات التقييم'!$C$1:$C$29</xm:f>
          </x14:formula1>
          <xm:sqref>C3:D3</xm:sqref>
        </x14:dataValidation>
        <x14:dataValidation type="list" allowBlank="1" showInputMessage="1" showErrorMessage="1">
          <x14:formula1>
            <xm:f>'بيانات التقييم'!$A$111:$A$153</xm:f>
          </x14:formula1>
          <xm:sqref>F26 F46</xm:sqref>
        </x14:dataValidation>
        <x14:dataValidation type="list" allowBlank="1" showInputMessage="1" showErrorMessage="1">
          <x14:formula1>
            <xm:f>'بيانات التقييم'!$A$111:$A$173</xm:f>
          </x14:formula1>
          <xm:sqref>F17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I337"/>
  <sheetViews>
    <sheetView rightToLeft="1" topLeftCell="A268" workbookViewId="0">
      <selection activeCell="C2" sqref="C2:C28"/>
    </sheetView>
  </sheetViews>
  <sheetFormatPr defaultRowHeight="20.100000000000001" customHeight="1" x14ac:dyDescent="0.25"/>
  <cols>
    <col min="1" max="1" width="42.42578125" style="1" customWidth="1"/>
    <col min="2" max="2" width="24.85546875" style="1" customWidth="1"/>
    <col min="3" max="3" width="59.85546875" style="1" customWidth="1"/>
    <col min="4" max="9" width="9" style="1"/>
  </cols>
  <sheetData>
    <row r="1" spans="1:3" ht="20.100000000000001" customHeight="1" thickBot="1" x14ac:dyDescent="0.3">
      <c r="A1" s="2" t="s">
        <v>57</v>
      </c>
      <c r="C1" s="2" t="s">
        <v>60</v>
      </c>
    </row>
    <row r="2" spans="1:3" ht="20.100000000000001" customHeight="1" thickBot="1" x14ac:dyDescent="0.3">
      <c r="A2" s="2" t="s">
        <v>35</v>
      </c>
      <c r="C2" s="39" t="s">
        <v>235</v>
      </c>
    </row>
    <row r="3" spans="1:3" ht="20.100000000000001" customHeight="1" thickBot="1" x14ac:dyDescent="0.3">
      <c r="A3" s="2" t="s">
        <v>26</v>
      </c>
      <c r="C3" s="39" t="s">
        <v>236</v>
      </c>
    </row>
    <row r="4" spans="1:3" ht="20.100000000000001" customHeight="1" thickBot="1" x14ac:dyDescent="0.3">
      <c r="A4" s="2" t="s">
        <v>36</v>
      </c>
      <c r="C4" s="39" t="s">
        <v>237</v>
      </c>
    </row>
    <row r="5" spans="1:3" ht="20.100000000000001" customHeight="1" thickBot="1" x14ac:dyDescent="0.3">
      <c r="A5" s="2" t="s">
        <v>37</v>
      </c>
      <c r="C5" s="39" t="s">
        <v>238</v>
      </c>
    </row>
    <row r="6" spans="1:3" ht="20.100000000000001" customHeight="1" thickBot="1" x14ac:dyDescent="0.3">
      <c r="A6" s="2" t="s">
        <v>38</v>
      </c>
      <c r="C6" s="39" t="s">
        <v>239</v>
      </c>
    </row>
    <row r="7" spans="1:3" ht="20.100000000000001" customHeight="1" thickBot="1" x14ac:dyDescent="0.3">
      <c r="A7" s="2" t="s">
        <v>39</v>
      </c>
      <c r="C7" s="39" t="s">
        <v>240</v>
      </c>
    </row>
    <row r="8" spans="1:3" ht="20.100000000000001" customHeight="1" thickBot="1" x14ac:dyDescent="0.3">
      <c r="A8" s="2" t="s">
        <v>40</v>
      </c>
      <c r="C8" s="39" t="s">
        <v>241</v>
      </c>
    </row>
    <row r="9" spans="1:3" ht="20.100000000000001" customHeight="1" thickBot="1" x14ac:dyDescent="0.3">
      <c r="A9" s="2" t="s">
        <v>41</v>
      </c>
      <c r="C9" s="39" t="s">
        <v>242</v>
      </c>
    </row>
    <row r="10" spans="1:3" ht="20.100000000000001" customHeight="1" thickBot="1" x14ac:dyDescent="0.3">
      <c r="A10" s="2" t="s">
        <v>42</v>
      </c>
      <c r="C10" s="39" t="s">
        <v>243</v>
      </c>
    </row>
    <row r="11" spans="1:3" ht="20.100000000000001" customHeight="1" thickBot="1" x14ac:dyDescent="0.3">
      <c r="A11" s="2" t="s">
        <v>43</v>
      </c>
      <c r="C11" s="39" t="s">
        <v>244</v>
      </c>
    </row>
    <row r="12" spans="1:3" ht="20.100000000000001" customHeight="1" thickBot="1" x14ac:dyDescent="0.3">
      <c r="A12" s="2" t="s">
        <v>44</v>
      </c>
      <c r="C12" s="39" t="s">
        <v>245</v>
      </c>
    </row>
    <row r="13" spans="1:3" ht="20.100000000000001" customHeight="1" thickBot="1" x14ac:dyDescent="0.3">
      <c r="A13" s="2" t="s">
        <v>45</v>
      </c>
      <c r="C13" s="39" t="s">
        <v>246</v>
      </c>
    </row>
    <row r="14" spans="1:3" ht="20.100000000000001" customHeight="1" thickBot="1" x14ac:dyDescent="0.3">
      <c r="A14" s="2" t="s">
        <v>46</v>
      </c>
      <c r="C14" s="39" t="s">
        <v>247</v>
      </c>
    </row>
    <row r="15" spans="1:3" ht="20.100000000000001" customHeight="1" thickBot="1" x14ac:dyDescent="0.3">
      <c r="A15" s="2" t="s">
        <v>47</v>
      </c>
      <c r="C15" s="39" t="s">
        <v>248</v>
      </c>
    </row>
    <row r="16" spans="1:3" ht="20.100000000000001" customHeight="1" thickBot="1" x14ac:dyDescent="0.3">
      <c r="A16" s="2" t="s">
        <v>10</v>
      </c>
      <c r="C16" s="39" t="s">
        <v>249</v>
      </c>
    </row>
    <row r="17" spans="1:3" ht="20.100000000000001" customHeight="1" thickBot="1" x14ac:dyDescent="0.3">
      <c r="A17" s="2" t="s">
        <v>27</v>
      </c>
      <c r="C17" s="39" t="s">
        <v>250</v>
      </c>
    </row>
    <row r="18" spans="1:3" ht="20.100000000000001" customHeight="1" thickBot="1" x14ac:dyDescent="0.3">
      <c r="A18" s="2" t="s">
        <v>48</v>
      </c>
      <c r="C18" s="39" t="s">
        <v>251</v>
      </c>
    </row>
    <row r="19" spans="1:3" ht="20.100000000000001" customHeight="1" thickBot="1" x14ac:dyDescent="0.3">
      <c r="A19" s="2" t="s">
        <v>49</v>
      </c>
      <c r="C19" s="39" t="s">
        <v>252</v>
      </c>
    </row>
    <row r="20" spans="1:3" ht="20.100000000000001" customHeight="1" thickBot="1" x14ac:dyDescent="0.3">
      <c r="A20" s="2" t="s">
        <v>50</v>
      </c>
      <c r="C20" s="39" t="s">
        <v>253</v>
      </c>
    </row>
    <row r="21" spans="1:3" ht="20.100000000000001" customHeight="1" thickBot="1" x14ac:dyDescent="0.3">
      <c r="A21" s="2" t="s">
        <v>51</v>
      </c>
      <c r="C21" s="39" t="s">
        <v>254</v>
      </c>
    </row>
    <row r="22" spans="1:3" ht="20.100000000000001" customHeight="1" thickBot="1" x14ac:dyDescent="0.3">
      <c r="A22" s="2" t="s">
        <v>11</v>
      </c>
      <c r="C22" s="39" t="s">
        <v>255</v>
      </c>
    </row>
    <row r="23" spans="1:3" ht="20.100000000000001" customHeight="1" thickBot="1" x14ac:dyDescent="0.3">
      <c r="A23" s="2" t="s">
        <v>12</v>
      </c>
      <c r="C23" s="39" t="s">
        <v>256</v>
      </c>
    </row>
    <row r="24" spans="1:3" ht="20.100000000000001" customHeight="1" thickBot="1" x14ac:dyDescent="0.3">
      <c r="A24" s="2" t="s">
        <v>15</v>
      </c>
      <c r="C24" s="39" t="s">
        <v>257</v>
      </c>
    </row>
    <row r="25" spans="1:3" ht="20.100000000000001" customHeight="1" thickBot="1" x14ac:dyDescent="0.3">
      <c r="A25" s="2" t="s">
        <v>28</v>
      </c>
      <c r="C25" s="39" t="s">
        <v>258</v>
      </c>
    </row>
    <row r="26" spans="1:3" ht="20.100000000000001" customHeight="1" thickBot="1" x14ac:dyDescent="0.3">
      <c r="A26" s="2" t="s">
        <v>29</v>
      </c>
      <c r="C26" s="39" t="s">
        <v>259</v>
      </c>
    </row>
    <row r="27" spans="1:3" ht="20.100000000000001" customHeight="1" thickBot="1" x14ac:dyDescent="0.3">
      <c r="A27" s="2" t="s">
        <v>13</v>
      </c>
      <c r="C27" s="39" t="s">
        <v>260</v>
      </c>
    </row>
    <row r="28" spans="1:3" ht="20.100000000000001" customHeight="1" thickBot="1" x14ac:dyDescent="0.3">
      <c r="A28" s="2" t="s">
        <v>30</v>
      </c>
      <c r="C28" s="39" t="s">
        <v>261</v>
      </c>
    </row>
    <row r="29" spans="1:3" ht="20.100000000000001" customHeight="1" thickBot="1" x14ac:dyDescent="0.3">
      <c r="A29" s="2" t="s">
        <v>31</v>
      </c>
      <c r="C29" s="2" t="s">
        <v>61</v>
      </c>
    </row>
    <row r="30" spans="1:3" ht="20.100000000000001" customHeight="1" thickBot="1" x14ac:dyDescent="0.3">
      <c r="A30" s="2" t="s">
        <v>32</v>
      </c>
      <c r="C30" s="2" t="s">
        <v>61</v>
      </c>
    </row>
    <row r="31" spans="1:3" ht="20.100000000000001" customHeight="1" thickBot="1" x14ac:dyDescent="0.3">
      <c r="A31" s="2" t="s">
        <v>33</v>
      </c>
      <c r="C31" s="2" t="s">
        <v>61</v>
      </c>
    </row>
    <row r="32" spans="1:3" ht="20.100000000000001" customHeight="1" thickBot="1" x14ac:dyDescent="0.3">
      <c r="A32" s="2" t="s">
        <v>16</v>
      </c>
      <c r="C32" s="2" t="s">
        <v>61</v>
      </c>
    </row>
    <row r="33" spans="1:9" ht="20.100000000000001" customHeight="1" thickBot="1" x14ac:dyDescent="0.3">
      <c r="A33" s="2" t="s">
        <v>14</v>
      </c>
      <c r="C33" s="2" t="s">
        <v>61</v>
      </c>
    </row>
    <row r="34" spans="1:9" ht="20.100000000000001" customHeight="1" thickBot="1" x14ac:dyDescent="0.3">
      <c r="A34" s="2" t="s">
        <v>34</v>
      </c>
      <c r="C34" s="2" t="s">
        <v>61</v>
      </c>
    </row>
    <row r="35" spans="1:9" ht="20.100000000000001" customHeight="1" x14ac:dyDescent="0.25">
      <c r="A35" s="19"/>
    </row>
    <row r="36" spans="1:9" s="18" customFormat="1" ht="20.100000000000001" customHeight="1" x14ac:dyDescent="0.25">
      <c r="A36" s="16"/>
      <c r="B36" s="17"/>
      <c r="C36" s="17"/>
      <c r="D36" s="17"/>
      <c r="E36" s="17"/>
      <c r="F36" s="17"/>
      <c r="G36" s="17"/>
      <c r="H36" s="17"/>
      <c r="I36" s="17"/>
    </row>
    <row r="37" spans="1:9" ht="20.100000000000001" customHeight="1" thickBot="1" x14ac:dyDescent="0.3"/>
    <row r="38" spans="1:9" ht="20.100000000000001" customHeight="1" thickBot="1" x14ac:dyDescent="0.3">
      <c r="A38" s="2" t="s">
        <v>56</v>
      </c>
    </row>
    <row r="39" spans="1:9" ht="20.100000000000001" customHeight="1" thickBot="1" x14ac:dyDescent="0.3">
      <c r="A39" s="14">
        <v>45901</v>
      </c>
    </row>
    <row r="40" spans="1:9" ht="20.100000000000001" customHeight="1" thickBot="1" x14ac:dyDescent="0.3">
      <c r="A40" s="14">
        <v>45902</v>
      </c>
    </row>
    <row r="41" spans="1:9" ht="20.100000000000001" customHeight="1" thickBot="1" x14ac:dyDescent="0.3">
      <c r="A41" s="14">
        <v>45903</v>
      </c>
    </row>
    <row r="42" spans="1:9" ht="20.100000000000001" customHeight="1" thickBot="1" x14ac:dyDescent="0.3">
      <c r="A42" s="14">
        <v>45904</v>
      </c>
    </row>
    <row r="43" spans="1:9" ht="20.100000000000001" customHeight="1" thickBot="1" x14ac:dyDescent="0.3">
      <c r="A43" s="14">
        <v>45905</v>
      </c>
    </row>
    <row r="44" spans="1:9" ht="20.100000000000001" customHeight="1" thickBot="1" x14ac:dyDescent="0.3">
      <c r="A44" s="14">
        <v>45906</v>
      </c>
    </row>
    <row r="45" spans="1:9" ht="20.100000000000001" customHeight="1" thickBot="1" x14ac:dyDescent="0.3">
      <c r="A45" s="14">
        <v>45907</v>
      </c>
    </row>
    <row r="46" spans="1:9" ht="20.100000000000001" customHeight="1" thickBot="1" x14ac:dyDescent="0.3">
      <c r="A46" s="14">
        <v>45908</v>
      </c>
    </row>
    <row r="47" spans="1:9" ht="20.100000000000001" customHeight="1" thickBot="1" x14ac:dyDescent="0.3">
      <c r="A47" s="14">
        <v>45909</v>
      </c>
    </row>
    <row r="48" spans="1:9" ht="20.100000000000001" customHeight="1" thickBot="1" x14ac:dyDescent="0.3">
      <c r="A48" s="14">
        <v>45910</v>
      </c>
    </row>
    <row r="49" spans="1:1" ht="20.100000000000001" customHeight="1" thickBot="1" x14ac:dyDescent="0.3">
      <c r="A49" s="14">
        <v>45911</v>
      </c>
    </row>
    <row r="50" spans="1:1" ht="20.100000000000001" customHeight="1" thickBot="1" x14ac:dyDescent="0.3">
      <c r="A50" s="14">
        <v>45912</v>
      </c>
    </row>
    <row r="51" spans="1:1" ht="20.100000000000001" customHeight="1" thickBot="1" x14ac:dyDescent="0.3">
      <c r="A51" s="14">
        <v>45913</v>
      </c>
    </row>
    <row r="52" spans="1:1" ht="20.100000000000001" customHeight="1" thickBot="1" x14ac:dyDescent="0.3">
      <c r="A52" s="14">
        <v>45914</v>
      </c>
    </row>
    <row r="53" spans="1:1" ht="20.100000000000001" customHeight="1" thickBot="1" x14ac:dyDescent="0.3">
      <c r="A53" s="14">
        <v>45915</v>
      </c>
    </row>
    <row r="54" spans="1:1" ht="20.100000000000001" customHeight="1" thickBot="1" x14ac:dyDescent="0.3">
      <c r="A54" s="14">
        <v>45916</v>
      </c>
    </row>
    <row r="55" spans="1:1" ht="20.100000000000001" customHeight="1" thickBot="1" x14ac:dyDescent="0.3">
      <c r="A55" s="14">
        <v>45917</v>
      </c>
    </row>
    <row r="56" spans="1:1" ht="20.100000000000001" customHeight="1" thickBot="1" x14ac:dyDescent="0.3">
      <c r="A56" s="14">
        <v>45918</v>
      </c>
    </row>
    <row r="57" spans="1:1" ht="20.100000000000001" customHeight="1" thickBot="1" x14ac:dyDescent="0.3">
      <c r="A57" s="14">
        <v>45919</v>
      </c>
    </row>
    <row r="58" spans="1:1" ht="20.100000000000001" customHeight="1" thickBot="1" x14ac:dyDescent="0.3">
      <c r="A58" s="14">
        <v>45920</v>
      </c>
    </row>
    <row r="59" spans="1:1" ht="20.100000000000001" customHeight="1" thickBot="1" x14ac:dyDescent="0.3">
      <c r="A59" s="14">
        <v>45921</v>
      </c>
    </row>
    <row r="60" spans="1:1" ht="20.100000000000001" customHeight="1" thickBot="1" x14ac:dyDescent="0.3">
      <c r="A60" s="14">
        <v>45922</v>
      </c>
    </row>
    <row r="61" spans="1:1" ht="20.100000000000001" customHeight="1" thickBot="1" x14ac:dyDescent="0.3">
      <c r="A61" s="14">
        <v>45923</v>
      </c>
    </row>
    <row r="62" spans="1:1" ht="20.100000000000001" customHeight="1" thickBot="1" x14ac:dyDescent="0.3">
      <c r="A62" s="14">
        <v>45924</v>
      </c>
    </row>
    <row r="63" spans="1:1" ht="20.100000000000001" customHeight="1" thickBot="1" x14ac:dyDescent="0.3">
      <c r="A63" s="14">
        <v>45925</v>
      </c>
    </row>
    <row r="64" spans="1:1" ht="20.100000000000001" customHeight="1" thickBot="1" x14ac:dyDescent="0.3">
      <c r="A64" s="14">
        <v>45926</v>
      </c>
    </row>
    <row r="65" spans="1:1" ht="20.100000000000001" customHeight="1" thickBot="1" x14ac:dyDescent="0.3">
      <c r="A65" s="14">
        <v>45927</v>
      </c>
    </row>
    <row r="66" spans="1:1" ht="20.100000000000001" customHeight="1" thickBot="1" x14ac:dyDescent="0.3">
      <c r="A66" s="14">
        <v>45928</v>
      </c>
    </row>
    <row r="67" spans="1:1" ht="20.100000000000001" customHeight="1" thickBot="1" x14ac:dyDescent="0.3">
      <c r="A67" s="14">
        <v>45929</v>
      </c>
    </row>
    <row r="68" spans="1:1" ht="20.100000000000001" customHeight="1" thickBot="1" x14ac:dyDescent="0.3">
      <c r="A68" s="14">
        <v>45930</v>
      </c>
    </row>
    <row r="69" spans="1:1" ht="20.100000000000001" customHeight="1" thickBot="1" x14ac:dyDescent="0.3">
      <c r="A69" s="14">
        <v>45931</v>
      </c>
    </row>
    <row r="70" spans="1:1" ht="20.100000000000001" customHeight="1" thickBot="1" x14ac:dyDescent="0.3">
      <c r="A70" s="14">
        <v>45932</v>
      </c>
    </row>
    <row r="71" spans="1:1" ht="20.100000000000001" customHeight="1" thickBot="1" x14ac:dyDescent="0.3">
      <c r="A71" s="14">
        <v>45933</v>
      </c>
    </row>
    <row r="72" spans="1:1" ht="20.100000000000001" customHeight="1" thickBot="1" x14ac:dyDescent="0.3">
      <c r="A72" s="14">
        <v>45934</v>
      </c>
    </row>
    <row r="73" spans="1:1" ht="20.100000000000001" customHeight="1" thickBot="1" x14ac:dyDescent="0.3">
      <c r="A73" s="14">
        <v>45935</v>
      </c>
    </row>
    <row r="74" spans="1:1" ht="20.100000000000001" customHeight="1" thickBot="1" x14ac:dyDescent="0.3">
      <c r="A74" s="14">
        <v>45936</v>
      </c>
    </row>
    <row r="75" spans="1:1" ht="20.100000000000001" customHeight="1" thickBot="1" x14ac:dyDescent="0.3">
      <c r="A75" s="14">
        <v>45937</v>
      </c>
    </row>
    <row r="76" spans="1:1" ht="20.100000000000001" customHeight="1" thickBot="1" x14ac:dyDescent="0.3">
      <c r="A76" s="14">
        <v>45938</v>
      </c>
    </row>
    <row r="77" spans="1:1" ht="20.100000000000001" customHeight="1" thickBot="1" x14ac:dyDescent="0.3">
      <c r="A77" s="14">
        <v>45939</v>
      </c>
    </row>
    <row r="78" spans="1:1" ht="20.100000000000001" customHeight="1" thickBot="1" x14ac:dyDescent="0.3">
      <c r="A78" s="14">
        <v>45940</v>
      </c>
    </row>
    <row r="79" spans="1:1" ht="20.100000000000001" customHeight="1" thickBot="1" x14ac:dyDescent="0.3">
      <c r="A79" s="14">
        <v>45941</v>
      </c>
    </row>
    <row r="80" spans="1:1" ht="20.100000000000001" customHeight="1" thickBot="1" x14ac:dyDescent="0.3">
      <c r="A80" s="14">
        <v>45942</v>
      </c>
    </row>
    <row r="81" spans="1:1" ht="20.100000000000001" customHeight="1" thickBot="1" x14ac:dyDescent="0.3">
      <c r="A81" s="14">
        <v>45943</v>
      </c>
    </row>
    <row r="82" spans="1:1" ht="20.100000000000001" customHeight="1" thickBot="1" x14ac:dyDescent="0.3">
      <c r="A82" s="14">
        <v>45944</v>
      </c>
    </row>
    <row r="83" spans="1:1" ht="20.100000000000001" customHeight="1" thickBot="1" x14ac:dyDescent="0.3">
      <c r="A83" s="14">
        <v>45945</v>
      </c>
    </row>
    <row r="84" spans="1:1" ht="20.100000000000001" customHeight="1" thickBot="1" x14ac:dyDescent="0.3">
      <c r="A84" s="14">
        <v>45946</v>
      </c>
    </row>
    <row r="85" spans="1:1" ht="20.100000000000001" customHeight="1" thickBot="1" x14ac:dyDescent="0.3">
      <c r="A85" s="14">
        <v>45947</v>
      </c>
    </row>
    <row r="86" spans="1:1" ht="20.100000000000001" customHeight="1" thickBot="1" x14ac:dyDescent="0.3">
      <c r="A86" s="14">
        <v>45948</v>
      </c>
    </row>
    <row r="87" spans="1:1" ht="20.100000000000001" customHeight="1" thickBot="1" x14ac:dyDescent="0.3">
      <c r="A87" s="14">
        <v>45949</v>
      </c>
    </row>
    <row r="88" spans="1:1" ht="20.100000000000001" customHeight="1" thickBot="1" x14ac:dyDescent="0.3">
      <c r="A88" s="14">
        <v>45950</v>
      </c>
    </row>
    <row r="89" spans="1:1" ht="20.100000000000001" customHeight="1" thickBot="1" x14ac:dyDescent="0.3">
      <c r="A89" s="14">
        <v>45951</v>
      </c>
    </row>
    <row r="90" spans="1:1" ht="20.100000000000001" customHeight="1" thickBot="1" x14ac:dyDescent="0.3">
      <c r="A90" s="14">
        <v>45952</v>
      </c>
    </row>
    <row r="91" spans="1:1" ht="20.100000000000001" customHeight="1" thickBot="1" x14ac:dyDescent="0.3">
      <c r="A91" s="14">
        <v>45953</v>
      </c>
    </row>
    <row r="92" spans="1:1" ht="20.100000000000001" customHeight="1" thickBot="1" x14ac:dyDescent="0.3">
      <c r="A92" s="14">
        <v>45954</v>
      </c>
    </row>
    <row r="93" spans="1:1" ht="20.100000000000001" customHeight="1" thickBot="1" x14ac:dyDescent="0.3">
      <c r="A93" s="14">
        <v>45955</v>
      </c>
    </row>
    <row r="94" spans="1:1" ht="20.100000000000001" customHeight="1" thickBot="1" x14ac:dyDescent="0.3">
      <c r="A94" s="14">
        <v>45956</v>
      </c>
    </row>
    <row r="95" spans="1:1" ht="20.100000000000001" customHeight="1" thickBot="1" x14ac:dyDescent="0.3">
      <c r="A95" s="14">
        <v>45957</v>
      </c>
    </row>
    <row r="96" spans="1:1" ht="20.100000000000001" customHeight="1" thickBot="1" x14ac:dyDescent="0.3">
      <c r="A96" s="14">
        <v>45958</v>
      </c>
    </row>
    <row r="97" spans="1:9" ht="20.100000000000001" customHeight="1" thickBot="1" x14ac:dyDescent="0.3">
      <c r="A97" s="14">
        <v>45959</v>
      </c>
    </row>
    <row r="98" spans="1:9" ht="20.100000000000001" customHeight="1" thickBot="1" x14ac:dyDescent="0.3">
      <c r="A98" s="14">
        <v>45960</v>
      </c>
    </row>
    <row r="99" spans="1:9" ht="20.100000000000001" customHeight="1" thickBot="1" x14ac:dyDescent="0.3">
      <c r="A99" s="14">
        <v>45961</v>
      </c>
    </row>
    <row r="100" spans="1:9" ht="20.100000000000001" customHeight="1" thickBot="1" x14ac:dyDescent="0.3">
      <c r="A100" s="14">
        <v>45962</v>
      </c>
    </row>
    <row r="101" spans="1:9" ht="20.100000000000001" customHeight="1" thickBot="1" x14ac:dyDescent="0.3">
      <c r="A101" s="14">
        <v>45963</v>
      </c>
    </row>
    <row r="102" spans="1:9" ht="20.100000000000001" customHeight="1" thickBot="1" x14ac:dyDescent="0.3">
      <c r="A102" s="14">
        <v>45964</v>
      </c>
    </row>
    <row r="103" spans="1:9" ht="20.100000000000001" customHeight="1" thickBot="1" x14ac:dyDescent="0.3">
      <c r="A103" s="14">
        <v>45965</v>
      </c>
    </row>
    <row r="104" spans="1:9" ht="20.100000000000001" customHeight="1" thickBot="1" x14ac:dyDescent="0.3">
      <c r="A104" s="14">
        <v>45966</v>
      </c>
    </row>
    <row r="105" spans="1:9" ht="20.100000000000001" customHeight="1" thickBot="1" x14ac:dyDescent="0.3">
      <c r="A105" s="14">
        <v>45967</v>
      </c>
    </row>
    <row r="106" spans="1:9" ht="20.100000000000001" customHeight="1" thickBot="1" x14ac:dyDescent="0.3">
      <c r="A106" s="14">
        <v>45968</v>
      </c>
    </row>
    <row r="107" spans="1:9" ht="20.100000000000001" customHeight="1" x14ac:dyDescent="0.25">
      <c r="A107" s="15"/>
    </row>
    <row r="108" spans="1:9" ht="20.100000000000001" customHeight="1" x14ac:dyDescent="0.25">
      <c r="A108" s="15"/>
    </row>
    <row r="109" spans="1:9" s="18" customFormat="1" ht="20.100000000000001" customHeight="1" x14ac:dyDescent="0.25">
      <c r="A109" s="16"/>
      <c r="B109" s="17"/>
      <c r="C109" s="17"/>
      <c r="D109" s="17"/>
      <c r="E109" s="17"/>
      <c r="F109" s="17"/>
      <c r="G109" s="17"/>
      <c r="H109" s="17"/>
      <c r="I109" s="17"/>
    </row>
    <row r="110" spans="1:9" ht="20.100000000000001" customHeight="1" thickBot="1" x14ac:dyDescent="0.3"/>
    <row r="111" spans="1:9" ht="20.100000000000001" customHeight="1" thickBot="1" x14ac:dyDescent="0.3">
      <c r="A111" s="2" t="s">
        <v>62</v>
      </c>
    </row>
    <row r="112" spans="1:9" ht="20.100000000000001" customHeight="1" thickBot="1" x14ac:dyDescent="0.3">
      <c r="A112" s="2" t="s">
        <v>17</v>
      </c>
    </row>
    <row r="113" spans="1:1" ht="20.100000000000001" customHeight="1" thickBot="1" x14ac:dyDescent="0.3">
      <c r="A113" s="2">
        <v>0</v>
      </c>
    </row>
    <row r="114" spans="1:1" ht="20.100000000000001" customHeight="1" thickBot="1" x14ac:dyDescent="0.3">
      <c r="A114" s="2">
        <v>0.25</v>
      </c>
    </row>
    <row r="115" spans="1:1" ht="20.100000000000001" customHeight="1" thickBot="1" x14ac:dyDescent="0.3">
      <c r="A115" s="2">
        <v>0.5</v>
      </c>
    </row>
    <row r="116" spans="1:1" ht="20.100000000000001" customHeight="1" thickBot="1" x14ac:dyDescent="0.3">
      <c r="A116" s="2">
        <v>0.75</v>
      </c>
    </row>
    <row r="117" spans="1:1" ht="20.100000000000001" customHeight="1" thickBot="1" x14ac:dyDescent="0.3">
      <c r="A117" s="2">
        <v>1</v>
      </c>
    </row>
    <row r="118" spans="1:1" ht="20.100000000000001" customHeight="1" thickBot="1" x14ac:dyDescent="0.3">
      <c r="A118" s="2">
        <v>1.25</v>
      </c>
    </row>
    <row r="119" spans="1:1" ht="20.100000000000001" customHeight="1" thickBot="1" x14ac:dyDescent="0.3">
      <c r="A119" s="2">
        <v>1.5</v>
      </c>
    </row>
    <row r="120" spans="1:1" ht="20.100000000000001" customHeight="1" thickBot="1" x14ac:dyDescent="0.3">
      <c r="A120" s="2">
        <v>1.75</v>
      </c>
    </row>
    <row r="121" spans="1:1" ht="20.100000000000001" customHeight="1" thickBot="1" x14ac:dyDescent="0.3">
      <c r="A121" s="2">
        <v>2</v>
      </c>
    </row>
    <row r="122" spans="1:1" ht="20.100000000000001" customHeight="1" thickBot="1" x14ac:dyDescent="0.3">
      <c r="A122" s="2">
        <v>2.25</v>
      </c>
    </row>
    <row r="123" spans="1:1" ht="20.100000000000001" customHeight="1" thickBot="1" x14ac:dyDescent="0.3">
      <c r="A123" s="2">
        <v>2.5</v>
      </c>
    </row>
    <row r="124" spans="1:1" ht="20.100000000000001" customHeight="1" thickBot="1" x14ac:dyDescent="0.3">
      <c r="A124" s="2">
        <v>2.75</v>
      </c>
    </row>
    <row r="125" spans="1:1" ht="20.100000000000001" customHeight="1" thickBot="1" x14ac:dyDescent="0.3">
      <c r="A125" s="2">
        <v>3</v>
      </c>
    </row>
    <row r="126" spans="1:1" ht="20.100000000000001" customHeight="1" thickBot="1" x14ac:dyDescent="0.3">
      <c r="A126" s="2">
        <v>3.25</v>
      </c>
    </row>
    <row r="127" spans="1:1" ht="20.100000000000001" customHeight="1" thickBot="1" x14ac:dyDescent="0.3">
      <c r="A127" s="2">
        <v>3.5</v>
      </c>
    </row>
    <row r="128" spans="1:1" ht="20.100000000000001" customHeight="1" thickBot="1" x14ac:dyDescent="0.3">
      <c r="A128" s="2">
        <v>3.75</v>
      </c>
    </row>
    <row r="129" spans="1:1" ht="20.100000000000001" customHeight="1" thickBot="1" x14ac:dyDescent="0.3">
      <c r="A129" s="2">
        <v>4</v>
      </c>
    </row>
    <row r="130" spans="1:1" ht="20.100000000000001" customHeight="1" thickBot="1" x14ac:dyDescent="0.3">
      <c r="A130" s="2">
        <v>4.25</v>
      </c>
    </row>
    <row r="131" spans="1:1" ht="20.100000000000001" customHeight="1" thickBot="1" x14ac:dyDescent="0.3">
      <c r="A131" s="2">
        <v>4.5</v>
      </c>
    </row>
    <row r="132" spans="1:1" ht="20.100000000000001" customHeight="1" thickBot="1" x14ac:dyDescent="0.3">
      <c r="A132" s="2">
        <v>4.75</v>
      </c>
    </row>
    <row r="133" spans="1:1" ht="20.100000000000001" customHeight="1" thickBot="1" x14ac:dyDescent="0.3">
      <c r="A133" s="2">
        <v>5</v>
      </c>
    </row>
    <row r="134" spans="1:1" ht="20.100000000000001" customHeight="1" thickBot="1" x14ac:dyDescent="0.3">
      <c r="A134" s="2">
        <v>5.25</v>
      </c>
    </row>
    <row r="135" spans="1:1" ht="20.100000000000001" customHeight="1" thickBot="1" x14ac:dyDescent="0.3">
      <c r="A135" s="2">
        <v>5.5</v>
      </c>
    </row>
    <row r="136" spans="1:1" ht="20.100000000000001" customHeight="1" thickBot="1" x14ac:dyDescent="0.3">
      <c r="A136" s="2">
        <v>5.75</v>
      </c>
    </row>
    <row r="137" spans="1:1" ht="20.100000000000001" customHeight="1" thickBot="1" x14ac:dyDescent="0.3">
      <c r="A137" s="2">
        <v>6</v>
      </c>
    </row>
    <row r="138" spans="1:1" ht="20.100000000000001" customHeight="1" thickBot="1" x14ac:dyDescent="0.3">
      <c r="A138" s="2">
        <v>6.25</v>
      </c>
    </row>
    <row r="139" spans="1:1" ht="20.100000000000001" customHeight="1" thickBot="1" x14ac:dyDescent="0.3">
      <c r="A139" s="2">
        <v>6.5</v>
      </c>
    </row>
    <row r="140" spans="1:1" ht="20.100000000000001" customHeight="1" thickBot="1" x14ac:dyDescent="0.3">
      <c r="A140" s="2">
        <v>6.75</v>
      </c>
    </row>
    <row r="141" spans="1:1" ht="20.100000000000001" customHeight="1" thickBot="1" x14ac:dyDescent="0.3">
      <c r="A141" s="2">
        <v>7</v>
      </c>
    </row>
    <row r="142" spans="1:1" ht="20.100000000000001" customHeight="1" thickBot="1" x14ac:dyDescent="0.3">
      <c r="A142" s="2">
        <v>7.25</v>
      </c>
    </row>
    <row r="143" spans="1:1" ht="20.100000000000001" customHeight="1" thickBot="1" x14ac:dyDescent="0.3">
      <c r="A143" s="2">
        <v>7.5</v>
      </c>
    </row>
    <row r="144" spans="1:1" ht="20.100000000000001" customHeight="1" thickBot="1" x14ac:dyDescent="0.3">
      <c r="A144" s="2">
        <v>7.75</v>
      </c>
    </row>
    <row r="145" spans="1:1" ht="20.100000000000001" customHeight="1" thickBot="1" x14ac:dyDescent="0.3">
      <c r="A145" s="2">
        <v>8</v>
      </c>
    </row>
    <row r="146" spans="1:1" ht="20.100000000000001" customHeight="1" thickBot="1" x14ac:dyDescent="0.3">
      <c r="A146" s="2">
        <v>8.25</v>
      </c>
    </row>
    <row r="147" spans="1:1" ht="20.100000000000001" customHeight="1" thickBot="1" x14ac:dyDescent="0.3">
      <c r="A147" s="2">
        <v>8.5</v>
      </c>
    </row>
    <row r="148" spans="1:1" ht="20.100000000000001" customHeight="1" thickBot="1" x14ac:dyDescent="0.3">
      <c r="A148" s="2">
        <v>8.75</v>
      </c>
    </row>
    <row r="149" spans="1:1" ht="20.100000000000001" customHeight="1" thickBot="1" x14ac:dyDescent="0.3">
      <c r="A149" s="2">
        <v>9</v>
      </c>
    </row>
    <row r="150" spans="1:1" ht="20.100000000000001" customHeight="1" thickBot="1" x14ac:dyDescent="0.3">
      <c r="A150" s="2">
        <v>9.25</v>
      </c>
    </row>
    <row r="151" spans="1:1" ht="20.100000000000001" customHeight="1" thickBot="1" x14ac:dyDescent="0.3">
      <c r="A151" s="2">
        <v>9.5</v>
      </c>
    </row>
    <row r="152" spans="1:1" ht="20.100000000000001" customHeight="1" thickBot="1" x14ac:dyDescent="0.3">
      <c r="A152" s="2">
        <v>9.75</v>
      </c>
    </row>
    <row r="153" spans="1:1" ht="20.100000000000001" customHeight="1" thickBot="1" x14ac:dyDescent="0.3">
      <c r="A153" s="2">
        <v>10</v>
      </c>
    </row>
    <row r="154" spans="1:1" ht="20.100000000000001" customHeight="1" thickBot="1" x14ac:dyDescent="0.3">
      <c r="A154" s="2">
        <v>10.25</v>
      </c>
    </row>
    <row r="155" spans="1:1" ht="20.100000000000001" customHeight="1" thickBot="1" x14ac:dyDescent="0.3">
      <c r="A155" s="2">
        <v>10.5</v>
      </c>
    </row>
    <row r="156" spans="1:1" ht="20.100000000000001" customHeight="1" thickBot="1" x14ac:dyDescent="0.3">
      <c r="A156" s="2">
        <v>10.75</v>
      </c>
    </row>
    <row r="157" spans="1:1" ht="20.100000000000001" customHeight="1" thickBot="1" x14ac:dyDescent="0.3">
      <c r="A157" s="2">
        <v>11</v>
      </c>
    </row>
    <row r="158" spans="1:1" ht="20.100000000000001" customHeight="1" thickBot="1" x14ac:dyDescent="0.3">
      <c r="A158" s="2">
        <v>11.25</v>
      </c>
    </row>
    <row r="159" spans="1:1" ht="20.100000000000001" customHeight="1" thickBot="1" x14ac:dyDescent="0.3">
      <c r="A159" s="2">
        <v>11.5</v>
      </c>
    </row>
    <row r="160" spans="1:1" ht="20.100000000000001" customHeight="1" thickBot="1" x14ac:dyDescent="0.3">
      <c r="A160" s="2">
        <v>11.75</v>
      </c>
    </row>
    <row r="161" spans="1:1" ht="20.100000000000001" customHeight="1" thickBot="1" x14ac:dyDescent="0.3">
      <c r="A161" s="2">
        <v>12</v>
      </c>
    </row>
    <row r="162" spans="1:1" ht="20.100000000000001" customHeight="1" thickBot="1" x14ac:dyDescent="0.3">
      <c r="A162" s="2">
        <v>12.25</v>
      </c>
    </row>
    <row r="163" spans="1:1" ht="20.100000000000001" customHeight="1" thickBot="1" x14ac:dyDescent="0.3">
      <c r="A163" s="2">
        <v>12.5</v>
      </c>
    </row>
    <row r="164" spans="1:1" ht="20.100000000000001" customHeight="1" thickBot="1" x14ac:dyDescent="0.3">
      <c r="A164" s="2">
        <v>12.75</v>
      </c>
    </row>
    <row r="165" spans="1:1" ht="20.100000000000001" customHeight="1" thickBot="1" x14ac:dyDescent="0.3">
      <c r="A165" s="2">
        <v>13</v>
      </c>
    </row>
    <row r="166" spans="1:1" ht="20.100000000000001" customHeight="1" thickBot="1" x14ac:dyDescent="0.3">
      <c r="A166" s="2">
        <v>13.25</v>
      </c>
    </row>
    <row r="167" spans="1:1" ht="20.100000000000001" customHeight="1" thickBot="1" x14ac:dyDescent="0.3">
      <c r="A167" s="2">
        <v>13.5</v>
      </c>
    </row>
    <row r="168" spans="1:1" ht="20.100000000000001" customHeight="1" thickBot="1" x14ac:dyDescent="0.3">
      <c r="A168" s="2">
        <v>13.75</v>
      </c>
    </row>
    <row r="169" spans="1:1" ht="20.100000000000001" customHeight="1" thickBot="1" x14ac:dyDescent="0.3">
      <c r="A169" s="2">
        <v>14</v>
      </c>
    </row>
    <row r="170" spans="1:1" ht="20.100000000000001" customHeight="1" thickBot="1" x14ac:dyDescent="0.3">
      <c r="A170" s="2">
        <v>14.25</v>
      </c>
    </row>
    <row r="171" spans="1:1" ht="20.100000000000001" customHeight="1" thickBot="1" x14ac:dyDescent="0.3">
      <c r="A171" s="2">
        <v>14.5</v>
      </c>
    </row>
    <row r="172" spans="1:1" ht="20.100000000000001" customHeight="1" thickBot="1" x14ac:dyDescent="0.3">
      <c r="A172" s="2">
        <v>14.75</v>
      </c>
    </row>
    <row r="173" spans="1:1" ht="20.100000000000001" customHeight="1" thickBot="1" x14ac:dyDescent="0.3">
      <c r="A173" s="2">
        <v>15</v>
      </c>
    </row>
    <row r="174" spans="1:1" ht="20.100000000000001" customHeight="1" thickBot="1" x14ac:dyDescent="0.3">
      <c r="A174" s="2">
        <v>15.25</v>
      </c>
    </row>
    <row r="175" spans="1:1" ht="20.100000000000001" customHeight="1" thickBot="1" x14ac:dyDescent="0.3">
      <c r="A175" s="2">
        <v>15.5</v>
      </c>
    </row>
    <row r="176" spans="1:1" ht="20.100000000000001" customHeight="1" thickBot="1" x14ac:dyDescent="0.3">
      <c r="A176" s="2">
        <v>15.75</v>
      </c>
    </row>
    <row r="177" spans="1:1" ht="20.100000000000001" customHeight="1" thickBot="1" x14ac:dyDescent="0.3">
      <c r="A177" s="2">
        <v>16</v>
      </c>
    </row>
    <row r="178" spans="1:1" ht="20.100000000000001" customHeight="1" thickBot="1" x14ac:dyDescent="0.3">
      <c r="A178" s="2">
        <v>16.25</v>
      </c>
    </row>
    <row r="179" spans="1:1" ht="20.100000000000001" customHeight="1" thickBot="1" x14ac:dyDescent="0.3">
      <c r="A179" s="2">
        <v>16.5</v>
      </c>
    </row>
    <row r="180" spans="1:1" ht="20.100000000000001" customHeight="1" thickBot="1" x14ac:dyDescent="0.3">
      <c r="A180" s="2">
        <v>16.75</v>
      </c>
    </row>
    <row r="181" spans="1:1" ht="20.100000000000001" customHeight="1" thickBot="1" x14ac:dyDescent="0.3">
      <c r="A181" s="2">
        <v>17</v>
      </c>
    </row>
    <row r="182" spans="1:1" ht="20.100000000000001" customHeight="1" thickBot="1" x14ac:dyDescent="0.3">
      <c r="A182" s="2">
        <v>17.25</v>
      </c>
    </row>
    <row r="183" spans="1:1" ht="20.100000000000001" customHeight="1" thickBot="1" x14ac:dyDescent="0.3">
      <c r="A183" s="2">
        <v>17.5</v>
      </c>
    </row>
    <row r="184" spans="1:1" ht="20.100000000000001" customHeight="1" thickBot="1" x14ac:dyDescent="0.3">
      <c r="A184" s="2">
        <v>17.75</v>
      </c>
    </row>
    <row r="185" spans="1:1" ht="20.100000000000001" customHeight="1" thickBot="1" x14ac:dyDescent="0.3">
      <c r="A185" s="2">
        <v>18</v>
      </c>
    </row>
    <row r="186" spans="1:1" ht="20.100000000000001" customHeight="1" thickBot="1" x14ac:dyDescent="0.3">
      <c r="A186" s="2">
        <v>18.25</v>
      </c>
    </row>
    <row r="187" spans="1:1" ht="20.100000000000001" customHeight="1" thickBot="1" x14ac:dyDescent="0.3">
      <c r="A187" s="2">
        <v>18.5</v>
      </c>
    </row>
    <row r="188" spans="1:1" ht="20.100000000000001" customHeight="1" thickBot="1" x14ac:dyDescent="0.3">
      <c r="A188" s="2">
        <v>18.75</v>
      </c>
    </row>
    <row r="189" spans="1:1" ht="20.100000000000001" customHeight="1" thickBot="1" x14ac:dyDescent="0.3">
      <c r="A189" s="2">
        <v>19</v>
      </c>
    </row>
    <row r="190" spans="1:1" ht="20.100000000000001" customHeight="1" thickBot="1" x14ac:dyDescent="0.3">
      <c r="A190" s="2">
        <v>19.25</v>
      </c>
    </row>
    <row r="191" spans="1:1" ht="20.100000000000001" customHeight="1" thickBot="1" x14ac:dyDescent="0.3">
      <c r="A191" s="2">
        <v>19.5</v>
      </c>
    </row>
    <row r="192" spans="1:1" ht="20.100000000000001" customHeight="1" thickBot="1" x14ac:dyDescent="0.3">
      <c r="A192" s="2">
        <v>19.75</v>
      </c>
    </row>
    <row r="193" spans="1:1" ht="20.100000000000001" customHeight="1" thickBot="1" x14ac:dyDescent="0.3">
      <c r="A193" s="2">
        <v>20</v>
      </c>
    </row>
    <row r="197" spans="1:1" ht="20.100000000000001" customHeight="1" thickBot="1" x14ac:dyDescent="0.3"/>
    <row r="198" spans="1:1" ht="20.100000000000001" customHeight="1" thickBot="1" x14ac:dyDescent="0.3">
      <c r="A198" s="2" t="s">
        <v>59</v>
      </c>
    </row>
    <row r="199" spans="1:1" ht="20.100000000000001" customHeight="1" x14ac:dyDescent="0.25">
      <c r="A199" s="34" t="s">
        <v>149</v>
      </c>
    </row>
    <row r="200" spans="1:1" ht="20.100000000000001" customHeight="1" x14ac:dyDescent="0.25">
      <c r="A200" s="34" t="s">
        <v>150</v>
      </c>
    </row>
    <row r="201" spans="1:1" ht="20.100000000000001" customHeight="1" x14ac:dyDescent="0.25">
      <c r="A201" s="34" t="s">
        <v>151</v>
      </c>
    </row>
    <row r="202" spans="1:1" ht="20.100000000000001" customHeight="1" x14ac:dyDescent="0.25">
      <c r="A202" s="34" t="s">
        <v>152</v>
      </c>
    </row>
    <row r="203" spans="1:1" ht="20.100000000000001" customHeight="1" x14ac:dyDescent="0.25">
      <c r="A203" s="34" t="s">
        <v>153</v>
      </c>
    </row>
    <row r="204" spans="1:1" ht="20.100000000000001" customHeight="1" x14ac:dyDescent="0.25">
      <c r="A204" s="34" t="s">
        <v>154</v>
      </c>
    </row>
    <row r="205" spans="1:1" ht="20.100000000000001" customHeight="1" x14ac:dyDescent="0.25">
      <c r="A205" s="34" t="s">
        <v>155</v>
      </c>
    </row>
    <row r="206" spans="1:1" ht="20.100000000000001" customHeight="1" x14ac:dyDescent="0.25">
      <c r="A206" s="34" t="s">
        <v>156</v>
      </c>
    </row>
    <row r="207" spans="1:1" ht="20.100000000000001" customHeight="1" x14ac:dyDescent="0.25">
      <c r="A207" s="34" t="s">
        <v>157</v>
      </c>
    </row>
    <row r="208" spans="1:1" ht="20.100000000000001" customHeight="1" x14ac:dyDescent="0.25">
      <c r="A208" s="35" t="s">
        <v>158</v>
      </c>
    </row>
    <row r="209" spans="1:1" ht="20.100000000000001" customHeight="1" x14ac:dyDescent="0.25">
      <c r="A209" s="35" t="s">
        <v>159</v>
      </c>
    </row>
    <row r="210" spans="1:1" ht="20.100000000000001" customHeight="1" x14ac:dyDescent="0.25">
      <c r="A210" s="34" t="s">
        <v>160</v>
      </c>
    </row>
    <row r="211" spans="1:1" ht="20.100000000000001" customHeight="1" x14ac:dyDescent="0.25">
      <c r="A211" s="34" t="s">
        <v>161</v>
      </c>
    </row>
    <row r="212" spans="1:1" ht="20.100000000000001" customHeight="1" x14ac:dyDescent="0.25">
      <c r="A212" s="34" t="s">
        <v>162</v>
      </c>
    </row>
    <row r="213" spans="1:1" ht="20.100000000000001" customHeight="1" x14ac:dyDescent="0.25">
      <c r="A213" s="34" t="s">
        <v>163</v>
      </c>
    </row>
    <row r="214" spans="1:1" ht="20.100000000000001" customHeight="1" x14ac:dyDescent="0.25">
      <c r="A214" s="34" t="s">
        <v>164</v>
      </c>
    </row>
    <row r="215" spans="1:1" ht="20.100000000000001" customHeight="1" x14ac:dyDescent="0.25">
      <c r="A215" s="34" t="s">
        <v>165</v>
      </c>
    </row>
    <row r="216" spans="1:1" ht="20.100000000000001" customHeight="1" x14ac:dyDescent="0.25">
      <c r="A216" s="34" t="s">
        <v>166</v>
      </c>
    </row>
    <row r="217" spans="1:1" ht="20.100000000000001" customHeight="1" x14ac:dyDescent="0.25">
      <c r="A217" s="34" t="s">
        <v>167</v>
      </c>
    </row>
    <row r="218" spans="1:1" ht="20.100000000000001" customHeight="1" x14ac:dyDescent="0.25">
      <c r="A218" s="34" t="s">
        <v>168</v>
      </c>
    </row>
    <row r="219" spans="1:1" ht="20.100000000000001" customHeight="1" x14ac:dyDescent="0.25">
      <c r="A219" s="34" t="s">
        <v>169</v>
      </c>
    </row>
    <row r="220" spans="1:1" ht="20.100000000000001" customHeight="1" x14ac:dyDescent="0.25">
      <c r="A220" s="34" t="s">
        <v>170</v>
      </c>
    </row>
    <row r="221" spans="1:1" ht="20.100000000000001" customHeight="1" x14ac:dyDescent="0.25">
      <c r="A221" s="34" t="s">
        <v>171</v>
      </c>
    </row>
    <row r="222" spans="1:1" ht="20.100000000000001" customHeight="1" x14ac:dyDescent="0.25">
      <c r="A222" s="34" t="s">
        <v>172</v>
      </c>
    </row>
    <row r="223" spans="1:1" ht="20.100000000000001" customHeight="1" x14ac:dyDescent="0.25">
      <c r="A223" s="34" t="s">
        <v>173</v>
      </c>
    </row>
    <row r="224" spans="1:1" ht="20.100000000000001" customHeight="1" x14ac:dyDescent="0.25">
      <c r="A224" s="34" t="s">
        <v>174</v>
      </c>
    </row>
    <row r="225" spans="1:1" ht="20.100000000000001" customHeight="1" x14ac:dyDescent="0.25">
      <c r="A225" s="34" t="s">
        <v>175</v>
      </c>
    </row>
    <row r="226" spans="1:1" ht="20.100000000000001" customHeight="1" x14ac:dyDescent="0.25">
      <c r="A226" s="34" t="s">
        <v>176</v>
      </c>
    </row>
    <row r="227" spans="1:1" ht="20.100000000000001" customHeight="1" x14ac:dyDescent="0.25">
      <c r="A227" s="34" t="s">
        <v>177</v>
      </c>
    </row>
    <row r="228" spans="1:1" ht="20.100000000000001" customHeight="1" x14ac:dyDescent="0.25">
      <c r="A228" s="34" t="s">
        <v>178</v>
      </c>
    </row>
    <row r="229" spans="1:1" ht="20.100000000000001" customHeight="1" x14ac:dyDescent="0.25">
      <c r="A229" s="34" t="s">
        <v>179</v>
      </c>
    </row>
    <row r="230" spans="1:1" ht="20.100000000000001" customHeight="1" x14ac:dyDescent="0.25">
      <c r="A230" s="34" t="s">
        <v>180</v>
      </c>
    </row>
    <row r="231" spans="1:1" ht="20.100000000000001" customHeight="1" x14ac:dyDescent="0.25">
      <c r="A231" s="34" t="s">
        <v>181</v>
      </c>
    </row>
    <row r="232" spans="1:1" ht="20.100000000000001" customHeight="1" x14ac:dyDescent="0.25">
      <c r="A232" s="34" t="s">
        <v>182</v>
      </c>
    </row>
    <row r="233" spans="1:1" ht="20.100000000000001" customHeight="1" x14ac:dyDescent="0.25">
      <c r="A233" s="34" t="s">
        <v>183</v>
      </c>
    </row>
    <row r="234" spans="1:1" ht="20.100000000000001" customHeight="1" x14ac:dyDescent="0.25">
      <c r="A234" s="34" t="s">
        <v>184</v>
      </c>
    </row>
    <row r="235" spans="1:1" ht="20.100000000000001" customHeight="1" x14ac:dyDescent="0.25">
      <c r="A235" s="36" t="s">
        <v>185</v>
      </c>
    </row>
    <row r="236" spans="1:1" ht="20.100000000000001" customHeight="1" x14ac:dyDescent="0.25">
      <c r="A236" s="34" t="s">
        <v>186</v>
      </c>
    </row>
    <row r="237" spans="1:1" ht="20.100000000000001" customHeight="1" x14ac:dyDescent="0.25">
      <c r="A237" s="34" t="s">
        <v>187</v>
      </c>
    </row>
    <row r="238" spans="1:1" ht="20.100000000000001" customHeight="1" x14ac:dyDescent="0.25">
      <c r="A238" s="34" t="s">
        <v>188</v>
      </c>
    </row>
    <row r="239" spans="1:1" ht="20.100000000000001" customHeight="1" x14ac:dyDescent="0.25">
      <c r="A239" s="34" t="s">
        <v>189</v>
      </c>
    </row>
    <row r="240" spans="1:1" ht="20.100000000000001" customHeight="1" x14ac:dyDescent="0.25">
      <c r="A240" s="34" t="s">
        <v>190</v>
      </c>
    </row>
    <row r="241" spans="1:1" ht="20.100000000000001" customHeight="1" x14ac:dyDescent="0.25">
      <c r="A241" s="34" t="s">
        <v>191</v>
      </c>
    </row>
    <row r="242" spans="1:1" ht="20.100000000000001" customHeight="1" x14ac:dyDescent="0.25">
      <c r="A242" s="34" t="s">
        <v>192</v>
      </c>
    </row>
    <row r="243" spans="1:1" ht="20.100000000000001" customHeight="1" x14ac:dyDescent="0.25">
      <c r="A243" s="34" t="s">
        <v>193</v>
      </c>
    </row>
    <row r="244" spans="1:1" ht="20.100000000000001" customHeight="1" x14ac:dyDescent="0.25">
      <c r="A244" s="34" t="s">
        <v>194</v>
      </c>
    </row>
    <row r="245" spans="1:1" ht="20.100000000000001" customHeight="1" x14ac:dyDescent="0.25">
      <c r="A245" s="34" t="s">
        <v>195</v>
      </c>
    </row>
    <row r="246" spans="1:1" ht="20.100000000000001" customHeight="1" x14ac:dyDescent="0.25">
      <c r="A246" s="34" t="s">
        <v>196</v>
      </c>
    </row>
    <row r="247" spans="1:1" ht="20.100000000000001" customHeight="1" x14ac:dyDescent="0.25">
      <c r="A247" s="34" t="s">
        <v>187</v>
      </c>
    </row>
    <row r="248" spans="1:1" ht="20.100000000000001" customHeight="1" x14ac:dyDescent="0.25">
      <c r="A248" s="34" t="s">
        <v>197</v>
      </c>
    </row>
    <row r="249" spans="1:1" ht="20.100000000000001" customHeight="1" x14ac:dyDescent="0.25">
      <c r="A249" s="34" t="s">
        <v>198</v>
      </c>
    </row>
    <row r="250" spans="1:1" ht="20.100000000000001" customHeight="1" x14ac:dyDescent="0.25">
      <c r="A250" s="36" t="s">
        <v>199</v>
      </c>
    </row>
    <row r="251" spans="1:1" ht="20.100000000000001" customHeight="1" x14ac:dyDescent="0.25">
      <c r="A251" s="37" t="s">
        <v>200</v>
      </c>
    </row>
    <row r="252" spans="1:1" ht="20.100000000000001" customHeight="1" x14ac:dyDescent="0.25">
      <c r="A252" s="34" t="s">
        <v>201</v>
      </c>
    </row>
    <row r="253" spans="1:1" ht="20.100000000000001" customHeight="1" x14ac:dyDescent="0.25">
      <c r="A253" s="34" t="s">
        <v>202</v>
      </c>
    </row>
    <row r="254" spans="1:1" ht="20.100000000000001" customHeight="1" x14ac:dyDescent="0.25">
      <c r="A254" s="38" t="s">
        <v>203</v>
      </c>
    </row>
    <row r="255" spans="1:1" ht="20.100000000000001" customHeight="1" x14ac:dyDescent="0.25">
      <c r="A255" s="38" t="s">
        <v>204</v>
      </c>
    </row>
    <row r="256" spans="1:1" ht="20.100000000000001" customHeight="1" x14ac:dyDescent="0.25">
      <c r="A256" s="37" t="s">
        <v>205</v>
      </c>
    </row>
    <row r="257" spans="1:1" ht="20.100000000000001" customHeight="1" x14ac:dyDescent="0.25">
      <c r="A257" s="34" t="s">
        <v>206</v>
      </c>
    </row>
    <row r="258" spans="1:1" ht="20.100000000000001" customHeight="1" x14ac:dyDescent="0.25">
      <c r="A258" s="37" t="s">
        <v>207</v>
      </c>
    </row>
    <row r="259" spans="1:1" ht="20.100000000000001" customHeight="1" x14ac:dyDescent="0.25">
      <c r="A259" s="34" t="s">
        <v>208</v>
      </c>
    </row>
    <row r="260" spans="1:1" ht="20.100000000000001" customHeight="1" x14ac:dyDescent="0.25">
      <c r="A260" s="37" t="s">
        <v>209</v>
      </c>
    </row>
    <row r="261" spans="1:1" ht="20.100000000000001" customHeight="1" x14ac:dyDescent="0.25">
      <c r="A261" s="34" t="s">
        <v>210</v>
      </c>
    </row>
    <row r="262" spans="1:1" ht="20.100000000000001" customHeight="1" x14ac:dyDescent="0.25">
      <c r="A262" s="34" t="s">
        <v>211</v>
      </c>
    </row>
    <row r="263" spans="1:1" ht="20.100000000000001" customHeight="1" x14ac:dyDescent="0.25">
      <c r="A263" s="37" t="s">
        <v>212</v>
      </c>
    </row>
    <row r="264" spans="1:1" ht="20.100000000000001" customHeight="1" x14ac:dyDescent="0.25">
      <c r="A264" s="37" t="s">
        <v>213</v>
      </c>
    </row>
    <row r="265" spans="1:1" ht="20.100000000000001" customHeight="1" x14ac:dyDescent="0.25">
      <c r="A265" s="37" t="s">
        <v>214</v>
      </c>
    </row>
    <row r="266" spans="1:1" ht="20.100000000000001" customHeight="1" x14ac:dyDescent="0.25">
      <c r="A266" s="34" t="s">
        <v>215</v>
      </c>
    </row>
    <row r="267" spans="1:1" ht="20.100000000000001" customHeight="1" x14ac:dyDescent="0.25">
      <c r="A267" s="34" t="s">
        <v>216</v>
      </c>
    </row>
    <row r="268" spans="1:1" ht="20.100000000000001" customHeight="1" x14ac:dyDescent="0.25">
      <c r="A268" s="34" t="s">
        <v>217</v>
      </c>
    </row>
    <row r="269" spans="1:1" ht="20.100000000000001" customHeight="1" x14ac:dyDescent="0.25">
      <c r="A269" s="34" t="s">
        <v>218</v>
      </c>
    </row>
    <row r="270" spans="1:1" ht="20.100000000000001" customHeight="1" x14ac:dyDescent="0.25">
      <c r="A270" s="37" t="s">
        <v>219</v>
      </c>
    </row>
    <row r="271" spans="1:1" ht="20.100000000000001" customHeight="1" x14ac:dyDescent="0.25">
      <c r="A271" s="37" t="s">
        <v>220</v>
      </c>
    </row>
    <row r="272" spans="1:1" ht="20.100000000000001" customHeight="1" x14ac:dyDescent="0.25">
      <c r="A272" s="34" t="s">
        <v>221</v>
      </c>
    </row>
    <row r="273" spans="1:1" ht="20.100000000000001" customHeight="1" x14ac:dyDescent="0.25">
      <c r="A273" s="37" t="s">
        <v>222</v>
      </c>
    </row>
    <row r="274" spans="1:1" ht="20.100000000000001" customHeight="1" x14ac:dyDescent="0.25">
      <c r="A274" s="37" t="s">
        <v>223</v>
      </c>
    </row>
    <row r="275" spans="1:1" ht="20.100000000000001" customHeight="1" x14ac:dyDescent="0.25">
      <c r="A275" s="34" t="s">
        <v>224</v>
      </c>
    </row>
    <row r="276" spans="1:1" ht="20.100000000000001" customHeight="1" x14ac:dyDescent="0.25">
      <c r="A276" s="34" t="s">
        <v>225</v>
      </c>
    </row>
    <row r="277" spans="1:1" ht="20.100000000000001" customHeight="1" x14ac:dyDescent="0.25">
      <c r="A277" s="37" t="s">
        <v>226</v>
      </c>
    </row>
    <row r="278" spans="1:1" ht="20.100000000000001" customHeight="1" x14ac:dyDescent="0.25">
      <c r="A278" s="34" t="s">
        <v>227</v>
      </c>
    </row>
    <row r="279" spans="1:1" ht="20.100000000000001" customHeight="1" x14ac:dyDescent="0.25">
      <c r="A279" s="34" t="s">
        <v>228</v>
      </c>
    </row>
    <row r="280" spans="1:1" ht="20.100000000000001" customHeight="1" x14ac:dyDescent="0.25">
      <c r="A280" s="34" t="s">
        <v>229</v>
      </c>
    </row>
    <row r="281" spans="1:1" ht="20.100000000000001" customHeight="1" x14ac:dyDescent="0.25">
      <c r="A281" s="34" t="s">
        <v>230</v>
      </c>
    </row>
    <row r="282" spans="1:1" ht="20.100000000000001" customHeight="1" x14ac:dyDescent="0.25">
      <c r="A282" s="37" t="s">
        <v>231</v>
      </c>
    </row>
    <row r="283" spans="1:1" ht="20.100000000000001" customHeight="1" x14ac:dyDescent="0.25">
      <c r="A283" s="37" t="s">
        <v>232</v>
      </c>
    </row>
    <row r="284" spans="1:1" ht="20.100000000000001" customHeight="1" x14ac:dyDescent="0.25">
      <c r="A284" s="37" t="s">
        <v>233</v>
      </c>
    </row>
    <row r="285" spans="1:1" ht="20.100000000000001" customHeight="1" thickBot="1" x14ac:dyDescent="0.3">
      <c r="A285" s="34" t="s">
        <v>234</v>
      </c>
    </row>
    <row r="286" spans="1:1" ht="20.100000000000001" customHeight="1" thickBot="1" x14ac:dyDescent="0.3">
      <c r="A286" s="2" t="s">
        <v>58</v>
      </c>
    </row>
    <row r="287" spans="1:1" ht="20.100000000000001" customHeight="1" thickBot="1" x14ac:dyDescent="0.3">
      <c r="A287" s="2" t="s">
        <v>58</v>
      </c>
    </row>
    <row r="288" spans="1:1" ht="20.100000000000001" customHeight="1" thickBot="1" x14ac:dyDescent="0.3">
      <c r="A288" s="2" t="s">
        <v>58</v>
      </c>
    </row>
    <row r="289" spans="1:1" ht="20.100000000000001" customHeight="1" thickBot="1" x14ac:dyDescent="0.3">
      <c r="A289" s="2" t="s">
        <v>58</v>
      </c>
    </row>
    <row r="290" spans="1:1" ht="20.100000000000001" customHeight="1" thickBot="1" x14ac:dyDescent="0.3">
      <c r="A290" s="2" t="s">
        <v>58</v>
      </c>
    </row>
    <row r="291" spans="1:1" ht="20.100000000000001" customHeight="1" thickBot="1" x14ac:dyDescent="0.3">
      <c r="A291" s="2" t="s">
        <v>58</v>
      </c>
    </row>
    <row r="292" spans="1:1" ht="20.100000000000001" customHeight="1" thickBot="1" x14ac:dyDescent="0.3">
      <c r="A292" s="2" t="s">
        <v>58</v>
      </c>
    </row>
    <row r="293" spans="1:1" ht="20.100000000000001" customHeight="1" thickBot="1" x14ac:dyDescent="0.3">
      <c r="A293" s="2" t="s">
        <v>58</v>
      </c>
    </row>
    <row r="294" spans="1:1" ht="20.100000000000001" customHeight="1" thickBot="1" x14ac:dyDescent="0.3">
      <c r="A294" s="2" t="s">
        <v>58</v>
      </c>
    </row>
    <row r="295" spans="1:1" ht="20.100000000000001" customHeight="1" thickBot="1" x14ac:dyDescent="0.3">
      <c r="A295" s="2" t="s">
        <v>58</v>
      </c>
    </row>
    <row r="296" spans="1:1" ht="20.100000000000001" customHeight="1" thickBot="1" x14ac:dyDescent="0.3">
      <c r="A296" s="2" t="s">
        <v>58</v>
      </c>
    </row>
    <row r="297" spans="1:1" ht="20.100000000000001" customHeight="1" thickBot="1" x14ac:dyDescent="0.3">
      <c r="A297" s="2" t="s">
        <v>58</v>
      </c>
    </row>
    <row r="298" spans="1:1" ht="20.100000000000001" customHeight="1" thickBot="1" x14ac:dyDescent="0.3">
      <c r="A298" s="2" t="s">
        <v>58</v>
      </c>
    </row>
    <row r="299" spans="1:1" ht="20.100000000000001" customHeight="1" thickBot="1" x14ac:dyDescent="0.3">
      <c r="A299" s="2" t="s">
        <v>58</v>
      </c>
    </row>
    <row r="300" spans="1:1" ht="20.100000000000001" customHeight="1" thickBot="1" x14ac:dyDescent="0.3">
      <c r="A300" s="2" t="s">
        <v>58</v>
      </c>
    </row>
    <row r="301" spans="1:1" ht="20.100000000000001" customHeight="1" thickBot="1" x14ac:dyDescent="0.3">
      <c r="A301" s="2" t="s">
        <v>58</v>
      </c>
    </row>
    <row r="302" spans="1:1" ht="20.100000000000001" customHeight="1" thickBot="1" x14ac:dyDescent="0.3">
      <c r="A302" s="2" t="s">
        <v>58</v>
      </c>
    </row>
    <row r="303" spans="1:1" ht="20.100000000000001" customHeight="1" thickBot="1" x14ac:dyDescent="0.3">
      <c r="A303" s="2" t="s">
        <v>58</v>
      </c>
    </row>
    <row r="304" spans="1:1" ht="20.100000000000001" customHeight="1" thickBot="1" x14ac:dyDescent="0.3">
      <c r="A304" s="2" t="s">
        <v>58</v>
      </c>
    </row>
    <row r="305" spans="1:1" ht="20.100000000000001" customHeight="1" thickBot="1" x14ac:dyDescent="0.3">
      <c r="A305" s="2" t="s">
        <v>58</v>
      </c>
    </row>
    <row r="306" spans="1:1" ht="20.100000000000001" customHeight="1" thickBot="1" x14ac:dyDescent="0.3">
      <c r="A306" s="2" t="s">
        <v>58</v>
      </c>
    </row>
    <row r="307" spans="1:1" ht="20.100000000000001" customHeight="1" thickBot="1" x14ac:dyDescent="0.3">
      <c r="A307" s="2" t="s">
        <v>58</v>
      </c>
    </row>
    <row r="308" spans="1:1" ht="20.100000000000001" customHeight="1" thickBot="1" x14ac:dyDescent="0.3">
      <c r="A308" s="2" t="s">
        <v>58</v>
      </c>
    </row>
    <row r="309" spans="1:1" ht="20.100000000000001" customHeight="1" thickBot="1" x14ac:dyDescent="0.3">
      <c r="A309" s="2" t="s">
        <v>58</v>
      </c>
    </row>
    <row r="310" spans="1:1" ht="20.100000000000001" customHeight="1" thickBot="1" x14ac:dyDescent="0.3">
      <c r="A310" s="2" t="s">
        <v>58</v>
      </c>
    </row>
    <row r="311" spans="1:1" ht="20.100000000000001" customHeight="1" thickBot="1" x14ac:dyDescent="0.3">
      <c r="A311" s="2" t="s">
        <v>58</v>
      </c>
    </row>
    <row r="312" spans="1:1" ht="20.100000000000001" customHeight="1" thickBot="1" x14ac:dyDescent="0.3">
      <c r="A312" s="2" t="s">
        <v>58</v>
      </c>
    </row>
    <row r="313" spans="1:1" ht="20.100000000000001" customHeight="1" thickBot="1" x14ac:dyDescent="0.3">
      <c r="A313" s="2" t="s">
        <v>58</v>
      </c>
    </row>
    <row r="314" spans="1:1" ht="20.100000000000001" customHeight="1" thickBot="1" x14ac:dyDescent="0.3">
      <c r="A314" s="2" t="s">
        <v>58</v>
      </c>
    </row>
    <row r="315" spans="1:1" ht="20.100000000000001" customHeight="1" thickBot="1" x14ac:dyDescent="0.3">
      <c r="A315" s="2" t="s">
        <v>58</v>
      </c>
    </row>
    <row r="316" spans="1:1" ht="20.100000000000001" customHeight="1" thickBot="1" x14ac:dyDescent="0.3">
      <c r="A316" s="2" t="s">
        <v>58</v>
      </c>
    </row>
    <row r="317" spans="1:1" ht="20.100000000000001" customHeight="1" thickBot="1" x14ac:dyDescent="0.3">
      <c r="A317" s="2" t="s">
        <v>58</v>
      </c>
    </row>
    <row r="318" spans="1:1" ht="20.100000000000001" customHeight="1" thickBot="1" x14ac:dyDescent="0.3">
      <c r="A318" s="2" t="s">
        <v>58</v>
      </c>
    </row>
    <row r="319" spans="1:1" ht="20.100000000000001" customHeight="1" thickBot="1" x14ac:dyDescent="0.3">
      <c r="A319" s="2" t="s">
        <v>58</v>
      </c>
    </row>
    <row r="320" spans="1:1" ht="20.100000000000001" customHeight="1" thickBot="1" x14ac:dyDescent="0.3">
      <c r="A320" s="2" t="s">
        <v>58</v>
      </c>
    </row>
    <row r="321" spans="1:1" ht="20.100000000000001" customHeight="1" thickBot="1" x14ac:dyDescent="0.3">
      <c r="A321" s="2" t="s">
        <v>58</v>
      </c>
    </row>
    <row r="322" spans="1:1" ht="20.100000000000001" customHeight="1" thickBot="1" x14ac:dyDescent="0.3">
      <c r="A322" s="2" t="s">
        <v>58</v>
      </c>
    </row>
    <row r="323" spans="1:1" ht="20.100000000000001" customHeight="1" thickBot="1" x14ac:dyDescent="0.3">
      <c r="A323" s="2" t="s">
        <v>58</v>
      </c>
    </row>
    <row r="324" spans="1:1" ht="20.100000000000001" customHeight="1" thickBot="1" x14ac:dyDescent="0.3">
      <c r="A324" s="2" t="s">
        <v>58</v>
      </c>
    </row>
    <row r="325" spans="1:1" ht="20.100000000000001" customHeight="1" thickBot="1" x14ac:dyDescent="0.3">
      <c r="A325" s="2" t="s">
        <v>58</v>
      </c>
    </row>
    <row r="326" spans="1:1" ht="20.100000000000001" customHeight="1" thickBot="1" x14ac:dyDescent="0.3">
      <c r="A326" s="2" t="s">
        <v>58</v>
      </c>
    </row>
    <row r="327" spans="1:1" ht="20.100000000000001" customHeight="1" thickBot="1" x14ac:dyDescent="0.3">
      <c r="A327" s="2" t="s">
        <v>58</v>
      </c>
    </row>
    <row r="328" spans="1:1" ht="20.100000000000001" customHeight="1" thickBot="1" x14ac:dyDescent="0.3">
      <c r="A328" s="2" t="s">
        <v>58</v>
      </c>
    </row>
    <row r="329" spans="1:1" ht="20.100000000000001" customHeight="1" thickBot="1" x14ac:dyDescent="0.3">
      <c r="A329" s="2" t="s">
        <v>58</v>
      </c>
    </row>
    <row r="330" spans="1:1" ht="20.100000000000001" customHeight="1" thickBot="1" x14ac:dyDescent="0.3">
      <c r="A330" s="2" t="s">
        <v>58</v>
      </c>
    </row>
    <row r="331" spans="1:1" ht="20.100000000000001" customHeight="1" thickBot="1" x14ac:dyDescent="0.3">
      <c r="A331" s="2" t="s">
        <v>58</v>
      </c>
    </row>
    <row r="332" spans="1:1" ht="20.100000000000001" customHeight="1" thickBot="1" x14ac:dyDescent="0.3">
      <c r="A332" s="2" t="s">
        <v>58</v>
      </c>
    </row>
    <row r="333" spans="1:1" ht="20.100000000000001" customHeight="1" thickBot="1" x14ac:dyDescent="0.3">
      <c r="A333" s="2" t="s">
        <v>58</v>
      </c>
    </row>
    <row r="334" spans="1:1" ht="20.100000000000001" customHeight="1" thickBot="1" x14ac:dyDescent="0.3">
      <c r="A334" s="2" t="s">
        <v>58</v>
      </c>
    </row>
    <row r="335" spans="1:1" ht="20.100000000000001" customHeight="1" thickBot="1" x14ac:dyDescent="0.3">
      <c r="A335" s="2" t="s">
        <v>58</v>
      </c>
    </row>
    <row r="336" spans="1:1" ht="20.100000000000001" customHeight="1" thickBot="1" x14ac:dyDescent="0.3">
      <c r="A336" s="2" t="s">
        <v>58</v>
      </c>
    </row>
    <row r="337" spans="1:1" ht="20.100000000000001" customHeight="1" thickBot="1" x14ac:dyDescent="0.3">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2026-09-06T08:14:28Z</dcterms:modified>
</cp:coreProperties>
</file>