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BD35079-89CE-4337-8770-A1F7E1726D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F70" i="2"/>
  <c r="E70" i="2"/>
  <c r="E71" i="2"/>
  <c r="E72" i="2"/>
</calcChain>
</file>

<file path=xl/sharedStrings.xml><?xml version="1.0" encoding="utf-8"?>
<sst xmlns="http://schemas.openxmlformats.org/spreadsheetml/2006/main" count="307" uniqueCount="246">
  <si>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</si>
  <si>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</si>
  <si>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</si>
  <si>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</si>
  <si>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</si>
  <si>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</si>
  <si>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</si>
  <si>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</si>
  <si>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</si>
  <si>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</si>
  <si>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</si>
  <si>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</si>
  <si>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</si>
  <si>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</si>
  <si>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</si>
  <si>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</si>
  <si>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</si>
  <si>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</si>
  <si>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</si>
  <si>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</si>
  <si>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</si>
  <si>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</si>
  <si>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</si>
  <si>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</si>
  <si>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</si>
  <si>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</si>
  <si>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</si>
  <si>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</si>
  <si>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</si>
  <si>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</si>
  <si>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</si>
  <si>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</si>
  <si>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</si>
  <si>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</si>
  <si>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</si>
  <si>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</si>
  <si>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</si>
  <si>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</si>
  <si>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</si>
  <si>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</si>
  <si>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</si>
  <si>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</si>
  <si>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</si>
  <si>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</si>
  <si>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</si>
  <si>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</si>
  <si>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</si>
  <si>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</si>
  <si>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</si>
  <si>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</si>
  <si>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</si>
  <si>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</si>
  <si>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</si>
  <si>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</si>
  <si>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</si>
  <si>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</si>
  <si>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</si>
  <si>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</si>
  <si>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</si>
  <si>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</si>
  <si>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</si>
  <si>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</si>
  <si>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</si>
  <si>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</si>
  <si>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</si>
  <si>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</si>
  <si>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</si>
  <si>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</si>
  <si>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</si>
  <si>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</si>
  <si>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</si>
  <si>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</si>
  <si>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</si>
  <si>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</si>
  <si>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</si>
  <si>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</si>
  <si>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</si>
  <si>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</si>
  <si>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</si>
  <si>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</si>
  <si>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</si>
  <si>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</si>
  <si>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</si>
  <si>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</si>
  <si>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</si>
  <si>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</si>
  <si>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</si>
  <si>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</si>
  <si>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</si>
  <si>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</si>
  <si>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</si>
  <si>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</si>
  <si>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</si>
  <si>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</si>
  <si>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</si>
  <si>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</si>
  <si>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</si>
  <si>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</si>
  <si>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</si>
  <si>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</si>
  <si>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</si>
  <si>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</si>
  <si>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</si>
  <si>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</si>
  <si>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</si>
  <si>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</si>
  <si>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</si>
  <si>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</si>
  <si>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</si>
  <si>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</si>
  <si>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</si>
  <si>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</si>
  <si>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</si>
  <si>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</si>
  <si>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</si>
  <si>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</si>
  <si>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</si>
  <si>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</si>
  <si>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</si>
  <si>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</si>
  <si>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</si>
  <si>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</si>
  <si>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</si>
  <si>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</si>
  <si>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</si>
  <si>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</si>
  <si>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</si>
  <si>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</si>
  <si>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</si>
  <si>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</si>
  <si>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</si>
  <si>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</si>
  <si>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</si>
  <si>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</si>
  <si>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</si>
  <si>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</si>
  <si>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</si>
  <si>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</si>
  <si>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</si>
  <si>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</si>
  <si>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</si>
  <si>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</si>
  <si>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</si>
  <si>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</si>
  <si>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</si>
  <si>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</si>
  <si>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</si>
  <si>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</si>
  <si>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</si>
  <si>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</si>
  <si>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</si>
  <si>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</si>
  <si>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</si>
  <si>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</si>
  <si>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</si>
  <si>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</si>
  <si>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</si>
  <si>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</si>
  <si>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</si>
  <si>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</si>
  <si>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</si>
  <si>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</si>
  <si>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</si>
  <si>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</si>
  <si>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</si>
  <si>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</si>
  <si>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</si>
  <si>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</si>
  <si>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</si>
  <si>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</si>
  <si>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</si>
  <si>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</si>
  <si>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</si>
  <si>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</si>
  <si>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</si>
  <si>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</si>
  <si>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</si>
  <si>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</si>
  <si>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</si>
  <si>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</si>
  <si>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</si>
  <si>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</si>
  <si>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</si>
  <si>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</si>
  <si>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</si>
  <si>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</si>
  <si>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</si>
  <si>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</si>
  <si>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</si>
  <si>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</si>
  <si>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</si>
  <si>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</si>
  <si>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</si>
  <si>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</si>
  <si>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</si>
  <si>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</si>
  <si>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</si>
  <si>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</si>
  <si>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</si>
  <si>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</si>
  <si>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</si>
  <si>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</si>
  <si>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</si>
  <si>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</si>
  <si>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</si>
  <si>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</si>
  <si>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</si>
  <si>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</si>
  <si>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</si>
  <si>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</si>
  <si>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</si>
  <si>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</si>
  <si>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</si>
  <si>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</si>
  <si>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</si>
  <si>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</si>
  <si>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</si>
  <si>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</si>
  <si>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</si>
  <si>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</si>
  <si>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</si>
  <si>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</si>
  <si>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</si>
  <si>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</si>
  <si>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</si>
  <si>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</si>
  <si>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</si>
  <si>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</si>
  <si>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</si>
  <si>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</si>
  <si>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</si>
  <si>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</si>
  <si>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</si>
  <si>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</si>
  <si>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</si>
  <si>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</si>
  <si>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</si>
  <si>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</si>
  <si>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</si>
  <si>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</si>
  <si>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</si>
  <si>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</si>
  <si>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</si>
  <si>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</si>
  <si>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تجهيز الطاولة الرملية ووصف الأرض - العمليات التعرضية
تمرين جاهزية مجموعة لواء الإمارات/1 (جندي الصحراء 2025/20)</t>
  </si>
  <si>
    <t>النقيب/ يوسف الفلاسي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</si>
</sst>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3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92287</xdr:colOff>
      <xdr:row>73</xdr:row>
      <xdr:rowOff>202997</xdr:rowOff>
    </xdr:from>
    <xdr:to>
      <xdr:col>8</xdr:col>
      <xdr:colOff>5156</xdr:colOff>
      <xdr:row>73</xdr:row>
      <xdr:rowOff>492437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0477A6A-C6C5-CB39-8A15-162AA5682636}"/>
                </a:ext>
              </a:extLst>
            </xdr14:cNvPr>
            <xdr14:cNvContentPartPr/>
          </xdr14:nvContentPartPr>
          <xdr14:nvPr macro=""/>
          <xdr14:xfrm>
            <a:off x="10399239753" y="31410360"/>
            <a:ext cx="570960" cy="289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0477A6A-C6C5-CB39-8A15-162AA56826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33633" y="31404240"/>
              <a:ext cx="58320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641287</xdr:colOff>
      <xdr:row>73</xdr:row>
      <xdr:rowOff>237917</xdr:rowOff>
    </xdr:from>
    <xdr:to>
      <xdr:col>9</xdr:col>
      <xdr:colOff>173986</xdr:colOff>
      <xdr:row>73</xdr:row>
      <xdr:rowOff>417557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378412E-DD2C-82CC-0709-2C1773D9D170}"/>
                </a:ext>
              </a:extLst>
            </xdr14:cNvPr>
            <xdr14:cNvContentPartPr/>
          </xdr14:nvContentPartPr>
          <xdr14:nvPr macro=""/>
          <xdr14:xfrm>
            <a:off x="10398412833" y="31445280"/>
            <a:ext cx="848880" cy="179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378412E-DD2C-82CC-0709-2C1773D9D17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06713" y="31439160"/>
              <a:ext cx="861120" cy="19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51:39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952 803 472,'0'0'0,"0"-5"768,0 5-768,0-5 1232,2-10 480,0 14 113,-2-3-81,0 4-1744,0-3 1576,0 0-63,5 0-137,-5 2-64,0 1-1312,0-3 1129,-2 0-265,2 0-152,-3 0-24,3 3-688,-2-1 696,0-2-8,-3 0-23,0 0-105,5 3-560,0-2 432,-4-1 0,2 0-80,-3-1-80,5 4-272,0-3 232,-3 1-80,3-2 32,-2 3-8,2 1-176,-2-3 256,-1 0-112,3 2-80,-2-2-64,2 3 0,0-4-120,-5 1 104,3-2 96,0 1 64,2 4-144,-2-6 112,-1-5-48,-1 8-88,1-2-48,3 5 72,-2-13 16,-5 7-16,2-10-24,3 5-16,2 11 40,-4-11-32,-8-2-32,7 2 40,2-1 8,3 12 16,-11-11-24,6-2 8,-7 2 96,8-2-56,4 13-24,-2-13-8,-10 2 16,10-1-72,-3 1 120,5 11-56,-2-6 64,-1-9 16,-3 9 64,4-8-128,2 14-16,-3-6 24,1-8 0,2 10-64,0-10 32,0 14 8,0-5 8,0-10 24,0 10 48,-3-8 0,3 13-80,0-6-16,-2-7 0,0 9-32,2-9 16,0 13 32,0-4 16,0-7-16,0 6 24,0 1-24,0 4 0,0-5-40,0-1 16,0 0 24,2 0-56,-2 6 56,5-5-8,-3 1-32,1-1-24,-1 1 48,-2 4 16,2-4-56,2-1 48,-1 1-8,-3 0-48,0 4 64,4-1-72,1-2 0,-2 1 32,1 1-56,-4 1 96,3-2-88,1 2 32,-2 0-64,10 0 72,-12 0 48,2 0 40,10 0-96,-10 0 56,10 0-8,-12 0 8,5 0 0,6 0-16,-6 3 16,14-3 0,-19 0 0,13 0 0,-1 0-16,2 0-8,0 0 48,-14 0-24,14-1-64,0-1 80,2 0 48,3-3-64,-19 5 0,18-4 40,3-7 0,-2 8-32,-3-1 24,-16 4-32,15-12 40,0 8-32,1-2 48,3-7-56,-19 13 0,16-4 0,3-7 24,-5 7-64,4-9 24,-18 13 16,19-5-8,2 0-16,0-8 24,0 9 8,-21 4-8,16-6-8,2-7-24,-3 9 8,3-2 24,-18 6 0,17-11 40,-4 7-24,2-1 8,-2-6-24,-13 11 0,15-3-16,-2-2 16,-1-1-40,-2-6 40,-10 12 0,2-1 32,12-3-48,-10-1 32,8 3-32,-12 2 16,4-5-16,-4 3 32,3 0 0,1 1-8,-4 1-8,0-2-8,0 1-8,3 1-40,-3-2 56,0 2 0,0 0 32,0 0-32,0 0-32,0 0 24,0 0 16,0 0-56,0 0-16,0 0 0,0 0-32,0 0 96,-3 0-128,-1 0 48,1 3 56,-3 0-16,6-3 40,-12 4-8,7 1-8,-6-1 8,4 7-8,7-11 16,-17 3 16,6 9-32,-1-10-32,1 3-8,11-5 56,-14 14-64,-2-10 16,-1 10 8,1-9-24,16-5 64,-19 14-16,-2-10 32,3 12 8,-4-13-32,22-3 8,-20 12-16,1-7-24,0 6 0,-1-7 80,20-4-40,-14 14 16,-5-9-8,5 9 8,0-10-32,14-4 16,-13 13-24,1-9 40,4 8-8,-3-10 8,11-2-16,-2 13-16,-13-10 16,7 1-8,-4 9-32,12-13 40,-14 3 0,0 8-24,1-8 32,-2 1-32,15-4 24,-10 13 24,-1-10 8,-1 8-48,1-8 56,11-3-40,-12 5 8,0-1 8,9 0-16,-14 7 0,17-11 0,-5 3 0,-9 0 16,5 1 8,-3 8 16,12-12-40,-6 3-56,-9-1 32,10 3 88,-6-1-88,11-4 24,-5 11 8,-9-11 48,10 3-136,-5 0 104,9-3-24,-5 3 56,-7 0-56,8 0 8,2-1-16,2-2 8,-8 3 88,-4-1-104,10 1 32,-9-3-16,11 0 0,-3 0-88,1 0 128,-10 0 48,8 0-16,4 0-72,-5 0 56,3 0 16,-5 0-40,2-3 40,5 3-72,-5-3 32,-6-3 16,9-5 72,-3 8-136,5 3 16,-14-6 64,10-7-24,-11 9-128,4-9 96,11 13-8,-12-4 40,0-9-24,1 8 72,-1-8-24,12 13-64,-11-6-40,-3-9 72,-2 3-24,-1 1-48,17 11 40,-11-14-8,-1-1 16,0 1 96,-4-1-72,16 15-32,-17-16 80,4 2-96,1 1-40,-2 2 56,14 11 0,-14-6 40,5-7 16,-5 9-112,0-8 96,14 12-40,-9-4-64,-3 0 88,7-7 32,-6 9-8,11 2-48,-5-4 72,-7 0 8,8-1 32,0 1-80,4 4-32,-8-4 128,3 1-64,1-1 48,-1 2-8,5 2-104,-2-3 176,0 2-56,0 0-64,2 1-32,0 0-24,0 0-96,0 0 72,4 0 24,-4 2 24,0-2-24,14 3 80,-9 2-40,11 7-40,-14-9 32,-2-3-32,17 4 8,-4 9 32,-3-10-8,6 8-24,-16-11-8,12 3 16,1 2-16,2 7-16,-2-12 64,-13 0-48,14 5-16,1-1-16,-2 0 48,3 0-40,-16-4 24,15 5 0,-1-1 0,-1 7 24,-3-8-24,-10-3 0,5 4-16,6 8 32,-9-9-112,3 9 48,-5-12 48,0 3-40,0 9-32,0-10 32,0 10 16,0-12 24,0 3-16,0 1-40,-5 0 56,0 0-40,5-4 40,-2 12-24,-4-9-32,-4 1-32,5 0 8,5-4 80,-12 4-184,11 8 48,-18-9 48,5 8-64,14-11 152,-14 4-88,0 9 24,-5-9 0,6 11-40,13-15 104,-22 4-40,1 9-56,3-11 56,-1 10-32,19-12 72,-16 3-80,0 8-8,-1-8-80,2 1 128,15-4 40,-15 4-64,2 0 24,3-1 0,-2-1-88,12-2 128,-4 0-224,-8 0-96,7 0-32,1 0-16,4 0 368,-3-2-336,1-1 48,0-1 128,0 2-1,2 2 161,0-3-80,0-1-16,0-1 0,0 2 72,0 3 24,0-2-72,0-1 128,0-2-104,0 3 136,0 2-88,-2-3 104,-1 1 8,3 1 33,0-2-97,0 3-48,-5-1 0,-2-1 56,-2-1 8,-2 2 48,11 1-112,-3-1 232,-9-1-24,6-1-16,-9 2 24,15 1-216,-11-3 152,-1 2-56,-2-2-32,1 1-112,13 2 48,-15-3-312,-3 2-256,-3 0-913,4-1-4472,17 2 5953,-20-3-7818,20 3 7818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51:39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1000 397 5593,'0'0'0,"0"0"0,13 15 3160,2 0-1095,3 0-569,3-3-344,-21-12-1152,23 0 1001,-3 2-241,4 1-56,2 0-16,-26-3-688,23 3 704,5 0-56,0 0-40,-1-3 89,-27 0-697,28 2 680,0-2-24,1 0 72,-1 0-232,-28 0-496,30-1 512,-1-2-64,4-1-16,1-2 1,-34 6-433,35-13 296,-1 8 24,0-11-56,8 5-48,-42 11-216,37-12 240,4 1-424,-2-2 424,0-1-16,-39 14-224,39-13 208,0 0 352,1 1-464,-6 0 48,-34 12-144,34-11 72,1 0 16,-6-1-16,-1 1-16,-28 11-56,28-6 128,-5-8-112,-5 10 40,1-9-56,-19 13 0,16-4-16,-3-11 16,1 11 0,-5-12 16,-9 16-16,5-11 0,7 0-40,-12-1 8,6 1 16,-6 11 16,5-11-40,-5-1 96,0 1-96,0 7-16,0 4 56,-5-16-32,-6 10-112,4-8 112,-7 10-80,14 4 112,-15-13-112,-2 9 136,-4-8 8,3 8-64,18 4 32,-21-6-56,-2 1-40,0 0-64,-4 1 144,27 4 16,-28-4 16,5 0 24,-5 1 8,-1 1-104,29 2 56,-28-1 8,-2 0-64,1-1 32,-1 2 24,30 0 0,-32 0-48,-3 0 40,1 0-40,-5 0 8,39 0 40,-39 3-16,1 0-56,4 1 104,2-1-64,32-3 32,-32 3-8,4 1 88,-6 0-104,4 8 64,30-12-40,-29 2 32,-2 11-160,2-10 24,-1 11-8,30-14 112,-33 12-72,-1-1 144,0 0-16,-4 2 56,38-13-112,-39 14 72,-4 2 0,1 0 16,1 1-80,41-17-8,-41 17 120,4-3 8,-4 2-32,5-2-56,36-14-40,-38 11 48,4 2-24,1-2-96,4-6 408,29-5-336,-28 15 40,0-10-96,-1 9 88,-4-3-48,33-11 16,-31 4-56,-6 14 64,0-7-152,-4 2-336,41-13 480,-42 12-496,-8 1-552,-5 1-297,-10 5-679,65-19 2024,-69 21-2793,-11 3-4064,0 1-897,80-25 7754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96" t="s">
        <v>244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3">
      <c r="B2" s="13" t="s">
        <v>8</v>
      </c>
      <c r="C2" s="103" t="s">
        <v>46</v>
      </c>
      <c r="D2" s="103"/>
      <c r="E2" s="13" t="s">
        <v>7</v>
      </c>
      <c r="F2" s="98">
        <v>45952</v>
      </c>
      <c r="G2" s="98"/>
      <c r="H2" s="98"/>
      <c r="I2" s="98"/>
      <c r="J2" s="98"/>
    </row>
    <row r="3" spans="1:10" ht="30" customHeight="1" x14ac:dyDescent="0.3">
      <c r="B3" s="13" t="s">
        <v>9</v>
      </c>
      <c r="C3" s="103" t="s">
        <v>60</v>
      </c>
      <c r="D3" s="103"/>
      <c r="E3" s="13" t="s">
        <v>6</v>
      </c>
      <c r="F3" s="103" t="s">
        <v>173</v>
      </c>
      <c r="G3" s="103"/>
      <c r="H3" s="103"/>
      <c r="I3" s="103"/>
      <c r="J3" s="103"/>
    </row>
    <row r="4" spans="1:10" ht="30" customHeight="1" thickBot="1" x14ac:dyDescent="0.35">
      <c r="B4" s="6"/>
      <c r="C4" s="114" t="s">
        <v>245</v>
      </c>
      <c r="D4" s="114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99" t="s">
        <v>0</v>
      </c>
      <c r="C5" s="100"/>
      <c r="D5" s="100"/>
      <c r="E5" s="108" t="s">
        <v>1</v>
      </c>
      <c r="F5" s="108"/>
      <c r="G5" s="108"/>
      <c r="H5" s="108"/>
      <c r="I5" s="108" t="s">
        <v>2</v>
      </c>
      <c r="J5" s="109"/>
    </row>
    <row r="6" spans="1:10" ht="24.9" customHeight="1" thickBot="1" x14ac:dyDescent="0.35">
      <c r="A6" s="11"/>
      <c r="B6" s="101"/>
      <c r="C6" s="102"/>
      <c r="D6" s="102"/>
      <c r="E6" s="12" t="s">
        <v>3</v>
      </c>
      <c r="F6" s="12" t="s">
        <v>4</v>
      </c>
      <c r="G6" s="12" t="s">
        <v>23</v>
      </c>
      <c r="H6" s="12" t="s">
        <v>24</v>
      </c>
      <c r="I6" s="110"/>
      <c r="J6" s="111"/>
    </row>
    <row r="7" spans="1:10" ht="24.9" customHeight="1" thickBot="1" x14ac:dyDescent="0.35">
      <c r="A7" s="11"/>
      <c r="B7" s="106" t="s">
        <v>21</v>
      </c>
      <c r="C7" s="107"/>
      <c r="D7" s="107"/>
      <c r="E7" s="30" t="s">
        <v>18</v>
      </c>
      <c r="F7" s="30" t="s">
        <v>19</v>
      </c>
      <c r="G7" s="30" t="s">
        <v>22</v>
      </c>
      <c r="H7" s="30" t="s">
        <v>20</v>
      </c>
      <c r="I7" s="112" t="s">
        <v>25</v>
      </c>
      <c r="J7" s="113"/>
    </row>
    <row r="8" spans="1:10" ht="30" customHeight="1" x14ac:dyDescent="0.3">
      <c r="A8" s="11"/>
      <c r="B8" s="57" t="s">
        <v>64</v>
      </c>
      <c r="C8" s="58"/>
      <c r="D8" s="58"/>
      <c r="E8" s="58"/>
      <c r="F8" s="58"/>
      <c r="G8" s="58"/>
      <c r="H8" s="58"/>
      <c r="I8" s="58"/>
      <c r="J8" s="59"/>
    </row>
    <row r="9" spans="1:10" ht="39.9" customHeight="1" x14ac:dyDescent="0.3">
      <c r="A9" s="11"/>
      <c r="B9" s="67" t="s">
        <v>65</v>
      </c>
      <c r="C9" s="68"/>
      <c r="D9" s="68"/>
      <c r="E9" s="69">
        <v>5</v>
      </c>
      <c r="F9" s="74">
        <v>3.75</v>
      </c>
      <c r="G9" s="45">
        <f>IFERROR(F9/E9,"")</f>
        <v>0.75</v>
      </c>
      <c r="H9" s="4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 t="s">
        <v>127</v>
      </c>
      <c r="J9" s="56"/>
    </row>
    <row r="10" spans="1:10" ht="30" customHeight="1" x14ac:dyDescent="0.3">
      <c r="A10" s="11"/>
      <c r="B10" s="23" t="s">
        <v>66</v>
      </c>
      <c r="C10" s="24" t="s">
        <v>67</v>
      </c>
      <c r="D10" s="24" t="s">
        <v>68</v>
      </c>
      <c r="E10" s="69"/>
      <c r="F10" s="75"/>
      <c r="G10" s="46"/>
      <c r="H10" s="49"/>
      <c r="I10" s="55"/>
      <c r="J10" s="56"/>
    </row>
    <row r="11" spans="1:10" ht="30" customHeight="1" x14ac:dyDescent="0.3">
      <c r="A11" s="11"/>
      <c r="B11" s="23" t="s">
        <v>128</v>
      </c>
      <c r="C11" s="25" t="s">
        <v>129</v>
      </c>
      <c r="D11" s="25" t="s">
        <v>130</v>
      </c>
      <c r="E11" s="69"/>
      <c r="F11" s="76"/>
      <c r="G11" s="47"/>
      <c r="H11" s="50"/>
      <c r="I11" s="55"/>
      <c r="J11" s="56"/>
    </row>
    <row r="12" spans="1:10" ht="50.1" customHeight="1" x14ac:dyDescent="0.3">
      <c r="A12" s="11"/>
      <c r="B12" s="67" t="s">
        <v>69</v>
      </c>
      <c r="C12" s="68"/>
      <c r="D12" s="68"/>
      <c r="E12" s="9">
        <v>5</v>
      </c>
      <c r="F12" s="20">
        <v>4</v>
      </c>
      <c r="G12" s="32">
        <f t="shared" ref="G12:G69" si="0">IFERROR(F12/E12,"")</f>
        <v>0.8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 جداً</v>
      </c>
      <c r="I12" s="55"/>
      <c r="J12" s="56"/>
    </row>
    <row r="13" spans="1:10" ht="39.9" customHeight="1" x14ac:dyDescent="0.3">
      <c r="A13" s="11"/>
      <c r="B13" s="70" t="s">
        <v>70</v>
      </c>
      <c r="C13" s="71"/>
      <c r="D13" s="71"/>
      <c r="E13" s="9">
        <v>5</v>
      </c>
      <c r="F13" s="20">
        <v>4</v>
      </c>
      <c r="G13" s="32">
        <f t="shared" si="0"/>
        <v>0.8</v>
      </c>
      <c r="H13" s="33" t="str">
        <f t="shared" si="1"/>
        <v>جيد جداً</v>
      </c>
      <c r="I13" s="77"/>
      <c r="J13" s="78"/>
    </row>
    <row r="14" spans="1:10" ht="50.1" customHeight="1" x14ac:dyDescent="0.3">
      <c r="A14" s="11"/>
      <c r="B14" s="67" t="s">
        <v>71</v>
      </c>
      <c r="C14" s="68"/>
      <c r="D14" s="68"/>
      <c r="E14" s="9">
        <v>5</v>
      </c>
      <c r="F14" s="20">
        <v>3.75</v>
      </c>
      <c r="G14" s="32">
        <f t="shared" si="0"/>
        <v>0.75</v>
      </c>
      <c r="H14" s="33" t="str">
        <f t="shared" si="1"/>
        <v>جيد</v>
      </c>
      <c r="I14" s="77"/>
      <c r="J14" s="78"/>
    </row>
    <row r="15" spans="1:10" ht="30" customHeight="1" x14ac:dyDescent="0.3">
      <c r="A15" s="11"/>
      <c r="B15" s="67" t="s">
        <v>72</v>
      </c>
      <c r="C15" s="68"/>
      <c r="D15" s="68"/>
      <c r="E15" s="9">
        <v>5</v>
      </c>
      <c r="F15" s="20">
        <v>4</v>
      </c>
      <c r="G15" s="32">
        <f t="shared" si="0"/>
        <v>0.8</v>
      </c>
      <c r="H15" s="33" t="str">
        <f t="shared" si="1"/>
        <v>جيد جداً</v>
      </c>
      <c r="I15" s="77"/>
      <c r="J15" s="78"/>
    </row>
    <row r="16" spans="1:10" ht="39.9" customHeight="1" x14ac:dyDescent="0.3">
      <c r="A16" s="11"/>
      <c r="B16" s="67" t="s">
        <v>73</v>
      </c>
      <c r="C16" s="68"/>
      <c r="D16" s="68"/>
      <c r="E16" s="9">
        <v>5</v>
      </c>
      <c r="F16" s="20">
        <v>3.75</v>
      </c>
      <c r="G16" s="32">
        <f t="shared" si="0"/>
        <v>0.75</v>
      </c>
      <c r="H16" s="33" t="str">
        <f t="shared" si="1"/>
        <v>جيد</v>
      </c>
      <c r="I16" s="77"/>
      <c r="J16" s="78"/>
    </row>
    <row r="17" spans="1:10" ht="30" customHeight="1" x14ac:dyDescent="0.3">
      <c r="A17" s="11"/>
      <c r="B17" s="67" t="s">
        <v>74</v>
      </c>
      <c r="C17" s="68"/>
      <c r="D17" s="68"/>
      <c r="E17" s="9">
        <v>5</v>
      </c>
      <c r="F17" s="20">
        <v>3.75</v>
      </c>
      <c r="G17" s="32">
        <f t="shared" si="0"/>
        <v>0.75</v>
      </c>
      <c r="H17" s="33" t="str">
        <f t="shared" si="1"/>
        <v>جيد</v>
      </c>
      <c r="I17" s="77"/>
      <c r="J17" s="78"/>
    </row>
    <row r="18" spans="1:10" ht="68.25" customHeight="1" x14ac:dyDescent="0.3">
      <c r="A18" s="11"/>
      <c r="B18" s="67" t="s">
        <v>75</v>
      </c>
      <c r="C18" s="68"/>
      <c r="D18" s="68"/>
      <c r="E18" s="9">
        <v>5</v>
      </c>
      <c r="F18" s="20">
        <v>3.75</v>
      </c>
      <c r="G18" s="32">
        <f t="shared" si="0"/>
        <v>0.75</v>
      </c>
      <c r="H18" s="33" t="str">
        <f t="shared" si="1"/>
        <v>جيد</v>
      </c>
      <c r="I18" s="77"/>
      <c r="J18" s="78"/>
    </row>
    <row r="19" spans="1:10" ht="39.9" customHeight="1" x14ac:dyDescent="0.3">
      <c r="A19" s="11"/>
      <c r="B19" s="67" t="s">
        <v>76</v>
      </c>
      <c r="C19" s="68"/>
      <c r="D19" s="68"/>
      <c r="E19" s="9">
        <v>5</v>
      </c>
      <c r="F19" s="20">
        <v>4</v>
      </c>
      <c r="G19" s="32">
        <f t="shared" si="0"/>
        <v>0.8</v>
      </c>
      <c r="H19" s="33" t="str">
        <f t="shared" si="1"/>
        <v>جيد جداً</v>
      </c>
      <c r="I19" s="77"/>
      <c r="J19" s="78"/>
    </row>
    <row r="20" spans="1:10" ht="39.9" customHeight="1" x14ac:dyDescent="0.3">
      <c r="A20" s="11"/>
      <c r="B20" s="67" t="s">
        <v>77</v>
      </c>
      <c r="C20" s="68"/>
      <c r="D20" s="68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77"/>
      <c r="J20" s="78"/>
    </row>
    <row r="21" spans="1:10" ht="39.9" customHeight="1" x14ac:dyDescent="0.3">
      <c r="A21" s="11"/>
      <c r="B21" s="67" t="s">
        <v>78</v>
      </c>
      <c r="C21" s="68"/>
      <c r="D21" s="68"/>
      <c r="E21" s="9">
        <v>5</v>
      </c>
      <c r="F21" s="20">
        <v>3.5</v>
      </c>
      <c r="G21" s="32">
        <f t="shared" si="0"/>
        <v>0.7</v>
      </c>
      <c r="H21" s="33" t="str">
        <f t="shared" si="1"/>
        <v>جيد</v>
      </c>
      <c r="I21" s="77"/>
      <c r="J21" s="78"/>
    </row>
    <row r="22" spans="1:10" ht="50.1" customHeight="1" x14ac:dyDescent="0.3">
      <c r="A22" s="11"/>
      <c r="B22" s="67" t="s">
        <v>79</v>
      </c>
      <c r="C22" s="68"/>
      <c r="D22" s="68"/>
      <c r="E22" s="9">
        <v>5</v>
      </c>
      <c r="F22" s="20">
        <v>4</v>
      </c>
      <c r="G22" s="32">
        <f t="shared" si="0"/>
        <v>0.8</v>
      </c>
      <c r="H22" s="33" t="str">
        <f t="shared" si="1"/>
        <v>جيد جداً</v>
      </c>
      <c r="I22" s="77"/>
      <c r="J22" s="78"/>
    </row>
    <row r="23" spans="1:10" ht="39.9" customHeight="1" thickBot="1" x14ac:dyDescent="0.35">
      <c r="A23" s="11"/>
      <c r="B23" s="51" t="s">
        <v>80</v>
      </c>
      <c r="C23" s="52"/>
      <c r="D23" s="52"/>
      <c r="E23" s="26">
        <v>5</v>
      </c>
      <c r="F23" s="22">
        <v>4</v>
      </c>
      <c r="G23" s="34">
        <f t="shared" si="0"/>
        <v>0.8</v>
      </c>
      <c r="H23" s="35" t="str">
        <f t="shared" si="1"/>
        <v>جيد جداً</v>
      </c>
      <c r="I23" s="72"/>
      <c r="J23" s="73"/>
    </row>
    <row r="24" spans="1:10" ht="30" customHeight="1" x14ac:dyDescent="0.3">
      <c r="A24" s="11"/>
      <c r="B24" s="57" t="s">
        <v>81</v>
      </c>
      <c r="C24" s="58"/>
      <c r="D24" s="58"/>
      <c r="E24" s="58"/>
      <c r="F24" s="58"/>
      <c r="G24" s="58"/>
      <c r="H24" s="58"/>
      <c r="I24" s="58"/>
      <c r="J24" s="59"/>
    </row>
    <row r="25" spans="1:10" ht="39.9" customHeight="1" x14ac:dyDescent="0.3">
      <c r="A25" s="11"/>
      <c r="B25" s="67" t="s">
        <v>82</v>
      </c>
      <c r="C25" s="68"/>
      <c r="D25" s="68"/>
      <c r="E25" s="9">
        <v>5</v>
      </c>
      <c r="F25" s="20">
        <v>4</v>
      </c>
      <c r="G25" s="32">
        <f t="shared" si="0"/>
        <v>0.8</v>
      </c>
      <c r="H25" s="33" t="str">
        <f t="shared" si="1"/>
        <v>جيد جداً</v>
      </c>
      <c r="I25" s="77"/>
      <c r="J25" s="78"/>
    </row>
    <row r="26" spans="1:10" ht="39.9" customHeight="1" x14ac:dyDescent="0.3">
      <c r="A26" s="11"/>
      <c r="B26" s="67" t="s">
        <v>83</v>
      </c>
      <c r="C26" s="68"/>
      <c r="D26" s="68"/>
      <c r="E26" s="9">
        <v>10</v>
      </c>
      <c r="F26" s="20">
        <v>8.25</v>
      </c>
      <c r="G26" s="32">
        <f t="shared" si="0"/>
        <v>0.82499999999999996</v>
      </c>
      <c r="H26" s="33" t="str">
        <f t="shared" si="1"/>
        <v>جيد جداً</v>
      </c>
      <c r="I26" s="77"/>
      <c r="J26" s="78"/>
    </row>
    <row r="27" spans="1:10" ht="30" customHeight="1" x14ac:dyDescent="0.3">
      <c r="A27" s="11"/>
      <c r="B27" s="67" t="s">
        <v>84</v>
      </c>
      <c r="C27" s="68"/>
      <c r="D27" s="68"/>
      <c r="E27" s="9">
        <v>5</v>
      </c>
      <c r="F27" s="20">
        <v>4.25</v>
      </c>
      <c r="G27" s="32">
        <f t="shared" si="0"/>
        <v>0.85</v>
      </c>
      <c r="H27" s="33" t="str">
        <f t="shared" si="1"/>
        <v>جيد جداً</v>
      </c>
      <c r="I27" s="77"/>
      <c r="J27" s="78"/>
    </row>
    <row r="28" spans="1:10" ht="30" customHeight="1" x14ac:dyDescent="0.3">
      <c r="A28" s="11"/>
      <c r="B28" s="67" t="s">
        <v>85</v>
      </c>
      <c r="C28" s="68"/>
      <c r="D28" s="68"/>
      <c r="E28" s="9">
        <v>5</v>
      </c>
      <c r="F28" s="20">
        <v>3.75</v>
      </c>
      <c r="G28" s="32">
        <f t="shared" si="0"/>
        <v>0.75</v>
      </c>
      <c r="H28" s="33" t="str">
        <f t="shared" si="1"/>
        <v>جيد</v>
      </c>
      <c r="I28" s="77"/>
      <c r="J28" s="78"/>
    </row>
    <row r="29" spans="1:10" ht="30" customHeight="1" x14ac:dyDescent="0.3">
      <c r="A29" s="11"/>
      <c r="B29" s="67" t="s">
        <v>86</v>
      </c>
      <c r="C29" s="68"/>
      <c r="D29" s="68"/>
      <c r="E29" s="9">
        <v>5</v>
      </c>
      <c r="F29" s="20">
        <v>3.75</v>
      </c>
      <c r="G29" s="32">
        <f t="shared" si="0"/>
        <v>0.75</v>
      </c>
      <c r="H29" s="33" t="str">
        <f t="shared" si="1"/>
        <v>جيد</v>
      </c>
      <c r="I29" s="77"/>
      <c r="J29" s="78"/>
    </row>
    <row r="30" spans="1:10" ht="30" customHeight="1" x14ac:dyDescent="0.3">
      <c r="A30" s="11"/>
      <c r="B30" s="67" t="s">
        <v>87</v>
      </c>
      <c r="C30" s="68"/>
      <c r="D30" s="68"/>
      <c r="E30" s="9">
        <v>5</v>
      </c>
      <c r="F30" s="20">
        <v>4.25</v>
      </c>
      <c r="G30" s="32">
        <f t="shared" si="0"/>
        <v>0.85</v>
      </c>
      <c r="H30" s="33" t="str">
        <f t="shared" si="1"/>
        <v>جيد جداً</v>
      </c>
      <c r="I30" s="77"/>
      <c r="J30" s="78"/>
    </row>
    <row r="31" spans="1:10" ht="30" customHeight="1" x14ac:dyDescent="0.3">
      <c r="A31" s="11"/>
      <c r="B31" s="67" t="s">
        <v>88</v>
      </c>
      <c r="C31" s="68"/>
      <c r="D31" s="68"/>
      <c r="E31" s="9">
        <v>5</v>
      </c>
      <c r="F31" s="20">
        <v>4</v>
      </c>
      <c r="G31" s="32">
        <f t="shared" si="0"/>
        <v>0.8</v>
      </c>
      <c r="H31" s="33" t="str">
        <f t="shared" si="1"/>
        <v>جيد جداً</v>
      </c>
      <c r="I31" s="77"/>
      <c r="J31" s="78"/>
    </row>
    <row r="32" spans="1:10" ht="50.1" customHeight="1" thickBot="1" x14ac:dyDescent="0.35">
      <c r="A32" s="11"/>
      <c r="B32" s="51" t="s">
        <v>89</v>
      </c>
      <c r="C32" s="52"/>
      <c r="D32" s="52"/>
      <c r="E32" s="26">
        <v>10</v>
      </c>
      <c r="F32" s="22">
        <v>7</v>
      </c>
      <c r="G32" s="34">
        <f t="shared" si="0"/>
        <v>0.7</v>
      </c>
      <c r="H32" s="35" t="str">
        <f t="shared" si="1"/>
        <v>جيد</v>
      </c>
      <c r="I32" s="72"/>
      <c r="J32" s="73"/>
    </row>
    <row r="33" spans="1:10" ht="30" customHeight="1" x14ac:dyDescent="0.3">
      <c r="A33" s="11"/>
      <c r="B33" s="57" t="s">
        <v>90</v>
      </c>
      <c r="C33" s="58"/>
      <c r="D33" s="58"/>
      <c r="E33" s="58"/>
      <c r="F33" s="58"/>
      <c r="G33" s="58"/>
      <c r="H33" s="58"/>
      <c r="I33" s="58"/>
      <c r="J33" s="59"/>
    </row>
    <row r="34" spans="1:10" ht="30" customHeight="1" x14ac:dyDescent="0.3">
      <c r="A34" s="11"/>
      <c r="B34" s="67" t="s">
        <v>91</v>
      </c>
      <c r="C34" s="68"/>
      <c r="D34" s="68"/>
      <c r="E34" s="9">
        <v>10</v>
      </c>
      <c r="F34" s="20">
        <v>8</v>
      </c>
      <c r="G34" s="32">
        <f t="shared" si="0"/>
        <v>0.8</v>
      </c>
      <c r="H34" s="33" t="str">
        <f t="shared" si="1"/>
        <v>جيد جداً</v>
      </c>
      <c r="I34" s="77"/>
      <c r="J34" s="78"/>
    </row>
    <row r="35" spans="1:10" ht="30" customHeight="1" x14ac:dyDescent="0.3">
      <c r="A35" s="11"/>
      <c r="B35" s="67" t="s">
        <v>92</v>
      </c>
      <c r="C35" s="68"/>
      <c r="D35" s="68"/>
      <c r="E35" s="9">
        <v>10</v>
      </c>
      <c r="F35" s="20">
        <v>7.25</v>
      </c>
      <c r="G35" s="32">
        <f t="shared" si="0"/>
        <v>0.72499999999999998</v>
      </c>
      <c r="H35" s="33" t="str">
        <f t="shared" si="1"/>
        <v>جيد</v>
      </c>
      <c r="I35" s="77"/>
      <c r="J35" s="78"/>
    </row>
    <row r="36" spans="1:10" ht="30" customHeight="1" x14ac:dyDescent="0.3">
      <c r="A36" s="11"/>
      <c r="B36" s="67" t="s">
        <v>93</v>
      </c>
      <c r="C36" s="68"/>
      <c r="D36" s="68"/>
      <c r="E36" s="9">
        <v>10</v>
      </c>
      <c r="F36" s="20">
        <v>7.25</v>
      </c>
      <c r="G36" s="32">
        <f t="shared" si="0"/>
        <v>0.72499999999999998</v>
      </c>
      <c r="H36" s="33" t="str">
        <f t="shared" si="1"/>
        <v>جيد</v>
      </c>
      <c r="I36" s="77"/>
      <c r="J36" s="78"/>
    </row>
    <row r="37" spans="1:10" ht="30" customHeight="1" thickBot="1" x14ac:dyDescent="0.35">
      <c r="A37" s="11"/>
      <c r="B37" s="51" t="s">
        <v>94</v>
      </c>
      <c r="C37" s="52"/>
      <c r="D37" s="52"/>
      <c r="E37" s="26">
        <v>10</v>
      </c>
      <c r="F37" s="22">
        <v>7.5</v>
      </c>
      <c r="G37" s="34">
        <f t="shared" si="0"/>
        <v>0.75</v>
      </c>
      <c r="H37" s="35" t="str">
        <f t="shared" si="1"/>
        <v>جيد</v>
      </c>
      <c r="I37" s="72"/>
      <c r="J37" s="73"/>
    </row>
    <row r="38" spans="1:10" ht="30" customHeight="1" x14ac:dyDescent="0.3">
      <c r="A38" s="11"/>
      <c r="B38" s="57" t="s">
        <v>95</v>
      </c>
      <c r="C38" s="58"/>
      <c r="D38" s="58"/>
      <c r="E38" s="58"/>
      <c r="F38" s="58"/>
      <c r="G38" s="58"/>
      <c r="H38" s="58"/>
      <c r="I38" s="58"/>
      <c r="J38" s="59"/>
    </row>
    <row r="39" spans="1:10" ht="30" customHeight="1" x14ac:dyDescent="0.3">
      <c r="A39" s="11"/>
      <c r="B39" s="67" t="s">
        <v>96</v>
      </c>
      <c r="C39" s="68"/>
      <c r="D39" s="68"/>
      <c r="E39" s="9">
        <v>5</v>
      </c>
      <c r="F39" s="20">
        <v>3.75</v>
      </c>
      <c r="G39" s="32">
        <f t="shared" si="0"/>
        <v>0.75</v>
      </c>
      <c r="H39" s="33" t="str">
        <f t="shared" si="1"/>
        <v>جيد</v>
      </c>
      <c r="I39" s="77"/>
      <c r="J39" s="78"/>
    </row>
    <row r="40" spans="1:10" ht="50.1" customHeight="1" x14ac:dyDescent="0.3">
      <c r="A40" s="11"/>
      <c r="B40" s="67" t="s">
        <v>97</v>
      </c>
      <c r="C40" s="68"/>
      <c r="D40" s="68"/>
      <c r="E40" s="9">
        <v>5</v>
      </c>
      <c r="F40" s="20">
        <v>3.75</v>
      </c>
      <c r="G40" s="32">
        <f t="shared" si="0"/>
        <v>0.75</v>
      </c>
      <c r="H40" s="33" t="str">
        <f t="shared" si="1"/>
        <v>جيد</v>
      </c>
      <c r="I40" s="77"/>
      <c r="J40" s="78"/>
    </row>
    <row r="41" spans="1:10" ht="30" customHeight="1" x14ac:dyDescent="0.3">
      <c r="A41" s="11"/>
      <c r="B41" s="67" t="s">
        <v>98</v>
      </c>
      <c r="C41" s="68"/>
      <c r="D41" s="68"/>
      <c r="E41" s="9">
        <v>5</v>
      </c>
      <c r="F41" s="20">
        <v>3.75</v>
      </c>
      <c r="G41" s="32">
        <f t="shared" si="0"/>
        <v>0.75</v>
      </c>
      <c r="H41" s="33" t="str">
        <f t="shared" si="1"/>
        <v>جيد</v>
      </c>
      <c r="I41" s="77"/>
      <c r="J41" s="78"/>
    </row>
    <row r="42" spans="1:10" ht="30" customHeight="1" x14ac:dyDescent="0.3">
      <c r="A42" s="11"/>
      <c r="B42" s="67" t="s">
        <v>99</v>
      </c>
      <c r="C42" s="68"/>
      <c r="D42" s="68"/>
      <c r="E42" s="9">
        <v>5</v>
      </c>
      <c r="F42" s="20">
        <v>3.5</v>
      </c>
      <c r="G42" s="32">
        <f t="shared" si="0"/>
        <v>0.7</v>
      </c>
      <c r="H42" s="33" t="str">
        <f t="shared" si="1"/>
        <v>جيد</v>
      </c>
      <c r="I42" s="77"/>
      <c r="J42" s="78"/>
    </row>
    <row r="43" spans="1:10" ht="30" customHeight="1" x14ac:dyDescent="0.3">
      <c r="A43" s="11"/>
      <c r="B43" s="67" t="s">
        <v>100</v>
      </c>
      <c r="C43" s="68"/>
      <c r="D43" s="68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77"/>
      <c r="J43" s="78"/>
    </row>
    <row r="44" spans="1:10" ht="30" customHeight="1" x14ac:dyDescent="0.3">
      <c r="A44" s="11"/>
      <c r="B44" s="67" t="s">
        <v>101</v>
      </c>
      <c r="C44" s="68"/>
      <c r="D44" s="68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77"/>
      <c r="J44" s="78"/>
    </row>
    <row r="45" spans="1:10" ht="39.9" customHeight="1" x14ac:dyDescent="0.3">
      <c r="A45" s="11"/>
      <c r="B45" s="67" t="s">
        <v>102</v>
      </c>
      <c r="C45" s="68"/>
      <c r="D45" s="68"/>
      <c r="E45" s="9">
        <v>5</v>
      </c>
      <c r="F45" s="20">
        <v>3.75</v>
      </c>
      <c r="G45" s="32">
        <f t="shared" si="0"/>
        <v>0.75</v>
      </c>
      <c r="H45" s="33" t="str">
        <f t="shared" si="1"/>
        <v>جيد</v>
      </c>
      <c r="I45" s="77"/>
      <c r="J45" s="78"/>
    </row>
    <row r="46" spans="1:10" ht="30" customHeight="1" x14ac:dyDescent="0.3">
      <c r="A46" s="11"/>
      <c r="B46" s="67" t="s">
        <v>103</v>
      </c>
      <c r="C46" s="68"/>
      <c r="D46" s="68"/>
      <c r="E46" s="9">
        <v>5</v>
      </c>
      <c r="F46" s="20">
        <v>3.5</v>
      </c>
      <c r="G46" s="32">
        <f t="shared" si="0"/>
        <v>0.7</v>
      </c>
      <c r="H46" s="33" t="str">
        <f t="shared" si="1"/>
        <v>جيد</v>
      </c>
      <c r="I46" s="77"/>
      <c r="J46" s="78"/>
    </row>
    <row r="47" spans="1:10" ht="30" customHeight="1" x14ac:dyDescent="0.3">
      <c r="A47" s="11"/>
      <c r="B47" s="67" t="s">
        <v>104</v>
      </c>
      <c r="C47" s="68"/>
      <c r="D47" s="68"/>
      <c r="E47" s="9">
        <v>5</v>
      </c>
      <c r="F47" s="20">
        <v>3.5</v>
      </c>
      <c r="G47" s="32">
        <f t="shared" si="0"/>
        <v>0.7</v>
      </c>
      <c r="H47" s="33" t="str">
        <f t="shared" si="1"/>
        <v>جيد</v>
      </c>
      <c r="I47" s="77"/>
      <c r="J47" s="78"/>
    </row>
    <row r="48" spans="1:10" ht="30" customHeight="1" x14ac:dyDescent="0.3">
      <c r="A48" s="11"/>
      <c r="B48" s="67" t="s">
        <v>105</v>
      </c>
      <c r="C48" s="68"/>
      <c r="D48" s="68"/>
      <c r="E48" s="9">
        <v>5</v>
      </c>
      <c r="F48" s="20">
        <v>3.5</v>
      </c>
      <c r="G48" s="32">
        <f t="shared" si="0"/>
        <v>0.7</v>
      </c>
      <c r="H48" s="33" t="str">
        <f t="shared" si="1"/>
        <v>جيد</v>
      </c>
      <c r="I48" s="77"/>
      <c r="J48" s="78"/>
    </row>
    <row r="49" spans="1:10" ht="30" customHeight="1" x14ac:dyDescent="0.3">
      <c r="A49" s="11"/>
      <c r="B49" s="60" t="s">
        <v>106</v>
      </c>
      <c r="C49" s="61"/>
      <c r="D49" s="62"/>
      <c r="E49" s="27"/>
      <c r="F49" s="20"/>
      <c r="G49" s="32"/>
      <c r="H49" s="33"/>
      <c r="I49" s="77"/>
      <c r="J49" s="78"/>
    </row>
    <row r="50" spans="1:10" ht="30" customHeight="1" x14ac:dyDescent="0.3">
      <c r="A50" s="11"/>
      <c r="B50" s="63" t="s">
        <v>107</v>
      </c>
      <c r="C50" s="64"/>
      <c r="D50" s="64"/>
      <c r="E50" s="28">
        <v>5</v>
      </c>
      <c r="F50" s="20">
        <v>3.75</v>
      </c>
      <c r="G50" s="32">
        <f t="shared" si="0"/>
        <v>0.75</v>
      </c>
      <c r="H50" s="33" t="str">
        <f t="shared" si="1"/>
        <v>جيد</v>
      </c>
      <c r="I50" s="77"/>
      <c r="J50" s="78"/>
    </row>
    <row r="51" spans="1:10" ht="30" customHeight="1" x14ac:dyDescent="0.3">
      <c r="A51" s="11"/>
      <c r="B51" s="63" t="s">
        <v>108</v>
      </c>
      <c r="C51" s="64"/>
      <c r="D51" s="64"/>
      <c r="E51" s="28">
        <v>5</v>
      </c>
      <c r="F51" s="20">
        <v>3.5</v>
      </c>
      <c r="G51" s="32">
        <f t="shared" si="0"/>
        <v>0.7</v>
      </c>
      <c r="H51" s="33" t="str">
        <f t="shared" si="1"/>
        <v>جيد</v>
      </c>
      <c r="I51" s="77"/>
      <c r="J51" s="78"/>
    </row>
    <row r="52" spans="1:10" ht="50.1" customHeight="1" x14ac:dyDescent="0.3">
      <c r="A52" s="11"/>
      <c r="B52" s="63" t="s">
        <v>109</v>
      </c>
      <c r="C52" s="64"/>
      <c r="D52" s="64"/>
      <c r="E52" s="28">
        <v>5</v>
      </c>
      <c r="F52" s="20">
        <v>3.75</v>
      </c>
      <c r="G52" s="32">
        <f t="shared" si="0"/>
        <v>0.75</v>
      </c>
      <c r="H52" s="33" t="str">
        <f t="shared" si="1"/>
        <v>جيد</v>
      </c>
      <c r="I52" s="77"/>
      <c r="J52" s="78"/>
    </row>
    <row r="53" spans="1:10" ht="30" customHeight="1" x14ac:dyDescent="0.3">
      <c r="A53" s="11"/>
      <c r="B53" s="63" t="s">
        <v>110</v>
      </c>
      <c r="C53" s="64"/>
      <c r="D53" s="64"/>
      <c r="E53" s="28">
        <v>5</v>
      </c>
      <c r="F53" s="20">
        <v>3.75</v>
      </c>
      <c r="G53" s="32">
        <f t="shared" si="0"/>
        <v>0.75</v>
      </c>
      <c r="H53" s="33" t="str">
        <f t="shared" si="1"/>
        <v>جيد</v>
      </c>
      <c r="I53" s="77"/>
      <c r="J53" s="78"/>
    </row>
    <row r="54" spans="1:10" ht="30" customHeight="1" x14ac:dyDescent="0.3">
      <c r="A54" s="11"/>
      <c r="B54" s="63" t="s">
        <v>111</v>
      </c>
      <c r="C54" s="64"/>
      <c r="D54" s="64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77"/>
      <c r="J54" s="78"/>
    </row>
    <row r="55" spans="1:10" ht="30" customHeight="1" x14ac:dyDescent="0.3">
      <c r="A55" s="11"/>
      <c r="B55" s="63" t="s">
        <v>112</v>
      </c>
      <c r="C55" s="64"/>
      <c r="D55" s="64"/>
      <c r="E55" s="28">
        <v>5</v>
      </c>
      <c r="F55" s="20">
        <v>3.75</v>
      </c>
      <c r="G55" s="32">
        <f t="shared" si="0"/>
        <v>0.75</v>
      </c>
      <c r="H55" s="33" t="str">
        <f t="shared" si="1"/>
        <v>جيد</v>
      </c>
      <c r="I55" s="77"/>
      <c r="J55" s="78"/>
    </row>
    <row r="56" spans="1:10" ht="30" customHeight="1" x14ac:dyDescent="0.3">
      <c r="A56" s="11"/>
      <c r="B56" s="63" t="s">
        <v>113</v>
      </c>
      <c r="C56" s="64"/>
      <c r="D56" s="64"/>
      <c r="E56" s="28">
        <v>5</v>
      </c>
      <c r="F56" s="20">
        <v>3.75</v>
      </c>
      <c r="G56" s="32">
        <f t="shared" si="0"/>
        <v>0.75</v>
      </c>
      <c r="H56" s="33" t="str">
        <f t="shared" si="1"/>
        <v>جيد</v>
      </c>
      <c r="I56" s="77"/>
      <c r="J56" s="78"/>
    </row>
    <row r="57" spans="1:10" ht="30" customHeight="1" x14ac:dyDescent="0.3">
      <c r="A57" s="11"/>
      <c r="B57" s="63" t="s">
        <v>114</v>
      </c>
      <c r="C57" s="64"/>
      <c r="D57" s="64"/>
      <c r="E57" s="28">
        <v>5</v>
      </c>
      <c r="F57" s="20">
        <v>3.75</v>
      </c>
      <c r="G57" s="32">
        <f t="shared" si="0"/>
        <v>0.75</v>
      </c>
      <c r="H57" s="33" t="str">
        <f t="shared" si="1"/>
        <v>جيد</v>
      </c>
      <c r="I57" s="77"/>
      <c r="J57" s="78"/>
    </row>
    <row r="58" spans="1:10" ht="30" customHeight="1" x14ac:dyDescent="0.3">
      <c r="A58" s="11"/>
      <c r="B58" s="63" t="s">
        <v>115</v>
      </c>
      <c r="C58" s="64"/>
      <c r="D58" s="64"/>
      <c r="E58" s="28">
        <v>5</v>
      </c>
      <c r="F58" s="20">
        <v>3.75</v>
      </c>
      <c r="G58" s="32">
        <f t="shared" si="0"/>
        <v>0.75</v>
      </c>
      <c r="H58" s="33" t="str">
        <f t="shared" si="1"/>
        <v>جيد</v>
      </c>
      <c r="I58" s="77"/>
      <c r="J58" s="78"/>
    </row>
    <row r="59" spans="1:10" ht="30" customHeight="1" x14ac:dyDescent="0.3">
      <c r="A59" s="11"/>
      <c r="B59" s="63" t="s">
        <v>116</v>
      </c>
      <c r="C59" s="64"/>
      <c r="D59" s="64"/>
      <c r="E59" s="28">
        <v>5</v>
      </c>
      <c r="F59" s="20">
        <v>3.75</v>
      </c>
      <c r="G59" s="32">
        <f t="shared" si="0"/>
        <v>0.75</v>
      </c>
      <c r="H59" s="33" t="str">
        <f t="shared" si="1"/>
        <v>جيد</v>
      </c>
      <c r="I59" s="77"/>
      <c r="J59" s="78"/>
    </row>
    <row r="60" spans="1:10" ht="30" customHeight="1" x14ac:dyDescent="0.3">
      <c r="A60" s="11"/>
      <c r="B60" s="63" t="s">
        <v>117</v>
      </c>
      <c r="C60" s="64"/>
      <c r="D60" s="64"/>
      <c r="E60" s="28">
        <v>5</v>
      </c>
      <c r="F60" s="20">
        <v>3.75</v>
      </c>
      <c r="G60" s="32">
        <f t="shared" si="0"/>
        <v>0.75</v>
      </c>
      <c r="H60" s="33" t="str">
        <f t="shared" si="1"/>
        <v>جيد</v>
      </c>
      <c r="I60" s="77"/>
      <c r="J60" s="78"/>
    </row>
    <row r="61" spans="1:10" ht="30" customHeight="1" thickBot="1" x14ac:dyDescent="0.35">
      <c r="A61" s="11"/>
      <c r="B61" s="65" t="s">
        <v>118</v>
      </c>
      <c r="C61" s="66"/>
      <c r="D61" s="66"/>
      <c r="E61" s="29">
        <v>5</v>
      </c>
      <c r="F61" s="22">
        <v>3.75</v>
      </c>
      <c r="G61" s="34">
        <f t="shared" si="0"/>
        <v>0.75</v>
      </c>
      <c r="H61" s="35" t="str">
        <f t="shared" si="1"/>
        <v>جيد</v>
      </c>
      <c r="I61" s="72"/>
      <c r="J61" s="73"/>
    </row>
    <row r="62" spans="1:10" ht="30" customHeight="1" x14ac:dyDescent="0.3">
      <c r="A62" s="11"/>
      <c r="B62" s="57" t="s">
        <v>119</v>
      </c>
      <c r="C62" s="58"/>
      <c r="D62" s="58"/>
      <c r="E62" s="58"/>
      <c r="F62" s="58"/>
      <c r="G62" s="58"/>
      <c r="H62" s="58"/>
      <c r="I62" s="58"/>
      <c r="J62" s="59"/>
    </row>
    <row r="63" spans="1:10" ht="30" customHeight="1" x14ac:dyDescent="0.3">
      <c r="A63" s="11"/>
      <c r="B63" s="67" t="s">
        <v>120</v>
      </c>
      <c r="C63" s="68"/>
      <c r="D63" s="68"/>
      <c r="E63" s="9">
        <v>5</v>
      </c>
      <c r="F63" s="20">
        <v>3.5</v>
      </c>
      <c r="G63" s="32">
        <f t="shared" si="0"/>
        <v>0.7</v>
      </c>
      <c r="H63" s="33" t="str">
        <f t="shared" si="1"/>
        <v>جيد</v>
      </c>
      <c r="I63" s="77"/>
      <c r="J63" s="78"/>
    </row>
    <row r="64" spans="1:10" ht="30" customHeight="1" x14ac:dyDescent="0.3">
      <c r="A64" s="11"/>
      <c r="B64" s="67" t="s">
        <v>121</v>
      </c>
      <c r="C64" s="68"/>
      <c r="D64" s="68"/>
      <c r="E64" s="9">
        <v>5</v>
      </c>
      <c r="F64" s="20">
        <v>3.75</v>
      </c>
      <c r="G64" s="32">
        <f t="shared" si="0"/>
        <v>0.75</v>
      </c>
      <c r="H64" s="33" t="str">
        <f t="shared" si="1"/>
        <v>جيد</v>
      </c>
      <c r="I64" s="77"/>
      <c r="J64" s="78"/>
    </row>
    <row r="65" spans="1:10" ht="30" customHeight="1" x14ac:dyDescent="0.3">
      <c r="A65" s="11"/>
      <c r="B65" s="67" t="s">
        <v>122</v>
      </c>
      <c r="C65" s="68"/>
      <c r="D65" s="68"/>
      <c r="E65" s="9">
        <v>5</v>
      </c>
      <c r="F65" s="20">
        <v>3.5</v>
      </c>
      <c r="G65" s="32">
        <f t="shared" si="0"/>
        <v>0.7</v>
      </c>
      <c r="H65" s="33" t="str">
        <f t="shared" si="1"/>
        <v>جيد</v>
      </c>
      <c r="I65" s="77"/>
      <c r="J65" s="78"/>
    </row>
    <row r="66" spans="1:10" ht="30" customHeight="1" x14ac:dyDescent="0.3">
      <c r="A66" s="11"/>
      <c r="B66" s="67" t="s">
        <v>123</v>
      </c>
      <c r="C66" s="68"/>
      <c r="D66" s="68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77"/>
      <c r="J66" s="78"/>
    </row>
    <row r="67" spans="1:10" ht="30" customHeight="1" x14ac:dyDescent="0.3">
      <c r="A67" s="11"/>
      <c r="B67" s="67" t="s">
        <v>124</v>
      </c>
      <c r="C67" s="68"/>
      <c r="D67" s="68"/>
      <c r="E67" s="9">
        <v>5</v>
      </c>
      <c r="F67" s="20">
        <v>3.5</v>
      </c>
      <c r="G67" s="32">
        <f t="shared" si="0"/>
        <v>0.7</v>
      </c>
      <c r="H67" s="33" t="str">
        <f t="shared" si="1"/>
        <v>جيد</v>
      </c>
      <c r="I67" s="77"/>
      <c r="J67" s="78"/>
    </row>
    <row r="68" spans="1:10" ht="30" customHeight="1" thickBot="1" x14ac:dyDescent="0.35">
      <c r="A68" s="11"/>
      <c r="B68" s="51" t="s">
        <v>125</v>
      </c>
      <c r="C68" s="52"/>
      <c r="D68" s="52"/>
      <c r="E68" s="26">
        <v>5</v>
      </c>
      <c r="F68" s="22">
        <v>4</v>
      </c>
      <c r="G68" s="34">
        <f t="shared" si="0"/>
        <v>0.8</v>
      </c>
      <c r="H68" s="35" t="str">
        <f t="shared" si="1"/>
        <v>جيد جداً</v>
      </c>
      <c r="I68" s="72"/>
      <c r="J68" s="73"/>
    </row>
    <row r="69" spans="1:10" ht="30" customHeight="1" thickBot="1" x14ac:dyDescent="0.35">
      <c r="A69" s="11"/>
      <c r="B69" s="53" t="s">
        <v>126</v>
      </c>
      <c r="C69" s="54"/>
      <c r="D69" s="54"/>
      <c r="E69" s="10">
        <v>5</v>
      </c>
      <c r="F69" s="36">
        <v>4</v>
      </c>
      <c r="G69" s="37">
        <f t="shared" si="0"/>
        <v>0.8</v>
      </c>
      <c r="H69" s="21" t="str">
        <f t="shared" si="1"/>
        <v>جيد جداً</v>
      </c>
      <c r="I69" s="83"/>
      <c r="J69" s="84"/>
    </row>
    <row r="70" spans="1:10" ht="30" customHeight="1" thickBot="1" x14ac:dyDescent="0.35">
      <c r="A70" s="4"/>
      <c r="B70" s="79" t="s">
        <v>5</v>
      </c>
      <c r="C70" s="80"/>
      <c r="D70" s="80"/>
      <c r="E70" s="31">
        <f>SUM(E8:E69)</f>
        <v>300</v>
      </c>
      <c r="F70" s="31">
        <f>SUM(F8:F69)</f>
        <v>226.25</v>
      </c>
      <c r="G70" s="93"/>
      <c r="H70" s="94"/>
      <c r="I70" s="94"/>
      <c r="J70" s="95"/>
    </row>
    <row r="71" spans="1:10" ht="30" customHeight="1" thickBot="1" x14ac:dyDescent="0.35">
      <c r="A71" s="4"/>
      <c r="B71" s="81" t="s">
        <v>54</v>
      </c>
      <c r="C71" s="82"/>
      <c r="D71" s="82"/>
      <c r="E71" s="104">
        <f>F70/E70/100*100</f>
        <v>0.75416666666666665</v>
      </c>
      <c r="F71" s="104"/>
      <c r="G71" s="104"/>
      <c r="H71" s="104"/>
      <c r="I71" s="104"/>
      <c r="J71" s="105"/>
    </row>
    <row r="72" spans="1:10" ht="30" customHeight="1" thickBot="1" x14ac:dyDescent="0.35">
      <c r="A72" s="4"/>
      <c r="B72" s="81" t="s">
        <v>55</v>
      </c>
      <c r="C72" s="82"/>
      <c r="D72" s="82"/>
      <c r="E72" s="89" t="str">
        <f>_xlfn.IFS(E71&gt;=90%,"ممتاز",E71&gt;=80%,"جيد جداً",E71&gt;=70%,"جيد",E71&gt;=60%,"مقبول",E71&lt;60%,"راسب")</f>
        <v>جيد</v>
      </c>
      <c r="F72" s="89"/>
      <c r="G72" s="89"/>
      <c r="H72" s="89"/>
      <c r="I72" s="89"/>
      <c r="J72" s="90"/>
    </row>
    <row r="73" spans="1:10" ht="42" customHeight="1" x14ac:dyDescent="0.3">
      <c r="B73" s="85" t="s">
        <v>63</v>
      </c>
      <c r="C73" s="85"/>
      <c r="D73" s="85"/>
      <c r="E73" s="91" t="s">
        <v>52</v>
      </c>
      <c r="F73" s="91"/>
      <c r="G73" s="87" t="s">
        <v>173</v>
      </c>
      <c r="H73" s="87"/>
      <c r="I73" s="87"/>
      <c r="J73" s="87"/>
    </row>
    <row r="74" spans="1:10" ht="51" customHeight="1" x14ac:dyDescent="0.3">
      <c r="A74" s="5"/>
      <c r="B74" s="86"/>
      <c r="C74" s="86"/>
      <c r="D74" s="86"/>
      <c r="E74" s="92" t="s">
        <v>53</v>
      </c>
      <c r="F74" s="92"/>
      <c r="G74" s="88"/>
      <c r="H74" s="88"/>
      <c r="I74" s="88"/>
      <c r="J74" s="88"/>
    </row>
  </sheetData>
  <sheetProtection formatCells="0" formatColumns="0" formatRows="0" insertColumns="0" insertRows="0" insertHyperlinks="0" deleteColumns="0" deleteRows="0" selectLockedCells="1" sort="0" autoFilter="0" pivotTables="0"/>
  <mergeCells count="141">
    <mergeCell ref="C4:D4"/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8" t="s">
        <v>131</v>
      </c>
    </row>
    <row r="3" spans="1:3" ht="20.100000000000001" customHeight="1" thickBot="1" x14ac:dyDescent="0.35">
      <c r="A3" s="2" t="s">
        <v>26</v>
      </c>
      <c r="C3" s="38" t="s">
        <v>132</v>
      </c>
    </row>
    <row r="4" spans="1:3" ht="20.100000000000001" customHeight="1" thickBot="1" x14ac:dyDescent="0.35">
      <c r="A4" s="2" t="s">
        <v>36</v>
      </c>
      <c r="C4" s="38" t="s">
        <v>133</v>
      </c>
    </row>
    <row r="5" spans="1:3" ht="20.100000000000001" customHeight="1" thickBot="1" x14ac:dyDescent="0.35">
      <c r="A5" s="2" t="s">
        <v>37</v>
      </c>
      <c r="C5" s="38" t="s">
        <v>134</v>
      </c>
    </row>
    <row r="6" spans="1:3" ht="20.100000000000001" customHeight="1" thickBot="1" x14ac:dyDescent="0.35">
      <c r="A6" s="2" t="s">
        <v>38</v>
      </c>
      <c r="C6" s="38" t="s">
        <v>135</v>
      </c>
    </row>
    <row r="7" spans="1:3" ht="20.100000000000001" customHeight="1" thickBot="1" x14ac:dyDescent="0.35">
      <c r="A7" s="2" t="s">
        <v>39</v>
      </c>
      <c r="C7" s="38" t="s">
        <v>136</v>
      </c>
    </row>
    <row r="8" spans="1:3" ht="20.100000000000001" customHeight="1" thickBot="1" x14ac:dyDescent="0.35">
      <c r="A8" s="2" t="s">
        <v>40</v>
      </c>
      <c r="C8" s="38" t="s">
        <v>137</v>
      </c>
    </row>
    <row r="9" spans="1:3" ht="20.100000000000001" customHeight="1" thickBot="1" x14ac:dyDescent="0.35">
      <c r="A9" s="2" t="s">
        <v>41</v>
      </c>
      <c r="C9" s="38" t="s">
        <v>138</v>
      </c>
    </row>
    <row r="10" spans="1:3" ht="20.100000000000001" customHeight="1" thickBot="1" x14ac:dyDescent="0.35">
      <c r="A10" s="2" t="s">
        <v>42</v>
      </c>
      <c r="C10" s="38" t="s">
        <v>139</v>
      </c>
    </row>
    <row r="11" spans="1:3" ht="20.100000000000001" customHeight="1" thickBot="1" x14ac:dyDescent="0.35">
      <c r="A11" s="2" t="s">
        <v>43</v>
      </c>
      <c r="C11" s="38" t="s">
        <v>140</v>
      </c>
    </row>
    <row r="12" spans="1:3" ht="20.100000000000001" customHeight="1" thickBot="1" x14ac:dyDescent="0.35">
      <c r="A12" s="2" t="s">
        <v>44</v>
      </c>
      <c r="C12" s="38" t="s">
        <v>141</v>
      </c>
    </row>
    <row r="13" spans="1:3" ht="20.100000000000001" customHeight="1" thickBot="1" x14ac:dyDescent="0.35">
      <c r="A13" s="2" t="s">
        <v>45</v>
      </c>
      <c r="C13" s="38" t="s">
        <v>142</v>
      </c>
    </row>
    <row r="14" spans="1:3" ht="20.100000000000001" customHeight="1" thickBot="1" x14ac:dyDescent="0.35">
      <c r="A14" s="2" t="s">
        <v>46</v>
      </c>
      <c r="C14" s="38" t="s">
        <v>143</v>
      </c>
    </row>
    <row r="15" spans="1:3" ht="20.100000000000001" customHeight="1" thickBot="1" x14ac:dyDescent="0.35">
      <c r="A15" s="2" t="s">
        <v>47</v>
      </c>
      <c r="C15" s="38" t="s">
        <v>144</v>
      </c>
    </row>
    <row r="16" spans="1:3" ht="20.100000000000001" customHeight="1" thickBot="1" x14ac:dyDescent="0.35">
      <c r="A16" s="2" t="s">
        <v>10</v>
      </c>
      <c r="C16" s="38" t="s">
        <v>145</v>
      </c>
    </row>
    <row r="17" spans="1:3" ht="20.100000000000001" customHeight="1" thickBot="1" x14ac:dyDescent="0.35">
      <c r="A17" s="2" t="s">
        <v>27</v>
      </c>
      <c r="C17" s="38" t="s">
        <v>146</v>
      </c>
    </row>
    <row r="18" spans="1:3" ht="20.100000000000001" customHeight="1" thickBot="1" x14ac:dyDescent="0.35">
      <c r="A18" s="2" t="s">
        <v>48</v>
      </c>
      <c r="C18" s="38" t="s">
        <v>147</v>
      </c>
    </row>
    <row r="19" spans="1:3" ht="20.100000000000001" customHeight="1" thickBot="1" x14ac:dyDescent="0.35">
      <c r="A19" s="2" t="s">
        <v>49</v>
      </c>
      <c r="C19" s="38" t="s">
        <v>148</v>
      </c>
    </row>
    <row r="20" spans="1:3" ht="20.100000000000001" customHeight="1" thickBot="1" x14ac:dyDescent="0.35">
      <c r="A20" s="2" t="s">
        <v>50</v>
      </c>
      <c r="C20" s="38" t="s">
        <v>149</v>
      </c>
    </row>
    <row r="21" spans="1:3" ht="20.100000000000001" customHeight="1" thickBot="1" x14ac:dyDescent="0.35">
      <c r="A21" s="2" t="s">
        <v>51</v>
      </c>
      <c r="C21" s="38" t="s">
        <v>150</v>
      </c>
    </row>
    <row r="22" spans="1:3" ht="20.100000000000001" customHeight="1" thickBot="1" x14ac:dyDescent="0.35">
      <c r="A22" s="2" t="s">
        <v>11</v>
      </c>
      <c r="C22" s="38" t="s">
        <v>151</v>
      </c>
    </row>
    <row r="23" spans="1:3" ht="20.100000000000001" customHeight="1" thickBot="1" x14ac:dyDescent="0.35">
      <c r="A23" s="2" t="s">
        <v>12</v>
      </c>
      <c r="C23" s="38" t="s">
        <v>152</v>
      </c>
    </row>
    <row r="24" spans="1:3" ht="20.100000000000001" customHeight="1" thickBot="1" x14ac:dyDescent="0.35">
      <c r="A24" s="2" t="s">
        <v>15</v>
      </c>
      <c r="C24" s="38" t="s">
        <v>153</v>
      </c>
    </row>
    <row r="25" spans="1:3" ht="20.100000000000001" customHeight="1" thickBot="1" x14ac:dyDescent="0.35">
      <c r="A25" s="2" t="s">
        <v>28</v>
      </c>
      <c r="C25" s="38" t="s">
        <v>154</v>
      </c>
    </row>
    <row r="26" spans="1:3" ht="20.100000000000001" customHeight="1" thickBot="1" x14ac:dyDescent="0.35">
      <c r="A26" s="2" t="s">
        <v>29</v>
      </c>
      <c r="C26" s="38" t="s">
        <v>155</v>
      </c>
    </row>
    <row r="27" spans="1:3" ht="20.100000000000001" customHeight="1" thickBot="1" x14ac:dyDescent="0.35">
      <c r="A27" s="2" t="s">
        <v>13</v>
      </c>
      <c r="C27" s="38" t="s">
        <v>156</v>
      </c>
    </row>
    <row r="28" spans="1:3" ht="20.100000000000001" customHeight="1" thickBot="1" x14ac:dyDescent="0.35">
      <c r="A28" s="2" t="s">
        <v>30</v>
      </c>
      <c r="C28" s="38" t="s">
        <v>157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9" t="s">
        <v>158</v>
      </c>
    </row>
    <row r="200" spans="1:1" ht="20.100000000000001" customHeight="1" x14ac:dyDescent="0.3">
      <c r="A200" s="39" t="s">
        <v>159</v>
      </c>
    </row>
    <row r="201" spans="1:1" ht="20.100000000000001" customHeight="1" x14ac:dyDescent="0.3">
      <c r="A201" s="39" t="s">
        <v>160</v>
      </c>
    </row>
    <row r="202" spans="1:1" ht="20.100000000000001" customHeight="1" x14ac:dyDescent="0.3">
      <c r="A202" s="39" t="s">
        <v>161</v>
      </c>
    </row>
    <row r="203" spans="1:1" ht="20.100000000000001" customHeight="1" x14ac:dyDescent="0.3">
      <c r="A203" s="39" t="s">
        <v>162</v>
      </c>
    </row>
    <row r="204" spans="1:1" ht="20.100000000000001" customHeight="1" x14ac:dyDescent="0.3">
      <c r="A204" s="39" t="s">
        <v>163</v>
      </c>
    </row>
    <row r="205" spans="1:1" ht="20.100000000000001" customHeight="1" x14ac:dyDescent="0.3">
      <c r="A205" s="39" t="s">
        <v>164</v>
      </c>
    </row>
    <row r="206" spans="1:1" ht="20.100000000000001" customHeight="1" x14ac:dyDescent="0.3">
      <c r="A206" s="39" t="s">
        <v>165</v>
      </c>
    </row>
    <row r="207" spans="1:1" ht="20.100000000000001" customHeight="1" x14ac:dyDescent="0.3">
      <c r="A207" s="39" t="s">
        <v>166</v>
      </c>
    </row>
    <row r="208" spans="1:1" ht="20.100000000000001" customHeight="1" x14ac:dyDescent="0.3">
      <c r="A208" s="40" t="s">
        <v>167</v>
      </c>
    </row>
    <row r="209" spans="1:1" ht="20.100000000000001" customHeight="1" x14ac:dyDescent="0.3">
      <c r="A209" s="40" t="s">
        <v>168</v>
      </c>
    </row>
    <row r="210" spans="1:1" ht="20.100000000000001" customHeight="1" x14ac:dyDescent="0.3">
      <c r="A210" s="39" t="s">
        <v>169</v>
      </c>
    </row>
    <row r="211" spans="1:1" ht="20.100000000000001" customHeight="1" x14ac:dyDescent="0.3">
      <c r="A211" s="39" t="s">
        <v>170</v>
      </c>
    </row>
    <row r="212" spans="1:1" ht="20.100000000000001" customHeight="1" x14ac:dyDescent="0.3">
      <c r="A212" s="39" t="s">
        <v>171</v>
      </c>
    </row>
    <row r="213" spans="1:1" ht="20.100000000000001" customHeight="1" x14ac:dyDescent="0.3">
      <c r="A213" s="39" t="s">
        <v>172</v>
      </c>
    </row>
    <row r="214" spans="1:1" ht="20.100000000000001" customHeight="1" x14ac:dyDescent="0.3">
      <c r="A214" s="39" t="s">
        <v>173</v>
      </c>
    </row>
    <row r="215" spans="1:1" ht="20.100000000000001" customHeight="1" x14ac:dyDescent="0.3">
      <c r="A215" s="39" t="s">
        <v>174</v>
      </c>
    </row>
    <row r="216" spans="1:1" ht="20.100000000000001" customHeight="1" x14ac:dyDescent="0.3">
      <c r="A216" s="39" t="s">
        <v>175</v>
      </c>
    </row>
    <row r="217" spans="1:1" ht="20.100000000000001" customHeight="1" x14ac:dyDescent="0.3">
      <c r="A217" s="39" t="s">
        <v>176</v>
      </c>
    </row>
    <row r="218" spans="1:1" ht="20.100000000000001" customHeight="1" x14ac:dyDescent="0.3">
      <c r="A218" s="39" t="s">
        <v>177</v>
      </c>
    </row>
    <row r="219" spans="1:1" ht="20.100000000000001" customHeight="1" x14ac:dyDescent="0.3">
      <c r="A219" s="39" t="s">
        <v>178</v>
      </c>
    </row>
    <row r="220" spans="1:1" ht="20.100000000000001" customHeight="1" x14ac:dyDescent="0.3">
      <c r="A220" s="39" t="s">
        <v>179</v>
      </c>
    </row>
    <row r="221" spans="1:1" ht="20.100000000000001" customHeight="1" x14ac:dyDescent="0.3">
      <c r="A221" s="39" t="s">
        <v>180</v>
      </c>
    </row>
    <row r="222" spans="1:1" ht="20.100000000000001" customHeight="1" x14ac:dyDescent="0.3">
      <c r="A222" s="39" t="s">
        <v>181</v>
      </c>
    </row>
    <row r="223" spans="1:1" ht="20.100000000000001" customHeight="1" x14ac:dyDescent="0.3">
      <c r="A223" s="39" t="s">
        <v>182</v>
      </c>
    </row>
    <row r="224" spans="1:1" ht="20.100000000000001" customHeight="1" x14ac:dyDescent="0.3">
      <c r="A224" s="39" t="s">
        <v>183</v>
      </c>
    </row>
    <row r="225" spans="1:1" ht="20.100000000000001" customHeight="1" x14ac:dyDescent="0.3">
      <c r="A225" s="39" t="s">
        <v>184</v>
      </c>
    </row>
    <row r="226" spans="1:1" ht="20.100000000000001" customHeight="1" x14ac:dyDescent="0.3">
      <c r="A226" s="39" t="s">
        <v>185</v>
      </c>
    </row>
    <row r="227" spans="1:1" ht="20.100000000000001" customHeight="1" x14ac:dyDescent="0.3">
      <c r="A227" s="39" t="s">
        <v>186</v>
      </c>
    </row>
    <row r="228" spans="1:1" ht="20.100000000000001" customHeight="1" x14ac:dyDescent="0.3">
      <c r="A228" s="39" t="s">
        <v>187</v>
      </c>
    </row>
    <row r="229" spans="1:1" ht="20.100000000000001" customHeight="1" x14ac:dyDescent="0.3">
      <c r="A229" s="39" t="s">
        <v>188</v>
      </c>
    </row>
    <row r="230" spans="1:1" ht="20.100000000000001" customHeight="1" x14ac:dyDescent="0.3">
      <c r="A230" s="39" t="s">
        <v>189</v>
      </c>
    </row>
    <row r="231" spans="1:1" ht="20.100000000000001" customHeight="1" x14ac:dyDescent="0.3">
      <c r="A231" s="39" t="s">
        <v>190</v>
      </c>
    </row>
    <row r="232" spans="1:1" ht="20.100000000000001" customHeight="1" x14ac:dyDescent="0.3">
      <c r="A232" s="39" t="s">
        <v>191</v>
      </c>
    </row>
    <row r="233" spans="1:1" ht="20.100000000000001" customHeight="1" x14ac:dyDescent="0.3">
      <c r="A233" s="39" t="s">
        <v>192</v>
      </c>
    </row>
    <row r="234" spans="1:1" ht="20.100000000000001" customHeight="1" x14ac:dyDescent="0.3">
      <c r="A234" s="39" t="s">
        <v>193</v>
      </c>
    </row>
    <row r="235" spans="1:1" ht="20.100000000000001" customHeight="1" x14ac:dyDescent="0.3">
      <c r="A235" s="41" t="s">
        <v>194</v>
      </c>
    </row>
    <row r="236" spans="1:1" ht="20.100000000000001" customHeight="1" x14ac:dyDescent="0.3">
      <c r="A236" s="39" t="s">
        <v>195</v>
      </c>
    </row>
    <row r="237" spans="1:1" ht="20.100000000000001" customHeight="1" x14ac:dyDescent="0.3">
      <c r="A237" s="39" t="s">
        <v>196</v>
      </c>
    </row>
    <row r="238" spans="1:1" ht="20.100000000000001" customHeight="1" x14ac:dyDescent="0.3">
      <c r="A238" s="39" t="s">
        <v>197</v>
      </c>
    </row>
    <row r="239" spans="1:1" ht="20.100000000000001" customHeight="1" x14ac:dyDescent="0.3">
      <c r="A239" s="39" t="s">
        <v>198</v>
      </c>
    </row>
    <row r="240" spans="1:1" ht="20.100000000000001" customHeight="1" x14ac:dyDescent="0.3">
      <c r="A240" s="39" t="s">
        <v>199</v>
      </c>
    </row>
    <row r="241" spans="1:1" ht="20.100000000000001" customHeight="1" x14ac:dyDescent="0.3">
      <c r="A241" s="39" t="s">
        <v>200</v>
      </c>
    </row>
    <row r="242" spans="1:1" ht="20.100000000000001" customHeight="1" x14ac:dyDescent="0.3">
      <c r="A242" s="39" t="s">
        <v>201</v>
      </c>
    </row>
    <row r="243" spans="1:1" ht="20.100000000000001" customHeight="1" x14ac:dyDescent="0.3">
      <c r="A243" s="39" t="s">
        <v>202</v>
      </c>
    </row>
    <row r="244" spans="1:1" ht="20.100000000000001" customHeight="1" x14ac:dyDescent="0.3">
      <c r="A244" s="39" t="s">
        <v>203</v>
      </c>
    </row>
    <row r="245" spans="1:1" ht="20.100000000000001" customHeight="1" x14ac:dyDescent="0.3">
      <c r="A245" s="39" t="s">
        <v>204</v>
      </c>
    </row>
    <row r="246" spans="1:1" ht="20.100000000000001" customHeight="1" x14ac:dyDescent="0.3">
      <c r="A246" s="39" t="s">
        <v>205</v>
      </c>
    </row>
    <row r="247" spans="1:1" ht="20.100000000000001" customHeight="1" x14ac:dyDescent="0.3">
      <c r="A247" s="39" t="s">
        <v>196</v>
      </c>
    </row>
    <row r="248" spans="1:1" ht="20.100000000000001" customHeight="1" x14ac:dyDescent="0.3">
      <c r="A248" s="39" t="s">
        <v>206</v>
      </c>
    </row>
    <row r="249" spans="1:1" ht="20.100000000000001" customHeight="1" x14ac:dyDescent="0.3">
      <c r="A249" s="39" t="s">
        <v>207</v>
      </c>
    </row>
    <row r="250" spans="1:1" ht="20.100000000000001" customHeight="1" x14ac:dyDescent="0.3">
      <c r="A250" s="41" t="s">
        <v>208</v>
      </c>
    </row>
    <row r="251" spans="1:1" ht="20.100000000000001" customHeight="1" x14ac:dyDescent="0.3">
      <c r="A251" s="42" t="s">
        <v>209</v>
      </c>
    </row>
    <row r="252" spans="1:1" ht="20.100000000000001" customHeight="1" x14ac:dyDescent="0.3">
      <c r="A252" s="39" t="s">
        <v>210</v>
      </c>
    </row>
    <row r="253" spans="1:1" ht="20.100000000000001" customHeight="1" x14ac:dyDescent="0.3">
      <c r="A253" s="39" t="s">
        <v>211</v>
      </c>
    </row>
    <row r="254" spans="1:1" ht="20.100000000000001" customHeight="1" x14ac:dyDescent="0.3">
      <c r="A254" s="43" t="s">
        <v>212</v>
      </c>
    </row>
    <row r="255" spans="1:1" ht="20.100000000000001" customHeight="1" x14ac:dyDescent="0.3">
      <c r="A255" s="43" t="s">
        <v>213</v>
      </c>
    </row>
    <row r="256" spans="1:1" ht="20.100000000000001" customHeight="1" x14ac:dyDescent="0.3">
      <c r="A256" s="44" t="s">
        <v>214</v>
      </c>
    </row>
    <row r="257" spans="1:1" ht="20.100000000000001" customHeight="1" x14ac:dyDescent="0.3">
      <c r="A257" s="39" t="s">
        <v>215</v>
      </c>
    </row>
    <row r="258" spans="1:1" ht="20.100000000000001" customHeight="1" x14ac:dyDescent="0.3">
      <c r="A258" s="44" t="s">
        <v>216</v>
      </c>
    </row>
    <row r="259" spans="1:1" ht="20.100000000000001" customHeight="1" x14ac:dyDescent="0.3">
      <c r="A259" s="39" t="s">
        <v>217</v>
      </c>
    </row>
    <row r="260" spans="1:1" ht="20.100000000000001" customHeight="1" x14ac:dyDescent="0.3">
      <c r="A260" s="44" t="s">
        <v>218</v>
      </c>
    </row>
    <row r="261" spans="1:1" ht="20.100000000000001" customHeight="1" x14ac:dyDescent="0.3">
      <c r="A261" s="39" t="s">
        <v>219</v>
      </c>
    </row>
    <row r="262" spans="1:1" ht="20.100000000000001" customHeight="1" x14ac:dyDescent="0.3">
      <c r="A262" s="39" t="s">
        <v>220</v>
      </c>
    </row>
    <row r="263" spans="1:1" ht="20.100000000000001" customHeight="1" x14ac:dyDescent="0.3">
      <c r="A263" s="44" t="s">
        <v>221</v>
      </c>
    </row>
    <row r="264" spans="1:1" ht="20.100000000000001" customHeight="1" x14ac:dyDescent="0.3">
      <c r="A264" s="44" t="s">
        <v>222</v>
      </c>
    </row>
    <row r="265" spans="1:1" ht="20.100000000000001" customHeight="1" x14ac:dyDescent="0.3">
      <c r="A265" s="44" t="s">
        <v>223</v>
      </c>
    </row>
    <row r="266" spans="1:1" ht="20.100000000000001" customHeight="1" x14ac:dyDescent="0.3">
      <c r="A266" s="39" t="s">
        <v>224</v>
      </c>
    </row>
    <row r="267" spans="1:1" ht="20.100000000000001" customHeight="1" x14ac:dyDescent="0.3">
      <c r="A267" s="39" t="s">
        <v>225</v>
      </c>
    </row>
    <row r="268" spans="1:1" ht="20.100000000000001" customHeight="1" x14ac:dyDescent="0.3">
      <c r="A268" s="39" t="s">
        <v>226</v>
      </c>
    </row>
    <row r="269" spans="1:1" ht="20.100000000000001" customHeight="1" x14ac:dyDescent="0.3">
      <c r="A269" s="39" t="s">
        <v>227</v>
      </c>
    </row>
    <row r="270" spans="1:1" ht="20.100000000000001" customHeight="1" x14ac:dyDescent="0.3">
      <c r="A270" s="44" t="s">
        <v>228</v>
      </c>
    </row>
    <row r="271" spans="1:1" ht="20.100000000000001" customHeight="1" x14ac:dyDescent="0.3">
      <c r="A271" s="44" t="s">
        <v>229</v>
      </c>
    </row>
    <row r="272" spans="1:1" ht="20.100000000000001" customHeight="1" x14ac:dyDescent="0.3">
      <c r="A272" s="39" t="s">
        <v>230</v>
      </c>
    </row>
    <row r="273" spans="1:1" ht="20.100000000000001" customHeight="1" x14ac:dyDescent="0.3">
      <c r="A273" s="44" t="s">
        <v>231</v>
      </c>
    </row>
    <row r="274" spans="1:1" ht="20.100000000000001" customHeight="1" x14ac:dyDescent="0.3">
      <c r="A274" s="44" t="s">
        <v>232</v>
      </c>
    </row>
    <row r="275" spans="1:1" ht="20.100000000000001" customHeight="1" x14ac:dyDescent="0.3">
      <c r="A275" s="39" t="s">
        <v>233</v>
      </c>
    </row>
    <row r="276" spans="1:1" ht="20.100000000000001" customHeight="1" x14ac:dyDescent="0.3">
      <c r="A276" s="39" t="s">
        <v>234</v>
      </c>
    </row>
    <row r="277" spans="1:1" ht="20.100000000000001" customHeight="1" x14ac:dyDescent="0.3">
      <c r="A277" s="44" t="s">
        <v>235</v>
      </c>
    </row>
    <row r="278" spans="1:1" ht="20.100000000000001" customHeight="1" x14ac:dyDescent="0.3">
      <c r="A278" s="39" t="s">
        <v>236</v>
      </c>
    </row>
    <row r="279" spans="1:1" ht="20.100000000000001" customHeight="1" x14ac:dyDescent="0.3">
      <c r="A279" s="39" t="s">
        <v>237</v>
      </c>
    </row>
    <row r="280" spans="1:1" ht="20.100000000000001" customHeight="1" x14ac:dyDescent="0.3">
      <c r="A280" s="39" t="s">
        <v>238</v>
      </c>
    </row>
    <row r="281" spans="1:1" ht="20.100000000000001" customHeight="1" x14ac:dyDescent="0.3">
      <c r="A281" s="39" t="s">
        <v>239</v>
      </c>
    </row>
    <row r="282" spans="1:1" ht="20.100000000000001" customHeight="1" x14ac:dyDescent="0.3">
      <c r="A282" s="44" t="s">
        <v>240</v>
      </c>
    </row>
    <row r="283" spans="1:1" ht="20.100000000000001" customHeight="1" x14ac:dyDescent="0.3">
      <c r="A283" s="44" t="s">
        <v>241</v>
      </c>
    </row>
    <row r="284" spans="1:1" ht="20.100000000000001" customHeight="1" x14ac:dyDescent="0.3">
      <c r="A284" s="44" t="s">
        <v>242</v>
      </c>
    </row>
    <row r="285" spans="1:1" ht="20.100000000000001" customHeight="1" thickBot="1" x14ac:dyDescent="0.35">
      <c r="A285" s="39" t="s">
        <v>243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2025-10-22T20:00:42Z</dcterms:modified>
</cp:coreProperties>
</file>