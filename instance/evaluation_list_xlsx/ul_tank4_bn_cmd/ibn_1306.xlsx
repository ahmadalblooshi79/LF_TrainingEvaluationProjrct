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4FF3CCB-27C3-4048-9D67-53620E11D5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3" i="2"/>
  <c r="H53" i="2"/>
  <c r="G54" i="2"/>
  <c r="H54" i="2"/>
  <c r="G55" i="2"/>
  <c r="H55" i="2"/>
  <c r="G57" i="2"/>
  <c r="H57" i="2"/>
  <c r="G58" i="2"/>
  <c r="H58" i="2"/>
  <c r="G59" i="2"/>
  <c r="H59" i="2"/>
  <c r="F60" i="2"/>
  <c r="E60" i="2"/>
  <c r="E61" i="2"/>
  <c r="E62" i="2"/>
</calcChain>
</file>

<file path=xl/sharedStrings.xml><?xml version="1.0" encoding="utf-8"?>
<sst xmlns="http://schemas.openxmlformats.org/spreadsheetml/2006/main" count="289" uniqueCount="233">
  <si>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</si>
  <si>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</si>
  <si>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</si>
  <si>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</si>
  <si>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</si>
  <si>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</si>
  <si>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</si>
  <si>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</si>
  <si>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</si>
  <si>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</si>
  <si>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</si>
  <si>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</si>
  <si>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</si>
  <si>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</si>
  <si>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</si>
  <si>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</si>
  <si>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</si>
  <si>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</si>
  <si>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</si>
  <si>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</si>
  <si>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</si>
  <si>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</si>
  <si>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</si>
  <si>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</si>
  <si>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</si>
  <si>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</si>
  <si>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</si>
  <si>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</si>
  <si>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</si>
  <si>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</si>
  <si>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</si>
  <si>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</si>
  <si>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</si>
  <si>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</si>
  <si>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</si>
  <si>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</si>
  <si>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</si>
  <si>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</si>
  <si>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</si>
  <si>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</si>
  <si>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</si>
  <si>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</si>
  <si>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</si>
  <si>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</si>
  <si>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</si>
  <si>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</si>
  <si>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</si>
  <si>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</si>
  <si>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</si>
  <si>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</si>
  <si>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</si>
  <si>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</si>
  <si>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</si>
  <si>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</si>
  <si>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</si>
  <si>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</si>
  <si>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</si>
  <si>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</si>
  <si>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</si>
  <si>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</si>
  <si>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</si>
  <si>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</si>
  <si>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</si>
  <si>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</si>
  <si>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</si>
  <si>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</si>
  <si>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</si>
  <si>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</si>
  <si>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</si>
  <si>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</si>
  <si>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</si>
  <si>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</si>
  <si>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</si>
  <si>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</si>
  <si>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</si>
  <si>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</si>
  <si>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</si>
  <si>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</si>
  <si>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</si>
  <si>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</si>
  <si>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</si>
  <si>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</si>
  <si>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</si>
  <si>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</si>
  <si>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</si>
  <si>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</si>
  <si>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</si>
  <si>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</si>
  <si>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</si>
  <si>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</si>
  <si>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</si>
  <si>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</si>
  <si>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</si>
  <si>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</si>
  <si>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</si>
  <si>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</si>
  <si>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</si>
  <si>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</si>
  <si>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</si>
  <si>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</si>
  <si>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</si>
  <si>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</si>
  <si>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</si>
  <si>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</si>
  <si>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</si>
  <si>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</si>
  <si>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</si>
  <si>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</si>
  <si>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</si>
  <si>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</si>
  <si>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</si>
  <si>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</si>
  <si>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</si>
  <si>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</si>
  <si>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</si>
  <si>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</si>
  <si>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</si>
  <si>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</si>
  <si>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</si>
  <si>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</si>
  <si>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</si>
  <si>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</si>
  <si>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</si>
  <si>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</si>
  <si>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</si>
  <si>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</si>
  <si>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</si>
  <si>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</si>
  <si>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</si>
  <si>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</si>
  <si>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</si>
  <si>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</si>
  <si>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</si>
  <si>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</si>
  <si>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</si>
  <si>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</si>
  <si>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</si>
  <si>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</si>
  <si>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</si>
  <si>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</si>
  <si>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</si>
  <si>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</si>
  <si>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</si>
  <si>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</si>
  <si>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</si>
  <si>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</si>
  <si>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</si>
  <si>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</si>
  <si>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</si>
  <si>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</si>
  <si>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</si>
  <si>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</si>
  <si>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</si>
  <si>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</si>
  <si>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</si>
  <si>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</si>
  <si>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</si>
  <si>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</si>
  <si>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</si>
  <si>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</si>
  <si>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</si>
  <si>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</si>
  <si>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</si>
  <si>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</si>
  <si>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</si>
  <si>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</si>
  <si>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</si>
  <si>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</si>
  <si>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</si>
  <si>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</si>
  <si>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</si>
  <si>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</si>
  <si>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</si>
  <si>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</si>
  <si>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</si>
  <si>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</si>
  <si>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</si>
  <si>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</si>
  <si>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</si>
  <si>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</si>
  <si>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</si>
  <si>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</si>
  <si>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</si>
  <si>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</si>
  <si>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</si>
  <si>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</si>
  <si>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</si>
  <si>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</si>
  <si>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</si>
  <si>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</si>
  <si>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</si>
  <si>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</si>
  <si>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</si>
  <si>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</si>
  <si>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</si>
  <si>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</si>
  <si>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</si>
  <si>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</si>
  <si>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</si>
  <si>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</si>
  <si>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</si>
  <si>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</si>
  <si>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</si>
  <si>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</si>
  <si>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</si>
  <si>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</si>
  <si>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</si>
  <si>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</si>
  <si>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</si>
  <si>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</si>
  <si>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</si>
  <si>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</si>
  <si>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</si>
  <si>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</si>
  <si>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</si>
  <si>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</si>
  <si>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</si>
  <si>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</si>
  <si>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</si>
  <si>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</si>
  <si>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</si>
  <si>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</si>
  <si>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</si>
  <si>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</si>
  <si>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t>فحص الآلية أثناء السير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</si>
  <si>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</si>
  <si>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</si>
  <si>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</si>
  <si>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t>المهمـات الإضافية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</si>
  <si>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</si>
  <si>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</si>
  <si>
    <t>مدى توفر المواقف المغطاة المخصصة للآليات ونظافتها ووجود وصلاحية طفايات الحريق بها.</t>
  </si>
  <si>
    <t>تقييم الحالة الفنية للآليات (ب)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</si>
</sst>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0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7" fillId="0" borderId="2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4.xml"/><Relationship Id="rId18" Type="http://schemas.openxmlformats.org/officeDocument/2006/relationships/image" Target="../media/image9.png"/><Relationship Id="rId21" Type="http://schemas.openxmlformats.org/officeDocument/2006/relationships/customXml" Target="../ink/ink9.xml"/><Relationship Id="rId12" Type="http://schemas.openxmlformats.org/officeDocument/2006/relationships/image" Target="../media/image6.png"/><Relationship Id="rId17" Type="http://schemas.openxmlformats.org/officeDocument/2006/relationships/customXml" Target="../ink/ink6.xml"/><Relationship Id="rId16" Type="http://schemas.openxmlformats.org/officeDocument/2006/relationships/image" Target="../media/image8.png"/><Relationship Id="rId2" Type="http://schemas.openxmlformats.org/officeDocument/2006/relationships/image" Target="../media/image1.png"/><Relationship Id="rId20" Type="http://schemas.openxmlformats.org/officeDocument/2006/relationships/customXml" Target="../ink/ink8.xml"/><Relationship Id="rId1" Type="http://schemas.openxmlformats.org/officeDocument/2006/relationships/customXml" Target="../ink/ink1.xml"/><Relationship Id="rId11" Type="http://schemas.openxmlformats.org/officeDocument/2006/relationships/customXml" Target="../ink/ink3.xml"/><Relationship Id="rId24" Type="http://schemas.openxmlformats.org/officeDocument/2006/relationships/image" Target="../media/image20.png"/><Relationship Id="rId15" Type="http://schemas.openxmlformats.org/officeDocument/2006/relationships/customXml" Target="../ink/ink5.xml"/><Relationship Id="rId23" Type="http://schemas.openxmlformats.org/officeDocument/2006/relationships/customXml" Target="../ink/ink10.xml"/><Relationship Id="rId10" Type="http://schemas.openxmlformats.org/officeDocument/2006/relationships/image" Target="../media/image5.png"/><Relationship Id="rId19" Type="http://schemas.openxmlformats.org/officeDocument/2006/relationships/customXml" Target="../ink/ink7.xml"/><Relationship Id="rId9" Type="http://schemas.openxmlformats.org/officeDocument/2006/relationships/customXml" Target="../ink/ink2.xml"/><Relationship Id="rId14" Type="http://schemas.openxmlformats.org/officeDocument/2006/relationships/image" Target="../media/image7.png"/><Relationship Id="rId4" Type="http://schemas.openxmlformats.org/officeDocument/2006/relationships/image" Target="../media/image2.png"/><Relationship Id="rId2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341798</xdr:colOff>
      <xdr:row>1</xdr:row>
      <xdr:rowOff>162900</xdr:rowOff>
    </xdr:from>
    <xdr:to>
      <xdr:col>5</xdr:col>
      <xdr:colOff>353318</xdr:colOff>
      <xdr:row>1</xdr:row>
      <xdr:rowOff>184140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D3B471D-BC8C-6B48-05A7-C372B7FDB021}"/>
                </a:ext>
              </a:extLst>
            </xdr14:cNvPr>
            <xdr14:cNvContentPartPr/>
          </xdr14:nvContentPartPr>
          <xdr14:nvPr macro=""/>
          <xdr14:xfrm>
            <a:off x="10400865864" y="734400"/>
            <a:ext cx="11520" cy="212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D3B471D-BC8C-6B48-05A7-C372B7FDB02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00856864" y="725760"/>
              <a:ext cx="2916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532970</xdr:colOff>
      <xdr:row>1</xdr:row>
      <xdr:rowOff>184860</xdr:rowOff>
    </xdr:from>
    <xdr:to>
      <xdr:col>4</xdr:col>
      <xdr:colOff>547370</xdr:colOff>
      <xdr:row>1</xdr:row>
      <xdr:rowOff>215460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9E6472A-CEDB-7F35-7208-913BA4895D42}"/>
                </a:ext>
              </a:extLst>
            </xdr14:cNvPr>
            <xdr14:cNvContentPartPr/>
          </xdr14:nvContentPartPr>
          <xdr14:nvPr macro=""/>
          <xdr14:xfrm>
            <a:off x="10401329904" y="756360"/>
            <a:ext cx="14400" cy="306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9E6472A-CEDB-7F35-7208-913BA4895D4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01320904" y="747720"/>
              <a:ext cx="3204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506330</xdr:colOff>
      <xdr:row>1</xdr:row>
      <xdr:rowOff>191700</xdr:rowOff>
    </xdr:from>
    <xdr:to>
      <xdr:col>4</xdr:col>
      <xdr:colOff>513530</xdr:colOff>
      <xdr:row>1</xdr:row>
      <xdr:rowOff>199620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09663FF-D7F4-AA1D-8BB7-B8EF8B8196C7}"/>
                </a:ext>
              </a:extLst>
            </xdr14:cNvPr>
            <xdr14:cNvContentPartPr/>
          </xdr14:nvContentPartPr>
          <xdr14:nvPr macro=""/>
          <xdr14:xfrm>
            <a:off x="10401363744" y="763200"/>
            <a:ext cx="7200" cy="79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09663FF-D7F4-AA1D-8BB7-B8EF8B8196C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401354744" y="754200"/>
              <a:ext cx="2484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463838</xdr:colOff>
      <xdr:row>1</xdr:row>
      <xdr:rowOff>169740</xdr:rowOff>
    </xdr:from>
    <xdr:to>
      <xdr:col>5</xdr:col>
      <xdr:colOff>476438</xdr:colOff>
      <xdr:row>1</xdr:row>
      <xdr:rowOff>175860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6691821-10A5-CFFC-C972-4561CE5E9A3D}"/>
                </a:ext>
              </a:extLst>
            </xdr14:cNvPr>
            <xdr14:cNvContentPartPr/>
          </xdr14:nvContentPartPr>
          <xdr14:nvPr macro=""/>
          <xdr14:xfrm>
            <a:off x="10400742744" y="741240"/>
            <a:ext cx="12600" cy="61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6691821-10A5-CFFC-C972-4561CE5E9A3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400734104" y="732240"/>
              <a:ext cx="3024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123626</xdr:colOff>
      <xdr:row>1</xdr:row>
      <xdr:rowOff>237060</xdr:rowOff>
    </xdr:from>
    <xdr:to>
      <xdr:col>6</xdr:col>
      <xdr:colOff>143066</xdr:colOff>
      <xdr:row>1</xdr:row>
      <xdr:rowOff>259020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9343E20-66BF-065B-FC2C-E3075177A0F2}"/>
                </a:ext>
              </a:extLst>
            </xdr14:cNvPr>
            <xdr14:cNvContentPartPr/>
          </xdr14:nvContentPartPr>
          <xdr14:nvPr macro=""/>
          <xdr14:xfrm>
            <a:off x="10400418024" y="808560"/>
            <a:ext cx="19440" cy="219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9343E20-66BF-065B-FC2C-E3075177A0F2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0400409384" y="799920"/>
              <a:ext cx="3708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440810</xdr:colOff>
      <xdr:row>1</xdr:row>
      <xdr:rowOff>289260</xdr:rowOff>
    </xdr:from>
    <xdr:to>
      <xdr:col>4</xdr:col>
      <xdr:colOff>454850</xdr:colOff>
      <xdr:row>1</xdr:row>
      <xdr:rowOff>310500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43461348-B727-B8A1-6C17-4CBA7E0C7B4B}"/>
                </a:ext>
              </a:extLst>
            </xdr14:cNvPr>
            <xdr14:cNvContentPartPr/>
          </xdr14:nvContentPartPr>
          <xdr14:nvPr macro=""/>
          <xdr14:xfrm>
            <a:off x="10401422424" y="860760"/>
            <a:ext cx="14040" cy="212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43461348-B727-B8A1-6C17-4CBA7E0C7B4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0401413784" y="852120"/>
              <a:ext cx="3168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525</xdr:col>
      <xdr:colOff>143027</xdr:colOff>
      <xdr:row>64</xdr:row>
      <xdr:rowOff>0</xdr:rowOff>
    </xdr:from>
    <xdr:to>
      <xdr:col>526</xdr:col>
      <xdr:colOff>179213</xdr:colOff>
      <xdr:row>65</xdr:row>
      <xdr:rowOff>3901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62386EE-7DC8-48C6-8B0B-03D1915B4D7A}"/>
                </a:ext>
              </a:extLst>
            </xdr14:cNvPr>
            <xdr14:cNvContentPartPr/>
          </xdr14:nvContentPartPr>
          <xdr14:nvPr macro=""/>
          <xdr14:xfrm>
            <a:off x="9759809864" y="25403908"/>
            <a:ext cx="651647" cy="185608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4E02E15-4EC1-B39B-8813-BC18DAB008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61594" y="31198680"/>
              <a:ext cx="684720" cy="42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526</xdr:col>
      <xdr:colOff>62573</xdr:colOff>
      <xdr:row>65</xdr:row>
      <xdr:rowOff>1921</xdr:rowOff>
    </xdr:from>
    <xdr:to>
      <xdr:col>527</xdr:col>
      <xdr:colOff>509158</xdr:colOff>
      <xdr:row>65</xdr:row>
      <xdr:rowOff>3721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BD5BF153-FA8E-4B99-A6CA-D26E5DC3B433}"/>
                </a:ext>
              </a:extLst>
            </xdr14:cNvPr>
            <xdr14:cNvContentPartPr/>
          </xdr14:nvContentPartPr>
          <xdr14:nvPr macro=""/>
          <xdr14:xfrm>
            <a:off x="9758864457" y="25587536"/>
            <a:ext cx="1062047" cy="18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C39052C-25FE-00C9-D9F0-CFD9407C3E7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095354" y="31447080"/>
              <a:ext cx="1095120" cy="33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17585</xdr:colOff>
      <xdr:row>62</xdr:row>
      <xdr:rowOff>527538</xdr:rowOff>
    </xdr:from>
    <xdr:to>
      <xdr:col>8</xdr:col>
      <xdr:colOff>30325</xdr:colOff>
      <xdr:row>63</xdr:row>
      <xdr:rowOff>401898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847DAA8-C2DD-44C2-A1E4-1B73E7CDDEB6}"/>
                </a:ext>
              </a:extLst>
            </xdr14:cNvPr>
            <xdr14:cNvContentPartPr/>
          </xdr14:nvContentPartPr>
          <xdr14:nvPr macro=""/>
          <xdr14:xfrm>
            <a:off x="10079236752" y="24747415"/>
            <a:ext cx="651647" cy="407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4E02E15-4EC1-B39B-8813-BC18DAB00897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0399061594" y="31198680"/>
              <a:ext cx="684720" cy="42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552592</xdr:colOff>
      <xdr:row>63</xdr:row>
      <xdr:rowOff>239898</xdr:rowOff>
    </xdr:from>
    <xdr:to>
      <xdr:col>9</xdr:col>
      <xdr:colOff>336824</xdr:colOff>
      <xdr:row>63</xdr:row>
      <xdr:rowOff>558138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85A2752-3AA0-40B7-B300-8318324B2693}"/>
                </a:ext>
              </a:extLst>
            </xdr14:cNvPr>
            <xdr14:cNvContentPartPr/>
          </xdr14:nvContentPartPr>
          <xdr14:nvPr macro=""/>
          <xdr14:xfrm>
            <a:off x="10078291345" y="24993175"/>
            <a:ext cx="1062047" cy="318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C39052C-25FE-00C9-D9F0-CFD9407C3E7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0398095354" y="31447080"/>
              <a:ext cx="1095120" cy="330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46.0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31 14891,'0'0'0,"-3"-5"80,3-12-936,0 17 856,0-4-1225,0 0-319,3 4 128,1 4 39,-4-4 1377,3 13-1440,2 1-272,7-1-489,-8 1-207,-4-14 2408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47.2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 11 17899,'0'0'0,"-14"-5"176,14 5-176,-3-2-496,-9-1-208,12 3-112,0 0 48,0 0 768,3 0-688,-1 1 264,-2 2 135,3 0 89,-3-3 200,2 1-104,0 2 0,1 1 40,-1 1 0,-2-5 64,0 4-56,0 0-16,3 0 0,-3-1 32,0-3 40,0 3 8,0-1-24,2-1 16,-2 2 0,0-3 0,0 1-40,0 1 24,0-1-8,2 1 0,-2-2 24,0 1-64,0 0-120,3 2-176,-1 0-312,-2-3 672,0 3-952,3 0-328,-1 1-425,3 0-447,-5-4 2152,0 12-3329,0-12 3329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48.4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 22 16235,'0'0'0,"-4"-3"872,1-9-832,3 10-120,0 2 80,0-3-104,0 3 64,0 0-24,0 0 48,0 0 16,0 0 8,0 0 0,0 0-24,0 0 0,0 0 32,0 0-112,0 0-16,0 0 96,0 0 56,0 0 144,0 0-288,0 0 248,-5 0 64,5 1 16,0-1-224,0 0 256,0 2 24,0-2-64,0 1 56,0-1-272,0 0 232,0 0-7,0 0-25,0 0-24,0 0-176,0 0 200,-4 0-48,4 0-16,0 0 72,0 0-208,-3 0 160,3 0 32,0 0-8,0 0-128,0 0-56,0 0 112,0 0-64,0 0 32,0 0-320,0 0 440,0 0-216,0 0 56,0 0-264,3 0 464,-3 0-256,0 0-56,0 0-8,0 0 80,0-3-160,0 3-80,0 0-136,0 0-256,0 0 632,0 0-889,0 0-303,0 0-280,0 0-393,0 0 7283,0-3-13140,0 3 4705,0 0-1216,0 0 585,0 0 3648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49.0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 16 14307,'0'0'0,"-17"-12"7017,13 12-6953,-8-4-320,12 4 256,0 0-408,0 0-96,0 0 24,0 0 24,0 0 2304,0 0-3936,0 0 2016,0 0 56,0 0 104,0 0 2000,0 0-4152,0 0 2072,0 0-16,0 0 88,0 0 1904,0 0-3864,0 0 2088,0 0 112,0 0 8,0 0 696,0 0-1696,0 0 936,0 0-24,0 0-112,0 0-88,0 0 64,0 0 16,0 0-72,0 0 16,0 0-400,0 0 696,0 0-328,0 0-24,0 0 16,0 0-448,0 0 840,0 0-416,0 0-24,0 0-8,0 0 48,0 0-40,0 0 88,0 0-144,0 0 40,0 0-24,0 0 248,0 0-448,0 0 240,0 2-48,0-2-32,0 0 104,0 0-192,0 0-240,0 0-256,0 0-312,0 0 3312,0 0-5945,0 0 1969,0 0-409,2 0-599,-2 0 2672,0 1-3665,0 0-1088,0-1 4753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50.2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 60 22332,'0'0'0,"0"0"0,-5-18 224,-5 4-328,6-3-136,4 12-112,0 5 352,0-2-496,0-1-16,0 3 0,2 0 176,-2 0 336,2 0-248,3 0 24,-2 0-120,1 0-169,-4 0 513,5 0-696,-2 0-136,1 0-48,4 0 24,-8 0 856,2 0-752,5 0 39,-4 0 105,-3 0-32,0 0 640,2 0-688,1 0-112,-3 0-272,0 1-337,0-1 1409,0 2-1720,0-1-224,0 0-521,0-1 401,0 0 2064,0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3:38:53.5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 59 20644,'0'0'0,"-17"-17"504,17 17-504,-7-16-440,-7 2-376,14 3-288,0 11 7,0 0 1097,0 0-1000,0 0 256,0 1 264,0-1 152,0 0 328,0 0-248,0 0-80,0 0-152,2 0-201,-2 0 681,0 0-872,0 0-48,0 0 40,0 0 120,0 0 4192,0 0-7505,0 0 3513,0 0-48,0 0-192,0 0 6841,0 0-13322,0 0 5632,0 0-743,0 0 416,0 0 1976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51:21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1125 516 16059,'0'0'0,"-3"-10"704,3 0 104,0 10-808,-2-9 952,2-2-15,0 9-105,0-6-160,0 8-672,0-2 584,0-1-152,0-7-64,0 9-40,0 1-328,-5-8 296,3 6 24,-1 0-23,1-7-33,2 9-264,-3-4 288,-4-4-40,3 6 16,-3-6 40,7 8-304,-17-2 224,11-10-16,-11 5-64,-1 4-104,18 3-40,-5-11 112,-20 2-40,8 0-16,-1-1 16,18 10-72,-20-9 40,2 0-24,4-2 56,-4-1-40,18 12-32,-15-12 0,9 2 8,-13 2-48,14 0 96,5 8-56,-5-7 48,-1 4-40,1-8 80,3 9-56,2 2-32,-3-2 56,-2-1-16,1-4 48,4 7-48,0 0-40,-3-3 64,3 1-40,0 1-80,0-1 72,0 2-16,0-3 24,0 0-24,0-4 16,5 5 0,-5 2-16,7-8 16,11 1-64,-3 4 80,3-4-64,-18 7 32,24-3 0,4 1 16,0-7-16,2 9 0,-30 0 0,33-2-16,0-6 8,-3 6 32,5-5-24,-35 7 0,33-2-40,-1-1 40,1-4-72,4 5 16,-37 2 56,31-12-16,1 5 16,2-2 16,-1 0-48,-33 9 32,33-9 0,4 1 32,-2 0-8,3-1 24,-38 9-48,30-8 24,3 0-112,-5-1 32,-1 1 40,-27 8 16,28-8-56,-4 5 72,-1-5 16,-7 6-8,-16 2-24,17-4 56,-10 2-56,16 0-24,-20 2-64,-3 0 88,8-2-56,7 2 24,-15 0 8,0 0-48,0 0 72,0 0-56,0 0 8,0 0-32,0 1 120,0-1-40,-3 0-40,1 1-48,-3 0 56,0 0-64,5-1 96,-1 1-40,-6 2 40,2 0-48,-2 0 40,7-3 8,-7 3 40,0 0-24,0 4-8,-10-4-8,17-3 0,-5 7 0,-10-3-8,-4 6-24,15-7 64,4-3-32,-26 10-48,9-6 24,-1 6 64,-4-6-40,22-4 0,-15 9 16,-2-2 8,-4 2-24,0-1-40,21-8 40,-19 8 32,-4 0-8,2-1-24,2-3 88,19-4-88,-20 7-56,0-3 72,7 4-32,-6-4-112,19-4 128,-16 9 0,-2-1 0,-4 0 24,4 1 136,18-9-160,-26 10 40,5 1-8,2-1-8,0-1-80,19-9 56,-23 9 0,5-1-16,-1-1-48,-2-4-64,21-3 128,-7 9-56,-14-7 40,14 6 16,-14-6-72,21-2 72,-5 3-32,-11 4 48,12-4 72,-6 0-32,10-3-56,-17 4 72,11-1-48,-11 0-40,12 1 216,5-4-200,-8 2 56,1 2-24,-3-1-104,5-2 16,5-1 56,-8 0-40,3 1 40,0 0 56,0-1-40,5 0-16,-5 1-16,3 1 16,-5-1 40,3 2-128,4-3 88,-10 3 32,-7 0-64,14 0 24,-14-1 192,17-2-184,-7 1 0,-1 0 16,2 0-16,-11 0-32,17-1 32,-5 0 40,1 0 48,-15 0-48,12 0 64,7 0-104,-16-2 88,9 0-64,-14 1 104,14-1-168,7 2 40,-18-3 0,8 0 32,-13 0-48,7-4 40,16 7-24,-21-1 48,4-2-32,-4-6-8,2 6 136,19 3-144,-21-9 48,-2 7 8,3-8-96,-7 8-24,27 2 64,-20-12 32,-6 3-16,1 0 56,1 0-32,24 9-40,-28-11-16,-2-1-24,2 0 56,0-3-48,28 15 32,-28-11 16,5 2 16,-1 2 56,1 4-48,23 3-40,-21-2 56,2-6 0,14 8-24,-8-2 40,13 2-72,-3-2 104,-4 0 24,2 2-48,5 0-40,0 0-40,0 0-72,0 0-48,0 2 24,3 1 80,-3-3 16,21 10 0,-2-2 16,-1-1-8,10 4-32,-28-11 24,26 9 40,-5 0-40,4 0-24,-1 1 32,-24-10-8,23 7 0,0-3-24,-4 3-24,7-4 32,-26-3 16,18 8-96,3-5 64,-2 5 72,-1-5-64,-18-3 24,22 7-16,-4-3-72,-2 4 64,1-5-24,-17-3 48,7 9 16,11-5 40,-15 5-96,7-5-8,-10-4 48,4 8-16,-1-6-8,-3 2-48,0-1 72,0-3 0,0 3-72,-3 0 88,-1-1-8,-4 2 8,8-4-16,-16 4 48,12 3-24,-20-4 64,5 1-16,19-4-72,-18 7 104,-6-4-88,3 4 40,-4-4-56,25-3 0,-28 8 32,-2-1-80,-3 2-24,-4 1 40,37-10 32,-40 10-56,0 1 72,1-2-16,-1 1-16,40-10 16,-33 3 0,8 5-24,1-5 32,6-1-48,18-2 40,-8 0-128,-7 0-8,7 0-16,1-1-112,7 1 264,-7-2-312,1 0-200,3 1-256,-1-2-160,4 3 928,-3-3-1281,1 1-367,2 1-505,0-1-1423,0 2 3576,-3-2-5489,3 0-1257,0 2 6746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51:21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1741 4 11138,'0'0'0,"0"0"0,0 0 3241,-2 0-1257,-1 0-616,3 0-359,0 0-1009,0 0 632,0 0-384,5 0-96,2 0-16,-7 0-136,17 0 320,-12 0 112,18 0 80,-4 0 16,-19 0-528,22 0 504,1 0-32,6 0 216,-1 0-39,-28 0-649,37 0 680,2 0 112,1 0-280,2 0 32,-42 0-544,47 0 392,-5 0 32,5 0-40,3 0-31,-50 0-353,49 0 384,1 0-176,2 0-88,-4 0-88,-48 0-32,49-1 48,3 1-48,-5 0 88,3 0 32,-50 0-120,45 0 16,-3 0-88,0 0 80,-2 0-80,-40 0 72,34-1 152,-4 1-104,-6 0-112,-8 0 96,-16 0-32,5 0-48,2 0 96,-2 0 120,0 0-96,-5 0-72,0 0-32,0 0 232,0 0-16,-3 0-96,3 0-88,-5 0 16,-4 0-88,-9 0 40,8 0-48,10 0 80,-24 0 16,-2 0-88,0 0-40,-4 0 176,30 0-64,-31 0 184,0 0-96,-9 0-56,8 0-48,32 0 16,-39 0 48,-1-1 72,0 1-40,-4 0-96,44 0 16,-45 0-48,2 0-40,-4 0 40,-3 0 16,50 0 32,-45 0-168,-2 0 48,3 0 120,-4 0 72,48 0-72,-47 0 184,5 0-32,-4 0-88,-1 0 40,47 0-104,-47 0-88,0 0 120,2 0-32,-2 0-64,47 0 64,-47 0-48,-7 0 16,-3 0 8,0 0 64,57 0-40,-59 1 48,7-1-80,5 0 184,-2 0-56,49 0-96,-47 0 80,2 0 24,-2 0-104,0 0 16,47 0-16,-44 0 64,-3 1-48,-5-1-48,3 0-32,49 0 64,-57 0-64,1 0 96,-5 0-64,-6 1 0,67-1 32,-64 0-24,1 0-120,-3 0 24,2 0 104,64 0 16,-68 1-488,-5-1-464,-3 0-857,1 0-1423,75 0 3232,-90 1-7802,5-1-2608,85 0 10410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51:34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1125 1132 16059,'0'0'0,"-3"-22"704,3 2 104,0 20-808,-2-21 952,2-2-15,0 17-105,0-10-160,0 16-672,0-6 584,0 0-152,0-15-64,0 17-40,0 4-328,-5-16 296,3 12 24,-1-2-23,1-14-33,2 20-264,-3-7 288,-4-11-40,3 14 16,-3-14 40,7 18-304,-17-5 224,11-20-16,-11 9-64,-1 10-104,18 6-40,-5-26 112,-20 7-40,8-1-16,-1-2 16,18 22-72,-20-19 40,2-2-24,4-3 56,-4-1-40,18 25-32,-15-26 0,9 2 8,-13 7-48,14-1 96,5 18-56,-5-15 48,-1 9-40,1-19 80,3 21-56,2 4-32,-3-4 56,-2-2-16,1-10 48,4 16-48,0 0-40,-3-6 64,3 2-40,0 0-80,0 0 72,0 4-16,0-6 24,0-1-24,0-9 16,5 12 0,-5 4-16,7-16 16,11 0-64,-3 10 80,3-10-64,-18 16 32,24-6 0,4 0 16,0-14-16,2 20 0,-30 0 0,33-4-16,0-13 8,-3 13 32,5-12-24,-35 16 0,33-4-40,-1-2 40,1-10-72,4 12 16,-37 4 56,31-27-16,1 11 16,2-3 16,-1 0-48,-33 19 32,33-20 0,4 2 32,-2 0-8,3-1 24,-38 19-48,30-18 24,3 0-112,-5-2 32,-1 4 40,-27 16 16,28-18-56,-4 12 72,-1-12 16,-7 12-8,-16 6-24,17-7 56,-10 1-56,16 2-24,-20 4-64,-3 0 88,8-4-56,7 4 24,-15 0 8,0 0-48,0 0 72,0 0-56,0 0 8,0 0-32,0 2 120,0-2-40,-3 0-40,1 2-48,-3 0 56,0 0-64,5-2 96,-1 4-40,-6 2 40,2 1-48,-2-1 40,7-6 8,-7 6 40,0 0-24,0 10-8,-10-10-8,17-6 0,-5 17 0,-10-8-8,-4 11-24,15-12 64,4-8-32,-26 22-48,9-14 24,-1 15 64,-4-15-40,22-8 0,-15 20 16,-2-4 8,-4 3-24,0-2-40,21-17 40,-19 18 32,-4-1-8,2-1-24,2-8 88,19-8-88,-20 16-56,0-8 72,7 11-32,-6-11-112,19-8 128,-16 20 0,-2-2 0,-4 0 24,4 2 136,18-20-160,-26 22 40,5 1-8,2-1-8,0-2-80,19-20 56,-23 20 0,5-3-16,-1-2-48,-2-7-64,21-8 128,-7 18-56,-14-12 40,14 11 16,-14-13-72,21-4 72,-5 6-32,-11 10 48,12-10 72,-6 2-32,10-8-56,-17 8 72,11-1-48,-11-1-40,12 2 216,5-8-200,-8 6 56,1 2-24,-3-2-104,5-4 16,5-2 56,-8 2-40,3 0 40,0 0 56,0-2-40,5 0-16,-5 2-16,3 1 16,-5 1 40,3 2-128,4-6 88,-10 7 32,-7-1-64,14 0 24,-14 0 192,17-6-184,-7 2 0,-1 0 16,2 0-16,-11 0-32,17-2 32,-5 0 40,1 0 48,-15 0-48,12 0 64,7 0-104,-16-4 88,9 0-64,-14 0 104,14 0-168,7 4 40,-18-6 0,8 0 32,-13-1-48,7-8 40,16 15-24,-21-4 48,4-2-32,-4-14-8,2 14 136,19 6-144,-21-19 48,-2 13 8,3-14-96,-7 14-24,27 6 64,-20-25 32,-6 5-16,1 0 56,1 1-32,24 19-40,-28-25-16,-2-1-24,2-1 56,0-5-48,28 32 32,-28-24 16,5 4 16,-1 4 56,1 10-48,23 6-40,-21-6 56,2-10 0,14 16-24,-8-5 40,13 5-72,-3-4 104,-4 0 24,2 4-48,5 0-40,0 0-40,0 0-72,0 0-48,0 4 24,3 3 80,-3-7 16,21 20 0,-2-2 16,-1-1-8,10 6-32,-28-23 24,26 20 40,-5 0-40,4-1-24,-1 3 32,-24-22-8,23 16 0,0-8-24,-4 9-24,7-11 32,-26-6 16,18 17-96,3-11 64,-2 12 72,-1-12-64,-18-6 24,22 17-16,-4-9-72,-2 10 64,1-12-24,-17-6 48,7 20 16,11-11 40,-15 11-96,7-12-8,-10-8 48,4 18-16,-1-13-8,-3 3-48,0-1 72,0-7 0,0 6-72,-3 0 88,-1 0-8,-4 2 8,8-8-16,-16 8 48,12 8-24,-20-10 64,5 3-16,19-9-72,-18 16 104,-6-10-88,3 10 40,-4-10-56,25-6 0,-28 18 32,-2-2-80,-3 2-24,-4 4 40,37-22 32,-40 23-56,0 1 72,1-4-16,-1 1-16,40-21 16,-33 8 0,8 10-24,1-12 32,6-3-48,18-3 40,-8 2-128,-7-2-8,7 0-16,1-3-112,7 3 264,-7-4-312,1 0-200,3 0-256,-1-2-160,4 6 928,-3-6-1281,1 2-367,2 0-505,0 0-1423,0 4 3576,-3-4-5489,3 0-1257,0 4 6746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51:34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1741 535 11138,'0'0'0,"0"0"0,0 2 3241,-2 0-1257,-1 0-616,3 0-359,0-2-1009,0 0 632,0 2-384,5 0-96,2 0-16,-7-2-136,17 6 320,-12 0 112,18 0 80,-4 2 16,-19-8-528,22 6 504,1 1-32,6-1 216,-1 0-39,-28-6-649,37 0 680,2 0 112,1 0-280,2-4 32,-42 4-544,47 0 392,-5-17 32,5 11-40,3-18-31,-50 24-353,49-20 384,1 1-176,2-3-88,-4 0-88,-48 22-32,49-25 48,3-1-48,-5 2 88,3-1 32,-50 25-120,45-22 16,-3-1-88,0 1 80,-2 4-80,-40 18 72,34-16 152,-4 10-104,-6-11-112,-8 13 96,-16 4-32,5-6-48,2 2 96,-2 0 120,0 4-96,-5 0-72,0-4-32,0 0 232,0 0-16,-3 0-96,3 4-88,-5-6 16,-4 0-88,-9-11 40,8 13-48,10 4 80,-24-6 16,-2 0-88,0 0-40,-4-10 176,30 16-64,-31-4 184,0-13-96,-9 11-56,8-12-48,32 18 16,-39-4 48,-1-2 72,0-12-40,-4 12-96,44 6 16,-45-23-48,2 17-40,-4-10 40,-3 12 16,50 4 32,-45-4-168,-2 0 48,3 0 120,-4 4 72,48 0-72,-47 0 184,5 0-32,-4 0-88,-1 0 40,47 0-104,-47 2-88,0 2 120,2 2-32,-2 0-64,47-6 64,-47 6-48,-7 12 16,-3 1 8,0-1 64,57-18-40,-59 22 48,7-4-80,5 5 184,-2-5-56,49-18-96,-47 8 80,2 17 24,-2-7-104,0 2 16,47-20-16,-44 20 64,-3 3-48,-5-3-48,3 9-32,49-29 64,-57 28-64,1 4 96,-5 5-64,-6-2 0,67-35 32,-64 38-24,1-1-120,-3-1 24,2 7 104,64-43 16,-68 36-488,-5 7-464,-3 4-857,1-1-1423,75-46 3232,-90 47-7802,5 8-2608,85-55 10410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4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4" t="s">
        <v>232</v>
      </c>
      <c r="C1" s="44"/>
      <c r="D1" s="44"/>
      <c r="E1" s="44"/>
      <c r="F1" s="44"/>
      <c r="G1" s="44"/>
      <c r="H1" s="44"/>
      <c r="I1" s="44"/>
      <c r="J1" s="44"/>
    </row>
    <row r="2" spans="1:10" ht="30" customHeight="1" x14ac:dyDescent="0.3">
      <c r="B2" s="13" t="s">
        <v>8</v>
      </c>
      <c r="C2" s="50" t="s">
        <v>45</v>
      </c>
      <c r="D2" s="50"/>
      <c r="E2" s="13" t="s">
        <v>7</v>
      </c>
      <c r="F2" s="45">
        <v>45929</v>
      </c>
      <c r="G2" s="45"/>
      <c r="H2" s="45"/>
      <c r="I2" s="45"/>
      <c r="J2" s="45"/>
    </row>
    <row r="3" spans="1:10" ht="30" customHeight="1" x14ac:dyDescent="0.3">
      <c r="B3" s="13" t="s">
        <v>9</v>
      </c>
      <c r="C3" s="50" t="s">
        <v>86</v>
      </c>
      <c r="D3" s="50"/>
      <c r="E3" s="13" t="s">
        <v>6</v>
      </c>
      <c r="F3" s="50" t="s">
        <v>104</v>
      </c>
      <c r="G3" s="50"/>
      <c r="H3" s="50"/>
      <c r="I3" s="50"/>
      <c r="J3" s="5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46" t="s">
        <v>0</v>
      </c>
      <c r="C5" s="47"/>
      <c r="D5" s="47"/>
      <c r="E5" s="59" t="s">
        <v>1</v>
      </c>
      <c r="F5" s="59"/>
      <c r="G5" s="59"/>
      <c r="H5" s="59"/>
      <c r="I5" s="59" t="s">
        <v>2</v>
      </c>
      <c r="J5" s="62"/>
    </row>
    <row r="6" spans="1:10" ht="24.9" customHeight="1" thickBot="1" x14ac:dyDescent="0.35">
      <c r="A6" s="11"/>
      <c r="B6" s="48"/>
      <c r="C6" s="49"/>
      <c r="D6" s="49"/>
      <c r="E6" s="12" t="s">
        <v>3</v>
      </c>
      <c r="F6" s="12" t="s">
        <v>4</v>
      </c>
      <c r="G6" s="12" t="s">
        <v>23</v>
      </c>
      <c r="H6" s="12" t="s">
        <v>24</v>
      </c>
      <c r="I6" s="63"/>
      <c r="J6" s="64"/>
    </row>
    <row r="7" spans="1:10" ht="24.9" customHeight="1" thickBot="1" x14ac:dyDescent="0.35">
      <c r="A7" s="11"/>
      <c r="B7" s="53" t="s">
        <v>21</v>
      </c>
      <c r="C7" s="54"/>
      <c r="D7" s="54"/>
      <c r="E7" s="33" t="s">
        <v>18</v>
      </c>
      <c r="F7" s="33" t="s">
        <v>19</v>
      </c>
      <c r="G7" s="33" t="s">
        <v>22</v>
      </c>
      <c r="H7" s="33" t="s">
        <v>20</v>
      </c>
      <c r="I7" s="65" t="s">
        <v>25</v>
      </c>
      <c r="J7" s="66"/>
    </row>
    <row r="8" spans="1:10" ht="30" customHeight="1" x14ac:dyDescent="0.3">
      <c r="A8" s="11"/>
      <c r="B8" s="92" t="s">
        <v>180</v>
      </c>
      <c r="C8" s="93"/>
      <c r="D8" s="93"/>
      <c r="E8" s="30"/>
      <c r="F8" s="37"/>
      <c r="G8" s="38"/>
      <c r="H8" s="39"/>
      <c r="I8" s="60"/>
      <c r="J8" s="61"/>
    </row>
    <row r="9" spans="1:10" ht="30" customHeight="1" x14ac:dyDescent="0.3">
      <c r="A9" s="11"/>
      <c r="B9" s="84" t="s">
        <v>181</v>
      </c>
      <c r="C9" s="85"/>
      <c r="D9" s="85"/>
      <c r="E9" s="31">
        <v>10</v>
      </c>
      <c r="F9" s="27">
        <v>7.75</v>
      </c>
      <c r="G9" s="35">
        <f>IFERROR(F9/E9,"")</f>
        <v>0.77500000000000002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5"/>
      <c r="J9" s="56"/>
    </row>
    <row r="10" spans="1:10" ht="30" customHeight="1" x14ac:dyDescent="0.3">
      <c r="A10" s="11"/>
      <c r="B10" s="84" t="s">
        <v>182</v>
      </c>
      <c r="C10" s="85"/>
      <c r="D10" s="85"/>
      <c r="E10" s="9">
        <v>10</v>
      </c>
      <c r="F10" s="27">
        <v>7.25</v>
      </c>
      <c r="G10" s="35">
        <f t="shared" ref="G10:G59" si="0">IFERROR(F10/E10,"")</f>
        <v>0.72499999999999998</v>
      </c>
      <c r="H10" s="36" t="str">
        <f t="shared" ref="H10:H59" si="1">_xlfn.IFS(F10="أدخل العلامة","",F10="لا ينطبق","تم الإلغاء",G10&gt;=90%,"ممتاز",G10&gt;=80%,"جيد جداً",G10&gt;=70%,"جيد",G10&gt;=60%,"مقبول",G10&lt;60%,"راسب")</f>
        <v>جيد</v>
      </c>
      <c r="I10" s="55"/>
      <c r="J10" s="56"/>
    </row>
    <row r="11" spans="1:10" ht="39.9" customHeight="1" x14ac:dyDescent="0.3">
      <c r="A11" s="11"/>
      <c r="B11" s="84" t="s">
        <v>183</v>
      </c>
      <c r="C11" s="85"/>
      <c r="D11" s="85"/>
      <c r="E11" s="9">
        <v>8</v>
      </c>
      <c r="F11" s="27">
        <v>6.5</v>
      </c>
      <c r="G11" s="35">
        <f t="shared" si="0"/>
        <v>0.8125</v>
      </c>
      <c r="H11" s="36" t="str">
        <f t="shared" si="1"/>
        <v>جيد جداً</v>
      </c>
      <c r="I11" s="55"/>
      <c r="J11" s="56"/>
    </row>
    <row r="12" spans="1:10" ht="30" customHeight="1" x14ac:dyDescent="0.3">
      <c r="A12" s="11"/>
      <c r="B12" s="84" t="s">
        <v>184</v>
      </c>
      <c r="C12" s="85"/>
      <c r="D12" s="85"/>
      <c r="E12" s="9">
        <v>8</v>
      </c>
      <c r="F12" s="27">
        <v>6</v>
      </c>
      <c r="G12" s="35">
        <f t="shared" si="0"/>
        <v>0.75</v>
      </c>
      <c r="H12" s="36" t="str">
        <f t="shared" si="1"/>
        <v>جيد</v>
      </c>
      <c r="I12" s="55"/>
      <c r="J12" s="56"/>
    </row>
    <row r="13" spans="1:10" ht="30" customHeight="1" x14ac:dyDescent="0.3">
      <c r="A13" s="11"/>
      <c r="B13" s="84" t="s">
        <v>185</v>
      </c>
      <c r="C13" s="85"/>
      <c r="D13" s="85"/>
      <c r="E13" s="9">
        <v>5</v>
      </c>
      <c r="F13" s="27">
        <v>3.75</v>
      </c>
      <c r="G13" s="35">
        <f t="shared" si="0"/>
        <v>0.75</v>
      </c>
      <c r="H13" s="36" t="str">
        <f t="shared" si="1"/>
        <v>جيد</v>
      </c>
      <c r="I13" s="55"/>
      <c r="J13" s="56"/>
    </row>
    <row r="14" spans="1:10" ht="30" customHeight="1" x14ac:dyDescent="0.3">
      <c r="A14" s="11"/>
      <c r="B14" s="84" t="s">
        <v>186</v>
      </c>
      <c r="C14" s="85"/>
      <c r="D14" s="85"/>
      <c r="E14" s="9">
        <v>8</v>
      </c>
      <c r="F14" s="27">
        <v>6.25</v>
      </c>
      <c r="G14" s="35">
        <f t="shared" si="0"/>
        <v>0.78125</v>
      </c>
      <c r="H14" s="36" t="str">
        <f t="shared" si="1"/>
        <v>جيد</v>
      </c>
      <c r="I14" s="55"/>
      <c r="J14" s="56"/>
    </row>
    <row r="15" spans="1:10" ht="30" customHeight="1" x14ac:dyDescent="0.3">
      <c r="A15" s="11"/>
      <c r="B15" s="84" t="s">
        <v>187</v>
      </c>
      <c r="C15" s="85"/>
      <c r="D15" s="85"/>
      <c r="E15" s="9">
        <v>7</v>
      </c>
      <c r="F15" s="27">
        <v>5.5</v>
      </c>
      <c r="G15" s="35">
        <f t="shared" si="0"/>
        <v>0.7857142857142857</v>
      </c>
      <c r="H15" s="36" t="str">
        <f t="shared" si="1"/>
        <v>جيد</v>
      </c>
      <c r="I15" s="55"/>
      <c r="J15" s="56"/>
    </row>
    <row r="16" spans="1:10" ht="30" customHeight="1" x14ac:dyDescent="0.3">
      <c r="A16" s="11"/>
      <c r="B16" s="84" t="s">
        <v>188</v>
      </c>
      <c r="C16" s="85"/>
      <c r="D16" s="85"/>
      <c r="E16" s="9">
        <v>8</v>
      </c>
      <c r="F16" s="27">
        <v>6.25</v>
      </c>
      <c r="G16" s="35">
        <f t="shared" si="0"/>
        <v>0.78125</v>
      </c>
      <c r="H16" s="36" t="str">
        <f t="shared" si="1"/>
        <v>جيد</v>
      </c>
      <c r="I16" s="55"/>
      <c r="J16" s="56"/>
    </row>
    <row r="17" spans="1:10" ht="39.9" customHeight="1" x14ac:dyDescent="0.3">
      <c r="A17" s="11"/>
      <c r="B17" s="84" t="s">
        <v>189</v>
      </c>
      <c r="C17" s="85"/>
      <c r="D17" s="85"/>
      <c r="E17" s="9">
        <v>5</v>
      </c>
      <c r="F17" s="27">
        <v>3.5</v>
      </c>
      <c r="G17" s="35">
        <f t="shared" si="0"/>
        <v>0.7</v>
      </c>
      <c r="H17" s="36" t="str">
        <f t="shared" si="1"/>
        <v>جيد</v>
      </c>
      <c r="I17" s="55"/>
      <c r="J17" s="56"/>
    </row>
    <row r="18" spans="1:10" ht="30" customHeight="1" x14ac:dyDescent="0.3">
      <c r="A18" s="11"/>
      <c r="B18" s="86" t="s">
        <v>190</v>
      </c>
      <c r="C18" s="87"/>
      <c r="D18" s="87"/>
      <c r="E18" s="9">
        <v>5</v>
      </c>
      <c r="F18" s="27">
        <v>4</v>
      </c>
      <c r="G18" s="35">
        <f t="shared" si="0"/>
        <v>0.8</v>
      </c>
      <c r="H18" s="36" t="str">
        <f t="shared" si="1"/>
        <v>جيد جداً</v>
      </c>
      <c r="I18" s="55"/>
      <c r="J18" s="56"/>
    </row>
    <row r="19" spans="1:10" ht="30" customHeight="1" x14ac:dyDescent="0.3">
      <c r="A19" s="11"/>
      <c r="B19" s="86" t="s">
        <v>191</v>
      </c>
      <c r="C19" s="87"/>
      <c r="D19" s="87"/>
      <c r="E19" s="9">
        <v>5</v>
      </c>
      <c r="F19" s="27">
        <v>4</v>
      </c>
      <c r="G19" s="35">
        <f t="shared" si="0"/>
        <v>0.8</v>
      </c>
      <c r="H19" s="36" t="str">
        <f t="shared" si="1"/>
        <v>جيد جداً</v>
      </c>
      <c r="I19" s="55"/>
      <c r="J19" s="56"/>
    </row>
    <row r="20" spans="1:10" ht="39.9" customHeight="1" x14ac:dyDescent="0.3">
      <c r="A20" s="11"/>
      <c r="B20" s="86" t="s">
        <v>192</v>
      </c>
      <c r="C20" s="87"/>
      <c r="D20" s="87"/>
      <c r="E20" s="9">
        <v>10</v>
      </c>
      <c r="F20" s="27">
        <v>7.75</v>
      </c>
      <c r="G20" s="35">
        <f t="shared" si="0"/>
        <v>0.77500000000000002</v>
      </c>
      <c r="H20" s="36" t="str">
        <f t="shared" si="1"/>
        <v>جيد</v>
      </c>
      <c r="I20" s="55"/>
      <c r="J20" s="56"/>
    </row>
    <row r="21" spans="1:10" ht="30" customHeight="1" x14ac:dyDescent="0.3">
      <c r="A21" s="11"/>
      <c r="B21" s="86" t="s">
        <v>193</v>
      </c>
      <c r="C21" s="87"/>
      <c r="D21" s="87"/>
      <c r="E21" s="9">
        <v>5</v>
      </c>
      <c r="F21" s="27">
        <v>3.75</v>
      </c>
      <c r="G21" s="35">
        <f t="shared" si="0"/>
        <v>0.75</v>
      </c>
      <c r="H21" s="36" t="str">
        <f t="shared" si="1"/>
        <v>جيد</v>
      </c>
      <c r="I21" s="55"/>
      <c r="J21" s="56"/>
    </row>
    <row r="22" spans="1:10" ht="30" customHeight="1" x14ac:dyDescent="0.3">
      <c r="A22" s="11"/>
      <c r="B22" s="86" t="s">
        <v>194</v>
      </c>
      <c r="C22" s="87"/>
      <c r="D22" s="87"/>
      <c r="E22" s="9">
        <v>5</v>
      </c>
      <c r="F22" s="27">
        <v>4</v>
      </c>
      <c r="G22" s="35">
        <f t="shared" si="0"/>
        <v>0.8</v>
      </c>
      <c r="H22" s="36" t="str">
        <f t="shared" si="1"/>
        <v>جيد جداً</v>
      </c>
      <c r="I22" s="55"/>
      <c r="J22" s="56"/>
    </row>
    <row r="23" spans="1:10" ht="30" customHeight="1" thickBot="1" x14ac:dyDescent="0.35">
      <c r="A23" s="11"/>
      <c r="B23" s="88" t="s">
        <v>195</v>
      </c>
      <c r="C23" s="89"/>
      <c r="D23" s="89"/>
      <c r="E23" s="32">
        <v>5</v>
      </c>
      <c r="F23" s="29">
        <v>3.75</v>
      </c>
      <c r="G23" s="40">
        <f t="shared" si="0"/>
        <v>0.75</v>
      </c>
      <c r="H23" s="41" t="str">
        <f t="shared" si="1"/>
        <v>جيد</v>
      </c>
      <c r="I23" s="57"/>
      <c r="J23" s="58"/>
    </row>
    <row r="24" spans="1:10" ht="30" customHeight="1" x14ac:dyDescent="0.3">
      <c r="A24" s="11"/>
      <c r="B24" s="90" t="s">
        <v>196</v>
      </c>
      <c r="C24" s="91"/>
      <c r="D24" s="91"/>
      <c r="E24" s="30"/>
      <c r="F24" s="37"/>
      <c r="G24" s="38"/>
      <c r="H24" s="39"/>
      <c r="I24" s="60"/>
      <c r="J24" s="61"/>
    </row>
    <row r="25" spans="1:10" ht="30" customHeight="1" x14ac:dyDescent="0.3">
      <c r="A25" s="11"/>
      <c r="B25" s="84" t="s">
        <v>197</v>
      </c>
      <c r="C25" s="85"/>
      <c r="D25" s="85"/>
      <c r="E25" s="9">
        <v>6</v>
      </c>
      <c r="F25" s="27">
        <v>4.75</v>
      </c>
      <c r="G25" s="35">
        <f t="shared" si="0"/>
        <v>0.79166666666666663</v>
      </c>
      <c r="H25" s="36" t="str">
        <f t="shared" si="1"/>
        <v>جيد</v>
      </c>
      <c r="I25" s="55"/>
      <c r="J25" s="56"/>
    </row>
    <row r="26" spans="1:10" ht="30" customHeight="1" x14ac:dyDescent="0.3">
      <c r="A26" s="11"/>
      <c r="B26" s="84" t="s">
        <v>198</v>
      </c>
      <c r="C26" s="85"/>
      <c r="D26" s="85"/>
      <c r="E26" s="9">
        <v>5</v>
      </c>
      <c r="F26" s="27">
        <v>3.5</v>
      </c>
      <c r="G26" s="35">
        <f t="shared" si="0"/>
        <v>0.7</v>
      </c>
      <c r="H26" s="36" t="str">
        <f t="shared" si="1"/>
        <v>جيد</v>
      </c>
      <c r="I26" s="55"/>
      <c r="J26" s="56"/>
    </row>
    <row r="27" spans="1:10" ht="30" customHeight="1" x14ac:dyDescent="0.3">
      <c r="A27" s="11"/>
      <c r="B27" s="84" t="s">
        <v>199</v>
      </c>
      <c r="C27" s="85"/>
      <c r="D27" s="85"/>
      <c r="E27" s="9">
        <v>5</v>
      </c>
      <c r="F27" s="27">
        <v>3.75</v>
      </c>
      <c r="G27" s="35">
        <f t="shared" si="0"/>
        <v>0.75</v>
      </c>
      <c r="H27" s="36" t="str">
        <f t="shared" si="1"/>
        <v>جيد</v>
      </c>
      <c r="I27" s="55"/>
      <c r="J27" s="56"/>
    </row>
    <row r="28" spans="1:10" ht="30" customHeight="1" x14ac:dyDescent="0.3">
      <c r="A28" s="11"/>
      <c r="B28" s="84" t="s">
        <v>200</v>
      </c>
      <c r="C28" s="85"/>
      <c r="D28" s="85"/>
      <c r="E28" s="9">
        <v>5</v>
      </c>
      <c r="F28" s="27">
        <v>3.75</v>
      </c>
      <c r="G28" s="35">
        <f t="shared" si="0"/>
        <v>0.75</v>
      </c>
      <c r="H28" s="36" t="str">
        <f t="shared" si="1"/>
        <v>جيد</v>
      </c>
      <c r="I28" s="55"/>
      <c r="J28" s="56"/>
    </row>
    <row r="29" spans="1:10" ht="30" customHeight="1" x14ac:dyDescent="0.3">
      <c r="A29" s="11"/>
      <c r="B29" s="84" t="s">
        <v>201</v>
      </c>
      <c r="C29" s="85"/>
      <c r="D29" s="85"/>
      <c r="E29" s="9">
        <v>5</v>
      </c>
      <c r="F29" s="27">
        <v>3.75</v>
      </c>
      <c r="G29" s="35">
        <f t="shared" si="0"/>
        <v>0.75</v>
      </c>
      <c r="H29" s="36" t="str">
        <f t="shared" si="1"/>
        <v>جيد</v>
      </c>
      <c r="I29" s="55"/>
      <c r="J29" s="56"/>
    </row>
    <row r="30" spans="1:10" ht="30" customHeight="1" x14ac:dyDescent="0.3">
      <c r="A30" s="11"/>
      <c r="B30" s="84" t="s">
        <v>202</v>
      </c>
      <c r="C30" s="85"/>
      <c r="D30" s="85"/>
      <c r="E30" s="9">
        <v>5</v>
      </c>
      <c r="F30" s="27">
        <v>3.5</v>
      </c>
      <c r="G30" s="35">
        <f t="shared" si="0"/>
        <v>0.7</v>
      </c>
      <c r="H30" s="36" t="str">
        <f t="shared" si="1"/>
        <v>جيد</v>
      </c>
      <c r="I30" s="55"/>
      <c r="J30" s="56"/>
    </row>
    <row r="31" spans="1:10" ht="30" customHeight="1" thickBot="1" x14ac:dyDescent="0.35">
      <c r="A31" s="11"/>
      <c r="B31" s="94" t="s">
        <v>203</v>
      </c>
      <c r="C31" s="95"/>
      <c r="D31" s="95"/>
      <c r="E31" s="32">
        <v>5</v>
      </c>
      <c r="F31" s="29">
        <v>3.5</v>
      </c>
      <c r="G31" s="40">
        <f t="shared" si="0"/>
        <v>0.7</v>
      </c>
      <c r="H31" s="41" t="str">
        <f t="shared" si="1"/>
        <v>جيد</v>
      </c>
      <c r="I31" s="57"/>
      <c r="J31" s="58"/>
    </row>
    <row r="32" spans="1:10" ht="30" customHeight="1" x14ac:dyDescent="0.3">
      <c r="A32" s="11"/>
      <c r="B32" s="90" t="s">
        <v>204</v>
      </c>
      <c r="C32" s="91"/>
      <c r="D32" s="91"/>
      <c r="E32" s="30"/>
      <c r="F32" s="37"/>
      <c r="G32" s="38"/>
      <c r="H32" s="39"/>
      <c r="I32" s="60"/>
      <c r="J32" s="61"/>
    </row>
    <row r="33" spans="1:10" ht="39.9" customHeight="1" x14ac:dyDescent="0.3">
      <c r="A33" s="11"/>
      <c r="B33" s="84" t="s">
        <v>205</v>
      </c>
      <c r="C33" s="85"/>
      <c r="D33" s="85"/>
      <c r="E33" s="31">
        <v>6</v>
      </c>
      <c r="F33" s="27">
        <v>4.5</v>
      </c>
      <c r="G33" s="35">
        <f t="shared" si="0"/>
        <v>0.75</v>
      </c>
      <c r="H33" s="36" t="str">
        <f t="shared" si="1"/>
        <v>جيد</v>
      </c>
      <c r="I33" s="55"/>
      <c r="J33" s="56"/>
    </row>
    <row r="34" spans="1:10" ht="30" customHeight="1" x14ac:dyDescent="0.3">
      <c r="A34" s="11"/>
      <c r="B34" s="84" t="s">
        <v>206</v>
      </c>
      <c r="C34" s="85"/>
      <c r="D34" s="85"/>
      <c r="E34" s="9">
        <v>5</v>
      </c>
      <c r="F34" s="27">
        <v>3.75</v>
      </c>
      <c r="G34" s="35">
        <f t="shared" si="0"/>
        <v>0.75</v>
      </c>
      <c r="H34" s="36" t="str">
        <f t="shared" si="1"/>
        <v>جيد</v>
      </c>
      <c r="I34" s="55"/>
      <c r="J34" s="56"/>
    </row>
    <row r="35" spans="1:10" ht="30" customHeight="1" x14ac:dyDescent="0.3">
      <c r="A35" s="11"/>
      <c r="B35" s="84" t="s">
        <v>207</v>
      </c>
      <c r="C35" s="85"/>
      <c r="D35" s="85"/>
      <c r="E35" s="9">
        <v>5</v>
      </c>
      <c r="F35" s="27">
        <v>3.75</v>
      </c>
      <c r="G35" s="35">
        <f t="shared" si="0"/>
        <v>0.75</v>
      </c>
      <c r="H35" s="36" t="str">
        <f t="shared" si="1"/>
        <v>جيد</v>
      </c>
      <c r="I35" s="55"/>
      <c r="J35" s="56"/>
    </row>
    <row r="36" spans="1:10" ht="30" customHeight="1" thickBot="1" x14ac:dyDescent="0.35">
      <c r="A36" s="11"/>
      <c r="B36" s="94" t="s">
        <v>208</v>
      </c>
      <c r="C36" s="95"/>
      <c r="D36" s="95"/>
      <c r="E36" s="32">
        <v>5</v>
      </c>
      <c r="F36" s="29">
        <v>3.75</v>
      </c>
      <c r="G36" s="40">
        <f t="shared" si="0"/>
        <v>0.75</v>
      </c>
      <c r="H36" s="41" t="str">
        <f t="shared" si="1"/>
        <v>جيد</v>
      </c>
      <c r="I36" s="57"/>
      <c r="J36" s="58"/>
    </row>
    <row r="37" spans="1:10" ht="30" customHeight="1" x14ac:dyDescent="0.3">
      <c r="A37" s="11"/>
      <c r="B37" s="92" t="s">
        <v>209</v>
      </c>
      <c r="C37" s="93"/>
      <c r="D37" s="93"/>
      <c r="E37" s="30"/>
      <c r="F37" s="37"/>
      <c r="G37" s="38"/>
      <c r="H37" s="39"/>
      <c r="I37" s="60"/>
      <c r="J37" s="61"/>
    </row>
    <row r="38" spans="1:10" ht="30" customHeight="1" x14ac:dyDescent="0.3">
      <c r="A38" s="11"/>
      <c r="B38" s="84" t="s">
        <v>210</v>
      </c>
      <c r="C38" s="85"/>
      <c r="D38" s="85"/>
      <c r="E38" s="9">
        <v>6</v>
      </c>
      <c r="F38" s="27">
        <v>4.5</v>
      </c>
      <c r="G38" s="35">
        <f t="shared" si="0"/>
        <v>0.75</v>
      </c>
      <c r="H38" s="36" t="str">
        <f t="shared" si="1"/>
        <v>جيد</v>
      </c>
      <c r="I38" s="55"/>
      <c r="J38" s="56"/>
    </row>
    <row r="39" spans="1:10" ht="30" customHeight="1" x14ac:dyDescent="0.3">
      <c r="A39" s="11"/>
      <c r="B39" s="84" t="s">
        <v>211</v>
      </c>
      <c r="C39" s="85"/>
      <c r="D39" s="85"/>
      <c r="E39" s="9">
        <v>5</v>
      </c>
      <c r="F39" s="27">
        <v>3.75</v>
      </c>
      <c r="G39" s="35">
        <f t="shared" si="0"/>
        <v>0.75</v>
      </c>
      <c r="H39" s="36" t="str">
        <f t="shared" si="1"/>
        <v>جيد</v>
      </c>
      <c r="I39" s="55"/>
      <c r="J39" s="56"/>
    </row>
    <row r="40" spans="1:10" ht="30" customHeight="1" x14ac:dyDescent="0.3">
      <c r="A40" s="11"/>
      <c r="B40" s="84" t="s">
        <v>212</v>
      </c>
      <c r="C40" s="85"/>
      <c r="D40" s="85"/>
      <c r="E40" s="9">
        <v>5</v>
      </c>
      <c r="F40" s="27">
        <v>3.75</v>
      </c>
      <c r="G40" s="35">
        <f t="shared" si="0"/>
        <v>0.75</v>
      </c>
      <c r="H40" s="36" t="str">
        <f t="shared" si="1"/>
        <v>جيد</v>
      </c>
      <c r="I40" s="55"/>
      <c r="J40" s="56"/>
    </row>
    <row r="41" spans="1:10" ht="30" customHeight="1" x14ac:dyDescent="0.3">
      <c r="A41" s="11"/>
      <c r="B41" s="84" t="s">
        <v>213</v>
      </c>
      <c r="C41" s="85"/>
      <c r="D41" s="85"/>
      <c r="E41" s="9">
        <v>5</v>
      </c>
      <c r="F41" s="27">
        <v>3.75</v>
      </c>
      <c r="G41" s="35">
        <f t="shared" si="0"/>
        <v>0.75</v>
      </c>
      <c r="H41" s="36" t="str">
        <f t="shared" si="1"/>
        <v>جيد</v>
      </c>
      <c r="I41" s="55"/>
      <c r="J41" s="56"/>
    </row>
    <row r="42" spans="1:10" ht="30" customHeight="1" x14ac:dyDescent="0.3">
      <c r="A42" s="11"/>
      <c r="B42" s="84" t="s">
        <v>214</v>
      </c>
      <c r="C42" s="85"/>
      <c r="D42" s="85"/>
      <c r="E42" s="9">
        <v>5</v>
      </c>
      <c r="F42" s="27">
        <v>3.75</v>
      </c>
      <c r="G42" s="35">
        <f t="shared" si="0"/>
        <v>0.75</v>
      </c>
      <c r="H42" s="36" t="str">
        <f t="shared" si="1"/>
        <v>جيد</v>
      </c>
      <c r="I42" s="55"/>
      <c r="J42" s="56"/>
    </row>
    <row r="43" spans="1:10" ht="30" customHeight="1" x14ac:dyDescent="0.3">
      <c r="A43" s="11"/>
      <c r="B43" s="84" t="s">
        <v>215</v>
      </c>
      <c r="C43" s="85"/>
      <c r="D43" s="85"/>
      <c r="E43" s="9">
        <v>5</v>
      </c>
      <c r="F43" s="27">
        <v>4</v>
      </c>
      <c r="G43" s="35">
        <f t="shared" si="0"/>
        <v>0.8</v>
      </c>
      <c r="H43" s="36" t="str">
        <f t="shared" si="1"/>
        <v>جيد جداً</v>
      </c>
      <c r="I43" s="55"/>
      <c r="J43" s="56"/>
    </row>
    <row r="44" spans="1:10" ht="30" customHeight="1" thickBot="1" x14ac:dyDescent="0.35">
      <c r="A44" s="11"/>
      <c r="B44" s="94" t="s">
        <v>216</v>
      </c>
      <c r="C44" s="95"/>
      <c r="D44" s="95"/>
      <c r="E44" s="32">
        <v>5</v>
      </c>
      <c r="F44" s="29">
        <v>3.75</v>
      </c>
      <c r="G44" s="40">
        <f t="shared" si="0"/>
        <v>0.75</v>
      </c>
      <c r="H44" s="41" t="str">
        <f t="shared" si="1"/>
        <v>جيد</v>
      </c>
      <c r="I44" s="57"/>
      <c r="J44" s="58"/>
    </row>
    <row r="45" spans="1:10" ht="30" customHeight="1" x14ac:dyDescent="0.3">
      <c r="A45" s="11"/>
      <c r="B45" s="90" t="s">
        <v>217</v>
      </c>
      <c r="C45" s="91"/>
      <c r="D45" s="91"/>
      <c r="E45" s="30"/>
      <c r="F45" s="37"/>
      <c r="G45" s="38"/>
      <c r="H45" s="39"/>
      <c r="I45" s="60"/>
      <c r="J45" s="61"/>
    </row>
    <row r="46" spans="1:10" ht="30" customHeight="1" x14ac:dyDescent="0.3">
      <c r="A46" s="11"/>
      <c r="B46" s="84" t="s">
        <v>218</v>
      </c>
      <c r="C46" s="85"/>
      <c r="D46" s="85"/>
      <c r="E46" s="9">
        <v>5</v>
      </c>
      <c r="F46" s="27">
        <v>4</v>
      </c>
      <c r="G46" s="35">
        <f t="shared" si="0"/>
        <v>0.8</v>
      </c>
      <c r="H46" s="36" t="str">
        <f t="shared" si="1"/>
        <v>جيد جداً</v>
      </c>
      <c r="I46" s="55"/>
      <c r="J46" s="56"/>
    </row>
    <row r="47" spans="1:10" ht="30" customHeight="1" x14ac:dyDescent="0.3">
      <c r="A47" s="11"/>
      <c r="B47" s="84" t="s">
        <v>219</v>
      </c>
      <c r="C47" s="85"/>
      <c r="D47" s="85"/>
      <c r="E47" s="9">
        <v>8</v>
      </c>
      <c r="F47" s="27">
        <v>6.25</v>
      </c>
      <c r="G47" s="35">
        <f t="shared" si="0"/>
        <v>0.78125</v>
      </c>
      <c r="H47" s="36" t="str">
        <f t="shared" si="1"/>
        <v>جيد</v>
      </c>
      <c r="I47" s="55"/>
      <c r="J47" s="56"/>
    </row>
    <row r="48" spans="1:10" ht="30" customHeight="1" x14ac:dyDescent="0.3">
      <c r="A48" s="11"/>
      <c r="B48" s="84" t="s">
        <v>220</v>
      </c>
      <c r="C48" s="85"/>
      <c r="D48" s="85"/>
      <c r="E48" s="9">
        <v>5</v>
      </c>
      <c r="F48" s="27">
        <v>3.75</v>
      </c>
      <c r="G48" s="35">
        <f t="shared" si="0"/>
        <v>0.75</v>
      </c>
      <c r="H48" s="36" t="str">
        <f t="shared" si="1"/>
        <v>جيد</v>
      </c>
      <c r="I48" s="55"/>
      <c r="J48" s="56"/>
    </row>
    <row r="49" spans="1:10" ht="30" customHeight="1" x14ac:dyDescent="0.3">
      <c r="A49" s="11"/>
      <c r="B49" s="84" t="s">
        <v>221</v>
      </c>
      <c r="C49" s="85"/>
      <c r="D49" s="85"/>
      <c r="E49" s="9">
        <v>5</v>
      </c>
      <c r="F49" s="27">
        <v>3.75</v>
      </c>
      <c r="G49" s="35">
        <f t="shared" si="0"/>
        <v>0.75</v>
      </c>
      <c r="H49" s="36" t="str">
        <f t="shared" si="1"/>
        <v>جيد</v>
      </c>
      <c r="I49" s="55"/>
      <c r="J49" s="56"/>
    </row>
    <row r="50" spans="1:10" ht="30" customHeight="1" x14ac:dyDescent="0.3">
      <c r="A50" s="11"/>
      <c r="B50" s="84" t="s">
        <v>222</v>
      </c>
      <c r="C50" s="85"/>
      <c r="D50" s="85"/>
      <c r="E50" s="9">
        <v>5</v>
      </c>
      <c r="F50" s="27">
        <v>3.75</v>
      </c>
      <c r="G50" s="35">
        <f t="shared" si="0"/>
        <v>0.75</v>
      </c>
      <c r="H50" s="36" t="str">
        <f t="shared" si="1"/>
        <v>جيد</v>
      </c>
      <c r="I50" s="55"/>
      <c r="J50" s="56"/>
    </row>
    <row r="51" spans="1:10" ht="30" customHeight="1" thickBot="1" x14ac:dyDescent="0.35">
      <c r="A51" s="11"/>
      <c r="B51" s="94" t="s">
        <v>223</v>
      </c>
      <c r="C51" s="95"/>
      <c r="D51" s="95"/>
      <c r="E51" s="32">
        <v>5</v>
      </c>
      <c r="F51" s="29">
        <v>3.75</v>
      </c>
      <c r="G51" s="40">
        <f t="shared" si="0"/>
        <v>0.75</v>
      </c>
      <c r="H51" s="41" t="str">
        <f t="shared" si="1"/>
        <v>جيد</v>
      </c>
      <c r="I51" s="57"/>
      <c r="J51" s="58"/>
    </row>
    <row r="52" spans="1:10" ht="30" customHeight="1" x14ac:dyDescent="0.3">
      <c r="A52" s="11"/>
      <c r="B52" s="92" t="s">
        <v>224</v>
      </c>
      <c r="C52" s="93"/>
      <c r="D52" s="93"/>
      <c r="E52" s="30"/>
      <c r="F52" s="37"/>
      <c r="G52" s="38"/>
      <c r="H52" s="39"/>
      <c r="I52" s="60"/>
      <c r="J52" s="61"/>
    </row>
    <row r="53" spans="1:10" ht="30" customHeight="1" x14ac:dyDescent="0.3">
      <c r="A53" s="11"/>
      <c r="B53" s="84" t="s">
        <v>225</v>
      </c>
      <c r="C53" s="85"/>
      <c r="D53" s="85"/>
      <c r="E53" s="9">
        <v>10</v>
      </c>
      <c r="F53" s="27">
        <v>7.25</v>
      </c>
      <c r="G53" s="35">
        <f t="shared" si="0"/>
        <v>0.72499999999999998</v>
      </c>
      <c r="H53" s="36" t="str">
        <f t="shared" si="1"/>
        <v>جيد</v>
      </c>
      <c r="I53" s="55"/>
      <c r="J53" s="56"/>
    </row>
    <row r="54" spans="1:10" ht="30" customHeight="1" x14ac:dyDescent="0.3">
      <c r="A54" s="11"/>
      <c r="B54" s="84" t="s">
        <v>226</v>
      </c>
      <c r="C54" s="85"/>
      <c r="D54" s="85"/>
      <c r="E54" s="9">
        <v>10</v>
      </c>
      <c r="F54" s="27">
        <v>7.25</v>
      </c>
      <c r="G54" s="35">
        <f t="shared" si="0"/>
        <v>0.72499999999999998</v>
      </c>
      <c r="H54" s="36" t="str">
        <f t="shared" si="1"/>
        <v>جيد</v>
      </c>
      <c r="I54" s="55"/>
      <c r="J54" s="56"/>
    </row>
    <row r="55" spans="1:10" ht="30" customHeight="1" thickBot="1" x14ac:dyDescent="0.35">
      <c r="A55" s="11"/>
      <c r="B55" s="94" t="s">
        <v>227</v>
      </c>
      <c r="C55" s="95"/>
      <c r="D55" s="95"/>
      <c r="E55" s="32">
        <v>5</v>
      </c>
      <c r="F55" s="29">
        <v>3.75</v>
      </c>
      <c r="G55" s="40">
        <f t="shared" si="0"/>
        <v>0.75</v>
      </c>
      <c r="H55" s="41" t="str">
        <f t="shared" si="1"/>
        <v>جيد</v>
      </c>
      <c r="I55" s="57"/>
      <c r="J55" s="58"/>
    </row>
    <row r="56" spans="1:10" ht="30" customHeight="1" x14ac:dyDescent="0.3">
      <c r="A56" s="11"/>
      <c r="B56" s="92" t="s">
        <v>228</v>
      </c>
      <c r="C56" s="93"/>
      <c r="D56" s="93"/>
      <c r="E56" s="30"/>
      <c r="F56" s="37"/>
      <c r="G56" s="38"/>
      <c r="H56" s="39"/>
      <c r="I56" s="60"/>
      <c r="J56" s="61"/>
    </row>
    <row r="57" spans="1:10" ht="30" customHeight="1" x14ac:dyDescent="0.3">
      <c r="A57" s="11"/>
      <c r="B57" s="84" t="s">
        <v>229</v>
      </c>
      <c r="C57" s="85"/>
      <c r="D57" s="85"/>
      <c r="E57" s="9">
        <v>5</v>
      </c>
      <c r="F57" s="27">
        <v>4</v>
      </c>
      <c r="G57" s="35">
        <f t="shared" si="0"/>
        <v>0.8</v>
      </c>
      <c r="H57" s="36" t="str">
        <f t="shared" si="1"/>
        <v>جيد جداً</v>
      </c>
      <c r="I57" s="55"/>
      <c r="J57" s="56"/>
    </row>
    <row r="58" spans="1:10" ht="30" customHeight="1" thickBot="1" x14ac:dyDescent="0.35">
      <c r="A58" s="11"/>
      <c r="B58" s="94" t="s">
        <v>230</v>
      </c>
      <c r="C58" s="95"/>
      <c r="D58" s="95"/>
      <c r="E58" s="32">
        <v>5</v>
      </c>
      <c r="F58" s="29">
        <v>3.75</v>
      </c>
      <c r="G58" s="40">
        <f t="shared" si="0"/>
        <v>0.75</v>
      </c>
      <c r="H58" s="41" t="str">
        <f t="shared" si="1"/>
        <v>جيد</v>
      </c>
      <c r="I58" s="57"/>
      <c r="J58" s="58"/>
    </row>
    <row r="59" spans="1:10" ht="39.9" customHeight="1" thickBot="1" x14ac:dyDescent="0.35">
      <c r="A59" s="11"/>
      <c r="B59" s="96" t="s">
        <v>231</v>
      </c>
      <c r="C59" s="97"/>
      <c r="D59" s="97"/>
      <c r="E59" s="10">
        <v>5</v>
      </c>
      <c r="F59" s="42">
        <v>3.75</v>
      </c>
      <c r="G59" s="43">
        <f t="shared" si="0"/>
        <v>0.75</v>
      </c>
      <c r="H59" s="28" t="str">
        <f t="shared" si="1"/>
        <v>جيد</v>
      </c>
      <c r="I59" s="82"/>
      <c r="J59" s="83"/>
    </row>
    <row r="60" spans="1:10" ht="30" customHeight="1" thickBot="1" x14ac:dyDescent="0.35">
      <c r="A60" s="4"/>
      <c r="B60" s="67" t="s">
        <v>5</v>
      </c>
      <c r="C60" s="68"/>
      <c r="D60" s="68"/>
      <c r="E60" s="34">
        <f>SUM(E8:E59)</f>
        <v>270</v>
      </c>
      <c r="F60" s="34">
        <f>SUM(F8:F59)</f>
        <v>204.5</v>
      </c>
      <c r="G60" s="78"/>
      <c r="H60" s="79"/>
      <c r="I60" s="79"/>
      <c r="J60" s="80"/>
    </row>
    <row r="61" spans="1:10" ht="30" customHeight="1" thickBot="1" x14ac:dyDescent="0.35">
      <c r="A61" s="4"/>
      <c r="B61" s="69" t="s">
        <v>54</v>
      </c>
      <c r="C61" s="70"/>
      <c r="D61" s="70"/>
      <c r="E61" s="51">
        <f>F60/E60/100*100</f>
        <v>0.75740740740740742</v>
      </c>
      <c r="F61" s="51"/>
      <c r="G61" s="51"/>
      <c r="H61" s="51"/>
      <c r="I61" s="51"/>
      <c r="J61" s="52"/>
    </row>
    <row r="62" spans="1:10" ht="30" customHeight="1" thickBot="1" x14ac:dyDescent="0.35">
      <c r="A62" s="4"/>
      <c r="B62" s="69" t="s">
        <v>55</v>
      </c>
      <c r="C62" s="70"/>
      <c r="D62" s="70"/>
      <c r="E62" s="75" t="str">
        <f>_xlfn.IFS(E61&gt;=90%,"ممتاز",E61&gt;=80%,"جيد جداً",E61&gt;=70%,"جيد",E61&gt;=60%,"مقبول",E61&lt;60%,"راسب")</f>
        <v>جيد</v>
      </c>
      <c r="F62" s="75"/>
      <c r="G62" s="75"/>
      <c r="H62" s="75"/>
      <c r="I62" s="75"/>
      <c r="J62" s="76"/>
    </row>
    <row r="63" spans="1:10" ht="42" customHeight="1" x14ac:dyDescent="0.3">
      <c r="B63" s="71" t="s">
        <v>174</v>
      </c>
      <c r="C63" s="71"/>
      <c r="D63" s="71"/>
      <c r="E63" s="81" t="s">
        <v>52</v>
      </c>
      <c r="F63" s="81"/>
      <c r="G63" s="73" t="s">
        <v>104</v>
      </c>
      <c r="H63" s="73"/>
      <c r="I63" s="73"/>
      <c r="J63" s="73"/>
    </row>
    <row r="64" spans="1:10" ht="51" customHeight="1" x14ac:dyDescent="0.3">
      <c r="A64" s="5"/>
      <c r="B64" s="72"/>
      <c r="C64" s="72"/>
      <c r="D64" s="72"/>
      <c r="E64" s="77" t="s">
        <v>53</v>
      </c>
      <c r="F64" s="77"/>
      <c r="G64" s="74"/>
      <c r="H64" s="74"/>
      <c r="I64" s="74"/>
      <c r="J64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5">
    <mergeCell ref="B54:D54"/>
    <mergeCell ref="B55:D55"/>
    <mergeCell ref="B56:D56"/>
    <mergeCell ref="B57:D57"/>
    <mergeCell ref="B58:D58"/>
    <mergeCell ref="B59:D59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62:D6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26:J26"/>
    <mergeCell ref="I27:J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E63:F63"/>
    <mergeCell ref="I32:J32"/>
    <mergeCell ref="I33:J33"/>
    <mergeCell ref="I34:J34"/>
    <mergeCell ref="I35:J35"/>
    <mergeCell ref="I36:J36"/>
    <mergeCell ref="I8:J8"/>
    <mergeCell ref="I23:J23"/>
    <mergeCell ref="I24:J24"/>
    <mergeCell ref="I25:J25"/>
    <mergeCell ref="I9:J9"/>
    <mergeCell ref="B63:D64"/>
    <mergeCell ref="G63:J63"/>
    <mergeCell ref="G64:J64"/>
    <mergeCell ref="E62:J6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E64:F64"/>
    <mergeCell ref="G60:J60"/>
    <mergeCell ref="I47:J47"/>
    <mergeCell ref="B1:J1"/>
    <mergeCell ref="F2:J2"/>
    <mergeCell ref="B5:D6"/>
    <mergeCell ref="C2:D2"/>
    <mergeCell ref="C3:D3"/>
    <mergeCell ref="F3:J3"/>
    <mergeCell ref="E61:J61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48:J48"/>
    <mergeCell ref="B60:D60"/>
    <mergeCell ref="B61:D6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2">
    <cfRule type="expression" dxfId="14" priority="57">
      <formula>$E62="راسب"</formula>
    </cfRule>
  </conditionalFormatting>
  <conditionalFormatting sqref="E62:J62">
    <cfRule type="expression" dxfId="13" priority="58">
      <formula>$E62="مقبول"</formula>
    </cfRule>
    <cfRule type="expression" dxfId="12" priority="59">
      <formula>$E62="جيد"</formula>
    </cfRule>
    <cfRule type="expression" dxfId="11" priority="60">
      <formula>$E62="جيد جداً"</formula>
    </cfRule>
    <cfRule type="expression" dxfId="10" priority="61">
      <formula>$E62="ممتاز"</formula>
    </cfRule>
  </conditionalFormatting>
  <conditionalFormatting sqref="F8:F5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3:J63">
    <cfRule type="containsText" dxfId="6" priority="15" operator="containsText" text="أدخل اسم المحكم">
      <formula>NOT(ISERROR(SEARCH("أدخل اسم المحكم",G63)))</formula>
    </cfRule>
  </conditionalFormatting>
  <conditionalFormatting sqref="H8:H5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F55 F34:F36 F39:F44 F13 F48:F51 F57:F59 F21:F23 F46 F17:F19 F26:F31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G63:J63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D3765AD8-38E9-4D95-8B43-1EC54C6FE078}">
          <x14:formula1>
            <xm:f>'بيانات التقييم'!$A$111:$A$153</xm:f>
          </x14:formula1>
          <xm:sqref>F9 F10 F20 F53 F54</xm:sqref>
        </x14:dataValidation>
        <x14:dataValidation type="list" allowBlank="1" showInputMessage="1" showErrorMessage="1" xr:uid="{CC9803AA-C47A-4931-BC5C-30841294FC77}">
          <x14:formula1>
            <xm:f>'بيانات التقييم'!$A$111:$A$145</xm:f>
          </x14:formula1>
          <xm:sqref>F11 F12 F14 F16 F47</xm:sqref>
        </x14:dataValidation>
        <x14:dataValidation type="list" allowBlank="1" showInputMessage="1" showErrorMessage="1" xr:uid="{A33B5F11-B3BC-41C7-9952-337F6DB82F3C}">
          <x14:formula1>
            <xm:f>'بيانات التقييم'!$A$111:$A$141</xm:f>
          </x14:formula1>
          <xm:sqref>F15</xm:sqref>
        </x14:dataValidation>
        <x14:dataValidation type="list" allowBlank="1" showInputMessage="1" showErrorMessage="1" xr:uid="{07F39051-9254-4F84-B294-CE9D0A7AC44B}">
          <x14:formula1>
            <xm:f>'بيانات التقييم'!$A$111:$A$137</xm:f>
          </x14:formula1>
          <xm:sqref>F25 F33 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2025-10-27T19:08:00Z</dcterms:modified>
</cp:coreProperties>
</file>