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64AD1FBD-A3E0-4C90-AB7A-64354A1001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F70" i="2"/>
  <c r="E70" i="2"/>
  <c r="E71" i="2"/>
  <c r="E72" i="2"/>
</calcChain>
</file>

<file path=xl/sharedStrings.xml><?xml version="1.0" encoding="utf-8"?>
<sst xmlns="http://schemas.openxmlformats.org/spreadsheetml/2006/main" count="307" uniqueCount="246">
  <si>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</si>
  <si>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</si>
  <si>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</si>
  <si>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</si>
  <si>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</si>
  <si>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</si>
  <si>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</si>
  <si>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</si>
  <si>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</si>
  <si>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</si>
  <si>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</si>
  <si>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</si>
  <si>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</si>
  <si>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</si>
  <si>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</si>
  <si>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</si>
  <si>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</si>
  <si>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</si>
  <si>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</si>
  <si>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</si>
  <si>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</si>
  <si>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</si>
  <si>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</si>
  <si>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</si>
  <si>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</si>
  <si>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</si>
  <si>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</si>
  <si>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</si>
  <si>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</si>
  <si>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</si>
  <si>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</si>
  <si>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</si>
  <si>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</si>
  <si>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</si>
  <si>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</si>
  <si>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</si>
  <si>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</si>
  <si>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</si>
  <si>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</si>
  <si>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</si>
  <si>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</si>
  <si>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</si>
  <si>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</si>
  <si>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</si>
  <si>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</si>
  <si>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</si>
  <si>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</si>
  <si>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</si>
  <si>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</si>
  <si>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</si>
  <si>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</si>
  <si>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</si>
  <si>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</si>
  <si>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</si>
  <si>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</si>
  <si>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</si>
  <si>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</si>
  <si>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</si>
  <si>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</si>
  <si>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</si>
  <si>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</si>
  <si>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</si>
  <si>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</si>
  <si>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</si>
  <si>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تجهيز الطاولة الرملية</t>
    </r>
    <r>
      <rPr>
        <b/>
        <sz val="12"/>
        <color rgb="FF000000"/>
        <rFont val="Arial"/>
        <family val="2"/>
      </rPr>
      <t>.</t>
    </r>
  </si>
  <si>
    <t>أ.    تحديد طول وعرض الطاولة الرملية على ضوء دراسة الخريطة والمنطقة المراد تصميمها وحسب الأبعاد التالية:</t>
  </si>
  <si>
    <t>المستوى</t>
  </si>
  <si>
    <t>الطول</t>
  </si>
  <si>
    <t>العرض</t>
  </si>
  <si>
    <t>الكتيبة</t>
  </si>
  <si>
    <t>8 م</t>
  </si>
  <si>
    <t>6 م</t>
  </si>
  <si>
    <t>ب.  استخدام مقياس رسم الطاولة يعكس التشابه والتناسب مع الخريطة (مطابقة الطاولة للخارطة) مع بيان مقياس الطاولة وما يعادله على الطبيعة.</t>
  </si>
  <si>
    <t>جـ.  تقسيـم الطاولـة إلـى أجـزاء صغيـرة طـول كل جزء 20 سم بلونين مختلفين على التوالي ( أبيض / أسود ).</t>
  </si>
  <si>
    <t>د.    عمل مؤشر بطول مناسب قياسياً على حجم الطاولة (واحد ونصف متر مناسب) ويمكن أن يقسم إلى أجزاء (20 سم للجزء ويكون أبيض وأسود).</t>
  </si>
  <si>
    <t>هـ.  توجيه الطاولة الرملية باتجاه الشمال/العملية قدر الإمكان.</t>
  </si>
  <si>
    <t>و.    عمل شبكة الإحداثيات بواسطة الخيوط (لتحديد المواقع لاحقاً) وتوضح أرقام الإحداثيات على مربعات بلاستيكية أو ورق مقوى.</t>
  </si>
  <si>
    <t>ز.    تمثيل المرتفعات الطبيعية والاصطناعية بمقياس الرسم واقعي.</t>
  </si>
  <si>
    <t>ح.    رش الطاولة بالماء بغرض تماسك الرمل واستخدام الألوان الصحيحة في الطاولة الرملية لتوضيح الهيئات الطبيعية والصناعية، على أن يكون لون المزروعـات أخضـر، المرتفعات بنـي، مناطق الميـاه والأودية أزرق ... الخ.</t>
  </si>
  <si>
    <t>ط.    استخدام بعض الأعشاب أو القطن الملون لتمثيل المزروعات والمكعبات الخشبية لتمثيل المناطق المبنية.</t>
  </si>
  <si>
    <t>ي.    تمثيل الأسلحـة والدبابـات والآليـات والمدافع بنماذج معينة، والأشرطة الملونة لتمثيل الطرق (أبيض) والحدود (أسود).</t>
  </si>
  <si>
    <t>ك.    كتابة أسماء المعالم الهامة على لوحات صغيرة من البلاستيك أو الورق المقوى بحيث تسهل قراءتها من كل الجهات.</t>
  </si>
  <si>
    <t>ل.    وضـع مفهوم العمليات أو الخطة بالنماذج التي تمثل الرموز العسكرية للعدو ولقواتنا، أحمر/أزرق، الموانع أخضر، أسلحة التدمير الشامل أصفر.</t>
  </si>
  <si>
    <t>م.    وضع سهم يبين اتجاه الشمال لمعرفة الاتجاهات الصحيحة ومقياس الرسم لقياس المسافات والارتفاعات.</t>
  </si>
  <si>
    <r>
      <t>2.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الأرض على الطاولة الرملية</t>
    </r>
    <r>
      <rPr>
        <b/>
        <sz val="12"/>
        <color rgb="FF000000"/>
        <rFont val="Arial"/>
        <family val="2"/>
      </rPr>
      <t>.</t>
    </r>
  </si>
  <si>
    <t>أ.    وصف الطاولة من قبل ضابط العمليات ويمكن أن يقوم بذلك ضابط الاستخبارات.</t>
  </si>
  <si>
    <t>ب.  اختيار مكان وقوف مناسب في مواجهة قسم الأمر وتمكن جميع الحاضرين من رؤية الطاولة الرملية واستخدام المؤشر في التأشير.</t>
  </si>
  <si>
    <t>جـ.  البسملة (بسم الله الرحمن الرحيم).</t>
  </si>
  <si>
    <t>د.    تعريف الطاولة الرملية.</t>
  </si>
  <si>
    <t>هـ.  تحديد اتجاه الشمال.</t>
  </si>
  <si>
    <t>و.    تحديد مقياس رسم الطاولة الرملية.</t>
  </si>
  <si>
    <t>ز.    التعريف بالألوان والرموز المستخدمة.</t>
  </si>
  <si>
    <t>ح.    وصف الأرض بشكل عام وتأشير المعالم البارزة في اتجاه دوران عقارب الساعة.</t>
  </si>
  <si>
    <r>
      <t>3.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المعالم البارزة.</t>
    </r>
  </si>
  <si>
    <t>أ.    أبرز الهيئات الحاكمة.</t>
  </si>
  <si>
    <t>ب.  أبرز الطرق.</t>
  </si>
  <si>
    <t>جـ.  أبرز الموانع الطبيعية والصناعية.</t>
  </si>
  <si>
    <t>د.    الأنهر والوديان والمزروعات والغابات.</t>
  </si>
  <si>
    <r>
      <t>4.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المميزات التعبوية للأرض بالتفصيل.</t>
    </r>
  </si>
  <si>
    <t>أ.    تقسيم الأرض إلى (يمين/وسط/ يسار).</t>
  </si>
  <si>
    <t>ب.  وصف الأرض في العمليات التعرضية من الأرض القريبة إلى الأرض البعيدة وفي العمليات الدفاعية من الأرض البعيدة إلى الأرض القريبة.</t>
  </si>
  <si>
    <t>جـ.  التخفية والتستر.</t>
  </si>
  <si>
    <t>د.    المراقبة وميادين الرمي.</t>
  </si>
  <si>
    <t>هـ.    الإسناد المتبادل بالنار والمناورة.</t>
  </si>
  <si>
    <t>و.    الموانع الطبيعية والصناعية.</t>
  </si>
  <si>
    <t>ز.    مناطق التجمع والتشكيل وخطوط البدء ومناطق التقتيل ومناطق الهبوط المحتملة (حسب الحاجة).</t>
  </si>
  <si>
    <t>ح.    الأرض التعبوية والحيوية.</t>
  </si>
  <si>
    <t>ط.    قابلية الحركة.</t>
  </si>
  <si>
    <t>ي.    الطرق والجسور وتصنيفها.</t>
  </si>
  <si>
    <t>ك.    وصف عام للمقتربات ويشمل:</t>
  </si>
  <si>
    <r>
      <t>(1)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أبرز المعالم الطبيعية أو الصناعية على طول المقترب.</t>
    </r>
  </si>
  <si>
    <r>
      <t>(2)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تسمية المقتربات بالأحرف أو الأرقام أو بالاتجاهات.</t>
    </r>
  </si>
  <si>
    <r>
      <t>(3)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طول المقترب (من منطقة التجمع إلى الأهداف النهائية في العمليات التعرضية ومن منطقة الاهتمام أو التأثير إلى الموقع الدفاعي الرئيسي في العمليات الدفاعية.</t>
    </r>
  </si>
  <si>
    <r>
      <t>(4)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الاستيعاب/الاتساع على طول المقترب.</t>
    </r>
  </si>
  <si>
    <t>(5)    الرصد والنيران.</t>
  </si>
  <si>
    <r>
      <t>(6)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المراقبة و ميادين الرمي.</t>
    </r>
  </si>
  <si>
    <r>
      <t>(7)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التخفية والتستر.</t>
    </r>
  </si>
  <si>
    <r>
      <t>(8)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الأرض التعبوية.</t>
    </r>
  </si>
  <si>
    <r>
      <t>(9)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الموانع.</t>
    </r>
  </si>
  <si>
    <r>
      <t>(10)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قابلية الحركة.</t>
    </r>
  </si>
  <si>
    <r>
      <t>(11)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مناطق الهبوط المحتملة.</t>
    </r>
  </si>
  <si>
    <r>
      <t>(12)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الإسناد المتبادل.</t>
    </r>
  </si>
  <si>
    <r>
      <t>5.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الأرصاد</t>
    </r>
    <r>
      <rPr>
        <sz val="12"/>
        <color rgb="FF000000"/>
        <rFont val="Arial"/>
        <family val="2"/>
      </rPr>
      <t xml:space="preserve">. </t>
    </r>
  </si>
  <si>
    <t>أ.    الضوء الأول.</t>
  </si>
  <si>
    <t>ب.  الضوء الأخير.</t>
  </si>
  <si>
    <t>جـ.  حالة القمر.</t>
  </si>
  <si>
    <t>د.    اتجاه الريح وسرعته.</t>
  </si>
  <si>
    <t>هـ.    درجة الحرارة.</t>
  </si>
  <si>
    <t>و.    المد والجزر (حسب الحاجة).</t>
  </si>
  <si>
    <r>
      <t>6.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طرح الأسئلة</t>
    </r>
    <r>
      <rPr>
        <sz val="12"/>
        <color rgb="FF000000"/>
        <rFont val="Arial"/>
        <family val="2"/>
      </rPr>
      <t>.</t>
    </r>
  </si>
  <si>
    <t>لا يطبق على الطاولات الرملية في المدارس والمعاهد ومراكز التدريب لوجود طاولات كبيرة مسبقة لغايات التدريب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</si>
  <si>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</si>
  <si>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</si>
  <si>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</si>
  <si>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</si>
  <si>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</si>
  <si>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</si>
  <si>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</si>
  <si>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</si>
  <si>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</si>
  <si>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</si>
  <si>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</si>
  <si>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</si>
  <si>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</si>
  <si>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</si>
  <si>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</si>
  <si>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</si>
  <si>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</si>
  <si>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</si>
  <si>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</si>
  <si>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</si>
  <si>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</si>
  <si>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</si>
  <si>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</si>
  <si>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</si>
  <si>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</si>
  <si>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</si>
  <si>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</si>
  <si>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</si>
  <si>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</si>
  <si>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</si>
  <si>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</si>
  <si>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</si>
  <si>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</si>
  <si>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</si>
  <si>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</si>
  <si>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</si>
  <si>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</si>
  <si>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</si>
  <si>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</si>
  <si>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</si>
  <si>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</si>
  <si>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</si>
  <si>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</si>
  <si>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</si>
  <si>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</si>
  <si>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</si>
  <si>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</si>
  <si>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</si>
  <si>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</si>
  <si>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</si>
  <si>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</si>
  <si>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</si>
  <si>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</si>
  <si>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</si>
  <si>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</si>
  <si>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</si>
  <si>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</si>
  <si>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</si>
  <si>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</si>
  <si>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</si>
  <si>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</si>
  <si>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</si>
  <si>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</si>
  <si>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</si>
  <si>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</si>
  <si>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</si>
  <si>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</si>
  <si>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</si>
  <si>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</si>
  <si>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</si>
  <si>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</si>
  <si>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</si>
  <si>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</si>
  <si>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</si>
  <si>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</si>
  <si>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</si>
  <si>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</si>
  <si>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</si>
  <si>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</si>
  <si>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</si>
  <si>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</si>
  <si>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</si>
  <si>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</si>
  <si>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</si>
  <si>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</si>
  <si>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</si>
  <si>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</si>
  <si>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</si>
  <si>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</si>
  <si>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</si>
  <si>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</si>
  <si>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</si>
  <si>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</si>
  <si>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</si>
  <si>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</si>
  <si>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</si>
  <si>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</si>
  <si>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</si>
  <si>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</si>
  <si>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</si>
  <si>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</si>
  <si>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</si>
  <si>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</si>
  <si>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</si>
  <si>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</si>
  <si>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</si>
  <si>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</si>
  <si>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</si>
  <si>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</si>
  <si>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</si>
  <si>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</si>
  <si>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</si>
  <si>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</si>
  <si>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تقييم الكتيبة في تجهيز الطاولة الرملية ووصف الأرض - العمليات التعرضية
تمرين جاهزية مجموعة لواء الإمارات/1 (جندي الصحراء 2025/20)</t>
  </si>
  <si>
    <t>المقدم الركن/ عبدالرحمن محمد الطنيجي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</si>
</sst>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5" borderId="14" xfId="0" applyFont="1" applyFill="1" applyBorder="1" applyAlignment="1">
      <alignment horizontal="center" vertical="center" wrapText="1" readingOrder="2"/>
    </xf>
    <xf numFmtId="0" fontId="2" fillId="5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9" fillId="0" borderId="3" xfId="0" applyFont="1" applyBorder="1" applyAlignment="1">
      <alignment vertical="center" wrapText="1" readingOrder="2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6" fillId="0" borderId="32" xfId="0" applyFont="1" applyBorder="1" applyAlignment="1" applyProtection="1">
      <alignment horizontal="center" vertical="center" wrapText="1" readingOrder="2"/>
      <protection locked="0"/>
    </xf>
    <xf numFmtId="9" fontId="3" fillId="0" borderId="29" xfId="0" applyNumberFormat="1" applyFont="1" applyBorder="1" applyAlignment="1">
      <alignment horizontal="center" vertical="center" wrapText="1" readingOrder="2"/>
    </xf>
    <xf numFmtId="9" fontId="3" fillId="0" borderId="30" xfId="0" applyNumberFormat="1" applyFont="1" applyBorder="1" applyAlignment="1">
      <alignment horizontal="center" vertical="center" wrapText="1" readingOrder="2"/>
    </xf>
    <xf numFmtId="9" fontId="3" fillId="0" borderId="31" xfId="0" applyNumberFormat="1" applyFont="1" applyBorder="1" applyAlignment="1">
      <alignment horizontal="center" vertical="center" wrapText="1" readingOrder="2"/>
    </xf>
    <xf numFmtId="0" fontId="2" fillId="0" borderId="29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1"/>
    </xf>
    <xf numFmtId="0" fontId="2" fillId="0" borderId="31" xfId="0" applyFont="1" applyBorder="1" applyAlignment="1">
      <alignment horizontal="center" vertical="center" wrapText="1" readingOrder="1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12" xfId="0" applyFont="1" applyBorder="1" applyAlignment="1">
      <alignment horizontal="right" vertical="center" wrapText="1" indent="2" readingOrder="2"/>
    </xf>
    <xf numFmtId="0" fontId="9" fillId="0" borderId="8" xfId="0" applyFont="1" applyBorder="1" applyAlignment="1">
      <alignment horizontal="right" vertical="center" wrapText="1" readingOrder="2"/>
    </xf>
    <xf numFmtId="0" fontId="9" fillId="0" borderId="9" xfId="0" applyFont="1" applyBorder="1" applyAlignment="1">
      <alignment horizontal="right" vertical="center" wrapText="1" readingOrder="2"/>
    </xf>
    <xf numFmtId="0" fontId="12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7" xfId="0" applyFont="1" applyBorder="1" applyAlignment="1" applyProtection="1">
      <alignment horizontal="center" vertical="center" wrapText="1" readingOrder="2"/>
      <protection locked="0"/>
    </xf>
    <xf numFmtId="0" fontId="9" fillId="0" borderId="23" xfId="0" applyFont="1" applyBorder="1" applyAlignment="1">
      <alignment horizontal="right" vertical="center" wrapText="1" readingOrder="2"/>
    </xf>
    <xf numFmtId="0" fontId="9" fillId="0" borderId="24" xfId="0" applyFont="1" applyBorder="1" applyAlignment="1">
      <alignment horizontal="right" vertical="center" wrapText="1" readingOrder="2"/>
    </xf>
    <xf numFmtId="0" fontId="9" fillId="0" borderId="25" xfId="0" applyFont="1" applyBorder="1" applyAlignment="1">
      <alignment horizontal="right" vertical="center" wrapText="1" readingOrder="2"/>
    </xf>
    <xf numFmtId="0" fontId="9" fillId="0" borderId="26" xfId="0" applyFont="1" applyBorder="1" applyAlignment="1">
      <alignment horizontal="right" vertical="center" wrapText="1" indent="1" readingOrder="2"/>
    </xf>
    <xf numFmtId="0" fontId="9" fillId="0" borderId="27" xfId="0" applyFont="1" applyBorder="1" applyAlignment="1">
      <alignment horizontal="right" vertical="center" wrapText="1" indent="1" readingOrder="2"/>
    </xf>
    <xf numFmtId="0" fontId="9" fillId="0" borderId="28" xfId="0" applyFont="1" applyBorder="1" applyAlignment="1">
      <alignment horizontal="right" vertical="center" wrapText="1" indent="1" readingOrder="2"/>
    </xf>
    <xf numFmtId="0" fontId="9" fillId="0" borderId="14" xfId="0" applyFont="1" applyBorder="1" applyAlignment="1">
      <alignment horizontal="right" vertical="center" wrapText="1" indent="3" readingOrder="2"/>
    </xf>
    <xf numFmtId="0" fontId="9" fillId="0" borderId="3" xfId="0" applyFont="1" applyBorder="1" applyAlignment="1">
      <alignment horizontal="right" vertical="center" wrapText="1" indent="3" readingOrder="2"/>
    </xf>
    <xf numFmtId="0" fontId="9" fillId="0" borderId="11" xfId="0" applyFont="1" applyBorder="1" applyAlignment="1">
      <alignment horizontal="right" vertical="center" wrapText="1" indent="3" readingOrder="2"/>
    </xf>
    <xf numFmtId="0" fontId="9" fillId="0" borderId="12" xfId="0" applyFont="1" applyBorder="1" applyAlignment="1">
      <alignment horizontal="right" vertical="center" wrapText="1" indent="3" readingOrder="2"/>
    </xf>
    <xf numFmtId="0" fontId="9" fillId="0" borderId="14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0" fontId="2" fillId="0" borderId="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right" vertical="center" wrapText="1" indent="2"/>
    </xf>
    <xf numFmtId="0" fontId="9" fillId="0" borderId="3" xfId="0" applyFont="1" applyBorder="1" applyAlignment="1">
      <alignment horizontal="right" vertical="center" wrapText="1" indent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624395</xdr:colOff>
      <xdr:row>73</xdr:row>
      <xdr:rowOff>55397</xdr:rowOff>
    </xdr:from>
    <xdr:to>
      <xdr:col>7</xdr:col>
      <xdr:colOff>383905</xdr:colOff>
      <xdr:row>73</xdr:row>
      <xdr:rowOff>210197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3B6DB02-B1A4-6AE2-636E-AF4E0E2F6F03}"/>
                </a:ext>
              </a:extLst>
            </xdr14:cNvPr>
            <xdr14:cNvContentPartPr/>
          </xdr14:nvContentPartPr>
          <xdr14:nvPr macro=""/>
          <xdr14:xfrm>
            <a:off x="10399519095" y="31262760"/>
            <a:ext cx="417600" cy="1548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3B6DB02-B1A4-6AE2-636E-AF4E0E2F6F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512975" y="31256640"/>
              <a:ext cx="42984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344675</xdr:colOff>
      <xdr:row>73</xdr:row>
      <xdr:rowOff>31277</xdr:rowOff>
    </xdr:from>
    <xdr:to>
      <xdr:col>9</xdr:col>
      <xdr:colOff>51604</xdr:colOff>
      <xdr:row>73</xdr:row>
      <xdr:rowOff>641117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7463E32-D6D8-096C-B513-ADA7FCD04110}"/>
                </a:ext>
              </a:extLst>
            </xdr14:cNvPr>
            <xdr14:cNvContentPartPr/>
          </xdr14:nvContentPartPr>
          <xdr14:nvPr macro=""/>
          <xdr14:xfrm>
            <a:off x="10398535215" y="31238640"/>
            <a:ext cx="1681200" cy="6098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7463E32-D6D8-096C-B513-ADA7FCD0411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529095" y="31232520"/>
              <a:ext cx="1693440" cy="622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7:58:00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849 116 7681,'0'0'0,"0"-16"3865,0 16-3865,2-14 752,-2 0 208,3 1 153,-3 9-105,0 4-1008,0-12 984,0 10-232,0-4-112,0 0 64,0 6-704,0-5 377,0 0-41,0 1-96,0 1-184,0 3-56,0-1 192,0-2-24,0 0 24,-3 2 40,3 1-232,0-2 120,-2 2-32,2 0 0,0 0-112,0 0 24,0 0 64,0-1-96,0 1 24,0 0 8,0 0-88,0 0-104,0 0 0,0 0 664,0 0-1192,0 0 488,0 0 72,0 3-48,0-3 208,0 2-112,0 1 112,0 2-48,0 6 48,0-11 0,0 3-24,0 8-24,0-8 32,0 8-16,0-11 32,0 5-32,0 10-136,0-3 144,-2-1 40,2-11-16,-2 13-16,2 0 80,0 1-64,-2-1 8,2-13-8,-3 14 16,3-1-32,0-1 80,0 1-104,0-13 40,-2 12-8,0-8 104,-1 11-232,3-12 104,0-3 32,0 12-24,0-9 7,0 1-7,5 0 24,-5-4 0,5 4-32,-3 1-104,12-1 152,-12 0-8,-2-4-8,5 4 0,6 1 0,-6-2 120,13-1-96,-18-2-24,11 0 65,6 0 127,-4 0-240,6 0 96,-19 0-48,18 0 64,-2-1-32,-2-3 56,-3-1-40,-11 5-48,16-4 40,1 0 8,-6 0 8,1-1 24,-12 5-80,11-4 80,-9 0 8,3 0-24,-1 1 88,-4 3-152,2-2 184,3 1-24,-5 1 32,2 0 24,-2 0-216,0 0 224,0 0 48,0 0 32,0 0 24,0 0-1456,0 0 2584,0 0-1200,-2 0 120,-5 0-152,7 0-224,-2 0 256,-2-2-40,-1 1-200,-6 1 65,11 0-81,-7 0-17,-9-1 1,-1 1 97,-1 0-9,18 0-72,-21 0 0,-8 2 0,-2 3-56,0 6 32,31-11 24,-38 3-73,4 8 65,0-6 73,-5 7-89,39-12 24,-35 5 24,6 7-8,1-9-89,12 2 106,16-5-33,-14 4-73,0 0 33,10-1-24,-12 0-48,16-3 112,-3 0-40,-3 3-40,4-3 176,-3 0-40,5 0-56,-3 0 80,1 0-32,2 0-88,5 0-8,-5 0 48,2 0-16,-2-2-48,0-1-32,3-1-24,-3 4 120,4-6-96,0 1 40,-1-7-24,9 9 80,-12 3 0,4-5 40,-2 1 16,3-1 0,-5 1 32,0 4-88,0-1-48,0-1 96,0 2-56,0 0-88,0 0 96,0 0-40,-3 0-96,-1 0-88,0 0 56,4 0 168,-17 3-208,1 1-96,-9 12 224,2-5 80,23-11 0,-30 14 0,2 1 64,1-3 56,-3 0-80,30-12-40,-25 4 64,-1 13-8,2-13-136,3 9 24,21-13 56,-21 3-24,0 8 40,5-11-48,0 3 48,16-3-16,-5 3 40,-6-3-40,11 3 160,-7-3-112,7 0-48,0 0 56,-2 0 88,2 0-64,0-1-160,0 1 80,2-5-104,3 1-200,0-7-128,-3 6 112,-2 5 320,14-14-384,-9 3 32,10-1 120,-4 8 72,-11 4 160,5-13-96,7 9 96,-10 0-56,2 0-56,-4 4 112,3-2-120,-3 2 8,0 0 16,0 0-88,0 0 184,0 0-184,-3 3 72,-5 0 16,-7 1 200,15-4-104,-13 16 152,-5-12-96,-5 10 128,0-10-32,23-4-152,-26 16 184,2-12 40,-7 8-88,8-9 64,23-3-200,-27 2 216,6 3 40,3-2-16,4-1-128,14-2-112,-5 0 120,-6 3-80,9-3 8,-3 0-8,5 0-40,0 0-64,0 0-40,0 0-176,0 0-432,0 0 712,0 0-1425,0 0-927,3 3 168,17-3 55,-20 0 2129,11 0-7289,-11 0 7289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7:58:02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3140 837 21468,'0'0'0,"0"-3"4009,-2 0-3329,2 3-680,-3-3 144,3 2-288,0 1-24,0 0-32,0 0 200,0 0-424,0 0-280,0 3-625,0 1-767,0-4 2096,-4 13-3169,-5-2 137,-28 29-5866,37-40 8898</inkml:trace>
  <inkml:trace contextRef="#ctx0" brushRef="#br0" timeOffset="1">2536 1242 25757,'0'0'0,"0"0"568,0 0-568,0 4-272,0 10-176,2 2 40,15 3 128,-17-19 280,11 24-112,1 4-88,-1 2-144,-6 3-352,-5-33 696,14 34-1057,-14 3-319,0 3-344,0-1-161,0-39 1881,-2 43-2360,-12 0 351,0 5-5936,14-48 7945</inkml:trace>
  <inkml:trace contextRef="#ctx0" brushRef="#br0" timeOffset="2">2275 257 24221,'0'0'0,"-2"-6"1032,0 2-752,-2 0-440,4 4 160,0-2-304,0 2 8,4 3 8,13 10 120,-17-13 168,11 17-136,1 8 40,2 5-112,-1 7 56,-13-37 152,5 40-120,9 3-16,-14 2-1,4 2-87,-4-47 224,3 48-336,-3 1 144,0-4 64,-5-2 48,5-43 80,-2 37 40,-9-2-176,6 0 176,-13-6-184,18-29 144,-15 29-88,-3-4 72,1-3-72,-1-4 216,18-18-128,-16 16 120,-6-12 80,4 9 24,2-13-16,16 0-208,-24 0 248,4 0 8,-3-3-79,-1-13-1,24 16-176,-25-17 176,-3-4-40,3-5-56,-4-3 48,29 29-128,-23-34 56,0-1-16,0 1 24,7 3-64,16 31 0,-15-28-24,11 1 24,1 2 0,-2 4-56,5 21 56,-3-20-16,3 0-64,0 3 24,0 0-8,0 17 64,6-15-88,8-3-32,-4 3-32,6-1 40,-16 16 112,16-14-88,3 3 32,-3 5-24,0 0-57,-16 6 137,14-4-112,-2 1 24,-7 3 16,11 0-24,-16 0 96,2 4-104,11 11-16,-10-4 40,2 3 0,-5-14 80,2 17-80,3 2 0,-5 3 32,0 1 32,0-23 16,0 26 0,-3 1 40,-1 1-40,-12 1 56,16-29-56,-15 28 64,-3-1 40,-5 0-40,-2-1-24,25-26-40,-33 25 56,-2 1 40,-7-2 64,-5-3-40,47-21-120,-53 22 144,-3-1 8,-4-1-31,-3 0 47,63-20-168,-69 21 160,-1-1-80,-7-1 48,-4 0-48,81-19-80,-84 22 72,-4-1-8,-5 2-48,-5 2 8,98-25-24,-95 26 40,-3 1-8,3-1-8,6-4 8,89-22-32,-86 22-40,10-4 64,7 1 16,8-4-40,61-15 0,-53 13-24,6 0-8,5-9-24,7 9 72,35-13-16,-25 0 40,6 3-40,8 0 0,11-3-104,0 0 104,-5 0-96,5 0 8,0 0-160,0 0 64,0 0 184,0 2-208,5-2-25,8 5 113,1-1 40,-14-4 80,21 4-80,7 8 16,9-12 24,5 2-16,-42-2 56,49 0-24,12 0 32,8-2-72,14-11 88,-83 13-24,94-13-24,12-3 8,6-6 32,14-3-80,-126 25 64,134-28-32,8-5-56,14-2 24,2-5 32,-158 40 32,174-46-88,0-2 16,12-3-16,3-2 24,-189 53 64,195-56-104,2-6-16,1 0-152,-1-5-184,-197 67 456,198-68-528,-1 0-200,-11 2 48,-23 4 168,-163 62 512,144-57-385,-16-1 265,-9 2 240,-17 2 112,-102 54-232,86-53 433,-12 7 223,-14 4 176,-13 7 128,-47 35-960,31-26 1240,-16 9-95,-15 11-81,0 1-168,0 5-896,0-4 320,-2-1-424,-11 2-280,-7 2-360,20 1 744,-25 0-760,-5 0 80,-7 3-65,-3 0 169,40-3 576,-35 4-472,5 0 160,4 0 96,8 1 96,18-5 120,-19 4-136,8 0-96,-1 1-32,1 7-104,11-12 368,-5 5-344,-9 10-152,3 1 48,-1 1-81,12-17 529,-14 20-696,-3 4-56,-3 2-552,3 1-185,17-27 1489,-16 27-1552,0 5-5873,16-32 7425</inkml:trace>
  <inkml:trace contextRef="#ctx0" brushRef="#br0" timeOffset="3">4144 821 29902,'0'0'0,"0"0"0,0 0 536,3 0 128,8 3-616,6 1-528,-17-4 480,15 17-632,2-2-880,-12 6-2033,6 0-1752,-11-21 5297,0 26-12067,0-26 12067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4"/>
  <sheetViews>
    <sheetView rightToLeft="1" tabSelected="1" view="pageBreakPreview" topLeftCell="C1" zoomScale="130" zoomScaleNormal="100" zoomScaleSheetLayoutView="130" workbookViewId="0">
      <selection activeCell="F3" sqref="F3:J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96" t="s">
        <v>244</v>
      </c>
      <c r="C1" s="97"/>
      <c r="D1" s="97"/>
      <c r="E1" s="97"/>
      <c r="F1" s="97"/>
      <c r="G1" s="97"/>
      <c r="H1" s="97"/>
      <c r="I1" s="97"/>
      <c r="J1" s="97"/>
    </row>
    <row r="2" spans="1:10" ht="30" customHeight="1" x14ac:dyDescent="0.3">
      <c r="B2" s="12" t="s">
        <v>8</v>
      </c>
      <c r="C2" s="103" t="s">
        <v>44</v>
      </c>
      <c r="D2" s="103"/>
      <c r="E2" s="12" t="s">
        <v>7</v>
      </c>
      <c r="F2" s="98">
        <v>45951</v>
      </c>
      <c r="G2" s="98"/>
      <c r="H2" s="98"/>
      <c r="I2" s="98"/>
      <c r="J2" s="98"/>
    </row>
    <row r="3" spans="1:10" ht="30" customHeight="1" x14ac:dyDescent="0.3">
      <c r="B3" s="12" t="s">
        <v>9</v>
      </c>
      <c r="C3" s="103" t="s">
        <v>240</v>
      </c>
      <c r="D3" s="103"/>
      <c r="E3" s="12" t="s">
        <v>6</v>
      </c>
      <c r="F3" s="103" t="s">
        <v>59</v>
      </c>
      <c r="G3" s="103"/>
      <c r="H3" s="103"/>
      <c r="I3" s="103"/>
      <c r="J3" s="103"/>
    </row>
    <row r="4" spans="1:10" ht="30" customHeight="1" thickBot="1" x14ac:dyDescent="0.35">
      <c r="B4" s="6"/>
      <c r="C4" s="7"/>
      <c r="D4" s="7"/>
      <c r="E4" s="6"/>
      <c r="F4" s="44" t="s">
        <v>245</v>
      </c>
      <c r="G4" s="44"/>
      <c r="H4" s="44"/>
      <c r="I4" s="44"/>
      <c r="J4" s="44"/>
    </row>
    <row r="5" spans="1:10" ht="24.9" customHeight="1" x14ac:dyDescent="0.3">
      <c r="A5" s="10"/>
      <c r="B5" s="99" t="s">
        <v>0</v>
      </c>
      <c r="C5" s="100"/>
      <c r="D5" s="100"/>
      <c r="E5" s="108" t="s">
        <v>1</v>
      </c>
      <c r="F5" s="108"/>
      <c r="G5" s="108"/>
      <c r="H5" s="108"/>
      <c r="I5" s="108" t="s">
        <v>2</v>
      </c>
      <c r="J5" s="109"/>
    </row>
    <row r="6" spans="1:10" ht="24.9" customHeight="1" thickBot="1" x14ac:dyDescent="0.35">
      <c r="A6" s="10"/>
      <c r="B6" s="101"/>
      <c r="C6" s="102"/>
      <c r="D6" s="102"/>
      <c r="E6" s="11" t="s">
        <v>3</v>
      </c>
      <c r="F6" s="11" t="s">
        <v>4</v>
      </c>
      <c r="G6" s="11" t="s">
        <v>23</v>
      </c>
      <c r="H6" s="11" t="s">
        <v>24</v>
      </c>
      <c r="I6" s="110"/>
      <c r="J6" s="111"/>
    </row>
    <row r="7" spans="1:10" ht="24.9" customHeight="1" thickBot="1" x14ac:dyDescent="0.35">
      <c r="A7" s="10"/>
      <c r="B7" s="106" t="s">
        <v>21</v>
      </c>
      <c r="C7" s="107"/>
      <c r="D7" s="107"/>
      <c r="E7" s="29" t="s">
        <v>18</v>
      </c>
      <c r="F7" s="29" t="s">
        <v>19</v>
      </c>
      <c r="G7" s="29" t="s">
        <v>22</v>
      </c>
      <c r="H7" s="29" t="s">
        <v>20</v>
      </c>
      <c r="I7" s="112" t="s">
        <v>25</v>
      </c>
      <c r="J7" s="113"/>
    </row>
    <row r="8" spans="1:10" ht="30" customHeight="1" x14ac:dyDescent="0.3">
      <c r="A8" s="10"/>
      <c r="B8" s="57" t="s">
        <v>64</v>
      </c>
      <c r="C8" s="58"/>
      <c r="D8" s="58"/>
      <c r="E8" s="58"/>
      <c r="F8" s="58"/>
      <c r="G8" s="58"/>
      <c r="H8" s="58"/>
      <c r="I8" s="58"/>
      <c r="J8" s="59"/>
    </row>
    <row r="9" spans="1:10" ht="39.9" customHeight="1" x14ac:dyDescent="0.3">
      <c r="A9" s="10"/>
      <c r="B9" s="67" t="s">
        <v>65</v>
      </c>
      <c r="C9" s="68"/>
      <c r="D9" s="68"/>
      <c r="E9" s="69">
        <v>5</v>
      </c>
      <c r="F9" s="74">
        <v>4</v>
      </c>
      <c r="G9" s="45">
        <f>IFERROR(F9/E9,"")</f>
        <v>0.8</v>
      </c>
      <c r="H9" s="48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5" t="s">
        <v>130</v>
      </c>
      <c r="J9" s="56"/>
    </row>
    <row r="10" spans="1:10" ht="30" customHeight="1" x14ac:dyDescent="0.3">
      <c r="A10" s="10"/>
      <c r="B10" s="22" t="s">
        <v>66</v>
      </c>
      <c r="C10" s="23" t="s">
        <v>67</v>
      </c>
      <c r="D10" s="23" t="s">
        <v>68</v>
      </c>
      <c r="E10" s="69"/>
      <c r="F10" s="75"/>
      <c r="G10" s="46"/>
      <c r="H10" s="49"/>
      <c r="I10" s="55"/>
      <c r="J10" s="56"/>
    </row>
    <row r="11" spans="1:10" ht="30" customHeight="1" x14ac:dyDescent="0.3">
      <c r="A11" s="10"/>
      <c r="B11" s="22" t="s">
        <v>69</v>
      </c>
      <c r="C11" s="24" t="s">
        <v>70</v>
      </c>
      <c r="D11" s="24" t="s">
        <v>71</v>
      </c>
      <c r="E11" s="69"/>
      <c r="F11" s="76"/>
      <c r="G11" s="47"/>
      <c r="H11" s="50"/>
      <c r="I11" s="55"/>
      <c r="J11" s="56"/>
    </row>
    <row r="12" spans="1:10" ht="50.1" customHeight="1" x14ac:dyDescent="0.3">
      <c r="A12" s="10"/>
      <c r="B12" s="67" t="s">
        <v>72</v>
      </c>
      <c r="C12" s="68"/>
      <c r="D12" s="68"/>
      <c r="E12" s="8">
        <v>5</v>
      </c>
      <c r="F12" s="19">
        <v>4.25</v>
      </c>
      <c r="G12" s="31">
        <f t="shared" ref="G12:G69" si="0">IFERROR(F12/E12,"")</f>
        <v>0.85</v>
      </c>
      <c r="H12" s="32" t="str">
        <f t="shared" ref="H12:H69" si="1">_xlfn.IFS(F12="أدخل العلامة","",F12="لا ينطبق","تم الإلغاء",G12&gt;=90%,"ممتاز",G12&gt;=80%,"جيد جداً",G12&gt;=70%,"جيد",G12&gt;=60%,"مقبول",G12&lt;60%,"راسب")</f>
        <v>جيد جداً</v>
      </c>
      <c r="I12" s="55"/>
      <c r="J12" s="56"/>
    </row>
    <row r="13" spans="1:10" ht="39.9" customHeight="1" x14ac:dyDescent="0.3">
      <c r="A13" s="10"/>
      <c r="B13" s="70" t="s">
        <v>73</v>
      </c>
      <c r="C13" s="71"/>
      <c r="D13" s="71"/>
      <c r="E13" s="8">
        <v>5</v>
      </c>
      <c r="F13" s="19">
        <v>4.25</v>
      </c>
      <c r="G13" s="31">
        <f t="shared" si="0"/>
        <v>0.85</v>
      </c>
      <c r="H13" s="32" t="str">
        <f t="shared" si="1"/>
        <v>جيد جداً</v>
      </c>
      <c r="I13" s="77"/>
      <c r="J13" s="78"/>
    </row>
    <row r="14" spans="1:10" ht="50.1" customHeight="1" x14ac:dyDescent="0.3">
      <c r="A14" s="10"/>
      <c r="B14" s="67" t="s">
        <v>74</v>
      </c>
      <c r="C14" s="68"/>
      <c r="D14" s="68"/>
      <c r="E14" s="8">
        <v>5</v>
      </c>
      <c r="F14" s="19">
        <v>4.25</v>
      </c>
      <c r="G14" s="31">
        <f t="shared" si="0"/>
        <v>0.85</v>
      </c>
      <c r="H14" s="32" t="str">
        <f t="shared" si="1"/>
        <v>جيد جداً</v>
      </c>
      <c r="I14" s="77"/>
      <c r="J14" s="78"/>
    </row>
    <row r="15" spans="1:10" ht="30" customHeight="1" x14ac:dyDescent="0.3">
      <c r="A15" s="10"/>
      <c r="B15" s="67" t="s">
        <v>75</v>
      </c>
      <c r="C15" s="68"/>
      <c r="D15" s="68"/>
      <c r="E15" s="8">
        <v>5</v>
      </c>
      <c r="F15" s="19">
        <v>4.25</v>
      </c>
      <c r="G15" s="31">
        <f t="shared" si="0"/>
        <v>0.85</v>
      </c>
      <c r="H15" s="32" t="str">
        <f t="shared" si="1"/>
        <v>جيد جداً</v>
      </c>
      <c r="I15" s="77"/>
      <c r="J15" s="78"/>
    </row>
    <row r="16" spans="1:10" ht="39.9" customHeight="1" x14ac:dyDescent="0.3">
      <c r="A16" s="10"/>
      <c r="B16" s="67" t="s">
        <v>76</v>
      </c>
      <c r="C16" s="68"/>
      <c r="D16" s="68"/>
      <c r="E16" s="8">
        <v>5</v>
      </c>
      <c r="F16" s="19">
        <v>3.5</v>
      </c>
      <c r="G16" s="31">
        <f t="shared" si="0"/>
        <v>0.7</v>
      </c>
      <c r="H16" s="32" t="str">
        <f t="shared" si="1"/>
        <v>جيد</v>
      </c>
      <c r="I16" s="77"/>
      <c r="J16" s="78"/>
    </row>
    <row r="17" spans="1:10" ht="30" customHeight="1" x14ac:dyDescent="0.3">
      <c r="A17" s="10"/>
      <c r="B17" s="67" t="s">
        <v>77</v>
      </c>
      <c r="C17" s="68"/>
      <c r="D17" s="68"/>
      <c r="E17" s="8">
        <v>5</v>
      </c>
      <c r="F17" s="19">
        <v>3.5</v>
      </c>
      <c r="G17" s="31">
        <f t="shared" si="0"/>
        <v>0.7</v>
      </c>
      <c r="H17" s="32" t="str">
        <f t="shared" si="1"/>
        <v>جيد</v>
      </c>
      <c r="I17" s="77"/>
      <c r="J17" s="78"/>
    </row>
    <row r="18" spans="1:10" ht="68.25" customHeight="1" x14ac:dyDescent="0.3">
      <c r="A18" s="10"/>
      <c r="B18" s="67" t="s">
        <v>78</v>
      </c>
      <c r="C18" s="68"/>
      <c r="D18" s="68"/>
      <c r="E18" s="8">
        <v>5</v>
      </c>
      <c r="F18" s="19">
        <v>4</v>
      </c>
      <c r="G18" s="31">
        <f t="shared" si="0"/>
        <v>0.8</v>
      </c>
      <c r="H18" s="32" t="str">
        <f t="shared" si="1"/>
        <v>جيد جداً</v>
      </c>
      <c r="I18" s="77"/>
      <c r="J18" s="78"/>
    </row>
    <row r="19" spans="1:10" ht="39.9" customHeight="1" x14ac:dyDescent="0.3">
      <c r="A19" s="10"/>
      <c r="B19" s="67" t="s">
        <v>79</v>
      </c>
      <c r="C19" s="68"/>
      <c r="D19" s="68"/>
      <c r="E19" s="8">
        <v>5</v>
      </c>
      <c r="F19" s="19">
        <v>4</v>
      </c>
      <c r="G19" s="31">
        <f t="shared" si="0"/>
        <v>0.8</v>
      </c>
      <c r="H19" s="32" t="str">
        <f t="shared" si="1"/>
        <v>جيد جداً</v>
      </c>
      <c r="I19" s="77"/>
      <c r="J19" s="78"/>
    </row>
    <row r="20" spans="1:10" ht="39.9" customHeight="1" x14ac:dyDescent="0.3">
      <c r="A20" s="10"/>
      <c r="B20" s="67" t="s">
        <v>80</v>
      </c>
      <c r="C20" s="68"/>
      <c r="D20" s="68"/>
      <c r="E20" s="8">
        <v>5</v>
      </c>
      <c r="F20" s="19">
        <v>4</v>
      </c>
      <c r="G20" s="31">
        <f t="shared" si="0"/>
        <v>0.8</v>
      </c>
      <c r="H20" s="32" t="str">
        <f t="shared" si="1"/>
        <v>جيد جداً</v>
      </c>
      <c r="I20" s="77"/>
      <c r="J20" s="78"/>
    </row>
    <row r="21" spans="1:10" ht="39.9" customHeight="1" x14ac:dyDescent="0.3">
      <c r="A21" s="10"/>
      <c r="B21" s="67" t="s">
        <v>81</v>
      </c>
      <c r="C21" s="68"/>
      <c r="D21" s="68"/>
      <c r="E21" s="8">
        <v>5</v>
      </c>
      <c r="F21" s="19">
        <v>4.25</v>
      </c>
      <c r="G21" s="31">
        <f t="shared" si="0"/>
        <v>0.85</v>
      </c>
      <c r="H21" s="32" t="str">
        <f t="shared" si="1"/>
        <v>جيد جداً</v>
      </c>
      <c r="I21" s="77"/>
      <c r="J21" s="78"/>
    </row>
    <row r="22" spans="1:10" ht="50.1" customHeight="1" x14ac:dyDescent="0.3">
      <c r="A22" s="10"/>
      <c r="B22" s="67" t="s">
        <v>82</v>
      </c>
      <c r="C22" s="68"/>
      <c r="D22" s="68"/>
      <c r="E22" s="8">
        <v>5</v>
      </c>
      <c r="F22" s="19">
        <v>4.5</v>
      </c>
      <c r="G22" s="31">
        <f t="shared" si="0"/>
        <v>0.9</v>
      </c>
      <c r="H22" s="32" t="str">
        <f t="shared" si="1"/>
        <v>ممتاز</v>
      </c>
      <c r="I22" s="77"/>
      <c r="J22" s="78"/>
    </row>
    <row r="23" spans="1:10" ht="39.9" customHeight="1" thickBot="1" x14ac:dyDescent="0.35">
      <c r="A23" s="10"/>
      <c r="B23" s="51" t="s">
        <v>83</v>
      </c>
      <c r="C23" s="52"/>
      <c r="D23" s="52"/>
      <c r="E23" s="25">
        <v>5</v>
      </c>
      <c r="F23" s="21">
        <v>4</v>
      </c>
      <c r="G23" s="33">
        <f t="shared" si="0"/>
        <v>0.8</v>
      </c>
      <c r="H23" s="34" t="str">
        <f t="shared" si="1"/>
        <v>جيد جداً</v>
      </c>
      <c r="I23" s="72"/>
      <c r="J23" s="73"/>
    </row>
    <row r="24" spans="1:10" ht="30" customHeight="1" x14ac:dyDescent="0.3">
      <c r="A24" s="10"/>
      <c r="B24" s="57" t="s">
        <v>84</v>
      </c>
      <c r="C24" s="58"/>
      <c r="D24" s="58"/>
      <c r="E24" s="58"/>
      <c r="F24" s="58"/>
      <c r="G24" s="58"/>
      <c r="H24" s="58"/>
      <c r="I24" s="58"/>
      <c r="J24" s="59"/>
    </row>
    <row r="25" spans="1:10" ht="39.9" customHeight="1" x14ac:dyDescent="0.3">
      <c r="A25" s="10"/>
      <c r="B25" s="67" t="s">
        <v>85</v>
      </c>
      <c r="C25" s="68"/>
      <c r="D25" s="68"/>
      <c r="E25" s="8">
        <v>5</v>
      </c>
      <c r="F25" s="19">
        <v>4</v>
      </c>
      <c r="G25" s="31">
        <f t="shared" si="0"/>
        <v>0.8</v>
      </c>
      <c r="H25" s="32" t="str">
        <f t="shared" si="1"/>
        <v>جيد جداً</v>
      </c>
      <c r="I25" s="77"/>
      <c r="J25" s="78"/>
    </row>
    <row r="26" spans="1:10" ht="39.9" customHeight="1" x14ac:dyDescent="0.3">
      <c r="A26" s="10"/>
      <c r="B26" s="67" t="s">
        <v>86</v>
      </c>
      <c r="C26" s="68"/>
      <c r="D26" s="68"/>
      <c r="E26" s="8">
        <v>10</v>
      </c>
      <c r="F26" s="19">
        <v>8.25</v>
      </c>
      <c r="G26" s="31">
        <f t="shared" si="0"/>
        <v>0.82499999999999996</v>
      </c>
      <c r="H26" s="32" t="str">
        <f t="shared" si="1"/>
        <v>جيد جداً</v>
      </c>
      <c r="I26" s="77"/>
      <c r="J26" s="78"/>
    </row>
    <row r="27" spans="1:10" ht="30" customHeight="1" x14ac:dyDescent="0.3">
      <c r="A27" s="10"/>
      <c r="B27" s="67" t="s">
        <v>87</v>
      </c>
      <c r="C27" s="68"/>
      <c r="D27" s="68"/>
      <c r="E27" s="8">
        <v>5</v>
      </c>
      <c r="F27" s="19">
        <v>4</v>
      </c>
      <c r="G27" s="31">
        <f t="shared" si="0"/>
        <v>0.8</v>
      </c>
      <c r="H27" s="32" t="str">
        <f t="shared" si="1"/>
        <v>جيد جداً</v>
      </c>
      <c r="I27" s="77"/>
      <c r="J27" s="78"/>
    </row>
    <row r="28" spans="1:10" ht="30" customHeight="1" x14ac:dyDescent="0.3">
      <c r="A28" s="10"/>
      <c r="B28" s="67" t="s">
        <v>88</v>
      </c>
      <c r="C28" s="68"/>
      <c r="D28" s="68"/>
      <c r="E28" s="8">
        <v>5</v>
      </c>
      <c r="F28" s="19">
        <v>4</v>
      </c>
      <c r="G28" s="31">
        <f t="shared" si="0"/>
        <v>0.8</v>
      </c>
      <c r="H28" s="32" t="str">
        <f t="shared" si="1"/>
        <v>جيد جداً</v>
      </c>
      <c r="I28" s="77"/>
      <c r="J28" s="78"/>
    </row>
    <row r="29" spans="1:10" ht="30" customHeight="1" x14ac:dyDescent="0.3">
      <c r="A29" s="10"/>
      <c r="B29" s="67" t="s">
        <v>89</v>
      </c>
      <c r="C29" s="68"/>
      <c r="D29" s="68"/>
      <c r="E29" s="8">
        <v>5</v>
      </c>
      <c r="F29" s="19">
        <v>4</v>
      </c>
      <c r="G29" s="31">
        <f t="shared" si="0"/>
        <v>0.8</v>
      </c>
      <c r="H29" s="32" t="str">
        <f t="shared" si="1"/>
        <v>جيد جداً</v>
      </c>
      <c r="I29" s="77"/>
      <c r="J29" s="78"/>
    </row>
    <row r="30" spans="1:10" ht="30" customHeight="1" x14ac:dyDescent="0.3">
      <c r="A30" s="10"/>
      <c r="B30" s="67" t="s">
        <v>90</v>
      </c>
      <c r="C30" s="68"/>
      <c r="D30" s="68"/>
      <c r="E30" s="8">
        <v>5</v>
      </c>
      <c r="F30" s="19">
        <v>4</v>
      </c>
      <c r="G30" s="31">
        <f t="shared" si="0"/>
        <v>0.8</v>
      </c>
      <c r="H30" s="32" t="str">
        <f t="shared" si="1"/>
        <v>جيد جداً</v>
      </c>
      <c r="I30" s="77"/>
      <c r="J30" s="78"/>
    </row>
    <row r="31" spans="1:10" ht="30" customHeight="1" x14ac:dyDescent="0.3">
      <c r="A31" s="10"/>
      <c r="B31" s="67" t="s">
        <v>91</v>
      </c>
      <c r="C31" s="68"/>
      <c r="D31" s="68"/>
      <c r="E31" s="8">
        <v>5</v>
      </c>
      <c r="F31" s="19">
        <v>4</v>
      </c>
      <c r="G31" s="31">
        <f t="shared" si="0"/>
        <v>0.8</v>
      </c>
      <c r="H31" s="32" t="str">
        <f t="shared" si="1"/>
        <v>جيد جداً</v>
      </c>
      <c r="I31" s="77"/>
      <c r="J31" s="78"/>
    </row>
    <row r="32" spans="1:10" ht="50.1" customHeight="1" thickBot="1" x14ac:dyDescent="0.35">
      <c r="A32" s="10"/>
      <c r="B32" s="51" t="s">
        <v>92</v>
      </c>
      <c r="C32" s="52"/>
      <c r="D32" s="52"/>
      <c r="E32" s="25">
        <v>10</v>
      </c>
      <c r="F32" s="21">
        <v>8</v>
      </c>
      <c r="G32" s="33">
        <f t="shared" si="0"/>
        <v>0.8</v>
      </c>
      <c r="H32" s="34" t="str">
        <f t="shared" si="1"/>
        <v>جيد جداً</v>
      </c>
      <c r="I32" s="72"/>
      <c r="J32" s="73"/>
    </row>
    <row r="33" spans="1:10" ht="30" customHeight="1" x14ac:dyDescent="0.3">
      <c r="A33" s="10"/>
      <c r="B33" s="57" t="s">
        <v>93</v>
      </c>
      <c r="C33" s="58"/>
      <c r="D33" s="58"/>
      <c r="E33" s="58"/>
      <c r="F33" s="58"/>
      <c r="G33" s="58"/>
      <c r="H33" s="58"/>
      <c r="I33" s="58"/>
      <c r="J33" s="59"/>
    </row>
    <row r="34" spans="1:10" ht="30" customHeight="1" x14ac:dyDescent="0.3">
      <c r="A34" s="10"/>
      <c r="B34" s="67" t="s">
        <v>94</v>
      </c>
      <c r="C34" s="68"/>
      <c r="D34" s="68"/>
      <c r="E34" s="8">
        <v>10</v>
      </c>
      <c r="F34" s="19">
        <v>8</v>
      </c>
      <c r="G34" s="31">
        <f t="shared" si="0"/>
        <v>0.8</v>
      </c>
      <c r="H34" s="32" t="str">
        <f t="shared" si="1"/>
        <v>جيد جداً</v>
      </c>
      <c r="I34" s="77"/>
      <c r="J34" s="78"/>
    </row>
    <row r="35" spans="1:10" ht="30" customHeight="1" x14ac:dyDescent="0.3">
      <c r="A35" s="10"/>
      <c r="B35" s="67" t="s">
        <v>95</v>
      </c>
      <c r="C35" s="68"/>
      <c r="D35" s="68"/>
      <c r="E35" s="8">
        <v>10</v>
      </c>
      <c r="F35" s="19">
        <v>8</v>
      </c>
      <c r="G35" s="31">
        <f t="shared" si="0"/>
        <v>0.8</v>
      </c>
      <c r="H35" s="32" t="str">
        <f t="shared" si="1"/>
        <v>جيد جداً</v>
      </c>
      <c r="I35" s="77"/>
      <c r="J35" s="78"/>
    </row>
    <row r="36" spans="1:10" ht="30" customHeight="1" x14ac:dyDescent="0.3">
      <c r="A36" s="10"/>
      <c r="B36" s="67" t="s">
        <v>96</v>
      </c>
      <c r="C36" s="68"/>
      <c r="D36" s="68"/>
      <c r="E36" s="8">
        <v>10</v>
      </c>
      <c r="F36" s="19">
        <v>8</v>
      </c>
      <c r="G36" s="31">
        <f t="shared" si="0"/>
        <v>0.8</v>
      </c>
      <c r="H36" s="32" t="str">
        <f t="shared" si="1"/>
        <v>جيد جداً</v>
      </c>
      <c r="I36" s="77"/>
      <c r="J36" s="78"/>
    </row>
    <row r="37" spans="1:10" ht="30" customHeight="1" thickBot="1" x14ac:dyDescent="0.35">
      <c r="A37" s="10"/>
      <c r="B37" s="51" t="s">
        <v>97</v>
      </c>
      <c r="C37" s="52"/>
      <c r="D37" s="52"/>
      <c r="E37" s="25">
        <v>10</v>
      </c>
      <c r="F37" s="21">
        <v>8</v>
      </c>
      <c r="G37" s="33">
        <f t="shared" si="0"/>
        <v>0.8</v>
      </c>
      <c r="H37" s="34" t="str">
        <f t="shared" si="1"/>
        <v>جيد جداً</v>
      </c>
      <c r="I37" s="72"/>
      <c r="J37" s="73"/>
    </row>
    <row r="38" spans="1:10" ht="30" customHeight="1" x14ac:dyDescent="0.3">
      <c r="A38" s="10"/>
      <c r="B38" s="57" t="s">
        <v>98</v>
      </c>
      <c r="C38" s="58"/>
      <c r="D38" s="58"/>
      <c r="E38" s="58"/>
      <c r="F38" s="58"/>
      <c r="G38" s="58"/>
      <c r="H38" s="58"/>
      <c r="I38" s="58"/>
      <c r="J38" s="59"/>
    </row>
    <row r="39" spans="1:10" ht="30" customHeight="1" x14ac:dyDescent="0.3">
      <c r="A39" s="10"/>
      <c r="B39" s="67" t="s">
        <v>99</v>
      </c>
      <c r="C39" s="68"/>
      <c r="D39" s="68"/>
      <c r="E39" s="8">
        <v>5</v>
      </c>
      <c r="F39" s="19">
        <v>3.75</v>
      </c>
      <c r="G39" s="31">
        <f t="shared" si="0"/>
        <v>0.75</v>
      </c>
      <c r="H39" s="32" t="str">
        <f t="shared" si="1"/>
        <v>جيد</v>
      </c>
      <c r="I39" s="77"/>
      <c r="J39" s="78"/>
    </row>
    <row r="40" spans="1:10" ht="50.1" customHeight="1" x14ac:dyDescent="0.3">
      <c r="A40" s="10"/>
      <c r="B40" s="67" t="s">
        <v>100</v>
      </c>
      <c r="C40" s="68"/>
      <c r="D40" s="68"/>
      <c r="E40" s="8">
        <v>5</v>
      </c>
      <c r="F40" s="19">
        <v>3.75</v>
      </c>
      <c r="G40" s="31">
        <f t="shared" si="0"/>
        <v>0.75</v>
      </c>
      <c r="H40" s="32" t="str">
        <f t="shared" si="1"/>
        <v>جيد</v>
      </c>
      <c r="I40" s="77"/>
      <c r="J40" s="78"/>
    </row>
    <row r="41" spans="1:10" ht="30" customHeight="1" x14ac:dyDescent="0.3">
      <c r="A41" s="10"/>
      <c r="B41" s="67" t="s">
        <v>101</v>
      </c>
      <c r="C41" s="68"/>
      <c r="D41" s="68"/>
      <c r="E41" s="8">
        <v>5</v>
      </c>
      <c r="F41" s="19">
        <v>3.75</v>
      </c>
      <c r="G41" s="31">
        <f t="shared" si="0"/>
        <v>0.75</v>
      </c>
      <c r="H41" s="32" t="str">
        <f t="shared" si="1"/>
        <v>جيد</v>
      </c>
      <c r="I41" s="77"/>
      <c r="J41" s="78"/>
    </row>
    <row r="42" spans="1:10" ht="30" customHeight="1" x14ac:dyDescent="0.3">
      <c r="A42" s="10"/>
      <c r="B42" s="67" t="s">
        <v>102</v>
      </c>
      <c r="C42" s="68"/>
      <c r="D42" s="68"/>
      <c r="E42" s="8">
        <v>5</v>
      </c>
      <c r="F42" s="19">
        <v>3.75</v>
      </c>
      <c r="G42" s="31">
        <f t="shared" si="0"/>
        <v>0.75</v>
      </c>
      <c r="H42" s="32" t="str">
        <f t="shared" si="1"/>
        <v>جيد</v>
      </c>
      <c r="I42" s="77"/>
      <c r="J42" s="78"/>
    </row>
    <row r="43" spans="1:10" ht="30" customHeight="1" x14ac:dyDescent="0.3">
      <c r="A43" s="10"/>
      <c r="B43" s="67" t="s">
        <v>103</v>
      </c>
      <c r="C43" s="68"/>
      <c r="D43" s="68"/>
      <c r="E43" s="8">
        <v>5</v>
      </c>
      <c r="F43" s="19">
        <v>3.75</v>
      </c>
      <c r="G43" s="31">
        <f t="shared" si="0"/>
        <v>0.75</v>
      </c>
      <c r="H43" s="32" t="str">
        <f t="shared" si="1"/>
        <v>جيد</v>
      </c>
      <c r="I43" s="77"/>
      <c r="J43" s="78"/>
    </row>
    <row r="44" spans="1:10" ht="30" customHeight="1" x14ac:dyDescent="0.3">
      <c r="A44" s="10"/>
      <c r="B44" s="67" t="s">
        <v>104</v>
      </c>
      <c r="C44" s="68"/>
      <c r="D44" s="68"/>
      <c r="E44" s="8">
        <v>5</v>
      </c>
      <c r="F44" s="19">
        <v>3.75</v>
      </c>
      <c r="G44" s="31">
        <f t="shared" si="0"/>
        <v>0.75</v>
      </c>
      <c r="H44" s="32" t="str">
        <f t="shared" si="1"/>
        <v>جيد</v>
      </c>
      <c r="I44" s="77"/>
      <c r="J44" s="78"/>
    </row>
    <row r="45" spans="1:10" ht="39.9" customHeight="1" x14ac:dyDescent="0.3">
      <c r="A45" s="10"/>
      <c r="B45" s="67" t="s">
        <v>105</v>
      </c>
      <c r="C45" s="68"/>
      <c r="D45" s="68"/>
      <c r="E45" s="8">
        <v>5</v>
      </c>
      <c r="F45" s="19">
        <v>4</v>
      </c>
      <c r="G45" s="31">
        <f t="shared" si="0"/>
        <v>0.8</v>
      </c>
      <c r="H45" s="32" t="str">
        <f t="shared" si="1"/>
        <v>جيد جداً</v>
      </c>
      <c r="I45" s="77"/>
      <c r="J45" s="78"/>
    </row>
    <row r="46" spans="1:10" ht="30" customHeight="1" x14ac:dyDescent="0.3">
      <c r="A46" s="10"/>
      <c r="B46" s="67" t="s">
        <v>106</v>
      </c>
      <c r="C46" s="68"/>
      <c r="D46" s="68"/>
      <c r="E46" s="8">
        <v>5</v>
      </c>
      <c r="F46" s="19">
        <v>3.75</v>
      </c>
      <c r="G46" s="31">
        <f t="shared" si="0"/>
        <v>0.75</v>
      </c>
      <c r="H46" s="32" t="str">
        <f t="shared" si="1"/>
        <v>جيد</v>
      </c>
      <c r="I46" s="77"/>
      <c r="J46" s="78"/>
    </row>
    <row r="47" spans="1:10" ht="30" customHeight="1" x14ac:dyDescent="0.3">
      <c r="A47" s="10"/>
      <c r="B47" s="67" t="s">
        <v>107</v>
      </c>
      <c r="C47" s="68"/>
      <c r="D47" s="68"/>
      <c r="E47" s="8">
        <v>5</v>
      </c>
      <c r="F47" s="19">
        <v>3.75</v>
      </c>
      <c r="G47" s="31">
        <f t="shared" si="0"/>
        <v>0.75</v>
      </c>
      <c r="H47" s="32" t="str">
        <f t="shared" si="1"/>
        <v>جيد</v>
      </c>
      <c r="I47" s="77"/>
      <c r="J47" s="78"/>
    </row>
    <row r="48" spans="1:10" ht="30" customHeight="1" x14ac:dyDescent="0.3">
      <c r="A48" s="10"/>
      <c r="B48" s="67" t="s">
        <v>108</v>
      </c>
      <c r="C48" s="68"/>
      <c r="D48" s="68"/>
      <c r="E48" s="8">
        <v>5</v>
      </c>
      <c r="F48" s="19">
        <v>3.75</v>
      </c>
      <c r="G48" s="31">
        <f t="shared" si="0"/>
        <v>0.75</v>
      </c>
      <c r="H48" s="32" t="str">
        <f t="shared" si="1"/>
        <v>جيد</v>
      </c>
      <c r="I48" s="77"/>
      <c r="J48" s="78"/>
    </row>
    <row r="49" spans="1:10" ht="30" customHeight="1" x14ac:dyDescent="0.3">
      <c r="A49" s="10"/>
      <c r="B49" s="60" t="s">
        <v>109</v>
      </c>
      <c r="C49" s="61"/>
      <c r="D49" s="62"/>
      <c r="E49" s="26"/>
      <c r="F49" s="19"/>
      <c r="G49" s="31"/>
      <c r="H49" s="32"/>
      <c r="I49" s="77"/>
      <c r="J49" s="78"/>
    </row>
    <row r="50" spans="1:10" ht="30" customHeight="1" x14ac:dyDescent="0.3">
      <c r="A50" s="10"/>
      <c r="B50" s="63" t="s">
        <v>110</v>
      </c>
      <c r="C50" s="64"/>
      <c r="D50" s="64"/>
      <c r="E50" s="27">
        <v>5</v>
      </c>
      <c r="F50" s="19">
        <v>3.75</v>
      </c>
      <c r="G50" s="31">
        <f t="shared" si="0"/>
        <v>0.75</v>
      </c>
      <c r="H50" s="32" t="str">
        <f t="shared" si="1"/>
        <v>جيد</v>
      </c>
      <c r="I50" s="77"/>
      <c r="J50" s="78"/>
    </row>
    <row r="51" spans="1:10" ht="30" customHeight="1" x14ac:dyDescent="0.3">
      <c r="A51" s="10"/>
      <c r="B51" s="63" t="s">
        <v>111</v>
      </c>
      <c r="C51" s="64"/>
      <c r="D51" s="64"/>
      <c r="E51" s="27">
        <v>5</v>
      </c>
      <c r="F51" s="19">
        <v>3.5</v>
      </c>
      <c r="G51" s="31">
        <f t="shared" si="0"/>
        <v>0.7</v>
      </c>
      <c r="H51" s="32" t="str">
        <f t="shared" si="1"/>
        <v>جيد</v>
      </c>
      <c r="I51" s="77"/>
      <c r="J51" s="78"/>
    </row>
    <row r="52" spans="1:10" ht="50.1" customHeight="1" x14ac:dyDescent="0.3">
      <c r="A52" s="10"/>
      <c r="B52" s="63" t="s">
        <v>112</v>
      </c>
      <c r="C52" s="64"/>
      <c r="D52" s="64"/>
      <c r="E52" s="27">
        <v>5</v>
      </c>
      <c r="F52" s="19">
        <v>3.5</v>
      </c>
      <c r="G52" s="31">
        <f t="shared" si="0"/>
        <v>0.7</v>
      </c>
      <c r="H52" s="32" t="str">
        <f t="shared" si="1"/>
        <v>جيد</v>
      </c>
      <c r="I52" s="77"/>
      <c r="J52" s="78"/>
    </row>
    <row r="53" spans="1:10" ht="30" customHeight="1" x14ac:dyDescent="0.3">
      <c r="A53" s="10"/>
      <c r="B53" s="63" t="s">
        <v>113</v>
      </c>
      <c r="C53" s="64"/>
      <c r="D53" s="64"/>
      <c r="E53" s="27">
        <v>5</v>
      </c>
      <c r="F53" s="19">
        <v>3.5</v>
      </c>
      <c r="G53" s="31">
        <f t="shared" si="0"/>
        <v>0.7</v>
      </c>
      <c r="H53" s="32" t="str">
        <f t="shared" si="1"/>
        <v>جيد</v>
      </c>
      <c r="I53" s="77"/>
      <c r="J53" s="78"/>
    </row>
    <row r="54" spans="1:10" ht="30" customHeight="1" x14ac:dyDescent="0.3">
      <c r="A54" s="10"/>
      <c r="B54" s="63" t="s">
        <v>114</v>
      </c>
      <c r="C54" s="64"/>
      <c r="D54" s="64"/>
      <c r="E54" s="27">
        <v>5</v>
      </c>
      <c r="F54" s="19">
        <v>3.5</v>
      </c>
      <c r="G54" s="31">
        <f t="shared" si="0"/>
        <v>0.7</v>
      </c>
      <c r="H54" s="32" t="str">
        <f t="shared" si="1"/>
        <v>جيد</v>
      </c>
      <c r="I54" s="77"/>
      <c r="J54" s="78"/>
    </row>
    <row r="55" spans="1:10" ht="30" customHeight="1" x14ac:dyDescent="0.3">
      <c r="A55" s="10"/>
      <c r="B55" s="63" t="s">
        <v>115</v>
      </c>
      <c r="C55" s="64"/>
      <c r="D55" s="64"/>
      <c r="E55" s="27">
        <v>5</v>
      </c>
      <c r="F55" s="19">
        <v>3.5</v>
      </c>
      <c r="G55" s="31">
        <f t="shared" si="0"/>
        <v>0.7</v>
      </c>
      <c r="H55" s="32" t="str">
        <f t="shared" si="1"/>
        <v>جيد</v>
      </c>
      <c r="I55" s="77"/>
      <c r="J55" s="78"/>
    </row>
    <row r="56" spans="1:10" ht="30" customHeight="1" x14ac:dyDescent="0.3">
      <c r="A56" s="10"/>
      <c r="B56" s="63" t="s">
        <v>116</v>
      </c>
      <c r="C56" s="64"/>
      <c r="D56" s="64"/>
      <c r="E56" s="27">
        <v>5</v>
      </c>
      <c r="F56" s="19">
        <v>3.5</v>
      </c>
      <c r="G56" s="31">
        <f t="shared" si="0"/>
        <v>0.7</v>
      </c>
      <c r="H56" s="32" t="str">
        <f t="shared" si="1"/>
        <v>جيد</v>
      </c>
      <c r="I56" s="77"/>
      <c r="J56" s="78"/>
    </row>
    <row r="57" spans="1:10" ht="30" customHeight="1" x14ac:dyDescent="0.3">
      <c r="A57" s="10"/>
      <c r="B57" s="63" t="s">
        <v>117</v>
      </c>
      <c r="C57" s="64"/>
      <c r="D57" s="64"/>
      <c r="E57" s="27">
        <v>5</v>
      </c>
      <c r="F57" s="19">
        <v>3.5</v>
      </c>
      <c r="G57" s="31">
        <f t="shared" si="0"/>
        <v>0.7</v>
      </c>
      <c r="H57" s="32" t="str">
        <f t="shared" si="1"/>
        <v>جيد</v>
      </c>
      <c r="I57" s="77"/>
      <c r="J57" s="78"/>
    </row>
    <row r="58" spans="1:10" ht="30" customHeight="1" x14ac:dyDescent="0.3">
      <c r="A58" s="10"/>
      <c r="B58" s="63" t="s">
        <v>118</v>
      </c>
      <c r="C58" s="64"/>
      <c r="D58" s="64"/>
      <c r="E58" s="27">
        <v>5</v>
      </c>
      <c r="F58" s="19">
        <v>3.5</v>
      </c>
      <c r="G58" s="31">
        <f t="shared" si="0"/>
        <v>0.7</v>
      </c>
      <c r="H58" s="32" t="str">
        <f t="shared" si="1"/>
        <v>جيد</v>
      </c>
      <c r="I58" s="77"/>
      <c r="J58" s="78"/>
    </row>
    <row r="59" spans="1:10" ht="30" customHeight="1" x14ac:dyDescent="0.3">
      <c r="A59" s="10"/>
      <c r="B59" s="63" t="s">
        <v>119</v>
      </c>
      <c r="C59" s="64"/>
      <c r="D59" s="64"/>
      <c r="E59" s="27">
        <v>5</v>
      </c>
      <c r="F59" s="19">
        <v>3.5</v>
      </c>
      <c r="G59" s="31">
        <f t="shared" si="0"/>
        <v>0.7</v>
      </c>
      <c r="H59" s="32" t="str">
        <f t="shared" si="1"/>
        <v>جيد</v>
      </c>
      <c r="I59" s="77"/>
      <c r="J59" s="78"/>
    </row>
    <row r="60" spans="1:10" ht="30" customHeight="1" x14ac:dyDescent="0.3">
      <c r="A60" s="10"/>
      <c r="B60" s="63" t="s">
        <v>120</v>
      </c>
      <c r="C60" s="64"/>
      <c r="D60" s="64"/>
      <c r="E60" s="27">
        <v>5</v>
      </c>
      <c r="F60" s="19">
        <v>3.5</v>
      </c>
      <c r="G60" s="31">
        <f t="shared" si="0"/>
        <v>0.7</v>
      </c>
      <c r="H60" s="32" t="str">
        <f t="shared" si="1"/>
        <v>جيد</v>
      </c>
      <c r="I60" s="77"/>
      <c r="J60" s="78"/>
    </row>
    <row r="61" spans="1:10" ht="30" customHeight="1" thickBot="1" x14ac:dyDescent="0.35">
      <c r="A61" s="10"/>
      <c r="B61" s="65" t="s">
        <v>121</v>
      </c>
      <c r="C61" s="66"/>
      <c r="D61" s="66"/>
      <c r="E61" s="28">
        <v>5</v>
      </c>
      <c r="F61" s="21">
        <v>3.5</v>
      </c>
      <c r="G61" s="33">
        <f t="shared" si="0"/>
        <v>0.7</v>
      </c>
      <c r="H61" s="34" t="str">
        <f t="shared" si="1"/>
        <v>جيد</v>
      </c>
      <c r="I61" s="72"/>
      <c r="J61" s="73"/>
    </row>
    <row r="62" spans="1:10" ht="30" customHeight="1" x14ac:dyDescent="0.3">
      <c r="A62" s="10"/>
      <c r="B62" s="57" t="s">
        <v>122</v>
      </c>
      <c r="C62" s="58"/>
      <c r="D62" s="58"/>
      <c r="E62" s="58"/>
      <c r="F62" s="58"/>
      <c r="G62" s="58"/>
      <c r="H62" s="58"/>
      <c r="I62" s="58"/>
      <c r="J62" s="59"/>
    </row>
    <row r="63" spans="1:10" ht="30" customHeight="1" x14ac:dyDescent="0.3">
      <c r="A63" s="10"/>
      <c r="B63" s="67" t="s">
        <v>123</v>
      </c>
      <c r="C63" s="68"/>
      <c r="D63" s="68"/>
      <c r="E63" s="8">
        <v>5</v>
      </c>
      <c r="F63" s="19">
        <v>4.25</v>
      </c>
      <c r="G63" s="31">
        <f t="shared" si="0"/>
        <v>0.85</v>
      </c>
      <c r="H63" s="32" t="str">
        <f t="shared" si="1"/>
        <v>جيد جداً</v>
      </c>
      <c r="I63" s="77"/>
      <c r="J63" s="78"/>
    </row>
    <row r="64" spans="1:10" ht="30" customHeight="1" x14ac:dyDescent="0.3">
      <c r="A64" s="10"/>
      <c r="B64" s="67" t="s">
        <v>124</v>
      </c>
      <c r="C64" s="68"/>
      <c r="D64" s="68"/>
      <c r="E64" s="8">
        <v>5</v>
      </c>
      <c r="F64" s="19">
        <v>4.25</v>
      </c>
      <c r="G64" s="31">
        <f t="shared" si="0"/>
        <v>0.85</v>
      </c>
      <c r="H64" s="32" t="str">
        <f t="shared" si="1"/>
        <v>جيد جداً</v>
      </c>
      <c r="I64" s="77"/>
      <c r="J64" s="78"/>
    </row>
    <row r="65" spans="1:10" ht="30" customHeight="1" x14ac:dyDescent="0.3">
      <c r="A65" s="10"/>
      <c r="B65" s="67" t="s">
        <v>125</v>
      </c>
      <c r="C65" s="68"/>
      <c r="D65" s="68"/>
      <c r="E65" s="8">
        <v>5</v>
      </c>
      <c r="F65" s="19">
        <v>4.25</v>
      </c>
      <c r="G65" s="31">
        <f t="shared" si="0"/>
        <v>0.85</v>
      </c>
      <c r="H65" s="32" t="str">
        <f t="shared" si="1"/>
        <v>جيد جداً</v>
      </c>
      <c r="I65" s="77"/>
      <c r="J65" s="78"/>
    </row>
    <row r="66" spans="1:10" ht="30" customHeight="1" x14ac:dyDescent="0.3">
      <c r="A66" s="10"/>
      <c r="B66" s="67" t="s">
        <v>126</v>
      </c>
      <c r="C66" s="68"/>
      <c r="D66" s="68"/>
      <c r="E66" s="8">
        <v>5</v>
      </c>
      <c r="F66" s="19">
        <v>4.25</v>
      </c>
      <c r="G66" s="31">
        <f t="shared" si="0"/>
        <v>0.85</v>
      </c>
      <c r="H66" s="32" t="str">
        <f t="shared" si="1"/>
        <v>جيد جداً</v>
      </c>
      <c r="I66" s="77"/>
      <c r="J66" s="78"/>
    </row>
    <row r="67" spans="1:10" ht="30" customHeight="1" x14ac:dyDescent="0.3">
      <c r="A67" s="10"/>
      <c r="B67" s="67" t="s">
        <v>127</v>
      </c>
      <c r="C67" s="68"/>
      <c r="D67" s="68"/>
      <c r="E67" s="8">
        <v>5</v>
      </c>
      <c r="F67" s="19">
        <v>4.25</v>
      </c>
      <c r="G67" s="31">
        <f t="shared" si="0"/>
        <v>0.85</v>
      </c>
      <c r="H67" s="32" t="str">
        <f t="shared" si="1"/>
        <v>جيد جداً</v>
      </c>
      <c r="I67" s="77"/>
      <c r="J67" s="78"/>
    </row>
    <row r="68" spans="1:10" ht="30" customHeight="1" thickBot="1" x14ac:dyDescent="0.35">
      <c r="A68" s="10"/>
      <c r="B68" s="51" t="s">
        <v>128</v>
      </c>
      <c r="C68" s="52"/>
      <c r="D68" s="52"/>
      <c r="E68" s="25">
        <v>5</v>
      </c>
      <c r="F68" s="21">
        <v>4.25</v>
      </c>
      <c r="G68" s="33">
        <f t="shared" si="0"/>
        <v>0.85</v>
      </c>
      <c r="H68" s="34" t="str">
        <f t="shared" si="1"/>
        <v>جيد جداً</v>
      </c>
      <c r="I68" s="72"/>
      <c r="J68" s="73"/>
    </row>
    <row r="69" spans="1:10" ht="30" customHeight="1" thickBot="1" x14ac:dyDescent="0.35">
      <c r="A69" s="10"/>
      <c r="B69" s="53" t="s">
        <v>129</v>
      </c>
      <c r="C69" s="54"/>
      <c r="D69" s="54"/>
      <c r="E69" s="9">
        <v>5</v>
      </c>
      <c r="F69" s="35">
        <v>4.25</v>
      </c>
      <c r="G69" s="36">
        <f t="shared" si="0"/>
        <v>0.85</v>
      </c>
      <c r="H69" s="20" t="str">
        <f t="shared" si="1"/>
        <v>جيد جداً</v>
      </c>
      <c r="I69" s="83"/>
      <c r="J69" s="84"/>
    </row>
    <row r="70" spans="1:10" ht="30" customHeight="1" thickBot="1" x14ac:dyDescent="0.35">
      <c r="A70" s="4"/>
      <c r="B70" s="79" t="s">
        <v>5</v>
      </c>
      <c r="C70" s="80"/>
      <c r="D70" s="80"/>
      <c r="E70" s="30">
        <f>SUM(E8:E69)</f>
        <v>300</v>
      </c>
      <c r="F70" s="30">
        <f>SUM(F8:F69)</f>
        <v>234.75</v>
      </c>
      <c r="G70" s="93"/>
      <c r="H70" s="94"/>
      <c r="I70" s="94"/>
      <c r="J70" s="95"/>
    </row>
    <row r="71" spans="1:10" ht="30" customHeight="1" thickBot="1" x14ac:dyDescent="0.35">
      <c r="A71" s="4"/>
      <c r="B71" s="81" t="s">
        <v>54</v>
      </c>
      <c r="C71" s="82"/>
      <c r="D71" s="82"/>
      <c r="E71" s="104">
        <f>F70/E70/100*100</f>
        <v>0.78250000000000008</v>
      </c>
      <c r="F71" s="104"/>
      <c r="G71" s="104"/>
      <c r="H71" s="104"/>
      <c r="I71" s="104"/>
      <c r="J71" s="105"/>
    </row>
    <row r="72" spans="1:10" ht="30" customHeight="1" thickBot="1" x14ac:dyDescent="0.35">
      <c r="A72" s="4"/>
      <c r="B72" s="81" t="s">
        <v>55</v>
      </c>
      <c r="C72" s="82"/>
      <c r="D72" s="82"/>
      <c r="E72" s="89" t="str">
        <f>_xlfn.IFS(E71&gt;=90%,"ممتاز",E71&gt;=80%,"جيد جداً",E71&gt;=70%,"جيد",E71&gt;=60%,"مقبول",E71&lt;60%,"راسب")</f>
        <v>جيد</v>
      </c>
      <c r="F72" s="89"/>
      <c r="G72" s="89"/>
      <c r="H72" s="89"/>
      <c r="I72" s="89"/>
      <c r="J72" s="90"/>
    </row>
    <row r="73" spans="1:10" ht="42" customHeight="1" x14ac:dyDescent="0.3">
      <c r="B73" s="85" t="s">
        <v>63</v>
      </c>
      <c r="C73" s="85"/>
      <c r="D73" s="85"/>
      <c r="E73" s="91" t="s">
        <v>52</v>
      </c>
      <c r="F73" s="91"/>
      <c r="G73" s="87" t="s">
        <v>59</v>
      </c>
      <c r="H73" s="87"/>
      <c r="I73" s="87"/>
      <c r="J73" s="87"/>
    </row>
    <row r="74" spans="1:10" ht="51" customHeight="1" x14ac:dyDescent="0.3">
      <c r="A74" s="5"/>
      <c r="B74" s="86"/>
      <c r="C74" s="86"/>
      <c r="D74" s="86"/>
      <c r="E74" s="92" t="s">
        <v>53</v>
      </c>
      <c r="F74" s="92"/>
      <c r="G74" s="88"/>
      <c r="H74" s="88"/>
      <c r="I74" s="88"/>
      <c r="J74" s="8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1">
    <mergeCell ref="G70:J70"/>
    <mergeCell ref="B1:J1"/>
    <mergeCell ref="F2:J2"/>
    <mergeCell ref="B5:D6"/>
    <mergeCell ref="C2:D2"/>
    <mergeCell ref="C3:D3"/>
    <mergeCell ref="F3:J3"/>
    <mergeCell ref="E71:J71"/>
    <mergeCell ref="B7:D7"/>
    <mergeCell ref="I39:J39"/>
    <mergeCell ref="I30:J30"/>
    <mergeCell ref="I31:J31"/>
    <mergeCell ref="E5:H5"/>
    <mergeCell ref="I37:J37"/>
    <mergeCell ref="I5:J6"/>
    <mergeCell ref="I7:J7"/>
    <mergeCell ref="I19:J19"/>
    <mergeCell ref="I20:J20"/>
    <mergeCell ref="I21:J21"/>
    <mergeCell ref="I22:J22"/>
    <mergeCell ref="I23:J23"/>
    <mergeCell ref="I25:J25"/>
    <mergeCell ref="I45:J45"/>
    <mergeCell ref="I63:J63"/>
    <mergeCell ref="B73:D74"/>
    <mergeCell ref="G73:J73"/>
    <mergeCell ref="G74:J74"/>
    <mergeCell ref="E72:J7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I47:J47"/>
    <mergeCell ref="E73:F73"/>
    <mergeCell ref="E74:F74"/>
    <mergeCell ref="I48:J48"/>
    <mergeCell ref="I64:J64"/>
    <mergeCell ref="I34:J34"/>
    <mergeCell ref="I35:J35"/>
    <mergeCell ref="I36:J36"/>
    <mergeCell ref="B70:D70"/>
    <mergeCell ref="B71:D71"/>
    <mergeCell ref="B72:D72"/>
    <mergeCell ref="I59:J59"/>
    <mergeCell ref="I60:J60"/>
    <mergeCell ref="I61:J61"/>
    <mergeCell ref="I65:J65"/>
    <mergeCell ref="I66:J66"/>
    <mergeCell ref="I67:J67"/>
    <mergeCell ref="I68:J68"/>
    <mergeCell ref="I69:J69"/>
    <mergeCell ref="B34:D34"/>
    <mergeCell ref="B35:D35"/>
    <mergeCell ref="B36:D36"/>
    <mergeCell ref="B37:D37"/>
    <mergeCell ref="B55:D55"/>
    <mergeCell ref="B56:D56"/>
    <mergeCell ref="B57:D57"/>
    <mergeCell ref="B53:D53"/>
    <mergeCell ref="B54:D54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B9:D9"/>
    <mergeCell ref="E9:E11"/>
    <mergeCell ref="B12:D12"/>
    <mergeCell ref="B13:D13"/>
    <mergeCell ref="B14:D14"/>
    <mergeCell ref="B15:D15"/>
    <mergeCell ref="B16:D16"/>
    <mergeCell ref="B17:D17"/>
    <mergeCell ref="I32:J32"/>
    <mergeCell ref="B18:D18"/>
    <mergeCell ref="B19:D19"/>
    <mergeCell ref="B20:D20"/>
    <mergeCell ref="B21:D21"/>
    <mergeCell ref="B22:D22"/>
    <mergeCell ref="B23:D23"/>
    <mergeCell ref="B25:D25"/>
    <mergeCell ref="B26:D26"/>
    <mergeCell ref="B27:D27"/>
    <mergeCell ref="B28:D28"/>
    <mergeCell ref="B29:D29"/>
    <mergeCell ref="B30:D30"/>
    <mergeCell ref="B31:D31"/>
    <mergeCell ref="B32:D32"/>
    <mergeCell ref="F9:F11"/>
    <mergeCell ref="B52:D52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F4:J4"/>
    <mergeCell ref="G9:G11"/>
    <mergeCell ref="H9:H11"/>
    <mergeCell ref="B68:D68"/>
    <mergeCell ref="B69:D69"/>
    <mergeCell ref="I9:J11"/>
    <mergeCell ref="B8:J8"/>
    <mergeCell ref="B24:J24"/>
    <mergeCell ref="B33:J33"/>
    <mergeCell ref="B38:J38"/>
    <mergeCell ref="B49:D49"/>
    <mergeCell ref="B62:J62"/>
    <mergeCell ref="B58:D58"/>
    <mergeCell ref="B59:D59"/>
    <mergeCell ref="B60:D60"/>
    <mergeCell ref="B61:D61"/>
    <mergeCell ref="B63:D63"/>
    <mergeCell ref="B64:D64"/>
    <mergeCell ref="B65:D65"/>
    <mergeCell ref="B66:D66"/>
    <mergeCell ref="B67:D67"/>
    <mergeCell ref="B48:D48"/>
    <mergeCell ref="B50:D50"/>
    <mergeCell ref="B51:D51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2">
    <cfRule type="expression" dxfId="21" priority="57">
      <formula>$E72="راسب"</formula>
    </cfRule>
  </conditionalFormatting>
  <conditionalFormatting sqref="E72:J72">
    <cfRule type="expression" dxfId="20" priority="60">
      <formula>$E72="جيد جداً"</formula>
    </cfRule>
    <cfRule type="expression" dxfId="19" priority="59">
      <formula>$E72="جيد"</formula>
    </cfRule>
    <cfRule type="expression" dxfId="18" priority="58">
      <formula>$E72="مقبول"</formula>
    </cfRule>
    <cfRule type="expression" dxfId="17" priority="61">
      <formula>$E72="ممتاز"</formula>
    </cfRule>
  </conditionalFormatting>
  <conditionalFormatting sqref="F9">
    <cfRule type="containsText" dxfId="16" priority="4" operator="containsText" text="أدخل العلامة">
      <formula>NOT(ISERROR(SEARCH("أدخل العلامة",F9)))</formula>
    </cfRule>
  </conditionalFormatting>
  <conditionalFormatting sqref="F12:F23 F25:F32 F34:F37 F39:F61 F63:F69">
    <cfRule type="containsText" dxfId="15" priority="14" operator="containsText" text="أدخل العلامة">
      <formula>NOT(ISERROR(SEARCH("أدخل العلامة",F12)))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73:J73">
    <cfRule type="containsText" dxfId="12" priority="15" operator="containsText" text="أدخل اسم المحكم">
      <formula>NOT(ISERROR(SEARCH("أدخل اسم المحكم",G73)))</formula>
    </cfRule>
  </conditionalFormatting>
  <conditionalFormatting sqref="H9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2:H23 H25:H32 H34:H37 H39:H61 H63:H69">
    <cfRule type="containsText" dxfId="5" priority="38" operator="containsText" text="أدخل العلامة">
      <formula>NOT(ISERROR(SEARCH("أدخل العلامة",H12)))</formula>
    </cfRule>
    <cfRule type="containsText" dxfId="4" priority="39" operator="containsText" text="ممتاز">
      <formula>NOT(ISERROR(SEARCH("ممتاز",H12)))</formula>
    </cfRule>
    <cfRule type="containsText" dxfId="3" priority="40" operator="containsText" text="جيد جداً">
      <formula>NOT(ISERROR(SEARCH("جيد جداً",H12)))</formula>
    </cfRule>
    <cfRule type="containsText" dxfId="2" priority="41" operator="containsText" text="جيد">
      <formula>NOT(ISERROR(SEARCH("جيد",H12)))</formula>
    </cfRule>
    <cfRule type="containsText" dxfId="1" priority="42" operator="containsText" text="مقبول">
      <formula>NOT(ISERROR(SEARCH("مقبول",H12)))</formula>
    </cfRule>
    <cfRule type="containsText" dxfId="0" priority="43" operator="containsText" text="راسب">
      <formula>NOT(ISERROR(SEARCH("راسب",H12)))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F27:F31 F39:F61 F63:F69 F25 F9 F12:F23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G73:J73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 xr:uid="{81AA991B-18C9-4522-884D-F8DBEE73D860}">
          <x14:formula1>
            <xm:f>'بيانات التقييم'!$A$111:$A$153</xm:f>
          </x14:formula1>
          <xm:sqref>F26 F32 F34 F35 F36 F37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6" workbookViewId="0">
      <selection activeCell="C2" sqref="C2:C28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43" t="s">
        <v>217</v>
      </c>
    </row>
    <row r="3" spans="1:3" ht="20.100000000000001" customHeight="1" thickBot="1" x14ac:dyDescent="0.35">
      <c r="A3" s="2" t="s">
        <v>26</v>
      </c>
      <c r="C3" s="43" t="s">
        <v>218</v>
      </c>
    </row>
    <row r="4" spans="1:3" ht="20.100000000000001" customHeight="1" thickBot="1" x14ac:dyDescent="0.35">
      <c r="A4" s="2" t="s">
        <v>36</v>
      </c>
      <c r="C4" s="43" t="s">
        <v>219</v>
      </c>
    </row>
    <row r="5" spans="1:3" ht="20.100000000000001" customHeight="1" thickBot="1" x14ac:dyDescent="0.35">
      <c r="A5" s="2" t="s">
        <v>37</v>
      </c>
      <c r="C5" s="43" t="s">
        <v>220</v>
      </c>
    </row>
    <row r="6" spans="1:3" ht="20.100000000000001" customHeight="1" thickBot="1" x14ac:dyDescent="0.35">
      <c r="A6" s="2" t="s">
        <v>38</v>
      </c>
      <c r="C6" s="43" t="s">
        <v>221</v>
      </c>
    </row>
    <row r="7" spans="1:3" ht="20.100000000000001" customHeight="1" thickBot="1" x14ac:dyDescent="0.35">
      <c r="A7" s="2" t="s">
        <v>39</v>
      </c>
      <c r="C7" s="43" t="s">
        <v>222</v>
      </c>
    </row>
    <row r="8" spans="1:3" ht="20.100000000000001" customHeight="1" thickBot="1" x14ac:dyDescent="0.35">
      <c r="A8" s="2" t="s">
        <v>40</v>
      </c>
      <c r="C8" s="43" t="s">
        <v>223</v>
      </c>
    </row>
    <row r="9" spans="1:3" ht="20.100000000000001" customHeight="1" thickBot="1" x14ac:dyDescent="0.35">
      <c r="A9" s="2" t="s">
        <v>41</v>
      </c>
      <c r="C9" s="43" t="s">
        <v>224</v>
      </c>
    </row>
    <row r="10" spans="1:3" ht="20.100000000000001" customHeight="1" thickBot="1" x14ac:dyDescent="0.35">
      <c r="A10" s="2" t="s">
        <v>42</v>
      </c>
      <c r="C10" s="43" t="s">
        <v>225</v>
      </c>
    </row>
    <row r="11" spans="1:3" ht="20.100000000000001" customHeight="1" thickBot="1" x14ac:dyDescent="0.35">
      <c r="A11" s="2" t="s">
        <v>43</v>
      </c>
      <c r="C11" s="43" t="s">
        <v>226</v>
      </c>
    </row>
    <row r="12" spans="1:3" ht="20.100000000000001" customHeight="1" thickBot="1" x14ac:dyDescent="0.35">
      <c r="A12" s="2" t="s">
        <v>44</v>
      </c>
      <c r="C12" s="43" t="s">
        <v>227</v>
      </c>
    </row>
    <row r="13" spans="1:3" ht="20.100000000000001" customHeight="1" thickBot="1" x14ac:dyDescent="0.35">
      <c r="A13" s="2" t="s">
        <v>45</v>
      </c>
      <c r="C13" s="43" t="s">
        <v>228</v>
      </c>
    </row>
    <row r="14" spans="1:3" ht="20.100000000000001" customHeight="1" thickBot="1" x14ac:dyDescent="0.35">
      <c r="A14" s="2" t="s">
        <v>46</v>
      </c>
      <c r="C14" s="43" t="s">
        <v>229</v>
      </c>
    </row>
    <row r="15" spans="1:3" ht="20.100000000000001" customHeight="1" thickBot="1" x14ac:dyDescent="0.35">
      <c r="A15" s="2" t="s">
        <v>47</v>
      </c>
      <c r="C15" s="43" t="s">
        <v>230</v>
      </c>
    </row>
    <row r="16" spans="1:3" ht="20.100000000000001" customHeight="1" thickBot="1" x14ac:dyDescent="0.35">
      <c r="A16" s="2" t="s">
        <v>10</v>
      </c>
      <c r="C16" s="43" t="s">
        <v>231</v>
      </c>
    </row>
    <row r="17" spans="1:3" ht="20.100000000000001" customHeight="1" thickBot="1" x14ac:dyDescent="0.35">
      <c r="A17" s="2" t="s">
        <v>27</v>
      </c>
      <c r="C17" s="43" t="s">
        <v>232</v>
      </c>
    </row>
    <row r="18" spans="1:3" ht="20.100000000000001" customHeight="1" thickBot="1" x14ac:dyDescent="0.35">
      <c r="A18" s="2" t="s">
        <v>48</v>
      </c>
      <c r="C18" s="43" t="s">
        <v>233</v>
      </c>
    </row>
    <row r="19" spans="1:3" ht="20.100000000000001" customHeight="1" thickBot="1" x14ac:dyDescent="0.35">
      <c r="A19" s="2" t="s">
        <v>49</v>
      </c>
      <c r="C19" s="43" t="s">
        <v>234</v>
      </c>
    </row>
    <row r="20" spans="1:3" ht="20.100000000000001" customHeight="1" thickBot="1" x14ac:dyDescent="0.35">
      <c r="A20" s="2" t="s">
        <v>50</v>
      </c>
      <c r="C20" s="43" t="s">
        <v>235</v>
      </c>
    </row>
    <row r="21" spans="1:3" ht="20.100000000000001" customHeight="1" thickBot="1" x14ac:dyDescent="0.35">
      <c r="A21" s="2" t="s">
        <v>51</v>
      </c>
      <c r="C21" s="43" t="s">
        <v>236</v>
      </c>
    </row>
    <row r="22" spans="1:3" ht="20.100000000000001" customHeight="1" thickBot="1" x14ac:dyDescent="0.35">
      <c r="A22" s="2" t="s">
        <v>11</v>
      </c>
      <c r="C22" s="43" t="s">
        <v>237</v>
      </c>
    </row>
    <row r="23" spans="1:3" ht="20.100000000000001" customHeight="1" thickBot="1" x14ac:dyDescent="0.35">
      <c r="A23" s="2" t="s">
        <v>12</v>
      </c>
      <c r="C23" s="43" t="s">
        <v>238</v>
      </c>
    </row>
    <row r="24" spans="1:3" ht="20.100000000000001" customHeight="1" thickBot="1" x14ac:dyDescent="0.35">
      <c r="A24" s="2" t="s">
        <v>15</v>
      </c>
      <c r="C24" s="43" t="s">
        <v>239</v>
      </c>
    </row>
    <row r="25" spans="1:3" ht="20.100000000000001" customHeight="1" thickBot="1" x14ac:dyDescent="0.35">
      <c r="A25" s="2" t="s">
        <v>28</v>
      </c>
      <c r="C25" s="43" t="s">
        <v>240</v>
      </c>
    </row>
    <row r="26" spans="1:3" ht="20.100000000000001" customHeight="1" thickBot="1" x14ac:dyDescent="0.35">
      <c r="A26" s="2" t="s">
        <v>29</v>
      </c>
      <c r="C26" s="43" t="s">
        <v>241</v>
      </c>
    </row>
    <row r="27" spans="1:3" ht="20.100000000000001" customHeight="1" thickBot="1" x14ac:dyDescent="0.35">
      <c r="A27" s="2" t="s">
        <v>13</v>
      </c>
      <c r="C27" s="43" t="s">
        <v>242</v>
      </c>
    </row>
    <row r="28" spans="1:3" ht="20.100000000000001" customHeight="1" thickBot="1" x14ac:dyDescent="0.35">
      <c r="A28" s="2" t="s">
        <v>30</v>
      </c>
      <c r="C28" s="43" t="s">
        <v>243</v>
      </c>
    </row>
    <row r="29" spans="1:3" ht="20.100000000000001" customHeight="1" thickBot="1" x14ac:dyDescent="0.35">
      <c r="A29" s="2" t="s">
        <v>31</v>
      </c>
      <c r="C29" s="2" t="s">
        <v>61</v>
      </c>
    </row>
    <row r="30" spans="1:3" ht="20.100000000000001" customHeight="1" thickBot="1" x14ac:dyDescent="0.35">
      <c r="A30" s="2" t="s">
        <v>32</v>
      </c>
      <c r="C30" s="2" t="s">
        <v>61</v>
      </c>
    </row>
    <row r="31" spans="1:3" ht="20.100000000000001" customHeight="1" thickBot="1" x14ac:dyDescent="0.35">
      <c r="A31" s="2" t="s">
        <v>33</v>
      </c>
      <c r="C31" s="2" t="s">
        <v>61</v>
      </c>
    </row>
    <row r="32" spans="1:3" ht="20.100000000000001" customHeight="1" thickBot="1" x14ac:dyDescent="0.35">
      <c r="A32" s="2" t="s">
        <v>16</v>
      </c>
      <c r="C32" s="2" t="s">
        <v>61</v>
      </c>
    </row>
    <row r="33" spans="1:9" ht="20.100000000000001" customHeight="1" thickBot="1" x14ac:dyDescent="0.35">
      <c r="A33" s="2" t="s">
        <v>14</v>
      </c>
      <c r="C33" s="2" t="s">
        <v>61</v>
      </c>
    </row>
    <row r="34" spans="1:9" ht="20.100000000000001" customHeight="1" thickBot="1" x14ac:dyDescent="0.35">
      <c r="A34" s="2" t="s">
        <v>34</v>
      </c>
      <c r="C34" s="2" t="s">
        <v>61</v>
      </c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62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37" t="s">
        <v>131</v>
      </c>
    </row>
    <row r="200" spans="1:1" ht="20.100000000000001" customHeight="1" x14ac:dyDescent="0.3">
      <c r="A200" s="37" t="s">
        <v>132</v>
      </c>
    </row>
    <row r="201" spans="1:1" ht="20.100000000000001" customHeight="1" x14ac:dyDescent="0.3">
      <c r="A201" s="37" t="s">
        <v>133</v>
      </c>
    </row>
    <row r="202" spans="1:1" ht="20.100000000000001" customHeight="1" x14ac:dyDescent="0.3">
      <c r="A202" s="37" t="s">
        <v>134</v>
      </c>
    </row>
    <row r="203" spans="1:1" ht="20.100000000000001" customHeight="1" x14ac:dyDescent="0.3">
      <c r="A203" s="37" t="s">
        <v>135</v>
      </c>
    </row>
    <row r="204" spans="1:1" ht="20.100000000000001" customHeight="1" x14ac:dyDescent="0.3">
      <c r="A204" s="37" t="s">
        <v>136</v>
      </c>
    </row>
    <row r="205" spans="1:1" ht="20.100000000000001" customHeight="1" x14ac:dyDescent="0.3">
      <c r="A205" s="37" t="s">
        <v>137</v>
      </c>
    </row>
    <row r="206" spans="1:1" ht="20.100000000000001" customHeight="1" x14ac:dyDescent="0.3">
      <c r="A206" s="37" t="s">
        <v>138</v>
      </c>
    </row>
    <row r="207" spans="1:1" ht="20.100000000000001" customHeight="1" x14ac:dyDescent="0.3">
      <c r="A207" s="37" t="s">
        <v>139</v>
      </c>
    </row>
    <row r="208" spans="1:1" ht="20.100000000000001" customHeight="1" x14ac:dyDescent="0.3">
      <c r="A208" s="38" t="s">
        <v>140</v>
      </c>
    </row>
    <row r="209" spans="1:1" ht="20.100000000000001" customHeight="1" x14ac:dyDescent="0.3">
      <c r="A209" s="38" t="s">
        <v>141</v>
      </c>
    </row>
    <row r="210" spans="1:1" ht="20.100000000000001" customHeight="1" x14ac:dyDescent="0.3">
      <c r="A210" s="37" t="s">
        <v>142</v>
      </c>
    </row>
    <row r="211" spans="1:1" ht="20.100000000000001" customHeight="1" x14ac:dyDescent="0.3">
      <c r="A211" s="37" t="s">
        <v>143</v>
      </c>
    </row>
    <row r="212" spans="1:1" ht="20.100000000000001" customHeight="1" x14ac:dyDescent="0.3">
      <c r="A212" s="37" t="s">
        <v>144</v>
      </c>
    </row>
    <row r="213" spans="1:1" ht="20.100000000000001" customHeight="1" x14ac:dyDescent="0.3">
      <c r="A213" s="37" t="s">
        <v>145</v>
      </c>
    </row>
    <row r="214" spans="1:1" ht="20.100000000000001" customHeight="1" x14ac:dyDescent="0.3">
      <c r="A214" s="37" t="s">
        <v>146</v>
      </c>
    </row>
    <row r="215" spans="1:1" ht="20.100000000000001" customHeight="1" x14ac:dyDescent="0.3">
      <c r="A215" s="37" t="s">
        <v>147</v>
      </c>
    </row>
    <row r="216" spans="1:1" ht="20.100000000000001" customHeight="1" x14ac:dyDescent="0.3">
      <c r="A216" s="37" t="s">
        <v>148</v>
      </c>
    </row>
    <row r="217" spans="1:1" ht="20.100000000000001" customHeight="1" x14ac:dyDescent="0.3">
      <c r="A217" s="37" t="s">
        <v>149</v>
      </c>
    </row>
    <row r="218" spans="1:1" ht="20.100000000000001" customHeight="1" x14ac:dyDescent="0.3">
      <c r="A218" s="37" t="s">
        <v>150</v>
      </c>
    </row>
    <row r="219" spans="1:1" ht="20.100000000000001" customHeight="1" x14ac:dyDescent="0.3">
      <c r="A219" s="37" t="s">
        <v>151</v>
      </c>
    </row>
    <row r="220" spans="1:1" ht="20.100000000000001" customHeight="1" x14ac:dyDescent="0.3">
      <c r="A220" s="37" t="s">
        <v>152</v>
      </c>
    </row>
    <row r="221" spans="1:1" ht="20.100000000000001" customHeight="1" x14ac:dyDescent="0.3">
      <c r="A221" s="37" t="s">
        <v>153</v>
      </c>
    </row>
    <row r="222" spans="1:1" ht="20.100000000000001" customHeight="1" x14ac:dyDescent="0.3">
      <c r="A222" s="37" t="s">
        <v>154</v>
      </c>
    </row>
    <row r="223" spans="1:1" ht="20.100000000000001" customHeight="1" x14ac:dyDescent="0.3">
      <c r="A223" s="37" t="s">
        <v>155</v>
      </c>
    </row>
    <row r="224" spans="1:1" ht="20.100000000000001" customHeight="1" x14ac:dyDescent="0.3">
      <c r="A224" s="37" t="s">
        <v>156</v>
      </c>
    </row>
    <row r="225" spans="1:1" ht="20.100000000000001" customHeight="1" x14ac:dyDescent="0.3">
      <c r="A225" s="37" t="s">
        <v>157</v>
      </c>
    </row>
    <row r="226" spans="1:1" ht="20.100000000000001" customHeight="1" x14ac:dyDescent="0.3">
      <c r="A226" s="37" t="s">
        <v>158</v>
      </c>
    </row>
    <row r="227" spans="1:1" ht="20.100000000000001" customHeight="1" x14ac:dyDescent="0.3">
      <c r="A227" s="37" t="s">
        <v>159</v>
      </c>
    </row>
    <row r="228" spans="1:1" ht="20.100000000000001" customHeight="1" x14ac:dyDescent="0.3">
      <c r="A228" s="37" t="s">
        <v>160</v>
      </c>
    </row>
    <row r="229" spans="1:1" ht="20.100000000000001" customHeight="1" x14ac:dyDescent="0.3">
      <c r="A229" s="37" t="s">
        <v>161</v>
      </c>
    </row>
    <row r="230" spans="1:1" ht="20.100000000000001" customHeight="1" x14ac:dyDescent="0.3">
      <c r="A230" s="37" t="s">
        <v>162</v>
      </c>
    </row>
    <row r="231" spans="1:1" ht="20.100000000000001" customHeight="1" x14ac:dyDescent="0.3">
      <c r="A231" s="37" t="s">
        <v>163</v>
      </c>
    </row>
    <row r="232" spans="1:1" ht="20.100000000000001" customHeight="1" x14ac:dyDescent="0.3">
      <c r="A232" s="37" t="s">
        <v>164</v>
      </c>
    </row>
    <row r="233" spans="1:1" ht="20.100000000000001" customHeight="1" x14ac:dyDescent="0.3">
      <c r="A233" s="37" t="s">
        <v>165</v>
      </c>
    </row>
    <row r="234" spans="1:1" ht="20.100000000000001" customHeight="1" x14ac:dyDescent="0.3">
      <c r="A234" s="37" t="s">
        <v>166</v>
      </c>
    </row>
    <row r="235" spans="1:1" ht="20.100000000000001" customHeight="1" x14ac:dyDescent="0.3">
      <c r="A235" s="39" t="s">
        <v>167</v>
      </c>
    </row>
    <row r="236" spans="1:1" ht="20.100000000000001" customHeight="1" x14ac:dyDescent="0.3">
      <c r="A236" s="37" t="s">
        <v>168</v>
      </c>
    </row>
    <row r="237" spans="1:1" ht="20.100000000000001" customHeight="1" x14ac:dyDescent="0.3">
      <c r="A237" s="37" t="s">
        <v>169</v>
      </c>
    </row>
    <row r="238" spans="1:1" ht="20.100000000000001" customHeight="1" x14ac:dyDescent="0.3">
      <c r="A238" s="37" t="s">
        <v>170</v>
      </c>
    </row>
    <row r="239" spans="1:1" ht="20.100000000000001" customHeight="1" x14ac:dyDescent="0.3">
      <c r="A239" s="37" t="s">
        <v>171</v>
      </c>
    </row>
    <row r="240" spans="1:1" ht="20.100000000000001" customHeight="1" x14ac:dyDescent="0.3">
      <c r="A240" s="37" t="s">
        <v>172</v>
      </c>
    </row>
    <row r="241" spans="1:1" ht="20.100000000000001" customHeight="1" x14ac:dyDescent="0.3">
      <c r="A241" s="37" t="s">
        <v>173</v>
      </c>
    </row>
    <row r="242" spans="1:1" ht="20.100000000000001" customHeight="1" x14ac:dyDescent="0.3">
      <c r="A242" s="37" t="s">
        <v>174</v>
      </c>
    </row>
    <row r="243" spans="1:1" ht="20.100000000000001" customHeight="1" x14ac:dyDescent="0.3">
      <c r="A243" s="37" t="s">
        <v>175</v>
      </c>
    </row>
    <row r="244" spans="1:1" ht="20.100000000000001" customHeight="1" x14ac:dyDescent="0.3">
      <c r="A244" s="37" t="s">
        <v>176</v>
      </c>
    </row>
    <row r="245" spans="1:1" ht="20.100000000000001" customHeight="1" x14ac:dyDescent="0.3">
      <c r="A245" s="37" t="s">
        <v>177</v>
      </c>
    </row>
    <row r="246" spans="1:1" ht="20.100000000000001" customHeight="1" x14ac:dyDescent="0.3">
      <c r="A246" s="37" t="s">
        <v>178</v>
      </c>
    </row>
    <row r="247" spans="1:1" ht="20.100000000000001" customHeight="1" x14ac:dyDescent="0.3">
      <c r="A247" s="37" t="s">
        <v>169</v>
      </c>
    </row>
    <row r="248" spans="1:1" ht="20.100000000000001" customHeight="1" x14ac:dyDescent="0.3">
      <c r="A248" s="37" t="s">
        <v>179</v>
      </c>
    </row>
    <row r="249" spans="1:1" ht="20.100000000000001" customHeight="1" x14ac:dyDescent="0.3">
      <c r="A249" s="37" t="s">
        <v>180</v>
      </c>
    </row>
    <row r="250" spans="1:1" ht="20.100000000000001" customHeight="1" x14ac:dyDescent="0.3">
      <c r="A250" s="39" t="s">
        <v>181</v>
      </c>
    </row>
    <row r="251" spans="1:1" ht="20.100000000000001" customHeight="1" x14ac:dyDescent="0.3">
      <c r="A251" s="40" t="s">
        <v>182</v>
      </c>
    </row>
    <row r="252" spans="1:1" ht="20.100000000000001" customHeight="1" x14ac:dyDescent="0.3">
      <c r="A252" s="37" t="s">
        <v>183</v>
      </c>
    </row>
    <row r="253" spans="1:1" ht="20.100000000000001" customHeight="1" x14ac:dyDescent="0.3">
      <c r="A253" s="37" t="s">
        <v>184</v>
      </c>
    </row>
    <row r="254" spans="1:1" ht="20.100000000000001" customHeight="1" x14ac:dyDescent="0.3">
      <c r="A254" s="41" t="s">
        <v>185</v>
      </c>
    </row>
    <row r="255" spans="1:1" ht="20.100000000000001" customHeight="1" x14ac:dyDescent="0.3">
      <c r="A255" s="41" t="s">
        <v>186</v>
      </c>
    </row>
    <row r="256" spans="1:1" ht="20.100000000000001" customHeight="1" x14ac:dyDescent="0.3">
      <c r="A256" s="42" t="s">
        <v>187</v>
      </c>
    </row>
    <row r="257" spans="1:1" ht="20.100000000000001" customHeight="1" x14ac:dyDescent="0.3">
      <c r="A257" s="37" t="s">
        <v>188</v>
      </c>
    </row>
    <row r="258" spans="1:1" ht="20.100000000000001" customHeight="1" x14ac:dyDescent="0.3">
      <c r="A258" s="42" t="s">
        <v>189</v>
      </c>
    </row>
    <row r="259" spans="1:1" ht="20.100000000000001" customHeight="1" x14ac:dyDescent="0.3">
      <c r="A259" s="37" t="s">
        <v>190</v>
      </c>
    </row>
    <row r="260" spans="1:1" ht="20.100000000000001" customHeight="1" x14ac:dyDescent="0.3">
      <c r="A260" s="42" t="s">
        <v>191</v>
      </c>
    </row>
    <row r="261" spans="1:1" ht="20.100000000000001" customHeight="1" x14ac:dyDescent="0.3">
      <c r="A261" s="37" t="s">
        <v>192</v>
      </c>
    </row>
    <row r="262" spans="1:1" ht="20.100000000000001" customHeight="1" x14ac:dyDescent="0.3">
      <c r="A262" s="37" t="s">
        <v>193</v>
      </c>
    </row>
    <row r="263" spans="1:1" ht="20.100000000000001" customHeight="1" x14ac:dyDescent="0.3">
      <c r="A263" s="42" t="s">
        <v>194</v>
      </c>
    </row>
    <row r="264" spans="1:1" ht="20.100000000000001" customHeight="1" x14ac:dyDescent="0.3">
      <c r="A264" s="42" t="s">
        <v>195</v>
      </c>
    </row>
    <row r="265" spans="1:1" ht="20.100000000000001" customHeight="1" x14ac:dyDescent="0.3">
      <c r="A265" s="42" t="s">
        <v>196</v>
      </c>
    </row>
    <row r="266" spans="1:1" ht="20.100000000000001" customHeight="1" x14ac:dyDescent="0.3">
      <c r="A266" s="37" t="s">
        <v>197</v>
      </c>
    </row>
    <row r="267" spans="1:1" ht="20.100000000000001" customHeight="1" x14ac:dyDescent="0.3">
      <c r="A267" s="37" t="s">
        <v>198</v>
      </c>
    </row>
    <row r="268" spans="1:1" ht="20.100000000000001" customHeight="1" x14ac:dyDescent="0.3">
      <c r="A268" s="37" t="s">
        <v>199</v>
      </c>
    </row>
    <row r="269" spans="1:1" ht="20.100000000000001" customHeight="1" x14ac:dyDescent="0.3">
      <c r="A269" s="37" t="s">
        <v>200</v>
      </c>
    </row>
    <row r="270" spans="1:1" ht="20.100000000000001" customHeight="1" x14ac:dyDescent="0.3">
      <c r="A270" s="42" t="s">
        <v>201</v>
      </c>
    </row>
    <row r="271" spans="1:1" ht="20.100000000000001" customHeight="1" x14ac:dyDescent="0.3">
      <c r="A271" s="42" t="s">
        <v>202</v>
      </c>
    </row>
    <row r="272" spans="1:1" ht="20.100000000000001" customHeight="1" x14ac:dyDescent="0.3">
      <c r="A272" s="37" t="s">
        <v>203</v>
      </c>
    </row>
    <row r="273" spans="1:1" ht="20.100000000000001" customHeight="1" x14ac:dyDescent="0.3">
      <c r="A273" s="42" t="s">
        <v>204</v>
      </c>
    </row>
    <row r="274" spans="1:1" ht="20.100000000000001" customHeight="1" x14ac:dyDescent="0.3">
      <c r="A274" s="42" t="s">
        <v>205</v>
      </c>
    </row>
    <row r="275" spans="1:1" ht="20.100000000000001" customHeight="1" x14ac:dyDescent="0.3">
      <c r="A275" s="37" t="s">
        <v>206</v>
      </c>
    </row>
    <row r="276" spans="1:1" ht="20.100000000000001" customHeight="1" x14ac:dyDescent="0.3">
      <c r="A276" s="37" t="s">
        <v>207</v>
      </c>
    </row>
    <row r="277" spans="1:1" ht="20.100000000000001" customHeight="1" x14ac:dyDescent="0.3">
      <c r="A277" s="42" t="s">
        <v>208</v>
      </c>
    </row>
    <row r="278" spans="1:1" ht="20.100000000000001" customHeight="1" x14ac:dyDescent="0.3">
      <c r="A278" s="37" t="s">
        <v>209</v>
      </c>
    </row>
    <row r="279" spans="1:1" ht="20.100000000000001" customHeight="1" x14ac:dyDescent="0.3">
      <c r="A279" s="37" t="s">
        <v>210</v>
      </c>
    </row>
    <row r="280" spans="1:1" ht="20.100000000000001" customHeight="1" x14ac:dyDescent="0.3">
      <c r="A280" s="37" t="s">
        <v>211</v>
      </c>
    </row>
    <row r="281" spans="1:1" ht="20.100000000000001" customHeight="1" x14ac:dyDescent="0.3">
      <c r="A281" s="37" t="s">
        <v>212</v>
      </c>
    </row>
    <row r="282" spans="1:1" ht="20.100000000000001" customHeight="1" x14ac:dyDescent="0.3">
      <c r="A282" s="42" t="s">
        <v>213</v>
      </c>
    </row>
    <row r="283" spans="1:1" ht="20.100000000000001" customHeight="1" x14ac:dyDescent="0.3">
      <c r="A283" s="42" t="s">
        <v>214</v>
      </c>
    </row>
    <row r="284" spans="1:1" ht="20.100000000000001" customHeight="1" x14ac:dyDescent="0.3">
      <c r="A284" s="42" t="s">
        <v>215</v>
      </c>
    </row>
    <row r="285" spans="1:1" ht="20.100000000000001" customHeight="1" thickBot="1" x14ac:dyDescent="0.35">
      <c r="A285" s="37" t="s">
        <v>216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2025-10-21T21:24:34Z</dcterms:modified>
</cp:coreProperties>
</file>