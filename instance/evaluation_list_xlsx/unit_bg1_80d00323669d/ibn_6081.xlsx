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-105" yWindow="-105" windowWidth="23250" windowHeight="12570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التقييم'!$A$1:$J$25</definedName>
    <definedName name="_xlnm.Print_Titles" localSheetId="0">'قائمة التقييم'!$7:$7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2" l="1"/>
  <c r="H9" i="2" s="1"/>
  <c r="G10" i="2" l="1"/>
  <c r="H10" i="2" s="1"/>
  <c r="G11" i="2"/>
  <c r="H11" i="2" s="1"/>
  <c r="G12" i="2"/>
  <c r="H12" i="2" s="1"/>
  <c r="G13" i="2"/>
  <c r="H13" i="2" s="1"/>
  <c r="G14" i="2"/>
  <c r="H14" i="2" s="1"/>
  <c r="G16" i="2"/>
  <c r="H16" i="2" s="1"/>
  <c r="G17" i="2"/>
  <c r="H17" i="2" s="1"/>
  <c r="G18" i="2"/>
  <c r="H18" i="2" s="1"/>
  <c r="G19" i="2"/>
  <c r="H19" i="2" s="1"/>
  <c r="G20" i="2"/>
  <c r="H20" i="2" s="1"/>
  <c r="F21" i="2" l="1"/>
  <c r="E21" i="2" l="1"/>
  <c r="E22" i="2" l="1"/>
  <c r="E23" i="2" s="1"/>
</calcChain>
</file>

<file path=xl/sharedStrings.xml><?xml version="1.0" encoding="utf-8"?>
<sst xmlns="http://schemas.openxmlformats.org/spreadsheetml/2006/main" count="53" uniqueCount="42">
  <si>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</si>
  <si>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</si>
  <si>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</si>
  <si>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</si>
  <si>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</si>
  <si>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</si>
  <si>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</si>
  <si>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</si>
  <si>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</si>
  <si>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</si>
  <si>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</si>
  <si>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</si>
  <si>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</si>
  <si>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</si>
  <si>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</si>
  <si>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</si>
  <si>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</si>
  <si>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</si>
  <si>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</si>
  <si>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</si>
  <si>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</si>
  <si>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</si>
  <si>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</si>
  <si>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</si>
  <si>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</si>
  <si>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</si>
  <si>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</si>
  <si>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يعتبر هذا النموذج (سري للغاية) بعد إدخال علامات التقييم.
2. نموذج التقييم قابل للتطوير والتعديل.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</si>
  <si>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b/>
        <u/>
        <sz val="12"/>
        <color rgb="FF000000"/>
        <rFont val="Arial"/>
        <family val="2"/>
      </rPr>
      <t>خط الادامة الأول (المستوى التعبوي).</t>
    </r>
  </si>
  <si>
    <t>أ. تأسيس خط الإسناد الفني/1 (اسناد الوحدة) من قبل فصائل/أطقم الصيانة.</t>
  </si>
  <si>
    <t>ب. تأسيس خط الاسناد الطبي/1 (الاستجابة التعبوية الأولى) المستجيب الأول (المسعف المقاتل).</t>
  </si>
  <si>
    <t>جـ. أشتملت نقليات الخط الأول على (نقليات أ - نقليات أ 1 - نقليات أ 2 - نقليات ب).</t>
  </si>
  <si>
    <t>د. وفر خط الإدامة الأول الإسناد الفوري المطلوب لإدامة الفاعلية القتالية لفترات محدودة.</t>
  </si>
  <si>
    <t>هـ. تضمن خط الإدامة الأول جميع مواد الإمداد التي تُحفظ للإسناد الفوري في الوحدة.</t>
  </si>
  <si>
    <t>و. تحرك نقليات وحدات المناورة إلى نقاط التزويد بالخط الأول للحصول على الإمدادات بأسلوب السحب.</t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</si>
  <si>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b/>
        <u/>
        <sz val="12"/>
        <color rgb="FF000000"/>
        <rFont val="Arial"/>
        <family val="2"/>
      </rPr>
      <t>خط الادامة الثاني (إسناد مجموعة اللواء).</t>
    </r>
  </si>
  <si>
    <t>أ. تعويض المستهلك من خط الادامة الأول.</t>
  </si>
  <si>
    <t>ب. تأسيس خط الإسناد الفني/2 (سرية الصيانة).</t>
  </si>
  <si>
    <t>جـ. تأسيس خط الاسناد الطبي/2 (الرعاية الطبية الإنعاشية الامامية) السرية الطبية.</t>
  </si>
  <si>
    <t>د. تأسيس نقليات الخط الثاني في مجموعة اللواء وهي سرية التزويد والنقل.</t>
  </si>
  <si>
    <t>هـ. دفع الإمدادات من قبل كتيبة الإسناد إلى نقاط تزويد وحدات المناورة بواسطة سرية التزويد والنقل وبأسلوب الدفع.</t>
  </si>
  <si>
    <t>تقييم تأسيس خطوط الإدامة - العمليات التعرضية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</si>
</sst>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C0000]d\ mmmm\ yyyy;@"/>
  </numFmts>
  <fonts count="12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1"/>
      <color theme="1"/>
      <name val="Calibri"/>
      <family val="2"/>
    </font>
    <font>
      <sz val="12"/>
      <color rgb="FF000000"/>
      <name val="Arial"/>
      <family val="2"/>
    </font>
    <font>
      <sz val="7"/>
      <color rgb="FF000000"/>
      <name val="Times New Roman"/>
      <family val="1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Alignment="1" applyProtection="1">
      <alignment vertical="center" wrapText="1" readingOrder="2"/>
      <protection locked="0"/>
    </xf>
    <xf numFmtId="0" fontId="5" fillId="0" borderId="0" xfId="0" applyFont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2" xfId="0" applyFont="1" applyFill="1" applyBorder="1" applyAlignment="1" applyProtection="1">
      <alignment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5" fillId="3" borderId="14" xfId="0" applyFont="1" applyFill="1" applyBorder="1" applyAlignment="1" applyProtection="1">
      <alignment horizontal="center" vertical="center" wrapText="1" readingOrder="2"/>
      <protection locked="0"/>
    </xf>
    <xf numFmtId="0" fontId="2" fillId="0" borderId="17" xfId="0" applyFont="1" applyBorder="1" applyAlignment="1">
      <alignment horizontal="center" vertical="center" wrapText="1" readingOrder="2"/>
    </xf>
    <xf numFmtId="9" fontId="3" fillId="0" borderId="2" xfId="0" applyNumberFormat="1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center" vertical="center" wrapText="1" readingOrder="2"/>
    </xf>
    <xf numFmtId="0" fontId="8" fillId="0" borderId="3" xfId="0" applyFont="1" applyBorder="1" applyAlignment="1">
      <alignment vertical="center" wrapText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11" xfId="0" applyFont="1" applyBorder="1" applyAlignment="1">
      <alignment horizontal="center" vertical="center" wrapText="1" readingOrder="2"/>
    </xf>
    <xf numFmtId="9" fontId="3" fillId="0" borderId="11" xfId="0" applyNumberFormat="1" applyFont="1" applyBorder="1" applyAlignment="1">
      <alignment horizontal="center" vertical="center" wrapText="1" readingOrder="2"/>
    </xf>
    <xf numFmtId="0" fontId="2" fillId="0" borderId="11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 readingOrder="2"/>
    </xf>
    <xf numFmtId="0" fontId="5" fillId="0" borderId="1" xfId="0" applyFont="1" applyBorder="1" applyAlignment="1" applyProtection="1">
      <alignment horizontal="left" vertical="center" wrapText="1" readingOrder="2"/>
      <protection locked="0"/>
    </xf>
    <xf numFmtId="0" fontId="5" fillId="0" borderId="0" xfId="0" applyFont="1" applyAlignment="1" applyProtection="1">
      <alignment horizontal="left" vertical="center" wrapText="1" readingOrder="2"/>
      <protection locked="0"/>
    </xf>
    <xf numFmtId="0" fontId="2" fillId="0" borderId="18" xfId="0" applyFont="1" applyBorder="1" applyAlignment="1">
      <alignment horizontal="center" vertical="center" wrapText="1" readingOrder="2"/>
    </xf>
    <xf numFmtId="0" fontId="2" fillId="0" borderId="19" xfId="0" applyFont="1" applyBorder="1" applyAlignment="1">
      <alignment horizontal="center" vertical="center" wrapText="1" readingOrder="2"/>
    </xf>
    <xf numFmtId="0" fontId="2" fillId="0" borderId="20" xfId="0" applyFont="1" applyBorder="1" applyAlignment="1">
      <alignment horizontal="center" vertical="center" wrapText="1" readingOrder="2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4" fillId="0" borderId="1" xfId="0" applyFont="1" applyBorder="1" applyAlignment="1" applyProtection="1">
      <alignment vertical="top" wrapText="1" readingOrder="2"/>
      <protection locked="0"/>
    </xf>
    <xf numFmtId="0" fontId="4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164" fontId="5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6" fillId="3" borderId="4" xfId="0" applyFont="1" applyFill="1" applyBorder="1" applyAlignment="1" applyProtection="1">
      <alignment horizontal="center" vertical="center" wrapText="1" readingOrder="2"/>
      <protection locked="0"/>
    </xf>
    <xf numFmtId="0" fontId="6" fillId="3" borderId="3" xfId="0" applyFont="1" applyFill="1" applyBorder="1" applyAlignment="1" applyProtection="1">
      <alignment horizontal="center" vertical="center" wrapText="1" readingOrder="2"/>
      <protection locked="0"/>
    </xf>
    <xf numFmtId="0" fontId="6" fillId="3" borderId="10" xfId="0" applyFont="1" applyFill="1" applyBorder="1" applyAlignment="1" applyProtection="1">
      <alignment horizontal="center" vertical="center" wrapText="1" readingOrder="2"/>
      <protection locked="0"/>
    </xf>
    <xf numFmtId="0" fontId="6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0" borderId="2" xfId="0" applyFont="1" applyBorder="1" applyAlignment="1" applyProtection="1">
      <alignment horizontal="right" vertical="center" wrapText="1" readingOrder="2"/>
      <protection locked="0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6" fillId="3" borderId="13" xfId="0" applyFont="1" applyFill="1" applyBorder="1" applyAlignment="1" applyProtection="1">
      <alignment horizontal="center" vertical="center" wrapText="1" readingOrder="2"/>
      <protection locked="0"/>
    </xf>
    <xf numFmtId="0" fontId="6" fillId="3" borderId="14" xfId="0" applyFont="1" applyFill="1" applyBorder="1" applyAlignment="1" applyProtection="1">
      <alignment horizontal="center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5" xfId="0" applyFont="1" applyFill="1" applyBorder="1" applyAlignment="1" applyProtection="1">
      <alignment horizontal="center"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12" xfId="0" applyFont="1" applyFill="1" applyBorder="1" applyAlignment="1" applyProtection="1">
      <alignment horizontal="center" vertical="center" wrapText="1" readingOrder="2"/>
      <protection locked="0"/>
    </xf>
    <xf numFmtId="0" fontId="5" fillId="3" borderId="14" xfId="0" applyFont="1" applyFill="1" applyBorder="1" applyAlignment="1" applyProtection="1">
      <alignment horizontal="center" vertical="center" wrapText="1" readingOrder="2"/>
      <protection locked="0"/>
    </xf>
    <xf numFmtId="0" fontId="5" fillId="3" borderId="15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5" xfId="0" applyFont="1" applyBorder="1" applyAlignment="1" applyProtection="1">
      <alignment horizontal="center" vertical="center" wrapText="1" readingOrder="2"/>
      <protection locked="0"/>
    </xf>
    <xf numFmtId="0" fontId="5" fillId="3" borderId="16" xfId="0" applyFont="1" applyFill="1" applyBorder="1" applyAlignment="1" applyProtection="1">
      <alignment horizontal="center" vertical="center" wrapText="1" readingOrder="2"/>
      <protection locked="0"/>
    </xf>
    <xf numFmtId="0" fontId="5" fillId="3" borderId="17" xfId="0" applyFont="1" applyFill="1" applyBorder="1" applyAlignment="1" applyProtection="1">
      <alignment horizontal="center" vertical="center" wrapText="1" readingOrder="2"/>
      <protection locked="0"/>
    </xf>
    <xf numFmtId="0" fontId="5" fillId="3" borderId="7" xfId="0" applyFont="1" applyFill="1" applyBorder="1" applyAlignment="1" applyProtection="1">
      <alignment horizontal="center" vertical="center" wrapText="1" readingOrder="2"/>
      <protection locked="0"/>
    </xf>
    <xf numFmtId="0" fontId="5" fillId="3" borderId="8" xfId="0" applyFont="1" applyFill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11" fillId="0" borderId="21" xfId="0" applyFont="1" applyBorder="1" applyAlignment="1">
      <alignment horizontal="right" vertical="center" wrapText="1" indent="2" readingOrder="2"/>
    </xf>
    <xf numFmtId="0" fontId="11" fillId="0" borderId="2" xfId="0" applyFont="1" applyBorder="1" applyAlignment="1">
      <alignment horizontal="right" vertical="center" wrapText="1" indent="2" readingOrder="2"/>
    </xf>
    <xf numFmtId="0" fontId="11" fillId="0" borderId="10" xfId="0" applyFont="1" applyBorder="1" applyAlignment="1">
      <alignment horizontal="right" vertical="center" wrapText="1" indent="2" readingOrder="2"/>
    </xf>
    <xf numFmtId="0" fontId="11" fillId="0" borderId="11" xfId="0" applyFont="1" applyBorder="1" applyAlignment="1">
      <alignment horizontal="right" vertical="center" wrapText="1" indent="2" readingOrder="2"/>
    </xf>
    <xf numFmtId="0" fontId="9" fillId="0" borderId="4" xfId="0" applyFont="1" applyBorder="1" applyAlignment="1">
      <alignment horizontal="right" vertical="center" wrapText="1" readingOrder="2"/>
    </xf>
    <xf numFmtId="0" fontId="9" fillId="0" borderId="3" xfId="0" applyFont="1" applyBorder="1" applyAlignment="1">
      <alignment horizontal="right" vertical="center" wrapText="1" readingOrder="2"/>
    </xf>
    <xf numFmtId="49" fontId="4" fillId="0" borderId="0" xfId="0" applyNumberFormat="1" applyFont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25"/>
  <sheetViews>
    <sheetView rightToLeft="1" tabSelected="1" view="pageBreakPreview" zoomScale="130" zoomScaleNormal="100" zoomScaleSheetLayoutView="130" workbookViewId="0">
      <selection activeCell="B1" sqref="B1:J1"/>
    </sheetView>
  </sheetViews>
  <sheetFormatPr defaultColWidth="9" defaultRowHeight="15" x14ac:dyDescent="0.25"/>
  <cols>
    <col min="1" max="1" width="5.140625" style="1" customWidth="1"/>
    <col min="2" max="2" width="12.140625" style="1" customWidth="1"/>
    <col min="3" max="3" width="9" style="1"/>
    <col min="4" max="4" width="28.140625" style="1" customWidth="1"/>
    <col min="5" max="7" width="9.28515625" style="1" customWidth="1"/>
    <col min="8" max="8" width="9.28515625" style="2" customWidth="1"/>
    <col min="9" max="9" width="9.28515625" style="1" customWidth="1"/>
    <col min="10" max="10" width="15.42578125" style="1" customWidth="1"/>
    <col min="11" max="16384" width="9" style="1"/>
  </cols>
  <sheetData>
    <row r="1" spans="1:10" ht="45" customHeight="1" x14ac:dyDescent="0.25">
      <c r="B1" s="69" t="s">
        <v>41</v>
      </c>
      <c r="C1" s="69"/>
      <c r="D1" s="69"/>
      <c r="E1" s="69"/>
      <c r="F1" s="69"/>
      <c r="G1" s="69"/>
      <c r="H1" s="69"/>
      <c r="I1" s="69"/>
      <c r="J1" s="69"/>
    </row>
    <row r="2" spans="1:10" ht="30" customHeight="1" x14ac:dyDescent="0.25">
      <c r="B2" s="10" t="s">
        <v>8</v>
      </c>
      <c r="C2" s="44" t="s">
        <v>23</v>
      </c>
      <c r="D2" s="44"/>
      <c r="E2" s="10" t="s">
        <v>7</v>
      </c>
      <c r="F2" s="39" t="s">
        <v>22</v>
      </c>
      <c r="G2" s="39"/>
      <c r="H2" s="39"/>
      <c r="I2" s="39"/>
      <c r="J2" s="39"/>
    </row>
    <row r="3" spans="1:10" ht="30" customHeight="1" x14ac:dyDescent="0.25">
      <c r="B3" s="10" t="s">
        <v>9</v>
      </c>
      <c r="C3" s="44" t="s">
        <v>25</v>
      </c>
      <c r="D3" s="44"/>
      <c r="E3" s="10" t="s">
        <v>6</v>
      </c>
      <c r="F3" s="44" t="s">
        <v>24</v>
      </c>
      <c r="G3" s="44"/>
      <c r="H3" s="44"/>
      <c r="I3" s="44"/>
      <c r="J3" s="44"/>
    </row>
    <row r="4" spans="1:10" ht="30" customHeight="1" thickBot="1" x14ac:dyDescent="0.3">
      <c r="B4" s="5"/>
      <c r="C4" s="6"/>
      <c r="D4" s="6"/>
      <c r="E4" s="5"/>
      <c r="F4" s="6"/>
      <c r="G4" s="6"/>
      <c r="H4" s="7"/>
      <c r="I4" s="6"/>
      <c r="J4" s="6"/>
    </row>
    <row r="5" spans="1:10" ht="24.95" customHeight="1" x14ac:dyDescent="0.25">
      <c r="A5" s="8"/>
      <c r="B5" s="40" t="s">
        <v>0</v>
      </c>
      <c r="C5" s="41"/>
      <c r="D5" s="41"/>
      <c r="E5" s="49" t="s">
        <v>1</v>
      </c>
      <c r="F5" s="49"/>
      <c r="G5" s="49"/>
      <c r="H5" s="49"/>
      <c r="I5" s="49" t="s">
        <v>2</v>
      </c>
      <c r="J5" s="50"/>
    </row>
    <row r="6" spans="1:10" ht="24.95" customHeight="1" thickBot="1" x14ac:dyDescent="0.3">
      <c r="A6" s="8"/>
      <c r="B6" s="42"/>
      <c r="C6" s="43"/>
      <c r="D6" s="43"/>
      <c r="E6" s="9" t="s">
        <v>3</v>
      </c>
      <c r="F6" s="9" t="s">
        <v>4</v>
      </c>
      <c r="G6" s="9" t="s">
        <v>15</v>
      </c>
      <c r="H6" s="9" t="s">
        <v>16</v>
      </c>
      <c r="I6" s="51"/>
      <c r="J6" s="52"/>
    </row>
    <row r="7" spans="1:10" ht="24.95" customHeight="1" thickBot="1" x14ac:dyDescent="0.3">
      <c r="A7" s="8"/>
      <c r="B7" s="47" t="s">
        <v>13</v>
      </c>
      <c r="C7" s="48"/>
      <c r="D7" s="48"/>
      <c r="E7" s="13" t="s">
        <v>10</v>
      </c>
      <c r="F7" s="13" t="s">
        <v>11</v>
      </c>
      <c r="G7" s="13" t="s">
        <v>14</v>
      </c>
      <c r="H7" s="13" t="s">
        <v>12</v>
      </c>
      <c r="I7" s="53" t="s">
        <v>17</v>
      </c>
      <c r="J7" s="54"/>
    </row>
    <row r="8" spans="1:10" ht="39.950000000000003" customHeight="1" x14ac:dyDescent="0.25">
      <c r="A8" s="8"/>
      <c r="B8" s="67" t="s">
        <v>28</v>
      </c>
      <c r="C8" s="68"/>
      <c r="D8" s="68"/>
      <c r="E8" s="18"/>
      <c r="F8" s="19"/>
      <c r="G8" s="20"/>
      <c r="H8" s="21"/>
      <c r="I8" s="55"/>
      <c r="J8" s="56"/>
    </row>
    <row r="9" spans="1:10" ht="39.950000000000003" customHeight="1" x14ac:dyDescent="0.25">
      <c r="A9" s="8"/>
      <c r="B9" s="63" t="s">
        <v>29</v>
      </c>
      <c r="C9" s="64"/>
      <c r="D9" s="64"/>
      <c r="E9" s="17">
        <v>10</v>
      </c>
      <c r="F9" s="11" t="s">
        <v>26</v>
      </c>
      <c r="G9" s="15" t="str">
        <f>IFERROR(F9/E9,"")</f>
        <v/>
      </c>
      <c r="H9" s="16" t="str">
        <f>_xlfn.IFS(F9="أدخل العلامة","",F9="لا ينطبق","تم الإلغاء",G9&gt;=90%,"ممتاز",G9&gt;=80%,"جيد جداً",G9&gt;=70%,"جيد",G9&gt;=60%,"مقبول",G9&lt;60%,"راسب")</f>
        <v/>
      </c>
      <c r="I9" s="31"/>
      <c r="J9" s="32"/>
    </row>
    <row r="10" spans="1:10" ht="39.950000000000003" customHeight="1" x14ac:dyDescent="0.25">
      <c r="A10" s="8"/>
      <c r="B10" s="63" t="s">
        <v>30</v>
      </c>
      <c r="C10" s="64"/>
      <c r="D10" s="64"/>
      <c r="E10" s="17">
        <v>10</v>
      </c>
      <c r="F10" s="11" t="s">
        <v>26</v>
      </c>
      <c r="G10" s="15" t="str">
        <f t="shared" ref="G10:G20" si="0">IFERROR(F10/E10,"")</f>
        <v/>
      </c>
      <c r="H10" s="16" t="str">
        <f t="shared" ref="H10:H20" si="1">_xlfn.IFS(F10="أدخل العلامة","",F10="لا ينطبق","تم الإلغاء",G10&gt;=90%,"ممتاز",G10&gt;=80%,"جيد جداً",G10&gt;=70%,"جيد",G10&gt;=60%,"مقبول",G10&lt;60%,"راسب")</f>
        <v/>
      </c>
      <c r="I10" s="31"/>
      <c r="J10" s="32"/>
    </row>
    <row r="11" spans="1:10" ht="39.950000000000003" customHeight="1" x14ac:dyDescent="0.25">
      <c r="A11" s="8"/>
      <c r="B11" s="63" t="s">
        <v>31</v>
      </c>
      <c r="C11" s="64"/>
      <c r="D11" s="64"/>
      <c r="E11" s="17">
        <v>10</v>
      </c>
      <c r="F11" s="11" t="s">
        <v>26</v>
      </c>
      <c r="G11" s="15" t="str">
        <f t="shared" si="0"/>
        <v/>
      </c>
      <c r="H11" s="16" t="str">
        <f t="shared" si="1"/>
        <v/>
      </c>
      <c r="I11" s="31"/>
      <c r="J11" s="32"/>
    </row>
    <row r="12" spans="1:10" ht="39.950000000000003" customHeight="1" x14ac:dyDescent="0.25">
      <c r="A12" s="8"/>
      <c r="B12" s="63" t="s">
        <v>32</v>
      </c>
      <c r="C12" s="64"/>
      <c r="D12" s="64"/>
      <c r="E12" s="17">
        <v>10</v>
      </c>
      <c r="F12" s="11" t="s">
        <v>26</v>
      </c>
      <c r="G12" s="15" t="str">
        <f t="shared" si="0"/>
        <v/>
      </c>
      <c r="H12" s="16" t="str">
        <f t="shared" si="1"/>
        <v/>
      </c>
      <c r="I12" s="31"/>
      <c r="J12" s="32"/>
    </row>
    <row r="13" spans="1:10" ht="39.950000000000003" customHeight="1" x14ac:dyDescent="0.25">
      <c r="A13" s="8"/>
      <c r="B13" s="63" t="s">
        <v>33</v>
      </c>
      <c r="C13" s="64"/>
      <c r="D13" s="64"/>
      <c r="E13" s="17">
        <v>10</v>
      </c>
      <c r="F13" s="11" t="s">
        <v>26</v>
      </c>
      <c r="G13" s="15" t="str">
        <f t="shared" si="0"/>
        <v/>
      </c>
      <c r="H13" s="16" t="str">
        <f t="shared" si="1"/>
        <v/>
      </c>
      <c r="I13" s="31"/>
      <c r="J13" s="32"/>
    </row>
    <row r="14" spans="1:10" ht="39.950000000000003" customHeight="1" thickBot="1" x14ac:dyDescent="0.3">
      <c r="A14" s="8"/>
      <c r="B14" s="65" t="s">
        <v>34</v>
      </c>
      <c r="C14" s="66"/>
      <c r="D14" s="66"/>
      <c r="E14" s="22">
        <v>10</v>
      </c>
      <c r="F14" s="12" t="s">
        <v>26</v>
      </c>
      <c r="G14" s="23" t="str">
        <f t="shared" si="0"/>
        <v/>
      </c>
      <c r="H14" s="24" t="str">
        <f t="shared" si="1"/>
        <v/>
      </c>
      <c r="I14" s="61"/>
      <c r="J14" s="62"/>
    </row>
    <row r="15" spans="1:10" ht="39.950000000000003" customHeight="1" x14ac:dyDescent="0.25">
      <c r="A15" s="8"/>
      <c r="B15" s="67" t="s">
        <v>35</v>
      </c>
      <c r="C15" s="68"/>
      <c r="D15" s="68"/>
      <c r="E15" s="25"/>
      <c r="F15" s="19"/>
      <c r="G15" s="20"/>
      <c r="H15" s="21"/>
      <c r="I15" s="55"/>
      <c r="J15" s="56"/>
    </row>
    <row r="16" spans="1:10" ht="39.950000000000003" customHeight="1" x14ac:dyDescent="0.25">
      <c r="A16" s="8"/>
      <c r="B16" s="63" t="s">
        <v>36</v>
      </c>
      <c r="C16" s="64"/>
      <c r="D16" s="64"/>
      <c r="E16" s="17">
        <v>10</v>
      </c>
      <c r="F16" s="11" t="s">
        <v>26</v>
      </c>
      <c r="G16" s="15" t="str">
        <f t="shared" si="0"/>
        <v/>
      </c>
      <c r="H16" s="16" t="str">
        <f t="shared" si="1"/>
        <v/>
      </c>
      <c r="I16" s="31"/>
      <c r="J16" s="32"/>
    </row>
    <row r="17" spans="1:10" ht="39.950000000000003" customHeight="1" x14ac:dyDescent="0.25">
      <c r="A17" s="8"/>
      <c r="B17" s="63" t="s">
        <v>37</v>
      </c>
      <c r="C17" s="64"/>
      <c r="D17" s="64"/>
      <c r="E17" s="17">
        <v>10</v>
      </c>
      <c r="F17" s="11" t="s">
        <v>26</v>
      </c>
      <c r="G17" s="15" t="str">
        <f t="shared" si="0"/>
        <v/>
      </c>
      <c r="H17" s="16" t="str">
        <f t="shared" si="1"/>
        <v/>
      </c>
      <c r="I17" s="31"/>
      <c r="J17" s="32"/>
    </row>
    <row r="18" spans="1:10" ht="39.950000000000003" customHeight="1" x14ac:dyDescent="0.25">
      <c r="A18" s="8"/>
      <c r="B18" s="63" t="s">
        <v>38</v>
      </c>
      <c r="C18" s="64"/>
      <c r="D18" s="64"/>
      <c r="E18" s="17">
        <v>10</v>
      </c>
      <c r="F18" s="11" t="s">
        <v>26</v>
      </c>
      <c r="G18" s="15" t="str">
        <f t="shared" si="0"/>
        <v/>
      </c>
      <c r="H18" s="16" t="str">
        <f t="shared" si="1"/>
        <v/>
      </c>
      <c r="I18" s="31"/>
      <c r="J18" s="32"/>
    </row>
    <row r="19" spans="1:10" ht="39.950000000000003" customHeight="1" x14ac:dyDescent="0.25">
      <c r="A19" s="8"/>
      <c r="B19" s="63" t="s">
        <v>39</v>
      </c>
      <c r="C19" s="64"/>
      <c r="D19" s="64"/>
      <c r="E19" s="17">
        <v>10</v>
      </c>
      <c r="F19" s="11" t="s">
        <v>26</v>
      </c>
      <c r="G19" s="15" t="str">
        <f t="shared" si="0"/>
        <v/>
      </c>
      <c r="H19" s="16" t="str">
        <f t="shared" si="1"/>
        <v/>
      </c>
      <c r="I19" s="31"/>
      <c r="J19" s="32"/>
    </row>
    <row r="20" spans="1:10" ht="39.950000000000003" customHeight="1" thickBot="1" x14ac:dyDescent="0.3">
      <c r="A20" s="8"/>
      <c r="B20" s="65" t="s">
        <v>40</v>
      </c>
      <c r="C20" s="66"/>
      <c r="D20" s="66"/>
      <c r="E20" s="22">
        <v>10</v>
      </c>
      <c r="F20" s="12" t="s">
        <v>26</v>
      </c>
      <c r="G20" s="23" t="str">
        <f t="shared" si="0"/>
        <v/>
      </c>
      <c r="H20" s="24" t="str">
        <f t="shared" si="1"/>
        <v/>
      </c>
      <c r="I20" s="61"/>
      <c r="J20" s="62"/>
    </row>
    <row r="21" spans="1:10" ht="30" customHeight="1" thickBot="1" x14ac:dyDescent="0.3">
      <c r="A21" s="3"/>
      <c r="B21" s="57" t="s">
        <v>5</v>
      </c>
      <c r="C21" s="58"/>
      <c r="D21" s="58"/>
      <c r="E21" s="14">
        <f>SUM(E8:E20)</f>
        <v>110</v>
      </c>
      <c r="F21" s="14">
        <f>SUM(F8:F20)</f>
        <v>0</v>
      </c>
      <c r="G21" s="28"/>
      <c r="H21" s="29"/>
      <c r="I21" s="29"/>
      <c r="J21" s="30"/>
    </row>
    <row r="22" spans="1:10" ht="30" customHeight="1" thickBot="1" x14ac:dyDescent="0.3">
      <c r="A22" s="3"/>
      <c r="B22" s="59" t="s">
        <v>20</v>
      </c>
      <c r="C22" s="60"/>
      <c r="D22" s="60"/>
      <c r="E22" s="45">
        <f>F21/E21/100*100</f>
        <v>0</v>
      </c>
      <c r="F22" s="45"/>
      <c r="G22" s="45"/>
      <c r="H22" s="45"/>
      <c r="I22" s="45"/>
      <c r="J22" s="46"/>
    </row>
    <row r="23" spans="1:10" ht="30" customHeight="1" thickBot="1" x14ac:dyDescent="0.3">
      <c r="A23" s="3"/>
      <c r="B23" s="59" t="s">
        <v>21</v>
      </c>
      <c r="C23" s="60"/>
      <c r="D23" s="60"/>
      <c r="E23" s="37" t="str">
        <f>_xlfn.IFS(E22&gt;=90%,"ممتاز",E22&gt;=80%,"جيد جداً",E22&gt;=70%,"جيد",E22&gt;=60%,"مقبول",E22&lt;60%,"راسب")</f>
        <v>راسب</v>
      </c>
      <c r="F23" s="37"/>
      <c r="G23" s="37"/>
      <c r="H23" s="37"/>
      <c r="I23" s="37"/>
      <c r="J23" s="38"/>
    </row>
    <row r="24" spans="1:10" ht="42" customHeight="1" x14ac:dyDescent="0.25">
      <c r="B24" s="33" t="s">
        <v>27</v>
      </c>
      <c r="C24" s="33"/>
      <c r="D24" s="33"/>
      <c r="E24" s="26" t="s">
        <v>18</v>
      </c>
      <c r="F24" s="26"/>
      <c r="G24" s="35" t="s">
        <v>24</v>
      </c>
      <c r="H24" s="35"/>
      <c r="I24" s="35"/>
      <c r="J24" s="35"/>
    </row>
    <row r="25" spans="1:10" ht="51" customHeight="1" x14ac:dyDescent="0.25">
      <c r="A25" s="4"/>
      <c r="B25" s="34"/>
      <c r="C25" s="34"/>
      <c r="D25" s="34"/>
      <c r="E25" s="27" t="s">
        <v>19</v>
      </c>
      <c r="F25" s="27"/>
      <c r="G25" s="36"/>
      <c r="H25" s="36"/>
      <c r="I25" s="36"/>
      <c r="J25" s="36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47">
    <mergeCell ref="B16:D16"/>
    <mergeCell ref="B11:D11"/>
    <mergeCell ref="B12:D12"/>
    <mergeCell ref="B13:D13"/>
    <mergeCell ref="B14:D14"/>
    <mergeCell ref="B15:D15"/>
    <mergeCell ref="I20:J20"/>
    <mergeCell ref="B17:D17"/>
    <mergeCell ref="B18:D18"/>
    <mergeCell ref="B19:D19"/>
    <mergeCell ref="B20:D20"/>
    <mergeCell ref="I15:J15"/>
    <mergeCell ref="I16:J16"/>
    <mergeCell ref="I17:J17"/>
    <mergeCell ref="I18:J18"/>
    <mergeCell ref="I19:J19"/>
    <mergeCell ref="B7:D7"/>
    <mergeCell ref="E5:H5"/>
    <mergeCell ref="I5:J6"/>
    <mergeCell ref="I7:J7"/>
    <mergeCell ref="I10:J10"/>
    <mergeCell ref="I8:J8"/>
    <mergeCell ref="B8:D8"/>
    <mergeCell ref="B9:D9"/>
    <mergeCell ref="B10:D10"/>
    <mergeCell ref="B1:J1"/>
    <mergeCell ref="F2:J2"/>
    <mergeCell ref="B5:D6"/>
    <mergeCell ref="C2:D2"/>
    <mergeCell ref="C3:D3"/>
    <mergeCell ref="F3:J3"/>
    <mergeCell ref="E24:F24"/>
    <mergeCell ref="E25:F25"/>
    <mergeCell ref="G21:J21"/>
    <mergeCell ref="I9:J9"/>
    <mergeCell ref="B24:D25"/>
    <mergeCell ref="G24:J24"/>
    <mergeCell ref="G25:J25"/>
    <mergeCell ref="E23:J23"/>
    <mergeCell ref="E22:J22"/>
    <mergeCell ref="B21:D21"/>
    <mergeCell ref="B22:D22"/>
    <mergeCell ref="B23:D23"/>
    <mergeCell ref="I11:J11"/>
    <mergeCell ref="I12:J12"/>
    <mergeCell ref="I13:J13"/>
    <mergeCell ref="I14:J14"/>
  </mergeCells>
  <conditionalFormatting sqref="E23">
    <cfRule type="expression" dxfId="23" priority="57">
      <formula>$E23="راسب"</formula>
    </cfRule>
  </conditionalFormatting>
  <conditionalFormatting sqref="E23:J23">
    <cfRule type="expression" dxfId="22" priority="58">
      <formula>$E23="مقبول"</formula>
    </cfRule>
    <cfRule type="expression" dxfId="21" priority="59">
      <formula>$E23="جيد"</formula>
    </cfRule>
    <cfRule type="expression" dxfId="20" priority="60">
      <formula>$E23="جيد جداً"</formula>
    </cfRule>
    <cfRule type="expression" dxfId="19" priority="61">
      <formula>$E23="ممتاز"</formula>
    </cfRule>
  </conditionalFormatting>
  <conditionalFormatting sqref="H8 H10:H20">
    <cfRule type="containsText" dxfId="18" priority="39" operator="containsText" text="ممتاز">
      <formula>NOT(ISERROR(SEARCH("ممتاز",H8)))</formula>
    </cfRule>
    <cfRule type="containsText" dxfId="17" priority="40" operator="containsText" text="جيد جداً">
      <formula>NOT(ISERROR(SEARCH("جيد جداً",H8)))</formula>
    </cfRule>
    <cfRule type="containsText" dxfId="16" priority="41" operator="containsText" text="جيد">
      <formula>NOT(ISERROR(SEARCH("جيد",H8)))</formula>
    </cfRule>
    <cfRule type="containsText" dxfId="15" priority="42" operator="containsText" text="مقبول">
      <formula>NOT(ISERROR(SEARCH("مقبول",H8)))</formula>
    </cfRule>
    <cfRule type="containsText" dxfId="14" priority="43" operator="containsText" text="راسب">
      <formula>NOT(ISERROR(SEARCH("راسب",H8)))</formula>
    </cfRule>
  </conditionalFormatting>
  <conditionalFormatting sqref="H8 H10:H20">
    <cfRule type="containsText" dxfId="13" priority="38" operator="containsText" text="أدخل العلامة">
      <formula>NOT(ISERROR(SEARCH("أدخل العلامة",H8)))</formula>
    </cfRule>
  </conditionalFormatting>
  <conditionalFormatting sqref="F2:J2">
    <cfRule type="containsText" dxfId="12" priority="19" operator="containsText" text="أدخل التاريخ">
      <formula>NOT(ISERROR(SEARCH("أدخل التاريخ",F2)))</formula>
    </cfRule>
  </conditionalFormatting>
  <conditionalFormatting sqref="C2:D2">
    <cfRule type="containsText" dxfId="11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0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F3:J3">
    <cfRule type="containsText" dxfId="9" priority="16" operator="containsText" text="أدخل أسم المحكم">
      <formula>NOT(ISERROR(SEARCH("أدخل أسم المحكم",F3)))</formula>
    </cfRule>
  </conditionalFormatting>
  <conditionalFormatting sqref="G24:J24">
    <cfRule type="containsText" dxfId="8" priority="15" operator="containsText" text="أدخل اسم المحكم">
      <formula>NOT(ISERROR(SEARCH("أدخل اسم المحكم",G24)))</formula>
    </cfRule>
  </conditionalFormatting>
  <conditionalFormatting sqref="F8 F10:F20">
    <cfRule type="containsText" dxfId="7" priority="14" operator="containsText" text="أدخل العلامة">
      <formula>NOT(ISERROR(SEARCH("أدخل العلامة",F8)))</formula>
    </cfRule>
  </conditionalFormatting>
  <conditionalFormatting sqref="H9">
    <cfRule type="containsText" dxfId="6" priority="6" operator="containsText" text="ممتاز">
      <formula>NOT(ISERROR(SEARCH("ممتاز",H9)))</formula>
    </cfRule>
    <cfRule type="containsText" dxfId="5" priority="7" operator="containsText" text="جيد جداً">
      <formula>NOT(ISERROR(SEARCH("جيد جداً",H9)))</formula>
    </cfRule>
    <cfRule type="containsText" dxfId="4" priority="8" operator="containsText" text="جيد">
      <formula>NOT(ISERROR(SEARCH("جيد",H9)))</formula>
    </cfRule>
    <cfRule type="containsText" dxfId="3" priority="9" operator="containsText" text="مقبول">
      <formula>NOT(ISERROR(SEARCH("مقبول",H9)))</formula>
    </cfRule>
    <cfRule type="containsText" dxfId="2" priority="10" operator="containsText" text="راسب">
      <formula>NOT(ISERROR(SEARCH("راسب",H9)))</formula>
    </cfRule>
  </conditionalFormatting>
  <conditionalFormatting sqref="H9">
    <cfRule type="containsText" dxfId="1" priority="5" operator="containsText" text="أدخل العلامة">
      <formula>NOT(ISERROR(SEARCH("أدخل العلامة",H9)))</formula>
    </cfRule>
  </conditionalFormatting>
  <conditionalFormatting sqref="F9">
    <cfRule type="containsText" dxfId="0" priority="4" operator="containsText" text="أدخل العلامة">
      <formula>NOT(ISERROR(SEARCH("أدخل العلامة",F9)))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5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#REF!</xm:f>
          </x14:formula1>
          <xm:sqref>F2:J2</xm:sqref>
        </x14:dataValidation>
        <x14:dataValidation type="list" allowBlank="1" showInputMessage="1" showErrorMessage="1">
          <x14:formula1>
            <xm:f>#REF!</xm:f>
          </x14:formula1>
          <xm:sqref>C2:D2</xm:sqref>
        </x14:dataValidation>
        <x14:dataValidation type="list" allowBlank="1" showInputMessage="1" showErrorMessage="1">
          <x14:formula1>
            <xm:f>#REF!</xm:f>
          </x14:formula1>
          <xm:sqref>G24:J24 F3:J3</xm:sqref>
        </x14:dataValidation>
        <x14:dataValidation type="list" allowBlank="1" showInputMessage="1" showErrorMessage="1">
          <x14:formula1>
            <xm:f>#REF!</xm:f>
          </x14:formula1>
          <xm:sqref>C3:D3</xm:sqref>
        </x14:dataValidation>
        <x14:dataValidation type="list" allowBlank="1" showInputMessage="1" showErrorMessage="1">
          <x14:formula1>
            <xm:f>#REF!</xm:f>
          </x14:formula1>
          <xm:sqref>F9:F14 F16:F20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قائمة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2026-08-30T05:08:22Z</dcterms:modified>
</cp:coreProperties>
</file>