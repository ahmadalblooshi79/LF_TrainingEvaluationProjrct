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4" i="2"/>
  <c r="H14" i="2" s="1"/>
  <c r="G15" i="2"/>
  <c r="H15" i="2" s="1"/>
  <c r="G17" i="2"/>
  <c r="H17" i="2" s="1"/>
  <c r="G18" i="2"/>
  <c r="H18" i="2" s="1"/>
  <c r="G19" i="2"/>
  <c r="H19" i="2" s="1"/>
  <c r="G20" i="2"/>
  <c r="H20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5" i="2"/>
  <c r="H35" i="2" s="1"/>
  <c r="G36" i="2"/>
  <c r="H36" i="2" s="1"/>
  <c r="G37" i="2"/>
  <c r="H37" i="2" s="1"/>
  <c r="G39" i="2"/>
  <c r="H39" i="2" s="1"/>
  <c r="G40" i="2"/>
  <c r="H40" i="2" s="1"/>
  <c r="G41" i="2"/>
  <c r="H41" i="2" s="1"/>
  <c r="G42" i="2"/>
  <c r="H42" i="2" s="1"/>
  <c r="G43" i="2"/>
  <c r="H43" i="2" s="1"/>
  <c r="G45" i="2"/>
  <c r="H45" i="2" s="1"/>
  <c r="G46" i="2"/>
  <c r="H46" i="2" s="1"/>
  <c r="G47" i="2"/>
  <c r="H47" i="2" s="1"/>
  <c r="G48" i="2"/>
  <c r="H48" i="2" s="1"/>
  <c r="F49" i="2" l="1"/>
  <c r="E49" i="2" l="1"/>
  <c r="E50" i="2" l="1"/>
  <c r="E51" i="2" s="1"/>
</calcChain>
</file>

<file path=xl/sharedStrings.xml><?xml version="1.0" encoding="utf-8"?>
<sst xmlns="http://schemas.openxmlformats.org/spreadsheetml/2006/main" count="104" uniqueCount="70">
  <si>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</si>
  <si>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</si>
  <si>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</si>
  <si>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</si>
  <si>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</si>
  <si>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</si>
  <si>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</si>
  <si>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</si>
  <si>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</si>
  <si>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</si>
  <si>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</si>
  <si>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</si>
  <si>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</si>
  <si>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</si>
  <si>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</si>
  <si>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</si>
  <si>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</si>
  <si>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</si>
  <si>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</si>
  <si>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</si>
  <si>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</si>
  <si>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</si>
  <si>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</si>
  <si>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</si>
  <si>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</si>
  <si>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</si>
  <si>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</si>
  <si>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</si>
  <si>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إنشاء ملف المهمة</t>
  </si>
  <si>
    <t>الانضمام الي قائمة غرفة المحادثه</t>
  </si>
  <si>
    <t xml:space="preserve"> التأكد من وجود جميع الخرائط المطلوبة</t>
  </si>
  <si>
    <t xml:space="preserve">إنشاء الشفافات   </t>
  </si>
  <si>
    <t xml:space="preserve">إضافة الرمز العسكري على الشفاف   </t>
  </si>
  <si>
    <t>نسخ رمز الى شفاف أخر</t>
  </si>
  <si>
    <t xml:space="preserve">انشاء خطة جديدة </t>
  </si>
  <si>
    <t xml:space="preserve">تنزيل خطة مرسلة من المستوى الأعلى </t>
  </si>
  <si>
    <t xml:space="preserve">استيراد  شفاف من خطة مرسلة </t>
  </si>
  <si>
    <t>انشاء شفافات  في ملف الخطة</t>
  </si>
  <si>
    <t>انشاء تجميع الواجب في ملف الخطة</t>
  </si>
  <si>
    <t>إضافة مرفق للخطط والاوامر</t>
  </si>
  <si>
    <t>إنشاء مستند نص كتابي في ملف الخطة</t>
  </si>
  <si>
    <t>تغيير حالة الخطة / أمر العمليات</t>
  </si>
  <si>
    <t>ارسال الخطة الي المرؤوسيين</t>
  </si>
  <si>
    <t xml:space="preserve">إنشاء العلامات المرجعية </t>
  </si>
  <si>
    <t>إنشاء رسم التنقل التعبوي على شفاف</t>
  </si>
  <si>
    <t>إرسال امر التنقل التعبوي</t>
  </si>
  <si>
    <t xml:space="preserve">إنشاء وارسال انذار ( مثال: إنذار كيميائي) </t>
  </si>
  <si>
    <t>ادراج مواد ارزاق في المخزونات</t>
  </si>
  <si>
    <t>ادراج معدات و أسلحة</t>
  </si>
  <si>
    <t>ادراج المرتب في المخزونات</t>
  </si>
  <si>
    <t>عرض نسبة الاستكمال</t>
  </si>
  <si>
    <t>عرض المخصص والموجود الفعلي على الخارطة</t>
  </si>
  <si>
    <r>
      <t>1.</t>
    </r>
    <r>
      <rPr>
        <sz val="12"/>
        <color rgb="FF000000"/>
        <rFont val="Times New Roman"/>
        <family val="1"/>
      </rPr>
      <t xml:space="preserve">       </t>
    </r>
    <r>
      <rPr>
        <b/>
        <u/>
        <sz val="12"/>
        <color rgb="FF000000"/>
        <rFont val="Arial"/>
        <family val="2"/>
      </rPr>
      <t>التهيئة.</t>
    </r>
  </si>
  <si>
    <r>
      <t>5.</t>
    </r>
    <r>
      <rPr>
        <sz val="12"/>
        <color rgb="FF000000"/>
        <rFont val="Times New Roman"/>
        <family val="1"/>
      </rPr>
      <t xml:space="preserve">       </t>
    </r>
    <r>
      <rPr>
        <b/>
        <u/>
        <sz val="12"/>
        <color rgb="FF000000"/>
        <rFont val="Arial"/>
        <family val="2"/>
      </rPr>
      <t xml:space="preserve">التنقل التعبوي والانذارات </t>
    </r>
  </si>
  <si>
    <r>
      <t>6.</t>
    </r>
    <r>
      <rPr>
        <sz val="12"/>
        <color rgb="FF000000"/>
        <rFont val="Times New Roman"/>
        <family val="1"/>
      </rPr>
      <t xml:space="preserve">       </t>
    </r>
    <r>
      <rPr>
        <b/>
        <u/>
        <sz val="12"/>
        <color rgb="FF000000"/>
        <rFont val="Arial"/>
        <family val="2"/>
      </rPr>
      <t>التقارير و الطلبات الإدارية</t>
    </r>
  </si>
  <si>
    <t>ارسال / استقبل الرسائل  عبر غرف المحادثة</t>
  </si>
  <si>
    <t>تأسيس الاتصال مع  مختلف المستويات من شلتر العمليات</t>
  </si>
  <si>
    <r>
      <t>2.</t>
    </r>
    <r>
      <rPr>
        <sz val="12"/>
        <color rgb="FF000000"/>
        <rFont val="Times New Roman"/>
        <family val="1"/>
      </rPr>
      <t xml:space="preserve">       </t>
    </r>
    <r>
      <rPr>
        <b/>
        <u/>
        <sz val="12"/>
        <color rgb="FF000000"/>
        <rFont val="Times New Roman"/>
        <family val="1"/>
      </rPr>
      <t xml:space="preserve">استخدام </t>
    </r>
    <r>
      <rPr>
        <b/>
        <u/>
        <sz val="12"/>
        <color rgb="FF000000"/>
        <rFont val="Arial"/>
        <family val="2"/>
      </rPr>
      <t xml:space="preserve">الخرائط و الأدوات الطبوغرافية </t>
    </r>
  </si>
  <si>
    <t xml:space="preserve">  استخدام الأدوات الطبوغرافية</t>
  </si>
  <si>
    <r>
      <t>3.</t>
    </r>
    <r>
      <rPr>
        <sz val="12"/>
        <color rgb="FF000000"/>
        <rFont val="Times New Roman"/>
        <family val="1"/>
      </rPr>
      <t xml:space="preserve">       </t>
    </r>
    <r>
      <rPr>
        <b/>
        <u/>
        <sz val="12"/>
        <color rgb="FF000000"/>
        <rFont val="Arial"/>
        <family val="2"/>
      </rPr>
      <t>استخدام الشفافات و الرموز العسكرية.</t>
    </r>
  </si>
  <si>
    <t>التعرف على الرموز العسكرية</t>
  </si>
  <si>
    <r>
      <t>4.</t>
    </r>
    <r>
      <rPr>
        <sz val="12"/>
        <color rgb="FF000000"/>
        <rFont val="Times New Roman"/>
        <family val="1"/>
      </rPr>
      <t xml:space="preserve">       </t>
    </r>
    <r>
      <rPr>
        <b/>
        <u/>
        <sz val="12"/>
        <color rgb="FF000000"/>
        <rFont val="Arial"/>
        <family val="2"/>
      </rPr>
      <t>إعداد الخطة وإصدار الأوامر.</t>
    </r>
  </si>
  <si>
    <t>إعداد التقارير والطلبات الإدارية</t>
  </si>
  <si>
    <t>تطبيق إعداد التنظيم</t>
  </si>
  <si>
    <r>
      <t>7.</t>
    </r>
    <r>
      <rPr>
        <sz val="12"/>
        <color rgb="FF000000"/>
        <rFont val="Times New Roman"/>
        <family val="1"/>
      </rPr>
      <t xml:space="preserve">       </t>
    </r>
    <r>
      <rPr>
        <b/>
        <u/>
        <sz val="12"/>
        <color rgb="FF000000"/>
        <rFont val="Arial"/>
        <family val="2"/>
      </rPr>
      <t>تطبيق إعداد النظام (البرنامج) .</t>
    </r>
  </si>
  <si>
    <t>تنفيذ الإعدادت العامة</t>
  </si>
  <si>
    <t>تنفيذ إعدادت معلومات الرموز</t>
  </si>
  <si>
    <t>تنفيذ إعدادت العلامات المرجعية</t>
  </si>
  <si>
    <t xml:space="preserve">تنفيذ إعدادت أدوات تحليل الطبوغرافيا </t>
  </si>
  <si>
    <t>تقييم  منظومة القيادة والسيطرة (مراكز القيادة)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</si>
</sst>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8" fillId="0" borderId="21" xfId="0" applyFont="1" applyBorder="1" applyAlignment="1">
      <alignment horizontal="right" vertical="center" wrapText="1" indent="3" readingOrder="2"/>
    </xf>
    <xf numFmtId="0" fontId="8" fillId="0" borderId="2" xfId="0" applyFont="1" applyBorder="1" applyAlignment="1">
      <alignment horizontal="right" vertical="center" wrapText="1" indent="3" readingOrder="2"/>
    </xf>
    <xf numFmtId="0" fontId="8" fillId="0" borderId="10" xfId="0" applyFont="1" applyBorder="1" applyAlignment="1">
      <alignment horizontal="right" vertical="center" wrapText="1" indent="3" readingOrder="2"/>
    </xf>
    <xf numFmtId="0" fontId="8" fillId="0" borderId="11" xfId="0" applyFont="1" applyBorder="1" applyAlignment="1">
      <alignment horizontal="right" vertical="center" wrapText="1" indent="3" readingOrder="2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8" fillId="0" borderId="4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3" readingOrder="2"/>
    </xf>
    <xf numFmtId="0" fontId="9" fillId="0" borderId="2" xfId="0" applyFont="1" applyBorder="1" applyAlignment="1">
      <alignment horizontal="right" vertical="center" wrapText="1" indent="3" readingOrder="2"/>
    </xf>
    <xf numFmtId="0" fontId="8" fillId="4" borderId="4" xfId="0" applyFont="1" applyFill="1" applyBorder="1" applyAlignment="1">
      <alignment horizontal="right" vertical="center" wrapText="1" readingOrder="2"/>
    </xf>
    <xf numFmtId="0" fontId="8" fillId="4" borderId="3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3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26" t="s">
        <v>69</v>
      </c>
      <c r="C1" s="26"/>
      <c r="D1" s="26"/>
      <c r="E1" s="26"/>
      <c r="F1" s="26"/>
      <c r="G1" s="26"/>
      <c r="H1" s="26"/>
      <c r="I1" s="26"/>
      <c r="J1" s="26"/>
    </row>
    <row r="2" spans="1:10" ht="30" customHeight="1" x14ac:dyDescent="0.25">
      <c r="B2" s="11" t="s">
        <v>8</v>
      </c>
      <c r="C2" s="32" t="s">
        <v>23</v>
      </c>
      <c r="D2" s="32"/>
      <c r="E2" s="11" t="s">
        <v>7</v>
      </c>
      <c r="F2" s="27" t="s">
        <v>22</v>
      </c>
      <c r="G2" s="27"/>
      <c r="H2" s="27"/>
      <c r="I2" s="27"/>
      <c r="J2" s="27"/>
    </row>
    <row r="3" spans="1:10" ht="30" customHeight="1" x14ac:dyDescent="0.25">
      <c r="B3" s="11" t="s">
        <v>9</v>
      </c>
      <c r="C3" s="32" t="s">
        <v>25</v>
      </c>
      <c r="D3" s="32"/>
      <c r="E3" s="11" t="s">
        <v>6</v>
      </c>
      <c r="F3" s="32" t="s">
        <v>24</v>
      </c>
      <c r="G3" s="32"/>
      <c r="H3" s="32"/>
      <c r="I3" s="32"/>
      <c r="J3" s="32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28" t="s">
        <v>0</v>
      </c>
      <c r="C5" s="29"/>
      <c r="D5" s="29"/>
      <c r="E5" s="41" t="s">
        <v>1</v>
      </c>
      <c r="F5" s="41"/>
      <c r="G5" s="41"/>
      <c r="H5" s="41"/>
      <c r="I5" s="41" t="s">
        <v>2</v>
      </c>
      <c r="J5" s="44"/>
    </row>
    <row r="6" spans="1:10" ht="24.95" customHeight="1" thickBot="1" x14ac:dyDescent="0.3">
      <c r="A6" s="9"/>
      <c r="B6" s="30"/>
      <c r="C6" s="31"/>
      <c r="D6" s="31"/>
      <c r="E6" s="10" t="s">
        <v>3</v>
      </c>
      <c r="F6" s="10" t="s">
        <v>4</v>
      </c>
      <c r="G6" s="10" t="s">
        <v>15</v>
      </c>
      <c r="H6" s="10" t="s">
        <v>16</v>
      </c>
      <c r="I6" s="45"/>
      <c r="J6" s="46"/>
    </row>
    <row r="7" spans="1:10" ht="24.95" customHeight="1" thickBot="1" x14ac:dyDescent="0.3">
      <c r="A7" s="9"/>
      <c r="B7" s="35" t="s">
        <v>13</v>
      </c>
      <c r="C7" s="36"/>
      <c r="D7" s="36"/>
      <c r="E7" s="14" t="s">
        <v>10</v>
      </c>
      <c r="F7" s="14" t="s">
        <v>11</v>
      </c>
      <c r="G7" s="14" t="s">
        <v>14</v>
      </c>
      <c r="H7" s="14" t="s">
        <v>12</v>
      </c>
      <c r="I7" s="47" t="s">
        <v>17</v>
      </c>
      <c r="J7" s="48"/>
    </row>
    <row r="8" spans="1:10" ht="30" customHeight="1" x14ac:dyDescent="0.25">
      <c r="A8" s="9"/>
      <c r="B8" s="68" t="s">
        <v>52</v>
      </c>
      <c r="C8" s="69"/>
      <c r="D8" s="69"/>
      <c r="E8" s="18"/>
      <c r="F8" s="19"/>
      <c r="G8" s="20"/>
      <c r="H8" s="21"/>
      <c r="I8" s="37"/>
      <c r="J8" s="38"/>
    </row>
    <row r="9" spans="1:10" ht="30" customHeight="1" x14ac:dyDescent="0.25">
      <c r="A9" s="9"/>
      <c r="B9" s="60" t="s">
        <v>56</v>
      </c>
      <c r="C9" s="61"/>
      <c r="D9" s="61"/>
      <c r="E9" s="8">
        <v>5</v>
      </c>
      <c r="F9" s="12" t="s">
        <v>26</v>
      </c>
      <c r="G9" s="16" t="str">
        <f>IFERROR(F9/E9,"")</f>
        <v/>
      </c>
      <c r="H9" s="17" t="str">
        <f>_xlfn.IFS(F9="أدخل العلامة","",F9="لا ينطبق","تم الإلغاء",G9&gt;=90%,"ممتاز",G9&gt;=80%,"جيد جداً",G9&gt;=70%,"جيد",G9&gt;=60%,"مقبول",G9&lt;60%,"راسب")</f>
        <v/>
      </c>
      <c r="I9" s="39"/>
      <c r="J9" s="40"/>
    </row>
    <row r="10" spans="1:10" ht="30" customHeight="1" x14ac:dyDescent="0.25">
      <c r="A10" s="9"/>
      <c r="B10" s="60" t="s">
        <v>28</v>
      </c>
      <c r="C10" s="61"/>
      <c r="D10" s="61"/>
      <c r="E10" s="8">
        <v>5</v>
      </c>
      <c r="F10" s="12" t="s">
        <v>26</v>
      </c>
      <c r="G10" s="16" t="str">
        <f t="shared" ref="G10:G48" si="0">IFERROR(F10/E10,"")</f>
        <v/>
      </c>
      <c r="H10" s="17" t="str">
        <f t="shared" ref="H10:H48" si="1">_xlfn.IFS(F10="أدخل العلامة","",F10="لا ينطبق","تم الإلغاء",G10&gt;=90%,"ممتاز",G10&gt;=80%,"جيد جداً",G10&gt;=70%,"جيد",G10&gt;=60%,"مقبول",G10&lt;60%,"راسب")</f>
        <v/>
      </c>
      <c r="I10" s="39"/>
      <c r="J10" s="40"/>
    </row>
    <row r="11" spans="1:10" ht="30" customHeight="1" x14ac:dyDescent="0.25">
      <c r="A11" s="9"/>
      <c r="B11" s="60" t="s">
        <v>29</v>
      </c>
      <c r="C11" s="61"/>
      <c r="D11" s="61"/>
      <c r="E11" s="8">
        <v>5</v>
      </c>
      <c r="F11" s="12" t="s">
        <v>26</v>
      </c>
      <c r="G11" s="16" t="str">
        <f t="shared" si="0"/>
        <v/>
      </c>
      <c r="H11" s="17" t="str">
        <f t="shared" si="1"/>
        <v/>
      </c>
      <c r="I11" s="39"/>
      <c r="J11" s="40"/>
    </row>
    <row r="12" spans="1:10" ht="30" customHeight="1" thickBot="1" x14ac:dyDescent="0.3">
      <c r="A12" s="9"/>
      <c r="B12" s="62" t="s">
        <v>55</v>
      </c>
      <c r="C12" s="63"/>
      <c r="D12" s="63"/>
      <c r="E12" s="22">
        <v>5</v>
      </c>
      <c r="F12" s="13" t="s">
        <v>26</v>
      </c>
      <c r="G12" s="23" t="str">
        <f t="shared" si="0"/>
        <v/>
      </c>
      <c r="H12" s="24" t="str">
        <f t="shared" si="1"/>
        <v/>
      </c>
      <c r="I12" s="42"/>
      <c r="J12" s="43"/>
    </row>
    <row r="13" spans="1:10" ht="30" customHeight="1" x14ac:dyDescent="0.25">
      <c r="A13" s="9"/>
      <c r="B13" s="68" t="s">
        <v>57</v>
      </c>
      <c r="C13" s="69"/>
      <c r="D13" s="69"/>
      <c r="E13" s="18"/>
      <c r="F13" s="19"/>
      <c r="G13" s="20"/>
      <c r="H13" s="21"/>
      <c r="I13" s="37"/>
      <c r="J13" s="38"/>
    </row>
    <row r="14" spans="1:10" ht="30" customHeight="1" x14ac:dyDescent="0.25">
      <c r="A14" s="9"/>
      <c r="B14" s="60" t="s">
        <v>30</v>
      </c>
      <c r="C14" s="61"/>
      <c r="D14" s="61"/>
      <c r="E14" s="8">
        <v>5</v>
      </c>
      <c r="F14" s="12" t="s">
        <v>26</v>
      </c>
      <c r="G14" s="16" t="str">
        <f t="shared" si="0"/>
        <v/>
      </c>
      <c r="H14" s="17" t="str">
        <f t="shared" si="1"/>
        <v/>
      </c>
      <c r="I14" s="39"/>
      <c r="J14" s="40"/>
    </row>
    <row r="15" spans="1:10" ht="30" customHeight="1" thickBot="1" x14ac:dyDescent="0.3">
      <c r="A15" s="9"/>
      <c r="B15" s="62" t="s">
        <v>58</v>
      </c>
      <c r="C15" s="63"/>
      <c r="D15" s="63"/>
      <c r="E15" s="22">
        <v>5</v>
      </c>
      <c r="F15" s="13" t="s">
        <v>26</v>
      </c>
      <c r="G15" s="23" t="str">
        <f t="shared" si="0"/>
        <v/>
      </c>
      <c r="H15" s="24" t="str">
        <f t="shared" si="1"/>
        <v/>
      </c>
      <c r="I15" s="42"/>
      <c r="J15" s="43"/>
    </row>
    <row r="16" spans="1:10" ht="30" customHeight="1" x14ac:dyDescent="0.25">
      <c r="A16" s="9"/>
      <c r="B16" s="68" t="s">
        <v>59</v>
      </c>
      <c r="C16" s="69"/>
      <c r="D16" s="69"/>
      <c r="E16" s="18"/>
      <c r="F16" s="19"/>
      <c r="G16" s="20"/>
      <c r="H16" s="21"/>
      <c r="I16" s="37"/>
      <c r="J16" s="38"/>
    </row>
    <row r="17" spans="1:10" ht="30" customHeight="1" x14ac:dyDescent="0.25">
      <c r="A17" s="9"/>
      <c r="B17" s="70" t="s">
        <v>31</v>
      </c>
      <c r="C17" s="71"/>
      <c r="D17" s="71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39"/>
      <c r="J17" s="40"/>
    </row>
    <row r="18" spans="1:10" ht="30" customHeight="1" x14ac:dyDescent="0.25">
      <c r="A18" s="9"/>
      <c r="B18" s="60" t="s">
        <v>60</v>
      </c>
      <c r="C18" s="61"/>
      <c r="D18" s="61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9"/>
      <c r="J18" s="40"/>
    </row>
    <row r="19" spans="1:10" ht="30" customHeight="1" x14ac:dyDescent="0.25">
      <c r="A19" s="9"/>
      <c r="B19" s="60" t="s">
        <v>32</v>
      </c>
      <c r="C19" s="61"/>
      <c r="D19" s="61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9"/>
      <c r="J19" s="40"/>
    </row>
    <row r="20" spans="1:10" ht="30" customHeight="1" thickBot="1" x14ac:dyDescent="0.3">
      <c r="A20" s="9"/>
      <c r="B20" s="62" t="s">
        <v>33</v>
      </c>
      <c r="C20" s="63"/>
      <c r="D20" s="63"/>
      <c r="E20" s="22">
        <v>5</v>
      </c>
      <c r="F20" s="13" t="s">
        <v>26</v>
      </c>
      <c r="G20" s="23" t="str">
        <f t="shared" si="0"/>
        <v/>
      </c>
      <c r="H20" s="24" t="str">
        <f t="shared" si="1"/>
        <v/>
      </c>
      <c r="I20" s="42"/>
      <c r="J20" s="43"/>
    </row>
    <row r="21" spans="1:10" ht="30" customHeight="1" x14ac:dyDescent="0.25">
      <c r="A21" s="9"/>
      <c r="B21" s="68" t="s">
        <v>61</v>
      </c>
      <c r="C21" s="69"/>
      <c r="D21" s="69"/>
      <c r="E21" s="18"/>
      <c r="F21" s="19"/>
      <c r="G21" s="20"/>
      <c r="H21" s="21"/>
      <c r="I21" s="37"/>
      <c r="J21" s="38"/>
    </row>
    <row r="22" spans="1:10" ht="30" customHeight="1" x14ac:dyDescent="0.25">
      <c r="A22" s="9"/>
      <c r="B22" s="60" t="s">
        <v>34</v>
      </c>
      <c r="C22" s="61"/>
      <c r="D22" s="61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9"/>
      <c r="J22" s="40"/>
    </row>
    <row r="23" spans="1:10" ht="30" customHeight="1" x14ac:dyDescent="0.25">
      <c r="A23" s="9"/>
      <c r="B23" s="60" t="s">
        <v>35</v>
      </c>
      <c r="C23" s="61"/>
      <c r="D23" s="61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9"/>
      <c r="J23" s="40"/>
    </row>
    <row r="24" spans="1:10" ht="30" customHeight="1" x14ac:dyDescent="0.25">
      <c r="A24" s="9"/>
      <c r="B24" s="60" t="s">
        <v>36</v>
      </c>
      <c r="C24" s="61"/>
      <c r="D24" s="61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9"/>
      <c r="J24" s="40"/>
    </row>
    <row r="25" spans="1:10" ht="30" customHeight="1" x14ac:dyDescent="0.25">
      <c r="A25" s="9"/>
      <c r="B25" s="60" t="s">
        <v>37</v>
      </c>
      <c r="C25" s="61"/>
      <c r="D25" s="61"/>
      <c r="E25" s="8">
        <v>5</v>
      </c>
      <c r="F25" s="12" t="s">
        <v>26</v>
      </c>
      <c r="G25" s="16" t="str">
        <f t="shared" si="0"/>
        <v/>
      </c>
      <c r="H25" s="17" t="str">
        <f t="shared" si="1"/>
        <v/>
      </c>
      <c r="I25" s="39"/>
      <c r="J25" s="40"/>
    </row>
    <row r="26" spans="1:10" ht="30" customHeight="1" x14ac:dyDescent="0.25">
      <c r="A26" s="9"/>
      <c r="B26" s="60" t="s">
        <v>38</v>
      </c>
      <c r="C26" s="61"/>
      <c r="D26" s="61"/>
      <c r="E26" s="8">
        <v>5</v>
      </c>
      <c r="F26" s="12" t="s">
        <v>26</v>
      </c>
      <c r="G26" s="16" t="str">
        <f t="shared" si="0"/>
        <v/>
      </c>
      <c r="H26" s="17" t="str">
        <f t="shared" si="1"/>
        <v/>
      </c>
      <c r="I26" s="39"/>
      <c r="J26" s="40"/>
    </row>
    <row r="27" spans="1:10" ht="30" customHeight="1" x14ac:dyDescent="0.25">
      <c r="A27" s="9"/>
      <c r="B27" s="60" t="s">
        <v>39</v>
      </c>
      <c r="C27" s="61"/>
      <c r="D27" s="61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9"/>
      <c r="J27" s="40"/>
    </row>
    <row r="28" spans="1:10" ht="30" customHeight="1" x14ac:dyDescent="0.25">
      <c r="A28" s="9"/>
      <c r="B28" s="60" t="s">
        <v>40</v>
      </c>
      <c r="C28" s="61"/>
      <c r="D28" s="61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9"/>
      <c r="J28" s="40"/>
    </row>
    <row r="29" spans="1:10" ht="30" customHeight="1" x14ac:dyDescent="0.25">
      <c r="A29" s="9"/>
      <c r="B29" s="60" t="s">
        <v>41</v>
      </c>
      <c r="C29" s="61"/>
      <c r="D29" s="61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9"/>
      <c r="J29" s="40"/>
    </row>
    <row r="30" spans="1:10" ht="30" customHeight="1" x14ac:dyDescent="0.25">
      <c r="A30" s="9"/>
      <c r="B30" s="60" t="s">
        <v>42</v>
      </c>
      <c r="C30" s="61"/>
      <c r="D30" s="61"/>
      <c r="E30" s="8">
        <v>5</v>
      </c>
      <c r="F30" s="12" t="s">
        <v>26</v>
      </c>
      <c r="G30" s="16" t="str">
        <f t="shared" si="0"/>
        <v/>
      </c>
      <c r="H30" s="17" t="str">
        <f t="shared" si="1"/>
        <v/>
      </c>
      <c r="I30" s="39"/>
      <c r="J30" s="40"/>
    </row>
    <row r="31" spans="1:10" ht="30" customHeight="1" x14ac:dyDescent="0.25">
      <c r="A31" s="9"/>
      <c r="B31" s="60" t="s">
        <v>62</v>
      </c>
      <c r="C31" s="61"/>
      <c r="D31" s="61"/>
      <c r="E31" s="8">
        <v>5</v>
      </c>
      <c r="F31" s="12" t="s">
        <v>26</v>
      </c>
      <c r="G31" s="16" t="str">
        <f t="shared" si="0"/>
        <v/>
      </c>
      <c r="H31" s="17" t="str">
        <f t="shared" si="1"/>
        <v/>
      </c>
      <c r="I31" s="39"/>
      <c r="J31" s="40"/>
    </row>
    <row r="32" spans="1:10" ht="30" customHeight="1" x14ac:dyDescent="0.25">
      <c r="A32" s="9"/>
      <c r="B32" s="60" t="s">
        <v>63</v>
      </c>
      <c r="C32" s="61"/>
      <c r="D32" s="61"/>
      <c r="E32" s="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39"/>
      <c r="J32" s="40"/>
    </row>
    <row r="33" spans="1:10" ht="30" customHeight="1" thickBot="1" x14ac:dyDescent="0.3">
      <c r="A33" s="9"/>
      <c r="B33" s="62" t="s">
        <v>43</v>
      </c>
      <c r="C33" s="63"/>
      <c r="D33" s="63"/>
      <c r="E33" s="22">
        <v>5</v>
      </c>
      <c r="F33" s="13" t="s">
        <v>26</v>
      </c>
      <c r="G33" s="23" t="str">
        <f t="shared" si="0"/>
        <v/>
      </c>
      <c r="H33" s="24" t="str">
        <f t="shared" si="1"/>
        <v/>
      </c>
      <c r="I33" s="42"/>
      <c r="J33" s="43"/>
    </row>
    <row r="34" spans="1:10" ht="30" customHeight="1" x14ac:dyDescent="0.25">
      <c r="A34" s="9"/>
      <c r="B34" s="68" t="s">
        <v>53</v>
      </c>
      <c r="C34" s="69"/>
      <c r="D34" s="69"/>
      <c r="E34" s="18"/>
      <c r="F34" s="19"/>
      <c r="G34" s="20"/>
      <c r="H34" s="21"/>
      <c r="I34" s="37"/>
      <c r="J34" s="38"/>
    </row>
    <row r="35" spans="1:10" ht="30" customHeight="1" x14ac:dyDescent="0.25">
      <c r="A35" s="9"/>
      <c r="B35" s="60" t="s">
        <v>44</v>
      </c>
      <c r="C35" s="61"/>
      <c r="D35" s="61"/>
      <c r="E35" s="8">
        <v>5</v>
      </c>
      <c r="F35" s="12" t="s">
        <v>26</v>
      </c>
      <c r="G35" s="16" t="str">
        <f t="shared" si="0"/>
        <v/>
      </c>
      <c r="H35" s="17" t="str">
        <f t="shared" si="1"/>
        <v/>
      </c>
      <c r="I35" s="39"/>
      <c r="J35" s="40"/>
    </row>
    <row r="36" spans="1:10" ht="30" customHeight="1" x14ac:dyDescent="0.25">
      <c r="A36" s="9"/>
      <c r="B36" s="60" t="s">
        <v>45</v>
      </c>
      <c r="C36" s="61"/>
      <c r="D36" s="61"/>
      <c r="E36" s="8">
        <v>5</v>
      </c>
      <c r="F36" s="12" t="s">
        <v>26</v>
      </c>
      <c r="G36" s="16" t="str">
        <f t="shared" si="0"/>
        <v/>
      </c>
      <c r="H36" s="17" t="str">
        <f t="shared" si="1"/>
        <v/>
      </c>
      <c r="I36" s="39"/>
      <c r="J36" s="40"/>
    </row>
    <row r="37" spans="1:10" ht="30" customHeight="1" thickBot="1" x14ac:dyDescent="0.3">
      <c r="A37" s="9"/>
      <c r="B37" s="62" t="s">
        <v>46</v>
      </c>
      <c r="C37" s="63"/>
      <c r="D37" s="63"/>
      <c r="E37" s="22">
        <v>5</v>
      </c>
      <c r="F37" s="13" t="s">
        <v>26</v>
      </c>
      <c r="G37" s="23" t="str">
        <f t="shared" si="0"/>
        <v/>
      </c>
      <c r="H37" s="24" t="str">
        <f t="shared" si="1"/>
        <v/>
      </c>
      <c r="I37" s="42"/>
      <c r="J37" s="43"/>
    </row>
    <row r="38" spans="1:10" ht="30" customHeight="1" x14ac:dyDescent="0.25">
      <c r="A38" s="9"/>
      <c r="B38" s="68" t="s">
        <v>54</v>
      </c>
      <c r="C38" s="69"/>
      <c r="D38" s="69"/>
      <c r="E38" s="18"/>
      <c r="F38" s="19"/>
      <c r="G38" s="20"/>
      <c r="H38" s="21"/>
      <c r="I38" s="37"/>
      <c r="J38" s="38"/>
    </row>
    <row r="39" spans="1:10" ht="30" customHeight="1" x14ac:dyDescent="0.25">
      <c r="A39" s="9"/>
      <c r="B39" s="60" t="s">
        <v>47</v>
      </c>
      <c r="C39" s="61"/>
      <c r="D39" s="61"/>
      <c r="E39" s="8">
        <v>5</v>
      </c>
      <c r="F39" s="12" t="s">
        <v>26</v>
      </c>
      <c r="G39" s="16" t="str">
        <f t="shared" si="0"/>
        <v/>
      </c>
      <c r="H39" s="17" t="str">
        <f t="shared" si="1"/>
        <v/>
      </c>
      <c r="I39" s="39"/>
      <c r="J39" s="40"/>
    </row>
    <row r="40" spans="1:10" ht="30" customHeight="1" x14ac:dyDescent="0.25">
      <c r="A40" s="9"/>
      <c r="B40" s="60" t="s">
        <v>48</v>
      </c>
      <c r="C40" s="61"/>
      <c r="D40" s="61"/>
      <c r="E40" s="8">
        <v>5</v>
      </c>
      <c r="F40" s="12" t="s">
        <v>26</v>
      </c>
      <c r="G40" s="16" t="str">
        <f t="shared" si="0"/>
        <v/>
      </c>
      <c r="H40" s="17" t="str">
        <f t="shared" si="1"/>
        <v/>
      </c>
      <c r="I40" s="39"/>
      <c r="J40" s="40"/>
    </row>
    <row r="41" spans="1:10" ht="30" customHeight="1" x14ac:dyDescent="0.25">
      <c r="A41" s="9"/>
      <c r="B41" s="60" t="s">
        <v>49</v>
      </c>
      <c r="C41" s="61"/>
      <c r="D41" s="61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39"/>
      <c r="J41" s="40"/>
    </row>
    <row r="42" spans="1:10" ht="30" customHeight="1" x14ac:dyDescent="0.25">
      <c r="A42" s="9"/>
      <c r="B42" s="60" t="s">
        <v>50</v>
      </c>
      <c r="C42" s="61"/>
      <c r="D42" s="61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39"/>
      <c r="J42" s="40"/>
    </row>
    <row r="43" spans="1:10" ht="30" customHeight="1" thickBot="1" x14ac:dyDescent="0.3">
      <c r="A43" s="9"/>
      <c r="B43" s="62" t="s">
        <v>51</v>
      </c>
      <c r="C43" s="63"/>
      <c r="D43" s="63"/>
      <c r="E43" s="22">
        <v>5</v>
      </c>
      <c r="F43" s="13" t="s">
        <v>26</v>
      </c>
      <c r="G43" s="23" t="str">
        <f t="shared" si="0"/>
        <v/>
      </c>
      <c r="H43" s="24" t="str">
        <f t="shared" si="1"/>
        <v/>
      </c>
      <c r="I43" s="42"/>
      <c r="J43" s="43"/>
    </row>
    <row r="44" spans="1:10" ht="30" customHeight="1" x14ac:dyDescent="0.25">
      <c r="A44" s="9"/>
      <c r="B44" s="72" t="s">
        <v>64</v>
      </c>
      <c r="C44" s="73"/>
      <c r="D44" s="73"/>
      <c r="E44" s="25"/>
      <c r="F44" s="19"/>
      <c r="G44" s="20"/>
      <c r="H44" s="21"/>
      <c r="I44" s="37"/>
      <c r="J44" s="38"/>
    </row>
    <row r="45" spans="1:10" ht="30" customHeight="1" x14ac:dyDescent="0.25">
      <c r="A45" s="9"/>
      <c r="B45" s="60" t="s">
        <v>65</v>
      </c>
      <c r="C45" s="61"/>
      <c r="D45" s="61"/>
      <c r="E45" s="8">
        <v>5</v>
      </c>
      <c r="F45" s="12" t="s">
        <v>26</v>
      </c>
      <c r="G45" s="16" t="str">
        <f t="shared" si="0"/>
        <v/>
      </c>
      <c r="H45" s="17" t="str">
        <f t="shared" si="1"/>
        <v/>
      </c>
      <c r="I45" s="39"/>
      <c r="J45" s="40"/>
    </row>
    <row r="46" spans="1:10" ht="30" customHeight="1" x14ac:dyDescent="0.25">
      <c r="A46" s="9"/>
      <c r="B46" s="60" t="s">
        <v>66</v>
      </c>
      <c r="C46" s="61"/>
      <c r="D46" s="61"/>
      <c r="E46" s="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39"/>
      <c r="J46" s="40"/>
    </row>
    <row r="47" spans="1:10" ht="30" customHeight="1" x14ac:dyDescent="0.25">
      <c r="A47" s="9"/>
      <c r="B47" s="60" t="s">
        <v>67</v>
      </c>
      <c r="C47" s="61"/>
      <c r="D47" s="61"/>
      <c r="E47" s="8">
        <v>5</v>
      </c>
      <c r="F47" s="12" t="s">
        <v>26</v>
      </c>
      <c r="G47" s="16" t="str">
        <f t="shared" si="0"/>
        <v/>
      </c>
      <c r="H47" s="17" t="str">
        <f t="shared" si="1"/>
        <v/>
      </c>
      <c r="I47" s="39"/>
      <c r="J47" s="40"/>
    </row>
    <row r="48" spans="1:10" ht="30" customHeight="1" thickBot="1" x14ac:dyDescent="0.3">
      <c r="A48" s="9"/>
      <c r="B48" s="62" t="s">
        <v>68</v>
      </c>
      <c r="C48" s="63"/>
      <c r="D48" s="63"/>
      <c r="E48" s="22">
        <v>5</v>
      </c>
      <c r="F48" s="13" t="s">
        <v>26</v>
      </c>
      <c r="G48" s="23" t="str">
        <f t="shared" si="0"/>
        <v/>
      </c>
      <c r="H48" s="24" t="str">
        <f t="shared" si="1"/>
        <v/>
      </c>
      <c r="I48" s="42"/>
      <c r="J48" s="43"/>
    </row>
    <row r="49" spans="1:10" ht="30" customHeight="1" thickBot="1" x14ac:dyDescent="0.3">
      <c r="A49" s="3"/>
      <c r="B49" s="64" t="s">
        <v>5</v>
      </c>
      <c r="C49" s="65"/>
      <c r="D49" s="65"/>
      <c r="E49" s="15">
        <f>SUM(E8:E48)</f>
        <v>170</v>
      </c>
      <c r="F49" s="15">
        <f>SUM(F8:F48)</f>
        <v>0</v>
      </c>
      <c r="G49" s="57"/>
      <c r="H49" s="58"/>
      <c r="I49" s="58"/>
      <c r="J49" s="59"/>
    </row>
    <row r="50" spans="1:10" ht="30" customHeight="1" thickBot="1" x14ac:dyDescent="0.3">
      <c r="A50" s="3"/>
      <c r="B50" s="66" t="s">
        <v>20</v>
      </c>
      <c r="C50" s="67"/>
      <c r="D50" s="67"/>
      <c r="E50" s="33">
        <f>F49/E49/100*100</f>
        <v>0</v>
      </c>
      <c r="F50" s="33"/>
      <c r="G50" s="33"/>
      <c r="H50" s="33"/>
      <c r="I50" s="33"/>
      <c r="J50" s="34"/>
    </row>
    <row r="51" spans="1:10" ht="30" customHeight="1" thickBot="1" x14ac:dyDescent="0.3">
      <c r="A51" s="3"/>
      <c r="B51" s="66" t="s">
        <v>21</v>
      </c>
      <c r="C51" s="67"/>
      <c r="D51" s="67"/>
      <c r="E51" s="53" t="str">
        <f>_xlfn.IFS(E50&gt;=90%,"ممتاز",E50&gt;=80%,"جيد جداً",E50&gt;=70%,"جيد",E50&gt;=60%,"مقبول",E50&lt;60%,"راسب")</f>
        <v>راسب</v>
      </c>
      <c r="F51" s="53"/>
      <c r="G51" s="53"/>
      <c r="H51" s="53"/>
      <c r="I51" s="53"/>
      <c r="J51" s="54"/>
    </row>
    <row r="52" spans="1:10" ht="42" customHeight="1" x14ac:dyDescent="0.25">
      <c r="B52" s="49" t="s">
        <v>27</v>
      </c>
      <c r="C52" s="49"/>
      <c r="D52" s="49"/>
      <c r="E52" s="55" t="s">
        <v>18</v>
      </c>
      <c r="F52" s="55"/>
      <c r="G52" s="51" t="s">
        <v>24</v>
      </c>
      <c r="H52" s="51"/>
      <c r="I52" s="51"/>
      <c r="J52" s="51"/>
    </row>
    <row r="53" spans="1:10" ht="51" customHeight="1" x14ac:dyDescent="0.25">
      <c r="A53" s="4"/>
      <c r="B53" s="50"/>
      <c r="C53" s="50"/>
      <c r="D53" s="50"/>
      <c r="E53" s="56" t="s">
        <v>19</v>
      </c>
      <c r="F53" s="56"/>
      <c r="G53" s="52"/>
      <c r="H53" s="52"/>
      <c r="I53" s="52"/>
      <c r="J53" s="52"/>
    </row>
  </sheetData>
  <sheetProtection formatCells="0" formatColumns="0" formatRows="0" insertColumns="0" insertRows="0" insertHyperlinks="0" deleteColumns="0" deleteRows="0" selectLockedCells="1" sort="0" autoFilter="0" pivotTables="0"/>
  <mergeCells count="103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6:D46"/>
    <mergeCell ref="B47:D47"/>
    <mergeCell ref="B48:D48"/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E51">
    <cfRule type="expression" dxfId="23" priority="57">
      <formula>$E51="راسب"</formula>
    </cfRule>
  </conditionalFormatting>
  <conditionalFormatting sqref="E51:J51">
    <cfRule type="expression" dxfId="22" priority="58">
      <formula>$E51="مقبول"</formula>
    </cfRule>
    <cfRule type="expression" dxfId="21" priority="59">
      <formula>$E51="جيد"</formula>
    </cfRule>
    <cfRule type="expression" dxfId="20" priority="60">
      <formula>$E51="جيد جداً"</formula>
    </cfRule>
    <cfRule type="expression" dxfId="19" priority="61">
      <formula>$E51="ممتاز"</formula>
    </cfRule>
  </conditionalFormatting>
  <conditionalFormatting sqref="H8 H10:H48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48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8" priority="15" operator="containsText" text="أدخل اسم المحكم">
      <formula>NOT(ISERROR(SEARCH("أدخل اسم المحكم",G52)))</formula>
    </cfRule>
  </conditionalFormatting>
  <conditionalFormatting sqref="F8 F10:F48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3" max="9" man="1"/>
  </row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F45:F48 F39:F43 F35:F37 F22:F33 F17:F20 F14:F15 F9:F12</xm:sqref>
        </x14:dataValidation>
        <x14:dataValidation type="list" allowBlank="1" showInputMessage="1" showErrorMessage="1">
          <x14:formula1>
            <xm:f>#REF!</xm:f>
          </x14:formula1>
          <xm:sqref>G52:J52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2026-09-06T08:18:02Z</dcterms:modified>
</cp:coreProperties>
</file>