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5A59878-C7EB-0E46-B429-40DF04F231F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F33" i="2"/>
  <c r="E33" i="2"/>
  <c r="E34" i="2"/>
  <c r="E35" i="2"/>
</calcChain>
</file>

<file path=xl/sharedStrings.xml><?xml version="1.0" encoding="utf-8"?>
<sst xmlns="http://schemas.openxmlformats.org/spreadsheetml/2006/main" count="262" uniqueCount="206">
  <si>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</si>
  <si>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</si>
  <si>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</si>
  <si>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</si>
  <si>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</si>
  <si>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</si>
  <si>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</si>
  <si>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</si>
  <si>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</si>
  <si>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</si>
  <si>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</si>
  <si>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</si>
  <si>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</si>
  <si>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</si>
  <si>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</si>
  <si>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</si>
  <si>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</si>
  <si>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</si>
  <si>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</si>
  <si>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</si>
  <si>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</si>
  <si>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</si>
  <si>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</si>
  <si>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</si>
  <si>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</si>
  <si>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</si>
  <si>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</si>
  <si>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</si>
  <si>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</si>
  <si>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</si>
  <si>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</si>
  <si>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</si>
  <si>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</si>
  <si>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</si>
  <si>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</si>
  <si>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</si>
  <si>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</si>
  <si>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</si>
  <si>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</si>
  <si>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</si>
  <si>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</si>
  <si>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</si>
  <si>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</si>
  <si>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</si>
  <si>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</si>
  <si>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</si>
  <si>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</si>
  <si>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</si>
  <si>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</si>
  <si>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</si>
  <si>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</si>
  <si>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</si>
  <si>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</si>
  <si>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</si>
  <si>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</si>
  <si>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</si>
  <si>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</si>
  <si>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</si>
  <si>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</si>
  <si>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</si>
  <si>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</si>
  <si>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</si>
  <si>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</si>
  <si>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</si>
  <si>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</si>
  <si>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</si>
  <si>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</si>
  <si>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</si>
  <si>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</si>
  <si>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</si>
  <si>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</si>
  <si>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</si>
  <si>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</si>
  <si>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</si>
  <si>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</si>
  <si>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</si>
  <si>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</si>
  <si>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</si>
  <si>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</si>
  <si>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</si>
  <si>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</si>
  <si>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</si>
  <si>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</si>
  <si>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</si>
  <si>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</si>
  <si>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</si>
  <si>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</si>
  <si>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</si>
  <si>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</si>
  <si>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</si>
  <si>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</si>
  <si>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</si>
  <si>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</si>
  <si>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</si>
  <si>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</si>
  <si>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</si>
  <si>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</si>
  <si>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</si>
  <si>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</si>
  <si>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</si>
  <si>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</si>
  <si>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</si>
  <si>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</si>
  <si>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</si>
  <si>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</si>
  <si>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</si>
  <si>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</si>
  <si>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</si>
  <si>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</si>
  <si>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</si>
  <si>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</si>
  <si>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</si>
  <si>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</si>
  <si>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</si>
  <si>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</si>
  <si>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</si>
  <si>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</si>
  <si>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</si>
  <si>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</si>
  <si>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</si>
  <si>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</si>
  <si>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</si>
  <si>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</si>
  <si>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</si>
  <si>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</si>
  <si>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</si>
  <si>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</si>
  <si>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</si>
  <si>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</si>
  <si>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</si>
  <si>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</si>
  <si>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</si>
  <si>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</si>
  <si>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</si>
  <si>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</si>
  <si>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</si>
  <si>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</si>
  <si>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</si>
  <si>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</si>
  <si>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</si>
  <si>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</si>
  <si>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</si>
  <si>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</si>
  <si>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</si>
  <si>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</si>
  <si>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</si>
  <si>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</si>
  <si>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</si>
  <si>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</si>
  <si>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</si>
  <si>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</si>
  <si>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</si>
  <si>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</si>
  <si>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</si>
  <si>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</si>
  <si>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</si>
  <si>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</si>
  <si>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</si>
  <si>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</si>
  <si>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</si>
  <si>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</si>
  <si>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</si>
  <si>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</si>
  <si>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</si>
  <si>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</si>
  <si>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</si>
  <si>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</si>
  <si>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</si>
  <si>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</si>
  <si>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</si>
  <si>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</si>
  <si>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</si>
  <si>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</si>
  <si>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</si>
  <si>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</si>
  <si>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</si>
  <si>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</si>
  <si>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</si>
  <si>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</si>
  <si>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</si>
  <si>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إجراءات سرية الهاون 120 ملم في منطقة التجمع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</si>
  <si>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أ. وصول القوة إلى منطقة التجمع.</t>
  </si>
  <si>
    <t>ب. إنشاء دفاع محلي.</t>
  </si>
  <si>
    <t>جـ. تخصيص المواقع في منطقة التجمع.</t>
  </si>
  <si>
    <t xml:space="preserve">د. تأشير نقاط الالتقاء </t>
  </si>
  <si>
    <t>هـ. تأشير مواقع الآليات (ليلاً / نهاراً).</t>
  </si>
  <si>
    <t>و. تأشير مواقع الأخطار في المنطقة.</t>
  </si>
  <si>
    <t>ز. تأشير موقع القيادة الرئيسية.</t>
  </si>
  <si>
    <t>أ. التأكد من التوزيع الدائري في منطقة التجمع.</t>
  </si>
  <si>
    <t>ب. تحديد الطرق إلى منطقة التجمع (نقاط الضبط والسيطرة).</t>
  </si>
  <si>
    <t>جـ. تحديد الاتصالات واللاسلكية ومد الخطوط السلكية.</t>
  </si>
  <si>
    <t>د. إخراج الدوريات والمراقبات.</t>
  </si>
  <si>
    <t>هـ. بناء الأسلاك الشائكة عند الضرورة.</t>
  </si>
  <si>
    <t>و. تحديد المواقع البديلة في حال التعرض للهجوم.</t>
  </si>
  <si>
    <t>ز. التأكد من استخدام وفاعليه أجهزة المراقبة الليلية.</t>
  </si>
  <si>
    <t>ح. الحماية بالنيران.</t>
  </si>
  <si>
    <r>
      <t>ط. انتخاب نقاط مرجع (</t>
    </r>
    <r>
      <rPr>
        <b/>
        <sz val="12"/>
        <color rgb="FF000000"/>
        <rFont val="Arial"/>
        <family val="2"/>
      </rPr>
      <t>GPS</t>
    </r>
    <r>
      <rPr>
        <sz val="12"/>
        <color rgb="FF000000"/>
        <rFont val="Arial"/>
        <family val="2"/>
      </rPr>
      <t>) حول منطقة التجمع.</t>
    </r>
  </si>
  <si>
    <t>ي. تحديد خطه استخدام الهاون وخطوط النيران.</t>
  </si>
  <si>
    <t>أ. استكمال النقص في الذخيرة.</t>
  </si>
  <si>
    <t>ب. استكمال النقص في الوقود.</t>
  </si>
  <si>
    <t>جـ. استكمال مواد الإسناد الإداري.</t>
  </si>
  <si>
    <t>د. تفقد شبكات الاتصالات.</t>
  </si>
  <si>
    <t>هـ. تفقد وصيانته الآليات والأسلحة.</t>
  </si>
  <si>
    <r>
      <t>1.</t>
    </r>
    <r>
      <rPr>
        <b/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توزيع القوة في منطقة التجمع (الدفاع الدائري).</t>
    </r>
  </si>
  <si>
    <r>
      <t>2.</t>
    </r>
    <r>
      <rPr>
        <b/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إجراءات الحماية والدفاع الدائري في منطقة التجمع.</t>
    </r>
  </si>
  <si>
    <r>
      <t>3.</t>
    </r>
    <r>
      <rPr>
        <b/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استكمال التحضيرات والتفتيشات وسد النقص.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</si>
</sst>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 Light"/>
      <family val="2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4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2" fillId="0" borderId="11" xfId="0" applyFont="1" applyBorder="1" applyAlignment="1">
      <alignment horizontal="right" vertical="center" wrapText="1" indent="3" readingOrder="2"/>
    </xf>
    <xf numFmtId="0" fontId="12" fillId="0" borderId="12" xfId="0" applyFont="1" applyBorder="1" applyAlignment="1">
      <alignment horizontal="right" vertical="center" wrapText="1" indent="3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237598</xdr:colOff>
      <xdr:row>35</xdr:row>
      <xdr:rowOff>395077</xdr:rowOff>
    </xdr:from>
    <xdr:to>
      <xdr:col>9</xdr:col>
      <xdr:colOff>268526</xdr:colOff>
      <xdr:row>36</xdr:row>
      <xdr:rowOff>639415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44DEA1F-2E88-ABED-E9CC-81CD23827DA1}"/>
                </a:ext>
              </a:extLst>
            </xdr14:cNvPr>
            <xdr14:cNvContentPartPr/>
          </xdr14:nvContentPartPr>
          <xdr14:nvPr macro=""/>
          <xdr14:xfrm>
            <a:off x="10492835157" y="13712760"/>
            <a:ext cx="2005200" cy="7812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44DEA1F-2E88-ABED-E9CC-81CD23827DA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92829037" y="13706640"/>
              <a:ext cx="2017440" cy="79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372238</xdr:colOff>
      <xdr:row>38</xdr:row>
      <xdr:rowOff>188642</xdr:rowOff>
    </xdr:from>
    <xdr:to>
      <xdr:col>6</xdr:col>
      <xdr:colOff>372598</xdr:colOff>
      <xdr:row>38</xdr:row>
      <xdr:rowOff>189002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E59C7C5-DCC0-BC95-B522-D3E59382DF62}"/>
                </a:ext>
              </a:extLst>
            </xdr14:cNvPr>
            <xdr14:cNvContentPartPr/>
          </xdr14:nvContentPartPr>
          <xdr14:nvPr macro=""/>
          <xdr14:xfrm>
            <a:off x="10494705357" y="14883120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E59C7C5-DCC0-BC95-B522-D3E59382DF6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94699237" y="148770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08:08:50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4041 2169,'0'0,"0"0,0 0,0 0,0 0,0 0,0 0,0 0,0 0,0 0,0 0,0-24,-24 24,22 0,-20-24,22 0,0 20,-24-16,-24-4,43 20,-14 8,-29-28,43 20,-62-16,19 20,43 0,-87 0,-4 0,84 0,-72 24,-12-24,81 0,-90 0,8 0,83 0,-68 0,-14 24,81-21,-42-6,-15 3,60 0,-25-24,-11 24,44 0,-16 0,-4-24,22 20,4-16,-26 20,22 0,4-25,-2 1,0 21,0-18,0-3,0 21,0-18,0 9,-24 0,-24 12,43 0,-14 0,-29 0,43 0,-62 0,-5 24,60-20,-73-8,-35 28,101-20,-82 16,-43 4,119-20,-95 16,-24 5,120-22,-96 42,-25-21,121-20,-48-8,-24 28,81-21,-42 18,-15-21,62 0,-5 0,-33 0,44 0,8-24,-4 12,24 0,73-60,-83 61,140-27,62-58,-182 81,197-66,82-15,-265 81,265-90,71-16,-326 103,293-84,58 6,-349 81,265-66,36-40,-301 102,217-34,35-19,-259 60,87-24,4-12,-120 40,96-8,-48 16,-60 0,49 0,-25 0,-96 0,36 24,21-21,-43-6,-2 3,39 0,-150 48,-9 0,141-40,-187 32,-75 32,244-61,-222 74,-46-12,263-62,-237 74,-49-13,283-61,-159 50,-5 11,181-60,-144 24,36-12,120-20,-73 17,25 3,60-20,-48 16,36-20,22 0,28 0,-2 0,-21 0,66 0,52-48,-100 40,126-9,69-31,-182 41,101-10,81-55,-182 61,149-26,-15 13,-141 20,90-40,-20 20,-83 20,20-16,14-4,-39 20,6 8,-39-4,21 0,-18 0,-3 0,21 0,-18 24,-76 0,83-20,-140 16,-38 28,163-40,-135 32,-76 8,201-40,-187 56,-38 9,220-62,-153 50,29-13,141-41,-91 34,22-17,82-20,-44 16,10 4,38-20,68-8,14-20,-60 20,120-64,85-28,-183 81,197-91,57-14,-242 101,245-130,94-20,-323 142,237-138,13-27,-264 162,169-109,-49 43,-141 80,66-40,-20-40,-61 80,0-41,-36 9,21 41,-163-10,-74-7,201 20,-259 32,-39-4,284-20,-279 40,-77 5,342-42,-395 82,-43 31,428-101,-279 106,-5 20,304-123,-198 124,14-2,203-121,-92 51,34 22,81-83,-67 94,82-11,0-80,121 113,47-9,-141-101,211 58,74-5,-264-61,241 50,72-13,-308-40,375 33,101-41,-442 0,307-73,63 1,-387 61,269-50,-2-35,-277 78,-120 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08:08:51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7"/>
  <sheetViews>
    <sheetView rightToLeft="1" tabSelected="1" view="pageBreakPreview" zoomScale="130" zoomScaleNormal="100" zoomScaleSheetLayoutView="130" workbookViewId="0">
      <selection activeCell="G37" sqref="G37:J3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7" t="s">
        <v>180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2">
      <c r="B2" s="10" t="s">
        <v>8</v>
      </c>
      <c r="C2" s="63" t="s">
        <v>11</v>
      </c>
      <c r="D2" s="63"/>
      <c r="E2" s="10" t="s">
        <v>7</v>
      </c>
      <c r="F2" s="58">
        <v>45952</v>
      </c>
      <c r="G2" s="58"/>
      <c r="H2" s="58"/>
      <c r="I2" s="58"/>
      <c r="J2" s="58"/>
    </row>
    <row r="3" spans="1:10" ht="30" customHeight="1" x14ac:dyDescent="0.2">
      <c r="B3" s="10" t="s">
        <v>9</v>
      </c>
      <c r="C3" s="63" t="s">
        <v>69</v>
      </c>
      <c r="D3" s="63"/>
      <c r="E3" s="10" t="s">
        <v>6</v>
      </c>
      <c r="F3" s="63" t="s">
        <v>134</v>
      </c>
      <c r="G3" s="63"/>
      <c r="H3" s="63"/>
      <c r="I3" s="63"/>
      <c r="J3" s="63"/>
    </row>
    <row r="4" spans="1:10" ht="30" customHeight="1" thickBot="1" x14ac:dyDescent="0.25">
      <c r="B4" s="6"/>
      <c r="C4" s="79"/>
      <c r="D4" s="79"/>
      <c r="E4" s="6"/>
      <c r="F4" s="79"/>
      <c r="G4" s="79"/>
      <c r="H4" s="79"/>
      <c r="I4" s="79"/>
      <c r="J4" s="79"/>
    </row>
    <row r="5" spans="1:10" ht="24.95" customHeight="1" x14ac:dyDescent="0.2">
      <c r="A5" s="8"/>
      <c r="B5" s="59" t="s">
        <v>0</v>
      </c>
      <c r="C5" s="60"/>
      <c r="D5" s="60"/>
      <c r="E5" s="51" t="s">
        <v>1</v>
      </c>
      <c r="F5" s="51"/>
      <c r="G5" s="51"/>
      <c r="H5" s="51"/>
      <c r="I5" s="51" t="s">
        <v>2</v>
      </c>
      <c r="J5" s="52"/>
    </row>
    <row r="6" spans="1:10" ht="24.95" customHeight="1" thickBot="1" x14ac:dyDescent="0.25">
      <c r="A6" s="8"/>
      <c r="B6" s="61"/>
      <c r="C6" s="62"/>
      <c r="D6" s="62"/>
      <c r="E6" s="9" t="s">
        <v>3</v>
      </c>
      <c r="F6" s="9" t="s">
        <v>4</v>
      </c>
      <c r="G6" s="9" t="s">
        <v>23</v>
      </c>
      <c r="H6" s="9" t="s">
        <v>24</v>
      </c>
      <c r="I6" s="53"/>
      <c r="J6" s="54"/>
    </row>
    <row r="7" spans="1:10" ht="24.95" customHeight="1" thickBot="1" x14ac:dyDescent="0.25">
      <c r="A7" s="8"/>
      <c r="B7" s="47" t="s">
        <v>21</v>
      </c>
      <c r="C7" s="48"/>
      <c r="D7" s="48"/>
      <c r="E7" s="26" t="s">
        <v>18</v>
      </c>
      <c r="F7" s="26" t="s">
        <v>19</v>
      </c>
      <c r="G7" s="26" t="s">
        <v>22</v>
      </c>
      <c r="H7" s="26" t="s">
        <v>20</v>
      </c>
      <c r="I7" s="55" t="s">
        <v>25</v>
      </c>
      <c r="J7" s="56"/>
    </row>
    <row r="8" spans="1:10" ht="30" customHeight="1" x14ac:dyDescent="0.2">
      <c r="A8" s="8"/>
      <c r="B8" s="45" t="s">
        <v>203</v>
      </c>
      <c r="C8" s="46"/>
      <c r="D8" s="46"/>
      <c r="E8" s="30"/>
      <c r="F8" s="31"/>
      <c r="G8" s="32"/>
      <c r="H8" s="33"/>
      <c r="I8" s="43"/>
      <c r="J8" s="44"/>
    </row>
    <row r="9" spans="1:10" ht="30" customHeight="1" x14ac:dyDescent="0.2">
      <c r="A9" s="8"/>
      <c r="B9" s="37" t="s">
        <v>181</v>
      </c>
      <c r="C9" s="38"/>
      <c r="D9" s="38"/>
      <c r="E9" s="7">
        <v>5</v>
      </c>
      <c r="F9" s="24">
        <v>4.25</v>
      </c>
      <c r="G9" s="28">
        <f>IFERROR(F9/E9,"")</f>
        <v>0.85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9"/>
      <c r="J9" s="50"/>
    </row>
    <row r="10" spans="1:10" ht="30" customHeight="1" x14ac:dyDescent="0.2">
      <c r="A10" s="8"/>
      <c r="B10" s="37" t="s">
        <v>182</v>
      </c>
      <c r="C10" s="38"/>
      <c r="D10" s="38"/>
      <c r="E10" s="7">
        <v>5</v>
      </c>
      <c r="F10" s="24">
        <v>3.25</v>
      </c>
      <c r="G10" s="28">
        <f t="shared" ref="G10:G32" si="0">IFERROR(F10/E10,"")</f>
        <v>0.65</v>
      </c>
      <c r="H10" s="29" t="str">
        <f t="shared" ref="H10:H32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49"/>
      <c r="J10" s="50"/>
    </row>
    <row r="11" spans="1:10" ht="30" customHeight="1" x14ac:dyDescent="0.2">
      <c r="A11" s="8"/>
      <c r="B11" s="37" t="s">
        <v>183</v>
      </c>
      <c r="C11" s="38"/>
      <c r="D11" s="38"/>
      <c r="E11" s="7">
        <v>5</v>
      </c>
      <c r="F11" s="24">
        <v>3.5</v>
      </c>
      <c r="G11" s="28">
        <f t="shared" si="0"/>
        <v>0.7</v>
      </c>
      <c r="H11" s="29" t="str">
        <f t="shared" si="1"/>
        <v>جيد</v>
      </c>
      <c r="I11" s="49"/>
      <c r="J11" s="50"/>
    </row>
    <row r="12" spans="1:10" ht="30" customHeight="1" x14ac:dyDescent="0.2">
      <c r="A12" s="8"/>
      <c r="B12" s="37" t="s">
        <v>184</v>
      </c>
      <c r="C12" s="38"/>
      <c r="D12" s="38"/>
      <c r="E12" s="7">
        <v>5</v>
      </c>
      <c r="F12" s="24">
        <v>3.75</v>
      </c>
      <c r="G12" s="28">
        <f t="shared" si="0"/>
        <v>0.75</v>
      </c>
      <c r="H12" s="29" t="str">
        <f t="shared" si="1"/>
        <v>جيد</v>
      </c>
      <c r="I12" s="49"/>
      <c r="J12" s="50"/>
    </row>
    <row r="13" spans="1:10" ht="30" customHeight="1" x14ac:dyDescent="0.2">
      <c r="A13" s="8"/>
      <c r="B13" s="37" t="s">
        <v>185</v>
      </c>
      <c r="C13" s="38"/>
      <c r="D13" s="38"/>
      <c r="E13" s="7">
        <v>5</v>
      </c>
      <c r="F13" s="24">
        <v>3.75</v>
      </c>
      <c r="G13" s="28">
        <f t="shared" si="0"/>
        <v>0.75</v>
      </c>
      <c r="H13" s="29" t="str">
        <f t="shared" si="1"/>
        <v>جيد</v>
      </c>
      <c r="I13" s="49"/>
      <c r="J13" s="50"/>
    </row>
    <row r="14" spans="1:10" ht="30" customHeight="1" x14ac:dyDescent="0.2">
      <c r="A14" s="8"/>
      <c r="B14" s="37" t="s">
        <v>186</v>
      </c>
      <c r="C14" s="38"/>
      <c r="D14" s="38"/>
      <c r="E14" s="7">
        <v>5</v>
      </c>
      <c r="F14" s="24">
        <v>3</v>
      </c>
      <c r="G14" s="28">
        <f t="shared" si="0"/>
        <v>0.6</v>
      </c>
      <c r="H14" s="29" t="str">
        <f t="shared" si="1"/>
        <v>مقبول</v>
      </c>
      <c r="I14" s="49"/>
      <c r="J14" s="50"/>
    </row>
    <row r="15" spans="1:10" ht="30" customHeight="1" thickBot="1" x14ac:dyDescent="0.25">
      <c r="A15" s="8"/>
      <c r="B15" s="39" t="s">
        <v>187</v>
      </c>
      <c r="C15" s="40"/>
      <c r="D15" s="40"/>
      <c r="E15" s="34">
        <v>5</v>
      </c>
      <c r="F15" s="25">
        <v>3.25</v>
      </c>
      <c r="G15" s="35">
        <f t="shared" si="0"/>
        <v>0.65</v>
      </c>
      <c r="H15" s="36" t="str">
        <f t="shared" si="1"/>
        <v>مقبول</v>
      </c>
      <c r="I15" s="41"/>
      <c r="J15" s="42"/>
    </row>
    <row r="16" spans="1:10" ht="30" customHeight="1" x14ac:dyDescent="0.2">
      <c r="A16" s="8"/>
      <c r="B16" s="45" t="s">
        <v>204</v>
      </c>
      <c r="C16" s="46"/>
      <c r="D16" s="46"/>
      <c r="E16" s="30"/>
      <c r="F16" s="31"/>
      <c r="G16" s="32"/>
      <c r="H16" s="33"/>
      <c r="I16" s="43"/>
      <c r="J16" s="44"/>
    </row>
    <row r="17" spans="1:10" ht="30" customHeight="1" x14ac:dyDescent="0.2">
      <c r="A17" s="8"/>
      <c r="B17" s="37" t="s">
        <v>188</v>
      </c>
      <c r="C17" s="38"/>
      <c r="D17" s="38"/>
      <c r="E17" s="7">
        <v>5</v>
      </c>
      <c r="F17" s="24">
        <v>3.25</v>
      </c>
      <c r="G17" s="28">
        <f t="shared" si="0"/>
        <v>0.65</v>
      </c>
      <c r="H17" s="29" t="str">
        <f t="shared" si="1"/>
        <v>مقبول</v>
      </c>
      <c r="I17" s="49"/>
      <c r="J17" s="50"/>
    </row>
    <row r="18" spans="1:10" ht="30" customHeight="1" x14ac:dyDescent="0.2">
      <c r="A18" s="8"/>
      <c r="B18" s="37" t="s">
        <v>189</v>
      </c>
      <c r="C18" s="38"/>
      <c r="D18" s="38"/>
      <c r="E18" s="7">
        <v>5</v>
      </c>
      <c r="F18" s="24">
        <v>3.75</v>
      </c>
      <c r="G18" s="28">
        <f t="shared" si="0"/>
        <v>0.75</v>
      </c>
      <c r="H18" s="29" t="str">
        <f t="shared" si="1"/>
        <v>جيد</v>
      </c>
      <c r="I18" s="49"/>
      <c r="J18" s="50"/>
    </row>
    <row r="19" spans="1:10" ht="30" customHeight="1" x14ac:dyDescent="0.2">
      <c r="A19" s="8"/>
      <c r="B19" s="37" t="s">
        <v>190</v>
      </c>
      <c r="C19" s="38"/>
      <c r="D19" s="38"/>
      <c r="E19" s="7">
        <v>5</v>
      </c>
      <c r="F19" s="24">
        <v>3.5</v>
      </c>
      <c r="G19" s="28">
        <f t="shared" si="0"/>
        <v>0.7</v>
      </c>
      <c r="H19" s="29" t="str">
        <f t="shared" si="1"/>
        <v>جيد</v>
      </c>
      <c r="I19" s="49"/>
      <c r="J19" s="50"/>
    </row>
    <row r="20" spans="1:10" ht="30" customHeight="1" x14ac:dyDescent="0.2">
      <c r="A20" s="8"/>
      <c r="B20" s="37" t="s">
        <v>191</v>
      </c>
      <c r="C20" s="38"/>
      <c r="D20" s="38"/>
      <c r="E20" s="7">
        <v>5</v>
      </c>
      <c r="F20" s="24">
        <v>4.25</v>
      </c>
      <c r="G20" s="28">
        <f t="shared" si="0"/>
        <v>0.85</v>
      </c>
      <c r="H20" s="29" t="str">
        <f t="shared" si="1"/>
        <v>جيد جداً</v>
      </c>
      <c r="I20" s="49"/>
      <c r="J20" s="50"/>
    </row>
    <row r="21" spans="1:10" ht="30" customHeight="1" x14ac:dyDescent="0.2">
      <c r="A21" s="8"/>
      <c r="B21" s="37" t="s">
        <v>192</v>
      </c>
      <c r="C21" s="38"/>
      <c r="D21" s="38"/>
      <c r="E21" s="7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49"/>
      <c r="J21" s="50"/>
    </row>
    <row r="22" spans="1:10" ht="30" customHeight="1" x14ac:dyDescent="0.2">
      <c r="A22" s="8"/>
      <c r="B22" s="37" t="s">
        <v>193</v>
      </c>
      <c r="C22" s="38"/>
      <c r="D22" s="38"/>
      <c r="E22" s="7">
        <v>5</v>
      </c>
      <c r="F22" s="24">
        <v>4</v>
      </c>
      <c r="G22" s="28">
        <f t="shared" si="0"/>
        <v>0.8</v>
      </c>
      <c r="H22" s="29" t="str">
        <f t="shared" si="1"/>
        <v>جيد جداً</v>
      </c>
      <c r="I22" s="49"/>
      <c r="J22" s="50"/>
    </row>
    <row r="23" spans="1:10" ht="30" customHeight="1" x14ac:dyDescent="0.2">
      <c r="A23" s="8"/>
      <c r="B23" s="37" t="s">
        <v>194</v>
      </c>
      <c r="C23" s="38"/>
      <c r="D23" s="38"/>
      <c r="E23" s="7">
        <v>5</v>
      </c>
      <c r="F23" s="24">
        <v>4</v>
      </c>
      <c r="G23" s="28">
        <f t="shared" si="0"/>
        <v>0.8</v>
      </c>
      <c r="H23" s="29" t="str">
        <f t="shared" si="1"/>
        <v>جيد جداً</v>
      </c>
      <c r="I23" s="49"/>
      <c r="J23" s="50"/>
    </row>
    <row r="24" spans="1:10" ht="30" customHeight="1" x14ac:dyDescent="0.2">
      <c r="A24" s="8"/>
      <c r="B24" s="37" t="s">
        <v>195</v>
      </c>
      <c r="C24" s="38"/>
      <c r="D24" s="38"/>
      <c r="E24" s="7">
        <v>5</v>
      </c>
      <c r="F24" s="24">
        <v>3.75</v>
      </c>
      <c r="G24" s="28">
        <f t="shared" si="0"/>
        <v>0.75</v>
      </c>
      <c r="H24" s="29" t="str">
        <f t="shared" si="1"/>
        <v>جيد</v>
      </c>
      <c r="I24" s="49"/>
      <c r="J24" s="50"/>
    </row>
    <row r="25" spans="1:10" ht="30" customHeight="1" x14ac:dyDescent="0.2">
      <c r="A25" s="8"/>
      <c r="B25" s="37" t="s">
        <v>196</v>
      </c>
      <c r="C25" s="38"/>
      <c r="D25" s="38"/>
      <c r="E25" s="7">
        <v>5</v>
      </c>
      <c r="F25" s="24">
        <v>3.5</v>
      </c>
      <c r="G25" s="28">
        <f t="shared" si="0"/>
        <v>0.7</v>
      </c>
      <c r="H25" s="29" t="str">
        <f t="shared" si="1"/>
        <v>جيد</v>
      </c>
      <c r="I25" s="49"/>
      <c r="J25" s="50"/>
    </row>
    <row r="26" spans="1:10" ht="30" customHeight="1" thickBot="1" x14ac:dyDescent="0.25">
      <c r="A26" s="8"/>
      <c r="B26" s="39" t="s">
        <v>197</v>
      </c>
      <c r="C26" s="40"/>
      <c r="D26" s="40"/>
      <c r="E26" s="34">
        <v>5</v>
      </c>
      <c r="F26" s="25">
        <v>4</v>
      </c>
      <c r="G26" s="35">
        <f t="shared" si="0"/>
        <v>0.8</v>
      </c>
      <c r="H26" s="36" t="str">
        <f t="shared" si="1"/>
        <v>جيد جداً</v>
      </c>
      <c r="I26" s="41"/>
      <c r="J26" s="42"/>
    </row>
    <row r="27" spans="1:10" ht="30" customHeight="1" x14ac:dyDescent="0.2">
      <c r="A27" s="8"/>
      <c r="B27" s="45" t="s">
        <v>205</v>
      </c>
      <c r="C27" s="46"/>
      <c r="D27" s="46"/>
      <c r="E27" s="30"/>
      <c r="F27" s="31"/>
      <c r="G27" s="32"/>
      <c r="H27" s="33"/>
      <c r="I27" s="43"/>
      <c r="J27" s="44"/>
    </row>
    <row r="28" spans="1:10" ht="30" customHeight="1" x14ac:dyDescent="0.2">
      <c r="A28" s="8"/>
      <c r="B28" s="37" t="s">
        <v>198</v>
      </c>
      <c r="C28" s="38"/>
      <c r="D28" s="38"/>
      <c r="E28" s="7">
        <v>5</v>
      </c>
      <c r="F28" s="24">
        <v>4</v>
      </c>
      <c r="G28" s="28">
        <f t="shared" si="0"/>
        <v>0.8</v>
      </c>
      <c r="H28" s="29" t="str">
        <f t="shared" si="1"/>
        <v>جيد جداً</v>
      </c>
      <c r="I28" s="49"/>
      <c r="J28" s="50"/>
    </row>
    <row r="29" spans="1:10" ht="30" customHeight="1" x14ac:dyDescent="0.2">
      <c r="A29" s="8"/>
      <c r="B29" s="37" t="s">
        <v>199</v>
      </c>
      <c r="C29" s="38"/>
      <c r="D29" s="38"/>
      <c r="E29" s="7">
        <v>5</v>
      </c>
      <c r="F29" s="24">
        <v>3</v>
      </c>
      <c r="G29" s="28">
        <f t="shared" si="0"/>
        <v>0.6</v>
      </c>
      <c r="H29" s="29" t="str">
        <f t="shared" si="1"/>
        <v>مقبول</v>
      </c>
      <c r="I29" s="49"/>
      <c r="J29" s="50"/>
    </row>
    <row r="30" spans="1:10" ht="30" customHeight="1" x14ac:dyDescent="0.2">
      <c r="A30" s="8"/>
      <c r="B30" s="37" t="s">
        <v>200</v>
      </c>
      <c r="C30" s="38"/>
      <c r="D30" s="38"/>
      <c r="E30" s="7">
        <v>5</v>
      </c>
      <c r="F30" s="24">
        <v>3.25</v>
      </c>
      <c r="G30" s="28">
        <f t="shared" si="0"/>
        <v>0.65</v>
      </c>
      <c r="H30" s="29" t="str">
        <f t="shared" si="1"/>
        <v>مقبول</v>
      </c>
      <c r="I30" s="49"/>
      <c r="J30" s="50"/>
    </row>
    <row r="31" spans="1:10" ht="30" customHeight="1" x14ac:dyDescent="0.2">
      <c r="A31" s="8"/>
      <c r="B31" s="37" t="s">
        <v>201</v>
      </c>
      <c r="C31" s="38"/>
      <c r="D31" s="38"/>
      <c r="E31" s="7">
        <v>5</v>
      </c>
      <c r="F31" s="24">
        <v>3</v>
      </c>
      <c r="G31" s="28">
        <f t="shared" si="0"/>
        <v>0.6</v>
      </c>
      <c r="H31" s="29" t="str">
        <f t="shared" si="1"/>
        <v>مقبول</v>
      </c>
      <c r="I31" s="49"/>
      <c r="J31" s="50"/>
    </row>
    <row r="32" spans="1:10" ht="30" customHeight="1" thickBot="1" x14ac:dyDescent="0.25">
      <c r="A32" s="8"/>
      <c r="B32" s="39" t="s">
        <v>202</v>
      </c>
      <c r="C32" s="40"/>
      <c r="D32" s="40"/>
      <c r="E32" s="34">
        <v>5</v>
      </c>
      <c r="F32" s="25">
        <v>4</v>
      </c>
      <c r="G32" s="35">
        <f t="shared" si="0"/>
        <v>0.8</v>
      </c>
      <c r="H32" s="36" t="str">
        <f t="shared" si="1"/>
        <v>جيد جداً</v>
      </c>
      <c r="I32" s="41"/>
      <c r="J32" s="42"/>
    </row>
    <row r="33" spans="1:10" ht="30" customHeight="1" thickBot="1" x14ac:dyDescent="0.25">
      <c r="A33" s="4"/>
      <c r="B33" s="80" t="s">
        <v>5</v>
      </c>
      <c r="C33" s="81"/>
      <c r="D33" s="81"/>
      <c r="E33" s="27">
        <f>SUM(E8:E32)</f>
        <v>110</v>
      </c>
      <c r="F33" s="27">
        <f>SUM(F8:F32)</f>
        <v>79.5</v>
      </c>
      <c r="G33" s="74"/>
      <c r="H33" s="75"/>
      <c r="I33" s="75"/>
      <c r="J33" s="76"/>
    </row>
    <row r="34" spans="1:10" ht="30" customHeight="1" thickBot="1" x14ac:dyDescent="0.25">
      <c r="A34" s="4"/>
      <c r="B34" s="70" t="s">
        <v>54</v>
      </c>
      <c r="C34" s="71"/>
      <c r="D34" s="71"/>
      <c r="E34" s="77">
        <f>F33/E33/100*100</f>
        <v>0.72272727272727277</v>
      </c>
      <c r="F34" s="77"/>
      <c r="G34" s="77"/>
      <c r="H34" s="77"/>
      <c r="I34" s="77"/>
      <c r="J34" s="78"/>
    </row>
    <row r="35" spans="1:10" ht="30" customHeight="1" thickBot="1" x14ac:dyDescent="0.25">
      <c r="A35" s="4"/>
      <c r="B35" s="70" t="s">
        <v>55</v>
      </c>
      <c r="C35" s="71"/>
      <c r="D35" s="71"/>
      <c r="E35" s="68" t="str">
        <f>_xlfn.IFS(E34&gt;=90%,"ممتاز",E34&gt;=80%,"جيد جداً",E34&gt;=70%,"جيد",E34&gt;=60%,"مقبول",E34&lt;60%,"راسب")</f>
        <v>جيد</v>
      </c>
      <c r="F35" s="68"/>
      <c r="G35" s="68"/>
      <c r="H35" s="68"/>
      <c r="I35" s="68"/>
      <c r="J35" s="69"/>
    </row>
    <row r="36" spans="1:10" ht="42" customHeight="1" x14ac:dyDescent="0.2">
      <c r="B36" s="64" t="s">
        <v>174</v>
      </c>
      <c r="C36" s="64"/>
      <c r="D36" s="64"/>
      <c r="E36" s="72" t="s">
        <v>52</v>
      </c>
      <c r="F36" s="72"/>
      <c r="G36" s="66" t="s">
        <v>134</v>
      </c>
      <c r="H36" s="66"/>
      <c r="I36" s="66"/>
      <c r="J36" s="66"/>
    </row>
    <row r="37" spans="1:10" ht="51" customHeight="1" x14ac:dyDescent="0.2">
      <c r="A37" s="5"/>
      <c r="B37" s="65"/>
      <c r="C37" s="65"/>
      <c r="D37" s="65"/>
      <c r="E37" s="73" t="s">
        <v>53</v>
      </c>
      <c r="F37" s="73"/>
      <c r="G37" s="67"/>
      <c r="H37" s="67"/>
      <c r="I37" s="67"/>
      <c r="J37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I32:J32"/>
    <mergeCell ref="I8:J8"/>
    <mergeCell ref="B33:D33"/>
    <mergeCell ref="I26:J26"/>
    <mergeCell ref="I27:J27"/>
    <mergeCell ref="I17:J17"/>
    <mergeCell ref="I18:J18"/>
    <mergeCell ref="I28:J28"/>
    <mergeCell ref="I29:J29"/>
    <mergeCell ref="I19:J19"/>
    <mergeCell ref="I20:J20"/>
    <mergeCell ref="I21:J21"/>
    <mergeCell ref="I22:J22"/>
    <mergeCell ref="I23:J23"/>
    <mergeCell ref="I24:J24"/>
    <mergeCell ref="I25:J25"/>
    <mergeCell ref="B36:D37"/>
    <mergeCell ref="G36:J36"/>
    <mergeCell ref="G37:J37"/>
    <mergeCell ref="E35:J35"/>
    <mergeCell ref="B34:D34"/>
    <mergeCell ref="B35:D35"/>
    <mergeCell ref="E36:F36"/>
    <mergeCell ref="E37:F37"/>
    <mergeCell ref="G33:J33"/>
    <mergeCell ref="E34:J34"/>
    <mergeCell ref="B31:D31"/>
    <mergeCell ref="B32:D32"/>
    <mergeCell ref="B27:D27"/>
    <mergeCell ref="B28:D28"/>
    <mergeCell ref="B1:J1"/>
    <mergeCell ref="F2:J2"/>
    <mergeCell ref="B5:D6"/>
    <mergeCell ref="C2:D2"/>
    <mergeCell ref="C3:D3"/>
    <mergeCell ref="F3:J3"/>
    <mergeCell ref="F4:J4"/>
    <mergeCell ref="C4:D4"/>
    <mergeCell ref="B7:D7"/>
    <mergeCell ref="I30:J30"/>
    <mergeCell ref="I31:J31"/>
    <mergeCell ref="E5:H5"/>
    <mergeCell ref="I5:J6"/>
    <mergeCell ref="I7:J7"/>
    <mergeCell ref="B13:D13"/>
    <mergeCell ref="B14:D14"/>
    <mergeCell ref="B15:D15"/>
    <mergeCell ref="B16:D16"/>
    <mergeCell ref="I9:J9"/>
    <mergeCell ref="I10:J10"/>
    <mergeCell ref="I11:J11"/>
    <mergeCell ref="I12:J12"/>
    <mergeCell ref="I13:J13"/>
    <mergeCell ref="I14:J14"/>
    <mergeCell ref="I15:J15"/>
    <mergeCell ref="I16:J16"/>
    <mergeCell ref="B8:D8"/>
    <mergeCell ref="B9:D9"/>
    <mergeCell ref="B10:D10"/>
    <mergeCell ref="B11:D11"/>
    <mergeCell ref="B12:D12"/>
    <mergeCell ref="B17:D17"/>
    <mergeCell ref="B18:D18"/>
    <mergeCell ref="B19:D19"/>
    <mergeCell ref="B20:D20"/>
    <mergeCell ref="B21:D21"/>
    <mergeCell ref="B29:D29"/>
    <mergeCell ref="B30:D30"/>
    <mergeCell ref="B22:D22"/>
    <mergeCell ref="B23:D23"/>
    <mergeCell ref="B24:D24"/>
    <mergeCell ref="B25:D25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5">
    <cfRule type="expression" dxfId="14" priority="57">
      <formula>$E35="راسب"</formula>
    </cfRule>
  </conditionalFormatting>
  <conditionalFormatting sqref="E35:J35">
    <cfRule type="expression" dxfId="13" priority="58">
      <formula>$E35="مقبول"</formula>
    </cfRule>
    <cfRule type="expression" dxfId="12" priority="59">
      <formula>$E35="جيد"</formula>
    </cfRule>
    <cfRule type="expression" dxfId="11" priority="60">
      <formula>$E35="جيد جداً"</formula>
    </cfRule>
    <cfRule type="expression" dxfId="10" priority="61">
      <formula>$E35="ممتاز"</formula>
    </cfRule>
  </conditionalFormatting>
  <conditionalFormatting sqref="F8:F3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6:J36">
    <cfRule type="containsText" dxfId="6" priority="15" operator="containsText" text="أدخل اسم المحكم">
      <formula>NOT(ISERROR(SEARCH("أدخل اسم المحكم",G36)))</formula>
    </cfRule>
  </conditionalFormatting>
  <conditionalFormatting sqref="H8:H3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F17:F26 F28:F32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G36:J36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62</v>
      </c>
    </row>
    <row r="3" spans="1:3" ht="20.100000000000001" customHeight="1" thickBot="1" x14ac:dyDescent="0.3">
      <c r="A3" s="2" t="s">
        <v>26</v>
      </c>
      <c r="C3" s="17" t="s">
        <v>63</v>
      </c>
    </row>
    <row r="4" spans="1:3" ht="20.100000000000001" customHeight="1" thickBot="1" x14ac:dyDescent="0.3">
      <c r="A4" s="2" t="s">
        <v>36</v>
      </c>
      <c r="C4" s="17" t="s">
        <v>64</v>
      </c>
    </row>
    <row r="5" spans="1:3" ht="20.100000000000001" customHeight="1" thickBot="1" x14ac:dyDescent="0.3">
      <c r="A5" s="2" t="s">
        <v>37</v>
      </c>
      <c r="C5" s="17" t="s">
        <v>65</v>
      </c>
    </row>
    <row r="6" spans="1:3" ht="20.100000000000001" customHeight="1" thickBot="1" x14ac:dyDescent="0.3">
      <c r="A6" s="2" t="s">
        <v>38</v>
      </c>
      <c r="C6" s="17" t="s">
        <v>66</v>
      </c>
    </row>
    <row r="7" spans="1:3" ht="20.100000000000001" customHeight="1" thickBot="1" x14ac:dyDescent="0.3">
      <c r="A7" s="2" t="s">
        <v>39</v>
      </c>
      <c r="C7" s="17" t="s">
        <v>67</v>
      </c>
    </row>
    <row r="8" spans="1:3" ht="20.100000000000001" customHeight="1" thickBot="1" x14ac:dyDescent="0.3">
      <c r="A8" s="2" t="s">
        <v>40</v>
      </c>
      <c r="C8" s="17" t="s">
        <v>68</v>
      </c>
    </row>
    <row r="9" spans="1:3" ht="20.100000000000001" customHeight="1" thickBot="1" x14ac:dyDescent="0.3">
      <c r="A9" s="2" t="s">
        <v>41</v>
      </c>
      <c r="C9" s="17" t="s">
        <v>69</v>
      </c>
    </row>
    <row r="10" spans="1:3" ht="20.100000000000001" customHeight="1" thickBot="1" x14ac:dyDescent="0.3">
      <c r="A10" s="2" t="s">
        <v>42</v>
      </c>
      <c r="C10" s="17" t="s">
        <v>70</v>
      </c>
    </row>
    <row r="11" spans="1:3" ht="20.100000000000001" customHeight="1" thickBot="1" x14ac:dyDescent="0.3">
      <c r="A11" s="2" t="s">
        <v>43</v>
      </c>
      <c r="C11" s="17" t="s">
        <v>71</v>
      </c>
    </row>
    <row r="12" spans="1:3" ht="20.100000000000001" customHeight="1" thickBot="1" x14ac:dyDescent="0.3">
      <c r="A12" s="2" t="s">
        <v>44</v>
      </c>
      <c r="C12" s="17" t="s">
        <v>72</v>
      </c>
    </row>
    <row r="13" spans="1:3" ht="20.100000000000001" customHeight="1" thickBot="1" x14ac:dyDescent="0.3">
      <c r="A13" s="2" t="s">
        <v>45</v>
      </c>
      <c r="C13" s="17" t="s">
        <v>73</v>
      </c>
    </row>
    <row r="14" spans="1:3" ht="20.100000000000001" customHeight="1" thickBot="1" x14ac:dyDescent="0.3">
      <c r="A14" s="2" t="s">
        <v>46</v>
      </c>
      <c r="C14" s="17" t="s">
        <v>74</v>
      </c>
    </row>
    <row r="15" spans="1:3" ht="20.100000000000001" customHeight="1" thickBot="1" x14ac:dyDescent="0.3">
      <c r="A15" s="2" t="s">
        <v>47</v>
      </c>
      <c r="C15" s="17" t="s">
        <v>75</v>
      </c>
    </row>
    <row r="16" spans="1:3" ht="20.100000000000001" customHeight="1" thickBot="1" x14ac:dyDescent="0.3">
      <c r="A16" s="2" t="s">
        <v>10</v>
      </c>
      <c r="C16" s="17" t="s">
        <v>76</v>
      </c>
    </row>
    <row r="17" spans="1:3" ht="20.100000000000001" customHeight="1" thickBot="1" x14ac:dyDescent="0.3">
      <c r="A17" s="2" t="s">
        <v>27</v>
      </c>
      <c r="C17" s="17" t="s">
        <v>77</v>
      </c>
    </row>
    <row r="18" spans="1:3" ht="20.100000000000001" customHeight="1" thickBot="1" x14ac:dyDescent="0.3">
      <c r="A18" s="2" t="s">
        <v>48</v>
      </c>
      <c r="C18" s="17" t="s">
        <v>78</v>
      </c>
    </row>
    <row r="19" spans="1:3" ht="20.100000000000001" customHeight="1" thickBot="1" x14ac:dyDescent="0.3">
      <c r="A19" s="2" t="s">
        <v>49</v>
      </c>
      <c r="C19" s="17" t="s">
        <v>79</v>
      </c>
    </row>
    <row r="20" spans="1:3" ht="20.100000000000001" customHeight="1" thickBot="1" x14ac:dyDescent="0.3">
      <c r="A20" s="2" t="s">
        <v>50</v>
      </c>
      <c r="C20" s="17" t="s">
        <v>80</v>
      </c>
    </row>
    <row r="21" spans="1:3" ht="20.100000000000001" customHeight="1" thickBot="1" x14ac:dyDescent="0.3">
      <c r="A21" s="2" t="s">
        <v>51</v>
      </c>
      <c r="C21" s="17" t="s">
        <v>81</v>
      </c>
    </row>
    <row r="22" spans="1:3" ht="20.100000000000001" customHeight="1" thickBot="1" x14ac:dyDescent="0.3">
      <c r="A22" s="2" t="s">
        <v>11</v>
      </c>
      <c r="C22" s="17" t="s">
        <v>82</v>
      </c>
    </row>
    <row r="23" spans="1:3" ht="20.100000000000001" customHeight="1" thickBot="1" x14ac:dyDescent="0.3">
      <c r="A23" s="2" t="s">
        <v>12</v>
      </c>
      <c r="C23" s="17" t="s">
        <v>83</v>
      </c>
    </row>
    <row r="24" spans="1:3" ht="20.100000000000001" customHeight="1" thickBot="1" x14ac:dyDescent="0.3">
      <c r="A24" s="2" t="s">
        <v>15</v>
      </c>
      <c r="C24" s="17" t="s">
        <v>84</v>
      </c>
    </row>
    <row r="25" spans="1:3" ht="20.100000000000001" customHeight="1" thickBot="1" x14ac:dyDescent="0.3">
      <c r="A25" s="2" t="s">
        <v>28</v>
      </c>
      <c r="C25" s="17" t="s">
        <v>85</v>
      </c>
    </row>
    <row r="26" spans="1:3" ht="20.100000000000001" customHeight="1" thickBot="1" x14ac:dyDescent="0.3">
      <c r="A26" s="2" t="s">
        <v>29</v>
      </c>
      <c r="C26" s="17" t="s">
        <v>86</v>
      </c>
    </row>
    <row r="27" spans="1:3" ht="20.100000000000001" customHeight="1" thickBot="1" x14ac:dyDescent="0.3">
      <c r="A27" s="2" t="s">
        <v>13</v>
      </c>
      <c r="C27" s="17" t="s">
        <v>87</v>
      </c>
    </row>
    <row r="28" spans="1:3" ht="20.100000000000001" customHeight="1" thickBot="1" x14ac:dyDescent="0.3">
      <c r="A28" s="2" t="s">
        <v>30</v>
      </c>
      <c r="C28" s="17" t="s">
        <v>88</v>
      </c>
    </row>
    <row r="29" spans="1:3" ht="20.100000000000001" customHeight="1" thickBot="1" x14ac:dyDescent="0.3">
      <c r="A29" s="2" t="s">
        <v>31</v>
      </c>
      <c r="C29" s="17" t="s">
        <v>177</v>
      </c>
    </row>
    <row r="30" spans="1:3" ht="20.100000000000001" customHeight="1" thickBot="1" x14ac:dyDescent="0.3">
      <c r="A30" s="2" t="s">
        <v>32</v>
      </c>
      <c r="C30" s="17" t="s">
        <v>178</v>
      </c>
    </row>
    <row r="31" spans="1:3" ht="20.100000000000001" customHeight="1" thickBot="1" x14ac:dyDescent="0.3">
      <c r="A31" s="2" t="s">
        <v>33</v>
      </c>
      <c r="C31" s="17" t="s">
        <v>179</v>
      </c>
    </row>
    <row r="32" spans="1:3" ht="20.100000000000001" customHeight="1" thickBot="1" x14ac:dyDescent="0.3">
      <c r="A32" s="2" t="s">
        <v>16</v>
      </c>
      <c r="C32" s="17"/>
    </row>
    <row r="33" spans="1:9" ht="20.100000000000001" customHeight="1" thickBot="1" x14ac:dyDescent="0.3">
      <c r="A33" s="2" t="s">
        <v>14</v>
      </c>
      <c r="C33" s="17"/>
    </row>
    <row r="34" spans="1:9" ht="20.100000000000001" customHeight="1" thickBot="1" x14ac:dyDescent="0.3">
      <c r="A34" s="2" t="s">
        <v>34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1" ht="20.100000000000001" customHeight="1" thickBot="1" x14ac:dyDescent="0.3">
      <c r="A65" s="11">
        <v>45957</v>
      </c>
    </row>
    <row r="66" spans="1:1" ht="20.100000000000001" customHeight="1" thickBot="1" x14ac:dyDescent="0.3">
      <c r="A66" s="11">
        <v>45958</v>
      </c>
    </row>
    <row r="67" spans="1:1" ht="20.100000000000001" customHeight="1" thickBot="1" x14ac:dyDescent="0.3">
      <c r="A67" s="11">
        <v>45959</v>
      </c>
    </row>
    <row r="68" spans="1:1" ht="20.100000000000001" customHeight="1" thickBot="1" x14ac:dyDescent="0.3">
      <c r="A68" s="11">
        <v>45960</v>
      </c>
    </row>
    <row r="69" spans="1:1" ht="20.100000000000001" customHeight="1" thickBot="1" x14ac:dyDescent="0.3">
      <c r="A69" s="11">
        <v>45961</v>
      </c>
    </row>
    <row r="70" spans="1:1" ht="20.100000000000001" customHeight="1" thickBot="1" x14ac:dyDescent="0.25">
      <c r="A70" s="11"/>
    </row>
    <row r="71" spans="1:1" ht="20.100000000000001" customHeight="1" thickBot="1" x14ac:dyDescent="0.25">
      <c r="A71" s="11"/>
    </row>
    <row r="72" spans="1:1" ht="20.100000000000001" customHeight="1" thickBot="1" x14ac:dyDescent="0.25">
      <c r="A72" s="11"/>
    </row>
    <row r="73" spans="1:1" ht="20.100000000000001" customHeight="1" thickBot="1" x14ac:dyDescent="0.25">
      <c r="A73" s="11"/>
    </row>
    <row r="74" spans="1:1" ht="20.100000000000001" customHeight="1" thickBot="1" x14ac:dyDescent="0.25">
      <c r="A74" s="11"/>
    </row>
    <row r="75" spans="1:1" ht="20.100000000000001" customHeight="1" thickBot="1" x14ac:dyDescent="0.25">
      <c r="A75" s="11"/>
    </row>
    <row r="76" spans="1:1" ht="20.100000000000001" customHeight="1" thickBot="1" x14ac:dyDescent="0.25">
      <c r="A76" s="11"/>
    </row>
    <row r="77" spans="1:1" ht="20.100000000000001" customHeight="1" thickBot="1" x14ac:dyDescent="0.25">
      <c r="A77" s="11"/>
    </row>
    <row r="78" spans="1:1" ht="20.100000000000001" customHeight="1" thickBot="1" x14ac:dyDescent="0.25">
      <c r="A78" s="11"/>
    </row>
    <row r="79" spans="1:1" ht="20.100000000000001" customHeight="1" thickBot="1" x14ac:dyDescent="0.25">
      <c r="A79" s="11"/>
    </row>
    <row r="80" spans="1:1" ht="20.100000000000001" customHeight="1" thickBot="1" x14ac:dyDescent="0.25">
      <c r="A80" s="11"/>
    </row>
    <row r="81" spans="1:1" ht="20.100000000000001" customHeight="1" thickBot="1" x14ac:dyDescent="0.25">
      <c r="A81" s="11"/>
    </row>
    <row r="82" spans="1:1" ht="20.100000000000001" customHeight="1" thickBot="1" x14ac:dyDescent="0.25">
      <c r="A82" s="11"/>
    </row>
    <row r="83" spans="1:1" ht="20.100000000000001" customHeight="1" thickBot="1" x14ac:dyDescent="0.25">
      <c r="A83" s="11"/>
    </row>
    <row r="84" spans="1:1" ht="20.100000000000001" customHeight="1" thickBot="1" x14ac:dyDescent="0.25">
      <c r="A84" s="11"/>
    </row>
    <row r="85" spans="1:1" ht="20.100000000000001" customHeight="1" thickBot="1" x14ac:dyDescent="0.25">
      <c r="A85" s="11"/>
    </row>
    <row r="86" spans="1:1" ht="20.100000000000001" customHeight="1" thickBot="1" x14ac:dyDescent="0.25">
      <c r="A86" s="11"/>
    </row>
    <row r="87" spans="1:1" ht="20.100000000000001" customHeight="1" thickBot="1" x14ac:dyDescent="0.25">
      <c r="A87" s="11"/>
    </row>
    <row r="88" spans="1:1" ht="20.100000000000001" customHeight="1" thickBot="1" x14ac:dyDescent="0.25">
      <c r="A88" s="11"/>
    </row>
    <row r="89" spans="1:1" ht="20.100000000000001" customHeight="1" thickBot="1" x14ac:dyDescent="0.25">
      <c r="A89" s="11"/>
    </row>
    <row r="90" spans="1:1" ht="20.100000000000001" customHeight="1" thickBot="1" x14ac:dyDescent="0.25">
      <c r="A90" s="11"/>
    </row>
    <row r="91" spans="1:1" ht="20.100000000000001" customHeight="1" thickBot="1" x14ac:dyDescent="0.25">
      <c r="A91" s="11"/>
    </row>
    <row r="92" spans="1:1" ht="20.100000000000001" customHeight="1" thickBot="1" x14ac:dyDescent="0.25">
      <c r="A92" s="11"/>
    </row>
    <row r="93" spans="1:1" ht="20.100000000000001" customHeight="1" thickBot="1" x14ac:dyDescent="0.25">
      <c r="A93" s="11"/>
    </row>
    <row r="94" spans="1:1" ht="20.100000000000001" customHeight="1" thickBot="1" x14ac:dyDescent="0.25">
      <c r="A94" s="11"/>
    </row>
    <row r="95" spans="1:1" ht="20.100000000000001" customHeight="1" thickBot="1" x14ac:dyDescent="0.25">
      <c r="A95" s="11"/>
    </row>
    <row r="96" spans="1:1" ht="20.100000000000001" customHeight="1" thickBot="1" x14ac:dyDescent="0.25">
      <c r="A96" s="11"/>
    </row>
    <row r="97" spans="1:9" ht="20.100000000000001" customHeight="1" thickBot="1" x14ac:dyDescent="0.25">
      <c r="A97" s="11"/>
    </row>
    <row r="98" spans="1:9" ht="20.100000000000001" customHeight="1" thickBot="1" x14ac:dyDescent="0.25">
      <c r="A98" s="11"/>
    </row>
    <row r="99" spans="1:9" ht="20.100000000000001" customHeight="1" thickBot="1" x14ac:dyDescent="0.25">
      <c r="A99" s="11"/>
    </row>
    <row r="100" spans="1:9" ht="20.100000000000001" customHeight="1" thickBot="1" x14ac:dyDescent="0.25">
      <c r="A100" s="11"/>
    </row>
    <row r="101" spans="1:9" ht="20.100000000000001" customHeight="1" thickBot="1" x14ac:dyDescent="0.25">
      <c r="A101" s="11"/>
    </row>
    <row r="102" spans="1:9" ht="20.100000000000001" customHeight="1" thickBot="1" x14ac:dyDescent="0.25">
      <c r="A102" s="11"/>
    </row>
    <row r="103" spans="1:9" ht="20.100000000000001" customHeight="1" thickBot="1" x14ac:dyDescent="0.25">
      <c r="A103" s="11"/>
    </row>
    <row r="104" spans="1:9" ht="20.100000000000001" customHeight="1" thickBot="1" x14ac:dyDescent="0.25">
      <c r="A104" s="11"/>
    </row>
    <row r="105" spans="1:9" ht="20.100000000000001" customHeight="1" thickBot="1" x14ac:dyDescent="0.25">
      <c r="A105" s="11"/>
    </row>
    <row r="106" spans="1:9" ht="20.100000000000001" customHeight="1" thickBot="1" x14ac:dyDescent="0.25">
      <c r="A106" s="11"/>
    </row>
    <row r="107" spans="1:9" ht="20.100000000000001" customHeight="1" x14ac:dyDescent="0.2">
      <c r="A107" s="12"/>
    </row>
    <row r="108" spans="1:9" ht="20.100000000000001" customHeight="1" x14ac:dyDescent="0.2">
      <c r="A108" s="12"/>
    </row>
    <row r="109" spans="1:9" s="15" customFormat="1" ht="20.100000000000001" customHeight="1" x14ac:dyDescent="0.2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8" t="s">
        <v>89</v>
      </c>
    </row>
    <row r="200" spans="1:1" ht="20.100000000000001" customHeight="1" x14ac:dyDescent="0.2">
      <c r="A200" s="18" t="s">
        <v>90</v>
      </c>
    </row>
    <row r="201" spans="1:1" ht="20.100000000000001" customHeight="1" x14ac:dyDescent="0.2">
      <c r="A201" s="18" t="s">
        <v>91</v>
      </c>
    </row>
    <row r="202" spans="1:1" ht="20.100000000000001" customHeight="1" x14ac:dyDescent="0.2">
      <c r="A202" s="18" t="s">
        <v>92</v>
      </c>
    </row>
    <row r="203" spans="1:1" ht="20.100000000000001" customHeight="1" x14ac:dyDescent="0.2">
      <c r="A203" s="18" t="s">
        <v>93</v>
      </c>
    </row>
    <row r="204" spans="1:1" ht="20.100000000000001" customHeight="1" x14ac:dyDescent="0.2">
      <c r="A204" s="18" t="s">
        <v>94</v>
      </c>
    </row>
    <row r="205" spans="1:1" ht="20.100000000000001" customHeight="1" x14ac:dyDescent="0.2">
      <c r="A205" s="18" t="s">
        <v>95</v>
      </c>
    </row>
    <row r="206" spans="1:1" ht="20.100000000000001" customHeight="1" x14ac:dyDescent="0.2">
      <c r="A206" s="18" t="s">
        <v>96</v>
      </c>
    </row>
    <row r="207" spans="1:1" ht="20.100000000000001" customHeight="1" x14ac:dyDescent="0.2">
      <c r="A207" s="18" t="s">
        <v>97</v>
      </c>
    </row>
    <row r="208" spans="1:1" ht="20.100000000000001" customHeight="1" x14ac:dyDescent="0.2">
      <c r="A208" s="19" t="s">
        <v>98</v>
      </c>
    </row>
    <row r="209" spans="1:1" ht="20.100000000000001" customHeight="1" x14ac:dyDescent="0.2">
      <c r="A209" s="19" t="s">
        <v>99</v>
      </c>
    </row>
    <row r="210" spans="1:1" ht="20.100000000000001" customHeight="1" x14ac:dyDescent="0.2">
      <c r="A210" s="18" t="s">
        <v>100</v>
      </c>
    </row>
    <row r="211" spans="1:1" ht="20.100000000000001" customHeight="1" x14ac:dyDescent="0.2">
      <c r="A211" s="18" t="s">
        <v>101</v>
      </c>
    </row>
    <row r="212" spans="1:1" ht="20.100000000000001" customHeight="1" x14ac:dyDescent="0.2">
      <c r="A212" s="18" t="s">
        <v>175</v>
      </c>
    </row>
    <row r="213" spans="1:1" ht="20.100000000000001" customHeight="1" x14ac:dyDescent="0.2">
      <c r="A213" s="18" t="s">
        <v>102</v>
      </c>
    </row>
    <row r="214" spans="1:1" ht="20.100000000000001" customHeight="1" x14ac:dyDescent="0.2">
      <c r="A214" s="18" t="s">
        <v>103</v>
      </c>
    </row>
    <row r="215" spans="1:1" ht="20.100000000000001" customHeight="1" x14ac:dyDescent="0.2">
      <c r="A215" s="18" t="s">
        <v>104</v>
      </c>
    </row>
    <row r="216" spans="1:1" ht="20.100000000000001" customHeight="1" x14ac:dyDescent="0.2">
      <c r="A216" s="18" t="s">
        <v>105</v>
      </c>
    </row>
    <row r="217" spans="1:1" ht="20.100000000000001" customHeight="1" x14ac:dyDescent="0.2">
      <c r="A217" s="18" t="s">
        <v>106</v>
      </c>
    </row>
    <row r="218" spans="1:1" ht="20.100000000000001" customHeight="1" x14ac:dyDescent="0.2">
      <c r="A218" s="18" t="s">
        <v>107</v>
      </c>
    </row>
    <row r="219" spans="1:1" ht="20.100000000000001" customHeight="1" x14ac:dyDescent="0.2">
      <c r="A219" s="18" t="s">
        <v>108</v>
      </c>
    </row>
    <row r="220" spans="1:1" ht="20.100000000000001" customHeight="1" x14ac:dyDescent="0.2">
      <c r="A220" s="18" t="s">
        <v>109</v>
      </c>
    </row>
    <row r="221" spans="1:1" ht="20.100000000000001" customHeight="1" x14ac:dyDescent="0.2">
      <c r="A221" s="18" t="s">
        <v>110</v>
      </c>
    </row>
    <row r="222" spans="1:1" ht="20.100000000000001" customHeight="1" x14ac:dyDescent="0.2">
      <c r="A222" s="18" t="s">
        <v>111</v>
      </c>
    </row>
    <row r="223" spans="1:1" ht="20.100000000000001" customHeight="1" x14ac:dyDescent="0.2">
      <c r="A223" s="18" t="s">
        <v>112</v>
      </c>
    </row>
    <row r="224" spans="1:1" ht="20.100000000000001" customHeight="1" x14ac:dyDescent="0.2">
      <c r="A224" s="18" t="s">
        <v>176</v>
      </c>
    </row>
    <row r="225" spans="1:1" ht="20.100000000000001" customHeight="1" x14ac:dyDescent="0.2">
      <c r="A225" s="18" t="s">
        <v>113</v>
      </c>
    </row>
    <row r="226" spans="1:1" ht="20.100000000000001" customHeight="1" x14ac:dyDescent="0.2">
      <c r="A226" s="18" t="s">
        <v>114</v>
      </c>
    </row>
    <row r="227" spans="1:1" ht="20.100000000000001" customHeight="1" x14ac:dyDescent="0.2">
      <c r="A227" s="18" t="s">
        <v>115</v>
      </c>
    </row>
    <row r="228" spans="1:1" ht="20.100000000000001" customHeight="1" x14ac:dyDescent="0.2">
      <c r="A228" s="18" t="s">
        <v>116</v>
      </c>
    </row>
    <row r="229" spans="1:1" ht="20.100000000000001" customHeight="1" x14ac:dyDescent="0.2">
      <c r="A229" s="18" t="s">
        <v>117</v>
      </c>
    </row>
    <row r="230" spans="1:1" ht="20.100000000000001" customHeight="1" x14ac:dyDescent="0.2">
      <c r="A230" s="18" t="s">
        <v>118</v>
      </c>
    </row>
    <row r="231" spans="1:1" ht="20.100000000000001" customHeight="1" x14ac:dyDescent="0.2">
      <c r="A231" s="18" t="s">
        <v>119</v>
      </c>
    </row>
    <row r="232" spans="1:1" ht="20.100000000000001" customHeight="1" x14ac:dyDescent="0.2">
      <c r="A232" s="18" t="s">
        <v>120</v>
      </c>
    </row>
    <row r="233" spans="1:1" ht="20.100000000000001" customHeight="1" x14ac:dyDescent="0.2">
      <c r="A233" s="18" t="s">
        <v>121</v>
      </c>
    </row>
    <row r="234" spans="1:1" ht="20.100000000000001" customHeight="1" x14ac:dyDescent="0.2">
      <c r="A234" s="18" t="s">
        <v>122</v>
      </c>
    </row>
    <row r="235" spans="1:1" ht="20.100000000000001" customHeight="1" x14ac:dyDescent="0.2">
      <c r="A235" s="18" t="s">
        <v>123</v>
      </c>
    </row>
    <row r="236" spans="1:1" ht="20.100000000000001" customHeight="1" x14ac:dyDescent="0.2">
      <c r="A236" s="20" t="s">
        <v>124</v>
      </c>
    </row>
    <row r="237" spans="1:1" ht="20.100000000000001" customHeight="1" x14ac:dyDescent="0.2">
      <c r="A237" s="18" t="s">
        <v>125</v>
      </c>
    </row>
    <row r="238" spans="1:1" ht="20.100000000000001" customHeight="1" x14ac:dyDescent="0.2">
      <c r="A238" s="18" t="s">
        <v>126</v>
      </c>
    </row>
    <row r="239" spans="1:1" ht="20.100000000000001" customHeight="1" x14ac:dyDescent="0.2">
      <c r="A239" s="18" t="s">
        <v>127</v>
      </c>
    </row>
    <row r="240" spans="1:1" ht="20.100000000000001" customHeight="1" x14ac:dyDescent="0.2">
      <c r="A240" s="18" t="s">
        <v>128</v>
      </c>
    </row>
    <row r="241" spans="1:1" ht="20.100000000000001" customHeight="1" x14ac:dyDescent="0.2">
      <c r="A241" s="18" t="s">
        <v>129</v>
      </c>
    </row>
    <row r="242" spans="1:1" ht="20.100000000000001" customHeight="1" x14ac:dyDescent="0.2">
      <c r="A242" s="18" t="s">
        <v>130</v>
      </c>
    </row>
    <row r="243" spans="1:1" ht="20.100000000000001" customHeight="1" x14ac:dyDescent="0.2">
      <c r="A243" s="18" t="s">
        <v>131</v>
      </c>
    </row>
    <row r="244" spans="1:1" ht="20.100000000000001" customHeight="1" x14ac:dyDescent="0.2">
      <c r="A244" s="18" t="s">
        <v>132</v>
      </c>
    </row>
    <row r="245" spans="1:1" ht="20.100000000000001" customHeight="1" x14ac:dyDescent="0.2">
      <c r="A245" s="18" t="s">
        <v>133</v>
      </c>
    </row>
    <row r="246" spans="1:1" ht="20.100000000000001" customHeight="1" x14ac:dyDescent="0.2">
      <c r="A246" s="18" t="s">
        <v>134</v>
      </c>
    </row>
    <row r="247" spans="1:1" ht="20.100000000000001" customHeight="1" x14ac:dyDescent="0.2">
      <c r="A247" s="18" t="s">
        <v>135</v>
      </c>
    </row>
    <row r="248" spans="1:1" ht="20.100000000000001" customHeight="1" x14ac:dyDescent="0.2">
      <c r="A248" s="18" t="s">
        <v>126</v>
      </c>
    </row>
    <row r="249" spans="1:1" ht="20.100000000000001" customHeight="1" x14ac:dyDescent="0.2">
      <c r="A249" s="18" t="s">
        <v>136</v>
      </c>
    </row>
    <row r="250" spans="1:1" ht="20.100000000000001" customHeight="1" x14ac:dyDescent="0.2">
      <c r="A250" s="18" t="s">
        <v>137</v>
      </c>
    </row>
    <row r="251" spans="1:1" ht="20.100000000000001" customHeight="1" x14ac:dyDescent="0.2">
      <c r="A251" s="20" t="s">
        <v>138</v>
      </c>
    </row>
    <row r="252" spans="1:1" ht="20.100000000000001" customHeight="1" x14ac:dyDescent="0.2">
      <c r="A252" s="21" t="s">
        <v>139</v>
      </c>
    </row>
    <row r="253" spans="1:1" ht="20.100000000000001" customHeight="1" x14ac:dyDescent="0.2">
      <c r="A253" s="18" t="s">
        <v>140</v>
      </c>
    </row>
    <row r="254" spans="1:1" ht="20.100000000000001" customHeight="1" x14ac:dyDescent="0.2">
      <c r="A254" s="18" t="s">
        <v>141</v>
      </c>
    </row>
    <row r="255" spans="1:1" ht="20.100000000000001" customHeight="1" x14ac:dyDescent="0.2">
      <c r="A255" s="22" t="s">
        <v>142</v>
      </c>
    </row>
    <row r="256" spans="1:1" ht="20.100000000000001" customHeight="1" x14ac:dyDescent="0.2">
      <c r="A256" s="22" t="s">
        <v>143</v>
      </c>
    </row>
    <row r="257" spans="1:1" ht="20.100000000000001" customHeight="1" x14ac:dyDescent="0.2">
      <c r="A257" s="23" t="s">
        <v>144</v>
      </c>
    </row>
    <row r="258" spans="1:1" ht="20.100000000000001" customHeight="1" x14ac:dyDescent="0.2">
      <c r="A258" s="18" t="s">
        <v>145</v>
      </c>
    </row>
    <row r="259" spans="1:1" ht="20.100000000000001" customHeight="1" x14ac:dyDescent="0.2">
      <c r="A259" s="23" t="s">
        <v>146</v>
      </c>
    </row>
    <row r="260" spans="1:1" ht="20.100000000000001" customHeight="1" x14ac:dyDescent="0.2">
      <c r="A260" s="18" t="s">
        <v>147</v>
      </c>
    </row>
    <row r="261" spans="1:1" ht="20.100000000000001" customHeight="1" x14ac:dyDescent="0.2">
      <c r="A261" s="23" t="s">
        <v>148</v>
      </c>
    </row>
    <row r="262" spans="1:1" ht="20.100000000000001" customHeight="1" x14ac:dyDescent="0.2">
      <c r="A262" s="18" t="s">
        <v>149</v>
      </c>
    </row>
    <row r="263" spans="1:1" ht="20.100000000000001" customHeight="1" x14ac:dyDescent="0.2">
      <c r="A263" s="18" t="s">
        <v>150</v>
      </c>
    </row>
    <row r="264" spans="1:1" ht="20.100000000000001" customHeight="1" x14ac:dyDescent="0.2">
      <c r="A264" s="23" t="s">
        <v>151</v>
      </c>
    </row>
    <row r="265" spans="1:1" ht="20.100000000000001" customHeight="1" x14ac:dyDescent="0.2">
      <c r="A265" s="23" t="s">
        <v>152</v>
      </c>
    </row>
    <row r="266" spans="1:1" ht="20.100000000000001" customHeight="1" x14ac:dyDescent="0.2">
      <c r="A266" s="23" t="s">
        <v>153</v>
      </c>
    </row>
    <row r="267" spans="1:1" ht="20.100000000000001" customHeight="1" x14ac:dyDescent="0.2">
      <c r="A267" s="18" t="s">
        <v>154</v>
      </c>
    </row>
    <row r="268" spans="1:1" ht="20.100000000000001" customHeight="1" x14ac:dyDescent="0.2">
      <c r="A268" s="18" t="s">
        <v>155</v>
      </c>
    </row>
    <row r="269" spans="1:1" ht="20.100000000000001" customHeight="1" x14ac:dyDescent="0.2">
      <c r="A269" s="18" t="s">
        <v>156</v>
      </c>
    </row>
    <row r="270" spans="1:1" ht="20.100000000000001" customHeight="1" x14ac:dyDescent="0.2">
      <c r="A270" s="18" t="s">
        <v>157</v>
      </c>
    </row>
    <row r="271" spans="1:1" ht="20.100000000000001" customHeight="1" x14ac:dyDescent="0.2">
      <c r="A271" s="23" t="s">
        <v>158</v>
      </c>
    </row>
    <row r="272" spans="1:1" ht="20.100000000000001" customHeight="1" x14ac:dyDescent="0.2">
      <c r="A272" s="23" t="s">
        <v>159</v>
      </c>
    </row>
    <row r="273" spans="1:1" ht="20.100000000000001" customHeight="1" x14ac:dyDescent="0.2">
      <c r="A273" s="18" t="s">
        <v>160</v>
      </c>
    </row>
    <row r="274" spans="1:1" ht="20.100000000000001" customHeight="1" x14ac:dyDescent="0.2">
      <c r="A274" s="23" t="s">
        <v>161</v>
      </c>
    </row>
    <row r="275" spans="1:1" ht="20.100000000000001" customHeight="1" x14ac:dyDescent="0.2">
      <c r="A275" s="23" t="s">
        <v>162</v>
      </c>
    </row>
    <row r="276" spans="1:1" ht="20.100000000000001" customHeight="1" x14ac:dyDescent="0.2">
      <c r="A276" s="18" t="s">
        <v>163</v>
      </c>
    </row>
    <row r="277" spans="1:1" ht="20.100000000000001" customHeight="1" x14ac:dyDescent="0.2">
      <c r="A277" s="18" t="s">
        <v>164</v>
      </c>
    </row>
    <row r="278" spans="1:1" ht="20.100000000000001" customHeight="1" x14ac:dyDescent="0.2">
      <c r="A278" s="23" t="s">
        <v>165</v>
      </c>
    </row>
    <row r="279" spans="1:1" ht="20.100000000000001" customHeight="1" x14ac:dyDescent="0.2">
      <c r="A279" s="18" t="s">
        <v>166</v>
      </c>
    </row>
    <row r="280" spans="1:1" ht="20.100000000000001" customHeight="1" x14ac:dyDescent="0.2">
      <c r="A280" s="18" t="s">
        <v>167</v>
      </c>
    </row>
    <row r="281" spans="1:1" ht="20.100000000000001" customHeight="1" x14ac:dyDescent="0.2">
      <c r="A281" s="18" t="s">
        <v>168</v>
      </c>
    </row>
    <row r="282" spans="1:1" ht="20.100000000000001" customHeight="1" x14ac:dyDescent="0.2">
      <c r="A282" s="18" t="s">
        <v>169</v>
      </c>
    </row>
    <row r="283" spans="1:1" ht="20.100000000000001" customHeight="1" x14ac:dyDescent="0.2">
      <c r="A283" s="23" t="s">
        <v>170</v>
      </c>
    </row>
    <row r="284" spans="1:1" ht="20.100000000000001" customHeight="1" x14ac:dyDescent="0.2">
      <c r="A284" s="23" t="s">
        <v>171</v>
      </c>
    </row>
    <row r="285" spans="1:1" ht="20.100000000000001" customHeight="1" x14ac:dyDescent="0.2">
      <c r="A285" s="23" t="s">
        <v>172</v>
      </c>
    </row>
    <row r="286" spans="1:1" ht="20.100000000000001" customHeight="1" thickBot="1" x14ac:dyDescent="0.25">
      <c r="A286" s="18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2025-10-21T08:17:55Z</dcterms:modified>
</cp:coreProperties>
</file>