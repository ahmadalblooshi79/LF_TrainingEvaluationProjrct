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التقييم'!$A$1:$J$22</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7" i="2"/>
  <c r="H17" i="2" s="1"/>
  <c r="G8" i="2" l="1"/>
  <c r="H8" i="2" s="1"/>
  <c r="F18" i="2" l="1"/>
  <c r="E18" i="2" l="1"/>
  <c r="E19" i="2" l="1"/>
  <c r="E20" i="2" s="1"/>
</calcChain>
</file>

<file path=xl/sharedStrings.xml><?xml version="1.0" encoding="utf-8"?>
<sst xmlns="http://schemas.openxmlformats.org/spreadsheetml/2006/main" count="49" uniqueCount="39">
  <si>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</si>
  <si>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</si>
  <si>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</si>
  <si>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</si>
  <si>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</si>
  <si>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</si>
  <si>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</si>
  <si>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</si>
  <si>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</si>
  <si>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</si>
  <si>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</si>
  <si>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</si>
  <si>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</si>
  <si>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</si>
  <si>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</si>
  <si>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</si>
  <si>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</si>
  <si>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</si>
  <si>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</si>
  <si>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</si>
  <si>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</si>
  <si>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</si>
  <si>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</si>
  <si>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</si>
  <si>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</si>
  <si>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</si>
  <si>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</si>
  <si>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</si>
  <si>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 xml:space="preserve">1.    توفر مدافع الهاون للقائد أكثر وسائل الإسناد الناري غير المباشرة قدرة على الرد أثناء التقدم للتماس. </t>
  </si>
  <si>
    <t>2.    قيام قائد سرية الهاون بالبحث عن المعلومات وتقديم توصيات لاستخدام نيران الهاون.</t>
  </si>
  <si>
    <t>3.    إعطاء أولوية النيران لوحدة المناورة الأمامية.</t>
  </si>
  <si>
    <t>4.    تخطيط النيران على طول الطريق وعلى الأجنحة، خصوصاً على المقتربات التي توفر الحركة السريعة إلى أجنحة وحدة المناورة الأمامية.</t>
  </si>
  <si>
    <t>5.    الاستعداد للرماية على قوات العدو التي تهدد وحدة الهاون بشكل مباشر.</t>
  </si>
  <si>
    <t>6.    إدامة الإلمام بالموقف واتخاذ أساليب لزيادة الأمن، كالحركة مع عنصر المناورة.</t>
  </si>
  <si>
    <t xml:space="preserve">7.    أن تخطيط الرماية على الارض الحاكمة، ومواقع العدو المحتملة يزيد من تأثير مدافع الهاون على الرد عند حدوث التماس مع العدو. ويشمل التخطيط أهدافاً محتملة في الطريق إلى الهدف، وأهداف مصادَفة، وأهداف فيما بعد الهدف. </t>
  </si>
  <si>
    <t xml:space="preserve"> 8.    يجب على القائد أيضاً أن يخطط لحركة الهاون. تكون سرية الهاون قريبة بما يكفي للمساهمة بالنيران الفورية سريعة الاستجابة عندما تكون ملحقة بوحدة وبالقرب من مقدمة رتل المسير أو التشكيلة التعبوية.</t>
  </si>
  <si>
    <t xml:space="preserve">9.    تكون سرية الهاون في عملية البحث والهجوم عادةً في مواقع محضرة مسبقاً تستطيع أن ترمي منها ضمن منطقة العمليات. </t>
  </si>
  <si>
    <t>10.    إلمام قائد سرية الهاون بالموقف، وتوقع متطلبات الإسناد الناري.</t>
  </si>
  <si>
    <t>تقييم سرية الهاون 120 ملم في التقدم للتماس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</si>
</sst>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4" xfId="0" applyFont="1" applyBorder="1" applyAlignment="1">
      <alignment horizontal="right" vertical="center" wrapText="1" indent="1" readingOrder="2"/>
    </xf>
    <xf numFmtId="0" fontId="7" fillId="0" borderId="3" xfId="0" applyFont="1" applyBorder="1" applyAlignment="1">
      <alignment horizontal="right" vertical="center" wrapText="1" indent="1" readingOrder="2"/>
    </xf>
    <xf numFmtId="0" fontId="7" fillId="0" borderId="21" xfId="0" applyFont="1" applyBorder="1" applyAlignment="1">
      <alignment horizontal="right" vertical="center" wrapText="1" indent="1" readingOrder="2"/>
    </xf>
    <xf numFmtId="0" fontId="7" fillId="0" borderId="2" xfId="0" applyFont="1" applyBorder="1" applyAlignment="1">
      <alignment horizontal="right" vertical="center" wrapText="1" indent="1" readingOrder="2"/>
    </xf>
    <xf numFmtId="0" fontId="7" fillId="0" borderId="10" xfId="0" applyFont="1" applyBorder="1" applyAlignment="1">
      <alignment horizontal="right" vertical="center" wrapText="1" indent="1" readingOrder="2"/>
    </xf>
    <xf numFmtId="0" fontId="7" fillId="0" borderId="11" xfId="0" applyFont="1" applyBorder="1" applyAlignment="1">
      <alignment horizontal="right" vertical="center" wrapText="1" inden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2"/>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68" t="s">
        <v>38</v>
      </c>
      <c r="C1" s="68"/>
      <c r="D1" s="68"/>
      <c r="E1" s="68"/>
      <c r="F1" s="68"/>
      <c r="G1" s="68"/>
      <c r="H1" s="68"/>
      <c r="I1" s="68"/>
      <c r="J1" s="68"/>
    </row>
    <row r="2" spans="1:10" ht="30" customHeight="1" x14ac:dyDescent="0.25">
      <c r="B2" s="11" t="s">
        <v>8</v>
      </c>
      <c r="C2" s="43" t="s">
        <v>23</v>
      </c>
      <c r="D2" s="43"/>
      <c r="E2" s="11" t="s">
        <v>7</v>
      </c>
      <c r="F2" s="38" t="s">
        <v>22</v>
      </c>
      <c r="G2" s="38"/>
      <c r="H2" s="38"/>
      <c r="I2" s="38"/>
      <c r="J2" s="38"/>
    </row>
    <row r="3" spans="1:10" ht="30" customHeight="1" x14ac:dyDescent="0.25">
      <c r="B3" s="11" t="s">
        <v>9</v>
      </c>
      <c r="C3" s="43" t="s">
        <v>25</v>
      </c>
      <c r="D3" s="43"/>
      <c r="E3" s="11" t="s">
        <v>6</v>
      </c>
      <c r="F3" s="43" t="s">
        <v>24</v>
      </c>
      <c r="G3" s="43"/>
      <c r="H3" s="43"/>
      <c r="I3" s="43"/>
      <c r="J3" s="43"/>
    </row>
    <row r="4" spans="1:10" ht="30" customHeight="1" thickBot="1" x14ac:dyDescent="0.3">
      <c r="B4" s="5"/>
      <c r="C4" s="6"/>
      <c r="D4" s="6"/>
      <c r="E4" s="5"/>
      <c r="F4" s="6"/>
      <c r="G4" s="6"/>
      <c r="H4" s="7"/>
      <c r="I4" s="6"/>
      <c r="J4" s="6"/>
    </row>
    <row r="5" spans="1:10" ht="24.95" customHeight="1" x14ac:dyDescent="0.25">
      <c r="A5" s="9"/>
      <c r="B5" s="39" t="s">
        <v>0</v>
      </c>
      <c r="C5" s="40"/>
      <c r="D5" s="40"/>
      <c r="E5" s="48" t="s">
        <v>1</v>
      </c>
      <c r="F5" s="48"/>
      <c r="G5" s="48"/>
      <c r="H5" s="48"/>
      <c r="I5" s="48" t="s">
        <v>2</v>
      </c>
      <c r="J5" s="49"/>
    </row>
    <row r="6" spans="1:10" ht="24.95" customHeight="1" thickBot="1" x14ac:dyDescent="0.3">
      <c r="A6" s="9"/>
      <c r="B6" s="41"/>
      <c r="C6" s="42"/>
      <c r="D6" s="42"/>
      <c r="E6" s="10" t="s">
        <v>3</v>
      </c>
      <c r="F6" s="10" t="s">
        <v>4</v>
      </c>
      <c r="G6" s="10" t="s">
        <v>15</v>
      </c>
      <c r="H6" s="10" t="s">
        <v>16</v>
      </c>
      <c r="I6" s="50"/>
      <c r="J6" s="51"/>
    </row>
    <row r="7" spans="1:10" ht="24.95" customHeight="1" thickBot="1" x14ac:dyDescent="0.3">
      <c r="A7" s="9"/>
      <c r="B7" s="46" t="s">
        <v>13</v>
      </c>
      <c r="C7" s="47"/>
      <c r="D7" s="47"/>
      <c r="E7" s="14" t="s">
        <v>10</v>
      </c>
      <c r="F7" s="14" t="s">
        <v>11</v>
      </c>
      <c r="G7" s="14" t="s">
        <v>14</v>
      </c>
      <c r="H7" s="14" t="s">
        <v>12</v>
      </c>
      <c r="I7" s="52" t="s">
        <v>17</v>
      </c>
      <c r="J7" s="53"/>
    </row>
    <row r="8" spans="1:10" ht="39.950000000000003" customHeight="1" x14ac:dyDescent="0.25">
      <c r="A8" s="9"/>
      <c r="B8" s="25" t="s">
        <v>28</v>
      </c>
      <c r="C8" s="26"/>
      <c r="D8" s="26"/>
      <c r="E8" s="18">
        <v>5</v>
      </c>
      <c r="F8" s="19" t="s">
        <v>26</v>
      </c>
      <c r="G8" s="20" t="str">
        <f>IFERROR(F8/E8,"")</f>
        <v/>
      </c>
      <c r="H8" s="21" t="str">
        <f>_xlfn.IFS(F8="أدخل العلامة","",F8="لا ينطبق","تم الإلغاء",G8&gt;=90%,"ممتاز",G8&gt;=80%,"جيد جداً",G8&gt;=70%,"جيد",G8&gt;=60%,"مقبول",G8&lt;60%,"راسب")</f>
        <v/>
      </c>
      <c r="I8" s="60"/>
      <c r="J8" s="61"/>
    </row>
    <row r="9" spans="1:10" ht="39.950000000000003" customHeight="1" x14ac:dyDescent="0.25">
      <c r="A9" s="9"/>
      <c r="B9" s="27" t="s">
        <v>29</v>
      </c>
      <c r="C9" s="28"/>
      <c r="D9" s="28"/>
      <c r="E9" s="8">
        <v>5</v>
      </c>
      <c r="F9" s="12" t="s">
        <v>26</v>
      </c>
      <c r="G9" s="16" t="str">
        <f>IFERROR(F9/E9,"")</f>
        <v/>
      </c>
      <c r="H9" s="17" t="str">
        <f>_xlfn.IFS(F9="أدخل العلامة","",F9="لا ينطبق","تم الإلغاء",G9&gt;=90%,"ممتاز",G9&gt;=80%,"جيد جداً",G9&gt;=70%,"جيد",G9&gt;=60%,"مقبول",G9&lt;60%,"راسب")</f>
        <v/>
      </c>
      <c r="I9" s="31"/>
      <c r="J9" s="32"/>
    </row>
    <row r="10" spans="1:10" ht="39.950000000000003" customHeight="1" x14ac:dyDescent="0.25">
      <c r="A10" s="9"/>
      <c r="B10" s="27" t="s">
        <v>30</v>
      </c>
      <c r="C10" s="28"/>
      <c r="D10" s="28"/>
      <c r="E10" s="8">
        <v>5</v>
      </c>
      <c r="F10" s="12" t="s">
        <v>26</v>
      </c>
      <c r="G10" s="16" t="str">
        <f t="shared" ref="G10:G17" si="0">IFERROR(F10/E10,"")</f>
        <v/>
      </c>
      <c r="H10" s="17" t="str">
        <f t="shared" ref="H10:H17" si="1">_xlfn.IFS(F10="أدخل العلامة","",F10="لا ينطبق","تم الإلغاء",G10&gt;=90%,"ممتاز",G10&gt;=80%,"جيد جداً",G10&gt;=70%,"جيد",G10&gt;=60%,"مقبول",G10&lt;60%,"راسب")</f>
        <v/>
      </c>
      <c r="I10" s="31"/>
      <c r="J10" s="32"/>
    </row>
    <row r="11" spans="1:10" ht="39.950000000000003" customHeight="1" x14ac:dyDescent="0.25">
      <c r="A11" s="9"/>
      <c r="B11" s="27" t="s">
        <v>31</v>
      </c>
      <c r="C11" s="28"/>
      <c r="D11" s="28"/>
      <c r="E11" s="8">
        <v>5</v>
      </c>
      <c r="F11" s="12" t="s">
        <v>26</v>
      </c>
      <c r="G11" s="16" t="str">
        <f t="shared" si="0"/>
        <v/>
      </c>
      <c r="H11" s="17" t="str">
        <f t="shared" si="1"/>
        <v/>
      </c>
      <c r="I11" s="31"/>
      <c r="J11" s="32"/>
    </row>
    <row r="12" spans="1:10" ht="39.950000000000003" customHeight="1" x14ac:dyDescent="0.25">
      <c r="A12" s="9"/>
      <c r="B12" s="27" t="s">
        <v>32</v>
      </c>
      <c r="C12" s="28"/>
      <c r="D12" s="28"/>
      <c r="E12" s="8">
        <v>5</v>
      </c>
      <c r="F12" s="12" t="s">
        <v>26</v>
      </c>
      <c r="G12" s="16" t="str">
        <f t="shared" si="0"/>
        <v/>
      </c>
      <c r="H12" s="17" t="str">
        <f t="shared" si="1"/>
        <v/>
      </c>
      <c r="I12" s="31"/>
      <c r="J12" s="32"/>
    </row>
    <row r="13" spans="1:10" ht="39.950000000000003" customHeight="1" x14ac:dyDescent="0.25">
      <c r="A13" s="9"/>
      <c r="B13" s="27" t="s">
        <v>33</v>
      </c>
      <c r="C13" s="28"/>
      <c r="D13" s="28"/>
      <c r="E13" s="8">
        <v>5</v>
      </c>
      <c r="F13" s="12" t="s">
        <v>26</v>
      </c>
      <c r="G13" s="16" t="str">
        <f t="shared" si="0"/>
        <v/>
      </c>
      <c r="H13" s="17" t="str">
        <f t="shared" si="1"/>
        <v/>
      </c>
      <c r="I13" s="31"/>
      <c r="J13" s="32"/>
    </row>
    <row r="14" spans="1:10" ht="69.75" customHeight="1" x14ac:dyDescent="0.25">
      <c r="A14" s="9"/>
      <c r="B14" s="27" t="s">
        <v>34</v>
      </c>
      <c r="C14" s="28"/>
      <c r="D14" s="28"/>
      <c r="E14" s="8">
        <v>5</v>
      </c>
      <c r="F14" s="12" t="s">
        <v>26</v>
      </c>
      <c r="G14" s="16" t="str">
        <f t="shared" si="0"/>
        <v/>
      </c>
      <c r="H14" s="17" t="str">
        <f t="shared" si="1"/>
        <v/>
      </c>
      <c r="I14" s="31"/>
      <c r="J14" s="32"/>
    </row>
    <row r="15" spans="1:10" ht="61.5" customHeight="1" x14ac:dyDescent="0.25">
      <c r="A15" s="9"/>
      <c r="B15" s="27" t="s">
        <v>35</v>
      </c>
      <c r="C15" s="28"/>
      <c r="D15" s="28"/>
      <c r="E15" s="8">
        <v>5</v>
      </c>
      <c r="F15" s="12" t="s">
        <v>26</v>
      </c>
      <c r="G15" s="16" t="str">
        <f t="shared" si="0"/>
        <v/>
      </c>
      <c r="H15" s="17" t="str">
        <f t="shared" si="1"/>
        <v/>
      </c>
      <c r="I15" s="31"/>
      <c r="J15" s="32"/>
    </row>
    <row r="16" spans="1:10" ht="39.950000000000003" customHeight="1" x14ac:dyDescent="0.25">
      <c r="A16" s="9"/>
      <c r="B16" s="27" t="s">
        <v>36</v>
      </c>
      <c r="C16" s="28"/>
      <c r="D16" s="28"/>
      <c r="E16" s="8">
        <v>5</v>
      </c>
      <c r="F16" s="12" t="s">
        <v>26</v>
      </c>
      <c r="G16" s="16" t="str">
        <f t="shared" si="0"/>
        <v/>
      </c>
      <c r="H16" s="17" t="str">
        <f t="shared" si="1"/>
        <v/>
      </c>
      <c r="I16" s="31"/>
      <c r="J16" s="32"/>
    </row>
    <row r="17" spans="1:10" ht="39.950000000000003" customHeight="1" thickBot="1" x14ac:dyDescent="0.3">
      <c r="A17" s="9"/>
      <c r="B17" s="29" t="s">
        <v>37</v>
      </c>
      <c r="C17" s="30"/>
      <c r="D17" s="30"/>
      <c r="E17" s="22">
        <v>5</v>
      </c>
      <c r="F17" s="13" t="s">
        <v>26</v>
      </c>
      <c r="G17" s="23" t="str">
        <f t="shared" si="0"/>
        <v/>
      </c>
      <c r="H17" s="24" t="str">
        <f t="shared" si="1"/>
        <v/>
      </c>
      <c r="I17" s="66"/>
      <c r="J17" s="67"/>
    </row>
    <row r="18" spans="1:10" ht="30" customHeight="1" thickBot="1" x14ac:dyDescent="0.3">
      <c r="A18" s="3"/>
      <c r="B18" s="62" t="s">
        <v>5</v>
      </c>
      <c r="C18" s="63"/>
      <c r="D18" s="63"/>
      <c r="E18" s="15">
        <f>SUM(E8:E17)</f>
        <v>50</v>
      </c>
      <c r="F18" s="15">
        <f>SUM(F8:F17)</f>
        <v>0</v>
      </c>
      <c r="G18" s="35"/>
      <c r="H18" s="36"/>
      <c r="I18" s="36"/>
      <c r="J18" s="37"/>
    </row>
    <row r="19" spans="1:10" ht="30" customHeight="1" thickBot="1" x14ac:dyDescent="0.3">
      <c r="A19" s="3"/>
      <c r="B19" s="64" t="s">
        <v>20</v>
      </c>
      <c r="C19" s="65"/>
      <c r="D19" s="65"/>
      <c r="E19" s="44">
        <f>F18/E18/100*100</f>
        <v>0</v>
      </c>
      <c r="F19" s="44"/>
      <c r="G19" s="44"/>
      <c r="H19" s="44"/>
      <c r="I19" s="44"/>
      <c r="J19" s="45"/>
    </row>
    <row r="20" spans="1:10" ht="30" customHeight="1" thickBot="1" x14ac:dyDescent="0.3">
      <c r="A20" s="3"/>
      <c r="B20" s="64" t="s">
        <v>21</v>
      </c>
      <c r="C20" s="65"/>
      <c r="D20" s="65"/>
      <c r="E20" s="58" t="str">
        <f>_xlfn.IFS(E19&gt;=90%,"ممتاز",E19&gt;=80%,"جيد جداً",E19&gt;=70%,"جيد",E19&gt;=60%,"مقبول",E19&lt;60%,"راسب")</f>
        <v>راسب</v>
      </c>
      <c r="F20" s="58"/>
      <c r="G20" s="58"/>
      <c r="H20" s="58"/>
      <c r="I20" s="58"/>
      <c r="J20" s="59"/>
    </row>
    <row r="21" spans="1:10" ht="42" customHeight="1" x14ac:dyDescent="0.25">
      <c r="B21" s="54" t="s">
        <v>27</v>
      </c>
      <c r="C21" s="54"/>
      <c r="D21" s="54"/>
      <c r="E21" s="33" t="s">
        <v>18</v>
      </c>
      <c r="F21" s="33"/>
      <c r="G21" s="56" t="s">
        <v>24</v>
      </c>
      <c r="H21" s="56"/>
      <c r="I21" s="56"/>
      <c r="J21" s="56"/>
    </row>
    <row r="22" spans="1:10" ht="51" customHeight="1" x14ac:dyDescent="0.25">
      <c r="A22" s="4"/>
      <c r="B22" s="55"/>
      <c r="C22" s="55"/>
      <c r="D22" s="55"/>
      <c r="E22" s="34" t="s">
        <v>19</v>
      </c>
      <c r="F22" s="34"/>
      <c r="G22" s="57"/>
      <c r="H22" s="57"/>
      <c r="I22" s="57"/>
      <c r="J22" s="57"/>
    </row>
  </sheetData>
  <sheetProtection sheet="1" formatCells="0" formatColumns="0" formatRows="0" insertColumns="0" insertRows="0" insertHyperlinks="0" deleteColumns="0" deleteRows="0" selectLockedCells="1" sort="0" autoFilter="0" pivotTables="0"/>
  <mergeCells count="41">
    <mergeCell ref="B21:D22"/>
    <mergeCell ref="G21:J21"/>
    <mergeCell ref="G22:J22"/>
    <mergeCell ref="E20:J20"/>
    <mergeCell ref="I8:J8"/>
    <mergeCell ref="B18:D18"/>
    <mergeCell ref="B19:D19"/>
    <mergeCell ref="B20:D20"/>
    <mergeCell ref="I11:J11"/>
    <mergeCell ref="I12:J12"/>
    <mergeCell ref="I13:J13"/>
    <mergeCell ref="I14:J14"/>
    <mergeCell ref="I15:J15"/>
    <mergeCell ref="I16:J16"/>
    <mergeCell ref="I17:J17"/>
    <mergeCell ref="I9:J9"/>
    <mergeCell ref="E21:F21"/>
    <mergeCell ref="E22:F22"/>
    <mergeCell ref="G18:J18"/>
    <mergeCell ref="B1:J1"/>
    <mergeCell ref="F2:J2"/>
    <mergeCell ref="B5:D6"/>
    <mergeCell ref="C2:D2"/>
    <mergeCell ref="C3:D3"/>
    <mergeCell ref="F3:J3"/>
    <mergeCell ref="E19:J19"/>
    <mergeCell ref="B7:D7"/>
    <mergeCell ref="E5:H5"/>
    <mergeCell ref="I5:J6"/>
    <mergeCell ref="I7:J7"/>
    <mergeCell ref="I10:J10"/>
    <mergeCell ref="B13:D13"/>
    <mergeCell ref="B14:D14"/>
    <mergeCell ref="B15:D15"/>
    <mergeCell ref="B16:D16"/>
    <mergeCell ref="B17:D17"/>
    <mergeCell ref="B8:D8"/>
    <mergeCell ref="B9:D9"/>
    <mergeCell ref="B10:D10"/>
    <mergeCell ref="B11:D11"/>
    <mergeCell ref="B12:D12"/>
  </mergeCells>
  <conditionalFormatting sqref="E20">
    <cfRule type="expression" dxfId="23" priority="57">
      <formula>$E20="راسب"</formula>
    </cfRule>
  </conditionalFormatting>
  <conditionalFormatting sqref="E20:J20">
    <cfRule type="expression" dxfId="22" priority="58">
      <formula>$E20="مقبول"</formula>
    </cfRule>
    <cfRule type="expression" dxfId="21" priority="59">
      <formula>$E20="جيد"</formula>
    </cfRule>
    <cfRule type="expression" dxfId="20" priority="60">
      <formula>$E20="جيد جداً"</formula>
    </cfRule>
    <cfRule type="expression" dxfId="19" priority="61">
      <formula>$E20="ممتاز"</formula>
    </cfRule>
  </conditionalFormatting>
  <conditionalFormatting sqref="H8 H10:H17">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17">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21:J21">
    <cfRule type="containsText" dxfId="8" priority="15" operator="containsText" text="أدخل اسم المحكم">
      <formula>NOT(ISERROR(SEARCH("أدخل اسم المحكم",G21)))</formula>
    </cfRule>
  </conditionalFormatting>
  <conditionalFormatting sqref="F8 F10:F17">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F8:F17</xm:sqref>
        </x14:dataValidation>
        <x14:dataValidation type="list" allowBlank="1" showInputMessage="1" showErrorMessage="1">
          <x14:formula1>
            <xm:f>#REF!</xm:f>
          </x14:formula1>
          <xm:sqref>G21:J21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2026-08-30T05:16:13Z</dcterms:modified>
</cp:coreProperties>
</file>