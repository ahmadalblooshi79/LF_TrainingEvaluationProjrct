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التقييم'!$A$1:$J$97</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7" i="2"/>
  <c r="H17" i="2" s="1"/>
  <c r="G18" i="2"/>
  <c r="H18" i="2" s="1"/>
  <c r="G19" i="2"/>
  <c r="H19" i="2" s="1"/>
  <c r="G20" i="2"/>
  <c r="H20" i="2" s="1"/>
  <c r="G21" i="2"/>
  <c r="H21" i="2" s="1"/>
  <c r="G22" i="2"/>
  <c r="H22" i="2" s="1"/>
  <c r="G23" i="2"/>
  <c r="H23" i="2" s="1"/>
  <c r="G24" i="2"/>
  <c r="H24" i="2" s="1"/>
  <c r="G25" i="2"/>
  <c r="H25" i="2" s="1"/>
  <c r="G26" i="2"/>
  <c r="H26" i="2" s="1"/>
  <c r="G28" i="2"/>
  <c r="H28" i="2" s="1"/>
  <c r="G29" i="2"/>
  <c r="H29" i="2" s="1"/>
  <c r="G30" i="2"/>
  <c r="H30" i="2" s="1"/>
  <c r="G31" i="2"/>
  <c r="H31" i="2" s="1"/>
  <c r="G32" i="2"/>
  <c r="H32" i="2" s="1"/>
  <c r="G33" i="2"/>
  <c r="H33" i="2" s="1"/>
  <c r="G35" i="2"/>
  <c r="H35" i="2" s="1"/>
  <c r="G36" i="2"/>
  <c r="H36" i="2" s="1"/>
  <c r="G37" i="2"/>
  <c r="H37" i="2" s="1"/>
  <c r="G38" i="2"/>
  <c r="H38" i="2" s="1"/>
  <c r="G39" i="2"/>
  <c r="H39" i="2" s="1"/>
  <c r="G42" i="2"/>
  <c r="H42" i="2" s="1"/>
  <c r="G43" i="2"/>
  <c r="H43" i="2" s="1"/>
  <c r="G44" i="2"/>
  <c r="H44" i="2" s="1"/>
  <c r="G46" i="2"/>
  <c r="H46" i="2" s="1"/>
  <c r="G47" i="2"/>
  <c r="H47" i="2" s="1"/>
  <c r="G48" i="2"/>
  <c r="H48" i="2" s="1"/>
  <c r="G49" i="2"/>
  <c r="H49" i="2" s="1"/>
  <c r="G50" i="2"/>
  <c r="H50" i="2" s="1"/>
  <c r="G51" i="2"/>
  <c r="H51" i="2" s="1"/>
  <c r="G52" i="2"/>
  <c r="H52" i="2" s="1"/>
  <c r="G54" i="2"/>
  <c r="H54" i="2" s="1"/>
  <c r="G55" i="2"/>
  <c r="H55" i="2" s="1"/>
  <c r="G56" i="2"/>
  <c r="H56" i="2" s="1"/>
  <c r="G57" i="2"/>
  <c r="H57" i="2" s="1"/>
  <c r="G58" i="2"/>
  <c r="H58" i="2" s="1"/>
  <c r="G60" i="2"/>
  <c r="H60" i="2" s="1"/>
  <c r="G61" i="2"/>
  <c r="H61" i="2" s="1"/>
  <c r="G62" i="2"/>
  <c r="H62" i="2" s="1"/>
  <c r="G63" i="2"/>
  <c r="H63" i="2" s="1"/>
  <c r="G65" i="2"/>
  <c r="H65" i="2" s="1"/>
  <c r="G68" i="2"/>
  <c r="H68" i="2" s="1"/>
  <c r="G69" i="2"/>
  <c r="H69" i="2" s="1"/>
  <c r="G70" i="2"/>
  <c r="H70" i="2" s="1"/>
  <c r="G71" i="2"/>
  <c r="H71" i="2" s="1"/>
  <c r="G72" i="2"/>
  <c r="H72" i="2" s="1"/>
  <c r="G73" i="2"/>
  <c r="H73" i="2" s="1"/>
  <c r="G74" i="2"/>
  <c r="H74" i="2" s="1"/>
  <c r="G76" i="2"/>
  <c r="H76" i="2" s="1"/>
  <c r="G77" i="2"/>
  <c r="H77" i="2" s="1"/>
  <c r="G78" i="2"/>
  <c r="H78" i="2" s="1"/>
  <c r="G79" i="2"/>
  <c r="H79" i="2" s="1"/>
  <c r="G80" i="2"/>
  <c r="H80" i="2" s="1"/>
  <c r="G83" i="2"/>
  <c r="H83" i="2" s="1"/>
  <c r="G84" i="2"/>
  <c r="H84" i="2" s="1"/>
  <c r="G85" i="2"/>
  <c r="H85" i="2" s="1"/>
  <c r="G87" i="2"/>
  <c r="H87" i="2" s="1"/>
  <c r="G88" i="2"/>
  <c r="H88" i="2" s="1"/>
  <c r="G90" i="2"/>
  <c r="H90" i="2" s="1"/>
  <c r="G91" i="2"/>
  <c r="H91" i="2" s="1"/>
  <c r="G92" i="2"/>
  <c r="H92" i="2" s="1"/>
  <c r="G8" i="2" l="1"/>
  <c r="H8" i="2" s="1"/>
  <c r="F93" i="2" l="1"/>
  <c r="E93" i="2" l="1"/>
  <c r="E94" i="2" l="1"/>
  <c r="E95" i="2" s="1"/>
</calcChain>
</file>

<file path=xl/sharedStrings.xml><?xml version="1.0" encoding="utf-8"?>
<sst xmlns="http://schemas.openxmlformats.org/spreadsheetml/2006/main" count="183" uniqueCount="115">
  <si>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</si>
  <si>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</si>
  <si>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</si>
  <si>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</si>
  <si>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</si>
  <si>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</si>
  <si>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</si>
  <si>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</si>
  <si>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</si>
  <si>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</si>
  <si>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</si>
  <si>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</si>
  <si>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</si>
  <si>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</si>
  <si>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</si>
  <si>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</si>
  <si>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</si>
  <si>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</si>
  <si>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</si>
  <si>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</si>
  <si>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</si>
  <si>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</si>
  <si>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</si>
  <si>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</si>
  <si>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</si>
  <si>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</si>
  <si>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</si>
  <si>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</si>
  <si>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</si>
  <si>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</si>
  <si>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</si>
  <si>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</si>
  <si>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</si>
  <si>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</si>
  <si>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</si>
  <si>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</si>
  <si>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</si>
  <si>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</si>
  <si>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</si>
  <si>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</si>
  <si>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</si>
  <si>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</si>
  <si>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</si>
  <si>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</si>
  <si>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</si>
  <si>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</si>
  <si>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</si>
  <si>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</si>
  <si>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</si>
  <si>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</si>
  <si>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</si>
  <si>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</si>
  <si>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</si>
  <si>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</si>
  <si>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</si>
  <si>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</si>
  <si>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</si>
  <si>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</si>
  <si>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</si>
  <si>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</si>
  <si>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</si>
  <si>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</si>
  <si>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</si>
  <si>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</si>
  <si>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</si>
  <si>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</si>
  <si>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</si>
  <si>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</si>
  <si>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</si>
  <si>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</si>
  <si>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</si>
  <si>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</si>
  <si>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</si>
  <si>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</si>
  <si>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</si>
  <si>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</si>
  <si>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</si>
  <si>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</si>
  <si>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</si>
  <si>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</si>
  <si>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</si>
  <si>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</si>
  <si>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</si>
  <si>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</si>
  <si>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</si>
  <si>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</si>
  <si>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</si>
  <si>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</si>
  <si>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</si>
  <si>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</si>
  <si>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</si>
  <si>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</si>
  <si>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</si>
  <si>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</si>
  <si>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</si>
  <si>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</si>
  <si>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</si>
  <si>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</si>
  <si>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</si>
  <si>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</si>
  <si>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</si>
  <si>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t>3.   قيام قائد السرية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</si>
  <si>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السرية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</si>
  <si>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قائد السرية .</t>
    </r>
  </si>
  <si>
    <r>
      <t xml:space="preserve">5.  </t>
    </r>
    <r>
      <rPr>
        <b/>
        <u/>
        <sz val="12"/>
        <color rgb="FF000000"/>
        <rFont val="Arial"/>
        <family val="2"/>
      </rPr>
      <t xml:space="preserve"> قوات العــــــدو</t>
    </r>
    <r>
      <rPr>
        <sz val="12"/>
        <color rgb="FF000000"/>
        <rFont val="Arial"/>
        <family val="2"/>
      </rPr>
      <t>.   تقدم من قبل قائد السرية.</t>
    </r>
  </si>
  <si>
    <r>
      <t xml:space="preserve">6.   </t>
    </r>
    <r>
      <rPr>
        <b/>
        <u/>
        <sz val="12"/>
        <color rgb="FF000000"/>
        <rFont val="Arial"/>
        <family val="2"/>
      </rPr>
      <t>قواتنا</t>
    </r>
    <r>
      <rPr>
        <sz val="12"/>
        <color rgb="FF000000"/>
        <rFont val="Arial"/>
        <family val="2"/>
      </rPr>
      <t>.   تقدم من قبل قائد السرية.</t>
    </r>
  </si>
  <si>
    <r>
      <t xml:space="preserve">ب.  </t>
    </r>
    <r>
      <rPr>
        <u/>
        <sz val="12"/>
        <color rgb="FF000000"/>
        <rFont val="Arial"/>
        <family val="2"/>
      </rPr>
      <t>مفهوم العمليات</t>
    </r>
    <r>
      <rPr>
        <sz val="12"/>
        <color rgb="FF000000"/>
        <rFont val="Arial"/>
        <family val="2"/>
      </rPr>
      <t>. يقدم من قبل قائد السرية ويشمل ما يلي:</t>
    </r>
  </si>
  <si>
    <r>
      <t xml:space="preserve">9.   </t>
    </r>
    <r>
      <rPr>
        <b/>
        <u/>
        <sz val="12"/>
        <color rgb="FF000000"/>
        <rFont val="Arial"/>
        <family val="2"/>
      </rPr>
      <t>تعليمات التنسيق</t>
    </r>
    <r>
      <rPr>
        <sz val="12"/>
        <color rgb="FF000000"/>
        <rFont val="Arial"/>
        <family val="2"/>
      </rPr>
      <t>. تقدم من قبل قائد السرية.</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</si>
  <si>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قائد السرية.</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</si>
  <si>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قائد السرية.</t>
    </r>
  </si>
  <si>
    <t>2.   يقوم قائد السرية بتفقد المشاركين.</t>
  </si>
  <si>
    <r>
      <t>د.   ا</t>
    </r>
    <r>
      <rPr>
        <u/>
        <sz val="12"/>
        <color rgb="FF000000"/>
        <rFont val="Arial"/>
        <family val="2"/>
      </rPr>
      <t>لاعتبارات المدنية</t>
    </r>
    <r>
      <rPr>
        <sz val="12"/>
        <color rgb="FF000000"/>
        <rFont val="Arial"/>
        <family val="2"/>
      </rPr>
      <t>. تقدم من قبل قائد السرية وتشمل: (السكان، نوعية المجتمع، الفئة العمرية الديانة، اللغة، الولاء، التركيبة الاجتماعية) البنية التحتية، (الكهرباء، المياه، الطرق، المواصلات).</t>
    </r>
  </si>
  <si>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الفصائل.</t>
    </r>
  </si>
  <si>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t>
    </r>
  </si>
  <si>
    <t>تقييم أمر عمليات قائد السرية/فريق القتال - العمليات التعرضية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</si>
</sst>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1"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30">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0" fontId="2" fillId="0" borderId="2" xfId="0" applyFont="1" applyBorder="1" applyAlignment="1">
      <alignment horizontal="center" vertical="center" wrapText="1"/>
    </xf>
    <xf numFmtId="0" fontId="5" fillId="3" borderId="20" xfId="0" applyFont="1" applyFill="1" applyBorder="1" applyAlignment="1" applyProtection="1">
      <alignment horizontal="center" vertical="center" wrapText="1" readingOrder="2"/>
      <protection locked="0"/>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7" fillId="0" borderId="2" xfId="0" applyFont="1" applyBorder="1" applyAlignment="1">
      <alignment vertical="center" wrapText="1" readingOrder="2"/>
    </xf>
    <xf numFmtId="0" fontId="3" fillId="0" borderId="8" xfId="0" applyFont="1" applyBorder="1" applyAlignment="1" applyProtection="1">
      <alignment horizontal="center" vertical="center" wrapText="1" readingOrder="2"/>
      <protection locked="0"/>
    </xf>
    <xf numFmtId="9" fontId="3" fillId="0" borderId="8" xfId="0" applyNumberFormat="1" applyFont="1" applyBorder="1" applyAlignment="1">
      <alignment horizontal="center" vertical="center" wrapText="1" readingOrder="2"/>
    </xf>
    <xf numFmtId="0" fontId="3" fillId="0" borderId="8" xfId="0" applyFont="1" applyBorder="1" applyAlignment="1">
      <alignment horizontal="center" vertical="center" wrapText="1" readingOrder="2"/>
    </xf>
    <xf numFmtId="0" fontId="7" fillId="0" borderId="16" xfId="0" applyFont="1" applyBorder="1" applyAlignment="1">
      <alignment horizontal="right" vertical="center" wrapText="1" indent="4" readingOrder="2"/>
    </xf>
    <xf numFmtId="0" fontId="7" fillId="0" borderId="2" xfId="0" applyFont="1" applyBorder="1" applyAlignment="1">
      <alignment horizontal="right" vertical="center" wrapText="1" indent="4" readingOrder="2"/>
    </xf>
    <xf numFmtId="0" fontId="7" fillId="0" borderId="10" xfId="0" applyFont="1" applyBorder="1" applyAlignment="1">
      <alignment horizontal="right" vertical="center" wrapText="1" indent="4" readingOrder="2"/>
    </xf>
    <xf numFmtId="0" fontId="7" fillId="0" borderId="11" xfId="0" applyFont="1" applyBorder="1" applyAlignment="1">
      <alignment horizontal="right" vertical="center" wrapText="1" indent="4" readingOrder="2"/>
    </xf>
    <xf numFmtId="0" fontId="7" fillId="0" borderId="7" xfId="0" applyFont="1" applyBorder="1" applyAlignment="1">
      <alignment horizontal="right" vertical="center" wrapText="1" readingOrder="2"/>
    </xf>
    <xf numFmtId="0" fontId="7" fillId="0" borderId="8" xfId="0" applyFont="1" applyBorder="1" applyAlignment="1">
      <alignment horizontal="right" vertical="center" wrapText="1" readingOrder="2"/>
    </xf>
    <xf numFmtId="0" fontId="7" fillId="0" borderId="17" xfId="0" applyFont="1" applyBorder="1" applyAlignment="1">
      <alignment horizontal="right" vertical="center" wrapText="1" indent="2" readingOrder="2"/>
    </xf>
    <xf numFmtId="0" fontId="7" fillId="0" borderId="18" xfId="0" applyFont="1" applyBorder="1" applyAlignment="1">
      <alignment horizontal="right" vertical="center" wrapText="1" indent="2" readingOrder="2"/>
    </xf>
    <xf numFmtId="0" fontId="7" fillId="0" borderId="22" xfId="0" applyFont="1" applyBorder="1" applyAlignment="1">
      <alignment horizontal="right" vertical="center" wrapText="1" indent="2" readingOrder="2"/>
    </xf>
    <xf numFmtId="0" fontId="7" fillId="0" borderId="23" xfId="0" applyFont="1" applyBorder="1" applyAlignment="1">
      <alignment horizontal="right" vertical="center" wrapText="1" readingOrder="2"/>
    </xf>
    <xf numFmtId="0" fontId="7" fillId="0" borderId="24" xfId="0" applyFont="1" applyBorder="1" applyAlignment="1">
      <alignment horizontal="right" vertical="center" wrapText="1" readingOrder="2"/>
    </xf>
    <xf numFmtId="0" fontId="7" fillId="0" borderId="25" xfId="0" applyFont="1" applyBorder="1" applyAlignment="1">
      <alignment horizontal="right" vertical="center" wrapText="1" readingOrder="2"/>
    </xf>
    <xf numFmtId="0" fontId="10" fillId="0" borderId="16" xfId="0" applyFont="1" applyBorder="1" applyAlignment="1">
      <alignment horizontal="right" vertical="center" wrapText="1" indent="4" readingOrder="2"/>
    </xf>
    <xf numFmtId="0" fontId="10" fillId="0" borderId="2" xfId="0" applyFont="1" applyBorder="1" applyAlignment="1">
      <alignment horizontal="right" vertical="center" wrapText="1" indent="4" readingOrder="2"/>
    </xf>
    <xf numFmtId="0" fontId="10" fillId="0" borderId="10" xfId="0" applyFont="1" applyBorder="1" applyAlignment="1">
      <alignment horizontal="right" vertical="center" wrapText="1" indent="4" readingOrder="2"/>
    </xf>
    <xf numFmtId="0" fontId="10" fillId="0" borderId="11" xfId="0" applyFont="1" applyBorder="1" applyAlignment="1">
      <alignment horizontal="right" vertical="center" wrapText="1" indent="4"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7" fillId="0" borderId="16" xfId="0" applyFont="1" applyBorder="1" applyAlignment="1">
      <alignment horizontal="right" vertical="center" wrapText="1" indent="6" readingOrder="2"/>
    </xf>
    <xf numFmtId="0" fontId="7" fillId="0" borderId="2" xfId="0" applyFont="1" applyBorder="1" applyAlignment="1">
      <alignment horizontal="right" vertical="center" wrapText="1" indent="6" readingOrder="2"/>
    </xf>
    <xf numFmtId="0" fontId="7" fillId="0" borderId="17" xfId="0" applyFont="1" applyBorder="1" applyAlignment="1">
      <alignment horizontal="right" vertical="center" wrapText="1" indent="4" readingOrder="2"/>
    </xf>
    <xf numFmtId="0" fontId="7" fillId="0" borderId="18" xfId="0" applyFont="1" applyBorder="1" applyAlignment="1">
      <alignment horizontal="right" vertical="center" wrapText="1" indent="4" readingOrder="2"/>
    </xf>
    <xf numFmtId="0" fontId="7" fillId="0" borderId="22" xfId="0" applyFont="1" applyBorder="1" applyAlignment="1">
      <alignment horizontal="right" vertical="center" wrapText="1" indent="4" readingOrder="2"/>
    </xf>
    <xf numFmtId="0" fontId="7" fillId="0" borderId="16" xfId="0" applyFont="1" applyBorder="1" applyAlignment="1">
      <alignment horizontal="right" vertical="center" wrapText="1" indent="3" readingOrder="2"/>
    </xf>
    <xf numFmtId="0" fontId="7" fillId="0" borderId="2" xfId="0" applyFont="1" applyBorder="1" applyAlignment="1">
      <alignment horizontal="right" vertical="center" wrapText="1" indent="3" readingOrder="2"/>
    </xf>
    <xf numFmtId="0" fontId="7" fillId="0" borderId="16" xfId="0" applyFont="1" applyBorder="1" applyAlignment="1">
      <alignment horizontal="right" vertical="center" wrapText="1" indent="2" readingOrder="2"/>
    </xf>
    <xf numFmtId="0" fontId="7" fillId="0" borderId="2" xfId="0" applyFont="1" applyBorder="1" applyAlignment="1">
      <alignment horizontal="right" vertical="center" wrapText="1" indent="2" readingOrder="2"/>
    </xf>
    <xf numFmtId="0" fontId="7" fillId="0" borderId="10" xfId="0" applyFont="1" applyBorder="1" applyAlignment="1">
      <alignment horizontal="right" vertical="center" wrapText="1" indent="2" readingOrder="2"/>
    </xf>
    <xf numFmtId="0" fontId="7" fillId="0" borderId="11" xfId="0" applyFont="1" applyBorder="1" applyAlignment="1">
      <alignment horizontal="right" vertical="center" wrapText="1" indent="2" readingOrder="2"/>
    </xf>
    <xf numFmtId="0" fontId="10" fillId="0" borderId="26" xfId="0" applyFont="1" applyBorder="1" applyAlignment="1" applyProtection="1">
      <alignment horizontal="center" vertical="center" wrapText="1" readingOrder="2"/>
      <protection locked="0"/>
    </xf>
    <xf numFmtId="0" fontId="10" fillId="0" borderId="27" xfId="0" applyFont="1" applyBorder="1" applyAlignment="1" applyProtection="1">
      <alignment horizontal="center" vertical="center" wrapText="1" readingOrder="2"/>
      <protection locked="0"/>
    </xf>
    <xf numFmtId="0" fontId="10" fillId="0" borderId="28" xfId="0" applyFont="1" applyBorder="1" applyAlignment="1" applyProtection="1">
      <alignment horizontal="center" vertical="center" wrapText="1" readingOrder="2"/>
      <protection locked="0"/>
    </xf>
    <xf numFmtId="0" fontId="10" fillId="0" borderId="29"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5" fillId="0" borderId="0" xfId="0" applyFont="1" applyAlignment="1" applyProtection="1">
      <alignment horizontal="left" vertical="top" wrapText="1" readingOrder="2"/>
      <protection locked="0"/>
    </xf>
    <xf numFmtId="0" fontId="2" fillId="0" borderId="13" xfId="0" applyFont="1" applyBorder="1" applyAlignment="1">
      <alignment horizontal="center" vertical="center" wrapText="1" readingOrder="2"/>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3" fillId="0" borderId="8"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9" xfId="0" applyFont="1" applyFill="1" applyBorder="1" applyAlignment="1" applyProtection="1">
      <alignment horizontal="center" vertical="center" wrapText="1" readingOrder="2"/>
      <protection locked="0"/>
    </xf>
    <xf numFmtId="0" fontId="6" fillId="3" borderId="20" xfId="0" applyFont="1" applyFill="1" applyBorder="1" applyAlignment="1" applyProtection="1">
      <alignment horizontal="center" vertical="center" wrapText="1" readingOrder="2"/>
      <protection locked="0"/>
    </xf>
    <xf numFmtId="0" fontId="5" fillId="3" borderId="20" xfId="0" applyFont="1" applyFill="1" applyBorder="1" applyAlignment="1" applyProtection="1">
      <alignment horizontal="center" vertical="center" wrapText="1" readingOrder="2"/>
      <protection locked="0"/>
    </xf>
    <xf numFmtId="0" fontId="5" fillId="3" borderId="21" xfId="0" applyFont="1" applyFill="1" applyBorder="1" applyAlignment="1" applyProtection="1">
      <alignment horizontal="center" vertical="center" wrapText="1" readingOrder="2"/>
      <protection locked="0"/>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49" fontId="4" fillId="0" borderId="0" xfId="0" applyNumberFormat="1" applyFont="1" applyAlignment="1" applyProtection="1">
      <alignment horizontal="center" vertical="center" wrapText="1" readingOrder="2"/>
      <protection locked="0"/>
    </xf>
    <xf numFmtId="49" fontId="4" fillId="0" borderId="0" xfId="0" applyNumberFormat="1" applyFont="1" applyAlignment="1" applyProtection="1">
      <alignment horizontal="center" vertical="center"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97"/>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93" t="s">
        <v>114</v>
      </c>
      <c r="C1" s="94"/>
      <c r="D1" s="94"/>
      <c r="E1" s="94"/>
      <c r="F1" s="94"/>
      <c r="G1" s="94"/>
      <c r="H1" s="94"/>
      <c r="I1" s="94"/>
      <c r="J1" s="94"/>
    </row>
    <row r="2" spans="1:10" ht="30" customHeight="1" x14ac:dyDescent="0.25">
      <c r="B2" s="12" t="s">
        <v>8</v>
      </c>
      <c r="C2" s="87" t="s">
        <v>23</v>
      </c>
      <c r="D2" s="87"/>
      <c r="E2" s="12" t="s">
        <v>7</v>
      </c>
      <c r="F2" s="82" t="s">
        <v>22</v>
      </c>
      <c r="G2" s="82"/>
      <c r="H2" s="82"/>
      <c r="I2" s="82"/>
      <c r="J2" s="82"/>
    </row>
    <row r="3" spans="1:10" ht="30" customHeight="1" x14ac:dyDescent="0.25">
      <c r="B3" s="12" t="s">
        <v>9</v>
      </c>
      <c r="C3" s="87" t="s">
        <v>25</v>
      </c>
      <c r="D3" s="87"/>
      <c r="E3" s="12" t="s">
        <v>6</v>
      </c>
      <c r="F3" s="87" t="s">
        <v>24</v>
      </c>
      <c r="G3" s="87"/>
      <c r="H3" s="87"/>
      <c r="I3" s="87"/>
      <c r="J3" s="87"/>
    </row>
    <row r="4" spans="1:10" ht="30" customHeight="1" thickBot="1" x14ac:dyDescent="0.3">
      <c r="B4" s="5"/>
      <c r="C4" s="6"/>
      <c r="D4" s="6"/>
      <c r="E4" s="5"/>
      <c r="F4" s="6"/>
      <c r="G4" s="6"/>
      <c r="H4" s="7"/>
      <c r="I4" s="6"/>
      <c r="J4" s="6"/>
    </row>
    <row r="5" spans="1:10" ht="24.95" customHeight="1" x14ac:dyDescent="0.25">
      <c r="A5" s="10"/>
      <c r="B5" s="83" t="s">
        <v>0</v>
      </c>
      <c r="C5" s="84"/>
      <c r="D5" s="84"/>
      <c r="E5" s="88" t="s">
        <v>1</v>
      </c>
      <c r="F5" s="88"/>
      <c r="G5" s="88"/>
      <c r="H5" s="88"/>
      <c r="I5" s="88" t="s">
        <v>2</v>
      </c>
      <c r="J5" s="89"/>
    </row>
    <row r="6" spans="1:10" ht="24.95" customHeight="1" thickBot="1" x14ac:dyDescent="0.3">
      <c r="A6" s="10"/>
      <c r="B6" s="85"/>
      <c r="C6" s="86"/>
      <c r="D6" s="86"/>
      <c r="E6" s="11" t="s">
        <v>3</v>
      </c>
      <c r="F6" s="11" t="s">
        <v>4</v>
      </c>
      <c r="G6" s="11" t="s">
        <v>15</v>
      </c>
      <c r="H6" s="11" t="s">
        <v>16</v>
      </c>
      <c r="I6" s="90"/>
      <c r="J6" s="91"/>
    </row>
    <row r="7" spans="1:10" ht="24.95" customHeight="1" thickBot="1" x14ac:dyDescent="0.3">
      <c r="A7" s="10"/>
      <c r="B7" s="78" t="s">
        <v>13</v>
      </c>
      <c r="C7" s="79"/>
      <c r="D7" s="79"/>
      <c r="E7" s="18" t="s">
        <v>10</v>
      </c>
      <c r="F7" s="18" t="s">
        <v>11</v>
      </c>
      <c r="G7" s="18" t="s">
        <v>14</v>
      </c>
      <c r="H7" s="18" t="s">
        <v>12</v>
      </c>
      <c r="I7" s="80" t="s">
        <v>17</v>
      </c>
      <c r="J7" s="81"/>
    </row>
    <row r="8" spans="1:10" ht="30" customHeight="1" thickBot="1" x14ac:dyDescent="0.3">
      <c r="A8" s="10"/>
      <c r="B8" s="31" t="s">
        <v>27</v>
      </c>
      <c r="C8" s="32"/>
      <c r="D8" s="32"/>
      <c r="E8" s="26">
        <v>5</v>
      </c>
      <c r="F8" s="24" t="s">
        <v>26</v>
      </c>
      <c r="G8" s="25" t="str">
        <f>IFERROR(F8/E8,"")</f>
        <v/>
      </c>
      <c r="H8" s="15" t="str">
        <f>_xlfn.IFS(F8="أدخل العلامة","",F8="لا ينطبق","تم الإلغاء",G8&gt;=90%,"ممتاز",G8&gt;=80%,"جيد جداً",G8&gt;=70%,"جيد",G8&gt;=60%,"مقبول",G8&lt;60%,"راسب")</f>
        <v/>
      </c>
      <c r="I8" s="74"/>
      <c r="J8" s="75"/>
    </row>
    <row r="9" spans="1:10" ht="30" customHeight="1" thickBot="1" x14ac:dyDescent="0.3">
      <c r="A9" s="10"/>
      <c r="B9" s="31" t="s">
        <v>110</v>
      </c>
      <c r="C9" s="32"/>
      <c r="D9" s="32"/>
      <c r="E9" s="26">
        <v>5</v>
      </c>
      <c r="F9" s="24" t="s">
        <v>26</v>
      </c>
      <c r="G9" s="25" t="str">
        <f>IFERROR(F9/E9,"")</f>
        <v/>
      </c>
      <c r="H9" s="15" t="str">
        <f>_xlfn.IFS(F9="أدخل العلامة","",F9="لا ينطبق","تم الإلغاء",G9&gt;=90%,"ممتاز",G9&gt;=80%,"جيد جداً",G9&gt;=70%,"جيد",G9&gt;=60%,"مقبول",G9&lt;60%,"راسب")</f>
        <v/>
      </c>
      <c r="I9" s="74"/>
      <c r="J9" s="75"/>
    </row>
    <row r="10" spans="1:10" ht="39.950000000000003" customHeight="1" thickBot="1" x14ac:dyDescent="0.3">
      <c r="A10" s="10"/>
      <c r="B10" s="31" t="s">
        <v>101</v>
      </c>
      <c r="C10" s="32"/>
      <c r="D10" s="32"/>
      <c r="E10" s="26">
        <v>5</v>
      </c>
      <c r="F10" s="24" t="s">
        <v>26</v>
      </c>
      <c r="G10" s="25" t="str">
        <f t="shared" ref="G10:G52" si="0">IFERROR(F10/E10,"")</f>
        <v/>
      </c>
      <c r="H10" s="15" t="str">
        <f t="shared" ref="H10:H52" si="1">_xlfn.IFS(F10="أدخل العلامة","",F10="لا ينطبق","تم الإلغاء",G10&gt;=90%,"ممتاز",G10&gt;=80%,"جيد جداً",G10&gt;=70%,"جيد",G10&gt;=60%,"مقبول",G10&lt;60%,"راسب")</f>
        <v/>
      </c>
      <c r="I10" s="74"/>
      <c r="J10" s="75"/>
    </row>
    <row r="11" spans="1:10" ht="30" customHeight="1" x14ac:dyDescent="0.25">
      <c r="A11" s="10"/>
      <c r="B11" s="36" t="s">
        <v>102</v>
      </c>
      <c r="C11" s="37"/>
      <c r="D11" s="37"/>
      <c r="E11" s="37"/>
      <c r="F11" s="37"/>
      <c r="G11" s="37"/>
      <c r="H11" s="37"/>
      <c r="I11" s="37"/>
      <c r="J11" s="38"/>
    </row>
    <row r="12" spans="1:10" ht="30" customHeight="1" x14ac:dyDescent="0.25">
      <c r="A12" s="10"/>
      <c r="B12" s="54" t="s">
        <v>28</v>
      </c>
      <c r="C12" s="55"/>
      <c r="D12" s="55"/>
      <c r="E12" s="8">
        <v>5</v>
      </c>
      <c r="F12" s="13" t="s">
        <v>26</v>
      </c>
      <c r="G12" s="19" t="str">
        <f t="shared" si="0"/>
        <v/>
      </c>
      <c r="H12" s="20" t="str">
        <f t="shared" si="1"/>
        <v/>
      </c>
      <c r="I12" s="43"/>
      <c r="J12" s="44"/>
    </row>
    <row r="13" spans="1:10" ht="30" customHeight="1" x14ac:dyDescent="0.25">
      <c r="A13" s="10"/>
      <c r="B13" s="54" t="s">
        <v>29</v>
      </c>
      <c r="C13" s="55"/>
      <c r="D13" s="55"/>
      <c r="E13" s="8">
        <v>5</v>
      </c>
      <c r="F13" s="13" t="s">
        <v>26</v>
      </c>
      <c r="G13" s="19" t="str">
        <f t="shared" si="0"/>
        <v/>
      </c>
      <c r="H13" s="20" t="str">
        <f t="shared" si="1"/>
        <v/>
      </c>
      <c r="I13" s="43"/>
      <c r="J13" s="44"/>
    </row>
    <row r="14" spans="1:10" ht="30" customHeight="1" x14ac:dyDescent="0.25">
      <c r="A14" s="10"/>
      <c r="B14" s="54" t="s">
        <v>103</v>
      </c>
      <c r="C14" s="55"/>
      <c r="D14" s="55"/>
      <c r="E14" s="8">
        <v>5</v>
      </c>
      <c r="F14" s="13" t="s">
        <v>26</v>
      </c>
      <c r="G14" s="19" t="str">
        <f t="shared" si="0"/>
        <v/>
      </c>
      <c r="H14" s="20" t="str">
        <f t="shared" si="1"/>
        <v/>
      </c>
      <c r="I14" s="58" t="s">
        <v>95</v>
      </c>
      <c r="J14" s="59"/>
    </row>
    <row r="15" spans="1:10" ht="66.599999999999994" customHeight="1" thickBot="1" x14ac:dyDescent="0.3">
      <c r="A15" s="10"/>
      <c r="B15" s="56" t="s">
        <v>111</v>
      </c>
      <c r="C15" s="57"/>
      <c r="D15" s="57"/>
      <c r="E15" s="16">
        <v>5</v>
      </c>
      <c r="F15" s="14" t="s">
        <v>26</v>
      </c>
      <c r="G15" s="21" t="str">
        <f t="shared" si="0"/>
        <v/>
      </c>
      <c r="H15" s="22" t="str">
        <f t="shared" si="1"/>
        <v/>
      </c>
      <c r="I15" s="60"/>
      <c r="J15" s="61"/>
    </row>
    <row r="16" spans="1:10" ht="30" customHeight="1" x14ac:dyDescent="0.25">
      <c r="A16" s="10"/>
      <c r="B16" s="36" t="s">
        <v>104</v>
      </c>
      <c r="C16" s="37"/>
      <c r="D16" s="37"/>
      <c r="E16" s="37"/>
      <c r="F16" s="37"/>
      <c r="G16" s="37"/>
      <c r="H16" s="37"/>
      <c r="I16" s="37"/>
      <c r="J16" s="38"/>
    </row>
    <row r="17" spans="1:10" ht="30" customHeight="1" x14ac:dyDescent="0.25">
      <c r="A17" s="10"/>
      <c r="B17" s="54" t="s">
        <v>30</v>
      </c>
      <c r="C17" s="55"/>
      <c r="D17" s="55"/>
      <c r="E17" s="8">
        <v>15</v>
      </c>
      <c r="F17" s="13" t="s">
        <v>26</v>
      </c>
      <c r="G17" s="19" t="str">
        <f t="shared" si="0"/>
        <v/>
      </c>
      <c r="H17" s="20" t="str">
        <f t="shared" si="1"/>
        <v/>
      </c>
      <c r="I17" s="43"/>
      <c r="J17" s="44"/>
    </row>
    <row r="18" spans="1:10" ht="30" customHeight="1" x14ac:dyDescent="0.25">
      <c r="A18" s="10"/>
      <c r="B18" s="54" t="s">
        <v>31</v>
      </c>
      <c r="C18" s="55"/>
      <c r="D18" s="55"/>
      <c r="E18" s="8">
        <v>5</v>
      </c>
      <c r="F18" s="13" t="s">
        <v>26</v>
      </c>
      <c r="G18" s="19" t="str">
        <f t="shared" si="0"/>
        <v/>
      </c>
      <c r="H18" s="20" t="str">
        <f t="shared" si="1"/>
        <v/>
      </c>
      <c r="I18" s="43"/>
      <c r="J18" s="44"/>
    </row>
    <row r="19" spans="1:10" ht="30" customHeight="1" x14ac:dyDescent="0.25">
      <c r="A19" s="10"/>
      <c r="B19" s="54" t="s">
        <v>32</v>
      </c>
      <c r="C19" s="55"/>
      <c r="D19" s="55"/>
      <c r="E19" s="8">
        <v>5</v>
      </c>
      <c r="F19" s="13" t="s">
        <v>26</v>
      </c>
      <c r="G19" s="19" t="str">
        <f t="shared" si="0"/>
        <v/>
      </c>
      <c r="H19" s="20" t="str">
        <f t="shared" si="1"/>
        <v/>
      </c>
      <c r="I19" s="43"/>
      <c r="J19" s="44"/>
    </row>
    <row r="20" spans="1:10" ht="30" customHeight="1" x14ac:dyDescent="0.25">
      <c r="A20" s="10"/>
      <c r="B20" s="54" t="s">
        <v>33</v>
      </c>
      <c r="C20" s="55"/>
      <c r="D20" s="55"/>
      <c r="E20" s="8">
        <v>5</v>
      </c>
      <c r="F20" s="13" t="s">
        <v>26</v>
      </c>
      <c r="G20" s="19" t="str">
        <f t="shared" si="0"/>
        <v/>
      </c>
      <c r="H20" s="20" t="str">
        <f t="shared" si="1"/>
        <v/>
      </c>
      <c r="I20" s="43"/>
      <c r="J20" s="44"/>
    </row>
    <row r="21" spans="1:10" ht="30" customHeight="1" x14ac:dyDescent="0.25">
      <c r="A21" s="10"/>
      <c r="B21" s="54" t="s">
        <v>34</v>
      </c>
      <c r="C21" s="55"/>
      <c r="D21" s="55"/>
      <c r="E21" s="8">
        <v>5</v>
      </c>
      <c r="F21" s="13" t="s">
        <v>26</v>
      </c>
      <c r="G21" s="19" t="str">
        <f t="shared" si="0"/>
        <v/>
      </c>
      <c r="H21" s="20" t="str">
        <f t="shared" si="1"/>
        <v/>
      </c>
      <c r="I21" s="43"/>
      <c r="J21" s="44"/>
    </row>
    <row r="22" spans="1:10" ht="30" customHeight="1" x14ac:dyDescent="0.25">
      <c r="A22" s="10"/>
      <c r="B22" s="54" t="s">
        <v>35</v>
      </c>
      <c r="C22" s="55"/>
      <c r="D22" s="55"/>
      <c r="E22" s="8">
        <v>5</v>
      </c>
      <c r="F22" s="13" t="s">
        <v>26</v>
      </c>
      <c r="G22" s="19" t="str">
        <f t="shared" si="0"/>
        <v/>
      </c>
      <c r="H22" s="20" t="str">
        <f t="shared" si="1"/>
        <v/>
      </c>
      <c r="I22" s="43"/>
      <c r="J22" s="44"/>
    </row>
    <row r="23" spans="1:10" ht="30" customHeight="1" x14ac:dyDescent="0.25">
      <c r="A23" s="10"/>
      <c r="B23" s="54" t="s">
        <v>36</v>
      </c>
      <c r="C23" s="55"/>
      <c r="D23" s="55"/>
      <c r="E23" s="17">
        <v>5</v>
      </c>
      <c r="F23" s="13" t="s">
        <v>26</v>
      </c>
      <c r="G23" s="19" t="str">
        <f t="shared" si="0"/>
        <v/>
      </c>
      <c r="H23" s="20" t="str">
        <f t="shared" si="1"/>
        <v/>
      </c>
      <c r="I23" s="43"/>
      <c r="J23" s="44"/>
    </row>
    <row r="24" spans="1:10" ht="30" customHeight="1" x14ac:dyDescent="0.25">
      <c r="A24" s="10"/>
      <c r="B24" s="54" t="s">
        <v>37</v>
      </c>
      <c r="C24" s="55"/>
      <c r="D24" s="55"/>
      <c r="E24" s="17">
        <v>5</v>
      </c>
      <c r="F24" s="13" t="s">
        <v>26</v>
      </c>
      <c r="G24" s="19" t="str">
        <f t="shared" si="0"/>
        <v/>
      </c>
      <c r="H24" s="20" t="str">
        <f t="shared" si="1"/>
        <v/>
      </c>
      <c r="I24" s="43"/>
      <c r="J24" s="44"/>
    </row>
    <row r="25" spans="1:10" ht="30" customHeight="1" x14ac:dyDescent="0.25">
      <c r="A25" s="10"/>
      <c r="B25" s="54" t="s">
        <v>38</v>
      </c>
      <c r="C25" s="55"/>
      <c r="D25" s="55"/>
      <c r="E25" s="8">
        <v>5</v>
      </c>
      <c r="F25" s="13" t="s">
        <v>26</v>
      </c>
      <c r="G25" s="19" t="str">
        <f t="shared" si="0"/>
        <v/>
      </c>
      <c r="H25" s="20" t="str">
        <f t="shared" si="1"/>
        <v/>
      </c>
      <c r="I25" s="43"/>
      <c r="J25" s="44"/>
    </row>
    <row r="26" spans="1:10" ht="30" customHeight="1" thickBot="1" x14ac:dyDescent="0.3">
      <c r="A26" s="10"/>
      <c r="B26" s="54" t="s">
        <v>39</v>
      </c>
      <c r="C26" s="55"/>
      <c r="D26" s="55"/>
      <c r="E26" s="8">
        <v>10</v>
      </c>
      <c r="F26" s="13" t="s">
        <v>26</v>
      </c>
      <c r="G26" s="19" t="str">
        <f t="shared" si="0"/>
        <v/>
      </c>
      <c r="H26" s="20" t="str">
        <f t="shared" si="1"/>
        <v/>
      </c>
      <c r="I26" s="43"/>
      <c r="J26" s="44"/>
    </row>
    <row r="27" spans="1:10" ht="30" customHeight="1" x14ac:dyDescent="0.25">
      <c r="A27" s="10"/>
      <c r="B27" s="36" t="s">
        <v>105</v>
      </c>
      <c r="C27" s="37"/>
      <c r="D27" s="37"/>
      <c r="E27" s="37"/>
      <c r="F27" s="37"/>
      <c r="G27" s="37"/>
      <c r="H27" s="37"/>
      <c r="I27" s="37"/>
      <c r="J27" s="38"/>
    </row>
    <row r="28" spans="1:10" ht="30" customHeight="1" x14ac:dyDescent="0.25">
      <c r="A28" s="10"/>
      <c r="B28" s="54" t="s">
        <v>40</v>
      </c>
      <c r="C28" s="55"/>
      <c r="D28" s="55"/>
      <c r="E28" s="8">
        <v>5</v>
      </c>
      <c r="F28" s="13" t="s">
        <v>26</v>
      </c>
      <c r="G28" s="19" t="str">
        <f t="shared" si="0"/>
        <v/>
      </c>
      <c r="H28" s="20" t="str">
        <f t="shared" si="1"/>
        <v/>
      </c>
      <c r="I28" s="43"/>
      <c r="J28" s="44"/>
    </row>
    <row r="29" spans="1:10" ht="30" customHeight="1" x14ac:dyDescent="0.25">
      <c r="A29" s="10"/>
      <c r="B29" s="54" t="s">
        <v>41</v>
      </c>
      <c r="C29" s="55"/>
      <c r="D29" s="55"/>
      <c r="E29" s="8">
        <v>5</v>
      </c>
      <c r="F29" s="13" t="s">
        <v>26</v>
      </c>
      <c r="G29" s="19" t="str">
        <f t="shared" si="0"/>
        <v/>
      </c>
      <c r="H29" s="20" t="str">
        <f t="shared" si="1"/>
        <v/>
      </c>
      <c r="I29" s="43"/>
      <c r="J29" s="44"/>
    </row>
    <row r="30" spans="1:10" ht="30" customHeight="1" x14ac:dyDescent="0.25">
      <c r="A30" s="10"/>
      <c r="B30" s="54" t="s">
        <v>42</v>
      </c>
      <c r="C30" s="55"/>
      <c r="D30" s="55"/>
      <c r="E30" s="8">
        <v>5</v>
      </c>
      <c r="F30" s="13" t="s">
        <v>26</v>
      </c>
      <c r="G30" s="19" t="str">
        <f t="shared" si="0"/>
        <v/>
      </c>
      <c r="H30" s="20" t="str">
        <f t="shared" si="1"/>
        <v/>
      </c>
      <c r="I30" s="43"/>
      <c r="J30" s="44"/>
    </row>
    <row r="31" spans="1:10" ht="39.950000000000003" customHeight="1" x14ac:dyDescent="0.25">
      <c r="A31" s="10"/>
      <c r="B31" s="54" t="s">
        <v>43</v>
      </c>
      <c r="C31" s="55"/>
      <c r="D31" s="55"/>
      <c r="E31" s="8">
        <v>5</v>
      </c>
      <c r="F31" s="13" t="s">
        <v>26</v>
      </c>
      <c r="G31" s="19" t="str">
        <f t="shared" si="0"/>
        <v/>
      </c>
      <c r="H31" s="20" t="str">
        <f t="shared" si="1"/>
        <v/>
      </c>
      <c r="I31" s="43"/>
      <c r="J31" s="44"/>
    </row>
    <row r="32" spans="1:10" ht="30" customHeight="1" x14ac:dyDescent="0.25">
      <c r="A32" s="10"/>
      <c r="B32" s="54" t="s">
        <v>44</v>
      </c>
      <c r="C32" s="55"/>
      <c r="D32" s="55"/>
      <c r="E32" s="8">
        <v>5</v>
      </c>
      <c r="F32" s="13" t="s">
        <v>26</v>
      </c>
      <c r="G32" s="19" t="str">
        <f t="shared" si="0"/>
        <v/>
      </c>
      <c r="H32" s="20" t="str">
        <f t="shared" si="1"/>
        <v/>
      </c>
      <c r="I32" s="43"/>
      <c r="J32" s="44"/>
    </row>
    <row r="33" spans="1:10" ht="39.950000000000003" customHeight="1" thickBot="1" x14ac:dyDescent="0.3">
      <c r="A33" s="10"/>
      <c r="B33" s="56" t="s">
        <v>45</v>
      </c>
      <c r="C33" s="57"/>
      <c r="D33" s="57"/>
      <c r="E33" s="16">
        <v>5</v>
      </c>
      <c r="F33" s="14" t="s">
        <v>26</v>
      </c>
      <c r="G33" s="21" t="str">
        <f t="shared" si="0"/>
        <v/>
      </c>
      <c r="H33" s="22" t="str">
        <f t="shared" si="1"/>
        <v/>
      </c>
      <c r="I33" s="45"/>
      <c r="J33" s="46"/>
    </row>
    <row r="34" spans="1:10" ht="30" customHeight="1" x14ac:dyDescent="0.25">
      <c r="A34" s="10"/>
      <c r="B34" s="36" t="s">
        <v>97</v>
      </c>
      <c r="C34" s="37"/>
      <c r="D34" s="37"/>
      <c r="E34" s="37"/>
      <c r="F34" s="37"/>
      <c r="G34" s="37"/>
      <c r="H34" s="37"/>
      <c r="I34" s="37"/>
      <c r="J34" s="38"/>
    </row>
    <row r="35" spans="1:10" ht="30" customHeight="1" x14ac:dyDescent="0.25">
      <c r="A35" s="10"/>
      <c r="B35" s="54" t="s">
        <v>46</v>
      </c>
      <c r="C35" s="55"/>
      <c r="D35" s="55"/>
      <c r="E35" s="8">
        <v>5</v>
      </c>
      <c r="F35" s="13" t="s">
        <v>26</v>
      </c>
      <c r="G35" s="19" t="str">
        <f t="shared" si="0"/>
        <v/>
      </c>
      <c r="H35" s="20" t="str">
        <f t="shared" si="1"/>
        <v/>
      </c>
      <c r="I35" s="43"/>
      <c r="J35" s="44"/>
    </row>
    <row r="36" spans="1:10" ht="30" customHeight="1" x14ac:dyDescent="0.25">
      <c r="A36" s="10"/>
      <c r="B36" s="54" t="s">
        <v>47</v>
      </c>
      <c r="C36" s="55"/>
      <c r="D36" s="55"/>
      <c r="E36" s="8">
        <v>5</v>
      </c>
      <c r="F36" s="13" t="s">
        <v>26</v>
      </c>
      <c r="G36" s="19" t="str">
        <f t="shared" si="0"/>
        <v/>
      </c>
      <c r="H36" s="20" t="str">
        <f t="shared" si="1"/>
        <v/>
      </c>
      <c r="I36" s="43"/>
      <c r="J36" s="44"/>
    </row>
    <row r="37" spans="1:10" ht="30" customHeight="1" x14ac:dyDescent="0.25">
      <c r="A37" s="10"/>
      <c r="B37" s="54" t="s">
        <v>48</v>
      </c>
      <c r="C37" s="55"/>
      <c r="D37" s="55"/>
      <c r="E37" s="8">
        <v>5</v>
      </c>
      <c r="F37" s="13" t="s">
        <v>26</v>
      </c>
      <c r="G37" s="19" t="str">
        <f t="shared" si="0"/>
        <v/>
      </c>
      <c r="H37" s="20" t="str">
        <f t="shared" si="1"/>
        <v/>
      </c>
      <c r="I37" s="43"/>
      <c r="J37" s="44"/>
    </row>
    <row r="38" spans="1:10" ht="30" customHeight="1" x14ac:dyDescent="0.25">
      <c r="A38" s="10"/>
      <c r="B38" s="54" t="s">
        <v>49</v>
      </c>
      <c r="C38" s="55"/>
      <c r="D38" s="55"/>
      <c r="E38" s="8">
        <v>5</v>
      </c>
      <c r="F38" s="13" t="s">
        <v>26</v>
      </c>
      <c r="G38" s="19" t="str">
        <f t="shared" si="0"/>
        <v/>
      </c>
      <c r="H38" s="20" t="str">
        <f t="shared" si="1"/>
        <v/>
      </c>
      <c r="I38" s="43"/>
      <c r="J38" s="44"/>
    </row>
    <row r="39" spans="1:10" ht="30" customHeight="1" thickBot="1" x14ac:dyDescent="0.3">
      <c r="A39" s="10"/>
      <c r="B39" s="56" t="s">
        <v>50</v>
      </c>
      <c r="C39" s="57"/>
      <c r="D39" s="57"/>
      <c r="E39" s="16">
        <v>5</v>
      </c>
      <c r="F39" s="14" t="s">
        <v>26</v>
      </c>
      <c r="G39" s="21" t="str">
        <f t="shared" si="0"/>
        <v/>
      </c>
      <c r="H39" s="22" t="str">
        <f t="shared" si="1"/>
        <v/>
      </c>
      <c r="I39" s="45"/>
      <c r="J39" s="46"/>
    </row>
    <row r="40" spans="1:10" ht="30" customHeight="1" x14ac:dyDescent="0.25">
      <c r="A40" s="10"/>
      <c r="B40" s="36" t="s">
        <v>51</v>
      </c>
      <c r="C40" s="37"/>
      <c r="D40" s="37"/>
      <c r="E40" s="37"/>
      <c r="F40" s="37"/>
      <c r="G40" s="37"/>
      <c r="H40" s="37"/>
      <c r="I40" s="37"/>
      <c r="J40" s="38"/>
    </row>
    <row r="41" spans="1:10" ht="39.950000000000003" customHeight="1" x14ac:dyDescent="0.25">
      <c r="A41" s="10"/>
      <c r="B41" s="33" t="s">
        <v>98</v>
      </c>
      <c r="C41" s="34"/>
      <c r="D41" s="35"/>
      <c r="E41" s="23"/>
      <c r="F41" s="13"/>
      <c r="G41" s="19"/>
      <c r="H41" s="20"/>
      <c r="I41" s="43"/>
      <c r="J41" s="44"/>
    </row>
    <row r="42" spans="1:10" ht="30" customHeight="1" x14ac:dyDescent="0.25">
      <c r="A42" s="10"/>
      <c r="B42" s="27" t="s">
        <v>52</v>
      </c>
      <c r="C42" s="28"/>
      <c r="D42" s="28"/>
      <c r="E42" s="8">
        <v>5</v>
      </c>
      <c r="F42" s="13" t="s">
        <v>26</v>
      </c>
      <c r="G42" s="19" t="str">
        <f t="shared" si="0"/>
        <v/>
      </c>
      <c r="H42" s="20" t="str">
        <f t="shared" si="1"/>
        <v/>
      </c>
      <c r="I42" s="43"/>
      <c r="J42" s="44"/>
    </row>
    <row r="43" spans="1:10" ht="39.950000000000003" customHeight="1" x14ac:dyDescent="0.25">
      <c r="A43" s="10"/>
      <c r="B43" s="27" t="s">
        <v>53</v>
      </c>
      <c r="C43" s="28"/>
      <c r="D43" s="28"/>
      <c r="E43" s="8">
        <v>5</v>
      </c>
      <c r="F43" s="13" t="s">
        <v>26</v>
      </c>
      <c r="G43" s="19" t="str">
        <f t="shared" si="0"/>
        <v/>
      </c>
      <c r="H43" s="20" t="str">
        <f t="shared" si="1"/>
        <v/>
      </c>
      <c r="I43" s="43"/>
      <c r="J43" s="44"/>
    </row>
    <row r="44" spans="1:10" ht="39.950000000000003" customHeight="1" x14ac:dyDescent="0.25">
      <c r="A44" s="10"/>
      <c r="B44" s="27" t="s">
        <v>54</v>
      </c>
      <c r="C44" s="28"/>
      <c r="D44" s="28"/>
      <c r="E44" s="8">
        <v>5</v>
      </c>
      <c r="F44" s="13" t="s">
        <v>26</v>
      </c>
      <c r="G44" s="19" t="str">
        <f t="shared" si="0"/>
        <v/>
      </c>
      <c r="H44" s="20" t="str">
        <f t="shared" si="1"/>
        <v/>
      </c>
      <c r="I44" s="43"/>
      <c r="J44" s="44"/>
    </row>
    <row r="45" spans="1:10" ht="30" customHeight="1" x14ac:dyDescent="0.25">
      <c r="A45" s="10"/>
      <c r="B45" s="54" t="s">
        <v>106</v>
      </c>
      <c r="C45" s="55"/>
      <c r="D45" s="55"/>
      <c r="E45" s="8"/>
      <c r="F45" s="13"/>
      <c r="G45" s="19"/>
      <c r="H45" s="20"/>
      <c r="I45" s="43"/>
      <c r="J45" s="44"/>
    </row>
    <row r="46" spans="1:10" ht="39.950000000000003" customHeight="1" x14ac:dyDescent="0.25">
      <c r="A46" s="10"/>
      <c r="B46" s="27" t="s">
        <v>55</v>
      </c>
      <c r="C46" s="28"/>
      <c r="D46" s="28"/>
      <c r="E46" s="8">
        <v>10</v>
      </c>
      <c r="F46" s="13" t="s">
        <v>26</v>
      </c>
      <c r="G46" s="19" t="str">
        <f t="shared" si="0"/>
        <v/>
      </c>
      <c r="H46" s="20" t="str">
        <f t="shared" si="1"/>
        <v/>
      </c>
      <c r="I46" s="43"/>
      <c r="J46" s="44"/>
    </row>
    <row r="47" spans="1:10" ht="50.1" customHeight="1" x14ac:dyDescent="0.25">
      <c r="A47" s="10"/>
      <c r="B47" s="27" t="s">
        <v>113</v>
      </c>
      <c r="C47" s="28"/>
      <c r="D47" s="28"/>
      <c r="E47" s="8">
        <v>5</v>
      </c>
      <c r="F47" s="13" t="s">
        <v>26</v>
      </c>
      <c r="G47" s="19" t="str">
        <f t="shared" si="0"/>
        <v/>
      </c>
      <c r="H47" s="20" t="str">
        <f t="shared" si="1"/>
        <v/>
      </c>
      <c r="I47" s="43"/>
      <c r="J47" s="44"/>
    </row>
    <row r="48" spans="1:10" ht="39.950000000000003" customHeight="1" x14ac:dyDescent="0.25">
      <c r="A48" s="10"/>
      <c r="B48" s="27" t="s">
        <v>56</v>
      </c>
      <c r="C48" s="28"/>
      <c r="D48" s="28"/>
      <c r="E48" s="8">
        <v>5</v>
      </c>
      <c r="F48" s="13" t="s">
        <v>26</v>
      </c>
      <c r="G48" s="19" t="str">
        <f t="shared" si="0"/>
        <v/>
      </c>
      <c r="H48" s="20" t="str">
        <f t="shared" si="1"/>
        <v/>
      </c>
      <c r="I48" s="43"/>
      <c r="J48" s="44"/>
    </row>
    <row r="49" spans="1:10" ht="50.1" customHeight="1" x14ac:dyDescent="0.25">
      <c r="A49" s="10"/>
      <c r="B49" s="27" t="s">
        <v>99</v>
      </c>
      <c r="C49" s="28"/>
      <c r="D49" s="28"/>
      <c r="E49" s="8">
        <v>5</v>
      </c>
      <c r="F49" s="13" t="s">
        <v>26</v>
      </c>
      <c r="G49" s="19" t="str">
        <f t="shared" si="0"/>
        <v/>
      </c>
      <c r="H49" s="20" t="str">
        <f t="shared" si="1"/>
        <v/>
      </c>
      <c r="I49" s="43"/>
      <c r="J49" s="44"/>
    </row>
    <row r="50" spans="1:10" ht="71.25" customHeight="1" x14ac:dyDescent="0.25">
      <c r="A50" s="10"/>
      <c r="B50" s="27" t="s">
        <v>57</v>
      </c>
      <c r="C50" s="28"/>
      <c r="D50" s="28"/>
      <c r="E50" s="8">
        <v>5</v>
      </c>
      <c r="F50" s="13" t="s">
        <v>26</v>
      </c>
      <c r="G50" s="19" t="str">
        <f t="shared" si="0"/>
        <v/>
      </c>
      <c r="H50" s="20" t="str">
        <f t="shared" si="1"/>
        <v/>
      </c>
      <c r="I50" s="43"/>
      <c r="J50" s="44"/>
    </row>
    <row r="51" spans="1:10" ht="50.1" customHeight="1" x14ac:dyDescent="0.25">
      <c r="A51" s="10"/>
      <c r="B51" s="27" t="s">
        <v>58</v>
      </c>
      <c r="C51" s="28"/>
      <c r="D51" s="28"/>
      <c r="E51" s="8">
        <v>5</v>
      </c>
      <c r="F51" s="13" t="s">
        <v>26</v>
      </c>
      <c r="G51" s="19" t="str">
        <f t="shared" si="0"/>
        <v/>
      </c>
      <c r="H51" s="20" t="str">
        <f t="shared" si="1"/>
        <v/>
      </c>
      <c r="I51" s="43"/>
      <c r="J51" s="44"/>
    </row>
    <row r="52" spans="1:10" ht="30" customHeight="1" thickBot="1" x14ac:dyDescent="0.3">
      <c r="A52" s="10"/>
      <c r="B52" s="33" t="s">
        <v>112</v>
      </c>
      <c r="C52" s="34"/>
      <c r="D52" s="35"/>
      <c r="E52" s="8">
        <v>5</v>
      </c>
      <c r="F52" s="13" t="s">
        <v>26</v>
      </c>
      <c r="G52" s="19" t="str">
        <f t="shared" si="0"/>
        <v/>
      </c>
      <c r="H52" s="20" t="str">
        <f t="shared" si="1"/>
        <v/>
      </c>
      <c r="I52" s="43"/>
      <c r="J52" s="44"/>
    </row>
    <row r="53" spans="1:10" ht="30" customHeight="1" x14ac:dyDescent="0.25">
      <c r="A53" s="10"/>
      <c r="B53" s="36" t="s">
        <v>107</v>
      </c>
      <c r="C53" s="37"/>
      <c r="D53" s="37"/>
      <c r="E53" s="37"/>
      <c r="F53" s="37"/>
      <c r="G53" s="37"/>
      <c r="H53" s="37"/>
      <c r="I53" s="37"/>
      <c r="J53" s="38"/>
    </row>
    <row r="54" spans="1:10" ht="30" customHeight="1" x14ac:dyDescent="0.25">
      <c r="A54" s="10"/>
      <c r="B54" s="54" t="s">
        <v>59</v>
      </c>
      <c r="C54" s="55"/>
      <c r="D54" s="55"/>
      <c r="E54" s="8">
        <v>5</v>
      </c>
      <c r="F54" s="13" t="s">
        <v>26</v>
      </c>
      <c r="G54" s="19" t="str">
        <f t="shared" ref="G54:G92" si="2">IFERROR(F54/E54,"")</f>
        <v/>
      </c>
      <c r="H54" s="20" t="str">
        <f t="shared" ref="H54:H92" si="3">_xlfn.IFS(F54="أدخل العلامة","",F54="لا ينطبق","تم الإلغاء",G54&gt;=90%,"ممتاز",G54&gt;=80%,"جيد جداً",G54&gt;=70%,"جيد",G54&gt;=60%,"مقبول",G54&lt;60%,"راسب")</f>
        <v/>
      </c>
      <c r="I54" s="43"/>
      <c r="J54" s="44"/>
    </row>
    <row r="55" spans="1:10" ht="30" customHeight="1" x14ac:dyDescent="0.25">
      <c r="A55" s="10"/>
      <c r="B55" s="54" t="s">
        <v>60</v>
      </c>
      <c r="C55" s="55"/>
      <c r="D55" s="55"/>
      <c r="E55" s="8">
        <v>5</v>
      </c>
      <c r="F55" s="13" t="s">
        <v>26</v>
      </c>
      <c r="G55" s="19" t="str">
        <f t="shared" si="2"/>
        <v/>
      </c>
      <c r="H55" s="20" t="str">
        <f t="shared" si="3"/>
        <v/>
      </c>
      <c r="I55" s="43"/>
      <c r="J55" s="44"/>
    </row>
    <row r="56" spans="1:10" ht="30" customHeight="1" x14ac:dyDescent="0.25">
      <c r="A56" s="10"/>
      <c r="B56" s="54" t="s">
        <v>61</v>
      </c>
      <c r="C56" s="55"/>
      <c r="D56" s="55"/>
      <c r="E56" s="8">
        <v>5</v>
      </c>
      <c r="F56" s="13" t="s">
        <v>26</v>
      </c>
      <c r="G56" s="19" t="str">
        <f t="shared" si="2"/>
        <v/>
      </c>
      <c r="H56" s="20" t="str">
        <f t="shared" si="3"/>
        <v/>
      </c>
      <c r="I56" s="43"/>
      <c r="J56" s="44"/>
    </row>
    <row r="57" spans="1:10" ht="30" customHeight="1" x14ac:dyDescent="0.25">
      <c r="A57" s="10"/>
      <c r="B57" s="54" t="s">
        <v>62</v>
      </c>
      <c r="C57" s="55"/>
      <c r="D57" s="55"/>
      <c r="E57" s="8">
        <v>5</v>
      </c>
      <c r="F57" s="13" t="s">
        <v>26</v>
      </c>
      <c r="G57" s="19" t="str">
        <f t="shared" si="2"/>
        <v/>
      </c>
      <c r="H57" s="20" t="str">
        <f t="shared" si="3"/>
        <v/>
      </c>
      <c r="I57" s="43"/>
      <c r="J57" s="44"/>
    </row>
    <row r="58" spans="1:10" ht="30" customHeight="1" x14ac:dyDescent="0.25">
      <c r="A58" s="10"/>
      <c r="B58" s="54" t="s">
        <v>63</v>
      </c>
      <c r="C58" s="55"/>
      <c r="D58" s="55"/>
      <c r="E58" s="8">
        <v>5</v>
      </c>
      <c r="F58" s="13" t="s">
        <v>26</v>
      </c>
      <c r="G58" s="19" t="str">
        <f t="shared" si="2"/>
        <v/>
      </c>
      <c r="H58" s="20" t="str">
        <f t="shared" si="3"/>
        <v/>
      </c>
      <c r="I58" s="43"/>
      <c r="J58" s="44"/>
    </row>
    <row r="59" spans="1:10" ht="30" customHeight="1" x14ac:dyDescent="0.25">
      <c r="A59" s="10"/>
      <c r="B59" s="33" t="s">
        <v>64</v>
      </c>
      <c r="C59" s="34"/>
      <c r="D59" s="35"/>
      <c r="E59" s="23"/>
      <c r="F59" s="13"/>
      <c r="G59" s="19"/>
      <c r="H59" s="20"/>
      <c r="I59" s="43"/>
      <c r="J59" s="44"/>
    </row>
    <row r="60" spans="1:10" ht="39.950000000000003" customHeight="1" x14ac:dyDescent="0.25">
      <c r="A60" s="10"/>
      <c r="B60" s="27" t="s">
        <v>65</v>
      </c>
      <c r="C60" s="28"/>
      <c r="D60" s="28"/>
      <c r="E60" s="8">
        <v>5</v>
      </c>
      <c r="F60" s="13" t="s">
        <v>26</v>
      </c>
      <c r="G60" s="19" t="str">
        <f t="shared" si="2"/>
        <v/>
      </c>
      <c r="H60" s="20" t="str">
        <f t="shared" si="3"/>
        <v/>
      </c>
      <c r="I60" s="43"/>
      <c r="J60" s="44"/>
    </row>
    <row r="61" spans="1:10" ht="39.950000000000003" customHeight="1" x14ac:dyDescent="0.25">
      <c r="A61" s="10"/>
      <c r="B61" s="27" t="s">
        <v>66</v>
      </c>
      <c r="C61" s="28"/>
      <c r="D61" s="28"/>
      <c r="E61" s="8">
        <v>5</v>
      </c>
      <c r="F61" s="13" t="s">
        <v>26</v>
      </c>
      <c r="G61" s="19" t="str">
        <f t="shared" si="2"/>
        <v/>
      </c>
      <c r="H61" s="20" t="str">
        <f t="shared" si="3"/>
        <v/>
      </c>
      <c r="I61" s="43"/>
      <c r="J61" s="44"/>
    </row>
    <row r="62" spans="1:10" ht="50.1" customHeight="1" x14ac:dyDescent="0.25">
      <c r="A62" s="10"/>
      <c r="B62" s="27" t="s">
        <v>67</v>
      </c>
      <c r="C62" s="28"/>
      <c r="D62" s="28"/>
      <c r="E62" s="8">
        <v>5</v>
      </c>
      <c r="F62" s="13" t="s">
        <v>26</v>
      </c>
      <c r="G62" s="19" t="str">
        <f t="shared" si="2"/>
        <v/>
      </c>
      <c r="H62" s="20" t="str">
        <f t="shared" si="3"/>
        <v/>
      </c>
      <c r="I62" s="43"/>
      <c r="J62" s="44"/>
    </row>
    <row r="63" spans="1:10" ht="30" customHeight="1" thickBot="1" x14ac:dyDescent="0.3">
      <c r="A63" s="10"/>
      <c r="B63" s="56" t="s">
        <v>68</v>
      </c>
      <c r="C63" s="57"/>
      <c r="D63" s="57"/>
      <c r="E63" s="16">
        <v>5</v>
      </c>
      <c r="F63" s="14" t="s">
        <v>26</v>
      </c>
      <c r="G63" s="21" t="str">
        <f t="shared" si="2"/>
        <v/>
      </c>
      <c r="H63" s="22" t="str">
        <f t="shared" si="3"/>
        <v/>
      </c>
      <c r="I63" s="45"/>
      <c r="J63" s="46"/>
    </row>
    <row r="64" spans="1:10" ht="30" customHeight="1" x14ac:dyDescent="0.25">
      <c r="A64" s="10"/>
      <c r="B64" s="36" t="s">
        <v>108</v>
      </c>
      <c r="C64" s="37"/>
      <c r="D64" s="37"/>
      <c r="E64" s="37"/>
      <c r="F64" s="37"/>
      <c r="G64" s="37"/>
      <c r="H64" s="37"/>
      <c r="I64" s="37"/>
      <c r="J64" s="38"/>
    </row>
    <row r="65" spans="1:10" ht="30" customHeight="1" x14ac:dyDescent="0.25">
      <c r="A65" s="10"/>
      <c r="B65" s="54" t="s">
        <v>69</v>
      </c>
      <c r="C65" s="55"/>
      <c r="D65" s="55"/>
      <c r="E65" s="8">
        <v>5</v>
      </c>
      <c r="F65" s="13" t="s">
        <v>26</v>
      </c>
      <c r="G65" s="19" t="str">
        <f t="shared" si="2"/>
        <v/>
      </c>
      <c r="H65" s="20" t="str">
        <f t="shared" si="3"/>
        <v/>
      </c>
      <c r="I65" s="43"/>
      <c r="J65" s="44"/>
    </row>
    <row r="66" spans="1:10" ht="30" customHeight="1" x14ac:dyDescent="0.25">
      <c r="A66" s="10"/>
      <c r="B66" s="33" t="s">
        <v>70</v>
      </c>
      <c r="C66" s="34"/>
      <c r="D66" s="35"/>
      <c r="E66" s="23"/>
      <c r="F66" s="13"/>
      <c r="G66" s="19"/>
      <c r="H66" s="20"/>
      <c r="I66" s="43"/>
      <c r="J66" s="44"/>
    </row>
    <row r="67" spans="1:10" ht="30" customHeight="1" x14ac:dyDescent="0.25">
      <c r="A67" s="10"/>
      <c r="B67" s="49" t="s">
        <v>71</v>
      </c>
      <c r="C67" s="50"/>
      <c r="D67" s="51"/>
      <c r="E67" s="23"/>
      <c r="F67" s="13"/>
      <c r="G67" s="19"/>
      <c r="H67" s="20"/>
      <c r="I67" s="43"/>
      <c r="J67" s="44"/>
    </row>
    <row r="68" spans="1:10" ht="30" customHeight="1" x14ac:dyDescent="0.25">
      <c r="A68" s="10"/>
      <c r="B68" s="47" t="s">
        <v>72</v>
      </c>
      <c r="C68" s="48"/>
      <c r="D68" s="48"/>
      <c r="E68" s="8">
        <v>5</v>
      </c>
      <c r="F68" s="13" t="s">
        <v>26</v>
      </c>
      <c r="G68" s="19" t="str">
        <f t="shared" si="2"/>
        <v/>
      </c>
      <c r="H68" s="20" t="str">
        <f t="shared" si="3"/>
        <v/>
      </c>
      <c r="I68" s="43"/>
      <c r="J68" s="44"/>
    </row>
    <row r="69" spans="1:10" ht="30" customHeight="1" x14ac:dyDescent="0.25">
      <c r="A69" s="10"/>
      <c r="B69" s="47" t="s">
        <v>73</v>
      </c>
      <c r="C69" s="48"/>
      <c r="D69" s="48"/>
      <c r="E69" s="8">
        <v>5</v>
      </c>
      <c r="F69" s="13" t="s">
        <v>26</v>
      </c>
      <c r="G69" s="19" t="str">
        <f t="shared" si="2"/>
        <v/>
      </c>
      <c r="H69" s="20" t="str">
        <f t="shared" si="3"/>
        <v/>
      </c>
      <c r="I69" s="43"/>
      <c r="J69" s="44"/>
    </row>
    <row r="70" spans="1:10" ht="30" customHeight="1" x14ac:dyDescent="0.25">
      <c r="A70" s="10"/>
      <c r="B70" s="47" t="s">
        <v>74</v>
      </c>
      <c r="C70" s="48"/>
      <c r="D70" s="48"/>
      <c r="E70" s="8">
        <v>5</v>
      </c>
      <c r="F70" s="13" t="s">
        <v>26</v>
      </c>
      <c r="G70" s="19" t="str">
        <f t="shared" si="2"/>
        <v/>
      </c>
      <c r="H70" s="20" t="str">
        <f t="shared" si="3"/>
        <v/>
      </c>
      <c r="I70" s="43"/>
      <c r="J70" s="44"/>
    </row>
    <row r="71" spans="1:10" ht="30" customHeight="1" x14ac:dyDescent="0.25">
      <c r="A71" s="10"/>
      <c r="B71" s="47" t="s">
        <v>75</v>
      </c>
      <c r="C71" s="48"/>
      <c r="D71" s="48"/>
      <c r="E71" s="8">
        <v>5</v>
      </c>
      <c r="F71" s="13" t="s">
        <v>26</v>
      </c>
      <c r="G71" s="19" t="str">
        <f t="shared" si="2"/>
        <v/>
      </c>
      <c r="H71" s="20" t="str">
        <f t="shared" si="3"/>
        <v/>
      </c>
      <c r="I71" s="43"/>
      <c r="J71" s="44"/>
    </row>
    <row r="72" spans="1:10" ht="30" customHeight="1" x14ac:dyDescent="0.25">
      <c r="A72" s="10"/>
      <c r="B72" s="52" t="s">
        <v>76</v>
      </c>
      <c r="C72" s="53"/>
      <c r="D72" s="53"/>
      <c r="E72" s="8">
        <v>5</v>
      </c>
      <c r="F72" s="13" t="s">
        <v>26</v>
      </c>
      <c r="G72" s="19" t="str">
        <f t="shared" si="2"/>
        <v/>
      </c>
      <c r="H72" s="20" t="str">
        <f t="shared" si="3"/>
        <v/>
      </c>
      <c r="I72" s="43"/>
      <c r="J72" s="44"/>
    </row>
    <row r="73" spans="1:10" ht="30" customHeight="1" x14ac:dyDescent="0.25">
      <c r="A73" s="10"/>
      <c r="B73" s="52" t="s">
        <v>77</v>
      </c>
      <c r="C73" s="53"/>
      <c r="D73" s="53"/>
      <c r="E73" s="8">
        <v>5</v>
      </c>
      <c r="F73" s="13" t="s">
        <v>26</v>
      </c>
      <c r="G73" s="19" t="str">
        <f t="shared" si="2"/>
        <v/>
      </c>
      <c r="H73" s="20" t="str">
        <f t="shared" si="3"/>
        <v/>
      </c>
      <c r="I73" s="43"/>
      <c r="J73" s="44"/>
    </row>
    <row r="74" spans="1:10" ht="30" customHeight="1" x14ac:dyDescent="0.25">
      <c r="A74" s="10"/>
      <c r="B74" s="54" t="s">
        <v>78</v>
      </c>
      <c r="C74" s="55"/>
      <c r="D74" s="55"/>
      <c r="E74" s="8">
        <v>5</v>
      </c>
      <c r="F74" s="13" t="s">
        <v>26</v>
      </c>
      <c r="G74" s="19" t="str">
        <f t="shared" si="2"/>
        <v/>
      </c>
      <c r="H74" s="20" t="str">
        <f t="shared" si="3"/>
        <v/>
      </c>
      <c r="I74" s="43"/>
      <c r="J74" s="44"/>
    </row>
    <row r="75" spans="1:10" ht="30" customHeight="1" x14ac:dyDescent="0.25">
      <c r="A75" s="10"/>
      <c r="B75" s="33" t="s">
        <v>79</v>
      </c>
      <c r="C75" s="34"/>
      <c r="D75" s="35"/>
      <c r="E75" s="23"/>
      <c r="F75" s="13"/>
      <c r="G75" s="19"/>
      <c r="H75" s="20"/>
      <c r="I75" s="43"/>
      <c r="J75" s="44"/>
    </row>
    <row r="76" spans="1:10" ht="30" customHeight="1" x14ac:dyDescent="0.25">
      <c r="A76" s="10"/>
      <c r="B76" s="27" t="s">
        <v>80</v>
      </c>
      <c r="C76" s="28"/>
      <c r="D76" s="28"/>
      <c r="E76" s="8">
        <v>5</v>
      </c>
      <c r="F76" s="13" t="s">
        <v>26</v>
      </c>
      <c r="G76" s="19" t="str">
        <f t="shared" si="2"/>
        <v/>
      </c>
      <c r="H76" s="20" t="str">
        <f t="shared" si="3"/>
        <v/>
      </c>
      <c r="I76" s="43"/>
      <c r="J76" s="44"/>
    </row>
    <row r="77" spans="1:10" ht="30" customHeight="1" x14ac:dyDescent="0.25">
      <c r="A77" s="10"/>
      <c r="B77" s="27" t="s">
        <v>81</v>
      </c>
      <c r="C77" s="28"/>
      <c r="D77" s="28"/>
      <c r="E77" s="8">
        <v>5</v>
      </c>
      <c r="F77" s="13" t="s">
        <v>26</v>
      </c>
      <c r="G77" s="19" t="str">
        <f t="shared" si="2"/>
        <v/>
      </c>
      <c r="H77" s="20" t="str">
        <f t="shared" si="3"/>
        <v/>
      </c>
      <c r="I77" s="43"/>
      <c r="J77" s="44"/>
    </row>
    <row r="78" spans="1:10" ht="30" customHeight="1" x14ac:dyDescent="0.25">
      <c r="A78" s="10"/>
      <c r="B78" s="27" t="s">
        <v>82</v>
      </c>
      <c r="C78" s="28"/>
      <c r="D78" s="28"/>
      <c r="E78" s="8">
        <v>5</v>
      </c>
      <c r="F78" s="13" t="s">
        <v>26</v>
      </c>
      <c r="G78" s="19" t="str">
        <f t="shared" si="2"/>
        <v/>
      </c>
      <c r="H78" s="20" t="str">
        <f t="shared" si="3"/>
        <v/>
      </c>
      <c r="I78" s="43"/>
      <c r="J78" s="44"/>
    </row>
    <row r="79" spans="1:10" ht="30" customHeight="1" x14ac:dyDescent="0.25">
      <c r="A79" s="10"/>
      <c r="B79" s="39" t="s">
        <v>83</v>
      </c>
      <c r="C79" s="40"/>
      <c r="D79" s="40"/>
      <c r="E79" s="8">
        <v>5</v>
      </c>
      <c r="F79" s="13" t="s">
        <v>26</v>
      </c>
      <c r="G79" s="19" t="str">
        <f t="shared" si="2"/>
        <v/>
      </c>
      <c r="H79" s="20" t="str">
        <f t="shared" si="3"/>
        <v/>
      </c>
      <c r="I79" s="43"/>
      <c r="J79" s="44"/>
    </row>
    <row r="80" spans="1:10" ht="30" customHeight="1" thickBot="1" x14ac:dyDescent="0.3">
      <c r="A80" s="10"/>
      <c r="B80" s="41" t="s">
        <v>84</v>
      </c>
      <c r="C80" s="42"/>
      <c r="D80" s="42"/>
      <c r="E80" s="16">
        <v>5</v>
      </c>
      <c r="F80" s="14" t="s">
        <v>26</v>
      </c>
      <c r="G80" s="21" t="str">
        <f t="shared" si="2"/>
        <v/>
      </c>
      <c r="H80" s="22" t="str">
        <f t="shared" si="3"/>
        <v/>
      </c>
      <c r="I80" s="45"/>
      <c r="J80" s="46"/>
    </row>
    <row r="81" spans="1:10" ht="30" customHeight="1" x14ac:dyDescent="0.25">
      <c r="A81" s="10"/>
      <c r="B81" s="36" t="s">
        <v>109</v>
      </c>
      <c r="C81" s="37"/>
      <c r="D81" s="37"/>
      <c r="E81" s="37"/>
      <c r="F81" s="37"/>
      <c r="G81" s="37"/>
      <c r="H81" s="37"/>
      <c r="I81" s="37"/>
      <c r="J81" s="38"/>
    </row>
    <row r="82" spans="1:10" ht="30" customHeight="1" x14ac:dyDescent="0.25">
      <c r="A82" s="10"/>
      <c r="B82" s="33" t="s">
        <v>85</v>
      </c>
      <c r="C82" s="34"/>
      <c r="D82" s="35"/>
      <c r="E82" s="23"/>
      <c r="F82" s="13"/>
      <c r="G82" s="19"/>
      <c r="H82" s="20"/>
      <c r="I82" s="43"/>
      <c r="J82" s="44"/>
    </row>
    <row r="83" spans="1:10" ht="30" customHeight="1" x14ac:dyDescent="0.25">
      <c r="A83" s="10"/>
      <c r="B83" s="27" t="s">
        <v>86</v>
      </c>
      <c r="C83" s="28"/>
      <c r="D83" s="28"/>
      <c r="E83" s="8">
        <v>5</v>
      </c>
      <c r="F83" s="13" t="s">
        <v>26</v>
      </c>
      <c r="G83" s="19" t="str">
        <f t="shared" si="2"/>
        <v/>
      </c>
      <c r="H83" s="20" t="str">
        <f t="shared" si="3"/>
        <v/>
      </c>
      <c r="I83" s="43"/>
      <c r="J83" s="44"/>
    </row>
    <row r="84" spans="1:10" ht="30" customHeight="1" x14ac:dyDescent="0.25">
      <c r="A84" s="10"/>
      <c r="B84" s="27" t="s">
        <v>87</v>
      </c>
      <c r="C84" s="28"/>
      <c r="D84" s="28"/>
      <c r="E84" s="8">
        <v>5</v>
      </c>
      <c r="F84" s="13" t="s">
        <v>26</v>
      </c>
      <c r="G84" s="19" t="str">
        <f t="shared" si="2"/>
        <v/>
      </c>
      <c r="H84" s="20" t="str">
        <f t="shared" si="3"/>
        <v/>
      </c>
      <c r="I84" s="43"/>
      <c r="J84" s="44"/>
    </row>
    <row r="85" spans="1:10" ht="30" customHeight="1" x14ac:dyDescent="0.25">
      <c r="A85" s="10"/>
      <c r="B85" s="27" t="s">
        <v>88</v>
      </c>
      <c r="C85" s="28"/>
      <c r="D85" s="28"/>
      <c r="E85" s="8">
        <v>5</v>
      </c>
      <c r="F85" s="13" t="s">
        <v>26</v>
      </c>
      <c r="G85" s="19" t="str">
        <f t="shared" si="2"/>
        <v/>
      </c>
      <c r="H85" s="20" t="str">
        <f t="shared" si="3"/>
        <v/>
      </c>
      <c r="I85" s="43"/>
      <c r="J85" s="44"/>
    </row>
    <row r="86" spans="1:10" ht="30" customHeight="1" x14ac:dyDescent="0.25">
      <c r="A86" s="10"/>
      <c r="B86" s="33" t="s">
        <v>89</v>
      </c>
      <c r="C86" s="34"/>
      <c r="D86" s="35"/>
      <c r="E86" s="23"/>
      <c r="F86" s="13"/>
      <c r="G86" s="19"/>
      <c r="H86" s="20"/>
      <c r="I86" s="43"/>
      <c r="J86" s="44"/>
    </row>
    <row r="87" spans="1:10" ht="30" customHeight="1" x14ac:dyDescent="0.25">
      <c r="A87" s="10"/>
      <c r="B87" s="27" t="s">
        <v>90</v>
      </c>
      <c r="C87" s="28"/>
      <c r="D87" s="28"/>
      <c r="E87" s="8">
        <v>5</v>
      </c>
      <c r="F87" s="13" t="s">
        <v>26</v>
      </c>
      <c r="G87" s="19" t="str">
        <f t="shared" si="2"/>
        <v/>
      </c>
      <c r="H87" s="20" t="str">
        <f t="shared" si="3"/>
        <v/>
      </c>
      <c r="I87" s="43"/>
      <c r="J87" s="44"/>
    </row>
    <row r="88" spans="1:10" ht="30" customHeight="1" x14ac:dyDescent="0.25">
      <c r="A88" s="10"/>
      <c r="B88" s="27" t="s">
        <v>91</v>
      </c>
      <c r="C88" s="28"/>
      <c r="D88" s="28"/>
      <c r="E88" s="8">
        <v>5</v>
      </c>
      <c r="F88" s="13" t="s">
        <v>26</v>
      </c>
      <c r="G88" s="19" t="str">
        <f t="shared" si="2"/>
        <v/>
      </c>
      <c r="H88" s="20" t="str">
        <f t="shared" si="3"/>
        <v/>
      </c>
      <c r="I88" s="43"/>
      <c r="J88" s="44"/>
    </row>
    <row r="89" spans="1:10" ht="30" customHeight="1" x14ac:dyDescent="0.25">
      <c r="A89" s="10"/>
      <c r="B89" s="33" t="s">
        <v>92</v>
      </c>
      <c r="C89" s="34"/>
      <c r="D89" s="35"/>
      <c r="E89" s="23"/>
      <c r="F89" s="13"/>
      <c r="G89" s="19"/>
      <c r="H89" s="20"/>
      <c r="I89" s="43"/>
      <c r="J89" s="44"/>
    </row>
    <row r="90" spans="1:10" ht="39.950000000000003" customHeight="1" x14ac:dyDescent="0.25">
      <c r="A90" s="10"/>
      <c r="B90" s="27" t="s">
        <v>93</v>
      </c>
      <c r="C90" s="28"/>
      <c r="D90" s="28"/>
      <c r="E90" s="8">
        <v>5</v>
      </c>
      <c r="F90" s="13" t="s">
        <v>26</v>
      </c>
      <c r="G90" s="19" t="str">
        <f t="shared" si="2"/>
        <v/>
      </c>
      <c r="H90" s="20" t="str">
        <f t="shared" si="3"/>
        <v/>
      </c>
      <c r="I90" s="43"/>
      <c r="J90" s="44"/>
    </row>
    <row r="91" spans="1:10" ht="30" customHeight="1" thickBot="1" x14ac:dyDescent="0.3">
      <c r="A91" s="10"/>
      <c r="B91" s="29" t="s">
        <v>94</v>
      </c>
      <c r="C91" s="30"/>
      <c r="D91" s="30"/>
      <c r="E91" s="16">
        <v>5</v>
      </c>
      <c r="F91" s="14" t="s">
        <v>26</v>
      </c>
      <c r="G91" s="21" t="str">
        <f t="shared" si="2"/>
        <v/>
      </c>
      <c r="H91" s="22" t="str">
        <f t="shared" si="3"/>
        <v/>
      </c>
      <c r="I91" s="45"/>
      <c r="J91" s="46"/>
    </row>
    <row r="92" spans="1:10" ht="30" customHeight="1" thickBot="1" x14ac:dyDescent="0.3">
      <c r="A92" s="10"/>
      <c r="B92" s="31" t="s">
        <v>100</v>
      </c>
      <c r="C92" s="32"/>
      <c r="D92" s="32"/>
      <c r="E92" s="9">
        <v>5</v>
      </c>
      <c r="F92" s="24" t="s">
        <v>26</v>
      </c>
      <c r="G92" s="25" t="str">
        <f t="shared" si="2"/>
        <v/>
      </c>
      <c r="H92" s="15" t="str">
        <f t="shared" si="3"/>
        <v/>
      </c>
      <c r="I92" s="74"/>
      <c r="J92" s="75"/>
    </row>
    <row r="93" spans="1:10" ht="30" customHeight="1" thickBot="1" x14ac:dyDescent="0.3">
      <c r="A93" s="3"/>
      <c r="B93" s="68" t="s">
        <v>5</v>
      </c>
      <c r="C93" s="69"/>
      <c r="D93" s="69"/>
      <c r="E93" s="9">
        <f>SUM(E8:E92)</f>
        <v>360</v>
      </c>
      <c r="F93" s="9">
        <f>SUM(F8:F92)</f>
        <v>0</v>
      </c>
      <c r="G93" s="71"/>
      <c r="H93" s="72"/>
      <c r="I93" s="72"/>
      <c r="J93" s="73"/>
    </row>
    <row r="94" spans="1:10" ht="30" customHeight="1" thickBot="1" x14ac:dyDescent="0.3">
      <c r="A94" s="3"/>
      <c r="B94" s="68" t="s">
        <v>20</v>
      </c>
      <c r="C94" s="69"/>
      <c r="D94" s="69"/>
      <c r="E94" s="76">
        <f>F93/E93/100*100</f>
        <v>0</v>
      </c>
      <c r="F94" s="76"/>
      <c r="G94" s="76"/>
      <c r="H94" s="76"/>
      <c r="I94" s="76"/>
      <c r="J94" s="77"/>
    </row>
    <row r="95" spans="1:10" ht="30" customHeight="1" thickBot="1" x14ac:dyDescent="0.3">
      <c r="A95" s="3"/>
      <c r="B95" s="68" t="s">
        <v>21</v>
      </c>
      <c r="C95" s="69"/>
      <c r="D95" s="69"/>
      <c r="E95" s="66" t="str">
        <f>_xlfn.IFS(E94&gt;=90%,"ممتاز",E94&gt;=80%,"جيد جداً",E94&gt;=70%,"جيد",E94&gt;=60%,"مقبول",E94&lt;60%,"راسب")</f>
        <v>راسب</v>
      </c>
      <c r="F95" s="66"/>
      <c r="G95" s="66"/>
      <c r="H95" s="66"/>
      <c r="I95" s="66"/>
      <c r="J95" s="67"/>
    </row>
    <row r="96" spans="1:10" ht="42" customHeight="1" x14ac:dyDescent="0.25">
      <c r="B96" s="62" t="s">
        <v>96</v>
      </c>
      <c r="C96" s="62"/>
      <c r="D96" s="62"/>
      <c r="E96" s="92" t="s">
        <v>18</v>
      </c>
      <c r="F96" s="92"/>
      <c r="G96" s="64" t="s">
        <v>24</v>
      </c>
      <c r="H96" s="64"/>
      <c r="I96" s="64"/>
      <c r="J96" s="64"/>
    </row>
    <row r="97" spans="1:10" ht="165" customHeight="1" x14ac:dyDescent="0.25">
      <c r="A97" s="4"/>
      <c r="B97" s="63"/>
      <c r="C97" s="63"/>
      <c r="D97" s="63"/>
      <c r="E97" s="70" t="s">
        <v>19</v>
      </c>
      <c r="F97" s="70"/>
      <c r="G97" s="65"/>
      <c r="H97" s="65"/>
      <c r="I97" s="65"/>
      <c r="J97" s="65"/>
    </row>
  </sheetData>
  <sheetProtection sheet="1" formatCells="0" formatColumns="0" formatRows="0" insertColumns="0" insertRows="0" insertHyperlinks="0" deleteColumns="0" deleteRows="0" selectLockedCells="1" sort="0" autoFilter="0" pivotTables="0"/>
  <mergeCells count="182">
    <mergeCell ref="I86:J86"/>
    <mergeCell ref="I87:J87"/>
    <mergeCell ref="I88:J88"/>
    <mergeCell ref="I89:J89"/>
    <mergeCell ref="I90:J90"/>
    <mergeCell ref="I91:J91"/>
    <mergeCell ref="E96:F96"/>
    <mergeCell ref="I24:J24"/>
    <mergeCell ref="I25:J25"/>
    <mergeCell ref="I26:J26"/>
    <mergeCell ref="I44:J44"/>
    <mergeCell ref="I45:J45"/>
    <mergeCell ref="I46:J46"/>
    <mergeCell ref="I47:J47"/>
    <mergeCell ref="I72:J72"/>
    <mergeCell ref="I67:J67"/>
    <mergeCell ref="I68:J68"/>
    <mergeCell ref="I69:J69"/>
    <mergeCell ref="I70:J70"/>
    <mergeCell ref="I71:J71"/>
    <mergeCell ref="I28:J28"/>
    <mergeCell ref="I56:J56"/>
    <mergeCell ref="I57:J57"/>
    <mergeCell ref="I58:J58"/>
    <mergeCell ref="I59:J59"/>
    <mergeCell ref="I60:J60"/>
    <mergeCell ref="I61:J61"/>
    <mergeCell ref="I62:J62"/>
    <mergeCell ref="I63: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B33:D33"/>
    <mergeCell ref="E94:J94"/>
    <mergeCell ref="B7:D7"/>
    <mergeCell ref="I37:J37"/>
    <mergeCell ref="I38:J38"/>
    <mergeCell ref="I54:J54"/>
    <mergeCell ref="I55:J55"/>
    <mergeCell ref="I29:J29"/>
    <mergeCell ref="I30:J30"/>
    <mergeCell ref="I36:J36"/>
    <mergeCell ref="I7:J7"/>
    <mergeCell ref="I10:J10"/>
    <mergeCell ref="I31:J31"/>
    <mergeCell ref="I32:J32"/>
    <mergeCell ref="I33:J33"/>
    <mergeCell ref="I35:J35"/>
    <mergeCell ref="I8:J8"/>
    <mergeCell ref="B93:D93"/>
    <mergeCell ref="B94:D94"/>
    <mergeCell ref="B8:D8"/>
    <mergeCell ref="I12:J12"/>
    <mergeCell ref="I13:J13"/>
    <mergeCell ref="I17:J17"/>
    <mergeCell ref="I18:J18"/>
    <mergeCell ref="B96:D97"/>
    <mergeCell ref="G96:J96"/>
    <mergeCell ref="G97:J97"/>
    <mergeCell ref="E95:J95"/>
    <mergeCell ref="I39:J39"/>
    <mergeCell ref="I41:J41"/>
    <mergeCell ref="I42:J42"/>
    <mergeCell ref="I43:J43"/>
    <mergeCell ref="I65:J65"/>
    <mergeCell ref="I48:J48"/>
    <mergeCell ref="I49:J49"/>
    <mergeCell ref="I50:J50"/>
    <mergeCell ref="I51:J51"/>
    <mergeCell ref="I52:J52"/>
    <mergeCell ref="I73:J73"/>
    <mergeCell ref="B95:D95"/>
    <mergeCell ref="I66:J66"/>
    <mergeCell ref="B46:D46"/>
    <mergeCell ref="B47:D47"/>
    <mergeCell ref="E97:F97"/>
    <mergeCell ref="G93:J93"/>
    <mergeCell ref="I92:J92"/>
    <mergeCell ref="I84:J84"/>
    <mergeCell ref="I85:J85"/>
    <mergeCell ref="I19:J19"/>
    <mergeCell ref="I20:J20"/>
    <mergeCell ref="I21:J21"/>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54:D54"/>
    <mergeCell ref="B48:D48"/>
    <mergeCell ref="B49:D49"/>
    <mergeCell ref="B50:D50"/>
    <mergeCell ref="B51:D51"/>
    <mergeCell ref="B35:D35"/>
    <mergeCell ref="B36:D36"/>
    <mergeCell ref="B37:D37"/>
    <mergeCell ref="B38:D38"/>
    <mergeCell ref="B39:D39"/>
    <mergeCell ref="B42:D42"/>
    <mergeCell ref="B43:D43"/>
    <mergeCell ref="B44:D44"/>
    <mergeCell ref="B45:D45"/>
    <mergeCell ref="B55:D55"/>
    <mergeCell ref="B56:D56"/>
    <mergeCell ref="B57:D57"/>
    <mergeCell ref="B58:D58"/>
    <mergeCell ref="B60:D60"/>
    <mergeCell ref="B61:D61"/>
    <mergeCell ref="B62:D62"/>
    <mergeCell ref="B63:D63"/>
    <mergeCell ref="B65:D65"/>
    <mergeCell ref="B68:D68"/>
    <mergeCell ref="B69:D69"/>
    <mergeCell ref="B70:D70"/>
    <mergeCell ref="B71:D71"/>
    <mergeCell ref="B67:D67"/>
    <mergeCell ref="B72:D72"/>
    <mergeCell ref="B73:D73"/>
    <mergeCell ref="B74:D74"/>
    <mergeCell ref="B76:D76"/>
    <mergeCell ref="B83:D83"/>
    <mergeCell ref="B75:D75"/>
    <mergeCell ref="B81:J81"/>
    <mergeCell ref="B82:D82"/>
    <mergeCell ref="I74:J74"/>
    <mergeCell ref="I75:J75"/>
    <mergeCell ref="I76:J76"/>
    <mergeCell ref="I77:J77"/>
    <mergeCell ref="I78:J78"/>
    <mergeCell ref="I79:J79"/>
    <mergeCell ref="I80:J80"/>
    <mergeCell ref="I82:J82"/>
    <mergeCell ref="I83:J83"/>
    <mergeCell ref="B87:D87"/>
    <mergeCell ref="B88:D88"/>
    <mergeCell ref="B90:D90"/>
    <mergeCell ref="B91:D91"/>
    <mergeCell ref="B92:D92"/>
    <mergeCell ref="B86:D86"/>
    <mergeCell ref="B89:D89"/>
    <mergeCell ref="B11:J11"/>
    <mergeCell ref="B16:J16"/>
    <mergeCell ref="B27:J27"/>
    <mergeCell ref="B34:J34"/>
    <mergeCell ref="B40:J40"/>
    <mergeCell ref="B41:D41"/>
    <mergeCell ref="B52:D52"/>
    <mergeCell ref="B53:J53"/>
    <mergeCell ref="B59:D59"/>
    <mergeCell ref="B66:D66"/>
    <mergeCell ref="B64:J64"/>
    <mergeCell ref="B84:D84"/>
    <mergeCell ref="B85:D85"/>
    <mergeCell ref="B77:D77"/>
    <mergeCell ref="B78:D78"/>
    <mergeCell ref="B79:D79"/>
    <mergeCell ref="B80:D80"/>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95">
    <cfRule type="expression" dxfId="21" priority="57">
      <formula>$E95="راسب"</formula>
    </cfRule>
  </conditionalFormatting>
  <conditionalFormatting sqref="E95:J95">
    <cfRule type="expression" dxfId="20" priority="58">
      <formula>$E95="مقبول"</formula>
    </cfRule>
    <cfRule type="expression" dxfId="19" priority="59">
      <formula>$E95="جيد"</formula>
    </cfRule>
    <cfRule type="expression" dxfId="18" priority="60">
      <formula>$E95="جيد جداً"</formula>
    </cfRule>
    <cfRule type="expression" dxfId="17" priority="61">
      <formula>$E95="ممتاز"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52 F54:F63 F65:F80 F82:F92">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96:J96">
    <cfRule type="containsText" dxfId="12" priority="15" operator="containsText" text="أدخل اسم المحكم">
      <formula>NOT(ISERROR(SEARCH("أدخل اسم المحكم",G96)))</formula>
    </cfRule>
  </conditionalFormatting>
  <conditionalFormatting sqref="H8:H10">
    <cfRule type="containsText" dxfId="11" priority="5" operator="containsText" text="أدخل العلامة">
      <formula>NOT(ISERROR(SEARCH("أدخل العلامة",H8)))</formula>
    </cfRule>
    <cfRule type="containsText" dxfId="10" priority="6" operator="containsText" text="ممتاز">
      <formula>NOT(ISERROR(SEARCH("ممتاز",H8)))</formula>
    </cfRule>
    <cfRule type="containsText" dxfId="9" priority="7" operator="containsText" text="جيد جداً">
      <formula>NOT(ISERROR(SEARCH("جيد جداً",H8)))</formula>
    </cfRule>
    <cfRule type="containsText" dxfId="8" priority="8" operator="containsText" text="جيد">
      <formula>NOT(ISERROR(SEARCH("جيد",H8)))</formula>
    </cfRule>
    <cfRule type="containsText" dxfId="7" priority="9" operator="containsText" text="مقبول">
      <formula>NOT(ISERROR(SEARCH("مقبول",H8)))</formula>
    </cfRule>
    <cfRule type="containsText" dxfId="6" priority="10" operator="containsText" text="راسب">
      <formula>NOT(ISERROR(SEARCH("راسب",H8)))</formula>
    </cfRule>
  </conditionalFormatting>
  <conditionalFormatting sqref="H12:H15 H17:H26 H28:H33 H35:H39 H41:H52 H54:H63 H65:H80 H82:H92">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rowBreaks count="2" manualBreakCount="2">
    <brk id="73" max="9" man="1"/>
    <brk id="95" max="9" man="1"/>
  </rowBreaks>
  <extLst>
    <ext xmlns:x14="http://schemas.microsoft.com/office/spreadsheetml/2009/9/main" uri="{CCE6A557-97BC-4b89-ADB6-D9C93CAAB3DF}">
      <x14:dataValidations xmlns:xm="http://schemas.microsoft.com/office/excel/2006/main" count="7">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F8:F10 F12:F15 F60:F63 F28:F33 F35:F39 F18:F25 F68:F74 F83:F85 F47:F52 F90:F92 F87:F88 F76:F80 F65 F54:F58 F42:F44</xm:sqref>
        </x14:dataValidation>
        <x14:dataValidation type="list" allowBlank="1" showInputMessage="1" showErrorMessage="1">
          <x14:formula1>
            <xm:f>#REF!</xm:f>
          </x14:formula1>
          <xm:sqref>G96:J96 F3:J3</xm:sqref>
        </x14:dataValidation>
        <x14:dataValidation type="list" allowBlank="1" showInputMessage="1" showErrorMessage="1">
          <x14:formula1>
            <xm:f>#REF!</xm:f>
          </x14:formula1>
          <xm:sqref>C3:D3</xm:sqref>
        </x14:dataValidation>
        <x14:dataValidation type="list" allowBlank="1" showInputMessage="1" showErrorMessage="1">
          <x14:formula1>
            <xm:f>#REF!</xm:f>
          </x14:formula1>
          <xm:sqref>F26 F46</xm:sqref>
        </x14:dataValidation>
        <x14:dataValidation type="list" allowBlank="1" showInputMessage="1" showErrorMessage="1">
          <x14:formula1>
            <xm:f>#REF!</xm:f>
          </x14:formula1>
          <xm:sqref>F17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2026-08-30T04:59:14Z</dcterms:modified>
</cp:coreProperties>
</file>