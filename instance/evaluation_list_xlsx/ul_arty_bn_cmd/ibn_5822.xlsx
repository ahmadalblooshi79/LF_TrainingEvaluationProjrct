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التقييم'!$A$1:$J$120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1" i="2"/>
  <c r="H71" i="2" s="1"/>
  <c r="G72" i="2"/>
  <c r="H72" i="2" s="1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G80" i="2"/>
  <c r="H80" i="2" s="1"/>
  <c r="G81" i="2"/>
  <c r="H81" i="2" s="1"/>
  <c r="G82" i="2"/>
  <c r="H82" i="2" s="1"/>
  <c r="G83" i="2"/>
  <c r="H83" i="2" s="1"/>
  <c r="G85" i="2"/>
  <c r="H85" i="2" s="1"/>
  <c r="G86" i="2"/>
  <c r="H86" i="2" s="1"/>
  <c r="G87" i="2"/>
  <c r="H87" i="2" s="1"/>
  <c r="G89" i="2"/>
  <c r="H89" i="2" s="1"/>
  <c r="G90" i="2"/>
  <c r="H90" i="2" s="1"/>
  <c r="G91" i="2"/>
  <c r="H91" i="2" s="1"/>
  <c r="G92" i="2"/>
  <c r="H92" i="2" s="1"/>
  <c r="G93" i="2"/>
  <c r="H93" i="2" s="1"/>
  <c r="G94" i="2"/>
  <c r="H94" i="2" s="1"/>
  <c r="G95" i="2"/>
  <c r="H95" i="2" s="1"/>
  <c r="G96" i="2"/>
  <c r="H96" i="2" s="1"/>
  <c r="G97" i="2"/>
  <c r="H97" i="2" s="1"/>
  <c r="G98" i="2"/>
  <c r="H98" i="2" s="1"/>
  <c r="G99" i="2"/>
  <c r="H99" i="2" s="1"/>
  <c r="G101" i="2"/>
  <c r="H101" i="2" s="1"/>
  <c r="G102" i="2"/>
  <c r="H102" i="2" s="1"/>
  <c r="G103" i="2"/>
  <c r="H103" i="2" s="1"/>
  <c r="G105" i="2"/>
  <c r="H105" i="2" s="1"/>
  <c r="G106" i="2"/>
  <c r="H106" i="2" s="1"/>
  <c r="G107" i="2"/>
  <c r="H107" i="2" s="1"/>
  <c r="G108" i="2"/>
  <c r="H108" i="2" s="1"/>
  <c r="G109" i="2"/>
  <c r="H109" i="2" s="1"/>
  <c r="G110" i="2"/>
  <c r="H110" i="2" s="1"/>
  <c r="G112" i="2"/>
  <c r="H112" i="2" s="1"/>
  <c r="G113" i="2"/>
  <c r="H113" i="2" s="1"/>
  <c r="G114" i="2"/>
  <c r="H114" i="2" s="1"/>
  <c r="G115" i="2"/>
  <c r="H115" i="2" s="1"/>
  <c r="F116" i="2" l="1"/>
  <c r="E116" i="2" l="1"/>
  <c r="E117" i="2" l="1"/>
  <c r="E118" i="2" s="1"/>
</calcChain>
</file>

<file path=xl/sharedStrings.xml><?xml version="1.0" encoding="utf-8"?>
<sst xmlns="http://schemas.openxmlformats.org/spreadsheetml/2006/main" count="231" uniqueCount="137">
  <si>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</si>
  <si>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</si>
  <si>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</si>
  <si>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</si>
  <si>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</si>
  <si>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</si>
  <si>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</si>
  <si>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</si>
  <si>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</si>
  <si>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</si>
  <si>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</si>
  <si>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</si>
  <si>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</si>
  <si>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</si>
  <si>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</si>
  <si>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</si>
  <si>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</si>
  <si>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</si>
  <si>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</si>
  <si>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</si>
  <si>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</si>
  <si>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</si>
  <si>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</si>
  <si>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</si>
  <si>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</si>
  <si>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</si>
  <si>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</si>
  <si>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</si>
  <si>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الموقــــف.</t>
    </r>
  </si>
  <si>
    <t>أ. منطقة الاهتمام.</t>
  </si>
  <si>
    <t>ب. منطقة العمليات.</t>
  </si>
  <si>
    <t>جـ. تحليل الأرض.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</si>
  <si>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قوات العــــــدو</t>
    </r>
    <r>
      <rPr>
        <b/>
        <sz val="12"/>
        <color rgb="FF000000"/>
        <rFont val="Arial"/>
        <family val="2"/>
      </rPr>
      <t>.</t>
    </r>
  </si>
  <si>
    <t>أ. تأليفه.</t>
  </si>
  <si>
    <t>ب. توزيعاته.</t>
  </si>
  <si>
    <t>جـ. قصده.</t>
  </si>
  <si>
    <t>د. هويته.</t>
  </si>
  <si>
    <t>هـ. تعزيزاته.</t>
  </si>
  <si>
    <t>و. قدرات إسناد العدو.</t>
  </si>
  <si>
    <t>ز. نقاط القوة.</t>
  </si>
  <si>
    <t>ح. نقاط الضعف.</t>
  </si>
  <si>
    <t>ط. معنوياته.</t>
  </si>
  <si>
    <t>ي. امكانياته.</t>
  </si>
  <si>
    <t>ك. عمل العدو احتمالا.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</si>
  <si>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قواتنــــا</t>
    </r>
    <r>
      <rPr>
        <b/>
        <sz val="12"/>
        <color rgb="FF000000"/>
        <rFont val="Arial"/>
        <family val="2"/>
      </rPr>
      <t>.</t>
    </r>
  </si>
  <si>
    <t>أ. مهمة وقصد القيادة العليا.</t>
  </si>
  <si>
    <t>ب. مهام الوحدات المجاورة.</t>
  </si>
  <si>
    <t>جـ. مهام وحدات الاسناد.</t>
  </si>
  <si>
    <t>د. الهيئات الحكومية وغير الحكومية.</t>
  </si>
  <si>
    <t>هـ. الملحقون والمنفصلون.</t>
  </si>
  <si>
    <t>و. الموقف الجوي.</t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</si>
  <si>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المهمــــة</t>
    </r>
    <r>
      <rPr>
        <sz val="12"/>
        <color rgb="FF000000"/>
        <rFont val="Arial"/>
        <family val="2"/>
      </rPr>
      <t>. جملة واضحة وصريحة تحدد:</t>
    </r>
  </si>
  <si>
    <t>أ. ماذا؟</t>
  </si>
  <si>
    <t>ب. من؟</t>
  </si>
  <si>
    <t>جـ. متى؟</t>
  </si>
  <si>
    <t>د. أين؟</t>
  </si>
  <si>
    <t>هـ. لماذا؟</t>
  </si>
  <si>
    <r>
      <t>7.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المراصد</t>
    </r>
    <r>
      <rPr>
        <b/>
        <sz val="12"/>
        <color rgb="FF000000"/>
        <rFont val="Arial"/>
        <family val="2"/>
      </rPr>
      <t>.</t>
    </r>
  </si>
  <si>
    <t>أ. مجموعة القائد.</t>
  </si>
  <si>
    <t>ب. مجموعة قادة السرايا.</t>
  </si>
  <si>
    <t>جـ. مجموعة المراصد.</t>
  </si>
  <si>
    <t>د. اقواس المراقبة.</t>
  </si>
  <si>
    <t>هـ. سياسة التعديل.</t>
  </si>
  <si>
    <t>و. ضبــاط الرصد المخولين.</t>
  </si>
  <si>
    <t>ز. الحركة ومواعيد الاجتماع.</t>
  </si>
  <si>
    <t>حـ. أوامـــر خطط الرمي.</t>
  </si>
  <si>
    <t>ط. تخصيص الذخيــــرة.</t>
  </si>
  <si>
    <t>ي. تخصيص ضباط الرصد الجويين.</t>
  </si>
  <si>
    <t>ك. تخصيص وســائل الاستمكان.</t>
  </si>
  <si>
    <r>
      <t>8.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الكشــف</t>
    </r>
    <r>
      <rPr>
        <b/>
        <sz val="12"/>
        <color rgb="FF000000"/>
        <rFont val="Arial"/>
        <family val="2"/>
      </rPr>
      <t>.</t>
    </r>
  </si>
  <si>
    <t>أ. كشف جماعة القائد.</t>
  </si>
  <si>
    <t>ب. تأليف جماعة الكشف.</t>
  </si>
  <si>
    <t>جـ. مواعيد الاجتمـــاع.</t>
  </si>
  <si>
    <t>د. الوقت في مواعيد الاجتماع.</t>
  </si>
  <si>
    <t>هـ. الحـــــركة.</t>
  </si>
  <si>
    <t>و. سياسة المساحة والأولويات.</t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</si>
  <si>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المواقـــع.</t>
    </r>
  </si>
  <si>
    <t xml:space="preserve">أ. منــاطق المدافـــــع </t>
  </si>
  <si>
    <t xml:space="preserve">ب. نمط الانفتاح وجبهة الموقع </t>
  </si>
  <si>
    <t>جـ. شـــكل الموقــع</t>
  </si>
  <si>
    <t>د. المواقــع البديلــة......</t>
  </si>
  <si>
    <t xml:space="preserve">هـ. م / ق وأقواس الرمي </t>
  </si>
  <si>
    <t xml:space="preserve">و. الحــد الأدنى للرمي </t>
  </si>
  <si>
    <t xml:space="preserve">ز. لا حركة قبل السـاعة </t>
  </si>
  <si>
    <t xml:space="preserve">ح. وقت الحضــــور. </t>
  </si>
  <si>
    <t xml:space="preserve">ط. نظــام الحـــركة. </t>
  </si>
  <si>
    <t xml:space="preserve">ي. نظـام المســــير. </t>
  </si>
  <si>
    <t xml:space="preserve"> ك. أمــر الحــــركة. </t>
  </si>
  <si>
    <r>
      <t>10.</t>
    </r>
    <r>
      <rPr>
        <sz val="7"/>
        <color theme="1"/>
        <rFont val="Times New Roman"/>
        <family val="1"/>
      </rPr>
      <t xml:space="preserve">  </t>
    </r>
    <r>
      <rPr>
        <b/>
        <u/>
        <sz val="12"/>
        <color rgb="FF000000"/>
        <rFont val="Arial"/>
        <family val="2"/>
      </rPr>
      <t xml:space="preserve"> رادارات الاستمكان.</t>
    </r>
  </si>
  <si>
    <t xml:space="preserve">أ. المــــوقع. </t>
  </si>
  <si>
    <t xml:space="preserve">ب. المواقـع البديلــة. </t>
  </si>
  <si>
    <t>جـ. مناطق نشاط الرادار.</t>
  </si>
  <si>
    <t>د. اتجـاه البحث.</t>
  </si>
  <si>
    <t>هـ. حدود القطـاع.</t>
  </si>
  <si>
    <t>و. الحــــركة.</t>
  </si>
  <si>
    <t>ز. وقت الحضـور.</t>
  </si>
  <si>
    <t>ح. حالة الإنــذار.</t>
  </si>
  <si>
    <r>
      <t>11.</t>
    </r>
    <r>
      <rPr>
        <sz val="7"/>
        <color rgb="FF000000"/>
        <rFont val="Times New Roman"/>
        <family val="1"/>
      </rPr>
      <t xml:space="preserve">  </t>
    </r>
    <r>
      <rPr>
        <b/>
        <u/>
        <sz val="12"/>
        <color rgb="FF000000"/>
        <rFont val="Arial"/>
        <family val="2"/>
      </rPr>
      <t>البرقية الجوية.</t>
    </r>
  </si>
  <si>
    <t>أ. المـــوقع.</t>
  </si>
  <si>
    <t>ب. وقت الحضـــور.</t>
  </si>
  <si>
    <t>جـ. مدة صلاحية البرقية.</t>
  </si>
  <si>
    <t>د. أقصى ارتفـــاع.</t>
  </si>
  <si>
    <r>
      <t>12.</t>
    </r>
    <r>
      <rPr>
        <sz val="7"/>
        <color theme="1"/>
        <rFont val="Times New Roman"/>
        <family val="1"/>
      </rPr>
      <t xml:space="preserve">  </t>
    </r>
    <r>
      <rPr>
        <b/>
        <u/>
        <sz val="12"/>
        <color rgb="FF000000"/>
        <rFont val="Arial"/>
        <family val="2"/>
      </rPr>
      <t>إيجاز الطيارين.</t>
    </r>
  </si>
  <si>
    <t>أ. الواجبــــات.</t>
  </si>
  <si>
    <t>ب. مواعيد الاجتماع.</t>
  </si>
  <si>
    <t>جـ. تحديدات الطيران.</t>
  </si>
  <si>
    <r>
      <t>13.</t>
    </r>
    <r>
      <rPr>
        <sz val="7"/>
        <color theme="1"/>
        <rFont val="Times New Roman"/>
        <family val="1"/>
      </rPr>
      <t xml:space="preserve">  </t>
    </r>
    <r>
      <rPr>
        <b/>
        <u/>
        <sz val="12"/>
        <color rgb="FF000000"/>
        <rFont val="Arial"/>
        <family val="2"/>
      </rPr>
      <t>التنقــل.</t>
    </r>
  </si>
  <si>
    <t>أ. طريقة الحركة ( القفز / البناء ).</t>
  </si>
  <si>
    <t>ب. نقطــة البـدء.</t>
  </si>
  <si>
    <t>جـ. الطــريق.</t>
  </si>
  <si>
    <t>د. نقطة التوزيع.</t>
  </si>
  <si>
    <t>هـ. موعد الاجتماع.</t>
  </si>
  <si>
    <t>و. نظام المسير.</t>
  </si>
  <si>
    <t>ز. السيطرة على المسير ( خطوط الأخبار ).</t>
  </si>
  <si>
    <t>ح. الســرعة.</t>
  </si>
  <si>
    <t>ط. الكثافــة.</t>
  </si>
  <si>
    <t>ي. التوقيتـات.</t>
  </si>
  <si>
    <t>ك. أمر الحركة.</t>
  </si>
  <si>
    <r>
      <t>14.</t>
    </r>
    <r>
      <rPr>
        <sz val="7"/>
        <color theme="1"/>
        <rFont val="Times New Roman"/>
        <family val="1"/>
      </rPr>
      <t xml:space="preserve">  </t>
    </r>
    <r>
      <rPr>
        <b/>
        <u/>
        <sz val="12"/>
        <color rgb="FF000000"/>
        <rFont val="Arial"/>
        <family val="2"/>
      </rPr>
      <t>الحمايــة.</t>
    </r>
  </si>
  <si>
    <t>أ. الدفاع الساحلي.</t>
  </si>
  <si>
    <t>ب. الحـــــفر.</t>
  </si>
  <si>
    <t>جـ. التخفية والتستر.</t>
  </si>
  <si>
    <t xml:space="preserve"> أ. الذخيــــرة.</t>
  </si>
  <si>
    <t>ب. نقليـات ( أ ).</t>
  </si>
  <si>
    <t>جـ. نقليـات ( ب ).</t>
  </si>
  <si>
    <t>د. الوقــــود.</t>
  </si>
  <si>
    <t>هـ. الطبـــابة.</t>
  </si>
  <si>
    <t>و. الإنقاذ والتصليح.</t>
  </si>
  <si>
    <r>
      <t>16.</t>
    </r>
    <r>
      <rPr>
        <sz val="7"/>
        <color rgb="FF000000"/>
        <rFont val="Times New Roman"/>
        <family val="1"/>
      </rPr>
      <t xml:space="preserve">  </t>
    </r>
    <r>
      <rPr>
        <b/>
        <u/>
        <sz val="12"/>
        <color rgb="FF000000"/>
        <rFont val="Arial"/>
        <family val="2"/>
      </rPr>
      <t>القيـــادة والاتصـــالات</t>
    </r>
    <r>
      <rPr>
        <b/>
        <sz val="12"/>
        <color rgb="FF000000"/>
        <rFont val="Arial"/>
        <family val="2"/>
      </rPr>
      <t>.</t>
    </r>
  </si>
  <si>
    <t>أ. مواقع القيادات.</t>
  </si>
  <si>
    <t>ب. التسلسل القيادي (1، 2، 3، 4،..).</t>
  </si>
  <si>
    <t>جـ. ترددات اللاسلكي / القنوات.</t>
  </si>
  <si>
    <t>د. الكلمات الرمزية.</t>
  </si>
  <si>
    <r>
      <t>15.</t>
    </r>
    <r>
      <rPr>
        <sz val="7"/>
        <color theme="1"/>
        <rFont val="Times New Roman"/>
        <family val="1"/>
      </rPr>
      <t xml:space="preserve">  </t>
    </r>
    <r>
      <rPr>
        <b/>
        <u/>
        <sz val="12"/>
        <color rgb="FF000000"/>
        <rFont val="Arial"/>
        <family val="2"/>
      </rPr>
      <t>الإسناد الإداري</t>
    </r>
    <r>
      <rPr>
        <sz val="12"/>
        <color theme="1"/>
        <rFont val="Arial"/>
        <family val="2"/>
      </rPr>
      <t>.</t>
    </r>
  </si>
  <si>
    <r>
      <t xml:space="preserve">6.   </t>
    </r>
    <r>
      <rPr>
        <b/>
        <u/>
        <sz val="12"/>
        <color rgb="FF000000"/>
        <rFont val="Arial"/>
        <family val="2"/>
      </rPr>
      <t>مفهوم العمليات.</t>
    </r>
    <r>
      <rPr>
        <sz val="12"/>
        <color rgb="FF000000"/>
        <rFont val="Arial"/>
        <family val="2"/>
      </rPr>
      <t xml:space="preserve"> بشكل عام ويجيب على ماذا، من، اين، كيف، لماذا وتشمل التمهيد والعملية الحاسمة وعملية الادامة.</t>
    </r>
  </si>
  <si>
    <r>
      <t>5.  </t>
    </r>
    <r>
      <rPr>
        <b/>
        <u/>
        <sz val="12"/>
        <color rgb="FF000000"/>
        <rFont val="Arial"/>
        <family val="2"/>
      </rPr>
      <t>التنفيــذ</t>
    </r>
    <r>
      <rPr>
        <sz val="12"/>
        <color rgb="FF000000"/>
        <rFont val="Arial"/>
        <family val="2"/>
      </rPr>
      <t>. قصد القائد</t>
    </r>
  </si>
  <si>
    <t>تقييم صرف أمر انفتاح قائد كتيبة المدفعية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</si>
</sst>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1"/>
      <color theme="1"/>
      <name val="Calibri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2"/>
    </xf>
    <xf numFmtId="0" fontId="3" fillId="4" borderId="2" xfId="0" applyFont="1" applyFill="1" applyBorder="1" applyAlignment="1">
      <alignment horizontal="center" vertical="center" wrapText="1" readingOrder="2"/>
    </xf>
    <xf numFmtId="0" fontId="8" fillId="0" borderId="3" xfId="0" applyFont="1" applyBorder="1" applyAlignment="1">
      <alignment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0" fontId="8" fillId="4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 readingOrder="2"/>
    </xf>
    <xf numFmtId="0" fontId="3" fillId="4" borderId="11" xfId="0" applyFont="1" applyFill="1" applyBorder="1" applyAlignment="1">
      <alignment horizontal="center" vertical="center" wrapText="1" readingOrder="2"/>
    </xf>
    <xf numFmtId="0" fontId="9" fillId="0" borderId="21" xfId="0" applyFont="1" applyBorder="1" applyAlignment="1">
      <alignment horizontal="right" vertical="center" wrapText="1" indent="2" readingOrder="2"/>
    </xf>
    <xf numFmtId="0" fontId="9" fillId="0" borderId="2" xfId="0" applyFont="1" applyBorder="1" applyAlignment="1">
      <alignment horizontal="right" vertical="center" wrapText="1" indent="2" readingOrder="2"/>
    </xf>
    <xf numFmtId="0" fontId="9" fillId="0" borderId="10" xfId="0" applyFont="1" applyBorder="1" applyAlignment="1">
      <alignment horizontal="right" vertical="center" wrapText="1" indent="2" readingOrder="2"/>
    </xf>
    <xf numFmtId="0" fontId="9" fillId="0" borderId="11" xfId="0" applyFont="1" applyBorder="1" applyAlignment="1">
      <alignment horizontal="right" vertical="center" wrapText="1" indent="2" readingOrder="2"/>
    </xf>
    <xf numFmtId="0" fontId="11" fillId="0" borderId="4" xfId="0" applyFont="1" applyBorder="1" applyAlignment="1">
      <alignment horizontal="right"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0" fontId="9" fillId="4" borderId="4" xfId="0" applyFont="1" applyFill="1" applyBorder="1" applyAlignment="1">
      <alignment horizontal="right" vertical="center" wrapText="1" readingOrder="2"/>
    </xf>
    <xf numFmtId="0" fontId="9" fillId="4" borderId="3" xfId="0" applyFont="1" applyFill="1" applyBorder="1" applyAlignment="1">
      <alignment horizontal="right" vertical="center" wrapText="1" readingOrder="2"/>
    </xf>
    <xf numFmtId="0" fontId="9" fillId="0" borderId="4" xfId="0" applyFont="1" applyBorder="1" applyAlignment="1">
      <alignment horizontal="right" vertical="center" wrapText="1" readingOrder="2"/>
    </xf>
    <xf numFmtId="0" fontId="9" fillId="0" borderId="3" xfId="0" applyFont="1" applyBorder="1" applyAlignment="1">
      <alignment horizontal="right" vertical="center" wrapText="1" readingOrder="2"/>
    </xf>
    <xf numFmtId="0" fontId="11" fillId="0" borderId="21" xfId="0" applyFont="1" applyBorder="1" applyAlignment="1">
      <alignment horizontal="right" vertical="center" wrapText="1" indent="2" readingOrder="2"/>
    </xf>
    <xf numFmtId="0" fontId="11" fillId="0" borderId="2" xfId="0" applyFont="1" applyBorder="1" applyAlignment="1">
      <alignment horizontal="right" vertical="center" wrapText="1" indent="2" readingOrder="2"/>
    </xf>
    <xf numFmtId="0" fontId="11" fillId="0" borderId="10" xfId="0" applyFont="1" applyBorder="1" applyAlignment="1">
      <alignment horizontal="right" vertical="center" wrapText="1" indent="2" readingOrder="2"/>
    </xf>
    <xf numFmtId="0" fontId="11" fillId="0" borderId="11" xfId="0" applyFont="1" applyBorder="1" applyAlignment="1">
      <alignment horizontal="right" vertical="center" wrapText="1" indent="2" readingOrder="2"/>
    </xf>
    <xf numFmtId="0" fontId="9" fillId="0" borderId="10" xfId="0" applyFont="1" applyBorder="1" applyAlignment="1">
      <alignment horizontal="right" vertical="center" wrapText="1" readingOrder="2"/>
    </xf>
    <xf numFmtId="0" fontId="9" fillId="0" borderId="11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20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83" t="s">
        <v>136</v>
      </c>
      <c r="C1" s="83"/>
      <c r="D1" s="83"/>
      <c r="E1" s="83"/>
      <c r="F1" s="83"/>
      <c r="G1" s="83"/>
      <c r="H1" s="83"/>
      <c r="I1" s="83"/>
      <c r="J1" s="83"/>
    </row>
    <row r="2" spans="1:10" ht="30" customHeight="1" x14ac:dyDescent="0.25">
      <c r="B2" s="10" t="s">
        <v>8</v>
      </c>
      <c r="C2" s="67" t="s">
        <v>23</v>
      </c>
      <c r="D2" s="67"/>
      <c r="E2" s="10" t="s">
        <v>7</v>
      </c>
      <c r="F2" s="62" t="s">
        <v>22</v>
      </c>
      <c r="G2" s="62"/>
      <c r="H2" s="62"/>
      <c r="I2" s="62"/>
      <c r="J2" s="62"/>
    </row>
    <row r="3" spans="1:10" ht="30" customHeight="1" x14ac:dyDescent="0.25">
      <c r="B3" s="10" t="s">
        <v>9</v>
      </c>
      <c r="C3" s="67" t="s">
        <v>25</v>
      </c>
      <c r="D3" s="67"/>
      <c r="E3" s="10" t="s">
        <v>6</v>
      </c>
      <c r="F3" s="67" t="s">
        <v>24</v>
      </c>
      <c r="G3" s="67"/>
      <c r="H3" s="67"/>
      <c r="I3" s="67"/>
      <c r="J3" s="67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8"/>
      <c r="B5" s="63" t="s">
        <v>0</v>
      </c>
      <c r="C5" s="64"/>
      <c r="D5" s="64"/>
      <c r="E5" s="72" t="s">
        <v>1</v>
      </c>
      <c r="F5" s="72"/>
      <c r="G5" s="72"/>
      <c r="H5" s="72"/>
      <c r="I5" s="72" t="s">
        <v>2</v>
      </c>
      <c r="J5" s="73"/>
    </row>
    <row r="6" spans="1:10" ht="24.95" customHeight="1" thickBot="1" x14ac:dyDescent="0.3">
      <c r="A6" s="8"/>
      <c r="B6" s="65"/>
      <c r="C6" s="66"/>
      <c r="D6" s="66"/>
      <c r="E6" s="9" t="s">
        <v>3</v>
      </c>
      <c r="F6" s="9" t="s">
        <v>4</v>
      </c>
      <c r="G6" s="9" t="s">
        <v>15</v>
      </c>
      <c r="H6" s="9" t="s">
        <v>16</v>
      </c>
      <c r="I6" s="74"/>
      <c r="J6" s="75"/>
    </row>
    <row r="7" spans="1:10" ht="24.95" customHeight="1" thickBot="1" x14ac:dyDescent="0.3">
      <c r="A7" s="8"/>
      <c r="B7" s="70" t="s">
        <v>13</v>
      </c>
      <c r="C7" s="71"/>
      <c r="D7" s="71"/>
      <c r="E7" s="13" t="s">
        <v>10</v>
      </c>
      <c r="F7" s="13" t="s">
        <v>11</v>
      </c>
      <c r="G7" s="13" t="s">
        <v>14</v>
      </c>
      <c r="H7" s="13" t="s">
        <v>12</v>
      </c>
      <c r="I7" s="76" t="s">
        <v>17</v>
      </c>
      <c r="J7" s="77"/>
    </row>
    <row r="8" spans="1:10" ht="30" customHeight="1" x14ac:dyDescent="0.25">
      <c r="A8" s="8"/>
      <c r="B8" s="38" t="s">
        <v>28</v>
      </c>
      <c r="C8" s="39"/>
      <c r="D8" s="39"/>
      <c r="E8" s="19"/>
      <c r="F8" s="20"/>
      <c r="G8" s="21"/>
      <c r="H8" s="22"/>
      <c r="I8" s="46"/>
      <c r="J8" s="47"/>
    </row>
    <row r="9" spans="1:10" ht="30" customHeight="1" x14ac:dyDescent="0.25">
      <c r="A9" s="8"/>
      <c r="B9" s="30" t="s">
        <v>29</v>
      </c>
      <c r="C9" s="31"/>
      <c r="D9" s="31"/>
      <c r="E9" s="17">
        <v>5</v>
      </c>
      <c r="F9" s="11" t="s">
        <v>26</v>
      </c>
      <c r="G9" s="15" t="str">
        <f>IFERROR(F9/E9,"")</f>
        <v/>
      </c>
      <c r="H9" s="16" t="str">
        <f>_xlfn.IFS(F9="أدخل العلامة","",F9="لا ينطبق","تم الإلغاء",G9&gt;=90%,"ممتاز",G9&gt;=80%,"جيد جداً",G9&gt;=70%,"جيد",G9&gt;=60%,"مقبول",G9&lt;60%,"راسب")</f>
        <v/>
      </c>
      <c r="I9" s="48"/>
      <c r="J9" s="49"/>
    </row>
    <row r="10" spans="1:10" ht="30" customHeight="1" x14ac:dyDescent="0.25">
      <c r="A10" s="8"/>
      <c r="B10" s="30" t="s">
        <v>30</v>
      </c>
      <c r="C10" s="31"/>
      <c r="D10" s="31"/>
      <c r="E10" s="17">
        <v>5</v>
      </c>
      <c r="F10" s="11" t="s">
        <v>26</v>
      </c>
      <c r="G10" s="15" t="str">
        <f t="shared" ref="G10:G69" si="0">IFERROR(F10/E10,"")</f>
        <v/>
      </c>
      <c r="H10" s="16" t="str">
        <f t="shared" ref="H10:H69" si="1">_xlfn.IFS(F10="أدخل العلامة","",F10="لا ينطبق","تم الإلغاء",G10&gt;=90%,"ممتاز",G10&gt;=80%,"جيد جداً",G10&gt;=70%,"جيد",G10&gt;=60%,"مقبول",G10&lt;60%,"راسب")</f>
        <v/>
      </c>
      <c r="I10" s="48"/>
      <c r="J10" s="49"/>
    </row>
    <row r="11" spans="1:10" ht="30" customHeight="1" thickBot="1" x14ac:dyDescent="0.3">
      <c r="A11" s="8"/>
      <c r="B11" s="32" t="s">
        <v>31</v>
      </c>
      <c r="C11" s="33"/>
      <c r="D11" s="33"/>
      <c r="E11" s="23">
        <v>5</v>
      </c>
      <c r="F11" s="12" t="s">
        <v>26</v>
      </c>
      <c r="G11" s="24" t="str">
        <f t="shared" si="0"/>
        <v/>
      </c>
      <c r="H11" s="25" t="str">
        <f t="shared" si="1"/>
        <v/>
      </c>
      <c r="I11" s="54"/>
      <c r="J11" s="55"/>
    </row>
    <row r="12" spans="1:10" ht="30" customHeight="1" x14ac:dyDescent="0.25">
      <c r="A12" s="8"/>
      <c r="B12" s="38" t="s">
        <v>32</v>
      </c>
      <c r="C12" s="39"/>
      <c r="D12" s="39"/>
      <c r="E12" s="19"/>
      <c r="F12" s="20"/>
      <c r="G12" s="21"/>
      <c r="H12" s="22"/>
      <c r="I12" s="46"/>
      <c r="J12" s="47"/>
    </row>
    <row r="13" spans="1:10" ht="30" customHeight="1" x14ac:dyDescent="0.25">
      <c r="A13" s="8"/>
      <c r="B13" s="30" t="s">
        <v>33</v>
      </c>
      <c r="C13" s="31"/>
      <c r="D13" s="31"/>
      <c r="E13" s="17">
        <v>5</v>
      </c>
      <c r="F13" s="11" t="s">
        <v>26</v>
      </c>
      <c r="G13" s="15" t="str">
        <f t="shared" si="0"/>
        <v/>
      </c>
      <c r="H13" s="16" t="str">
        <f t="shared" si="1"/>
        <v/>
      </c>
      <c r="I13" s="48"/>
      <c r="J13" s="49"/>
    </row>
    <row r="14" spans="1:10" ht="30" customHeight="1" x14ac:dyDescent="0.25">
      <c r="A14" s="8"/>
      <c r="B14" s="30" t="s">
        <v>34</v>
      </c>
      <c r="C14" s="31"/>
      <c r="D14" s="31"/>
      <c r="E14" s="17">
        <v>5</v>
      </c>
      <c r="F14" s="11" t="s">
        <v>26</v>
      </c>
      <c r="G14" s="15" t="str">
        <f t="shared" si="0"/>
        <v/>
      </c>
      <c r="H14" s="16" t="str">
        <f t="shared" si="1"/>
        <v/>
      </c>
      <c r="I14" s="48"/>
      <c r="J14" s="49"/>
    </row>
    <row r="15" spans="1:10" ht="30" customHeight="1" x14ac:dyDescent="0.25">
      <c r="A15" s="8"/>
      <c r="B15" s="30" t="s">
        <v>35</v>
      </c>
      <c r="C15" s="31"/>
      <c r="D15" s="31"/>
      <c r="E15" s="17">
        <v>5</v>
      </c>
      <c r="F15" s="11" t="s">
        <v>26</v>
      </c>
      <c r="G15" s="15" t="str">
        <f t="shared" si="0"/>
        <v/>
      </c>
      <c r="H15" s="16" t="str">
        <f t="shared" si="1"/>
        <v/>
      </c>
      <c r="I15" s="48"/>
      <c r="J15" s="49"/>
    </row>
    <row r="16" spans="1:10" ht="30" customHeight="1" x14ac:dyDescent="0.25">
      <c r="A16" s="8"/>
      <c r="B16" s="30" t="s">
        <v>36</v>
      </c>
      <c r="C16" s="31"/>
      <c r="D16" s="31"/>
      <c r="E16" s="17">
        <v>5</v>
      </c>
      <c r="F16" s="11" t="s">
        <v>26</v>
      </c>
      <c r="G16" s="15" t="str">
        <f t="shared" si="0"/>
        <v/>
      </c>
      <c r="H16" s="16" t="str">
        <f t="shared" si="1"/>
        <v/>
      </c>
      <c r="I16" s="48"/>
      <c r="J16" s="49"/>
    </row>
    <row r="17" spans="1:10" ht="30" customHeight="1" x14ac:dyDescent="0.25">
      <c r="A17" s="8"/>
      <c r="B17" s="30" t="s">
        <v>37</v>
      </c>
      <c r="C17" s="31"/>
      <c r="D17" s="31"/>
      <c r="E17" s="17">
        <v>5</v>
      </c>
      <c r="F17" s="11" t="s">
        <v>26</v>
      </c>
      <c r="G17" s="15" t="str">
        <f t="shared" si="0"/>
        <v/>
      </c>
      <c r="H17" s="16" t="str">
        <f t="shared" si="1"/>
        <v/>
      </c>
      <c r="I17" s="48"/>
      <c r="J17" s="49"/>
    </row>
    <row r="18" spans="1:10" ht="30" customHeight="1" x14ac:dyDescent="0.25">
      <c r="A18" s="8"/>
      <c r="B18" s="30" t="s">
        <v>38</v>
      </c>
      <c r="C18" s="31"/>
      <c r="D18" s="31"/>
      <c r="E18" s="17">
        <v>5</v>
      </c>
      <c r="F18" s="11" t="s">
        <v>26</v>
      </c>
      <c r="G18" s="15" t="str">
        <f t="shared" si="0"/>
        <v/>
      </c>
      <c r="H18" s="16" t="str">
        <f t="shared" si="1"/>
        <v/>
      </c>
      <c r="I18" s="48"/>
      <c r="J18" s="49"/>
    </row>
    <row r="19" spans="1:10" ht="30" customHeight="1" x14ac:dyDescent="0.25">
      <c r="A19" s="8"/>
      <c r="B19" s="30" t="s">
        <v>39</v>
      </c>
      <c r="C19" s="31"/>
      <c r="D19" s="31"/>
      <c r="E19" s="17">
        <v>5</v>
      </c>
      <c r="F19" s="11" t="s">
        <v>26</v>
      </c>
      <c r="G19" s="15" t="str">
        <f t="shared" si="0"/>
        <v/>
      </c>
      <c r="H19" s="16" t="str">
        <f t="shared" si="1"/>
        <v/>
      </c>
      <c r="I19" s="48"/>
      <c r="J19" s="49"/>
    </row>
    <row r="20" spans="1:10" ht="30" customHeight="1" x14ac:dyDescent="0.25">
      <c r="A20" s="8"/>
      <c r="B20" s="30" t="s">
        <v>40</v>
      </c>
      <c r="C20" s="31"/>
      <c r="D20" s="31"/>
      <c r="E20" s="17">
        <v>5</v>
      </c>
      <c r="F20" s="11" t="s">
        <v>26</v>
      </c>
      <c r="G20" s="15" t="str">
        <f t="shared" si="0"/>
        <v/>
      </c>
      <c r="H20" s="16" t="str">
        <f t="shared" si="1"/>
        <v/>
      </c>
      <c r="I20" s="48"/>
      <c r="J20" s="49"/>
    </row>
    <row r="21" spans="1:10" ht="30" customHeight="1" x14ac:dyDescent="0.25">
      <c r="A21" s="8"/>
      <c r="B21" s="30" t="s">
        <v>41</v>
      </c>
      <c r="C21" s="31"/>
      <c r="D21" s="31"/>
      <c r="E21" s="17">
        <v>5</v>
      </c>
      <c r="F21" s="11" t="s">
        <v>26</v>
      </c>
      <c r="G21" s="15" t="str">
        <f t="shared" si="0"/>
        <v/>
      </c>
      <c r="H21" s="16" t="str">
        <f t="shared" si="1"/>
        <v/>
      </c>
      <c r="I21" s="48"/>
      <c r="J21" s="49"/>
    </row>
    <row r="22" spans="1:10" ht="30" customHeight="1" x14ac:dyDescent="0.25">
      <c r="A22" s="8"/>
      <c r="B22" s="30" t="s">
        <v>42</v>
      </c>
      <c r="C22" s="31"/>
      <c r="D22" s="31"/>
      <c r="E22" s="17">
        <v>5</v>
      </c>
      <c r="F22" s="11" t="s">
        <v>26</v>
      </c>
      <c r="G22" s="15" t="str">
        <f t="shared" si="0"/>
        <v/>
      </c>
      <c r="H22" s="16" t="str">
        <f t="shared" si="1"/>
        <v/>
      </c>
      <c r="I22" s="48"/>
      <c r="J22" s="49"/>
    </row>
    <row r="23" spans="1:10" ht="30" customHeight="1" thickBot="1" x14ac:dyDescent="0.3">
      <c r="A23" s="8"/>
      <c r="B23" s="32" t="s">
        <v>43</v>
      </c>
      <c r="C23" s="33"/>
      <c r="D23" s="33"/>
      <c r="E23" s="23">
        <v>5</v>
      </c>
      <c r="F23" s="12" t="s">
        <v>26</v>
      </c>
      <c r="G23" s="24" t="str">
        <f t="shared" si="0"/>
        <v/>
      </c>
      <c r="H23" s="25" t="str">
        <f t="shared" si="1"/>
        <v/>
      </c>
      <c r="I23" s="54"/>
      <c r="J23" s="55"/>
    </row>
    <row r="24" spans="1:10" ht="30" customHeight="1" x14ac:dyDescent="0.25">
      <c r="A24" s="8"/>
      <c r="B24" s="38" t="s">
        <v>44</v>
      </c>
      <c r="C24" s="39"/>
      <c r="D24" s="39"/>
      <c r="E24" s="19"/>
      <c r="F24" s="20"/>
      <c r="G24" s="21"/>
      <c r="H24" s="22"/>
      <c r="I24" s="46"/>
      <c r="J24" s="47"/>
    </row>
    <row r="25" spans="1:10" ht="30" customHeight="1" x14ac:dyDescent="0.25">
      <c r="A25" s="8"/>
      <c r="B25" s="30" t="s">
        <v>45</v>
      </c>
      <c r="C25" s="31"/>
      <c r="D25" s="31"/>
      <c r="E25" s="17">
        <v>5</v>
      </c>
      <c r="F25" s="11" t="s">
        <v>26</v>
      </c>
      <c r="G25" s="15" t="str">
        <f t="shared" si="0"/>
        <v/>
      </c>
      <c r="H25" s="16" t="str">
        <f t="shared" si="1"/>
        <v/>
      </c>
      <c r="I25" s="48"/>
      <c r="J25" s="49"/>
    </row>
    <row r="26" spans="1:10" ht="30" customHeight="1" x14ac:dyDescent="0.25">
      <c r="A26" s="8"/>
      <c r="B26" s="30" t="s">
        <v>46</v>
      </c>
      <c r="C26" s="31"/>
      <c r="D26" s="31"/>
      <c r="E26" s="17">
        <v>5</v>
      </c>
      <c r="F26" s="11" t="s">
        <v>26</v>
      </c>
      <c r="G26" s="15" t="str">
        <f t="shared" si="0"/>
        <v/>
      </c>
      <c r="H26" s="16" t="str">
        <f t="shared" si="1"/>
        <v/>
      </c>
      <c r="I26" s="48"/>
      <c r="J26" s="49"/>
    </row>
    <row r="27" spans="1:10" ht="30" customHeight="1" x14ac:dyDescent="0.25">
      <c r="A27" s="8"/>
      <c r="B27" s="30" t="s">
        <v>47</v>
      </c>
      <c r="C27" s="31"/>
      <c r="D27" s="31"/>
      <c r="E27" s="17">
        <v>5</v>
      </c>
      <c r="F27" s="11" t="s">
        <v>26</v>
      </c>
      <c r="G27" s="15" t="str">
        <f t="shared" si="0"/>
        <v/>
      </c>
      <c r="H27" s="16" t="str">
        <f t="shared" si="1"/>
        <v/>
      </c>
      <c r="I27" s="48"/>
      <c r="J27" s="49"/>
    </row>
    <row r="28" spans="1:10" ht="30" customHeight="1" x14ac:dyDescent="0.25">
      <c r="A28" s="8"/>
      <c r="B28" s="30" t="s">
        <v>48</v>
      </c>
      <c r="C28" s="31"/>
      <c r="D28" s="31"/>
      <c r="E28" s="17">
        <v>5</v>
      </c>
      <c r="F28" s="11" t="s">
        <v>26</v>
      </c>
      <c r="G28" s="15" t="str">
        <f t="shared" si="0"/>
        <v/>
      </c>
      <c r="H28" s="16" t="str">
        <f t="shared" si="1"/>
        <v/>
      </c>
      <c r="I28" s="48"/>
      <c r="J28" s="49"/>
    </row>
    <row r="29" spans="1:10" ht="30" customHeight="1" x14ac:dyDescent="0.25">
      <c r="A29" s="8"/>
      <c r="B29" s="30" t="s">
        <v>49</v>
      </c>
      <c r="C29" s="31"/>
      <c r="D29" s="31"/>
      <c r="E29" s="17">
        <v>5</v>
      </c>
      <c r="F29" s="11" t="s">
        <v>26</v>
      </c>
      <c r="G29" s="15" t="str">
        <f t="shared" si="0"/>
        <v/>
      </c>
      <c r="H29" s="16" t="str">
        <f t="shared" si="1"/>
        <v/>
      </c>
      <c r="I29" s="48"/>
      <c r="J29" s="49"/>
    </row>
    <row r="30" spans="1:10" ht="30" customHeight="1" thickBot="1" x14ac:dyDescent="0.3">
      <c r="A30" s="8"/>
      <c r="B30" s="32" t="s">
        <v>50</v>
      </c>
      <c r="C30" s="33"/>
      <c r="D30" s="33"/>
      <c r="E30" s="23">
        <v>5</v>
      </c>
      <c r="F30" s="12" t="s">
        <v>26</v>
      </c>
      <c r="G30" s="24" t="str">
        <f t="shared" si="0"/>
        <v/>
      </c>
      <c r="H30" s="25" t="str">
        <f t="shared" si="1"/>
        <v/>
      </c>
      <c r="I30" s="54"/>
      <c r="J30" s="55"/>
    </row>
    <row r="31" spans="1:10" ht="30" customHeight="1" x14ac:dyDescent="0.25">
      <c r="A31" s="8"/>
      <c r="B31" s="38" t="s">
        <v>51</v>
      </c>
      <c r="C31" s="39"/>
      <c r="D31" s="39"/>
      <c r="E31" s="19"/>
      <c r="F31" s="20"/>
      <c r="G31" s="21"/>
      <c r="H31" s="22"/>
      <c r="I31" s="46"/>
      <c r="J31" s="47"/>
    </row>
    <row r="32" spans="1:10" ht="30" customHeight="1" x14ac:dyDescent="0.25">
      <c r="A32" s="8"/>
      <c r="B32" s="30" t="s">
        <v>52</v>
      </c>
      <c r="C32" s="31"/>
      <c r="D32" s="31"/>
      <c r="E32" s="17">
        <v>5</v>
      </c>
      <c r="F32" s="11" t="s">
        <v>26</v>
      </c>
      <c r="G32" s="15" t="str">
        <f t="shared" si="0"/>
        <v/>
      </c>
      <c r="H32" s="16" t="str">
        <f t="shared" si="1"/>
        <v/>
      </c>
      <c r="I32" s="48"/>
      <c r="J32" s="49"/>
    </row>
    <row r="33" spans="1:10" ht="30" customHeight="1" x14ac:dyDescent="0.25">
      <c r="A33" s="8"/>
      <c r="B33" s="30" t="s">
        <v>53</v>
      </c>
      <c r="C33" s="31"/>
      <c r="D33" s="31"/>
      <c r="E33" s="17">
        <v>5</v>
      </c>
      <c r="F33" s="11" t="s">
        <v>26</v>
      </c>
      <c r="G33" s="15" t="str">
        <f t="shared" si="0"/>
        <v/>
      </c>
      <c r="H33" s="16" t="str">
        <f t="shared" si="1"/>
        <v/>
      </c>
      <c r="I33" s="48"/>
      <c r="J33" s="49"/>
    </row>
    <row r="34" spans="1:10" ht="30" customHeight="1" x14ac:dyDescent="0.25">
      <c r="A34" s="8"/>
      <c r="B34" s="30" t="s">
        <v>54</v>
      </c>
      <c r="C34" s="31"/>
      <c r="D34" s="31"/>
      <c r="E34" s="17">
        <v>5</v>
      </c>
      <c r="F34" s="11" t="s">
        <v>26</v>
      </c>
      <c r="G34" s="15" t="str">
        <f t="shared" si="0"/>
        <v/>
      </c>
      <c r="H34" s="16" t="str">
        <f t="shared" si="1"/>
        <v/>
      </c>
      <c r="I34" s="48"/>
      <c r="J34" s="49"/>
    </row>
    <row r="35" spans="1:10" ht="30" customHeight="1" x14ac:dyDescent="0.25">
      <c r="A35" s="8"/>
      <c r="B35" s="30" t="s">
        <v>55</v>
      </c>
      <c r="C35" s="31"/>
      <c r="D35" s="31"/>
      <c r="E35" s="17">
        <v>5</v>
      </c>
      <c r="F35" s="11" t="s">
        <v>26</v>
      </c>
      <c r="G35" s="15" t="str">
        <f t="shared" si="0"/>
        <v/>
      </c>
      <c r="H35" s="16" t="str">
        <f t="shared" si="1"/>
        <v/>
      </c>
      <c r="I35" s="48"/>
      <c r="J35" s="49"/>
    </row>
    <row r="36" spans="1:10" ht="30" customHeight="1" thickBot="1" x14ac:dyDescent="0.3">
      <c r="A36" s="8"/>
      <c r="B36" s="32" t="s">
        <v>56</v>
      </c>
      <c r="C36" s="33"/>
      <c r="D36" s="33"/>
      <c r="E36" s="23">
        <v>5</v>
      </c>
      <c r="F36" s="12" t="s">
        <v>26</v>
      </c>
      <c r="G36" s="24" t="str">
        <f t="shared" si="0"/>
        <v/>
      </c>
      <c r="H36" s="25" t="str">
        <f t="shared" si="1"/>
        <v/>
      </c>
      <c r="I36" s="54"/>
      <c r="J36" s="55"/>
    </row>
    <row r="37" spans="1:10" ht="30" customHeight="1" thickBot="1" x14ac:dyDescent="0.3">
      <c r="A37" s="8"/>
      <c r="B37" s="44" t="s">
        <v>135</v>
      </c>
      <c r="C37" s="45"/>
      <c r="D37" s="45"/>
      <c r="E37" s="26">
        <v>5</v>
      </c>
      <c r="F37" s="12" t="s">
        <v>26</v>
      </c>
      <c r="G37" s="24" t="str">
        <f t="shared" si="0"/>
        <v/>
      </c>
      <c r="H37" s="25" t="str">
        <f t="shared" si="1"/>
        <v/>
      </c>
      <c r="I37" s="54"/>
      <c r="J37" s="55"/>
    </row>
    <row r="38" spans="1:10" ht="39.950000000000003" customHeight="1" thickBot="1" x14ac:dyDescent="0.3">
      <c r="A38" s="8"/>
      <c r="B38" s="44" t="s">
        <v>134</v>
      </c>
      <c r="C38" s="45"/>
      <c r="D38" s="45"/>
      <c r="E38" s="26">
        <v>10</v>
      </c>
      <c r="F38" s="12" t="s">
        <v>26</v>
      </c>
      <c r="G38" s="24" t="str">
        <f t="shared" si="0"/>
        <v/>
      </c>
      <c r="H38" s="25" t="str">
        <f t="shared" si="1"/>
        <v/>
      </c>
      <c r="I38" s="54"/>
      <c r="J38" s="55"/>
    </row>
    <row r="39" spans="1:10" ht="30" customHeight="1" x14ac:dyDescent="0.25">
      <c r="A39" s="8"/>
      <c r="B39" s="38" t="s">
        <v>57</v>
      </c>
      <c r="C39" s="39"/>
      <c r="D39" s="39"/>
      <c r="E39" s="19"/>
      <c r="F39" s="20"/>
      <c r="G39" s="21"/>
      <c r="H39" s="22"/>
      <c r="I39" s="46"/>
      <c r="J39" s="47"/>
    </row>
    <row r="40" spans="1:10" ht="30" customHeight="1" x14ac:dyDescent="0.25">
      <c r="A40" s="8"/>
      <c r="B40" s="30" t="s">
        <v>58</v>
      </c>
      <c r="C40" s="31"/>
      <c r="D40" s="31"/>
      <c r="E40" s="17">
        <v>5</v>
      </c>
      <c r="F40" s="11" t="s">
        <v>26</v>
      </c>
      <c r="G40" s="15" t="str">
        <f t="shared" si="0"/>
        <v/>
      </c>
      <c r="H40" s="16" t="str">
        <f t="shared" si="1"/>
        <v/>
      </c>
      <c r="I40" s="48"/>
      <c r="J40" s="49"/>
    </row>
    <row r="41" spans="1:10" ht="30" customHeight="1" x14ac:dyDescent="0.25">
      <c r="A41" s="8"/>
      <c r="B41" s="30" t="s">
        <v>59</v>
      </c>
      <c r="C41" s="31"/>
      <c r="D41" s="31"/>
      <c r="E41" s="17">
        <v>5</v>
      </c>
      <c r="F41" s="11" t="s">
        <v>26</v>
      </c>
      <c r="G41" s="15" t="str">
        <f t="shared" si="0"/>
        <v/>
      </c>
      <c r="H41" s="16" t="str">
        <f t="shared" si="1"/>
        <v/>
      </c>
      <c r="I41" s="48"/>
      <c r="J41" s="49"/>
    </row>
    <row r="42" spans="1:10" ht="30" customHeight="1" x14ac:dyDescent="0.25">
      <c r="A42" s="8"/>
      <c r="B42" s="30" t="s">
        <v>60</v>
      </c>
      <c r="C42" s="31"/>
      <c r="D42" s="31"/>
      <c r="E42" s="17">
        <v>5</v>
      </c>
      <c r="F42" s="11" t="s">
        <v>26</v>
      </c>
      <c r="G42" s="15" t="str">
        <f t="shared" si="0"/>
        <v/>
      </c>
      <c r="H42" s="16" t="str">
        <f t="shared" si="1"/>
        <v/>
      </c>
      <c r="I42" s="48"/>
      <c r="J42" s="49"/>
    </row>
    <row r="43" spans="1:10" ht="30" customHeight="1" x14ac:dyDescent="0.25">
      <c r="A43" s="8"/>
      <c r="B43" s="30" t="s">
        <v>61</v>
      </c>
      <c r="C43" s="31"/>
      <c r="D43" s="31"/>
      <c r="E43" s="17">
        <v>5</v>
      </c>
      <c r="F43" s="11" t="s">
        <v>26</v>
      </c>
      <c r="G43" s="15" t="str">
        <f t="shared" si="0"/>
        <v/>
      </c>
      <c r="H43" s="16" t="str">
        <f t="shared" si="1"/>
        <v/>
      </c>
      <c r="I43" s="48"/>
      <c r="J43" s="49"/>
    </row>
    <row r="44" spans="1:10" ht="30" customHeight="1" x14ac:dyDescent="0.25">
      <c r="A44" s="8"/>
      <c r="B44" s="30" t="s">
        <v>62</v>
      </c>
      <c r="C44" s="31"/>
      <c r="D44" s="31"/>
      <c r="E44" s="17">
        <v>5</v>
      </c>
      <c r="F44" s="11" t="s">
        <v>26</v>
      </c>
      <c r="G44" s="15" t="str">
        <f t="shared" si="0"/>
        <v/>
      </c>
      <c r="H44" s="16" t="str">
        <f t="shared" si="1"/>
        <v/>
      </c>
      <c r="I44" s="48"/>
      <c r="J44" s="49"/>
    </row>
    <row r="45" spans="1:10" ht="30" customHeight="1" x14ac:dyDescent="0.25">
      <c r="A45" s="8"/>
      <c r="B45" s="30" t="s">
        <v>63</v>
      </c>
      <c r="C45" s="31"/>
      <c r="D45" s="31"/>
      <c r="E45" s="17">
        <v>5</v>
      </c>
      <c r="F45" s="11" t="s">
        <v>26</v>
      </c>
      <c r="G45" s="15" t="str">
        <f t="shared" si="0"/>
        <v/>
      </c>
      <c r="H45" s="16" t="str">
        <f t="shared" si="1"/>
        <v/>
      </c>
      <c r="I45" s="48"/>
      <c r="J45" s="49"/>
    </row>
    <row r="46" spans="1:10" ht="30" customHeight="1" x14ac:dyDescent="0.25">
      <c r="A46" s="8"/>
      <c r="B46" s="30" t="s">
        <v>64</v>
      </c>
      <c r="C46" s="31"/>
      <c r="D46" s="31"/>
      <c r="E46" s="17">
        <v>5</v>
      </c>
      <c r="F46" s="11" t="s">
        <v>26</v>
      </c>
      <c r="G46" s="15" t="str">
        <f t="shared" si="0"/>
        <v/>
      </c>
      <c r="H46" s="16" t="str">
        <f t="shared" si="1"/>
        <v/>
      </c>
      <c r="I46" s="48"/>
      <c r="J46" s="49"/>
    </row>
    <row r="47" spans="1:10" ht="30" customHeight="1" x14ac:dyDescent="0.25">
      <c r="A47" s="8"/>
      <c r="B47" s="30" t="s">
        <v>65</v>
      </c>
      <c r="C47" s="31"/>
      <c r="D47" s="31"/>
      <c r="E47" s="17">
        <v>5</v>
      </c>
      <c r="F47" s="11" t="s">
        <v>26</v>
      </c>
      <c r="G47" s="15" t="str">
        <f t="shared" si="0"/>
        <v/>
      </c>
      <c r="H47" s="16" t="str">
        <f t="shared" si="1"/>
        <v/>
      </c>
      <c r="I47" s="48"/>
      <c r="J47" s="49"/>
    </row>
    <row r="48" spans="1:10" ht="30" customHeight="1" x14ac:dyDescent="0.25">
      <c r="A48" s="8"/>
      <c r="B48" s="30" t="s">
        <v>66</v>
      </c>
      <c r="C48" s="31"/>
      <c r="D48" s="31"/>
      <c r="E48" s="17">
        <v>5</v>
      </c>
      <c r="F48" s="11" t="s">
        <v>26</v>
      </c>
      <c r="G48" s="15" t="str">
        <f t="shared" si="0"/>
        <v/>
      </c>
      <c r="H48" s="16" t="str">
        <f t="shared" si="1"/>
        <v/>
      </c>
      <c r="I48" s="48"/>
      <c r="J48" s="49"/>
    </row>
    <row r="49" spans="1:10" ht="30" customHeight="1" x14ac:dyDescent="0.25">
      <c r="A49" s="8"/>
      <c r="B49" s="30" t="s">
        <v>67</v>
      </c>
      <c r="C49" s="31"/>
      <c r="D49" s="31"/>
      <c r="E49" s="17">
        <v>5</v>
      </c>
      <c r="F49" s="11" t="s">
        <v>26</v>
      </c>
      <c r="G49" s="15" t="str">
        <f t="shared" si="0"/>
        <v/>
      </c>
      <c r="H49" s="16" t="str">
        <f t="shared" si="1"/>
        <v/>
      </c>
      <c r="I49" s="48"/>
      <c r="J49" s="49"/>
    </row>
    <row r="50" spans="1:10" ht="30" customHeight="1" thickBot="1" x14ac:dyDescent="0.3">
      <c r="A50" s="8"/>
      <c r="B50" s="32" t="s">
        <v>68</v>
      </c>
      <c r="C50" s="33"/>
      <c r="D50" s="33"/>
      <c r="E50" s="23">
        <v>5</v>
      </c>
      <c r="F50" s="12" t="s">
        <v>26</v>
      </c>
      <c r="G50" s="24" t="str">
        <f t="shared" si="0"/>
        <v/>
      </c>
      <c r="H50" s="25" t="str">
        <f t="shared" si="1"/>
        <v/>
      </c>
      <c r="I50" s="54"/>
      <c r="J50" s="55"/>
    </row>
    <row r="51" spans="1:10" ht="30" customHeight="1" x14ac:dyDescent="0.25">
      <c r="A51" s="8"/>
      <c r="B51" s="38" t="s">
        <v>69</v>
      </c>
      <c r="C51" s="39"/>
      <c r="D51" s="39"/>
      <c r="E51" s="19"/>
      <c r="F51" s="20"/>
      <c r="G51" s="21"/>
      <c r="H51" s="22"/>
      <c r="I51" s="46"/>
      <c r="J51" s="47"/>
    </row>
    <row r="52" spans="1:10" ht="30" customHeight="1" x14ac:dyDescent="0.25">
      <c r="A52" s="8"/>
      <c r="B52" s="30" t="s">
        <v>70</v>
      </c>
      <c r="C52" s="31"/>
      <c r="D52" s="31"/>
      <c r="E52" s="17">
        <v>5</v>
      </c>
      <c r="F52" s="11" t="s">
        <v>26</v>
      </c>
      <c r="G52" s="15" t="str">
        <f t="shared" si="0"/>
        <v/>
      </c>
      <c r="H52" s="16" t="str">
        <f t="shared" si="1"/>
        <v/>
      </c>
      <c r="I52" s="48"/>
      <c r="J52" s="49"/>
    </row>
    <row r="53" spans="1:10" ht="30" customHeight="1" x14ac:dyDescent="0.25">
      <c r="A53" s="8"/>
      <c r="B53" s="30" t="s">
        <v>71</v>
      </c>
      <c r="C53" s="31"/>
      <c r="D53" s="31"/>
      <c r="E53" s="17">
        <v>5</v>
      </c>
      <c r="F53" s="11" t="s">
        <v>26</v>
      </c>
      <c r="G53" s="15" t="str">
        <f t="shared" si="0"/>
        <v/>
      </c>
      <c r="H53" s="16" t="str">
        <f t="shared" si="1"/>
        <v/>
      </c>
      <c r="I53" s="48"/>
      <c r="J53" s="49"/>
    </row>
    <row r="54" spans="1:10" ht="30" customHeight="1" x14ac:dyDescent="0.25">
      <c r="A54" s="8"/>
      <c r="B54" s="30" t="s">
        <v>72</v>
      </c>
      <c r="C54" s="31"/>
      <c r="D54" s="31"/>
      <c r="E54" s="17">
        <v>5</v>
      </c>
      <c r="F54" s="11" t="s">
        <v>26</v>
      </c>
      <c r="G54" s="15" t="str">
        <f t="shared" si="0"/>
        <v/>
      </c>
      <c r="H54" s="16" t="str">
        <f t="shared" si="1"/>
        <v/>
      </c>
      <c r="I54" s="48"/>
      <c r="J54" s="49"/>
    </row>
    <row r="55" spans="1:10" ht="30" customHeight="1" x14ac:dyDescent="0.25">
      <c r="A55" s="8"/>
      <c r="B55" s="40" t="s">
        <v>73</v>
      </c>
      <c r="C55" s="41"/>
      <c r="D55" s="41"/>
      <c r="E55" s="17">
        <v>5</v>
      </c>
      <c r="F55" s="11" t="s">
        <v>26</v>
      </c>
      <c r="G55" s="15" t="str">
        <f t="shared" si="0"/>
        <v/>
      </c>
      <c r="H55" s="16" t="str">
        <f t="shared" si="1"/>
        <v/>
      </c>
      <c r="I55" s="48"/>
      <c r="J55" s="49"/>
    </row>
    <row r="56" spans="1:10" ht="30" customHeight="1" x14ac:dyDescent="0.25">
      <c r="A56" s="8"/>
      <c r="B56" s="40" t="s">
        <v>74</v>
      </c>
      <c r="C56" s="41"/>
      <c r="D56" s="41"/>
      <c r="E56" s="17">
        <v>5</v>
      </c>
      <c r="F56" s="11" t="s">
        <v>26</v>
      </c>
      <c r="G56" s="15" t="str">
        <f t="shared" si="0"/>
        <v/>
      </c>
      <c r="H56" s="16" t="str">
        <f t="shared" si="1"/>
        <v/>
      </c>
      <c r="I56" s="48"/>
      <c r="J56" s="49"/>
    </row>
    <row r="57" spans="1:10" ht="30" customHeight="1" thickBot="1" x14ac:dyDescent="0.3">
      <c r="A57" s="8"/>
      <c r="B57" s="42" t="s">
        <v>75</v>
      </c>
      <c r="C57" s="43"/>
      <c r="D57" s="43"/>
      <c r="E57" s="23">
        <v>5</v>
      </c>
      <c r="F57" s="12" t="s">
        <v>26</v>
      </c>
      <c r="G57" s="24" t="str">
        <f t="shared" si="0"/>
        <v/>
      </c>
      <c r="H57" s="25" t="str">
        <f t="shared" si="1"/>
        <v/>
      </c>
      <c r="I57" s="54"/>
      <c r="J57" s="55"/>
    </row>
    <row r="58" spans="1:10" ht="30" customHeight="1" x14ac:dyDescent="0.25">
      <c r="A58" s="8"/>
      <c r="B58" s="34" t="s">
        <v>76</v>
      </c>
      <c r="C58" s="35"/>
      <c r="D58" s="35"/>
      <c r="E58" s="27"/>
      <c r="F58" s="20"/>
      <c r="G58" s="21"/>
      <c r="H58" s="22"/>
      <c r="I58" s="46"/>
      <c r="J58" s="47"/>
    </row>
    <row r="59" spans="1:10" ht="30" customHeight="1" x14ac:dyDescent="0.25">
      <c r="A59" s="8"/>
      <c r="B59" s="30" t="s">
        <v>77</v>
      </c>
      <c r="C59" s="31"/>
      <c r="D59" s="31"/>
      <c r="E59" s="17">
        <v>5</v>
      </c>
      <c r="F59" s="11" t="s">
        <v>26</v>
      </c>
      <c r="G59" s="15" t="str">
        <f t="shared" si="0"/>
        <v/>
      </c>
      <c r="H59" s="16" t="str">
        <f t="shared" si="1"/>
        <v/>
      </c>
      <c r="I59" s="48"/>
      <c r="J59" s="49"/>
    </row>
    <row r="60" spans="1:10" ht="30" customHeight="1" x14ac:dyDescent="0.25">
      <c r="A60" s="8"/>
      <c r="B60" s="30" t="s">
        <v>78</v>
      </c>
      <c r="C60" s="31"/>
      <c r="D60" s="31"/>
      <c r="E60" s="17">
        <v>5</v>
      </c>
      <c r="F60" s="11" t="s">
        <v>26</v>
      </c>
      <c r="G60" s="15" t="str">
        <f t="shared" si="0"/>
        <v/>
      </c>
      <c r="H60" s="16" t="str">
        <f t="shared" si="1"/>
        <v/>
      </c>
      <c r="I60" s="48"/>
      <c r="J60" s="49"/>
    </row>
    <row r="61" spans="1:10" ht="30" customHeight="1" x14ac:dyDescent="0.25">
      <c r="A61" s="8"/>
      <c r="B61" s="30" t="s">
        <v>79</v>
      </c>
      <c r="C61" s="31"/>
      <c r="D61" s="31"/>
      <c r="E61" s="17">
        <v>5</v>
      </c>
      <c r="F61" s="11" t="s">
        <v>26</v>
      </c>
      <c r="G61" s="15" t="str">
        <f t="shared" si="0"/>
        <v/>
      </c>
      <c r="H61" s="16" t="str">
        <f t="shared" si="1"/>
        <v/>
      </c>
      <c r="I61" s="48"/>
      <c r="J61" s="49"/>
    </row>
    <row r="62" spans="1:10" ht="30" customHeight="1" x14ac:dyDescent="0.25">
      <c r="A62" s="8"/>
      <c r="B62" s="30" t="s">
        <v>80</v>
      </c>
      <c r="C62" s="31"/>
      <c r="D62" s="31"/>
      <c r="E62" s="17">
        <v>5</v>
      </c>
      <c r="F62" s="11" t="s">
        <v>26</v>
      </c>
      <c r="G62" s="15" t="str">
        <f t="shared" si="0"/>
        <v/>
      </c>
      <c r="H62" s="16" t="str">
        <f t="shared" si="1"/>
        <v/>
      </c>
      <c r="I62" s="48"/>
      <c r="J62" s="49"/>
    </row>
    <row r="63" spans="1:10" ht="30" customHeight="1" x14ac:dyDescent="0.25">
      <c r="A63" s="8"/>
      <c r="B63" s="30" t="s">
        <v>81</v>
      </c>
      <c r="C63" s="31"/>
      <c r="D63" s="31"/>
      <c r="E63" s="17">
        <v>5</v>
      </c>
      <c r="F63" s="11" t="s">
        <v>26</v>
      </c>
      <c r="G63" s="15" t="str">
        <f t="shared" si="0"/>
        <v/>
      </c>
      <c r="H63" s="16" t="str">
        <f t="shared" si="1"/>
        <v/>
      </c>
      <c r="I63" s="48"/>
      <c r="J63" s="49"/>
    </row>
    <row r="64" spans="1:10" ht="30" customHeight="1" x14ac:dyDescent="0.25">
      <c r="A64" s="8"/>
      <c r="B64" s="30" t="s">
        <v>82</v>
      </c>
      <c r="C64" s="31"/>
      <c r="D64" s="31"/>
      <c r="E64" s="17">
        <v>5</v>
      </c>
      <c r="F64" s="11" t="s">
        <v>26</v>
      </c>
      <c r="G64" s="15" t="str">
        <f t="shared" si="0"/>
        <v/>
      </c>
      <c r="H64" s="16" t="str">
        <f t="shared" si="1"/>
        <v/>
      </c>
      <c r="I64" s="48"/>
      <c r="J64" s="49"/>
    </row>
    <row r="65" spans="1:10" ht="30" customHeight="1" x14ac:dyDescent="0.25">
      <c r="A65" s="8"/>
      <c r="B65" s="30" t="s">
        <v>83</v>
      </c>
      <c r="C65" s="31"/>
      <c r="D65" s="31"/>
      <c r="E65" s="17">
        <v>5</v>
      </c>
      <c r="F65" s="11" t="s">
        <v>26</v>
      </c>
      <c r="G65" s="15" t="str">
        <f t="shared" si="0"/>
        <v/>
      </c>
      <c r="H65" s="16" t="str">
        <f t="shared" si="1"/>
        <v/>
      </c>
      <c r="I65" s="48"/>
      <c r="J65" s="49"/>
    </row>
    <row r="66" spans="1:10" ht="30" customHeight="1" x14ac:dyDescent="0.25">
      <c r="A66" s="8"/>
      <c r="B66" s="30" t="s">
        <v>84</v>
      </c>
      <c r="C66" s="31"/>
      <c r="D66" s="31"/>
      <c r="E66" s="17">
        <v>5</v>
      </c>
      <c r="F66" s="11" t="s">
        <v>26</v>
      </c>
      <c r="G66" s="15" t="str">
        <f t="shared" si="0"/>
        <v/>
      </c>
      <c r="H66" s="16" t="str">
        <f t="shared" si="1"/>
        <v/>
      </c>
      <c r="I66" s="48"/>
      <c r="J66" s="49"/>
    </row>
    <row r="67" spans="1:10" ht="30" customHeight="1" x14ac:dyDescent="0.25">
      <c r="A67" s="8"/>
      <c r="B67" s="30" t="s">
        <v>85</v>
      </c>
      <c r="C67" s="31"/>
      <c r="D67" s="31"/>
      <c r="E67" s="17">
        <v>5</v>
      </c>
      <c r="F67" s="11" t="s">
        <v>26</v>
      </c>
      <c r="G67" s="15" t="str">
        <f t="shared" si="0"/>
        <v/>
      </c>
      <c r="H67" s="16" t="str">
        <f t="shared" si="1"/>
        <v/>
      </c>
      <c r="I67" s="48"/>
      <c r="J67" s="49"/>
    </row>
    <row r="68" spans="1:10" ht="30" customHeight="1" x14ac:dyDescent="0.25">
      <c r="A68" s="8"/>
      <c r="B68" s="30" t="s">
        <v>86</v>
      </c>
      <c r="C68" s="31"/>
      <c r="D68" s="31"/>
      <c r="E68" s="17">
        <v>5</v>
      </c>
      <c r="F68" s="11" t="s">
        <v>26</v>
      </c>
      <c r="G68" s="15" t="str">
        <f t="shared" si="0"/>
        <v/>
      </c>
      <c r="H68" s="16" t="str">
        <f t="shared" si="1"/>
        <v/>
      </c>
      <c r="I68" s="48"/>
      <c r="J68" s="49"/>
    </row>
    <row r="69" spans="1:10" ht="30" customHeight="1" thickBot="1" x14ac:dyDescent="0.3">
      <c r="A69" s="8"/>
      <c r="B69" s="32" t="s">
        <v>87</v>
      </c>
      <c r="C69" s="33"/>
      <c r="D69" s="33"/>
      <c r="E69" s="23">
        <v>5</v>
      </c>
      <c r="F69" s="12" t="s">
        <v>26</v>
      </c>
      <c r="G69" s="24" t="str">
        <f t="shared" si="0"/>
        <v/>
      </c>
      <c r="H69" s="25" t="str">
        <f t="shared" si="1"/>
        <v/>
      </c>
      <c r="I69" s="54"/>
      <c r="J69" s="55"/>
    </row>
    <row r="70" spans="1:10" ht="30" customHeight="1" x14ac:dyDescent="0.25">
      <c r="A70" s="8"/>
      <c r="B70" s="34" t="s">
        <v>88</v>
      </c>
      <c r="C70" s="35"/>
      <c r="D70" s="35"/>
      <c r="E70" s="28"/>
      <c r="F70" s="20"/>
      <c r="G70" s="21"/>
      <c r="H70" s="22"/>
      <c r="I70" s="46"/>
      <c r="J70" s="47"/>
    </row>
    <row r="71" spans="1:10" ht="30" customHeight="1" x14ac:dyDescent="0.25">
      <c r="A71" s="8"/>
      <c r="B71" s="30" t="s">
        <v>89</v>
      </c>
      <c r="C71" s="31"/>
      <c r="D71" s="31"/>
      <c r="E71" s="17">
        <v>5</v>
      </c>
      <c r="F71" s="11" t="s">
        <v>26</v>
      </c>
      <c r="G71" s="15" t="str">
        <f t="shared" ref="G71:G115" si="2">IFERROR(F71/E71,"")</f>
        <v/>
      </c>
      <c r="H71" s="16" t="str">
        <f t="shared" ref="H71:H115" si="3">_xlfn.IFS(F71="أدخل العلامة","",F71="لا ينطبق","تم الإلغاء",G71&gt;=90%,"ممتاز",G71&gt;=80%,"جيد جداً",G71&gt;=70%,"جيد",G71&gt;=60%,"مقبول",G71&lt;60%,"راسب")</f>
        <v/>
      </c>
      <c r="I71" s="48"/>
      <c r="J71" s="49"/>
    </row>
    <row r="72" spans="1:10" ht="30" customHeight="1" x14ac:dyDescent="0.25">
      <c r="A72" s="8"/>
      <c r="B72" s="30" t="s">
        <v>90</v>
      </c>
      <c r="C72" s="31"/>
      <c r="D72" s="31"/>
      <c r="E72" s="17">
        <v>5</v>
      </c>
      <c r="F72" s="11" t="s">
        <v>26</v>
      </c>
      <c r="G72" s="15" t="str">
        <f t="shared" si="2"/>
        <v/>
      </c>
      <c r="H72" s="16" t="str">
        <f t="shared" si="3"/>
        <v/>
      </c>
      <c r="I72" s="48"/>
      <c r="J72" s="49"/>
    </row>
    <row r="73" spans="1:10" ht="30" customHeight="1" x14ac:dyDescent="0.25">
      <c r="A73" s="8"/>
      <c r="B73" s="30" t="s">
        <v>91</v>
      </c>
      <c r="C73" s="31"/>
      <c r="D73" s="31"/>
      <c r="E73" s="17">
        <v>5</v>
      </c>
      <c r="F73" s="11" t="s">
        <v>26</v>
      </c>
      <c r="G73" s="15" t="str">
        <f t="shared" si="2"/>
        <v/>
      </c>
      <c r="H73" s="16" t="str">
        <f t="shared" si="3"/>
        <v/>
      </c>
      <c r="I73" s="48"/>
      <c r="J73" s="49"/>
    </row>
    <row r="74" spans="1:10" ht="30" customHeight="1" x14ac:dyDescent="0.25">
      <c r="A74" s="8"/>
      <c r="B74" s="30" t="s">
        <v>92</v>
      </c>
      <c r="C74" s="31"/>
      <c r="D74" s="31"/>
      <c r="E74" s="17">
        <v>5</v>
      </c>
      <c r="F74" s="11" t="s">
        <v>26</v>
      </c>
      <c r="G74" s="15" t="str">
        <f t="shared" si="2"/>
        <v/>
      </c>
      <c r="H74" s="16" t="str">
        <f t="shared" si="3"/>
        <v/>
      </c>
      <c r="I74" s="48"/>
      <c r="J74" s="49"/>
    </row>
    <row r="75" spans="1:10" ht="30" customHeight="1" x14ac:dyDescent="0.25">
      <c r="A75" s="8"/>
      <c r="B75" s="30" t="s">
        <v>93</v>
      </c>
      <c r="C75" s="31"/>
      <c r="D75" s="31"/>
      <c r="E75" s="17">
        <v>5</v>
      </c>
      <c r="F75" s="11" t="s">
        <v>26</v>
      </c>
      <c r="G75" s="15" t="str">
        <f t="shared" si="2"/>
        <v/>
      </c>
      <c r="H75" s="16" t="str">
        <f t="shared" si="3"/>
        <v/>
      </c>
      <c r="I75" s="48"/>
      <c r="J75" s="49"/>
    </row>
    <row r="76" spans="1:10" ht="30" customHeight="1" x14ac:dyDescent="0.25">
      <c r="A76" s="8"/>
      <c r="B76" s="30" t="s">
        <v>94</v>
      </c>
      <c r="C76" s="31"/>
      <c r="D76" s="31"/>
      <c r="E76" s="17">
        <v>5</v>
      </c>
      <c r="F76" s="11" t="s">
        <v>26</v>
      </c>
      <c r="G76" s="15" t="str">
        <f t="shared" si="2"/>
        <v/>
      </c>
      <c r="H76" s="16" t="str">
        <f t="shared" si="3"/>
        <v/>
      </c>
      <c r="I76" s="48"/>
      <c r="J76" s="49"/>
    </row>
    <row r="77" spans="1:10" ht="30" customHeight="1" x14ac:dyDescent="0.25">
      <c r="A77" s="8"/>
      <c r="B77" s="30" t="s">
        <v>95</v>
      </c>
      <c r="C77" s="31"/>
      <c r="D77" s="31"/>
      <c r="E77" s="17">
        <v>5</v>
      </c>
      <c r="F77" s="11" t="s">
        <v>26</v>
      </c>
      <c r="G77" s="15" t="str">
        <f t="shared" si="2"/>
        <v/>
      </c>
      <c r="H77" s="16" t="str">
        <f t="shared" si="3"/>
        <v/>
      </c>
      <c r="I77" s="48"/>
      <c r="J77" s="49"/>
    </row>
    <row r="78" spans="1:10" ht="30" customHeight="1" thickBot="1" x14ac:dyDescent="0.3">
      <c r="A78" s="8"/>
      <c r="B78" s="32" t="s">
        <v>96</v>
      </c>
      <c r="C78" s="33"/>
      <c r="D78" s="33"/>
      <c r="E78" s="29">
        <v>5</v>
      </c>
      <c r="F78" s="12" t="s">
        <v>26</v>
      </c>
      <c r="G78" s="24" t="str">
        <f t="shared" si="2"/>
        <v/>
      </c>
      <c r="H78" s="25" t="str">
        <f t="shared" si="3"/>
        <v/>
      </c>
      <c r="I78" s="54"/>
      <c r="J78" s="55"/>
    </row>
    <row r="79" spans="1:10" ht="30" customHeight="1" x14ac:dyDescent="0.25">
      <c r="A79" s="8"/>
      <c r="B79" s="38" t="s">
        <v>97</v>
      </c>
      <c r="C79" s="39"/>
      <c r="D79" s="39"/>
      <c r="E79" s="28"/>
      <c r="F79" s="20"/>
      <c r="G79" s="21"/>
      <c r="H79" s="22"/>
      <c r="I79" s="46"/>
      <c r="J79" s="47"/>
    </row>
    <row r="80" spans="1:10" ht="30" customHeight="1" x14ac:dyDescent="0.25">
      <c r="A80" s="8"/>
      <c r="B80" s="30" t="s">
        <v>98</v>
      </c>
      <c r="C80" s="31"/>
      <c r="D80" s="31"/>
      <c r="E80" s="17">
        <v>5</v>
      </c>
      <c r="F80" s="11" t="s">
        <v>26</v>
      </c>
      <c r="G80" s="15" t="str">
        <f t="shared" si="2"/>
        <v/>
      </c>
      <c r="H80" s="16" t="str">
        <f t="shared" si="3"/>
        <v/>
      </c>
      <c r="I80" s="48"/>
      <c r="J80" s="49"/>
    </row>
    <row r="81" spans="1:10" ht="30" customHeight="1" x14ac:dyDescent="0.25">
      <c r="A81" s="8"/>
      <c r="B81" s="30" t="s">
        <v>99</v>
      </c>
      <c r="C81" s="31"/>
      <c r="D81" s="31"/>
      <c r="E81" s="17">
        <v>5</v>
      </c>
      <c r="F81" s="11" t="s">
        <v>26</v>
      </c>
      <c r="G81" s="15" t="str">
        <f t="shared" si="2"/>
        <v/>
      </c>
      <c r="H81" s="16" t="str">
        <f t="shared" si="3"/>
        <v/>
      </c>
      <c r="I81" s="48"/>
      <c r="J81" s="49"/>
    </row>
    <row r="82" spans="1:10" ht="30" customHeight="1" x14ac:dyDescent="0.25">
      <c r="A82" s="8"/>
      <c r="B82" s="30" t="s">
        <v>100</v>
      </c>
      <c r="C82" s="31"/>
      <c r="D82" s="31"/>
      <c r="E82" s="17">
        <v>5</v>
      </c>
      <c r="F82" s="11" t="s">
        <v>26</v>
      </c>
      <c r="G82" s="15" t="str">
        <f t="shared" si="2"/>
        <v/>
      </c>
      <c r="H82" s="16" t="str">
        <f t="shared" si="3"/>
        <v/>
      </c>
      <c r="I82" s="48"/>
      <c r="J82" s="49"/>
    </row>
    <row r="83" spans="1:10" ht="30" customHeight="1" thickBot="1" x14ac:dyDescent="0.3">
      <c r="A83" s="8"/>
      <c r="B83" s="32" t="s">
        <v>101</v>
      </c>
      <c r="C83" s="33"/>
      <c r="D83" s="33"/>
      <c r="E83" s="23">
        <v>5</v>
      </c>
      <c r="F83" s="12" t="s">
        <v>26</v>
      </c>
      <c r="G83" s="24" t="str">
        <f t="shared" si="2"/>
        <v/>
      </c>
      <c r="H83" s="25" t="str">
        <f t="shared" si="3"/>
        <v/>
      </c>
      <c r="I83" s="54"/>
      <c r="J83" s="55"/>
    </row>
    <row r="84" spans="1:10" ht="30" customHeight="1" x14ac:dyDescent="0.25">
      <c r="A84" s="8"/>
      <c r="B84" s="34" t="s">
        <v>102</v>
      </c>
      <c r="C84" s="35"/>
      <c r="D84" s="35"/>
      <c r="E84" s="28"/>
      <c r="F84" s="20"/>
      <c r="G84" s="21"/>
      <c r="H84" s="22"/>
      <c r="I84" s="46"/>
      <c r="J84" s="47"/>
    </row>
    <row r="85" spans="1:10" ht="30" customHeight="1" x14ac:dyDescent="0.25">
      <c r="A85" s="8"/>
      <c r="B85" s="30" t="s">
        <v>103</v>
      </c>
      <c r="C85" s="31"/>
      <c r="D85" s="31"/>
      <c r="E85" s="17">
        <v>5</v>
      </c>
      <c r="F85" s="11" t="s">
        <v>26</v>
      </c>
      <c r="G85" s="15" t="str">
        <f t="shared" si="2"/>
        <v/>
      </c>
      <c r="H85" s="16" t="str">
        <f t="shared" si="3"/>
        <v/>
      </c>
      <c r="I85" s="48"/>
      <c r="J85" s="49"/>
    </row>
    <row r="86" spans="1:10" ht="30" customHeight="1" x14ac:dyDescent="0.25">
      <c r="A86" s="8"/>
      <c r="B86" s="30" t="s">
        <v>104</v>
      </c>
      <c r="C86" s="31"/>
      <c r="D86" s="31"/>
      <c r="E86" s="17">
        <v>5</v>
      </c>
      <c r="F86" s="11" t="s">
        <v>26</v>
      </c>
      <c r="G86" s="15" t="str">
        <f t="shared" si="2"/>
        <v/>
      </c>
      <c r="H86" s="16" t="str">
        <f t="shared" si="3"/>
        <v/>
      </c>
      <c r="I86" s="48"/>
      <c r="J86" s="49"/>
    </row>
    <row r="87" spans="1:10" ht="30" customHeight="1" thickBot="1" x14ac:dyDescent="0.3">
      <c r="A87" s="8"/>
      <c r="B87" s="32" t="s">
        <v>105</v>
      </c>
      <c r="C87" s="33"/>
      <c r="D87" s="33"/>
      <c r="E87" s="23">
        <v>5</v>
      </c>
      <c r="F87" s="12" t="s">
        <v>26</v>
      </c>
      <c r="G87" s="24" t="str">
        <f t="shared" si="2"/>
        <v/>
      </c>
      <c r="H87" s="25" t="str">
        <f t="shared" si="3"/>
        <v/>
      </c>
      <c r="I87" s="54"/>
      <c r="J87" s="55"/>
    </row>
    <row r="88" spans="1:10" ht="30" customHeight="1" x14ac:dyDescent="0.25">
      <c r="A88" s="8"/>
      <c r="B88" s="34" t="s">
        <v>106</v>
      </c>
      <c r="C88" s="35"/>
      <c r="D88" s="35"/>
      <c r="E88" s="28"/>
      <c r="F88" s="20"/>
      <c r="G88" s="21"/>
      <c r="H88" s="22"/>
      <c r="I88" s="46"/>
      <c r="J88" s="47"/>
    </row>
    <row r="89" spans="1:10" ht="30" customHeight="1" x14ac:dyDescent="0.25">
      <c r="A89" s="8"/>
      <c r="B89" s="30" t="s">
        <v>107</v>
      </c>
      <c r="C89" s="31"/>
      <c r="D89" s="31"/>
      <c r="E89" s="17">
        <v>5</v>
      </c>
      <c r="F89" s="11" t="s">
        <v>26</v>
      </c>
      <c r="G89" s="15" t="str">
        <f t="shared" si="2"/>
        <v/>
      </c>
      <c r="H89" s="16" t="str">
        <f t="shared" si="3"/>
        <v/>
      </c>
      <c r="I89" s="48"/>
      <c r="J89" s="49"/>
    </row>
    <row r="90" spans="1:10" ht="30" customHeight="1" x14ac:dyDescent="0.25">
      <c r="A90" s="8"/>
      <c r="B90" s="30" t="s">
        <v>108</v>
      </c>
      <c r="C90" s="31"/>
      <c r="D90" s="31"/>
      <c r="E90" s="17">
        <v>5</v>
      </c>
      <c r="F90" s="11" t="s">
        <v>26</v>
      </c>
      <c r="G90" s="15" t="str">
        <f t="shared" si="2"/>
        <v/>
      </c>
      <c r="H90" s="16" t="str">
        <f t="shared" si="3"/>
        <v/>
      </c>
      <c r="I90" s="48"/>
      <c r="J90" s="49"/>
    </row>
    <row r="91" spans="1:10" ht="30" customHeight="1" x14ac:dyDescent="0.25">
      <c r="A91" s="8"/>
      <c r="B91" s="30" t="s">
        <v>109</v>
      </c>
      <c r="C91" s="31"/>
      <c r="D91" s="31"/>
      <c r="E91" s="17">
        <v>5</v>
      </c>
      <c r="F91" s="11" t="s">
        <v>26</v>
      </c>
      <c r="G91" s="15" t="str">
        <f t="shared" si="2"/>
        <v/>
      </c>
      <c r="H91" s="16" t="str">
        <f t="shared" si="3"/>
        <v/>
      </c>
      <c r="I91" s="48"/>
      <c r="J91" s="49"/>
    </row>
    <row r="92" spans="1:10" ht="30" customHeight="1" x14ac:dyDescent="0.25">
      <c r="A92" s="8"/>
      <c r="B92" s="30" t="s">
        <v>110</v>
      </c>
      <c r="C92" s="31"/>
      <c r="D92" s="31"/>
      <c r="E92" s="17">
        <v>5</v>
      </c>
      <c r="F92" s="11" t="s">
        <v>26</v>
      </c>
      <c r="G92" s="15" t="str">
        <f t="shared" si="2"/>
        <v/>
      </c>
      <c r="H92" s="16" t="str">
        <f t="shared" si="3"/>
        <v/>
      </c>
      <c r="I92" s="48"/>
      <c r="J92" s="49"/>
    </row>
    <row r="93" spans="1:10" ht="30" customHeight="1" x14ac:dyDescent="0.25">
      <c r="A93" s="8"/>
      <c r="B93" s="30" t="s">
        <v>111</v>
      </c>
      <c r="C93" s="31"/>
      <c r="D93" s="31"/>
      <c r="E93" s="18">
        <v>5</v>
      </c>
      <c r="F93" s="11" t="s">
        <v>26</v>
      </c>
      <c r="G93" s="15" t="str">
        <f t="shared" si="2"/>
        <v/>
      </c>
      <c r="H93" s="16" t="str">
        <f t="shared" si="3"/>
        <v/>
      </c>
      <c r="I93" s="48"/>
      <c r="J93" s="49"/>
    </row>
    <row r="94" spans="1:10" ht="30" customHeight="1" x14ac:dyDescent="0.25">
      <c r="A94" s="8"/>
      <c r="B94" s="30" t="s">
        <v>112</v>
      </c>
      <c r="C94" s="31"/>
      <c r="D94" s="31"/>
      <c r="E94" s="17">
        <v>5</v>
      </c>
      <c r="F94" s="11" t="s">
        <v>26</v>
      </c>
      <c r="G94" s="15" t="str">
        <f t="shared" si="2"/>
        <v/>
      </c>
      <c r="H94" s="16" t="str">
        <f t="shared" si="3"/>
        <v/>
      </c>
      <c r="I94" s="48"/>
      <c r="J94" s="49"/>
    </row>
    <row r="95" spans="1:10" ht="30" customHeight="1" x14ac:dyDescent="0.25">
      <c r="A95" s="8"/>
      <c r="B95" s="30" t="s">
        <v>113</v>
      </c>
      <c r="C95" s="31"/>
      <c r="D95" s="31"/>
      <c r="E95" s="17">
        <v>5</v>
      </c>
      <c r="F95" s="11" t="s">
        <v>26</v>
      </c>
      <c r="G95" s="15" t="str">
        <f t="shared" si="2"/>
        <v/>
      </c>
      <c r="H95" s="16" t="str">
        <f t="shared" si="3"/>
        <v/>
      </c>
      <c r="I95" s="48"/>
      <c r="J95" s="49"/>
    </row>
    <row r="96" spans="1:10" ht="30" customHeight="1" x14ac:dyDescent="0.25">
      <c r="A96" s="8"/>
      <c r="B96" s="30" t="s">
        <v>114</v>
      </c>
      <c r="C96" s="31"/>
      <c r="D96" s="31"/>
      <c r="E96" s="17">
        <v>5</v>
      </c>
      <c r="F96" s="11" t="s">
        <v>26</v>
      </c>
      <c r="G96" s="15" t="str">
        <f t="shared" si="2"/>
        <v/>
      </c>
      <c r="H96" s="16" t="str">
        <f t="shared" si="3"/>
        <v/>
      </c>
      <c r="I96" s="48"/>
      <c r="J96" s="49"/>
    </row>
    <row r="97" spans="1:10" ht="30" customHeight="1" x14ac:dyDescent="0.25">
      <c r="A97" s="8"/>
      <c r="B97" s="30" t="s">
        <v>115</v>
      </c>
      <c r="C97" s="31"/>
      <c r="D97" s="31"/>
      <c r="E97" s="17">
        <v>5</v>
      </c>
      <c r="F97" s="11" t="s">
        <v>26</v>
      </c>
      <c r="G97" s="15" t="str">
        <f t="shared" si="2"/>
        <v/>
      </c>
      <c r="H97" s="16" t="str">
        <f t="shared" si="3"/>
        <v/>
      </c>
      <c r="I97" s="48"/>
      <c r="J97" s="49"/>
    </row>
    <row r="98" spans="1:10" ht="30" customHeight="1" x14ac:dyDescent="0.25">
      <c r="A98" s="8"/>
      <c r="B98" s="30" t="s">
        <v>116</v>
      </c>
      <c r="C98" s="31"/>
      <c r="D98" s="31"/>
      <c r="E98" s="18">
        <v>5</v>
      </c>
      <c r="F98" s="11" t="s">
        <v>26</v>
      </c>
      <c r="G98" s="15" t="str">
        <f t="shared" si="2"/>
        <v/>
      </c>
      <c r="H98" s="16" t="str">
        <f t="shared" si="3"/>
        <v/>
      </c>
      <c r="I98" s="48"/>
      <c r="J98" s="49"/>
    </row>
    <row r="99" spans="1:10" ht="30" customHeight="1" thickBot="1" x14ac:dyDescent="0.3">
      <c r="A99" s="8"/>
      <c r="B99" s="32" t="s">
        <v>117</v>
      </c>
      <c r="C99" s="33"/>
      <c r="D99" s="33"/>
      <c r="E99" s="23">
        <v>5</v>
      </c>
      <c r="F99" s="12" t="s">
        <v>26</v>
      </c>
      <c r="G99" s="24" t="str">
        <f t="shared" si="2"/>
        <v/>
      </c>
      <c r="H99" s="25" t="str">
        <f t="shared" si="3"/>
        <v/>
      </c>
      <c r="I99" s="54"/>
      <c r="J99" s="55"/>
    </row>
    <row r="100" spans="1:10" ht="30" customHeight="1" x14ac:dyDescent="0.25">
      <c r="A100" s="8"/>
      <c r="B100" s="34" t="s">
        <v>118</v>
      </c>
      <c r="C100" s="35"/>
      <c r="D100" s="35"/>
      <c r="E100" s="28"/>
      <c r="F100" s="20"/>
      <c r="G100" s="21"/>
      <c r="H100" s="22"/>
      <c r="I100" s="46"/>
      <c r="J100" s="47"/>
    </row>
    <row r="101" spans="1:10" ht="30" customHeight="1" x14ac:dyDescent="0.25">
      <c r="A101" s="8"/>
      <c r="B101" s="30" t="s">
        <v>119</v>
      </c>
      <c r="C101" s="31"/>
      <c r="D101" s="31"/>
      <c r="E101" s="17">
        <v>5</v>
      </c>
      <c r="F101" s="11" t="s">
        <v>26</v>
      </c>
      <c r="G101" s="15" t="str">
        <f t="shared" si="2"/>
        <v/>
      </c>
      <c r="H101" s="16" t="str">
        <f t="shared" si="3"/>
        <v/>
      </c>
      <c r="I101" s="48"/>
      <c r="J101" s="49"/>
    </row>
    <row r="102" spans="1:10" ht="30" customHeight="1" x14ac:dyDescent="0.25">
      <c r="A102" s="8"/>
      <c r="B102" s="30" t="s">
        <v>120</v>
      </c>
      <c r="C102" s="31"/>
      <c r="D102" s="31"/>
      <c r="E102" s="17">
        <v>5</v>
      </c>
      <c r="F102" s="11" t="s">
        <v>26</v>
      </c>
      <c r="G102" s="15" t="str">
        <f t="shared" si="2"/>
        <v/>
      </c>
      <c r="H102" s="16" t="str">
        <f t="shared" si="3"/>
        <v/>
      </c>
      <c r="I102" s="48"/>
      <c r="J102" s="49"/>
    </row>
    <row r="103" spans="1:10" ht="30" customHeight="1" thickBot="1" x14ac:dyDescent="0.3">
      <c r="A103" s="8"/>
      <c r="B103" s="32" t="s">
        <v>121</v>
      </c>
      <c r="C103" s="33"/>
      <c r="D103" s="33"/>
      <c r="E103" s="23">
        <v>5</v>
      </c>
      <c r="F103" s="12" t="s">
        <v>26</v>
      </c>
      <c r="G103" s="24" t="str">
        <f t="shared" si="2"/>
        <v/>
      </c>
      <c r="H103" s="25" t="str">
        <f t="shared" si="3"/>
        <v/>
      </c>
      <c r="I103" s="54"/>
      <c r="J103" s="55"/>
    </row>
    <row r="104" spans="1:10" ht="30" customHeight="1" x14ac:dyDescent="0.25">
      <c r="A104" s="8"/>
      <c r="B104" s="34" t="s">
        <v>133</v>
      </c>
      <c r="C104" s="35"/>
      <c r="D104" s="35"/>
      <c r="E104" s="28"/>
      <c r="F104" s="20"/>
      <c r="G104" s="21"/>
      <c r="H104" s="22"/>
      <c r="I104" s="46"/>
      <c r="J104" s="47"/>
    </row>
    <row r="105" spans="1:10" ht="30" customHeight="1" x14ac:dyDescent="0.25">
      <c r="A105" s="8"/>
      <c r="B105" s="30" t="s">
        <v>122</v>
      </c>
      <c r="C105" s="31"/>
      <c r="D105" s="31"/>
      <c r="E105" s="17">
        <v>5</v>
      </c>
      <c r="F105" s="11" t="s">
        <v>26</v>
      </c>
      <c r="G105" s="15" t="str">
        <f t="shared" si="2"/>
        <v/>
      </c>
      <c r="H105" s="16" t="str">
        <f t="shared" si="3"/>
        <v/>
      </c>
      <c r="I105" s="48"/>
      <c r="J105" s="49"/>
    </row>
    <row r="106" spans="1:10" ht="30" customHeight="1" x14ac:dyDescent="0.25">
      <c r="A106" s="8"/>
      <c r="B106" s="30" t="s">
        <v>123</v>
      </c>
      <c r="C106" s="31"/>
      <c r="D106" s="31"/>
      <c r="E106" s="17">
        <v>5</v>
      </c>
      <c r="F106" s="11" t="s">
        <v>26</v>
      </c>
      <c r="G106" s="15" t="str">
        <f t="shared" si="2"/>
        <v/>
      </c>
      <c r="H106" s="16" t="str">
        <f t="shared" si="3"/>
        <v/>
      </c>
      <c r="I106" s="48"/>
      <c r="J106" s="49"/>
    </row>
    <row r="107" spans="1:10" ht="30" customHeight="1" x14ac:dyDescent="0.25">
      <c r="A107" s="8"/>
      <c r="B107" s="30" t="s">
        <v>124</v>
      </c>
      <c r="C107" s="31"/>
      <c r="D107" s="31"/>
      <c r="E107" s="17">
        <v>5</v>
      </c>
      <c r="F107" s="11" t="s">
        <v>26</v>
      </c>
      <c r="G107" s="15" t="str">
        <f t="shared" si="2"/>
        <v/>
      </c>
      <c r="H107" s="16" t="str">
        <f t="shared" si="3"/>
        <v/>
      </c>
      <c r="I107" s="48"/>
      <c r="J107" s="49"/>
    </row>
    <row r="108" spans="1:10" ht="30" customHeight="1" x14ac:dyDescent="0.25">
      <c r="A108" s="8"/>
      <c r="B108" s="30" t="s">
        <v>125</v>
      </c>
      <c r="C108" s="31"/>
      <c r="D108" s="31"/>
      <c r="E108" s="17">
        <v>5</v>
      </c>
      <c r="F108" s="11" t="s">
        <v>26</v>
      </c>
      <c r="G108" s="15" t="str">
        <f t="shared" si="2"/>
        <v/>
      </c>
      <c r="H108" s="16" t="str">
        <f t="shared" si="3"/>
        <v/>
      </c>
      <c r="I108" s="48"/>
      <c r="J108" s="49"/>
    </row>
    <row r="109" spans="1:10" ht="30" customHeight="1" x14ac:dyDescent="0.25">
      <c r="A109" s="8"/>
      <c r="B109" s="30" t="s">
        <v>126</v>
      </c>
      <c r="C109" s="31"/>
      <c r="D109" s="31"/>
      <c r="E109" s="18">
        <v>5</v>
      </c>
      <c r="F109" s="11" t="s">
        <v>26</v>
      </c>
      <c r="G109" s="15" t="str">
        <f t="shared" si="2"/>
        <v/>
      </c>
      <c r="H109" s="16" t="str">
        <f t="shared" si="3"/>
        <v/>
      </c>
      <c r="I109" s="48"/>
      <c r="J109" s="49"/>
    </row>
    <row r="110" spans="1:10" ht="30" customHeight="1" thickBot="1" x14ac:dyDescent="0.3">
      <c r="A110" s="8"/>
      <c r="B110" s="32" t="s">
        <v>127</v>
      </c>
      <c r="C110" s="33"/>
      <c r="D110" s="33"/>
      <c r="E110" s="29">
        <v>5</v>
      </c>
      <c r="F110" s="12" t="s">
        <v>26</v>
      </c>
      <c r="G110" s="24" t="str">
        <f t="shared" si="2"/>
        <v/>
      </c>
      <c r="H110" s="25" t="str">
        <f t="shared" si="3"/>
        <v/>
      </c>
      <c r="I110" s="54"/>
      <c r="J110" s="55"/>
    </row>
    <row r="111" spans="1:10" ht="30" customHeight="1" x14ac:dyDescent="0.25">
      <c r="A111" s="8"/>
      <c r="B111" s="36" t="s">
        <v>128</v>
      </c>
      <c r="C111" s="37"/>
      <c r="D111" s="37"/>
      <c r="E111" s="27"/>
      <c r="F111" s="20"/>
      <c r="G111" s="21"/>
      <c r="H111" s="22"/>
      <c r="I111" s="46"/>
      <c r="J111" s="47"/>
    </row>
    <row r="112" spans="1:10" ht="30" customHeight="1" x14ac:dyDescent="0.25">
      <c r="A112" s="8"/>
      <c r="B112" s="30" t="s">
        <v>129</v>
      </c>
      <c r="C112" s="31"/>
      <c r="D112" s="31"/>
      <c r="E112" s="17">
        <v>5</v>
      </c>
      <c r="F112" s="11" t="s">
        <v>26</v>
      </c>
      <c r="G112" s="15" t="str">
        <f t="shared" si="2"/>
        <v/>
      </c>
      <c r="H112" s="16" t="str">
        <f t="shared" si="3"/>
        <v/>
      </c>
      <c r="I112" s="48"/>
      <c r="J112" s="49"/>
    </row>
    <row r="113" spans="1:10" ht="30" customHeight="1" x14ac:dyDescent="0.25">
      <c r="A113" s="8"/>
      <c r="B113" s="30" t="s">
        <v>130</v>
      </c>
      <c r="C113" s="31"/>
      <c r="D113" s="31"/>
      <c r="E113" s="17">
        <v>5</v>
      </c>
      <c r="F113" s="11" t="s">
        <v>26</v>
      </c>
      <c r="G113" s="15" t="str">
        <f t="shared" si="2"/>
        <v/>
      </c>
      <c r="H113" s="16" t="str">
        <f t="shared" si="3"/>
        <v/>
      </c>
      <c r="I113" s="48"/>
      <c r="J113" s="49"/>
    </row>
    <row r="114" spans="1:10" ht="30" customHeight="1" x14ac:dyDescent="0.25">
      <c r="A114" s="8"/>
      <c r="B114" s="30" t="s">
        <v>131</v>
      </c>
      <c r="C114" s="31"/>
      <c r="D114" s="31"/>
      <c r="E114" s="17">
        <v>5</v>
      </c>
      <c r="F114" s="11" t="s">
        <v>26</v>
      </c>
      <c r="G114" s="15" t="str">
        <f t="shared" si="2"/>
        <v/>
      </c>
      <c r="H114" s="16" t="str">
        <f t="shared" si="3"/>
        <v/>
      </c>
      <c r="I114" s="48"/>
      <c r="J114" s="49"/>
    </row>
    <row r="115" spans="1:10" ht="30" customHeight="1" thickBot="1" x14ac:dyDescent="0.3">
      <c r="A115" s="8"/>
      <c r="B115" s="32" t="s">
        <v>132</v>
      </c>
      <c r="C115" s="33"/>
      <c r="D115" s="33"/>
      <c r="E115" s="23">
        <v>5</v>
      </c>
      <c r="F115" s="12" t="s">
        <v>26</v>
      </c>
      <c r="G115" s="24" t="str">
        <f t="shared" si="2"/>
        <v/>
      </c>
      <c r="H115" s="25" t="str">
        <f t="shared" si="3"/>
        <v/>
      </c>
      <c r="I115" s="54"/>
      <c r="J115" s="55"/>
    </row>
    <row r="116" spans="1:10" ht="30" customHeight="1" thickBot="1" x14ac:dyDescent="0.3">
      <c r="A116" s="3"/>
      <c r="B116" s="50" t="s">
        <v>5</v>
      </c>
      <c r="C116" s="51"/>
      <c r="D116" s="51"/>
      <c r="E116" s="14">
        <f>SUM(E8:E115)</f>
        <v>475</v>
      </c>
      <c r="F116" s="14">
        <f>SUM(F8:F115)</f>
        <v>0</v>
      </c>
      <c r="G116" s="80"/>
      <c r="H116" s="81"/>
      <c r="I116" s="81"/>
      <c r="J116" s="82"/>
    </row>
    <row r="117" spans="1:10" ht="30" customHeight="1" thickBot="1" x14ac:dyDescent="0.3">
      <c r="A117" s="3"/>
      <c r="B117" s="52" t="s">
        <v>20</v>
      </c>
      <c r="C117" s="53"/>
      <c r="D117" s="53"/>
      <c r="E117" s="68">
        <f>F116/E116/100*100</f>
        <v>0</v>
      </c>
      <c r="F117" s="68"/>
      <c r="G117" s="68"/>
      <c r="H117" s="68"/>
      <c r="I117" s="68"/>
      <c r="J117" s="69"/>
    </row>
    <row r="118" spans="1:10" ht="30" customHeight="1" thickBot="1" x14ac:dyDescent="0.3">
      <c r="A118" s="3"/>
      <c r="B118" s="52" t="s">
        <v>21</v>
      </c>
      <c r="C118" s="53"/>
      <c r="D118" s="53"/>
      <c r="E118" s="60" t="str">
        <f>_xlfn.IFS(E117&gt;=90%,"ممتاز",E117&gt;=80%,"جيد جداً",E117&gt;=70%,"جيد",E117&gt;=60%,"مقبول",E117&lt;60%,"راسب")</f>
        <v>راسب</v>
      </c>
      <c r="F118" s="60"/>
      <c r="G118" s="60"/>
      <c r="H118" s="60"/>
      <c r="I118" s="60"/>
      <c r="J118" s="61"/>
    </row>
    <row r="119" spans="1:10" ht="42" customHeight="1" x14ac:dyDescent="0.25">
      <c r="B119" s="56" t="s">
        <v>27</v>
      </c>
      <c r="C119" s="56"/>
      <c r="D119" s="56"/>
      <c r="E119" s="78" t="s">
        <v>18</v>
      </c>
      <c r="F119" s="78"/>
      <c r="G119" s="58" t="s">
        <v>24</v>
      </c>
      <c r="H119" s="58"/>
      <c r="I119" s="58"/>
      <c r="J119" s="58"/>
    </row>
    <row r="120" spans="1:10" ht="51" customHeight="1" x14ac:dyDescent="0.25">
      <c r="A120" s="4"/>
      <c r="B120" s="57"/>
      <c r="C120" s="57"/>
      <c r="D120" s="57"/>
      <c r="E120" s="79" t="s">
        <v>19</v>
      </c>
      <c r="F120" s="79"/>
      <c r="G120" s="59"/>
      <c r="H120" s="59"/>
      <c r="I120" s="59"/>
      <c r="J120" s="5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237">
    <mergeCell ref="I93:J93"/>
    <mergeCell ref="I94:J94"/>
    <mergeCell ref="I95:J95"/>
    <mergeCell ref="I96:J96"/>
    <mergeCell ref="I97:J97"/>
    <mergeCell ref="I9:J9"/>
    <mergeCell ref="I72:J72"/>
    <mergeCell ref="I73:J73"/>
    <mergeCell ref="I74:J74"/>
    <mergeCell ref="I75:J75"/>
    <mergeCell ref="I76:J76"/>
    <mergeCell ref="I89:J89"/>
    <mergeCell ref="I90:J90"/>
    <mergeCell ref="I91:J91"/>
    <mergeCell ref="I92:J92"/>
    <mergeCell ref="I110:J110"/>
    <mergeCell ref="I111:J111"/>
    <mergeCell ref="I112:J112"/>
    <mergeCell ref="I113:J113"/>
    <mergeCell ref="I114:J114"/>
    <mergeCell ref="I115:J115"/>
    <mergeCell ref="E119:F119"/>
    <mergeCell ref="E120:F120"/>
    <mergeCell ref="G116:J116"/>
    <mergeCell ref="I45:J45"/>
    <mergeCell ref="I105:J105"/>
    <mergeCell ref="I106:J106"/>
    <mergeCell ref="I107:J107"/>
    <mergeCell ref="I108:J108"/>
    <mergeCell ref="I109:J109"/>
    <mergeCell ref="I100:J100"/>
    <mergeCell ref="I101:J101"/>
    <mergeCell ref="I102:J102"/>
    <mergeCell ref="I103:J103"/>
    <mergeCell ref="I104:J104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20:J20"/>
    <mergeCell ref="I21:J21"/>
    <mergeCell ref="I22:J22"/>
    <mergeCell ref="I23:J23"/>
    <mergeCell ref="I24:J24"/>
    <mergeCell ref="I25:J25"/>
    <mergeCell ref="I26:J26"/>
    <mergeCell ref="I42:J42"/>
    <mergeCell ref="I43:J43"/>
    <mergeCell ref="B1:J1"/>
    <mergeCell ref="F2:J2"/>
    <mergeCell ref="B5:D6"/>
    <mergeCell ref="C2:D2"/>
    <mergeCell ref="C3:D3"/>
    <mergeCell ref="F3:J3"/>
    <mergeCell ref="E117:J117"/>
    <mergeCell ref="B7:D7"/>
    <mergeCell ref="I37:J37"/>
    <mergeCell ref="I81:J81"/>
    <mergeCell ref="I82:J82"/>
    <mergeCell ref="I83:J83"/>
    <mergeCell ref="I84:J84"/>
    <mergeCell ref="I85:J85"/>
    <mergeCell ref="I87:J87"/>
    <mergeCell ref="I88:J88"/>
    <mergeCell ref="I29:J29"/>
    <mergeCell ref="I30:J30"/>
    <mergeCell ref="E5:H5"/>
    <mergeCell ref="I36:J36"/>
    <mergeCell ref="I5:J6"/>
    <mergeCell ref="I7:J7"/>
    <mergeCell ref="I10:J10"/>
    <mergeCell ref="I19:J19"/>
    <mergeCell ref="B119:D120"/>
    <mergeCell ref="G119:J119"/>
    <mergeCell ref="G120:J120"/>
    <mergeCell ref="E118:J118"/>
    <mergeCell ref="I38:J38"/>
    <mergeCell ref="I39:J39"/>
    <mergeCell ref="I40:J40"/>
    <mergeCell ref="I41:J41"/>
    <mergeCell ref="I77:J77"/>
    <mergeCell ref="I78:J78"/>
    <mergeCell ref="I79:J79"/>
    <mergeCell ref="I80:J80"/>
    <mergeCell ref="I98:J98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44:J44"/>
    <mergeCell ref="I31:J31"/>
    <mergeCell ref="I32:J32"/>
    <mergeCell ref="I33:J33"/>
    <mergeCell ref="I34:J34"/>
    <mergeCell ref="I35:J35"/>
    <mergeCell ref="I8:J8"/>
    <mergeCell ref="B116:D116"/>
    <mergeCell ref="B117:D117"/>
    <mergeCell ref="B118:D118"/>
    <mergeCell ref="I11:J11"/>
    <mergeCell ref="I12:J12"/>
    <mergeCell ref="I13:J13"/>
    <mergeCell ref="I14:J14"/>
    <mergeCell ref="I15:J15"/>
    <mergeCell ref="I16:J16"/>
    <mergeCell ref="I17:J17"/>
    <mergeCell ref="I18:J18"/>
    <mergeCell ref="I27:J27"/>
    <mergeCell ref="I28:J28"/>
    <mergeCell ref="I56:J56"/>
    <mergeCell ref="I57:J57"/>
    <mergeCell ref="I58:J58"/>
    <mergeCell ref="I99:J99"/>
    <mergeCell ref="I86:J86"/>
    <mergeCell ref="B17:D17"/>
    <mergeCell ref="B18:D18"/>
    <mergeCell ref="B19:D19"/>
    <mergeCell ref="B20:D20"/>
    <mergeCell ref="B21:D21"/>
    <mergeCell ref="B22:D22"/>
    <mergeCell ref="B23:D23"/>
    <mergeCell ref="B24:D24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34:D34"/>
    <mergeCell ref="B35:D35"/>
    <mergeCell ref="B36:D36"/>
    <mergeCell ref="B37:D37"/>
    <mergeCell ref="B38:D38"/>
    <mergeCell ref="B39:D39"/>
    <mergeCell ref="B40:D40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13:D113"/>
    <mergeCell ref="B114:D114"/>
    <mergeCell ref="B115:D115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</mergeCells>
  <conditionalFormatting sqref="E118">
    <cfRule type="expression" dxfId="23" priority="57">
      <formula>$E118="راسب"</formula>
    </cfRule>
  </conditionalFormatting>
  <conditionalFormatting sqref="E118:J118">
    <cfRule type="expression" dxfId="22" priority="58">
      <formula>$E118="مقبول"</formula>
    </cfRule>
    <cfRule type="expression" dxfId="21" priority="59">
      <formula>$E118="جيد"</formula>
    </cfRule>
    <cfRule type="expression" dxfId="20" priority="60">
      <formula>$E118="جيد جداً"</formula>
    </cfRule>
    <cfRule type="expression" dxfId="19" priority="61">
      <formula>$E118="ممتاز"</formula>
    </cfRule>
  </conditionalFormatting>
  <conditionalFormatting sqref="H8 H10:H115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115 F10:F115">
    <cfRule type="containsText" dxfId="13" priority="38" operator="containsText" text="أدخل العلامة">
      <formula>NOT(ISERROR(SEARCH("أدخل العلامة",F8)))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119:J119">
    <cfRule type="containsText" dxfId="8" priority="15" operator="containsText" text="أدخل اسم المحكم">
      <formula>NOT(ISERROR(SEARCH("أدخل اسم المحكم",G119)))</formula>
    </cfRule>
  </conditionalFormatting>
  <conditionalFormatting sqref="F8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2" manualBreakCount="2">
    <brk id="36" max="9" man="1"/>
    <brk id="106" max="9" man="1"/>
  </row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G119:J119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  <x14:dataValidation type="list" allowBlank="1" showInputMessage="1" showErrorMessage="1">
          <x14:formula1>
            <xm:f>#REF!</xm:f>
          </x14:formula1>
          <xm:sqref>F9:F11 F13:F23 F25:F30 F32:F36 F37 F38 F40:F50 F52:F57 F59:F69 F71:F78 F80:F83 F85:F87 F89:F99 F101:F103 F105:F110 F112:F115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2026-08-30T05:03:34Z</dcterms:modified>
</cp:coreProperties>
</file>