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D4DF2FA0-8586-4851-8651-13450F6F4D8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التقييم'!$A$1:$J$104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5" i="2"/>
  <c r="H25" i="2"/>
  <c r="G26" i="2"/>
  <c r="H26" i="2"/>
  <c r="G28" i="2"/>
  <c r="H28" i="2"/>
  <c r="G29" i="2"/>
  <c r="H29" i="2"/>
  <c r="G30" i="2"/>
  <c r="H30" i="2"/>
  <c r="G31" i="2"/>
  <c r="H31" i="2"/>
  <c r="G32" i="2"/>
  <c r="H32" i="2"/>
  <c r="G33" i="2"/>
  <c r="G34" i="2"/>
  <c r="H34" i="2"/>
  <c r="G35" i="2"/>
  <c r="H35" i="2"/>
  <c r="G36" i="2"/>
  <c r="H36" i="2"/>
  <c r="G38" i="2"/>
  <c r="H38" i="2"/>
  <c r="G39" i="2"/>
  <c r="H39" i="2"/>
  <c r="G41" i="2"/>
  <c r="H41" i="2"/>
  <c r="G42" i="2"/>
  <c r="H42" i="2"/>
  <c r="G43" i="2"/>
  <c r="H43" i="2"/>
  <c r="G45" i="2"/>
  <c r="H45" i="2"/>
  <c r="G46" i="2"/>
  <c r="H46" i="2"/>
  <c r="G47" i="2"/>
  <c r="H47" i="2"/>
  <c r="G49" i="2"/>
  <c r="H49" i="2"/>
  <c r="G50" i="2"/>
  <c r="H50" i="2"/>
  <c r="G51" i="2"/>
  <c r="H51" i="2"/>
  <c r="G53" i="2"/>
  <c r="H53" i="2"/>
  <c r="G54" i="2"/>
  <c r="H54" i="2"/>
  <c r="G55" i="2"/>
  <c r="H55" i="2"/>
  <c r="G56" i="2"/>
  <c r="H56" i="2"/>
  <c r="G57" i="2"/>
  <c r="H57" i="2"/>
  <c r="G58" i="2"/>
  <c r="H58" i="2"/>
  <c r="G59" i="2"/>
  <c r="H59" i="2"/>
  <c r="G60" i="2"/>
  <c r="H60" i="2"/>
  <c r="G61" i="2"/>
  <c r="H61" i="2"/>
  <c r="G62" i="2"/>
  <c r="H62" i="2"/>
  <c r="G63" i="2"/>
  <c r="H63" i="2"/>
  <c r="G64" i="2"/>
  <c r="H64" i="2"/>
  <c r="G65" i="2"/>
  <c r="H65" i="2"/>
  <c r="G66" i="2"/>
  <c r="H66" i="2"/>
  <c r="G67" i="2"/>
  <c r="H67" i="2"/>
  <c r="G68" i="2"/>
  <c r="H68" i="2"/>
  <c r="G69" i="2"/>
  <c r="H69" i="2"/>
  <c r="G71" i="2"/>
  <c r="H71" i="2"/>
  <c r="G72" i="2"/>
  <c r="H72" i="2"/>
  <c r="G73" i="2"/>
  <c r="H73" i="2"/>
  <c r="G74" i="2"/>
  <c r="H74" i="2"/>
  <c r="G75" i="2"/>
  <c r="H75" i="2"/>
  <c r="G77" i="2"/>
  <c r="H77" i="2"/>
  <c r="G78" i="2"/>
  <c r="H78" i="2"/>
  <c r="G79" i="2"/>
  <c r="H79" i="2"/>
  <c r="G81" i="2"/>
  <c r="H81" i="2"/>
  <c r="G82" i="2"/>
  <c r="H82" i="2"/>
  <c r="G83" i="2"/>
  <c r="H83" i="2"/>
  <c r="G84" i="2"/>
  <c r="H84" i="2"/>
  <c r="G86" i="2"/>
  <c r="H86" i="2"/>
  <c r="G87" i="2"/>
  <c r="H87" i="2"/>
  <c r="G88" i="2"/>
  <c r="H88" i="2"/>
  <c r="G89" i="2"/>
  <c r="H89" i="2"/>
  <c r="G91" i="2"/>
  <c r="H91" i="2"/>
  <c r="G92" i="2"/>
  <c r="H92" i="2"/>
  <c r="G94" i="2"/>
  <c r="H94" i="2"/>
  <c r="G95" i="2"/>
  <c r="H95" i="2"/>
  <c r="G96" i="2"/>
  <c r="H96" i="2"/>
  <c r="G97" i="2"/>
  <c r="H97" i="2"/>
  <c r="G98" i="2"/>
  <c r="H98" i="2"/>
  <c r="G99" i="2"/>
  <c r="H99" i="2"/>
  <c r="F100" i="2"/>
  <c r="E100" i="2"/>
  <c r="E101" i="2"/>
  <c r="E102" i="2"/>
</calcChain>
</file>

<file path=xl/sharedStrings.xml><?xml version="1.0" encoding="utf-8"?>
<sst xmlns="http://schemas.openxmlformats.org/spreadsheetml/2006/main" count="325" uniqueCount="269">
  <si>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</si>
  <si>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</si>
  <si>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</si>
  <si>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</si>
  <si>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</si>
  <si>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</si>
  <si>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</si>
  <si>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</si>
  <si>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</si>
  <si>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</si>
  <si>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</si>
  <si>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</si>
  <si>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</si>
  <si>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</si>
  <si>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</si>
  <si>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</si>
  <si>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</si>
  <si>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</si>
  <si>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</si>
  <si>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</si>
  <si>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</si>
  <si>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</si>
  <si>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</si>
  <si>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</si>
  <si>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</si>
  <si>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</si>
  <si>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</si>
  <si>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</si>
  <si>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</si>
  <si>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</si>
  <si>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</si>
  <si>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</si>
  <si>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</si>
  <si>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</si>
  <si>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</si>
  <si>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</si>
  <si>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</si>
  <si>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</si>
  <si>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</si>
  <si>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</si>
  <si>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</si>
  <si>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</si>
  <si>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</si>
  <si>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</si>
  <si>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</si>
  <si>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</si>
  <si>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</si>
  <si>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</si>
  <si>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</si>
  <si>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</si>
  <si>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</si>
  <si>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</si>
  <si>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</si>
  <si>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</si>
  <si>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</si>
  <si>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</si>
  <si>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</si>
  <si>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</si>
  <si>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</si>
  <si>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</si>
  <si>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</si>
  <si>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</si>
  <si>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يعتبر هذا النموذج (سري للغاية) بعد إدخال علامات التقييم.
2. نموذج التقييم قابل للتطوير والتعديل.</t>
    </r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</si>
  <si>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</si>
  <si>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</si>
  <si>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</si>
  <si>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</si>
  <si>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</si>
  <si>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</si>
  <si>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</si>
  <si>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</si>
  <si>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</si>
  <si>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</si>
  <si>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</si>
  <si>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</si>
  <si>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</si>
  <si>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</si>
  <si>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</si>
  <si>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</si>
  <si>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</si>
  <si>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</si>
  <si>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</si>
  <si>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</si>
  <si>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</si>
  <si>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</si>
  <si>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</si>
  <si>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</si>
  <si>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</si>
  <si>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</si>
  <si>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</si>
  <si>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</si>
  <si>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</si>
  <si>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</si>
  <si>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</si>
  <si>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</si>
  <si>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</si>
  <si>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</si>
  <si>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</si>
  <si>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</si>
  <si>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</si>
  <si>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</si>
  <si>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</si>
  <si>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</si>
  <si>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</si>
  <si>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</si>
  <si>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</si>
  <si>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</si>
  <si>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</si>
  <si>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</si>
  <si>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</si>
  <si>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</si>
  <si>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</si>
  <si>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</si>
  <si>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</si>
  <si>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</si>
  <si>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</si>
  <si>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</si>
  <si>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</si>
  <si>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</si>
  <si>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</si>
  <si>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</si>
  <si>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</si>
  <si>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</si>
  <si>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</si>
  <si>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</si>
  <si>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</si>
  <si>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</si>
  <si>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</si>
  <si>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</si>
  <si>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</si>
  <si>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</si>
  <si>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</si>
  <si>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</si>
  <si>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</si>
  <si>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</si>
  <si>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</si>
  <si>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</si>
  <si>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</si>
  <si>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</si>
  <si>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</si>
  <si>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</si>
  <si>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</si>
  <si>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</si>
  <si>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</si>
  <si>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</si>
  <si>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</si>
  <si>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</si>
  <si>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</si>
  <si>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</si>
  <si>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</si>
  <si>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</si>
  <si>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</si>
  <si>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</si>
  <si>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</si>
  <si>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</si>
  <si>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</si>
  <si>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</si>
  <si>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</si>
  <si>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</si>
  <si>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</si>
  <si>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</si>
  <si>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</si>
  <si>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</si>
  <si>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</si>
  <si>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</si>
  <si>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</si>
  <si>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</si>
  <si>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</si>
  <si>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</si>
  <si>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</si>
  <si>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</si>
  <si>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</si>
  <si>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</si>
  <si>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</si>
  <si>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</si>
  <si>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</si>
  <si>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مرحلتي التخطيط والتحضير.</t>
  </si>
  <si>
    <t>مرحلة إصدار الخطة.</t>
  </si>
  <si>
    <t>أ. درجة سرية في الوسط اعلى وأسفل كل صفحة.</t>
  </si>
  <si>
    <t>ب. التأكيد على الأوامر الشفوية إن وجدت.</t>
  </si>
  <si>
    <t>جـ. النسخة رقم (.....) من (.......).</t>
  </si>
  <si>
    <t>د. القيادة المُصدرة.</t>
  </si>
  <si>
    <t>هـ. مكان الاصدار.</t>
  </si>
  <si>
    <t>و. تاريخ ووقت توقيع الخطة.</t>
  </si>
  <si>
    <t>ز. اسم ورقم الذيل.</t>
  </si>
  <si>
    <t>ح. حرف ورقم المُلحق.</t>
  </si>
  <si>
    <t>ط. الاسم الرمزي ورقم أمر العمليات.</t>
  </si>
  <si>
    <t>ي. المراجع ( الخرائط).</t>
  </si>
  <si>
    <t>أ. تخصيص كافة مصادر المدفعية المتوفرة.</t>
  </si>
  <si>
    <t>ب. أي تغيير على تخصيص مصادر المدفعية حسب المتطلبات التعبوية الطارئة.</t>
  </si>
  <si>
    <r>
      <t xml:space="preserve">أ. </t>
    </r>
    <r>
      <rPr>
        <u/>
        <sz val="12"/>
        <color theme="1"/>
        <rFont val="Arial"/>
        <family val="2"/>
      </rPr>
      <t>الفقرة الفرعية/1 (قوات العدو)</t>
    </r>
    <r>
      <rPr>
        <sz val="12"/>
        <color theme="1"/>
        <rFont val="Arial"/>
        <family val="2"/>
      </rPr>
      <t>. تتضمن المعلومات الضرورية عن العدو من قبل قسم الاستخبارات والتي تحتاجها وحدات المدفعية والوحدات المُساندة (مثل: قدرات العدو من النيران غير المباشرة، التهديد الجوي، تهديد الحرب الالكترونية، تهديد الارهابيين، تهديد اسلحة الدمار الشامل، مراحل النيران، الاهداف عالية القيمة ، الاعمال الممكنة....الخ).</t>
    </r>
  </si>
  <si>
    <r>
      <t xml:space="preserve">ب. </t>
    </r>
    <r>
      <rPr>
        <u/>
        <sz val="12"/>
        <color theme="1"/>
        <rFont val="Arial"/>
        <family val="2"/>
      </rPr>
      <t>الفقرة الفرعية/2 (قواتنا)</t>
    </r>
    <r>
      <rPr>
        <sz val="12"/>
        <color theme="1"/>
        <rFont val="Arial"/>
        <family val="2"/>
      </rPr>
      <t>. تشمل مهمة وقصد قائد القوة المُسندة والقيادة لمستوى واحد اعلى بالإضافة للمعلومات الضرورية لمهمة الوحدات المجاورة والوحدات المُساندة ووحدات التعزيز.</t>
    </r>
  </si>
  <si>
    <r>
      <t xml:space="preserve">جـ. </t>
    </r>
    <r>
      <rPr>
        <u/>
        <sz val="12"/>
        <color theme="1"/>
        <rFont val="Arial"/>
        <family val="2"/>
      </rPr>
      <t>الفقرة الفرعية/3 (الملحقون والمنفصلون)</t>
    </r>
    <r>
      <rPr>
        <sz val="12"/>
        <color theme="1"/>
        <rFont val="Arial"/>
        <family val="2"/>
      </rPr>
      <t>. عدم تكرار المعلومات في التنظيم للقتال وتحديد وقت سريان المفعول للملحقين والمنفصلين من وعلى  الكتيبة.</t>
    </r>
  </si>
  <si>
    <r>
      <t xml:space="preserve">د. </t>
    </r>
    <r>
      <rPr>
        <u/>
        <sz val="12"/>
        <color theme="1"/>
        <rFont val="Arial"/>
        <family val="2"/>
      </rPr>
      <t>الفقرة الفرعية/4 (الافتراضات)</t>
    </r>
    <r>
      <rPr>
        <sz val="12"/>
        <color theme="1"/>
        <rFont val="Arial"/>
        <family val="2"/>
      </rPr>
      <t>. هي الافتراضات التي لم تؤكد كحقائق وذلك عندما تكون خطة الإسناد الناري جزءاً من خطة العمليات.</t>
    </r>
  </si>
  <si>
    <t xml:space="preserve">أ. القصد من العملية. </t>
  </si>
  <si>
    <t>ب. أسلوب تنفيذ الواجبات.</t>
  </si>
  <si>
    <t>جـ. النهاية المرغوبة لكل واجب.</t>
  </si>
  <si>
    <t>أ. كيف سيتم تنفيذ العملية (ماذا، من، متى، اين، لماذا).</t>
  </si>
  <si>
    <t>ب. تناسب التفصيلات مع تأشير خرائط المدفعية (مخطط التنفيذ، شفاف التنقل التعبوي...الخ).</t>
  </si>
  <si>
    <t>أ. المهام التعبوية المحددة لمصادر المدفعية.</t>
  </si>
  <si>
    <t>ب. المهام بالأمر.</t>
  </si>
  <si>
    <t>جـ. الملحقون والمنفصلون.</t>
  </si>
  <si>
    <t>أ. أولوية نيران المدفعية للوحدات المُسندة.</t>
  </si>
  <si>
    <t>ب. اي تغيير (بالأمر) على أولوية النيران.</t>
  </si>
  <si>
    <t>جـ. أولوية استخدام الذخيرة الخاصة (إذا تم صرفها).</t>
  </si>
  <si>
    <t>أ. الاحداثيات الأولية لمواقع الوحدات.</t>
  </si>
  <si>
    <t>ب. الاشارة الى "المُرفق" الذي يتضمن شفاف المواقع والحركة للمواقع اللاحقة.</t>
  </si>
  <si>
    <t>أ.  معلومات استمكان الاهداف.</t>
  </si>
  <si>
    <t>ب. تعليمات نظام السيطرة على الرمي (نظام أطلس).</t>
  </si>
  <si>
    <t>جـ. قائمة الاهداف الهامة.</t>
  </si>
  <si>
    <t>د. مخطط الهجوم.</t>
  </si>
  <si>
    <t>هـ. تعليمات تنسيق الاسناد الناري.</t>
  </si>
  <si>
    <t>و. الدفاع ضد اسلحة الدمار الشامل.</t>
  </si>
  <si>
    <t>ز. البرقية الجوية (احوال الطقس).</t>
  </si>
  <si>
    <t>ح. متطلبات الارتباط.</t>
  </si>
  <si>
    <t>ط. الاسماء الرمزية لخطط الرمي.</t>
  </si>
  <si>
    <t>ي. متطلبات المعلومات الهامة للقائد.</t>
  </si>
  <si>
    <t>ك. تحديدات الذخيرة.</t>
  </si>
  <si>
    <t>ل. اجراءات تَجنُّب الإصابة بنيران القوات الصديقة.</t>
  </si>
  <si>
    <t>م. تقييم المخاطر.</t>
  </si>
  <si>
    <t>ن. موقف الدفاع الجوي.</t>
  </si>
  <si>
    <t>س. قواعد الاشتباك.</t>
  </si>
  <si>
    <t>ع. تعليمات تنفيذ التجارب.</t>
  </si>
  <si>
    <t>أ. أسلوب الامداد (القوى البشرية  - التسليح  - الوقود  - الصيانة - حركة الإمداد).</t>
  </si>
  <si>
    <t>ب. واجبات الامداد الأساسية.</t>
  </si>
  <si>
    <t>جـ. دليل القائد للإدامة وأولويات إسناد الخدمات.</t>
  </si>
  <si>
    <t>د. عناصر الادامة في القيادة الاعلى.</t>
  </si>
  <si>
    <t>هـ. مخاطر عمليات الادامة.</t>
  </si>
  <si>
    <t>أ. مواقع الجمع الضرورية (مثال: نقطة تزويد الذخيرة، نقطة نقل الذخيرة، نقاط اخلاء الاصابات، نقطة تصنيف الجرحى وتسجيل الشهداء...الخ).</t>
  </si>
  <si>
    <t>ب. الصيانة (مثال: اولويات الصيانة، الانقاذ، التصليح، مواقع الصيانة، نقطة جمع المعدات...الخ).</t>
  </si>
  <si>
    <t>جـ. النقل (مثال: طرق التزويد الرئيسية، جداول المسير...الخ).</t>
  </si>
  <si>
    <t>أ. اجراءات الإخلاء الطبي.</t>
  </si>
  <si>
    <t>ب. مَرافق المعالجة الطبية.</t>
  </si>
  <si>
    <t>جـ. الادوية المتوفرة للعلاج الوقائي.</t>
  </si>
  <si>
    <t>د. خدمة معالجة الاسنان.</t>
  </si>
  <si>
    <t>أ. تقارير نسبة القوة البشرية.</t>
  </si>
  <si>
    <t>ب. تعويض القوى البشرية.</t>
  </si>
  <si>
    <t>جـ. تعليمات ادارة القوى البشرية.</t>
  </si>
  <si>
    <t>د. أسري الحرب وهي تختلف عما يقوم به ضابط الاستخبارات حيث يقوم ضابط القوى البشرية بإدارة شؤون أسري الحرب.</t>
  </si>
  <si>
    <t>أ. موقع مركز العمليات التعبوي لوحدات المدفعية وموقع مركز العمليات التعبوي للقيادة الاعلى واماكن قيادات الوحدات المُسندة ووحدات مدفعية التعزيز.</t>
  </si>
  <si>
    <t>ب. تسلسل القيادة إذا اختلف عن الاوامر التعبوية المستديمة للوحدة.</t>
  </si>
  <si>
    <t>أ. تعليمات الاشارة المعمول بها وأنها سارية المفعول.</t>
  </si>
  <si>
    <t>ب. التعليمات الخاصة بالاتصالات واستخدام الاشارة.</t>
  </si>
  <si>
    <t>جـ. مواقع محطات اعادة البث والاولويات.</t>
  </si>
  <si>
    <r>
      <t>1.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يتأكد القائد من ايجاز الوحدات المرؤوسة حول الخطة من قبل الأركانية.</t>
    </r>
  </si>
  <si>
    <r>
      <t>2.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يستمع القائد لإيجاز تأكيدي من قادة الوحدات المرؤوسة للتأكد من فهمهم الواضح لقصد القائد.</t>
    </r>
  </si>
  <si>
    <r>
      <t>3.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موافقة القائد على خطة الإسناد الناري قبل صرفها الى الوحدات.</t>
    </r>
  </si>
  <si>
    <r>
      <t>1.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تضمن رأسية الخطة على ما يلي:</t>
    </r>
  </si>
  <si>
    <r>
      <t>2.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تضمن الخطة على التجميع للواجب ويشمل:</t>
    </r>
  </si>
  <si>
    <r>
      <t>3.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تضمن الفقرة الرئيسية/1 (الموقف)على ثلاثة فقرات فرعية إذا كانت جزء من أمر العمليات أو أربع فقرات فرعية إذا كانت جزءا من خطة العمليات:</t>
    </r>
  </si>
  <si>
    <r>
      <t>4.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تحدد الفقرة الرئيسية/2 (المهمة) المهمة التي أقرها القائد خلال عملية التخطيط.</t>
    </r>
  </si>
  <si>
    <r>
      <t>5.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تحدد الفقرة الرئيسية/3 (التنفيذ) قصد قائد كتيبة المدفعية وكما يلي:</t>
    </r>
  </si>
  <si>
    <r>
      <t>6.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تضمن الفقرة الفرعية (مفهوم العمليات) وصف تفصيلي لتنفيذ العملية وكما يلي:</t>
    </r>
  </si>
  <si>
    <r>
      <t>7.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 xml:space="preserve">تضمن الفقرة الفرعية (التنظيم للقتال) على ما يلي: </t>
    </r>
  </si>
  <si>
    <r>
      <t>8.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 xml:space="preserve">تضمن الفقرة الفرعية (أولوية النيران) على ما يلي: </t>
    </r>
  </si>
  <si>
    <r>
      <t>9.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 xml:space="preserve">تضمن الفقرة الفرعية (تعليمات المواقع والحركة) على ما يلي: </t>
    </r>
  </si>
  <si>
    <r>
      <t>10.</t>
    </r>
    <r>
      <rPr>
        <sz val="12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>تضمن الفقرة الفرعية (واجبات الوحدات) على الواجبات الاساسية للإسناد الناري والقصد من واجبات الوحدات المرؤوسة.</t>
    </r>
  </si>
  <si>
    <r>
      <t>11.</t>
    </r>
    <r>
      <rPr>
        <sz val="12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>تطرق الفقرة الفرعية (تعليمات التنسيق) للمعلومات الغير محددة في "المُرفق" (مثال: للحصول على معلومات اضافية يُرجى الرجوع الى المرفق "... ") وتتضمن المعلومات الاضافية ما يلي:</t>
    </r>
  </si>
  <si>
    <r>
      <t>12.</t>
    </r>
    <r>
      <rPr>
        <sz val="12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>تضمن الفقرة الرئيسية/4 (اسناد الخدمات) على تفصيلات كافية حول عمليات الادامة والتي ظهرت خلال تنفيذ عملية صنع القرار العسكري.</t>
    </r>
  </si>
  <si>
    <r>
      <t>13.</t>
    </r>
    <r>
      <rPr>
        <sz val="12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>إعداد الفقرة الفرعية (مفهوم اسناد الخدمات) من قبل ضابط الامداد (عادة قائد سرية القيادة) وتشمل:</t>
    </r>
  </si>
  <si>
    <r>
      <t>14.</t>
    </r>
    <r>
      <rPr>
        <sz val="12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>إعداد الفقرة الفرعية (المواد والخدمات) من قبل ضابط الامداد (عادة قائد سرية القيادة) وتشمل:</t>
    </r>
  </si>
  <si>
    <r>
      <t>15.</t>
    </r>
    <r>
      <rPr>
        <sz val="12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>إعداد الفقرة الفرعية (الإخلاء الطبي والطبابة) من قبل مساعد طبيب الوحدة وتشمل:</t>
    </r>
  </si>
  <si>
    <r>
      <t>16.</t>
    </r>
    <r>
      <rPr>
        <sz val="12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>إعداد الفقرة الفرعية (القوى البشرية) من قبل ركن القوى البشرية وتشمل:</t>
    </r>
  </si>
  <si>
    <r>
      <t>17.</t>
    </r>
    <r>
      <rPr>
        <sz val="12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>تضمن الفقرة الرئيسية/5 (القيادة والاتصالات) على ما يلي:</t>
    </r>
  </si>
  <si>
    <r>
      <t>18.</t>
    </r>
    <r>
      <rPr>
        <sz val="12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>تضمن الفقرة الفرعية (الاشارة) على ما يلي:</t>
    </r>
  </si>
  <si>
    <r>
      <t>19.</t>
    </r>
    <r>
      <rPr>
        <sz val="12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 xml:space="preserve"> توقيع القائد أو من ينوبه على النسخة الاصلية لخطة الإسناد الناري وكذلك توقيع النسخ الاخرى المخول بها ركن العمليات.</t>
    </r>
  </si>
  <si>
    <r>
      <t>20.</t>
    </r>
    <r>
      <rPr>
        <sz val="12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>إرفاق جميع الملاحق والذيول والشفافات والاشارة اليها وعمل قائمة بها وارفاقها حسب ترتيب تسلسلها.</t>
    </r>
  </si>
  <si>
    <r>
      <t>21.</t>
    </r>
    <r>
      <rPr>
        <sz val="12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>اشتمال الخطة على قائمة توزيع تتضمن نُسخ لكل من الوحدات المرؤوسة والقيادة الاعلى والوحدات المُسندة.</t>
    </r>
  </si>
  <si>
    <t>تقييم خطة الإسناد الناري – العمليات التعرضية
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</si>
</sst>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7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u/>
      <sz val="12"/>
      <color theme="1"/>
      <name val="Arial"/>
      <family val="2"/>
    </font>
    <font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B4C6E7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7" xfId="0" applyFont="1" applyBorder="1" applyAlignment="1">
      <alignment horizontal="center" vertical="center" wrapText="1" readingOrder="2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8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9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20" xfId="0" applyFont="1" applyFill="1" applyBorder="1" applyAlignment="1" applyProtection="1">
      <alignment horizontal="center" vertical="center" wrapText="1" readingOrder="2"/>
      <protection locked="0"/>
    </xf>
    <xf numFmtId="0" fontId="7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22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4" fillId="0" borderId="8" xfId="0" applyFont="1" applyBorder="1" applyAlignment="1">
      <alignment horizontal="right" vertical="center" wrapText="1" readingOrder="2"/>
    </xf>
    <xf numFmtId="0" fontId="14" fillId="0" borderId="9" xfId="0" applyFont="1" applyBorder="1" applyAlignment="1">
      <alignment horizontal="right" vertical="center" wrapText="1" readingOrder="2"/>
    </xf>
    <xf numFmtId="0" fontId="14" fillId="0" borderId="5" xfId="0" applyFont="1" applyBorder="1" applyAlignment="1">
      <alignment horizontal="right" vertical="center" wrapText="1" readingOrder="2"/>
    </xf>
    <xf numFmtId="0" fontId="14" fillId="0" borderId="4" xfId="0" applyFont="1" applyBorder="1" applyAlignment="1">
      <alignment horizontal="right" vertical="center" wrapText="1" readingOrder="2"/>
    </xf>
    <xf numFmtId="0" fontId="14" fillId="0" borderId="23" xfId="0" applyFont="1" applyBorder="1" applyAlignment="1">
      <alignment horizontal="right" vertical="center" wrapText="1" indent="4" readingOrder="2"/>
    </xf>
    <xf numFmtId="0" fontId="14" fillId="0" borderId="3" xfId="0" applyFont="1" applyBorder="1" applyAlignment="1">
      <alignment horizontal="right" vertical="center" wrapText="1" indent="4" readingOrder="2"/>
    </xf>
    <xf numFmtId="0" fontId="14" fillId="0" borderId="11" xfId="0" applyFont="1" applyBorder="1" applyAlignment="1">
      <alignment horizontal="right" vertical="center" wrapText="1" indent="4" readingOrder="2"/>
    </xf>
    <xf numFmtId="0" fontId="14" fillId="0" borderId="12" xfId="0" applyFont="1" applyBorder="1" applyAlignment="1">
      <alignment horizontal="right" vertical="center" wrapText="1" indent="4" readingOrder="2"/>
    </xf>
    <xf numFmtId="0" fontId="13" fillId="0" borderId="23" xfId="0" applyFont="1" applyBorder="1" applyAlignment="1">
      <alignment horizontal="right" vertical="center" wrapText="1" indent="4" readingOrder="2"/>
    </xf>
    <xf numFmtId="0" fontId="13" fillId="0" borderId="3" xfId="0" applyFont="1" applyBorder="1" applyAlignment="1">
      <alignment horizontal="right" vertical="center" wrapText="1" indent="4" readingOrder="2"/>
    </xf>
    <xf numFmtId="0" fontId="1" fillId="5" borderId="20" xfId="0" applyFont="1" applyFill="1" applyBorder="1" applyAlignment="1">
      <alignment vertical="center" wrapText="1" readingOrder="2"/>
    </xf>
    <xf numFmtId="0" fontId="1" fillId="5" borderId="21" xfId="0" applyFont="1" applyFill="1" applyBorder="1" applyAlignment="1">
      <alignment vertical="center" wrapText="1" readingOrder="2"/>
    </xf>
    <xf numFmtId="0" fontId="1" fillId="5" borderId="22" xfId="0" applyFont="1" applyFill="1" applyBorder="1" applyAlignment="1">
      <alignment vertical="center" wrapText="1" readingOrder="2"/>
    </xf>
    <xf numFmtId="0" fontId="1" fillId="5" borderId="24" xfId="0" applyFont="1" applyFill="1" applyBorder="1" applyAlignment="1">
      <alignment vertical="center" wrapText="1" readingOrder="2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366585</xdr:colOff>
      <xdr:row>103</xdr:row>
      <xdr:rowOff>73157</xdr:rowOff>
    </xdr:from>
    <xdr:to>
      <xdr:col>9</xdr:col>
      <xdr:colOff>758234</xdr:colOff>
      <xdr:row>103</xdr:row>
      <xdr:rowOff>509477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4321D660-F815-C6C8-12F7-A184D7919A45}"/>
                </a:ext>
              </a:extLst>
            </xdr14:cNvPr>
            <xdr14:cNvContentPartPr/>
          </xdr14:nvContentPartPr>
          <xdr14:nvPr macro=""/>
          <xdr14:xfrm>
            <a:off x="10397828585" y="44615520"/>
            <a:ext cx="2365920" cy="4363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4321D660-F815-C6C8-12F7-A184D7919A4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7819945" y="44606520"/>
              <a:ext cx="2383560" cy="4539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9T16:35:46.39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6061 602,'0'0,"-4"0,-8 0,-50 16,28-16,-57 0,-81 16,144-14,-179-4,-27 18,187-13,-188 10,-94 19,269-26,-318 20,-76 6,400-28,-346 40,-38 4,391-43,-344 38,0 6,352-45,-282 40,-8-12,297-29,-311 58,45-29,267-29,-141 26,62-13,101-15,-60 14,7-15,56 0,-20 16,11-16,14 0,33 0,15 0,-43 0,117-16,83 0,-185 14,228-12,19-18,-237 28,208 8,-34-20,-183 14,586-28,35-2,-571 28,314-8,54 12,-390 0,342-16,2 16,-347 0,301-16,-1 0,-306 14,234-28,9-3,-250 30,139-26,-45 13,-112 14,65-28,-32 14,-42 14,-10-12,-42-2,41 14,-50 4,-86-18,125 14,-169 4,-80-2,231 0,-273 0,-84 16,341-14,-352 28,-35 2,381-28,-371 8,-89 20,443-27,-337 23,-89 4,430-28,-330 8,-22 20,358-28,-217 8,-15-12,252 0,-132 16,51-16,108 0,-44 0,30 0,26 0,25-16,27 16,-41 0,113 0,37-16,-133 13,205-26,85-3,-272 27,278-23,104-4,-367 28,311-24,85-4,-384 28,303-40,67 12,-373 27,324-22,34-21,-363 41,286-18,29-7,-320 27,219-22,24-5,-254 27,162-22,-34-6,-147 29,60-8,-7-4,-67 14,25-12,-13 6,-62 16,8-24,27 14,-55 4,-98-18,137 14,-147 4,-100-2,233 0,-228-16,-83 32,297-13,-279 10,-33 3,311-13,-278 26,-48 4,323-29,-240 40,-53-12,299-28,-221 24,2 4,230-28,-119 24,29-12,109-14,-61 12,30 2,40-14,-2-4,25 2,-14 0,11 0,19-16,-28 14,132-28,52-18,-166 42,191-52,53-23,-229 70,207-42,54-27,-256 69,167-42,-6-27,-175 69,100-26,-34-11,-82 41,54-18,-19-8,-40 29,17-8,-8 4,0 16,-1-8,-13 0,12 16,-13-14,-2 29,-15 1,14-28,4 40,-17 52,13-81,-28 130,30-145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104"/>
  <sheetViews>
    <sheetView rightToLeft="1" tabSelected="1" view="pageBreakPreview" topLeftCell="A99" zoomScale="130" zoomScaleNormal="100" zoomScaleSheetLayoutView="130" workbookViewId="0">
      <selection activeCell="I33" sqref="I33:J33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7" t="s">
        <v>268</v>
      </c>
      <c r="C1" s="57"/>
      <c r="D1" s="57"/>
      <c r="E1" s="57"/>
      <c r="F1" s="57"/>
      <c r="G1" s="57"/>
      <c r="H1" s="57"/>
      <c r="I1" s="57"/>
      <c r="J1" s="57"/>
    </row>
    <row r="2" spans="1:10" ht="30" customHeight="1" x14ac:dyDescent="0.3">
      <c r="B2" s="13" t="s">
        <v>8</v>
      </c>
      <c r="C2" s="63" t="s">
        <v>48</v>
      </c>
      <c r="D2" s="63"/>
      <c r="E2" s="13" t="s">
        <v>7</v>
      </c>
      <c r="F2" s="58">
        <v>45950</v>
      </c>
      <c r="G2" s="58"/>
      <c r="H2" s="58"/>
      <c r="I2" s="58"/>
      <c r="J2" s="58"/>
    </row>
    <row r="3" spans="1:10" ht="30" customHeight="1" x14ac:dyDescent="0.3">
      <c r="B3" s="13" t="s">
        <v>9</v>
      </c>
      <c r="C3" s="63" t="s">
        <v>69</v>
      </c>
      <c r="D3" s="63"/>
      <c r="E3" s="13" t="s">
        <v>6</v>
      </c>
      <c r="F3" s="63" t="s">
        <v>98</v>
      </c>
      <c r="G3" s="63"/>
      <c r="H3" s="63"/>
      <c r="I3" s="63"/>
      <c r="J3" s="63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1"/>
      <c r="B5" s="59" t="s">
        <v>0</v>
      </c>
      <c r="C5" s="60"/>
      <c r="D5" s="60"/>
      <c r="E5" s="68" t="s">
        <v>1</v>
      </c>
      <c r="F5" s="68"/>
      <c r="G5" s="68"/>
      <c r="H5" s="68"/>
      <c r="I5" s="68" t="s">
        <v>2</v>
      </c>
      <c r="J5" s="69"/>
    </row>
    <row r="6" spans="1:10" ht="24.9" customHeight="1" thickBot="1" x14ac:dyDescent="0.35">
      <c r="A6" s="11"/>
      <c r="B6" s="61"/>
      <c r="C6" s="62"/>
      <c r="D6" s="62"/>
      <c r="E6" s="12" t="s">
        <v>3</v>
      </c>
      <c r="F6" s="12" t="s">
        <v>4</v>
      </c>
      <c r="G6" s="12" t="s">
        <v>23</v>
      </c>
      <c r="H6" s="12" t="s">
        <v>24</v>
      </c>
      <c r="I6" s="70"/>
      <c r="J6" s="71"/>
    </row>
    <row r="7" spans="1:10" ht="24.9" customHeight="1" thickBot="1" x14ac:dyDescent="0.35">
      <c r="A7" s="11"/>
      <c r="B7" s="66" t="s">
        <v>21</v>
      </c>
      <c r="C7" s="67"/>
      <c r="D7" s="67"/>
      <c r="E7" s="30" t="s">
        <v>18</v>
      </c>
      <c r="F7" s="30" t="s">
        <v>19</v>
      </c>
      <c r="G7" s="30" t="s">
        <v>22</v>
      </c>
      <c r="H7" s="30" t="s">
        <v>20</v>
      </c>
      <c r="I7" s="72" t="s">
        <v>25</v>
      </c>
      <c r="J7" s="73"/>
    </row>
    <row r="8" spans="1:10" ht="30" customHeight="1" thickBot="1" x14ac:dyDescent="0.35">
      <c r="A8" s="11"/>
      <c r="B8" s="94" t="s">
        <v>176</v>
      </c>
      <c r="C8" s="95"/>
      <c r="D8" s="95"/>
      <c r="E8" s="95"/>
      <c r="F8" s="95"/>
      <c r="G8" s="95"/>
      <c r="H8" s="95"/>
      <c r="I8" s="95"/>
      <c r="J8" s="96"/>
    </row>
    <row r="9" spans="1:10" ht="39.9" customHeight="1" thickBot="1" x14ac:dyDescent="0.35">
      <c r="A9" s="11"/>
      <c r="B9" s="84" t="s">
        <v>244</v>
      </c>
      <c r="C9" s="85"/>
      <c r="D9" s="85"/>
      <c r="E9" s="10">
        <v>5</v>
      </c>
      <c r="F9" s="36">
        <v>3.75</v>
      </c>
      <c r="G9" s="37">
        <f>IFERROR(F9/E9,"")</f>
        <v>0.75</v>
      </c>
      <c r="H9" s="28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6"/>
      <c r="J9" s="47"/>
    </row>
    <row r="10" spans="1:10" ht="39.9" customHeight="1" thickBot="1" x14ac:dyDescent="0.35">
      <c r="A10" s="11"/>
      <c r="B10" s="84" t="s">
        <v>245</v>
      </c>
      <c r="C10" s="85"/>
      <c r="D10" s="85"/>
      <c r="E10" s="10">
        <v>5</v>
      </c>
      <c r="F10" s="42">
        <v>3.5</v>
      </c>
      <c r="G10" s="37">
        <f t="shared" ref="G10:G73" si="0">IFERROR(F10/E10,"")</f>
        <v>0.7</v>
      </c>
      <c r="H10" s="28" t="str">
        <f t="shared" ref="H10:H73" si="1">_xlfn.IFS(F10="أدخل العلامة","",F10="لا ينطبق","تم الإلغاء",G10&gt;=90%,"ممتاز",G10&gt;=80%,"جيد جداً",G10&gt;=70%,"جيد",G10&gt;=60%,"مقبول",G10&lt;60%,"راسب")</f>
        <v>جيد</v>
      </c>
      <c r="I10" s="46"/>
      <c r="J10" s="47"/>
    </row>
    <row r="11" spans="1:10" ht="30" customHeight="1" thickBot="1" x14ac:dyDescent="0.35">
      <c r="A11" s="11"/>
      <c r="B11" s="84" t="s">
        <v>246</v>
      </c>
      <c r="C11" s="85"/>
      <c r="D11" s="85"/>
      <c r="E11" s="10">
        <v>5</v>
      </c>
      <c r="F11" s="42">
        <v>3.75</v>
      </c>
      <c r="G11" s="37">
        <f t="shared" si="0"/>
        <v>0.75</v>
      </c>
      <c r="H11" s="28" t="str">
        <f t="shared" si="1"/>
        <v>جيد</v>
      </c>
      <c r="I11" s="46"/>
      <c r="J11" s="47"/>
    </row>
    <row r="12" spans="1:10" ht="30" customHeight="1" thickBot="1" x14ac:dyDescent="0.35">
      <c r="A12" s="11"/>
      <c r="B12" s="97" t="s">
        <v>177</v>
      </c>
      <c r="C12" s="97"/>
      <c r="D12" s="97"/>
      <c r="E12" s="97"/>
      <c r="F12" s="97"/>
      <c r="G12" s="97"/>
      <c r="H12" s="97"/>
      <c r="I12" s="97"/>
      <c r="J12" s="97"/>
    </row>
    <row r="13" spans="1:10" ht="30" customHeight="1" x14ac:dyDescent="0.3">
      <c r="A13" s="11"/>
      <c r="B13" s="86" t="s">
        <v>247</v>
      </c>
      <c r="C13" s="87"/>
      <c r="D13" s="87"/>
      <c r="E13" s="38"/>
      <c r="F13" s="39"/>
      <c r="G13" s="40"/>
      <c r="H13" s="41"/>
      <c r="I13" s="48"/>
      <c r="J13" s="49"/>
    </row>
    <row r="14" spans="1:10" ht="30" customHeight="1" x14ac:dyDescent="0.3">
      <c r="A14" s="11"/>
      <c r="B14" s="88" t="s">
        <v>178</v>
      </c>
      <c r="C14" s="89"/>
      <c r="D14" s="89"/>
      <c r="E14" s="9">
        <v>5</v>
      </c>
      <c r="F14" s="27">
        <v>4</v>
      </c>
      <c r="G14" s="31">
        <f t="shared" si="0"/>
        <v>0.8</v>
      </c>
      <c r="H14" s="32" t="str">
        <f t="shared" si="1"/>
        <v>جيد جداً</v>
      </c>
      <c r="I14" s="50"/>
      <c r="J14" s="51"/>
    </row>
    <row r="15" spans="1:10" ht="30" customHeight="1" x14ac:dyDescent="0.3">
      <c r="A15" s="11"/>
      <c r="B15" s="88" t="s">
        <v>179</v>
      </c>
      <c r="C15" s="89"/>
      <c r="D15" s="89"/>
      <c r="E15" s="9">
        <v>5</v>
      </c>
      <c r="F15" s="43">
        <v>3.5</v>
      </c>
      <c r="G15" s="31">
        <f t="shared" si="0"/>
        <v>0.7</v>
      </c>
      <c r="H15" s="32" t="str">
        <f t="shared" si="1"/>
        <v>جيد</v>
      </c>
      <c r="I15" s="50"/>
      <c r="J15" s="51"/>
    </row>
    <row r="16" spans="1:10" ht="30" customHeight="1" x14ac:dyDescent="0.3">
      <c r="A16" s="11"/>
      <c r="B16" s="88" t="s">
        <v>180</v>
      </c>
      <c r="C16" s="89"/>
      <c r="D16" s="89"/>
      <c r="E16" s="9">
        <v>5</v>
      </c>
      <c r="F16" s="43">
        <v>4</v>
      </c>
      <c r="G16" s="31">
        <f t="shared" si="0"/>
        <v>0.8</v>
      </c>
      <c r="H16" s="32" t="str">
        <f t="shared" si="1"/>
        <v>جيد جداً</v>
      </c>
      <c r="I16" s="50"/>
      <c r="J16" s="51"/>
    </row>
    <row r="17" spans="1:10" ht="30" customHeight="1" x14ac:dyDescent="0.3">
      <c r="A17" s="11"/>
      <c r="B17" s="88" t="s">
        <v>181</v>
      </c>
      <c r="C17" s="89"/>
      <c r="D17" s="89"/>
      <c r="E17" s="9">
        <v>5</v>
      </c>
      <c r="F17" s="43">
        <v>4</v>
      </c>
      <c r="G17" s="31">
        <f t="shared" si="0"/>
        <v>0.8</v>
      </c>
      <c r="H17" s="32" t="str">
        <f t="shared" si="1"/>
        <v>جيد جداً</v>
      </c>
      <c r="I17" s="50"/>
      <c r="J17" s="51"/>
    </row>
    <row r="18" spans="1:10" ht="30" customHeight="1" x14ac:dyDescent="0.3">
      <c r="A18" s="11"/>
      <c r="B18" s="88" t="s">
        <v>182</v>
      </c>
      <c r="C18" s="89"/>
      <c r="D18" s="89"/>
      <c r="E18" s="9">
        <v>5</v>
      </c>
      <c r="F18" s="43">
        <v>4</v>
      </c>
      <c r="G18" s="31">
        <f t="shared" si="0"/>
        <v>0.8</v>
      </c>
      <c r="H18" s="32" t="str">
        <f t="shared" si="1"/>
        <v>جيد جداً</v>
      </c>
      <c r="I18" s="50"/>
      <c r="J18" s="51"/>
    </row>
    <row r="19" spans="1:10" ht="30" customHeight="1" x14ac:dyDescent="0.3">
      <c r="A19" s="11"/>
      <c r="B19" s="88" t="s">
        <v>183</v>
      </c>
      <c r="C19" s="89"/>
      <c r="D19" s="89"/>
      <c r="E19" s="9">
        <v>5</v>
      </c>
      <c r="F19" s="43">
        <v>4</v>
      </c>
      <c r="G19" s="31">
        <f t="shared" si="0"/>
        <v>0.8</v>
      </c>
      <c r="H19" s="32" t="str">
        <f t="shared" si="1"/>
        <v>جيد جداً</v>
      </c>
      <c r="I19" s="50"/>
      <c r="J19" s="51"/>
    </row>
    <row r="20" spans="1:10" ht="30" customHeight="1" x14ac:dyDescent="0.3">
      <c r="A20" s="11"/>
      <c r="B20" s="88" t="s">
        <v>184</v>
      </c>
      <c r="C20" s="89"/>
      <c r="D20" s="89"/>
      <c r="E20" s="9">
        <v>5</v>
      </c>
      <c r="F20" s="43">
        <v>3.5</v>
      </c>
      <c r="G20" s="31">
        <f t="shared" si="0"/>
        <v>0.7</v>
      </c>
      <c r="H20" s="32" t="str">
        <f t="shared" si="1"/>
        <v>جيد</v>
      </c>
      <c r="I20" s="50"/>
      <c r="J20" s="51"/>
    </row>
    <row r="21" spans="1:10" ht="30" customHeight="1" x14ac:dyDescent="0.3">
      <c r="A21" s="11"/>
      <c r="B21" s="88" t="s">
        <v>185</v>
      </c>
      <c r="C21" s="89"/>
      <c r="D21" s="89"/>
      <c r="E21" s="9">
        <v>5</v>
      </c>
      <c r="F21" s="43">
        <v>4</v>
      </c>
      <c r="G21" s="31">
        <f t="shared" si="0"/>
        <v>0.8</v>
      </c>
      <c r="H21" s="32" t="str">
        <f t="shared" si="1"/>
        <v>جيد جداً</v>
      </c>
      <c r="I21" s="50"/>
      <c r="J21" s="51"/>
    </row>
    <row r="22" spans="1:10" ht="30" customHeight="1" x14ac:dyDescent="0.3">
      <c r="A22" s="11"/>
      <c r="B22" s="88" t="s">
        <v>186</v>
      </c>
      <c r="C22" s="89"/>
      <c r="D22" s="89"/>
      <c r="E22" s="9">
        <v>5</v>
      </c>
      <c r="F22" s="43">
        <v>4</v>
      </c>
      <c r="G22" s="31">
        <f t="shared" si="0"/>
        <v>0.8</v>
      </c>
      <c r="H22" s="32" t="str">
        <f t="shared" si="1"/>
        <v>جيد جداً</v>
      </c>
      <c r="I22" s="50"/>
      <c r="J22" s="51"/>
    </row>
    <row r="23" spans="1:10" ht="30" customHeight="1" thickBot="1" x14ac:dyDescent="0.35">
      <c r="A23" s="11"/>
      <c r="B23" s="90" t="s">
        <v>187</v>
      </c>
      <c r="C23" s="91"/>
      <c r="D23" s="91"/>
      <c r="E23" s="33">
        <v>5</v>
      </c>
      <c r="F23" s="43">
        <v>4</v>
      </c>
      <c r="G23" s="34">
        <f t="shared" si="0"/>
        <v>0.8</v>
      </c>
      <c r="H23" s="35" t="str">
        <f t="shared" si="1"/>
        <v>جيد جداً</v>
      </c>
      <c r="I23" s="44"/>
      <c r="J23" s="45"/>
    </row>
    <row r="24" spans="1:10" ht="30" customHeight="1" x14ac:dyDescent="0.3">
      <c r="A24" s="11"/>
      <c r="B24" s="86" t="s">
        <v>248</v>
      </c>
      <c r="C24" s="87"/>
      <c r="D24" s="87"/>
      <c r="E24" s="38"/>
      <c r="F24" s="39"/>
      <c r="G24" s="40"/>
      <c r="H24" s="41"/>
      <c r="I24" s="48"/>
      <c r="J24" s="49"/>
    </row>
    <row r="25" spans="1:10" ht="30" customHeight="1" x14ac:dyDescent="0.3">
      <c r="A25" s="11"/>
      <c r="B25" s="88" t="s">
        <v>188</v>
      </c>
      <c r="C25" s="89"/>
      <c r="D25" s="89"/>
      <c r="E25" s="9">
        <v>5</v>
      </c>
      <c r="F25" s="27">
        <v>3.75</v>
      </c>
      <c r="G25" s="31">
        <f t="shared" si="0"/>
        <v>0.75</v>
      </c>
      <c r="H25" s="32" t="str">
        <f t="shared" si="1"/>
        <v>جيد</v>
      </c>
      <c r="I25" s="50"/>
      <c r="J25" s="51"/>
    </row>
    <row r="26" spans="1:10" ht="50.1" customHeight="1" thickBot="1" x14ac:dyDescent="0.35">
      <c r="A26" s="11"/>
      <c r="B26" s="90" t="s">
        <v>189</v>
      </c>
      <c r="C26" s="91"/>
      <c r="D26" s="91"/>
      <c r="E26" s="33">
        <v>5</v>
      </c>
      <c r="F26" s="43">
        <v>3.5</v>
      </c>
      <c r="G26" s="34">
        <f t="shared" si="0"/>
        <v>0.7</v>
      </c>
      <c r="H26" s="35" t="str">
        <f t="shared" si="1"/>
        <v>جيد</v>
      </c>
      <c r="I26" s="44"/>
      <c r="J26" s="45"/>
    </row>
    <row r="27" spans="1:10" ht="50.1" customHeight="1" x14ac:dyDescent="0.3">
      <c r="A27" s="11"/>
      <c r="B27" s="86" t="s">
        <v>249</v>
      </c>
      <c r="C27" s="87"/>
      <c r="D27" s="87"/>
      <c r="E27" s="38"/>
      <c r="F27" s="39"/>
      <c r="G27" s="40"/>
      <c r="H27" s="41"/>
      <c r="I27" s="48"/>
      <c r="J27" s="49"/>
    </row>
    <row r="28" spans="1:10" ht="99" customHeight="1" x14ac:dyDescent="0.3">
      <c r="A28" s="11"/>
      <c r="B28" s="88" t="s">
        <v>190</v>
      </c>
      <c r="C28" s="89"/>
      <c r="D28" s="89"/>
      <c r="E28" s="9">
        <v>5</v>
      </c>
      <c r="F28" s="27">
        <v>3.5</v>
      </c>
      <c r="G28" s="31">
        <f t="shared" si="0"/>
        <v>0.7</v>
      </c>
      <c r="H28" s="32" t="str">
        <f t="shared" si="1"/>
        <v>جيد</v>
      </c>
      <c r="I28" s="50"/>
      <c r="J28" s="51"/>
    </row>
    <row r="29" spans="1:10" ht="50.1" customHeight="1" x14ac:dyDescent="0.3">
      <c r="A29" s="11"/>
      <c r="B29" s="88" t="s">
        <v>191</v>
      </c>
      <c r="C29" s="89"/>
      <c r="D29" s="89"/>
      <c r="E29" s="9">
        <v>5</v>
      </c>
      <c r="F29" s="43">
        <v>3.75</v>
      </c>
      <c r="G29" s="31">
        <f t="shared" si="0"/>
        <v>0.75</v>
      </c>
      <c r="H29" s="32" t="str">
        <f t="shared" si="1"/>
        <v>جيد</v>
      </c>
      <c r="I29" s="50"/>
      <c r="J29" s="51"/>
    </row>
    <row r="30" spans="1:10" ht="50.1" customHeight="1" x14ac:dyDescent="0.3">
      <c r="A30" s="11"/>
      <c r="B30" s="88" t="s">
        <v>192</v>
      </c>
      <c r="C30" s="89"/>
      <c r="D30" s="89"/>
      <c r="E30" s="9">
        <v>5</v>
      </c>
      <c r="F30" s="43">
        <v>3.5</v>
      </c>
      <c r="G30" s="31">
        <f t="shared" si="0"/>
        <v>0.7</v>
      </c>
      <c r="H30" s="32" t="str">
        <f t="shared" si="1"/>
        <v>جيد</v>
      </c>
      <c r="I30" s="50"/>
      <c r="J30" s="51"/>
    </row>
    <row r="31" spans="1:10" ht="50.1" customHeight="1" thickBot="1" x14ac:dyDescent="0.35">
      <c r="A31" s="11"/>
      <c r="B31" s="90" t="s">
        <v>193</v>
      </c>
      <c r="C31" s="91"/>
      <c r="D31" s="91"/>
      <c r="E31" s="33">
        <v>5</v>
      </c>
      <c r="F31" s="43">
        <v>3.5</v>
      </c>
      <c r="G31" s="34">
        <f t="shared" si="0"/>
        <v>0.7</v>
      </c>
      <c r="H31" s="35" t="str">
        <f t="shared" si="1"/>
        <v>جيد</v>
      </c>
      <c r="I31" s="44"/>
      <c r="J31" s="45"/>
    </row>
    <row r="32" spans="1:10" ht="39.9" customHeight="1" thickBot="1" x14ac:dyDescent="0.35">
      <c r="A32" s="11"/>
      <c r="B32" s="84" t="s">
        <v>250</v>
      </c>
      <c r="C32" s="85"/>
      <c r="D32" s="85"/>
      <c r="E32" s="10">
        <v>5</v>
      </c>
      <c r="F32" s="43">
        <v>4</v>
      </c>
      <c r="G32" s="37">
        <f t="shared" si="0"/>
        <v>0.8</v>
      </c>
      <c r="H32" s="28" t="str">
        <f t="shared" si="1"/>
        <v>جيد جداً</v>
      </c>
      <c r="I32" s="46"/>
      <c r="J32" s="47"/>
    </row>
    <row r="33" spans="1:10" ht="30" customHeight="1" x14ac:dyDescent="0.3">
      <c r="A33" s="11"/>
      <c r="B33" s="86" t="s">
        <v>251</v>
      </c>
      <c r="C33" s="87"/>
      <c r="D33" s="87"/>
      <c r="E33" s="38"/>
      <c r="F33" s="43"/>
      <c r="G33" s="40" t="str">
        <f t="shared" si="0"/>
        <v/>
      </c>
      <c r="H33" s="41"/>
      <c r="I33" s="48"/>
      <c r="J33" s="49"/>
    </row>
    <row r="34" spans="1:10" ht="30" customHeight="1" x14ac:dyDescent="0.3">
      <c r="A34" s="11"/>
      <c r="B34" s="88" t="s">
        <v>194</v>
      </c>
      <c r="C34" s="89"/>
      <c r="D34" s="89"/>
      <c r="E34" s="9">
        <v>5</v>
      </c>
      <c r="F34" s="27">
        <v>4</v>
      </c>
      <c r="G34" s="31">
        <f t="shared" si="0"/>
        <v>0.8</v>
      </c>
      <c r="H34" s="32" t="str">
        <f t="shared" si="1"/>
        <v>جيد جداً</v>
      </c>
      <c r="I34" s="50"/>
      <c r="J34" s="51"/>
    </row>
    <row r="35" spans="1:10" ht="30" customHeight="1" x14ac:dyDescent="0.3">
      <c r="A35" s="11"/>
      <c r="B35" s="88" t="s">
        <v>195</v>
      </c>
      <c r="C35" s="89"/>
      <c r="D35" s="89"/>
      <c r="E35" s="9">
        <v>5</v>
      </c>
      <c r="F35" s="43">
        <v>3.5</v>
      </c>
      <c r="G35" s="31">
        <f t="shared" si="0"/>
        <v>0.7</v>
      </c>
      <c r="H35" s="32" t="str">
        <f t="shared" si="1"/>
        <v>جيد</v>
      </c>
      <c r="I35" s="50"/>
      <c r="J35" s="51"/>
    </row>
    <row r="36" spans="1:10" ht="30" customHeight="1" thickBot="1" x14ac:dyDescent="0.35">
      <c r="A36" s="11"/>
      <c r="B36" s="90" t="s">
        <v>196</v>
      </c>
      <c r="C36" s="91"/>
      <c r="D36" s="91"/>
      <c r="E36" s="33">
        <v>5</v>
      </c>
      <c r="F36" s="43">
        <v>3.75</v>
      </c>
      <c r="G36" s="34">
        <f t="shared" si="0"/>
        <v>0.75</v>
      </c>
      <c r="H36" s="35" t="str">
        <f t="shared" si="1"/>
        <v>جيد</v>
      </c>
      <c r="I36" s="44"/>
      <c r="J36" s="45"/>
    </row>
    <row r="37" spans="1:10" ht="39.9" customHeight="1" x14ac:dyDescent="0.3">
      <c r="A37" s="11"/>
      <c r="B37" s="86" t="s">
        <v>252</v>
      </c>
      <c r="C37" s="87"/>
      <c r="D37" s="87"/>
      <c r="E37" s="38"/>
      <c r="F37" s="39"/>
      <c r="G37" s="40"/>
      <c r="H37" s="41"/>
      <c r="I37" s="48"/>
      <c r="J37" s="49"/>
    </row>
    <row r="38" spans="1:10" ht="30" customHeight="1" x14ac:dyDescent="0.3">
      <c r="A38" s="11"/>
      <c r="B38" s="92" t="s">
        <v>197</v>
      </c>
      <c r="C38" s="93"/>
      <c r="D38" s="93"/>
      <c r="E38" s="9">
        <v>5</v>
      </c>
      <c r="F38" s="27">
        <v>4.5</v>
      </c>
      <c r="G38" s="31">
        <f t="shared" si="0"/>
        <v>0.9</v>
      </c>
      <c r="H38" s="32" t="str">
        <f t="shared" si="1"/>
        <v>ممتاز</v>
      </c>
      <c r="I38" s="50"/>
      <c r="J38" s="51"/>
    </row>
    <row r="39" spans="1:10" ht="39.9" customHeight="1" thickBot="1" x14ac:dyDescent="0.35">
      <c r="A39" s="11"/>
      <c r="B39" s="90" t="s">
        <v>198</v>
      </c>
      <c r="C39" s="91"/>
      <c r="D39" s="91"/>
      <c r="E39" s="33">
        <v>5</v>
      </c>
      <c r="F39" s="43">
        <v>3.5</v>
      </c>
      <c r="G39" s="34">
        <f t="shared" si="0"/>
        <v>0.7</v>
      </c>
      <c r="H39" s="35" t="str">
        <f t="shared" si="1"/>
        <v>جيد</v>
      </c>
      <c r="I39" s="44"/>
      <c r="J39" s="45"/>
    </row>
    <row r="40" spans="1:10" ht="30" customHeight="1" x14ac:dyDescent="0.3">
      <c r="A40" s="11"/>
      <c r="B40" s="86" t="s">
        <v>253</v>
      </c>
      <c r="C40" s="87"/>
      <c r="D40" s="87"/>
      <c r="E40" s="38"/>
      <c r="F40" s="39"/>
      <c r="G40" s="40"/>
      <c r="H40" s="41"/>
      <c r="I40" s="48"/>
      <c r="J40" s="49"/>
    </row>
    <row r="41" spans="1:10" ht="30" customHeight="1" x14ac:dyDescent="0.3">
      <c r="A41" s="11"/>
      <c r="B41" s="88" t="s">
        <v>199</v>
      </c>
      <c r="C41" s="89"/>
      <c r="D41" s="89"/>
      <c r="E41" s="9">
        <v>5</v>
      </c>
      <c r="F41" s="27">
        <v>3.5</v>
      </c>
      <c r="G41" s="31">
        <f t="shared" si="0"/>
        <v>0.7</v>
      </c>
      <c r="H41" s="32" t="str">
        <f t="shared" si="1"/>
        <v>جيد</v>
      </c>
      <c r="I41" s="50"/>
      <c r="J41" s="51"/>
    </row>
    <row r="42" spans="1:10" ht="30" customHeight="1" x14ac:dyDescent="0.3">
      <c r="A42" s="11"/>
      <c r="B42" s="88" t="s">
        <v>200</v>
      </c>
      <c r="C42" s="89"/>
      <c r="D42" s="89"/>
      <c r="E42" s="9">
        <v>5</v>
      </c>
      <c r="F42" s="43">
        <v>3.5</v>
      </c>
      <c r="G42" s="31">
        <f t="shared" si="0"/>
        <v>0.7</v>
      </c>
      <c r="H42" s="32" t="str">
        <f t="shared" si="1"/>
        <v>جيد</v>
      </c>
      <c r="I42" s="50"/>
      <c r="J42" s="51"/>
    </row>
    <row r="43" spans="1:10" ht="30" customHeight="1" thickBot="1" x14ac:dyDescent="0.35">
      <c r="A43" s="11"/>
      <c r="B43" s="90" t="s">
        <v>201</v>
      </c>
      <c r="C43" s="91"/>
      <c r="D43" s="91"/>
      <c r="E43" s="33">
        <v>5</v>
      </c>
      <c r="F43" s="43">
        <v>3.5</v>
      </c>
      <c r="G43" s="34">
        <f t="shared" si="0"/>
        <v>0.7</v>
      </c>
      <c r="H43" s="35" t="str">
        <f t="shared" si="1"/>
        <v>جيد</v>
      </c>
      <c r="I43" s="44"/>
      <c r="J43" s="45"/>
    </row>
    <row r="44" spans="1:10" ht="30" customHeight="1" x14ac:dyDescent="0.3">
      <c r="A44" s="11"/>
      <c r="B44" s="86" t="s">
        <v>254</v>
      </c>
      <c r="C44" s="87"/>
      <c r="D44" s="87"/>
      <c r="E44" s="38"/>
      <c r="F44" s="39"/>
      <c r="G44" s="40"/>
      <c r="H44" s="41"/>
      <c r="I44" s="48"/>
      <c r="J44" s="49"/>
    </row>
    <row r="45" spans="1:10" ht="30" customHeight="1" x14ac:dyDescent="0.3">
      <c r="A45" s="11"/>
      <c r="B45" s="88" t="s">
        <v>202</v>
      </c>
      <c r="C45" s="89"/>
      <c r="D45" s="89"/>
      <c r="E45" s="9">
        <v>5</v>
      </c>
      <c r="F45" s="27">
        <v>4.5</v>
      </c>
      <c r="G45" s="31">
        <f t="shared" si="0"/>
        <v>0.9</v>
      </c>
      <c r="H45" s="32" t="str">
        <f t="shared" si="1"/>
        <v>ممتاز</v>
      </c>
      <c r="I45" s="50"/>
      <c r="J45" s="51"/>
    </row>
    <row r="46" spans="1:10" ht="30" customHeight="1" x14ac:dyDescent="0.3">
      <c r="A46" s="11"/>
      <c r="B46" s="88" t="s">
        <v>203</v>
      </c>
      <c r="C46" s="89"/>
      <c r="D46" s="89"/>
      <c r="E46" s="9">
        <v>5</v>
      </c>
      <c r="F46" s="43">
        <v>3.5</v>
      </c>
      <c r="G46" s="31">
        <f t="shared" si="0"/>
        <v>0.7</v>
      </c>
      <c r="H46" s="32" t="str">
        <f t="shared" si="1"/>
        <v>جيد</v>
      </c>
      <c r="I46" s="50"/>
      <c r="J46" s="51"/>
    </row>
    <row r="47" spans="1:10" ht="30" customHeight="1" thickBot="1" x14ac:dyDescent="0.35">
      <c r="A47" s="11"/>
      <c r="B47" s="90" t="s">
        <v>204</v>
      </c>
      <c r="C47" s="91"/>
      <c r="D47" s="91"/>
      <c r="E47" s="33">
        <v>5</v>
      </c>
      <c r="F47" s="43">
        <v>3.5</v>
      </c>
      <c r="G47" s="34">
        <f t="shared" si="0"/>
        <v>0.7</v>
      </c>
      <c r="H47" s="35" t="str">
        <f t="shared" si="1"/>
        <v>جيد</v>
      </c>
      <c r="I47" s="44"/>
      <c r="J47" s="45"/>
    </row>
    <row r="48" spans="1:10" ht="30" customHeight="1" x14ac:dyDescent="0.3">
      <c r="A48" s="11"/>
      <c r="B48" s="86" t="s">
        <v>255</v>
      </c>
      <c r="C48" s="87"/>
      <c r="D48" s="87"/>
      <c r="E48" s="38"/>
      <c r="F48" s="39"/>
      <c r="G48" s="40"/>
      <c r="H48" s="41"/>
      <c r="I48" s="48"/>
      <c r="J48" s="49"/>
    </row>
    <row r="49" spans="1:10" ht="30" customHeight="1" x14ac:dyDescent="0.3">
      <c r="A49" s="11"/>
      <c r="B49" s="88" t="s">
        <v>205</v>
      </c>
      <c r="C49" s="89"/>
      <c r="D49" s="89"/>
      <c r="E49" s="9">
        <v>5</v>
      </c>
      <c r="F49" s="27">
        <v>4.5</v>
      </c>
      <c r="G49" s="31">
        <f t="shared" si="0"/>
        <v>0.9</v>
      </c>
      <c r="H49" s="32" t="str">
        <f t="shared" si="1"/>
        <v>ممتاز</v>
      </c>
      <c r="I49" s="50"/>
      <c r="J49" s="51"/>
    </row>
    <row r="50" spans="1:10" ht="39.9" customHeight="1" thickBot="1" x14ac:dyDescent="0.35">
      <c r="A50" s="11"/>
      <c r="B50" s="90" t="s">
        <v>206</v>
      </c>
      <c r="C50" s="91"/>
      <c r="D50" s="91"/>
      <c r="E50" s="33">
        <v>5</v>
      </c>
      <c r="F50" s="43">
        <v>3.5</v>
      </c>
      <c r="G50" s="34">
        <f t="shared" si="0"/>
        <v>0.7</v>
      </c>
      <c r="H50" s="35" t="str">
        <f t="shared" si="1"/>
        <v>جيد</v>
      </c>
      <c r="I50" s="44"/>
      <c r="J50" s="45"/>
    </row>
    <row r="51" spans="1:10" ht="39.9" customHeight="1" thickBot="1" x14ac:dyDescent="0.35">
      <c r="A51" s="11"/>
      <c r="B51" s="84" t="s">
        <v>256</v>
      </c>
      <c r="C51" s="85"/>
      <c r="D51" s="85"/>
      <c r="E51" s="10">
        <v>5</v>
      </c>
      <c r="F51" s="43">
        <v>3.5</v>
      </c>
      <c r="G51" s="37">
        <f t="shared" si="0"/>
        <v>0.7</v>
      </c>
      <c r="H51" s="28" t="str">
        <f t="shared" si="1"/>
        <v>جيد</v>
      </c>
      <c r="I51" s="46"/>
      <c r="J51" s="47"/>
    </row>
    <row r="52" spans="1:10" ht="50.1" customHeight="1" x14ac:dyDescent="0.3">
      <c r="A52" s="11"/>
      <c r="B52" s="86" t="s">
        <v>257</v>
      </c>
      <c r="C52" s="87"/>
      <c r="D52" s="87"/>
      <c r="E52" s="38"/>
      <c r="F52" s="39"/>
      <c r="G52" s="40"/>
      <c r="H52" s="41"/>
      <c r="I52" s="48"/>
      <c r="J52" s="49"/>
    </row>
    <row r="53" spans="1:10" ht="30" customHeight="1" x14ac:dyDescent="0.3">
      <c r="A53" s="11"/>
      <c r="B53" s="88" t="s">
        <v>207</v>
      </c>
      <c r="C53" s="89"/>
      <c r="D53" s="89"/>
      <c r="E53" s="9">
        <v>5</v>
      </c>
      <c r="F53" s="27">
        <v>3.5</v>
      </c>
      <c r="G53" s="31">
        <f t="shared" si="0"/>
        <v>0.7</v>
      </c>
      <c r="H53" s="32" t="str">
        <f t="shared" si="1"/>
        <v>جيد</v>
      </c>
      <c r="I53" s="50"/>
      <c r="J53" s="51"/>
    </row>
    <row r="54" spans="1:10" ht="30" customHeight="1" x14ac:dyDescent="0.3">
      <c r="A54" s="11"/>
      <c r="B54" s="88" t="s">
        <v>208</v>
      </c>
      <c r="C54" s="89"/>
      <c r="D54" s="89"/>
      <c r="E54" s="9">
        <v>5</v>
      </c>
      <c r="F54" s="43">
        <v>3.5</v>
      </c>
      <c r="G54" s="31">
        <f t="shared" si="0"/>
        <v>0.7</v>
      </c>
      <c r="H54" s="32" t="str">
        <f t="shared" si="1"/>
        <v>جيد</v>
      </c>
      <c r="I54" s="50"/>
      <c r="J54" s="51"/>
    </row>
    <row r="55" spans="1:10" ht="30" customHeight="1" x14ac:dyDescent="0.3">
      <c r="A55" s="11"/>
      <c r="B55" s="88" t="s">
        <v>209</v>
      </c>
      <c r="C55" s="89"/>
      <c r="D55" s="89"/>
      <c r="E55" s="9">
        <v>5</v>
      </c>
      <c r="F55" s="43">
        <v>3.25</v>
      </c>
      <c r="G55" s="31">
        <f t="shared" si="0"/>
        <v>0.65</v>
      </c>
      <c r="H55" s="32" t="str">
        <f t="shared" si="1"/>
        <v>مقبول</v>
      </c>
      <c r="I55" s="50"/>
      <c r="J55" s="51"/>
    </row>
    <row r="56" spans="1:10" ht="30" customHeight="1" x14ac:dyDescent="0.3">
      <c r="A56" s="11"/>
      <c r="B56" s="88" t="s">
        <v>210</v>
      </c>
      <c r="C56" s="89"/>
      <c r="D56" s="89"/>
      <c r="E56" s="9">
        <v>5</v>
      </c>
      <c r="F56" s="43">
        <v>3.5</v>
      </c>
      <c r="G56" s="31">
        <f t="shared" si="0"/>
        <v>0.7</v>
      </c>
      <c r="H56" s="32" t="str">
        <f t="shared" si="1"/>
        <v>جيد</v>
      </c>
      <c r="I56" s="50"/>
      <c r="J56" s="51"/>
    </row>
    <row r="57" spans="1:10" ht="30" customHeight="1" x14ac:dyDescent="0.3">
      <c r="A57" s="11"/>
      <c r="B57" s="88" t="s">
        <v>211</v>
      </c>
      <c r="C57" s="89"/>
      <c r="D57" s="89"/>
      <c r="E57" s="9">
        <v>5</v>
      </c>
      <c r="F57" s="43">
        <v>3.75</v>
      </c>
      <c r="G57" s="31">
        <f t="shared" si="0"/>
        <v>0.75</v>
      </c>
      <c r="H57" s="32" t="str">
        <f t="shared" si="1"/>
        <v>جيد</v>
      </c>
      <c r="I57" s="50"/>
      <c r="J57" s="51"/>
    </row>
    <row r="58" spans="1:10" ht="30" customHeight="1" x14ac:dyDescent="0.3">
      <c r="A58" s="11"/>
      <c r="B58" s="88" t="s">
        <v>212</v>
      </c>
      <c r="C58" s="89"/>
      <c r="D58" s="89"/>
      <c r="E58" s="9">
        <v>5</v>
      </c>
      <c r="F58" s="43">
        <v>3.5</v>
      </c>
      <c r="G58" s="31">
        <f t="shared" si="0"/>
        <v>0.7</v>
      </c>
      <c r="H58" s="32" t="str">
        <f t="shared" si="1"/>
        <v>جيد</v>
      </c>
      <c r="I58" s="50"/>
      <c r="J58" s="51"/>
    </row>
    <row r="59" spans="1:10" ht="30" customHeight="1" x14ac:dyDescent="0.3">
      <c r="A59" s="11"/>
      <c r="B59" s="88" t="s">
        <v>213</v>
      </c>
      <c r="C59" s="89"/>
      <c r="D59" s="89"/>
      <c r="E59" s="9">
        <v>5</v>
      </c>
      <c r="F59" s="43">
        <v>3.5</v>
      </c>
      <c r="G59" s="31">
        <f t="shared" si="0"/>
        <v>0.7</v>
      </c>
      <c r="H59" s="32" t="str">
        <f t="shared" si="1"/>
        <v>جيد</v>
      </c>
      <c r="I59" s="50"/>
      <c r="J59" s="51"/>
    </row>
    <row r="60" spans="1:10" ht="30" customHeight="1" x14ac:dyDescent="0.3">
      <c r="A60" s="11"/>
      <c r="B60" s="88" t="s">
        <v>214</v>
      </c>
      <c r="C60" s="89"/>
      <c r="D60" s="89"/>
      <c r="E60" s="9">
        <v>5</v>
      </c>
      <c r="F60" s="43">
        <v>3.5</v>
      </c>
      <c r="G60" s="31">
        <f t="shared" si="0"/>
        <v>0.7</v>
      </c>
      <c r="H60" s="32" t="str">
        <f t="shared" si="1"/>
        <v>جيد</v>
      </c>
      <c r="I60" s="50"/>
      <c r="J60" s="51"/>
    </row>
    <row r="61" spans="1:10" ht="30" customHeight="1" x14ac:dyDescent="0.3">
      <c r="A61" s="11"/>
      <c r="B61" s="88" t="s">
        <v>215</v>
      </c>
      <c r="C61" s="89"/>
      <c r="D61" s="89"/>
      <c r="E61" s="9">
        <v>5</v>
      </c>
      <c r="F61" s="43">
        <v>3.25</v>
      </c>
      <c r="G61" s="31">
        <f t="shared" si="0"/>
        <v>0.65</v>
      </c>
      <c r="H61" s="32" t="str">
        <f t="shared" si="1"/>
        <v>مقبول</v>
      </c>
      <c r="I61" s="50"/>
      <c r="J61" s="51"/>
    </row>
    <row r="62" spans="1:10" ht="30" customHeight="1" x14ac:dyDescent="0.3">
      <c r="A62" s="11"/>
      <c r="B62" s="88" t="s">
        <v>216</v>
      </c>
      <c r="C62" s="89"/>
      <c r="D62" s="89"/>
      <c r="E62" s="9">
        <v>5</v>
      </c>
      <c r="F62" s="43">
        <v>3.5</v>
      </c>
      <c r="G62" s="31">
        <f t="shared" si="0"/>
        <v>0.7</v>
      </c>
      <c r="H62" s="32" t="str">
        <f t="shared" si="1"/>
        <v>جيد</v>
      </c>
      <c r="I62" s="50"/>
      <c r="J62" s="51"/>
    </row>
    <row r="63" spans="1:10" ht="30" customHeight="1" x14ac:dyDescent="0.3">
      <c r="A63" s="11"/>
      <c r="B63" s="88" t="s">
        <v>217</v>
      </c>
      <c r="C63" s="89"/>
      <c r="D63" s="89"/>
      <c r="E63" s="9">
        <v>5</v>
      </c>
      <c r="F63" s="43">
        <v>3.5</v>
      </c>
      <c r="G63" s="31">
        <f t="shared" si="0"/>
        <v>0.7</v>
      </c>
      <c r="H63" s="32" t="str">
        <f t="shared" si="1"/>
        <v>جيد</v>
      </c>
      <c r="I63" s="50"/>
      <c r="J63" s="51"/>
    </row>
    <row r="64" spans="1:10" ht="30" customHeight="1" x14ac:dyDescent="0.3">
      <c r="A64" s="11"/>
      <c r="B64" s="88" t="s">
        <v>218</v>
      </c>
      <c r="C64" s="89"/>
      <c r="D64" s="89"/>
      <c r="E64" s="9">
        <v>5</v>
      </c>
      <c r="F64" s="43">
        <v>3.5</v>
      </c>
      <c r="G64" s="31">
        <f t="shared" si="0"/>
        <v>0.7</v>
      </c>
      <c r="H64" s="32" t="str">
        <f t="shared" si="1"/>
        <v>جيد</v>
      </c>
      <c r="I64" s="50"/>
      <c r="J64" s="51"/>
    </row>
    <row r="65" spans="1:10" ht="30" customHeight="1" x14ac:dyDescent="0.3">
      <c r="A65" s="11"/>
      <c r="B65" s="88" t="s">
        <v>219</v>
      </c>
      <c r="C65" s="89"/>
      <c r="D65" s="89"/>
      <c r="E65" s="9">
        <v>5</v>
      </c>
      <c r="F65" s="43">
        <v>3.5</v>
      </c>
      <c r="G65" s="31">
        <f t="shared" si="0"/>
        <v>0.7</v>
      </c>
      <c r="H65" s="32" t="str">
        <f t="shared" si="1"/>
        <v>جيد</v>
      </c>
      <c r="I65" s="50"/>
      <c r="J65" s="51"/>
    </row>
    <row r="66" spans="1:10" ht="30" customHeight="1" x14ac:dyDescent="0.3">
      <c r="A66" s="11"/>
      <c r="B66" s="88" t="s">
        <v>220</v>
      </c>
      <c r="C66" s="89"/>
      <c r="D66" s="89"/>
      <c r="E66" s="9">
        <v>5</v>
      </c>
      <c r="F66" s="43">
        <v>3.5</v>
      </c>
      <c r="G66" s="31">
        <f t="shared" si="0"/>
        <v>0.7</v>
      </c>
      <c r="H66" s="32" t="str">
        <f t="shared" si="1"/>
        <v>جيد</v>
      </c>
      <c r="I66" s="50"/>
      <c r="J66" s="51"/>
    </row>
    <row r="67" spans="1:10" ht="30" customHeight="1" x14ac:dyDescent="0.3">
      <c r="A67" s="11"/>
      <c r="B67" s="88" t="s">
        <v>221</v>
      </c>
      <c r="C67" s="89"/>
      <c r="D67" s="89"/>
      <c r="E67" s="9">
        <v>5</v>
      </c>
      <c r="F67" s="43">
        <v>3.5</v>
      </c>
      <c r="G67" s="31">
        <f t="shared" si="0"/>
        <v>0.7</v>
      </c>
      <c r="H67" s="32" t="str">
        <f t="shared" si="1"/>
        <v>جيد</v>
      </c>
      <c r="I67" s="50"/>
      <c r="J67" s="51"/>
    </row>
    <row r="68" spans="1:10" ht="30" customHeight="1" thickBot="1" x14ac:dyDescent="0.35">
      <c r="A68" s="11"/>
      <c r="B68" s="90" t="s">
        <v>222</v>
      </c>
      <c r="C68" s="91"/>
      <c r="D68" s="91"/>
      <c r="E68" s="33">
        <v>5</v>
      </c>
      <c r="F68" s="43">
        <v>4</v>
      </c>
      <c r="G68" s="34">
        <f t="shared" si="0"/>
        <v>0.8</v>
      </c>
      <c r="H68" s="35" t="str">
        <f t="shared" si="1"/>
        <v>جيد جداً</v>
      </c>
      <c r="I68" s="44"/>
      <c r="J68" s="45"/>
    </row>
    <row r="69" spans="1:10" ht="39.9" customHeight="1" thickBot="1" x14ac:dyDescent="0.35">
      <c r="A69" s="11"/>
      <c r="B69" s="84" t="s">
        <v>258</v>
      </c>
      <c r="C69" s="85"/>
      <c r="D69" s="85"/>
      <c r="E69" s="10">
        <v>5</v>
      </c>
      <c r="F69" s="43">
        <v>3.5</v>
      </c>
      <c r="G69" s="37">
        <f t="shared" si="0"/>
        <v>0.7</v>
      </c>
      <c r="H69" s="28" t="str">
        <f t="shared" si="1"/>
        <v>جيد</v>
      </c>
      <c r="I69" s="46"/>
      <c r="J69" s="47"/>
    </row>
    <row r="70" spans="1:10" ht="39.9" customHeight="1" x14ac:dyDescent="0.3">
      <c r="A70" s="11"/>
      <c r="B70" s="86" t="s">
        <v>259</v>
      </c>
      <c r="C70" s="87"/>
      <c r="D70" s="87"/>
      <c r="E70" s="38"/>
      <c r="F70" s="39"/>
      <c r="G70" s="40"/>
      <c r="H70" s="41"/>
      <c r="I70" s="48"/>
      <c r="J70" s="49"/>
    </row>
    <row r="71" spans="1:10" ht="39.9" customHeight="1" x14ac:dyDescent="0.3">
      <c r="A71" s="11"/>
      <c r="B71" s="88" t="s">
        <v>223</v>
      </c>
      <c r="C71" s="89"/>
      <c r="D71" s="89"/>
      <c r="E71" s="9">
        <v>5</v>
      </c>
      <c r="F71" s="27">
        <v>3.5</v>
      </c>
      <c r="G71" s="31">
        <f t="shared" si="0"/>
        <v>0.7</v>
      </c>
      <c r="H71" s="32" t="str">
        <f t="shared" si="1"/>
        <v>جيد</v>
      </c>
      <c r="I71" s="50"/>
      <c r="J71" s="51"/>
    </row>
    <row r="72" spans="1:10" ht="30" customHeight="1" x14ac:dyDescent="0.3">
      <c r="A72" s="11"/>
      <c r="B72" s="88" t="s">
        <v>224</v>
      </c>
      <c r="C72" s="89"/>
      <c r="D72" s="89"/>
      <c r="E72" s="9">
        <v>5</v>
      </c>
      <c r="F72" s="43">
        <v>3.5</v>
      </c>
      <c r="G72" s="31">
        <f t="shared" si="0"/>
        <v>0.7</v>
      </c>
      <c r="H72" s="32" t="str">
        <f t="shared" si="1"/>
        <v>جيد</v>
      </c>
      <c r="I72" s="50"/>
      <c r="J72" s="51"/>
    </row>
    <row r="73" spans="1:10" ht="30" customHeight="1" x14ac:dyDescent="0.3">
      <c r="A73" s="11"/>
      <c r="B73" s="88" t="s">
        <v>225</v>
      </c>
      <c r="C73" s="89"/>
      <c r="D73" s="89"/>
      <c r="E73" s="9">
        <v>5</v>
      </c>
      <c r="F73" s="43">
        <v>3.5</v>
      </c>
      <c r="G73" s="31">
        <f t="shared" si="0"/>
        <v>0.7</v>
      </c>
      <c r="H73" s="32" t="str">
        <f t="shared" si="1"/>
        <v>جيد</v>
      </c>
      <c r="I73" s="50"/>
      <c r="J73" s="51"/>
    </row>
    <row r="74" spans="1:10" ht="30" customHeight="1" x14ac:dyDescent="0.3">
      <c r="A74" s="11"/>
      <c r="B74" s="88" t="s">
        <v>226</v>
      </c>
      <c r="C74" s="89"/>
      <c r="D74" s="89"/>
      <c r="E74" s="9">
        <v>5</v>
      </c>
      <c r="F74" s="43">
        <v>3.5</v>
      </c>
      <c r="G74" s="31">
        <f t="shared" ref="G74:G99" si="2">IFERROR(F74/E74,"")</f>
        <v>0.7</v>
      </c>
      <c r="H74" s="32" t="str">
        <f t="shared" ref="H74:H99" si="3">_xlfn.IFS(F74="أدخل العلامة","",F74="لا ينطبق","تم الإلغاء",G74&gt;=90%,"ممتاز",G74&gt;=80%,"جيد جداً",G74&gt;=70%,"جيد",G74&gt;=60%,"مقبول",G74&lt;60%,"راسب")</f>
        <v>جيد</v>
      </c>
      <c r="I74" s="50"/>
      <c r="J74" s="51"/>
    </row>
    <row r="75" spans="1:10" ht="30" customHeight="1" thickBot="1" x14ac:dyDescent="0.35">
      <c r="A75" s="11"/>
      <c r="B75" s="90" t="s">
        <v>227</v>
      </c>
      <c r="C75" s="91"/>
      <c r="D75" s="91"/>
      <c r="E75" s="33">
        <v>5</v>
      </c>
      <c r="F75" s="43">
        <v>3.5</v>
      </c>
      <c r="G75" s="34">
        <f t="shared" si="2"/>
        <v>0.7</v>
      </c>
      <c r="H75" s="35" t="str">
        <f t="shared" si="3"/>
        <v>جيد</v>
      </c>
      <c r="I75" s="44"/>
      <c r="J75" s="45"/>
    </row>
    <row r="76" spans="1:10" ht="39.9" customHeight="1" x14ac:dyDescent="0.3">
      <c r="A76" s="11"/>
      <c r="B76" s="86" t="s">
        <v>260</v>
      </c>
      <c r="C76" s="87"/>
      <c r="D76" s="87"/>
      <c r="E76" s="38"/>
      <c r="F76" s="39"/>
      <c r="G76" s="40"/>
      <c r="H76" s="41"/>
      <c r="I76" s="48"/>
      <c r="J76" s="49"/>
    </row>
    <row r="77" spans="1:10" ht="50.1" customHeight="1" x14ac:dyDescent="0.3">
      <c r="A77" s="11"/>
      <c r="B77" s="88" t="s">
        <v>228</v>
      </c>
      <c r="C77" s="89"/>
      <c r="D77" s="89"/>
      <c r="E77" s="9">
        <v>5</v>
      </c>
      <c r="F77" s="27">
        <v>3.5</v>
      </c>
      <c r="G77" s="31">
        <f t="shared" si="2"/>
        <v>0.7</v>
      </c>
      <c r="H77" s="32" t="str">
        <f t="shared" si="3"/>
        <v>جيد</v>
      </c>
      <c r="I77" s="50"/>
      <c r="J77" s="51"/>
    </row>
    <row r="78" spans="1:10" ht="39.9" customHeight="1" x14ac:dyDescent="0.3">
      <c r="A78" s="11"/>
      <c r="B78" s="88" t="s">
        <v>229</v>
      </c>
      <c r="C78" s="89"/>
      <c r="D78" s="89"/>
      <c r="E78" s="9">
        <v>5</v>
      </c>
      <c r="F78" s="43">
        <v>3.5</v>
      </c>
      <c r="G78" s="31">
        <f t="shared" si="2"/>
        <v>0.7</v>
      </c>
      <c r="H78" s="32" t="str">
        <f t="shared" si="3"/>
        <v>جيد</v>
      </c>
      <c r="I78" s="50"/>
      <c r="J78" s="51"/>
    </row>
    <row r="79" spans="1:10" ht="30" customHeight="1" thickBot="1" x14ac:dyDescent="0.35">
      <c r="A79" s="11"/>
      <c r="B79" s="90" t="s">
        <v>230</v>
      </c>
      <c r="C79" s="91"/>
      <c r="D79" s="91"/>
      <c r="E79" s="33">
        <v>5</v>
      </c>
      <c r="F79" s="43">
        <v>3.5</v>
      </c>
      <c r="G79" s="34">
        <f t="shared" si="2"/>
        <v>0.7</v>
      </c>
      <c r="H79" s="35" t="str">
        <f t="shared" si="3"/>
        <v>جيد</v>
      </c>
      <c r="I79" s="44"/>
      <c r="J79" s="45"/>
    </row>
    <row r="80" spans="1:10" ht="39.9" customHeight="1" x14ac:dyDescent="0.3">
      <c r="A80" s="11"/>
      <c r="B80" s="86" t="s">
        <v>261</v>
      </c>
      <c r="C80" s="87"/>
      <c r="D80" s="87"/>
      <c r="E80" s="38"/>
      <c r="F80" s="39"/>
      <c r="G80" s="40"/>
      <c r="H80" s="41"/>
      <c r="I80" s="48"/>
      <c r="J80" s="49"/>
    </row>
    <row r="81" spans="1:10" ht="30" customHeight="1" x14ac:dyDescent="0.3">
      <c r="A81" s="11"/>
      <c r="B81" s="88" t="s">
        <v>231</v>
      </c>
      <c r="C81" s="89"/>
      <c r="D81" s="89"/>
      <c r="E81" s="9">
        <v>5</v>
      </c>
      <c r="F81" s="27">
        <v>3.5</v>
      </c>
      <c r="G81" s="31">
        <f t="shared" si="2"/>
        <v>0.7</v>
      </c>
      <c r="H81" s="32" t="str">
        <f t="shared" si="3"/>
        <v>جيد</v>
      </c>
      <c r="I81" s="50"/>
      <c r="J81" s="51"/>
    </row>
    <row r="82" spans="1:10" ht="30" customHeight="1" x14ac:dyDescent="0.3">
      <c r="A82" s="11"/>
      <c r="B82" s="88" t="s">
        <v>232</v>
      </c>
      <c r="C82" s="89"/>
      <c r="D82" s="89"/>
      <c r="E82" s="9">
        <v>5</v>
      </c>
      <c r="F82" s="43">
        <v>3.5</v>
      </c>
      <c r="G82" s="31">
        <f t="shared" si="2"/>
        <v>0.7</v>
      </c>
      <c r="H82" s="32" t="str">
        <f t="shared" si="3"/>
        <v>جيد</v>
      </c>
      <c r="I82" s="50"/>
      <c r="J82" s="51"/>
    </row>
    <row r="83" spans="1:10" ht="30" customHeight="1" x14ac:dyDescent="0.3">
      <c r="A83" s="11"/>
      <c r="B83" s="88" t="s">
        <v>233</v>
      </c>
      <c r="C83" s="89"/>
      <c r="D83" s="89"/>
      <c r="E83" s="9">
        <v>5</v>
      </c>
      <c r="F83" s="43">
        <v>3.5</v>
      </c>
      <c r="G83" s="31">
        <f t="shared" si="2"/>
        <v>0.7</v>
      </c>
      <c r="H83" s="32" t="str">
        <f t="shared" si="3"/>
        <v>جيد</v>
      </c>
      <c r="I83" s="50"/>
      <c r="J83" s="51"/>
    </row>
    <row r="84" spans="1:10" ht="30" customHeight="1" thickBot="1" x14ac:dyDescent="0.35">
      <c r="A84" s="11"/>
      <c r="B84" s="90" t="s">
        <v>234</v>
      </c>
      <c r="C84" s="91"/>
      <c r="D84" s="91"/>
      <c r="E84" s="33">
        <v>5</v>
      </c>
      <c r="F84" s="43">
        <v>3.5</v>
      </c>
      <c r="G84" s="34">
        <f t="shared" si="2"/>
        <v>0.7</v>
      </c>
      <c r="H84" s="35" t="str">
        <f t="shared" si="3"/>
        <v>جيد</v>
      </c>
      <c r="I84" s="44"/>
      <c r="J84" s="45"/>
    </row>
    <row r="85" spans="1:10" ht="39.9" customHeight="1" x14ac:dyDescent="0.3">
      <c r="A85" s="11"/>
      <c r="B85" s="86" t="s">
        <v>262</v>
      </c>
      <c r="C85" s="87"/>
      <c r="D85" s="87"/>
      <c r="E85" s="38"/>
      <c r="F85" s="39"/>
      <c r="G85" s="40"/>
      <c r="H85" s="41"/>
      <c r="I85" s="48"/>
      <c r="J85" s="49"/>
    </row>
    <row r="86" spans="1:10" ht="30" customHeight="1" x14ac:dyDescent="0.3">
      <c r="A86" s="11"/>
      <c r="B86" s="88" t="s">
        <v>235</v>
      </c>
      <c r="C86" s="89"/>
      <c r="D86" s="89"/>
      <c r="E86" s="9">
        <v>5</v>
      </c>
      <c r="F86" s="27">
        <v>3.5</v>
      </c>
      <c r="G86" s="31">
        <f t="shared" si="2"/>
        <v>0.7</v>
      </c>
      <c r="H86" s="32" t="str">
        <f t="shared" si="3"/>
        <v>جيد</v>
      </c>
      <c r="I86" s="50"/>
      <c r="J86" s="51"/>
    </row>
    <row r="87" spans="1:10" ht="30" customHeight="1" x14ac:dyDescent="0.3">
      <c r="A87" s="11"/>
      <c r="B87" s="88" t="s">
        <v>236</v>
      </c>
      <c r="C87" s="89"/>
      <c r="D87" s="89"/>
      <c r="E87" s="9">
        <v>5</v>
      </c>
      <c r="F87" s="43">
        <v>3.5</v>
      </c>
      <c r="G87" s="31">
        <f t="shared" si="2"/>
        <v>0.7</v>
      </c>
      <c r="H87" s="32" t="str">
        <f t="shared" si="3"/>
        <v>جيد</v>
      </c>
      <c r="I87" s="50"/>
      <c r="J87" s="51"/>
    </row>
    <row r="88" spans="1:10" ht="30" customHeight="1" x14ac:dyDescent="0.3">
      <c r="A88" s="11"/>
      <c r="B88" s="92" t="s">
        <v>237</v>
      </c>
      <c r="C88" s="93"/>
      <c r="D88" s="93"/>
      <c r="E88" s="9">
        <v>5</v>
      </c>
      <c r="F88" s="43">
        <v>3.5</v>
      </c>
      <c r="G88" s="31">
        <f t="shared" si="2"/>
        <v>0.7</v>
      </c>
      <c r="H88" s="32" t="str">
        <f t="shared" si="3"/>
        <v>جيد</v>
      </c>
      <c r="I88" s="50"/>
      <c r="J88" s="51"/>
    </row>
    <row r="89" spans="1:10" ht="39.9" customHeight="1" thickBot="1" x14ac:dyDescent="0.35">
      <c r="A89" s="11"/>
      <c r="B89" s="90" t="s">
        <v>238</v>
      </c>
      <c r="C89" s="91"/>
      <c r="D89" s="91"/>
      <c r="E89" s="33">
        <v>5</v>
      </c>
      <c r="F89" s="43">
        <v>3.5</v>
      </c>
      <c r="G89" s="34">
        <f t="shared" si="2"/>
        <v>0.7</v>
      </c>
      <c r="H89" s="35" t="str">
        <f t="shared" si="3"/>
        <v>جيد</v>
      </c>
      <c r="I89" s="44"/>
      <c r="J89" s="45"/>
    </row>
    <row r="90" spans="1:10" ht="30" customHeight="1" x14ac:dyDescent="0.3">
      <c r="A90" s="11"/>
      <c r="B90" s="86" t="s">
        <v>263</v>
      </c>
      <c r="C90" s="87"/>
      <c r="D90" s="87"/>
      <c r="E90" s="38"/>
      <c r="F90" s="39"/>
      <c r="G90" s="40"/>
      <c r="H90" s="41"/>
      <c r="I90" s="48"/>
      <c r="J90" s="49"/>
    </row>
    <row r="91" spans="1:10" ht="50.1" customHeight="1" x14ac:dyDescent="0.3">
      <c r="A91" s="11"/>
      <c r="B91" s="88" t="s">
        <v>239</v>
      </c>
      <c r="C91" s="89"/>
      <c r="D91" s="89"/>
      <c r="E91" s="9">
        <v>5</v>
      </c>
      <c r="F91" s="27">
        <v>4</v>
      </c>
      <c r="G91" s="31">
        <f t="shared" si="2"/>
        <v>0.8</v>
      </c>
      <c r="H91" s="32" t="str">
        <f t="shared" si="3"/>
        <v>جيد جداً</v>
      </c>
      <c r="I91" s="50"/>
      <c r="J91" s="51"/>
    </row>
    <row r="92" spans="1:10" ht="30" customHeight="1" thickBot="1" x14ac:dyDescent="0.35">
      <c r="A92" s="11"/>
      <c r="B92" s="90" t="s">
        <v>240</v>
      </c>
      <c r="C92" s="91"/>
      <c r="D92" s="91"/>
      <c r="E92" s="33">
        <v>5</v>
      </c>
      <c r="F92" s="43">
        <v>3.5</v>
      </c>
      <c r="G92" s="34">
        <f t="shared" si="2"/>
        <v>0.7</v>
      </c>
      <c r="H92" s="35" t="str">
        <f t="shared" si="3"/>
        <v>جيد</v>
      </c>
      <c r="I92" s="44"/>
      <c r="J92" s="45"/>
    </row>
    <row r="93" spans="1:10" ht="30" customHeight="1" x14ac:dyDescent="0.3">
      <c r="A93" s="11"/>
      <c r="B93" s="86" t="s">
        <v>264</v>
      </c>
      <c r="C93" s="87"/>
      <c r="D93" s="87"/>
      <c r="E93" s="38"/>
      <c r="F93" s="39"/>
      <c r="G93" s="40"/>
      <c r="H93" s="41"/>
      <c r="I93" s="48"/>
      <c r="J93" s="49"/>
    </row>
    <row r="94" spans="1:10" ht="30" customHeight="1" x14ac:dyDescent="0.3">
      <c r="A94" s="11"/>
      <c r="B94" s="88" t="s">
        <v>241</v>
      </c>
      <c r="C94" s="89"/>
      <c r="D94" s="89"/>
      <c r="E94" s="9">
        <v>5</v>
      </c>
      <c r="F94" s="27">
        <v>3.5</v>
      </c>
      <c r="G94" s="31">
        <f t="shared" si="2"/>
        <v>0.7</v>
      </c>
      <c r="H94" s="32" t="str">
        <f t="shared" si="3"/>
        <v>جيد</v>
      </c>
      <c r="I94" s="50"/>
      <c r="J94" s="51"/>
    </row>
    <row r="95" spans="1:10" ht="30" customHeight="1" x14ac:dyDescent="0.3">
      <c r="A95" s="11"/>
      <c r="B95" s="88" t="s">
        <v>242</v>
      </c>
      <c r="C95" s="89"/>
      <c r="D95" s="89"/>
      <c r="E95" s="9">
        <v>5</v>
      </c>
      <c r="F95" s="43">
        <v>3.5</v>
      </c>
      <c r="G95" s="31">
        <f t="shared" si="2"/>
        <v>0.7</v>
      </c>
      <c r="H95" s="32" t="str">
        <f t="shared" si="3"/>
        <v>جيد</v>
      </c>
      <c r="I95" s="50"/>
      <c r="J95" s="51"/>
    </row>
    <row r="96" spans="1:10" ht="30" customHeight="1" thickBot="1" x14ac:dyDescent="0.35">
      <c r="A96" s="11"/>
      <c r="B96" s="90" t="s">
        <v>243</v>
      </c>
      <c r="C96" s="91"/>
      <c r="D96" s="91"/>
      <c r="E96" s="33">
        <v>5</v>
      </c>
      <c r="F96" s="43">
        <v>3.5</v>
      </c>
      <c r="G96" s="34">
        <f t="shared" si="2"/>
        <v>0.7</v>
      </c>
      <c r="H96" s="35" t="str">
        <f t="shared" si="3"/>
        <v>جيد</v>
      </c>
      <c r="I96" s="44"/>
      <c r="J96" s="45"/>
    </row>
    <row r="97" spans="1:10" ht="39.9" customHeight="1" thickBot="1" x14ac:dyDescent="0.35">
      <c r="A97" s="11"/>
      <c r="B97" s="84" t="s">
        <v>265</v>
      </c>
      <c r="C97" s="85"/>
      <c r="D97" s="85"/>
      <c r="E97" s="10">
        <v>5</v>
      </c>
      <c r="F97" s="43">
        <v>3.5</v>
      </c>
      <c r="G97" s="37">
        <f t="shared" si="2"/>
        <v>0.7</v>
      </c>
      <c r="H97" s="28" t="str">
        <f t="shared" si="3"/>
        <v>جيد</v>
      </c>
      <c r="I97" s="46"/>
      <c r="J97" s="47"/>
    </row>
    <row r="98" spans="1:10" ht="39.9" customHeight="1" thickBot="1" x14ac:dyDescent="0.35">
      <c r="A98" s="11"/>
      <c r="B98" s="84" t="s">
        <v>266</v>
      </c>
      <c r="C98" s="85"/>
      <c r="D98" s="85"/>
      <c r="E98" s="10">
        <v>5</v>
      </c>
      <c r="F98" s="43">
        <v>3.5</v>
      </c>
      <c r="G98" s="37">
        <f t="shared" si="2"/>
        <v>0.7</v>
      </c>
      <c r="H98" s="28" t="str">
        <f t="shared" si="3"/>
        <v>جيد</v>
      </c>
      <c r="I98" s="46"/>
      <c r="J98" s="47"/>
    </row>
    <row r="99" spans="1:10" ht="39.9" customHeight="1" thickBot="1" x14ac:dyDescent="0.35">
      <c r="A99" s="11"/>
      <c r="B99" s="84" t="s">
        <v>267</v>
      </c>
      <c r="C99" s="85"/>
      <c r="D99" s="85"/>
      <c r="E99" s="10">
        <v>5</v>
      </c>
      <c r="F99" s="43">
        <v>3.25</v>
      </c>
      <c r="G99" s="37">
        <f t="shared" si="2"/>
        <v>0.65</v>
      </c>
      <c r="H99" s="28" t="str">
        <f t="shared" si="3"/>
        <v>مقبول</v>
      </c>
      <c r="I99" s="46"/>
      <c r="J99" s="47"/>
    </row>
    <row r="100" spans="1:10" ht="30" customHeight="1" thickBot="1" x14ac:dyDescent="0.35">
      <c r="A100" s="4"/>
      <c r="B100" s="80" t="s">
        <v>5</v>
      </c>
      <c r="C100" s="81"/>
      <c r="D100" s="81"/>
      <c r="E100" s="29">
        <f>SUM(E8:E99)</f>
        <v>375</v>
      </c>
      <c r="F100" s="29">
        <f>SUM(F8:F99)</f>
        <v>272.25</v>
      </c>
      <c r="G100" s="54"/>
      <c r="H100" s="55"/>
      <c r="I100" s="55"/>
      <c r="J100" s="56"/>
    </row>
    <row r="101" spans="1:10" ht="30" customHeight="1" thickBot="1" x14ac:dyDescent="0.35">
      <c r="A101" s="4"/>
      <c r="B101" s="82" t="s">
        <v>54</v>
      </c>
      <c r="C101" s="83"/>
      <c r="D101" s="83"/>
      <c r="E101" s="64">
        <f>F100/E100/100*100</f>
        <v>0.72599999999999998</v>
      </c>
      <c r="F101" s="64"/>
      <c r="G101" s="64"/>
      <c r="H101" s="64"/>
      <c r="I101" s="64"/>
      <c r="J101" s="65"/>
    </row>
    <row r="102" spans="1:10" ht="30" customHeight="1" thickBot="1" x14ac:dyDescent="0.35">
      <c r="A102" s="4"/>
      <c r="B102" s="82" t="s">
        <v>55</v>
      </c>
      <c r="C102" s="83"/>
      <c r="D102" s="83"/>
      <c r="E102" s="78" t="str">
        <f>_xlfn.IFS(E101&gt;=90%,"ممتاز",E101&gt;=80%,"جيد جداً",E101&gt;=70%,"جيد",E101&gt;=60%,"مقبول",E101&lt;60%,"راسب")</f>
        <v>جيد</v>
      </c>
      <c r="F102" s="78"/>
      <c r="G102" s="78"/>
      <c r="H102" s="78"/>
      <c r="I102" s="78"/>
      <c r="J102" s="79"/>
    </row>
    <row r="103" spans="1:10" ht="42" customHeight="1" x14ac:dyDescent="0.3">
      <c r="B103" s="74" t="s">
        <v>62</v>
      </c>
      <c r="C103" s="74"/>
      <c r="D103" s="74"/>
      <c r="E103" s="52" t="s">
        <v>52</v>
      </c>
      <c r="F103" s="52"/>
      <c r="G103" s="76" t="s">
        <v>98</v>
      </c>
      <c r="H103" s="76"/>
      <c r="I103" s="76"/>
      <c r="J103" s="76"/>
    </row>
    <row r="104" spans="1:10" ht="51" customHeight="1" x14ac:dyDescent="0.3">
      <c r="A104" s="5"/>
      <c r="B104" s="75"/>
      <c r="C104" s="75"/>
      <c r="D104" s="75"/>
      <c r="E104" s="53" t="s">
        <v>53</v>
      </c>
      <c r="F104" s="53"/>
      <c r="G104" s="77"/>
      <c r="H104" s="77"/>
      <c r="I104" s="77"/>
      <c r="J104" s="77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203">
    <mergeCell ref="B98:D98"/>
    <mergeCell ref="B99:D99"/>
    <mergeCell ref="B8:J8"/>
    <mergeCell ref="B12:J12"/>
    <mergeCell ref="B89:D89"/>
    <mergeCell ref="B90:D90"/>
    <mergeCell ref="B91:D91"/>
    <mergeCell ref="B92:D92"/>
    <mergeCell ref="B93:D93"/>
    <mergeCell ref="B94:D94"/>
    <mergeCell ref="B95:D95"/>
    <mergeCell ref="B96:D96"/>
    <mergeCell ref="B97:D97"/>
    <mergeCell ref="B80:D80"/>
    <mergeCell ref="B81:D81"/>
    <mergeCell ref="B82:D82"/>
    <mergeCell ref="B83:D83"/>
    <mergeCell ref="B84:D84"/>
    <mergeCell ref="B85:D85"/>
    <mergeCell ref="B86:D86"/>
    <mergeCell ref="B87:D87"/>
    <mergeCell ref="B88:D88"/>
    <mergeCell ref="B71:D71"/>
    <mergeCell ref="B72:D72"/>
    <mergeCell ref="B74:D74"/>
    <mergeCell ref="B75:D75"/>
    <mergeCell ref="B76:D76"/>
    <mergeCell ref="B77:D77"/>
    <mergeCell ref="B78:D78"/>
    <mergeCell ref="B79:D79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B54:D54"/>
    <mergeCell ref="B55:D55"/>
    <mergeCell ref="B56:D56"/>
    <mergeCell ref="B57:D57"/>
    <mergeCell ref="B58:D58"/>
    <mergeCell ref="B59:D59"/>
    <mergeCell ref="B60:D60"/>
    <mergeCell ref="B61:D61"/>
    <mergeCell ref="B73:D73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9:D9"/>
    <mergeCell ref="B10:D10"/>
    <mergeCell ref="B11:D11"/>
    <mergeCell ref="B13:D13"/>
    <mergeCell ref="B14:D14"/>
    <mergeCell ref="B15:D15"/>
    <mergeCell ref="B16:D16"/>
    <mergeCell ref="I32:J32"/>
    <mergeCell ref="I33:J33"/>
    <mergeCell ref="I24:J24"/>
    <mergeCell ref="I25:J25"/>
    <mergeCell ref="I26:J26"/>
    <mergeCell ref="I27:J27"/>
    <mergeCell ref="I9:J9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I34:J34"/>
    <mergeCell ref="I35:J35"/>
    <mergeCell ref="I36:J36"/>
    <mergeCell ref="B100:D100"/>
    <mergeCell ref="B101:D101"/>
    <mergeCell ref="B102:D102"/>
    <mergeCell ref="I11:J11"/>
    <mergeCell ref="I13:J13"/>
    <mergeCell ref="I14:J14"/>
    <mergeCell ref="I15:J15"/>
    <mergeCell ref="I16:J16"/>
    <mergeCell ref="I17:J17"/>
    <mergeCell ref="I18:J18"/>
    <mergeCell ref="I28:J28"/>
    <mergeCell ref="I29:J29"/>
    <mergeCell ref="I59:J59"/>
    <mergeCell ref="I60:J60"/>
    <mergeCell ref="I61:J61"/>
    <mergeCell ref="I89:J89"/>
    <mergeCell ref="I19:J19"/>
    <mergeCell ref="I20:J20"/>
    <mergeCell ref="I21:J21"/>
    <mergeCell ref="I22:J22"/>
    <mergeCell ref="I23:J23"/>
    <mergeCell ref="B103:D104"/>
    <mergeCell ref="G103:J103"/>
    <mergeCell ref="G104:J104"/>
    <mergeCell ref="E102:J102"/>
    <mergeCell ref="I40:J40"/>
    <mergeCell ref="I41:J41"/>
    <mergeCell ref="I42:J42"/>
    <mergeCell ref="I43:J43"/>
    <mergeCell ref="I44:J44"/>
    <mergeCell ref="I80:J80"/>
    <mergeCell ref="I81:J81"/>
    <mergeCell ref="I82:J82"/>
    <mergeCell ref="I83:J83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45:J45"/>
    <mergeCell ref="B1:J1"/>
    <mergeCell ref="F2:J2"/>
    <mergeCell ref="B5:D6"/>
    <mergeCell ref="C2:D2"/>
    <mergeCell ref="C3:D3"/>
    <mergeCell ref="F3:J3"/>
    <mergeCell ref="E101:J101"/>
    <mergeCell ref="B7:D7"/>
    <mergeCell ref="I38:J38"/>
    <mergeCell ref="I39:J39"/>
    <mergeCell ref="I84:J84"/>
    <mergeCell ref="I85:J85"/>
    <mergeCell ref="I86:J86"/>
    <mergeCell ref="I87:J87"/>
    <mergeCell ref="I88:J88"/>
    <mergeCell ref="I90:J90"/>
    <mergeCell ref="I91:J91"/>
    <mergeCell ref="I30:J30"/>
    <mergeCell ref="I31:J31"/>
    <mergeCell ref="E5:H5"/>
    <mergeCell ref="I37:J37"/>
    <mergeCell ref="I5:J6"/>
    <mergeCell ref="I7:J7"/>
    <mergeCell ref="I10:J10"/>
    <mergeCell ref="I46:J46"/>
    <mergeCell ref="I47:J47"/>
    <mergeCell ref="I48:J48"/>
    <mergeCell ref="I62:J62"/>
    <mergeCell ref="I63:J63"/>
    <mergeCell ref="I64:J64"/>
    <mergeCell ref="I65:J65"/>
    <mergeCell ref="I66:J66"/>
    <mergeCell ref="I67:J67"/>
    <mergeCell ref="I68:J68"/>
    <mergeCell ref="I69:J69"/>
    <mergeCell ref="I70:J70"/>
    <mergeCell ref="I71:J71"/>
    <mergeCell ref="E103:F103"/>
    <mergeCell ref="E104:F104"/>
    <mergeCell ref="G100:J100"/>
    <mergeCell ref="I72:J72"/>
    <mergeCell ref="I73:J73"/>
    <mergeCell ref="I74:J74"/>
    <mergeCell ref="I75:J75"/>
    <mergeCell ref="I76:J76"/>
    <mergeCell ref="I77:J77"/>
    <mergeCell ref="I78:J78"/>
    <mergeCell ref="I79:J79"/>
    <mergeCell ref="I92:J92"/>
    <mergeCell ref="I93:J93"/>
    <mergeCell ref="I94:J94"/>
    <mergeCell ref="I95:J95"/>
    <mergeCell ref="I96:J96"/>
    <mergeCell ref="I97:J97"/>
    <mergeCell ref="I98:J98"/>
    <mergeCell ref="I99:J99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102">
    <cfRule type="expression" dxfId="21" priority="57">
      <formula>$E102="راسب"</formula>
    </cfRule>
  </conditionalFormatting>
  <conditionalFormatting sqref="E102:J102">
    <cfRule type="expression" dxfId="20" priority="60">
      <formula>$E102="جيد جداً"</formula>
    </cfRule>
    <cfRule type="expression" dxfId="19" priority="59">
      <formula>$E102="جيد"</formula>
    </cfRule>
    <cfRule type="expression" dxfId="18" priority="58">
      <formula>$E102="مقبول"</formula>
    </cfRule>
    <cfRule type="expression" dxfId="17" priority="61">
      <formula>$E102="ممتاز"</formula>
    </cfRule>
  </conditionalFormatting>
  <conditionalFormatting sqref="F9:F11">
    <cfRule type="containsText" dxfId="16" priority="4" operator="containsText" text="أدخل العلامة">
      <formula>NOT(ISERROR(SEARCH("أدخل العلامة",F9)))</formula>
    </cfRule>
  </conditionalFormatting>
  <conditionalFormatting sqref="F13:F99">
    <cfRule type="containsText" dxfId="15" priority="14" operator="containsText" text="أدخل العلامة">
      <formula>NOT(ISERROR(SEARCH("أدخل العلامة",F13)))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103:J103">
    <cfRule type="containsText" dxfId="12" priority="15" operator="containsText" text="أدخل اسم المحكم">
      <formula>NOT(ISERROR(SEARCH("أدخل اسم المحكم",G103)))</formula>
    </cfRule>
  </conditionalFormatting>
  <conditionalFormatting sqref="H9:H11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13:H99">
    <cfRule type="containsText" dxfId="5" priority="38" operator="containsText" text="أدخل العلامة">
      <formula>NOT(ISERROR(SEARCH("أدخل العلامة",H13)))</formula>
    </cfRule>
    <cfRule type="containsText" dxfId="4" priority="39" operator="containsText" text="ممتاز">
      <formula>NOT(ISERROR(SEARCH("ممتاز",H13)))</formula>
    </cfRule>
    <cfRule type="containsText" dxfId="3" priority="40" operator="containsText" text="جيد جداً">
      <formula>NOT(ISERROR(SEARCH("جيد جداً",H13)))</formula>
    </cfRule>
    <cfRule type="containsText" dxfId="2" priority="41" operator="containsText" text="جيد">
      <formula>NOT(ISERROR(SEARCH("جيد",H13)))</formula>
    </cfRule>
    <cfRule type="containsText" dxfId="1" priority="42" operator="containsText" text="مقبول">
      <formula>NOT(ISERROR(SEARCH("مقبول",H13)))</formula>
    </cfRule>
    <cfRule type="containsText" dxfId="0" priority="43" operator="containsText" text="راسب">
      <formula>NOT(ISERROR(SEARCH("راسب",H13)))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F9:F11 F94:F99 F91:F92 F86:F89 F81:F84 F77:F79 F71:F75 F53:F69 F49:F51 F45:F47 F41:F43 F38:F39 F28:F36 F25:F26 F14:F23</xm:sqref>
        </x14:dataValidation>
        <x14:dataValidation type="list" allowBlank="1" showInputMessage="1" showErrorMessage="1" xr:uid="{AE50457C-7424-4A4C-907B-8DC6AA09E7A3}">
          <x14:formula1>
            <xm:f>'بيانات التقييم'!$A$198:$A$286</xm:f>
          </x14:formula1>
          <xm:sqref>G103:J103 F3:J3</xm:sqref>
        </x14:dataValidation>
        <x14:dataValidation type="list" allowBlank="1" showInputMessage="1" showErrorMessage="1" xr:uid="{74512448-CAED-4995-932E-CDA01DC3A5DC}">
          <x14:formula1>
            <xm:f>'بيانات التقييم'!$C$1:$C$29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75" zoomScaleNormal="100" workbookViewId="0">
      <selection activeCell="A199" sqref="A199:A286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20" t="s">
        <v>63</v>
      </c>
    </row>
    <row r="3" spans="1:3" ht="20.100000000000001" customHeight="1" thickBot="1" x14ac:dyDescent="0.35">
      <c r="A3" s="2" t="s">
        <v>26</v>
      </c>
      <c r="C3" s="20" t="s">
        <v>64</v>
      </c>
    </row>
    <row r="4" spans="1:3" ht="20.100000000000001" customHeight="1" thickBot="1" x14ac:dyDescent="0.35">
      <c r="A4" s="2" t="s">
        <v>36</v>
      </c>
      <c r="C4" s="20" t="s">
        <v>65</v>
      </c>
    </row>
    <row r="5" spans="1:3" ht="20.100000000000001" customHeight="1" thickBot="1" x14ac:dyDescent="0.35">
      <c r="A5" s="2" t="s">
        <v>37</v>
      </c>
      <c r="C5" s="20" t="s">
        <v>66</v>
      </c>
    </row>
    <row r="6" spans="1:3" ht="20.100000000000001" customHeight="1" thickBot="1" x14ac:dyDescent="0.35">
      <c r="A6" s="2" t="s">
        <v>38</v>
      </c>
      <c r="C6" s="20" t="s">
        <v>67</v>
      </c>
    </row>
    <row r="7" spans="1:3" ht="20.100000000000001" customHeight="1" thickBot="1" x14ac:dyDescent="0.35">
      <c r="A7" s="2" t="s">
        <v>39</v>
      </c>
      <c r="C7" s="20" t="s">
        <v>68</v>
      </c>
    </row>
    <row r="8" spans="1:3" ht="20.100000000000001" customHeight="1" thickBot="1" x14ac:dyDescent="0.35">
      <c r="A8" s="2" t="s">
        <v>40</v>
      </c>
      <c r="C8" s="20" t="s">
        <v>69</v>
      </c>
    </row>
    <row r="9" spans="1:3" ht="20.100000000000001" customHeight="1" thickBot="1" x14ac:dyDescent="0.35">
      <c r="A9" s="2" t="s">
        <v>41</v>
      </c>
      <c r="C9" s="20" t="s">
        <v>70</v>
      </c>
    </row>
    <row r="10" spans="1:3" ht="20.100000000000001" customHeight="1" thickBot="1" x14ac:dyDescent="0.35">
      <c r="A10" s="2" t="s">
        <v>42</v>
      </c>
      <c r="C10" s="20" t="s">
        <v>71</v>
      </c>
    </row>
    <row r="11" spans="1:3" ht="20.100000000000001" customHeight="1" thickBot="1" x14ac:dyDescent="0.35">
      <c r="A11" s="2" t="s">
        <v>43</v>
      </c>
      <c r="C11" s="20" t="s">
        <v>72</v>
      </c>
    </row>
    <row r="12" spans="1:3" ht="20.100000000000001" customHeight="1" thickBot="1" x14ac:dyDescent="0.35">
      <c r="A12" s="2" t="s">
        <v>44</v>
      </c>
      <c r="C12" s="20" t="s">
        <v>73</v>
      </c>
    </row>
    <row r="13" spans="1:3" ht="20.100000000000001" customHeight="1" thickBot="1" x14ac:dyDescent="0.35">
      <c r="A13" s="2" t="s">
        <v>45</v>
      </c>
      <c r="C13" s="20" t="s">
        <v>74</v>
      </c>
    </row>
    <row r="14" spans="1:3" ht="20.100000000000001" customHeight="1" thickBot="1" x14ac:dyDescent="0.35">
      <c r="A14" s="2" t="s">
        <v>46</v>
      </c>
      <c r="C14" s="20" t="s">
        <v>75</v>
      </c>
    </row>
    <row r="15" spans="1:3" ht="20.100000000000001" customHeight="1" thickBot="1" x14ac:dyDescent="0.35">
      <c r="A15" s="2" t="s">
        <v>47</v>
      </c>
      <c r="C15" s="20" t="s">
        <v>76</v>
      </c>
    </row>
    <row r="16" spans="1:3" ht="20.100000000000001" customHeight="1" thickBot="1" x14ac:dyDescent="0.35">
      <c r="A16" s="2" t="s">
        <v>10</v>
      </c>
      <c r="C16" s="20" t="s">
        <v>77</v>
      </c>
    </row>
    <row r="17" spans="1:3" ht="20.100000000000001" customHeight="1" thickBot="1" x14ac:dyDescent="0.35">
      <c r="A17" s="2" t="s">
        <v>27</v>
      </c>
      <c r="C17" s="20" t="s">
        <v>78</v>
      </c>
    </row>
    <row r="18" spans="1:3" ht="20.100000000000001" customHeight="1" thickBot="1" x14ac:dyDescent="0.35">
      <c r="A18" s="2" t="s">
        <v>48</v>
      </c>
      <c r="C18" s="20" t="s">
        <v>79</v>
      </c>
    </row>
    <row r="19" spans="1:3" ht="20.100000000000001" customHeight="1" thickBot="1" x14ac:dyDescent="0.35">
      <c r="A19" s="2" t="s">
        <v>49</v>
      </c>
      <c r="C19" s="20" t="s">
        <v>80</v>
      </c>
    </row>
    <row r="20" spans="1:3" ht="20.100000000000001" customHeight="1" thickBot="1" x14ac:dyDescent="0.35">
      <c r="A20" s="2" t="s">
        <v>50</v>
      </c>
      <c r="C20" s="20" t="s">
        <v>81</v>
      </c>
    </row>
    <row r="21" spans="1:3" ht="20.100000000000001" customHeight="1" thickBot="1" x14ac:dyDescent="0.35">
      <c r="A21" s="2" t="s">
        <v>51</v>
      </c>
      <c r="C21" s="20" t="s">
        <v>82</v>
      </c>
    </row>
    <row r="22" spans="1:3" ht="20.100000000000001" customHeight="1" thickBot="1" x14ac:dyDescent="0.35">
      <c r="A22" s="2" t="s">
        <v>11</v>
      </c>
      <c r="C22" s="20" t="s">
        <v>83</v>
      </c>
    </row>
    <row r="23" spans="1:3" ht="20.100000000000001" customHeight="1" thickBot="1" x14ac:dyDescent="0.35">
      <c r="A23" s="2" t="s">
        <v>12</v>
      </c>
      <c r="C23" s="20" t="s">
        <v>84</v>
      </c>
    </row>
    <row r="24" spans="1:3" ht="20.100000000000001" customHeight="1" thickBot="1" x14ac:dyDescent="0.35">
      <c r="A24" s="2" t="s">
        <v>15</v>
      </c>
      <c r="C24" s="20" t="s">
        <v>85</v>
      </c>
    </row>
    <row r="25" spans="1:3" ht="20.100000000000001" customHeight="1" thickBot="1" x14ac:dyDescent="0.35">
      <c r="A25" s="2" t="s">
        <v>28</v>
      </c>
      <c r="C25" s="20" t="s">
        <v>86</v>
      </c>
    </row>
    <row r="26" spans="1:3" ht="20.100000000000001" customHeight="1" thickBot="1" x14ac:dyDescent="0.35">
      <c r="A26" s="2" t="s">
        <v>29</v>
      </c>
      <c r="C26" s="20" t="s">
        <v>87</v>
      </c>
    </row>
    <row r="27" spans="1:3" ht="20.100000000000001" customHeight="1" thickBot="1" x14ac:dyDescent="0.35">
      <c r="A27" s="2" t="s">
        <v>13</v>
      </c>
      <c r="C27" s="20" t="s">
        <v>88</v>
      </c>
    </row>
    <row r="28" spans="1:3" ht="20.100000000000001" customHeight="1" thickBot="1" x14ac:dyDescent="0.35">
      <c r="A28" s="2" t="s">
        <v>30</v>
      </c>
      <c r="C28" s="20" t="s">
        <v>89</v>
      </c>
    </row>
    <row r="29" spans="1:3" ht="20.100000000000001" customHeight="1" thickBot="1" x14ac:dyDescent="0.35">
      <c r="A29" s="2" t="s">
        <v>31</v>
      </c>
      <c r="C29" s="2"/>
    </row>
    <row r="30" spans="1:3" ht="20.100000000000001" customHeight="1" thickBot="1" x14ac:dyDescent="0.35">
      <c r="A30" s="2" t="s">
        <v>32</v>
      </c>
      <c r="C30" s="2"/>
    </row>
    <row r="31" spans="1:3" ht="20.100000000000001" customHeight="1" thickBot="1" x14ac:dyDescent="0.35">
      <c r="A31" s="2" t="s">
        <v>33</v>
      </c>
      <c r="C31" s="2"/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9"/>
    </row>
    <row r="36" spans="1:9" s="18" customFormat="1" ht="20.100000000000001" customHeight="1" x14ac:dyDescent="0.3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4">
        <v>45901</v>
      </c>
    </row>
    <row r="40" spans="1:9" ht="20.100000000000001" customHeight="1" thickBot="1" x14ac:dyDescent="0.35">
      <c r="A40" s="14">
        <v>45902</v>
      </c>
    </row>
    <row r="41" spans="1:9" ht="20.100000000000001" customHeight="1" thickBot="1" x14ac:dyDescent="0.35">
      <c r="A41" s="14">
        <v>45903</v>
      </c>
    </row>
    <row r="42" spans="1:9" ht="20.100000000000001" customHeight="1" thickBot="1" x14ac:dyDescent="0.35">
      <c r="A42" s="14">
        <v>45904</v>
      </c>
    </row>
    <row r="43" spans="1:9" ht="20.100000000000001" customHeight="1" thickBot="1" x14ac:dyDescent="0.35">
      <c r="A43" s="14">
        <v>45905</v>
      </c>
    </row>
    <row r="44" spans="1:9" ht="20.100000000000001" customHeight="1" thickBot="1" x14ac:dyDescent="0.35">
      <c r="A44" s="14">
        <v>45906</v>
      </c>
    </row>
    <row r="45" spans="1:9" ht="20.100000000000001" customHeight="1" thickBot="1" x14ac:dyDescent="0.35">
      <c r="A45" s="14">
        <v>45907</v>
      </c>
    </row>
    <row r="46" spans="1:9" ht="20.100000000000001" customHeight="1" thickBot="1" x14ac:dyDescent="0.35">
      <c r="A46" s="14">
        <v>45908</v>
      </c>
    </row>
    <row r="47" spans="1:9" ht="20.100000000000001" customHeight="1" thickBot="1" x14ac:dyDescent="0.35">
      <c r="A47" s="14">
        <v>45909</v>
      </c>
    </row>
    <row r="48" spans="1:9" ht="20.100000000000001" customHeight="1" thickBot="1" x14ac:dyDescent="0.35">
      <c r="A48" s="14">
        <v>45910</v>
      </c>
    </row>
    <row r="49" spans="1:1" ht="20.100000000000001" customHeight="1" thickBot="1" x14ac:dyDescent="0.35">
      <c r="A49" s="14">
        <v>45911</v>
      </c>
    </row>
    <row r="50" spans="1:1" ht="20.100000000000001" customHeight="1" thickBot="1" x14ac:dyDescent="0.35">
      <c r="A50" s="14">
        <v>45912</v>
      </c>
    </row>
    <row r="51" spans="1:1" ht="20.100000000000001" customHeight="1" thickBot="1" x14ac:dyDescent="0.35">
      <c r="A51" s="14">
        <v>45913</v>
      </c>
    </row>
    <row r="52" spans="1:1" ht="20.100000000000001" customHeight="1" thickBot="1" x14ac:dyDescent="0.35">
      <c r="A52" s="14">
        <v>45914</v>
      </c>
    </row>
    <row r="53" spans="1:1" ht="20.100000000000001" customHeight="1" thickBot="1" x14ac:dyDescent="0.35">
      <c r="A53" s="14">
        <v>45915</v>
      </c>
    </row>
    <row r="54" spans="1:1" ht="20.100000000000001" customHeight="1" thickBot="1" x14ac:dyDescent="0.35">
      <c r="A54" s="14">
        <v>45916</v>
      </c>
    </row>
    <row r="55" spans="1:1" ht="20.100000000000001" customHeight="1" thickBot="1" x14ac:dyDescent="0.35">
      <c r="A55" s="14">
        <v>45917</v>
      </c>
    </row>
    <row r="56" spans="1:1" ht="20.100000000000001" customHeight="1" thickBot="1" x14ac:dyDescent="0.35">
      <c r="A56" s="14">
        <v>45918</v>
      </c>
    </row>
    <row r="57" spans="1:1" ht="20.100000000000001" customHeight="1" thickBot="1" x14ac:dyDescent="0.35">
      <c r="A57" s="14">
        <v>45919</v>
      </c>
    </row>
    <row r="58" spans="1:1" ht="20.100000000000001" customHeight="1" thickBot="1" x14ac:dyDescent="0.35">
      <c r="A58" s="14">
        <v>45920</v>
      </c>
    </row>
    <row r="59" spans="1:1" ht="20.100000000000001" customHeight="1" thickBot="1" x14ac:dyDescent="0.35">
      <c r="A59" s="14">
        <v>45921</v>
      </c>
    </row>
    <row r="60" spans="1:1" ht="20.100000000000001" customHeight="1" thickBot="1" x14ac:dyDescent="0.35">
      <c r="A60" s="14">
        <v>45922</v>
      </c>
    </row>
    <row r="61" spans="1:1" ht="20.100000000000001" customHeight="1" thickBot="1" x14ac:dyDescent="0.35">
      <c r="A61" s="14">
        <v>45923</v>
      </c>
    </row>
    <row r="62" spans="1:1" ht="20.100000000000001" customHeight="1" thickBot="1" x14ac:dyDescent="0.35">
      <c r="A62" s="14">
        <v>45924</v>
      </c>
    </row>
    <row r="63" spans="1:1" ht="20.100000000000001" customHeight="1" thickBot="1" x14ac:dyDescent="0.35">
      <c r="A63" s="14">
        <v>45925</v>
      </c>
    </row>
    <row r="64" spans="1:1" ht="20.100000000000001" customHeight="1" thickBot="1" x14ac:dyDescent="0.35">
      <c r="A64" s="14">
        <v>45926</v>
      </c>
    </row>
    <row r="65" spans="1:1" ht="20.100000000000001" customHeight="1" thickBot="1" x14ac:dyDescent="0.35">
      <c r="A65" s="14">
        <v>45927</v>
      </c>
    </row>
    <row r="66" spans="1:1" ht="20.100000000000001" customHeight="1" thickBot="1" x14ac:dyDescent="0.35">
      <c r="A66" s="14">
        <v>45928</v>
      </c>
    </row>
    <row r="67" spans="1:1" ht="20.100000000000001" customHeight="1" thickBot="1" x14ac:dyDescent="0.35">
      <c r="A67" s="14">
        <v>45929</v>
      </c>
    </row>
    <row r="68" spans="1:1" ht="20.100000000000001" customHeight="1" thickBot="1" x14ac:dyDescent="0.35">
      <c r="A68" s="14">
        <v>45930</v>
      </c>
    </row>
    <row r="69" spans="1:1" ht="20.100000000000001" customHeight="1" thickBot="1" x14ac:dyDescent="0.35">
      <c r="A69" s="14">
        <v>45931</v>
      </c>
    </row>
    <row r="70" spans="1:1" ht="20.100000000000001" customHeight="1" thickBot="1" x14ac:dyDescent="0.35">
      <c r="A70" s="14">
        <v>45932</v>
      </c>
    </row>
    <row r="71" spans="1:1" ht="20.100000000000001" customHeight="1" thickBot="1" x14ac:dyDescent="0.35">
      <c r="A71" s="14">
        <v>45933</v>
      </c>
    </row>
    <row r="72" spans="1:1" ht="20.100000000000001" customHeight="1" thickBot="1" x14ac:dyDescent="0.35">
      <c r="A72" s="14">
        <v>45934</v>
      </c>
    </row>
    <row r="73" spans="1:1" ht="20.100000000000001" customHeight="1" thickBot="1" x14ac:dyDescent="0.35">
      <c r="A73" s="14">
        <v>45935</v>
      </c>
    </row>
    <row r="74" spans="1:1" ht="20.100000000000001" customHeight="1" thickBot="1" x14ac:dyDescent="0.35">
      <c r="A74" s="14">
        <v>45936</v>
      </c>
    </row>
    <row r="75" spans="1:1" ht="20.100000000000001" customHeight="1" thickBot="1" x14ac:dyDescent="0.35">
      <c r="A75" s="14">
        <v>45937</v>
      </c>
    </row>
    <row r="76" spans="1:1" ht="20.100000000000001" customHeight="1" thickBot="1" x14ac:dyDescent="0.35">
      <c r="A76" s="14">
        <v>45938</v>
      </c>
    </row>
    <row r="77" spans="1:1" ht="20.100000000000001" customHeight="1" thickBot="1" x14ac:dyDescent="0.35">
      <c r="A77" s="14">
        <v>45939</v>
      </c>
    </row>
    <row r="78" spans="1:1" ht="20.100000000000001" customHeight="1" thickBot="1" x14ac:dyDescent="0.35">
      <c r="A78" s="14">
        <v>45940</v>
      </c>
    </row>
    <row r="79" spans="1:1" ht="20.100000000000001" customHeight="1" thickBot="1" x14ac:dyDescent="0.35">
      <c r="A79" s="14">
        <v>45941</v>
      </c>
    </row>
    <row r="80" spans="1:1" ht="20.100000000000001" customHeight="1" thickBot="1" x14ac:dyDescent="0.35">
      <c r="A80" s="14">
        <v>45942</v>
      </c>
    </row>
    <row r="81" spans="1:1" ht="20.100000000000001" customHeight="1" thickBot="1" x14ac:dyDescent="0.35">
      <c r="A81" s="14">
        <v>45943</v>
      </c>
    </row>
    <row r="82" spans="1:1" ht="20.100000000000001" customHeight="1" thickBot="1" x14ac:dyDescent="0.35">
      <c r="A82" s="14">
        <v>45944</v>
      </c>
    </row>
    <row r="83" spans="1:1" ht="20.100000000000001" customHeight="1" thickBot="1" x14ac:dyDescent="0.35">
      <c r="A83" s="14">
        <v>45945</v>
      </c>
    </row>
    <row r="84" spans="1:1" ht="20.100000000000001" customHeight="1" thickBot="1" x14ac:dyDescent="0.35">
      <c r="A84" s="14">
        <v>45946</v>
      </c>
    </row>
    <row r="85" spans="1:1" ht="20.100000000000001" customHeight="1" thickBot="1" x14ac:dyDescent="0.35">
      <c r="A85" s="14">
        <v>45947</v>
      </c>
    </row>
    <row r="86" spans="1:1" ht="20.100000000000001" customHeight="1" thickBot="1" x14ac:dyDescent="0.35">
      <c r="A86" s="14">
        <v>45948</v>
      </c>
    </row>
    <row r="87" spans="1:1" ht="20.100000000000001" customHeight="1" thickBot="1" x14ac:dyDescent="0.35">
      <c r="A87" s="14">
        <v>45949</v>
      </c>
    </row>
    <row r="88" spans="1:1" ht="20.100000000000001" customHeight="1" thickBot="1" x14ac:dyDescent="0.35">
      <c r="A88" s="14">
        <v>45950</v>
      </c>
    </row>
    <row r="89" spans="1:1" ht="20.100000000000001" customHeight="1" thickBot="1" x14ac:dyDescent="0.35">
      <c r="A89" s="14">
        <v>45951</v>
      </c>
    </row>
    <row r="90" spans="1:1" ht="20.100000000000001" customHeight="1" thickBot="1" x14ac:dyDescent="0.35">
      <c r="A90" s="14">
        <v>45952</v>
      </c>
    </row>
    <row r="91" spans="1:1" ht="20.100000000000001" customHeight="1" thickBot="1" x14ac:dyDescent="0.35">
      <c r="A91" s="14">
        <v>45953</v>
      </c>
    </row>
    <row r="92" spans="1:1" ht="20.100000000000001" customHeight="1" thickBot="1" x14ac:dyDescent="0.35">
      <c r="A92" s="14">
        <v>45954</v>
      </c>
    </row>
    <row r="93" spans="1:1" ht="20.100000000000001" customHeight="1" thickBot="1" x14ac:dyDescent="0.35">
      <c r="A93" s="14">
        <v>45955</v>
      </c>
    </row>
    <row r="94" spans="1:1" ht="20.100000000000001" customHeight="1" thickBot="1" x14ac:dyDescent="0.35">
      <c r="A94" s="14">
        <v>45956</v>
      </c>
    </row>
    <row r="95" spans="1:1" ht="20.100000000000001" customHeight="1" thickBot="1" x14ac:dyDescent="0.35">
      <c r="A95" s="14">
        <v>45957</v>
      </c>
    </row>
    <row r="96" spans="1:1" ht="20.100000000000001" customHeight="1" thickBot="1" x14ac:dyDescent="0.35">
      <c r="A96" s="14">
        <v>45958</v>
      </c>
    </row>
    <row r="97" spans="1:9" ht="20.100000000000001" customHeight="1" thickBot="1" x14ac:dyDescent="0.35">
      <c r="A97" s="14">
        <v>45959</v>
      </c>
    </row>
    <row r="98" spans="1:9" ht="20.100000000000001" customHeight="1" thickBot="1" x14ac:dyDescent="0.35">
      <c r="A98" s="14">
        <v>45960</v>
      </c>
    </row>
    <row r="99" spans="1:9" ht="20.100000000000001" customHeight="1" thickBot="1" x14ac:dyDescent="0.35">
      <c r="A99" s="14">
        <v>45961</v>
      </c>
    </row>
    <row r="100" spans="1:9" ht="20.100000000000001" customHeight="1" thickBot="1" x14ac:dyDescent="0.35">
      <c r="A100" s="14">
        <v>45962</v>
      </c>
    </row>
    <row r="101" spans="1:9" ht="20.100000000000001" customHeight="1" thickBot="1" x14ac:dyDescent="0.35">
      <c r="A101" s="14">
        <v>45963</v>
      </c>
    </row>
    <row r="102" spans="1:9" ht="20.100000000000001" customHeight="1" thickBot="1" x14ac:dyDescent="0.35">
      <c r="A102" s="14">
        <v>45964</v>
      </c>
    </row>
    <row r="103" spans="1:9" ht="20.100000000000001" customHeight="1" thickBot="1" x14ac:dyDescent="0.35">
      <c r="A103" s="14">
        <v>45965</v>
      </c>
    </row>
    <row r="104" spans="1:9" ht="20.100000000000001" customHeight="1" thickBot="1" x14ac:dyDescent="0.35">
      <c r="A104" s="14">
        <v>45966</v>
      </c>
    </row>
    <row r="105" spans="1:9" ht="20.100000000000001" customHeight="1" thickBot="1" x14ac:dyDescent="0.35">
      <c r="A105" s="14">
        <v>45967</v>
      </c>
    </row>
    <row r="106" spans="1:9" ht="20.100000000000001" customHeight="1" thickBot="1" x14ac:dyDescent="0.35">
      <c r="A106" s="14">
        <v>45968</v>
      </c>
    </row>
    <row r="107" spans="1:9" ht="20.100000000000001" customHeight="1" x14ac:dyDescent="0.3">
      <c r="A107" s="15"/>
    </row>
    <row r="108" spans="1:9" ht="20.100000000000001" customHeight="1" x14ac:dyDescent="0.3">
      <c r="A108" s="15"/>
    </row>
    <row r="109" spans="1:9" s="18" customFormat="1" ht="20.100000000000001" customHeight="1" x14ac:dyDescent="0.3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1" t="s">
        <v>90</v>
      </c>
    </row>
    <row r="200" spans="1:1" ht="20.100000000000001" customHeight="1" x14ac:dyDescent="0.3">
      <c r="A200" s="21" t="s">
        <v>91</v>
      </c>
    </row>
    <row r="201" spans="1:1" ht="20.100000000000001" customHeight="1" x14ac:dyDescent="0.3">
      <c r="A201" s="21" t="s">
        <v>92</v>
      </c>
    </row>
    <row r="202" spans="1:1" ht="20.100000000000001" customHeight="1" x14ac:dyDescent="0.3">
      <c r="A202" s="21" t="s">
        <v>93</v>
      </c>
    </row>
    <row r="203" spans="1:1" ht="20.100000000000001" customHeight="1" x14ac:dyDescent="0.3">
      <c r="A203" s="21" t="s">
        <v>94</v>
      </c>
    </row>
    <row r="204" spans="1:1" ht="20.100000000000001" customHeight="1" x14ac:dyDescent="0.3">
      <c r="A204" s="21" t="s">
        <v>95</v>
      </c>
    </row>
    <row r="205" spans="1:1" ht="20.100000000000001" customHeight="1" x14ac:dyDescent="0.3">
      <c r="A205" s="21" t="s">
        <v>96</v>
      </c>
    </row>
    <row r="206" spans="1:1" ht="20.100000000000001" customHeight="1" x14ac:dyDescent="0.3">
      <c r="A206" s="21" t="s">
        <v>97</v>
      </c>
    </row>
    <row r="207" spans="1:1" ht="20.100000000000001" customHeight="1" x14ac:dyDescent="0.3">
      <c r="A207" s="21" t="s">
        <v>98</v>
      </c>
    </row>
    <row r="208" spans="1:1" ht="20.100000000000001" customHeight="1" x14ac:dyDescent="0.3">
      <c r="A208" s="22" t="s">
        <v>99</v>
      </c>
    </row>
    <row r="209" spans="1:1" ht="20.100000000000001" customHeight="1" x14ac:dyDescent="0.3">
      <c r="A209" s="22" t="s">
        <v>100</v>
      </c>
    </row>
    <row r="210" spans="1:1" ht="20.100000000000001" customHeight="1" x14ac:dyDescent="0.3">
      <c r="A210" s="21" t="s">
        <v>101</v>
      </c>
    </row>
    <row r="211" spans="1:1" ht="20.100000000000001" customHeight="1" x14ac:dyDescent="0.3">
      <c r="A211" s="21" t="s">
        <v>102</v>
      </c>
    </row>
    <row r="212" spans="1:1" ht="20.100000000000001" customHeight="1" x14ac:dyDescent="0.3">
      <c r="A212" s="21" t="s">
        <v>103</v>
      </c>
    </row>
    <row r="213" spans="1:1" ht="20.100000000000001" customHeight="1" x14ac:dyDescent="0.3">
      <c r="A213" s="21" t="s">
        <v>104</v>
      </c>
    </row>
    <row r="214" spans="1:1" ht="20.100000000000001" customHeight="1" x14ac:dyDescent="0.3">
      <c r="A214" s="21" t="s">
        <v>105</v>
      </c>
    </row>
    <row r="215" spans="1:1" ht="20.100000000000001" customHeight="1" x14ac:dyDescent="0.3">
      <c r="A215" s="21" t="s">
        <v>106</v>
      </c>
    </row>
    <row r="216" spans="1:1" ht="20.100000000000001" customHeight="1" x14ac:dyDescent="0.3">
      <c r="A216" s="21" t="s">
        <v>107</v>
      </c>
    </row>
    <row r="217" spans="1:1" ht="20.100000000000001" customHeight="1" x14ac:dyDescent="0.3">
      <c r="A217" s="21" t="s">
        <v>108</v>
      </c>
    </row>
    <row r="218" spans="1:1" ht="20.100000000000001" customHeight="1" x14ac:dyDescent="0.3">
      <c r="A218" s="21" t="s">
        <v>109</v>
      </c>
    </row>
    <row r="219" spans="1:1" ht="20.100000000000001" customHeight="1" x14ac:dyDescent="0.3">
      <c r="A219" s="21" t="s">
        <v>110</v>
      </c>
    </row>
    <row r="220" spans="1:1" ht="20.100000000000001" customHeight="1" x14ac:dyDescent="0.3">
      <c r="A220" s="21" t="s">
        <v>111</v>
      </c>
    </row>
    <row r="221" spans="1:1" ht="20.100000000000001" customHeight="1" x14ac:dyDescent="0.3">
      <c r="A221" s="21" t="s">
        <v>112</v>
      </c>
    </row>
    <row r="222" spans="1:1" ht="20.100000000000001" customHeight="1" x14ac:dyDescent="0.3">
      <c r="A222" s="21" t="s">
        <v>113</v>
      </c>
    </row>
    <row r="223" spans="1:1" ht="20.100000000000001" customHeight="1" x14ac:dyDescent="0.3">
      <c r="A223" s="21" t="s">
        <v>114</v>
      </c>
    </row>
    <row r="224" spans="1:1" ht="20.100000000000001" customHeight="1" x14ac:dyDescent="0.3">
      <c r="A224" s="21" t="s">
        <v>115</v>
      </c>
    </row>
    <row r="225" spans="1:1" ht="20.100000000000001" customHeight="1" x14ac:dyDescent="0.3">
      <c r="A225" s="21" t="s">
        <v>116</v>
      </c>
    </row>
    <row r="226" spans="1:1" ht="20.100000000000001" customHeight="1" x14ac:dyDescent="0.3">
      <c r="A226" s="21" t="s">
        <v>117</v>
      </c>
    </row>
    <row r="227" spans="1:1" ht="20.100000000000001" customHeight="1" x14ac:dyDescent="0.3">
      <c r="A227" s="21" t="s">
        <v>118</v>
      </c>
    </row>
    <row r="228" spans="1:1" ht="20.100000000000001" customHeight="1" x14ac:dyDescent="0.3">
      <c r="A228" s="21" t="s">
        <v>119</v>
      </c>
    </row>
    <row r="229" spans="1:1" ht="20.100000000000001" customHeight="1" x14ac:dyDescent="0.3">
      <c r="A229" s="21" t="s">
        <v>120</v>
      </c>
    </row>
    <row r="230" spans="1:1" ht="20.100000000000001" customHeight="1" x14ac:dyDescent="0.3">
      <c r="A230" s="21" t="s">
        <v>121</v>
      </c>
    </row>
    <row r="231" spans="1:1" ht="20.100000000000001" customHeight="1" x14ac:dyDescent="0.3">
      <c r="A231" s="21" t="s">
        <v>122</v>
      </c>
    </row>
    <row r="232" spans="1:1" ht="20.100000000000001" customHeight="1" x14ac:dyDescent="0.3">
      <c r="A232" s="21" t="s">
        <v>123</v>
      </c>
    </row>
    <row r="233" spans="1:1" ht="20.100000000000001" customHeight="1" x14ac:dyDescent="0.3">
      <c r="A233" s="21" t="s">
        <v>124</v>
      </c>
    </row>
    <row r="234" spans="1:1" ht="20.100000000000001" customHeight="1" x14ac:dyDescent="0.3">
      <c r="A234" s="21" t="s">
        <v>125</v>
      </c>
    </row>
    <row r="235" spans="1:1" ht="20.100000000000001" customHeight="1" x14ac:dyDescent="0.3">
      <c r="A235" s="23" t="s">
        <v>126</v>
      </c>
    </row>
    <row r="236" spans="1:1" ht="20.100000000000001" customHeight="1" x14ac:dyDescent="0.3">
      <c r="A236" s="21" t="s">
        <v>127</v>
      </c>
    </row>
    <row r="237" spans="1:1" ht="20.100000000000001" customHeight="1" x14ac:dyDescent="0.3">
      <c r="A237" s="21" t="s">
        <v>128</v>
      </c>
    </row>
    <row r="238" spans="1:1" ht="20.100000000000001" customHeight="1" x14ac:dyDescent="0.3">
      <c r="A238" s="21" t="s">
        <v>129</v>
      </c>
    </row>
    <row r="239" spans="1:1" ht="20.100000000000001" customHeight="1" x14ac:dyDescent="0.3">
      <c r="A239" s="21" t="s">
        <v>130</v>
      </c>
    </row>
    <row r="240" spans="1:1" ht="20.100000000000001" customHeight="1" x14ac:dyDescent="0.3">
      <c r="A240" s="21" t="s">
        <v>131</v>
      </c>
    </row>
    <row r="241" spans="1:1" ht="20.100000000000001" customHeight="1" x14ac:dyDescent="0.3">
      <c r="A241" s="21" t="s">
        <v>132</v>
      </c>
    </row>
    <row r="242" spans="1:1" ht="20.100000000000001" customHeight="1" x14ac:dyDescent="0.3">
      <c r="A242" s="21" t="s">
        <v>133</v>
      </c>
    </row>
    <row r="243" spans="1:1" ht="20.100000000000001" customHeight="1" x14ac:dyDescent="0.3">
      <c r="A243" s="21" t="s">
        <v>134</v>
      </c>
    </row>
    <row r="244" spans="1:1" ht="20.100000000000001" customHeight="1" x14ac:dyDescent="0.3">
      <c r="A244" s="21" t="s">
        <v>135</v>
      </c>
    </row>
    <row r="245" spans="1:1" ht="20.100000000000001" customHeight="1" x14ac:dyDescent="0.3">
      <c r="A245" s="21" t="s">
        <v>136</v>
      </c>
    </row>
    <row r="246" spans="1:1" ht="20.100000000000001" customHeight="1" x14ac:dyDescent="0.3">
      <c r="A246" s="21" t="s">
        <v>137</v>
      </c>
    </row>
    <row r="247" spans="1:1" ht="20.100000000000001" customHeight="1" x14ac:dyDescent="0.3">
      <c r="A247" s="21" t="s">
        <v>128</v>
      </c>
    </row>
    <row r="248" spans="1:1" ht="20.100000000000001" customHeight="1" x14ac:dyDescent="0.3">
      <c r="A248" s="21" t="s">
        <v>138</v>
      </c>
    </row>
    <row r="249" spans="1:1" ht="20.100000000000001" customHeight="1" x14ac:dyDescent="0.3">
      <c r="A249" s="21" t="s">
        <v>139</v>
      </c>
    </row>
    <row r="250" spans="1:1" ht="20.100000000000001" customHeight="1" x14ac:dyDescent="0.3">
      <c r="A250" s="23" t="s">
        <v>140</v>
      </c>
    </row>
    <row r="251" spans="1:1" ht="20.100000000000001" customHeight="1" x14ac:dyDescent="0.3">
      <c r="A251" s="24" t="s">
        <v>141</v>
      </c>
    </row>
    <row r="252" spans="1:1" ht="20.100000000000001" customHeight="1" x14ac:dyDescent="0.3">
      <c r="A252" s="21" t="s">
        <v>142</v>
      </c>
    </row>
    <row r="253" spans="1:1" ht="20.100000000000001" customHeight="1" x14ac:dyDescent="0.3">
      <c r="A253" s="21" t="s">
        <v>143</v>
      </c>
    </row>
    <row r="254" spans="1:1" ht="20.100000000000001" customHeight="1" x14ac:dyDescent="0.3">
      <c r="A254" s="25" t="s">
        <v>144</v>
      </c>
    </row>
    <row r="255" spans="1:1" ht="20.100000000000001" customHeight="1" x14ac:dyDescent="0.3">
      <c r="A255" s="25" t="s">
        <v>145</v>
      </c>
    </row>
    <row r="256" spans="1:1" ht="20.100000000000001" customHeight="1" x14ac:dyDescent="0.3">
      <c r="A256" s="26" t="s">
        <v>146</v>
      </c>
    </row>
    <row r="257" spans="1:1" ht="20.100000000000001" customHeight="1" x14ac:dyDescent="0.3">
      <c r="A257" s="21" t="s">
        <v>147</v>
      </c>
    </row>
    <row r="258" spans="1:1" ht="20.100000000000001" customHeight="1" x14ac:dyDescent="0.3">
      <c r="A258" s="26" t="s">
        <v>148</v>
      </c>
    </row>
    <row r="259" spans="1:1" ht="20.100000000000001" customHeight="1" x14ac:dyDescent="0.3">
      <c r="A259" s="21" t="s">
        <v>149</v>
      </c>
    </row>
    <row r="260" spans="1:1" ht="20.100000000000001" customHeight="1" x14ac:dyDescent="0.3">
      <c r="A260" s="26" t="s">
        <v>150</v>
      </c>
    </row>
    <row r="261" spans="1:1" ht="20.100000000000001" customHeight="1" x14ac:dyDescent="0.3">
      <c r="A261" s="21" t="s">
        <v>151</v>
      </c>
    </row>
    <row r="262" spans="1:1" ht="20.100000000000001" customHeight="1" x14ac:dyDescent="0.3">
      <c r="A262" s="21" t="s">
        <v>152</v>
      </c>
    </row>
    <row r="263" spans="1:1" ht="20.100000000000001" customHeight="1" x14ac:dyDescent="0.3">
      <c r="A263" s="26" t="s">
        <v>153</v>
      </c>
    </row>
    <row r="264" spans="1:1" ht="20.100000000000001" customHeight="1" x14ac:dyDescent="0.3">
      <c r="A264" s="26" t="s">
        <v>154</v>
      </c>
    </row>
    <row r="265" spans="1:1" ht="20.100000000000001" customHeight="1" x14ac:dyDescent="0.3">
      <c r="A265" s="26" t="s">
        <v>155</v>
      </c>
    </row>
    <row r="266" spans="1:1" ht="20.100000000000001" customHeight="1" x14ac:dyDescent="0.3">
      <c r="A266" s="21" t="s">
        <v>156</v>
      </c>
    </row>
    <row r="267" spans="1:1" ht="20.100000000000001" customHeight="1" x14ac:dyDescent="0.3">
      <c r="A267" s="21" t="s">
        <v>157</v>
      </c>
    </row>
    <row r="268" spans="1:1" ht="20.100000000000001" customHeight="1" x14ac:dyDescent="0.3">
      <c r="A268" s="21" t="s">
        <v>158</v>
      </c>
    </row>
    <row r="269" spans="1:1" ht="20.100000000000001" customHeight="1" x14ac:dyDescent="0.3">
      <c r="A269" s="21" t="s">
        <v>159</v>
      </c>
    </row>
    <row r="270" spans="1:1" ht="20.100000000000001" customHeight="1" x14ac:dyDescent="0.3">
      <c r="A270" s="26" t="s">
        <v>160</v>
      </c>
    </row>
    <row r="271" spans="1:1" ht="20.100000000000001" customHeight="1" x14ac:dyDescent="0.3">
      <c r="A271" s="26" t="s">
        <v>161</v>
      </c>
    </row>
    <row r="272" spans="1:1" ht="20.100000000000001" customHeight="1" x14ac:dyDescent="0.3">
      <c r="A272" s="21" t="s">
        <v>162</v>
      </c>
    </row>
    <row r="273" spans="1:1" ht="20.100000000000001" customHeight="1" x14ac:dyDescent="0.3">
      <c r="A273" s="26" t="s">
        <v>163</v>
      </c>
    </row>
    <row r="274" spans="1:1" ht="20.100000000000001" customHeight="1" x14ac:dyDescent="0.3">
      <c r="A274" s="26" t="s">
        <v>164</v>
      </c>
    </row>
    <row r="275" spans="1:1" ht="20.100000000000001" customHeight="1" x14ac:dyDescent="0.3">
      <c r="A275" s="21" t="s">
        <v>165</v>
      </c>
    </row>
    <row r="276" spans="1:1" ht="20.100000000000001" customHeight="1" x14ac:dyDescent="0.3">
      <c r="A276" s="21" t="s">
        <v>166</v>
      </c>
    </row>
    <row r="277" spans="1:1" ht="20.100000000000001" customHeight="1" x14ac:dyDescent="0.3">
      <c r="A277" s="26" t="s">
        <v>167</v>
      </c>
    </row>
    <row r="278" spans="1:1" ht="20.100000000000001" customHeight="1" x14ac:dyDescent="0.3">
      <c r="A278" s="21" t="s">
        <v>168</v>
      </c>
    </row>
    <row r="279" spans="1:1" ht="20.100000000000001" customHeight="1" x14ac:dyDescent="0.3">
      <c r="A279" s="21" t="s">
        <v>169</v>
      </c>
    </row>
    <row r="280" spans="1:1" ht="20.100000000000001" customHeight="1" x14ac:dyDescent="0.3">
      <c r="A280" s="21" t="s">
        <v>170</v>
      </c>
    </row>
    <row r="281" spans="1:1" ht="20.100000000000001" customHeight="1" x14ac:dyDescent="0.3">
      <c r="A281" s="21" t="s">
        <v>171</v>
      </c>
    </row>
    <row r="282" spans="1:1" ht="20.100000000000001" customHeight="1" x14ac:dyDescent="0.3">
      <c r="A282" s="26" t="s">
        <v>172</v>
      </c>
    </row>
    <row r="283" spans="1:1" ht="20.100000000000001" customHeight="1" x14ac:dyDescent="0.3">
      <c r="A283" s="26" t="s">
        <v>173</v>
      </c>
    </row>
    <row r="284" spans="1:1" ht="20.100000000000001" customHeight="1" x14ac:dyDescent="0.3">
      <c r="A284" s="26" t="s">
        <v>174</v>
      </c>
    </row>
    <row r="285" spans="1:1" ht="20.100000000000001" customHeight="1" thickBot="1" x14ac:dyDescent="0.35">
      <c r="A285" s="21" t="s">
        <v>175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2025-10-21T02:39:08Z</dcterms:modified>
</cp:coreProperties>
</file>