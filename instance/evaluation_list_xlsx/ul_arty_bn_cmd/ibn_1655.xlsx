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695B35C-95E5-604B-844F-C8C663900C2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التقييم'!$A$1:$J$120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2" i="2"/>
  <c r="H52" i="2"/>
  <c r="G53" i="2"/>
  <c r="H53" i="2"/>
  <c r="G54" i="2"/>
  <c r="H54" i="2"/>
  <c r="G55" i="2"/>
  <c r="H55" i="2"/>
  <c r="G56" i="2"/>
  <c r="H56" i="2"/>
  <c r="G57" i="2"/>
  <c r="H57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5" i="2"/>
  <c r="H85" i="2"/>
  <c r="G86" i="2"/>
  <c r="H86" i="2"/>
  <c r="G87" i="2"/>
  <c r="H87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1" i="2"/>
  <c r="H101" i="2"/>
  <c r="G102" i="2"/>
  <c r="H102" i="2"/>
  <c r="G103" i="2"/>
  <c r="H103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2" i="2"/>
  <c r="H112" i="2"/>
  <c r="G113" i="2"/>
  <c r="H113" i="2"/>
  <c r="G114" i="2"/>
  <c r="H114" i="2"/>
  <c r="G115" i="2"/>
  <c r="H115" i="2"/>
  <c r="F116" i="2"/>
  <c r="E116" i="2"/>
  <c r="E117" i="2"/>
  <c r="E118" i="2"/>
</calcChain>
</file>

<file path=xl/sharedStrings.xml><?xml version="1.0" encoding="utf-8"?>
<sst xmlns="http://schemas.openxmlformats.org/spreadsheetml/2006/main" count="341" uniqueCount="285">
  <si>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</si>
  <si>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</si>
  <si>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</si>
  <si>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</si>
  <si>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</si>
  <si>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</si>
  <si>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</si>
  <si>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</si>
  <si>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</si>
  <si>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</si>
  <si>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</si>
  <si>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</si>
  <si>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</si>
  <si>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</si>
  <si>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</si>
  <si>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</si>
  <si>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</si>
  <si>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</si>
  <si>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</si>
  <si>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</si>
  <si>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</si>
  <si>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</si>
  <si>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</si>
  <si>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</si>
  <si>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</si>
  <si>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</si>
  <si>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</si>
  <si>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</si>
  <si>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</si>
  <si>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</si>
  <si>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</si>
  <si>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</si>
  <si>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</si>
  <si>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</si>
  <si>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</si>
  <si>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</si>
  <si>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</si>
  <si>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</si>
  <si>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</si>
  <si>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</si>
  <si>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</si>
  <si>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</si>
  <si>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</si>
  <si>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</si>
  <si>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</si>
  <si>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</si>
  <si>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</si>
  <si>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</si>
  <si>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</si>
  <si>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</si>
  <si>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</si>
  <si>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</si>
  <si>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</si>
  <si>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</si>
  <si>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</si>
  <si>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</si>
  <si>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</si>
  <si>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</si>
  <si>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</si>
  <si>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</si>
  <si>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</si>
  <si>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</si>
  <si>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</si>
  <si>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</si>
  <si>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</si>
  <si>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</si>
  <si>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</si>
  <si>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</si>
  <si>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</si>
  <si>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</si>
  <si>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</si>
  <si>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</si>
  <si>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</si>
  <si>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</si>
  <si>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</si>
  <si>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</si>
  <si>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</si>
  <si>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</si>
  <si>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</si>
  <si>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</si>
  <si>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</si>
  <si>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</si>
  <si>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</si>
  <si>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</si>
  <si>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</si>
  <si>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</si>
  <si>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</si>
  <si>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</si>
  <si>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</si>
  <si>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</si>
  <si>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</si>
  <si>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</si>
  <si>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</si>
  <si>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</si>
  <si>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</si>
  <si>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</si>
  <si>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</si>
  <si>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</si>
  <si>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</si>
  <si>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</si>
  <si>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</si>
  <si>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</si>
  <si>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</si>
  <si>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</si>
  <si>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</si>
  <si>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</si>
  <si>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</si>
  <si>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</si>
  <si>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</si>
  <si>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</si>
  <si>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</si>
  <si>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</si>
  <si>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</si>
  <si>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</si>
  <si>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</si>
  <si>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</si>
  <si>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</si>
  <si>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</si>
  <si>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</si>
  <si>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</si>
  <si>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</si>
  <si>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</si>
  <si>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</si>
  <si>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</si>
  <si>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</si>
  <si>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</si>
  <si>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</si>
  <si>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</si>
  <si>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</si>
  <si>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</si>
  <si>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</si>
  <si>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</si>
  <si>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</si>
  <si>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</si>
  <si>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</si>
  <si>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</si>
  <si>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</si>
  <si>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</si>
  <si>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</si>
  <si>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</si>
  <si>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</si>
  <si>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</si>
  <si>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</si>
  <si>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</si>
  <si>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</si>
  <si>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</si>
  <si>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</si>
  <si>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</si>
  <si>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</si>
  <si>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</si>
  <si>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</si>
  <si>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</si>
  <si>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</si>
  <si>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</si>
  <si>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</si>
  <si>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</si>
  <si>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</si>
  <si>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</si>
  <si>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</si>
  <si>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</si>
  <si>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</si>
  <si>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</si>
  <si>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</si>
  <si>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</si>
  <si>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</si>
  <si>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</si>
  <si>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</si>
  <si>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</si>
  <si>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</si>
  <si>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</si>
  <si>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</si>
  <si>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</si>
  <si>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</si>
  <si>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</si>
  <si>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</si>
  <si>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</si>
  <si>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الموقــــف.</t>
    </r>
  </si>
  <si>
    <t>أ. منطقة الاهتمام.</t>
  </si>
  <si>
    <t>ب. منطقة العمليات.</t>
  </si>
  <si>
    <t>جـ. تحليل الأرض.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</si>
  <si>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قوات العــــــدو</t>
    </r>
    <r>
      <rPr>
        <b/>
        <sz val="12"/>
        <color rgb="FF000000"/>
        <rFont val="Arial"/>
        <family val="2"/>
      </rPr>
      <t>.</t>
    </r>
  </si>
  <si>
    <t>أ. تأليفه.</t>
  </si>
  <si>
    <t>ب. توزيعاته.</t>
  </si>
  <si>
    <t>جـ. قصده.</t>
  </si>
  <si>
    <t>د. هويته.</t>
  </si>
  <si>
    <t>هـ. تعزيزاته.</t>
  </si>
  <si>
    <t>و. قدرات إسناد العدو.</t>
  </si>
  <si>
    <t>ز. نقاط القوة.</t>
  </si>
  <si>
    <t>ح. نقاط الضعف.</t>
  </si>
  <si>
    <t>ط. معنوياته.</t>
  </si>
  <si>
    <t>ي. امكانياته.</t>
  </si>
  <si>
    <t>ك. عمل العدو احتمالا.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</si>
  <si>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قواتنــــا</t>
    </r>
    <r>
      <rPr>
        <b/>
        <sz val="12"/>
        <color rgb="FF000000"/>
        <rFont val="Arial"/>
        <family val="2"/>
      </rPr>
      <t>.</t>
    </r>
  </si>
  <si>
    <t>أ. مهمة وقصد القيادة العليا.</t>
  </si>
  <si>
    <t>ب. مهام الوحدات المجاورة.</t>
  </si>
  <si>
    <t>جـ. مهام وحدات الاسناد.</t>
  </si>
  <si>
    <t>د. الهيئات الحكومية وغير الحكومية.</t>
  </si>
  <si>
    <t>هـ. الملحقون والمنفصلون.</t>
  </si>
  <si>
    <t>و. الموقف الجوي.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</si>
  <si>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المهمــــة</t>
    </r>
    <r>
      <rPr>
        <sz val="12"/>
        <color rgb="FF000000"/>
        <rFont val="Arial"/>
        <family val="2"/>
      </rPr>
      <t>. جملة واضحة وصريحة تحدد:</t>
    </r>
  </si>
  <si>
    <t>أ. ماذا؟</t>
  </si>
  <si>
    <t>ب. من؟</t>
  </si>
  <si>
    <t>جـ. متى؟</t>
  </si>
  <si>
    <t>د. أين؟</t>
  </si>
  <si>
    <t>هـ. لماذا؟</t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</si>
  <si>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المراصد</t>
    </r>
    <r>
      <rPr>
        <b/>
        <sz val="12"/>
        <color rgb="FF000000"/>
        <rFont val="Arial"/>
        <family val="2"/>
      </rPr>
      <t>.</t>
    </r>
  </si>
  <si>
    <t>أ. مجموعة القائد.</t>
  </si>
  <si>
    <t>ب. مجموعة قادة السرايا.</t>
  </si>
  <si>
    <t>جـ. مجموعة المراصد.</t>
  </si>
  <si>
    <t>د. اقواس المراقبة.</t>
  </si>
  <si>
    <t>هـ. سياسة التعديل.</t>
  </si>
  <si>
    <t>و. ضبــاط الرصد المخولين.</t>
  </si>
  <si>
    <t>ز. الحركة ومواعيد الاجتماع.</t>
  </si>
  <si>
    <t>حـ. أوامـــر خطط الرمي.</t>
  </si>
  <si>
    <t>ط. تخصيص الذخيــــرة.</t>
  </si>
  <si>
    <t>ي. تخصيص ضباط الرصد الجويين.</t>
  </si>
  <si>
    <t>ك. تخصيص وســائل الاستمكان.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</si>
  <si>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الكشــف</t>
    </r>
    <r>
      <rPr>
        <b/>
        <sz val="12"/>
        <color rgb="FF000000"/>
        <rFont val="Arial"/>
        <family val="2"/>
      </rPr>
      <t>.</t>
    </r>
  </si>
  <si>
    <t>أ. كشف جماعة القائد.</t>
  </si>
  <si>
    <t>ب. تأليف جماعة الكشف.</t>
  </si>
  <si>
    <t>جـ. مواعيد الاجتمـــاع.</t>
  </si>
  <si>
    <t>د. الوقت في مواعيد الاجتماع.</t>
  </si>
  <si>
    <t>هـ. الحـــــركة.</t>
  </si>
  <si>
    <t>و. سياسة المساحة والأولويات.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</si>
  <si>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المواقـــع.</t>
    </r>
  </si>
  <si>
    <t xml:space="preserve">أ. منــاطق المدافـــــع </t>
  </si>
  <si>
    <t xml:space="preserve">ب. نمط الانفتاح وجبهة الموقع </t>
  </si>
  <si>
    <t>جـ. شـــكل الموقــع</t>
  </si>
  <si>
    <t>د. المواقــع البديلــة......</t>
  </si>
  <si>
    <t xml:space="preserve">هـ. م / ق وأقواس الرمي </t>
  </si>
  <si>
    <t xml:space="preserve">و. الحــد الأدنى للرمي </t>
  </si>
  <si>
    <t xml:space="preserve">ز. لا حركة قبل السـاعة </t>
  </si>
  <si>
    <t xml:space="preserve">ح. وقت الحضــــور. </t>
  </si>
  <si>
    <t xml:space="preserve">ط. نظــام الحـــركة. </t>
  </si>
  <si>
    <t xml:space="preserve">ي. نظـام المســــير. </t>
  </si>
  <si>
    <t xml:space="preserve"> ك. أمــر الحــــركة. </t>
  </si>
  <si>
    <r>
      <t>10.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 xml:space="preserve"> رادارات الاستمكان.</t>
    </r>
  </si>
  <si>
    <t xml:space="preserve">أ. المــــوقع. </t>
  </si>
  <si>
    <t xml:space="preserve">ب. المواقـع البديلــة. </t>
  </si>
  <si>
    <t>جـ. مناطق نشاط الرادار.</t>
  </si>
  <si>
    <t>د. اتجـاه البحث.</t>
  </si>
  <si>
    <t>هـ. حدود القطـاع.</t>
  </si>
  <si>
    <t>و. الحــــركة.</t>
  </si>
  <si>
    <t>ز. وقت الحضـور.</t>
  </si>
  <si>
    <t>ح. حالة الإنــذار.</t>
  </si>
  <si>
    <r>
      <t>11.</t>
    </r>
    <r>
      <rPr>
        <sz val="7"/>
        <color rgb="FF000000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البرقية الجوية.</t>
    </r>
  </si>
  <si>
    <t>أ. المـــوقع.</t>
  </si>
  <si>
    <t>ب. وقت الحضـــور.</t>
  </si>
  <si>
    <t>جـ. مدة صلاحية البرقية.</t>
  </si>
  <si>
    <t>د. أقصى ارتفـــاع.</t>
  </si>
  <si>
    <r>
      <t>12.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إيجاز الطيارين.</t>
    </r>
  </si>
  <si>
    <t>أ. الواجبــــات.</t>
  </si>
  <si>
    <t>ب. مواعيد الاجتماع.</t>
  </si>
  <si>
    <t>جـ. تحديدات الطيران.</t>
  </si>
  <si>
    <r>
      <t>13.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التنقــل.</t>
    </r>
  </si>
  <si>
    <t>أ. طريقة الحركة ( القفز / البناء ).</t>
  </si>
  <si>
    <t>ب. نقطــة البـدء.</t>
  </si>
  <si>
    <t>جـ. الطــريق.</t>
  </si>
  <si>
    <t>د. نقطة التوزيع.</t>
  </si>
  <si>
    <t>هـ. موعد الاجتماع.</t>
  </si>
  <si>
    <t>و. نظام المسير.</t>
  </si>
  <si>
    <t>ز. السيطرة على المسير ( خطوط الأخبار ).</t>
  </si>
  <si>
    <t>ح. الســرعة.</t>
  </si>
  <si>
    <t>ط. الكثافــة.</t>
  </si>
  <si>
    <t>ي. التوقيتـات.</t>
  </si>
  <si>
    <t>ك. أمر الحركة.</t>
  </si>
  <si>
    <r>
      <t>14.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الحمايــة.</t>
    </r>
  </si>
  <si>
    <t>أ. الدفاع الساحلي.</t>
  </si>
  <si>
    <t>ب. الحـــــفر.</t>
  </si>
  <si>
    <t>جـ. التخفية والتستر.</t>
  </si>
  <si>
    <t xml:space="preserve"> أ. الذخيــــرة.</t>
  </si>
  <si>
    <t>ب. نقليـات ( أ ).</t>
  </si>
  <si>
    <t>جـ. نقليـات ( ب ).</t>
  </si>
  <si>
    <t>د. الوقــــود.</t>
  </si>
  <si>
    <t>هـ. الطبـــابة.</t>
  </si>
  <si>
    <t>و. الإنقاذ والتصليح.</t>
  </si>
  <si>
    <r>
      <t>16.</t>
    </r>
    <r>
      <rPr>
        <sz val="7"/>
        <color rgb="FF000000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القيـــادة والاتصـــالات</t>
    </r>
    <r>
      <rPr>
        <b/>
        <sz val="12"/>
        <color rgb="FF000000"/>
        <rFont val="Arial"/>
        <family val="2"/>
      </rPr>
      <t>.</t>
    </r>
  </si>
  <si>
    <t>أ. مواقع القيادات.</t>
  </si>
  <si>
    <t>ب. التسلسل القيادي (1، 2، 3، 4،..).</t>
  </si>
  <si>
    <t>جـ. ترددات اللاسلكي / القنوات.</t>
  </si>
  <si>
    <t>د. الكلمات الرمزية.</t>
  </si>
  <si>
    <r>
      <t>15.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الإسناد الإداري</t>
    </r>
    <r>
      <rPr>
        <sz val="12"/>
        <color theme="1"/>
        <rFont val="Arial"/>
        <family val="2"/>
      </rPr>
      <t>.</t>
    </r>
  </si>
  <si>
    <r>
      <t xml:space="preserve">6.   </t>
    </r>
    <r>
      <rPr>
        <b/>
        <u/>
        <sz val="12"/>
        <color rgb="FF000000"/>
        <rFont val="Arial"/>
        <family val="2"/>
      </rPr>
      <t>مفهوم العمليات.</t>
    </r>
    <r>
      <rPr>
        <sz val="12"/>
        <color rgb="FF000000"/>
        <rFont val="Arial"/>
        <family val="2"/>
      </rPr>
      <t xml:space="preserve"> بشكل عام ويجيب على ماذا، من، اين، كيف، لماذا وتشمل التمهيد والعملية الحاسمة وعملية الادامة.</t>
    </r>
  </si>
  <si>
    <r>
      <t>5.  </t>
    </r>
    <r>
      <rPr>
        <b/>
        <u/>
        <sz val="12"/>
        <color rgb="FF000000"/>
        <rFont val="Arial"/>
        <family val="2"/>
      </rPr>
      <t>التنفيــذ</t>
    </r>
    <r>
      <rPr>
        <sz val="12"/>
        <color rgb="FF000000"/>
        <rFont val="Arial"/>
        <family val="2"/>
      </rPr>
      <t>. قصد القائد</t>
    </r>
  </si>
  <si>
    <t>تقييم صرف أمر انفتاح قائد كتيبة المدفعية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</si>
</sst>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3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  <xf numFmtId="0" fontId="14" fillId="5" borderId="5" xfId="0" applyFont="1" applyFill="1" applyBorder="1" applyAlignment="1">
      <alignment horizontal="right" vertical="center" wrapText="1" readingOrder="2"/>
    </xf>
    <xf numFmtId="0" fontId="14" fillId="5" borderId="4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323025</xdr:colOff>
      <xdr:row>119</xdr:row>
      <xdr:rowOff>179868</xdr:rowOff>
    </xdr:from>
    <xdr:to>
      <xdr:col>9</xdr:col>
      <xdr:colOff>808274</xdr:colOff>
      <xdr:row>120</xdr:row>
      <xdr:rowOff>18603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F2B5E53-FDC5-3D80-3718-D0798F6894AD}"/>
                </a:ext>
              </a:extLst>
            </xdr14:cNvPr>
            <xdr14:cNvContentPartPr/>
          </xdr14:nvContentPartPr>
          <xdr14:nvPr macro=""/>
          <xdr14:xfrm>
            <a:off x="10397778545" y="45795960"/>
            <a:ext cx="2459520" cy="485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F2B5E53-FDC5-3D80-3718-D0798F6894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769545" y="45787320"/>
              <a:ext cx="2477160" cy="502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9T16:39:03.9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6831 466,'0'0,"-16"0,13 0,-10 0,-67-16,65 13,-114 6,-64 13,156-13,-182 10,-102 3,255-13,-237 26,-146 3,358-26,-299 36,-155 6,487-43,-413 70,-58 5,485-73,-441 67,-12 22,454-88,-331 64,5-8,336-58,-255 52,-1 6,264-58,-158 37,55-27,115-15,-55 14,36-15,29 0,-26 0,29-16,0 14,80-12,65-19,-132 31,166-44,46-18,-204 58,230-52,70-6,-288 57,287-66,97-7,-373 71,313-63,76 8,-387 57,341-50,46 9,-392 43,351-38,24-5,-374 43,301-22,26-5,-328 28,239-24,40-4,-284 28,201-8,-45-5,-168 16,81 2,-9-17,-84 14,40 4,-36-2,-14 0,-20-16,-62 16,69 0,-122 0,-60-16,168 14,-190 4,-74-2,250 0,-259 16,-103-16,355 0,-356 32,-96 1,430-29,-377 40,-68 20,444-56,-359 48,-53 8,416-55,-303 62,-1-7,319-55,-221 31,-17 8,248-42,-81 36,9-26,97-14,-34 12,33-14,14 0,52 0,78-32,-110 27,141-6,81-21,-206 27,205-38,98-6,-293 43,296-52,109-6,-387 55,342-46,44-25,-387 69,328-42,92-28,-413 70,361-42,4-11,-374 55,282-30,-20-9,-276 41,183-34,-52 25,-151 14,78-12,-22-18,-70 27,-6 10,-86-21,70 13,-138-10,-59 13,179 0,-215 16,-29-16,236 0,-214 16,-166 16,364-28,-343 24,-21 20,363-42,-277 20,-22 22,306-41,-194 18,-16 7,224-28,-126 24,14-12,126-13,-58-6,29 3,42 0,-4 0,26-16,-14 14,44-12,83-2,-111 14,76-28,66-2,-137 28,195-24,70-4,-249 28,211-24,55-4,-261 27,1242-86,-1286 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20"/>
  <sheetViews>
    <sheetView rightToLeft="1" tabSelected="1" view="pageBreakPreview" topLeftCell="A67" zoomScale="130" zoomScaleNormal="100" zoomScaleSheetLayoutView="130" workbookViewId="0">
      <selection activeCell="F13" sqref="F1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6" t="s">
        <v>284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1" t="s">
        <v>8</v>
      </c>
      <c r="C2" s="62" t="s">
        <v>48</v>
      </c>
      <c r="D2" s="62"/>
      <c r="E2" s="11" t="s">
        <v>7</v>
      </c>
      <c r="F2" s="57">
        <v>45950</v>
      </c>
      <c r="G2" s="57"/>
      <c r="H2" s="57"/>
      <c r="I2" s="57"/>
      <c r="J2" s="57"/>
    </row>
    <row r="3" spans="1:10" ht="30" customHeight="1" x14ac:dyDescent="0.2">
      <c r="B3" s="11" t="s">
        <v>9</v>
      </c>
      <c r="C3" s="62" t="s">
        <v>69</v>
      </c>
      <c r="D3" s="62"/>
      <c r="E3" s="11" t="s">
        <v>6</v>
      </c>
      <c r="F3" s="62" t="s">
        <v>98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9"/>
      <c r="B6" s="60"/>
      <c r="C6" s="61"/>
      <c r="D6" s="61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 x14ac:dyDescent="0.25">
      <c r="A7" s="9"/>
      <c r="B7" s="65" t="s">
        <v>21</v>
      </c>
      <c r="C7" s="66"/>
      <c r="D7" s="66"/>
      <c r="E7" s="26" t="s">
        <v>18</v>
      </c>
      <c r="F7" s="26" t="s">
        <v>19</v>
      </c>
      <c r="G7" s="26" t="s">
        <v>22</v>
      </c>
      <c r="H7" s="26" t="s">
        <v>20</v>
      </c>
      <c r="I7" s="71" t="s">
        <v>25</v>
      </c>
      <c r="J7" s="72"/>
    </row>
    <row r="8" spans="1:10" ht="30" customHeight="1" x14ac:dyDescent="0.2">
      <c r="A8" s="9"/>
      <c r="B8" s="87" t="s">
        <v>176</v>
      </c>
      <c r="C8" s="88"/>
      <c r="D8" s="88"/>
      <c r="E8" s="32"/>
      <c r="F8" s="33"/>
      <c r="G8" s="34"/>
      <c r="H8" s="35"/>
      <c r="I8" s="49"/>
      <c r="J8" s="50"/>
    </row>
    <row r="9" spans="1:10" ht="30" customHeight="1" x14ac:dyDescent="0.2">
      <c r="A9" s="9"/>
      <c r="B9" s="83" t="s">
        <v>177</v>
      </c>
      <c r="C9" s="84"/>
      <c r="D9" s="84"/>
      <c r="E9" s="30">
        <v>5</v>
      </c>
      <c r="F9" s="25">
        <v>3.5</v>
      </c>
      <c r="G9" s="28">
        <f>IFERROR(F9/E9,"")</f>
        <v>0.7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0" customHeight="1" x14ac:dyDescent="0.2">
      <c r="A10" s="9"/>
      <c r="B10" s="83" t="s">
        <v>178</v>
      </c>
      <c r="C10" s="84"/>
      <c r="D10" s="84"/>
      <c r="E10" s="30">
        <v>5</v>
      </c>
      <c r="F10" s="43">
        <v>3.5</v>
      </c>
      <c r="G10" s="28">
        <f t="shared" ref="G10:G69" si="0">IFERROR(F10/E10,"")</f>
        <v>0.7</v>
      </c>
      <c r="H10" s="29" t="str">
        <f t="shared" ref="H10:H69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0" customHeight="1" thickBot="1" x14ac:dyDescent="0.25">
      <c r="A11" s="9"/>
      <c r="B11" s="85" t="s">
        <v>179</v>
      </c>
      <c r="C11" s="86"/>
      <c r="D11" s="86"/>
      <c r="E11" s="36">
        <v>5</v>
      </c>
      <c r="F11" s="43">
        <v>3.5</v>
      </c>
      <c r="G11" s="37">
        <f t="shared" si="0"/>
        <v>0.7</v>
      </c>
      <c r="H11" s="38" t="str">
        <f t="shared" si="1"/>
        <v>جيد</v>
      </c>
      <c r="I11" s="47"/>
      <c r="J11" s="48"/>
    </row>
    <row r="12" spans="1:10" ht="30" customHeight="1" x14ac:dyDescent="0.2">
      <c r="A12" s="9"/>
      <c r="B12" s="87" t="s">
        <v>180</v>
      </c>
      <c r="C12" s="88"/>
      <c r="D12" s="88"/>
      <c r="E12" s="32"/>
      <c r="F12" s="33"/>
      <c r="G12" s="34"/>
      <c r="H12" s="35"/>
      <c r="I12" s="49"/>
      <c r="J12" s="50"/>
    </row>
    <row r="13" spans="1:10" ht="30" customHeight="1" x14ac:dyDescent="0.2">
      <c r="A13" s="9"/>
      <c r="B13" s="83" t="s">
        <v>181</v>
      </c>
      <c r="C13" s="84"/>
      <c r="D13" s="84"/>
      <c r="E13" s="30">
        <v>5</v>
      </c>
      <c r="F13" s="25">
        <v>3.75</v>
      </c>
      <c r="G13" s="28">
        <f t="shared" si="0"/>
        <v>0.75</v>
      </c>
      <c r="H13" s="29" t="str">
        <f t="shared" si="1"/>
        <v>جيد</v>
      </c>
      <c r="I13" s="45"/>
      <c r="J13" s="46"/>
    </row>
    <row r="14" spans="1:10" ht="30" customHeight="1" x14ac:dyDescent="0.2">
      <c r="A14" s="9"/>
      <c r="B14" s="83" t="s">
        <v>182</v>
      </c>
      <c r="C14" s="84"/>
      <c r="D14" s="84"/>
      <c r="E14" s="30">
        <v>5</v>
      </c>
      <c r="F14" s="43">
        <v>3.5</v>
      </c>
      <c r="G14" s="28">
        <f t="shared" si="0"/>
        <v>0.7</v>
      </c>
      <c r="H14" s="29" t="str">
        <f t="shared" si="1"/>
        <v>جيد</v>
      </c>
      <c r="I14" s="45"/>
      <c r="J14" s="46"/>
    </row>
    <row r="15" spans="1:10" ht="30" customHeight="1" x14ac:dyDescent="0.2">
      <c r="A15" s="9"/>
      <c r="B15" s="83" t="s">
        <v>183</v>
      </c>
      <c r="C15" s="84"/>
      <c r="D15" s="84"/>
      <c r="E15" s="30">
        <v>5</v>
      </c>
      <c r="F15" s="43">
        <v>4</v>
      </c>
      <c r="G15" s="28">
        <f t="shared" si="0"/>
        <v>0.8</v>
      </c>
      <c r="H15" s="29" t="str">
        <f t="shared" si="1"/>
        <v>جيد جداً</v>
      </c>
      <c r="I15" s="45"/>
      <c r="J15" s="46"/>
    </row>
    <row r="16" spans="1:10" ht="30" customHeight="1" x14ac:dyDescent="0.2">
      <c r="A16" s="9"/>
      <c r="B16" s="83" t="s">
        <v>184</v>
      </c>
      <c r="C16" s="84"/>
      <c r="D16" s="84"/>
      <c r="E16" s="30">
        <v>5</v>
      </c>
      <c r="F16" s="43">
        <v>3.5</v>
      </c>
      <c r="G16" s="28">
        <f t="shared" si="0"/>
        <v>0.7</v>
      </c>
      <c r="H16" s="29" t="str">
        <f t="shared" si="1"/>
        <v>جيد</v>
      </c>
      <c r="I16" s="45"/>
      <c r="J16" s="46"/>
    </row>
    <row r="17" spans="1:10" ht="30" customHeight="1" x14ac:dyDescent="0.2">
      <c r="A17" s="9"/>
      <c r="B17" s="83" t="s">
        <v>185</v>
      </c>
      <c r="C17" s="84"/>
      <c r="D17" s="84"/>
      <c r="E17" s="30">
        <v>5</v>
      </c>
      <c r="F17" s="43">
        <v>3.5</v>
      </c>
      <c r="G17" s="28">
        <f t="shared" si="0"/>
        <v>0.7</v>
      </c>
      <c r="H17" s="29" t="str">
        <f t="shared" si="1"/>
        <v>جيد</v>
      </c>
      <c r="I17" s="45"/>
      <c r="J17" s="46"/>
    </row>
    <row r="18" spans="1:10" ht="30" customHeight="1" x14ac:dyDescent="0.2">
      <c r="A18" s="9"/>
      <c r="B18" s="83" t="s">
        <v>186</v>
      </c>
      <c r="C18" s="84"/>
      <c r="D18" s="84"/>
      <c r="E18" s="30">
        <v>5</v>
      </c>
      <c r="F18" s="43">
        <v>3.5</v>
      </c>
      <c r="G18" s="28">
        <f t="shared" si="0"/>
        <v>0.7</v>
      </c>
      <c r="H18" s="29" t="str">
        <f t="shared" si="1"/>
        <v>جيد</v>
      </c>
      <c r="I18" s="45"/>
      <c r="J18" s="46"/>
    </row>
    <row r="19" spans="1:10" ht="30" customHeight="1" x14ac:dyDescent="0.2">
      <c r="A19" s="9"/>
      <c r="B19" s="83" t="s">
        <v>187</v>
      </c>
      <c r="C19" s="84"/>
      <c r="D19" s="84"/>
      <c r="E19" s="30">
        <v>5</v>
      </c>
      <c r="F19" s="43">
        <v>3.5</v>
      </c>
      <c r="G19" s="28">
        <f t="shared" si="0"/>
        <v>0.7</v>
      </c>
      <c r="H19" s="29" t="str">
        <f t="shared" si="1"/>
        <v>جيد</v>
      </c>
      <c r="I19" s="45"/>
      <c r="J19" s="46"/>
    </row>
    <row r="20" spans="1:10" ht="30" customHeight="1" x14ac:dyDescent="0.2">
      <c r="A20" s="9"/>
      <c r="B20" s="83" t="s">
        <v>188</v>
      </c>
      <c r="C20" s="84"/>
      <c r="D20" s="84"/>
      <c r="E20" s="30">
        <v>5</v>
      </c>
      <c r="F20" s="43">
        <v>3.5</v>
      </c>
      <c r="G20" s="28">
        <f t="shared" si="0"/>
        <v>0.7</v>
      </c>
      <c r="H20" s="29" t="str">
        <f t="shared" si="1"/>
        <v>جيد</v>
      </c>
      <c r="I20" s="45"/>
      <c r="J20" s="46"/>
    </row>
    <row r="21" spans="1:10" ht="30" customHeight="1" x14ac:dyDescent="0.2">
      <c r="A21" s="9"/>
      <c r="B21" s="83" t="s">
        <v>189</v>
      </c>
      <c r="C21" s="84"/>
      <c r="D21" s="84"/>
      <c r="E21" s="30">
        <v>5</v>
      </c>
      <c r="F21" s="43">
        <v>4</v>
      </c>
      <c r="G21" s="28">
        <f t="shared" si="0"/>
        <v>0.8</v>
      </c>
      <c r="H21" s="29" t="str">
        <f t="shared" si="1"/>
        <v>جيد جداً</v>
      </c>
      <c r="I21" s="45"/>
      <c r="J21" s="46"/>
    </row>
    <row r="22" spans="1:10" ht="30" customHeight="1" x14ac:dyDescent="0.2">
      <c r="A22" s="9"/>
      <c r="B22" s="83" t="s">
        <v>190</v>
      </c>
      <c r="C22" s="84"/>
      <c r="D22" s="84"/>
      <c r="E22" s="30">
        <v>5</v>
      </c>
      <c r="F22" s="43">
        <v>3.5</v>
      </c>
      <c r="G22" s="28">
        <f t="shared" si="0"/>
        <v>0.7</v>
      </c>
      <c r="H22" s="29" t="str">
        <f t="shared" si="1"/>
        <v>جيد</v>
      </c>
      <c r="I22" s="45"/>
      <c r="J22" s="46"/>
    </row>
    <row r="23" spans="1:10" ht="30" customHeight="1" thickBot="1" x14ac:dyDescent="0.25">
      <c r="A23" s="9"/>
      <c r="B23" s="85" t="s">
        <v>191</v>
      </c>
      <c r="C23" s="86"/>
      <c r="D23" s="86"/>
      <c r="E23" s="36">
        <v>5</v>
      </c>
      <c r="F23" s="43">
        <v>3.5</v>
      </c>
      <c r="G23" s="37">
        <f t="shared" si="0"/>
        <v>0.7</v>
      </c>
      <c r="H23" s="38" t="str">
        <f t="shared" si="1"/>
        <v>جيد</v>
      </c>
      <c r="I23" s="47"/>
      <c r="J23" s="48"/>
    </row>
    <row r="24" spans="1:10" ht="30" customHeight="1" x14ac:dyDescent="0.2">
      <c r="A24" s="9"/>
      <c r="B24" s="87" t="s">
        <v>192</v>
      </c>
      <c r="C24" s="88"/>
      <c r="D24" s="88"/>
      <c r="E24" s="32"/>
      <c r="F24" s="33"/>
      <c r="G24" s="34"/>
      <c r="H24" s="35"/>
      <c r="I24" s="49"/>
      <c r="J24" s="50"/>
    </row>
    <row r="25" spans="1:10" ht="30" customHeight="1" x14ac:dyDescent="0.2">
      <c r="A25" s="9"/>
      <c r="B25" s="83" t="s">
        <v>193</v>
      </c>
      <c r="C25" s="84"/>
      <c r="D25" s="84"/>
      <c r="E25" s="30">
        <v>5</v>
      </c>
      <c r="F25" s="25">
        <v>4</v>
      </c>
      <c r="G25" s="28">
        <f t="shared" si="0"/>
        <v>0.8</v>
      </c>
      <c r="H25" s="29" t="str">
        <f t="shared" si="1"/>
        <v>جيد جداً</v>
      </c>
      <c r="I25" s="45"/>
      <c r="J25" s="46"/>
    </row>
    <row r="26" spans="1:10" ht="30" customHeight="1" x14ac:dyDescent="0.2">
      <c r="A26" s="9"/>
      <c r="B26" s="83" t="s">
        <v>194</v>
      </c>
      <c r="C26" s="84"/>
      <c r="D26" s="84"/>
      <c r="E26" s="30">
        <v>5</v>
      </c>
      <c r="F26" s="43">
        <v>3.5</v>
      </c>
      <c r="G26" s="28">
        <f t="shared" si="0"/>
        <v>0.7</v>
      </c>
      <c r="H26" s="29" t="str">
        <f t="shared" si="1"/>
        <v>جيد</v>
      </c>
      <c r="I26" s="45"/>
      <c r="J26" s="46"/>
    </row>
    <row r="27" spans="1:10" ht="30" customHeight="1" x14ac:dyDescent="0.2">
      <c r="A27" s="9"/>
      <c r="B27" s="83" t="s">
        <v>195</v>
      </c>
      <c r="C27" s="84"/>
      <c r="D27" s="84"/>
      <c r="E27" s="30">
        <v>5</v>
      </c>
      <c r="F27" s="43">
        <v>4</v>
      </c>
      <c r="G27" s="28">
        <f t="shared" si="0"/>
        <v>0.8</v>
      </c>
      <c r="H27" s="29" t="str">
        <f t="shared" si="1"/>
        <v>جيد جداً</v>
      </c>
      <c r="I27" s="45"/>
      <c r="J27" s="46"/>
    </row>
    <row r="28" spans="1:10" ht="30" customHeight="1" x14ac:dyDescent="0.2">
      <c r="A28" s="9"/>
      <c r="B28" s="83" t="s">
        <v>196</v>
      </c>
      <c r="C28" s="84"/>
      <c r="D28" s="84"/>
      <c r="E28" s="30">
        <v>5</v>
      </c>
      <c r="F28" s="43">
        <v>3.5</v>
      </c>
      <c r="G28" s="28">
        <f t="shared" si="0"/>
        <v>0.7</v>
      </c>
      <c r="H28" s="29" t="str">
        <f t="shared" si="1"/>
        <v>جيد</v>
      </c>
      <c r="I28" s="45"/>
      <c r="J28" s="46"/>
    </row>
    <row r="29" spans="1:10" ht="30" customHeight="1" x14ac:dyDescent="0.2">
      <c r="A29" s="9"/>
      <c r="B29" s="83" t="s">
        <v>197</v>
      </c>
      <c r="C29" s="84"/>
      <c r="D29" s="84"/>
      <c r="E29" s="30">
        <v>5</v>
      </c>
      <c r="F29" s="43">
        <v>3.5</v>
      </c>
      <c r="G29" s="28">
        <f t="shared" si="0"/>
        <v>0.7</v>
      </c>
      <c r="H29" s="29" t="str">
        <f t="shared" si="1"/>
        <v>جيد</v>
      </c>
      <c r="I29" s="45"/>
      <c r="J29" s="46"/>
    </row>
    <row r="30" spans="1:10" ht="30" customHeight="1" thickBot="1" x14ac:dyDescent="0.25">
      <c r="A30" s="9"/>
      <c r="B30" s="85" t="s">
        <v>198</v>
      </c>
      <c r="C30" s="86"/>
      <c r="D30" s="86"/>
      <c r="E30" s="36">
        <v>5</v>
      </c>
      <c r="F30" s="43">
        <v>3.5</v>
      </c>
      <c r="G30" s="37">
        <f t="shared" si="0"/>
        <v>0.7</v>
      </c>
      <c r="H30" s="38" t="str">
        <f t="shared" si="1"/>
        <v>جيد</v>
      </c>
      <c r="I30" s="47"/>
      <c r="J30" s="48"/>
    </row>
    <row r="31" spans="1:10" ht="30" customHeight="1" x14ac:dyDescent="0.2">
      <c r="A31" s="9"/>
      <c r="B31" s="87" t="s">
        <v>199</v>
      </c>
      <c r="C31" s="88"/>
      <c r="D31" s="88"/>
      <c r="E31" s="32"/>
      <c r="F31" s="33"/>
      <c r="G31" s="34"/>
      <c r="H31" s="35"/>
      <c r="I31" s="49"/>
      <c r="J31" s="50"/>
    </row>
    <row r="32" spans="1:10" ht="30" customHeight="1" x14ac:dyDescent="0.2">
      <c r="A32" s="9"/>
      <c r="B32" s="83" t="s">
        <v>200</v>
      </c>
      <c r="C32" s="84"/>
      <c r="D32" s="84"/>
      <c r="E32" s="30">
        <v>5</v>
      </c>
      <c r="F32" s="25">
        <v>4</v>
      </c>
      <c r="G32" s="28">
        <f t="shared" si="0"/>
        <v>0.8</v>
      </c>
      <c r="H32" s="29" t="str">
        <f t="shared" si="1"/>
        <v>جيد جداً</v>
      </c>
      <c r="I32" s="45"/>
      <c r="J32" s="46"/>
    </row>
    <row r="33" spans="1:10" ht="30" customHeight="1" x14ac:dyDescent="0.2">
      <c r="A33" s="9"/>
      <c r="B33" s="83" t="s">
        <v>201</v>
      </c>
      <c r="C33" s="84"/>
      <c r="D33" s="84"/>
      <c r="E33" s="30">
        <v>5</v>
      </c>
      <c r="F33" s="44">
        <v>4</v>
      </c>
      <c r="G33" s="28">
        <f t="shared" si="0"/>
        <v>0.8</v>
      </c>
      <c r="H33" s="29" t="str">
        <f t="shared" si="1"/>
        <v>جيد جداً</v>
      </c>
      <c r="I33" s="45"/>
      <c r="J33" s="46"/>
    </row>
    <row r="34" spans="1:10" ht="30" customHeight="1" x14ac:dyDescent="0.2">
      <c r="A34" s="9"/>
      <c r="B34" s="83" t="s">
        <v>202</v>
      </c>
      <c r="C34" s="84"/>
      <c r="D34" s="84"/>
      <c r="E34" s="30">
        <v>5</v>
      </c>
      <c r="F34" s="44">
        <v>4</v>
      </c>
      <c r="G34" s="28">
        <f t="shared" si="0"/>
        <v>0.8</v>
      </c>
      <c r="H34" s="29" t="str">
        <f t="shared" si="1"/>
        <v>جيد جداً</v>
      </c>
      <c r="I34" s="45"/>
      <c r="J34" s="46"/>
    </row>
    <row r="35" spans="1:10" ht="30" customHeight="1" x14ac:dyDescent="0.2">
      <c r="A35" s="9"/>
      <c r="B35" s="83" t="s">
        <v>203</v>
      </c>
      <c r="C35" s="84"/>
      <c r="D35" s="84"/>
      <c r="E35" s="30">
        <v>5</v>
      </c>
      <c r="F35" s="44">
        <v>4</v>
      </c>
      <c r="G35" s="28">
        <f t="shared" si="0"/>
        <v>0.8</v>
      </c>
      <c r="H35" s="29" t="str">
        <f t="shared" si="1"/>
        <v>جيد جداً</v>
      </c>
      <c r="I35" s="45"/>
      <c r="J35" s="46"/>
    </row>
    <row r="36" spans="1:10" ht="30" customHeight="1" thickBot="1" x14ac:dyDescent="0.25">
      <c r="A36" s="9"/>
      <c r="B36" s="85" t="s">
        <v>204</v>
      </c>
      <c r="C36" s="86"/>
      <c r="D36" s="86"/>
      <c r="E36" s="36">
        <v>5</v>
      </c>
      <c r="F36" s="44">
        <v>4</v>
      </c>
      <c r="G36" s="37">
        <f t="shared" si="0"/>
        <v>0.8</v>
      </c>
      <c r="H36" s="38" t="str">
        <f t="shared" si="1"/>
        <v>جيد جداً</v>
      </c>
      <c r="I36" s="47"/>
      <c r="J36" s="48"/>
    </row>
    <row r="37" spans="1:10" ht="30" customHeight="1" thickBot="1" x14ac:dyDescent="0.25">
      <c r="A37" s="9"/>
      <c r="B37" s="89" t="s">
        <v>283</v>
      </c>
      <c r="C37" s="90"/>
      <c r="D37" s="90"/>
      <c r="E37" s="39">
        <v>5</v>
      </c>
      <c r="F37" s="44">
        <v>4</v>
      </c>
      <c r="G37" s="37">
        <f t="shared" si="0"/>
        <v>0.8</v>
      </c>
      <c r="H37" s="38" t="str">
        <f t="shared" si="1"/>
        <v>جيد جداً</v>
      </c>
      <c r="I37" s="47"/>
      <c r="J37" s="48"/>
    </row>
    <row r="38" spans="1:10" ht="39.950000000000003" customHeight="1" thickBot="1" x14ac:dyDescent="0.25">
      <c r="A38" s="9"/>
      <c r="B38" s="89" t="s">
        <v>282</v>
      </c>
      <c r="C38" s="90"/>
      <c r="D38" s="90"/>
      <c r="E38" s="39">
        <v>10</v>
      </c>
      <c r="F38" s="43">
        <v>5</v>
      </c>
      <c r="G38" s="37">
        <f t="shared" si="0"/>
        <v>0.5</v>
      </c>
      <c r="H38" s="38" t="str">
        <f t="shared" si="1"/>
        <v>راسب</v>
      </c>
      <c r="I38" s="47"/>
      <c r="J38" s="48"/>
    </row>
    <row r="39" spans="1:10" ht="30" customHeight="1" x14ac:dyDescent="0.2">
      <c r="A39" s="9"/>
      <c r="B39" s="87" t="s">
        <v>205</v>
      </c>
      <c r="C39" s="88"/>
      <c r="D39" s="88"/>
      <c r="E39" s="32"/>
      <c r="F39" s="33"/>
      <c r="G39" s="34"/>
      <c r="H39" s="35"/>
      <c r="I39" s="49"/>
      <c r="J39" s="50"/>
    </row>
    <row r="40" spans="1:10" ht="30" customHeight="1" x14ac:dyDescent="0.2">
      <c r="A40" s="9"/>
      <c r="B40" s="83" t="s">
        <v>206</v>
      </c>
      <c r="C40" s="84"/>
      <c r="D40" s="84"/>
      <c r="E40" s="30">
        <v>5</v>
      </c>
      <c r="F40" s="25">
        <v>3.5</v>
      </c>
      <c r="G40" s="28">
        <f t="shared" si="0"/>
        <v>0.7</v>
      </c>
      <c r="H40" s="29" t="str">
        <f t="shared" si="1"/>
        <v>جيد</v>
      </c>
      <c r="I40" s="45"/>
      <c r="J40" s="46"/>
    </row>
    <row r="41" spans="1:10" ht="30" customHeight="1" x14ac:dyDescent="0.2">
      <c r="A41" s="9"/>
      <c r="B41" s="83" t="s">
        <v>207</v>
      </c>
      <c r="C41" s="84"/>
      <c r="D41" s="84"/>
      <c r="E41" s="30">
        <v>5</v>
      </c>
      <c r="F41" s="43">
        <v>4</v>
      </c>
      <c r="G41" s="28">
        <f t="shared" si="0"/>
        <v>0.8</v>
      </c>
      <c r="H41" s="29" t="str">
        <f t="shared" si="1"/>
        <v>جيد جداً</v>
      </c>
      <c r="I41" s="45"/>
      <c r="J41" s="46"/>
    </row>
    <row r="42" spans="1:10" ht="30" customHeight="1" x14ac:dyDescent="0.2">
      <c r="A42" s="9"/>
      <c r="B42" s="83" t="s">
        <v>208</v>
      </c>
      <c r="C42" s="84"/>
      <c r="D42" s="84"/>
      <c r="E42" s="30">
        <v>5</v>
      </c>
      <c r="F42" s="43">
        <v>4</v>
      </c>
      <c r="G42" s="28">
        <f t="shared" si="0"/>
        <v>0.8</v>
      </c>
      <c r="H42" s="29" t="str">
        <f t="shared" si="1"/>
        <v>جيد جداً</v>
      </c>
      <c r="I42" s="45"/>
      <c r="J42" s="46"/>
    </row>
    <row r="43" spans="1:10" ht="30" customHeight="1" x14ac:dyDescent="0.2">
      <c r="A43" s="9"/>
      <c r="B43" s="83" t="s">
        <v>209</v>
      </c>
      <c r="C43" s="84"/>
      <c r="D43" s="84"/>
      <c r="E43" s="30">
        <v>5</v>
      </c>
      <c r="F43" s="43">
        <v>3.5</v>
      </c>
      <c r="G43" s="28">
        <f t="shared" si="0"/>
        <v>0.7</v>
      </c>
      <c r="H43" s="29" t="str">
        <f t="shared" si="1"/>
        <v>جيد</v>
      </c>
      <c r="I43" s="45"/>
      <c r="J43" s="46"/>
    </row>
    <row r="44" spans="1:10" ht="30" customHeight="1" x14ac:dyDescent="0.2">
      <c r="A44" s="9"/>
      <c r="B44" s="83" t="s">
        <v>210</v>
      </c>
      <c r="C44" s="84"/>
      <c r="D44" s="84"/>
      <c r="E44" s="30">
        <v>5</v>
      </c>
      <c r="F44" s="43">
        <v>3.5</v>
      </c>
      <c r="G44" s="28">
        <f t="shared" si="0"/>
        <v>0.7</v>
      </c>
      <c r="H44" s="29" t="str">
        <f t="shared" si="1"/>
        <v>جيد</v>
      </c>
      <c r="I44" s="45"/>
      <c r="J44" s="46"/>
    </row>
    <row r="45" spans="1:10" ht="30" customHeight="1" x14ac:dyDescent="0.2">
      <c r="A45" s="9"/>
      <c r="B45" s="83" t="s">
        <v>211</v>
      </c>
      <c r="C45" s="84"/>
      <c r="D45" s="84"/>
      <c r="E45" s="30">
        <v>5</v>
      </c>
      <c r="F45" s="43">
        <v>3.5</v>
      </c>
      <c r="G45" s="28">
        <f t="shared" si="0"/>
        <v>0.7</v>
      </c>
      <c r="H45" s="29" t="str">
        <f t="shared" si="1"/>
        <v>جيد</v>
      </c>
      <c r="I45" s="45"/>
      <c r="J45" s="46"/>
    </row>
    <row r="46" spans="1:10" ht="30" customHeight="1" x14ac:dyDescent="0.2">
      <c r="A46" s="9"/>
      <c r="B46" s="83" t="s">
        <v>212</v>
      </c>
      <c r="C46" s="84"/>
      <c r="D46" s="84"/>
      <c r="E46" s="30">
        <v>5</v>
      </c>
      <c r="F46" s="43">
        <v>3.5</v>
      </c>
      <c r="G46" s="28">
        <f t="shared" si="0"/>
        <v>0.7</v>
      </c>
      <c r="H46" s="29" t="str">
        <f t="shared" si="1"/>
        <v>جيد</v>
      </c>
      <c r="I46" s="45"/>
      <c r="J46" s="46"/>
    </row>
    <row r="47" spans="1:10" ht="30" customHeight="1" x14ac:dyDescent="0.2">
      <c r="A47" s="9"/>
      <c r="B47" s="83" t="s">
        <v>213</v>
      </c>
      <c r="C47" s="84"/>
      <c r="D47" s="84"/>
      <c r="E47" s="30">
        <v>5</v>
      </c>
      <c r="F47" s="43">
        <v>3.5</v>
      </c>
      <c r="G47" s="28">
        <f t="shared" si="0"/>
        <v>0.7</v>
      </c>
      <c r="H47" s="29" t="str">
        <f t="shared" si="1"/>
        <v>جيد</v>
      </c>
      <c r="I47" s="45"/>
      <c r="J47" s="46"/>
    </row>
    <row r="48" spans="1:10" ht="30" customHeight="1" x14ac:dyDescent="0.2">
      <c r="A48" s="9"/>
      <c r="B48" s="83" t="s">
        <v>214</v>
      </c>
      <c r="C48" s="84"/>
      <c r="D48" s="84"/>
      <c r="E48" s="30">
        <v>5</v>
      </c>
      <c r="F48" s="43">
        <v>3.5</v>
      </c>
      <c r="G48" s="28">
        <f t="shared" si="0"/>
        <v>0.7</v>
      </c>
      <c r="H48" s="29" t="str">
        <f t="shared" si="1"/>
        <v>جيد</v>
      </c>
      <c r="I48" s="45"/>
      <c r="J48" s="46"/>
    </row>
    <row r="49" spans="1:10" ht="30" customHeight="1" x14ac:dyDescent="0.2">
      <c r="A49" s="9"/>
      <c r="B49" s="83" t="s">
        <v>215</v>
      </c>
      <c r="C49" s="84"/>
      <c r="D49" s="84"/>
      <c r="E49" s="30">
        <v>5</v>
      </c>
      <c r="F49" s="43">
        <v>3.5</v>
      </c>
      <c r="G49" s="28">
        <f t="shared" si="0"/>
        <v>0.7</v>
      </c>
      <c r="H49" s="29" t="str">
        <f t="shared" si="1"/>
        <v>جيد</v>
      </c>
      <c r="I49" s="45"/>
      <c r="J49" s="46"/>
    </row>
    <row r="50" spans="1:10" ht="30" customHeight="1" thickBot="1" x14ac:dyDescent="0.25">
      <c r="A50" s="9"/>
      <c r="B50" s="85" t="s">
        <v>216</v>
      </c>
      <c r="C50" s="86"/>
      <c r="D50" s="86"/>
      <c r="E50" s="36">
        <v>5</v>
      </c>
      <c r="F50" s="43">
        <v>3.5</v>
      </c>
      <c r="G50" s="37">
        <f t="shared" si="0"/>
        <v>0.7</v>
      </c>
      <c r="H50" s="38" t="str">
        <f t="shared" si="1"/>
        <v>جيد</v>
      </c>
      <c r="I50" s="47"/>
      <c r="J50" s="48"/>
    </row>
    <row r="51" spans="1:10" ht="30" customHeight="1" x14ac:dyDescent="0.2">
      <c r="A51" s="9"/>
      <c r="B51" s="87" t="s">
        <v>217</v>
      </c>
      <c r="C51" s="88"/>
      <c r="D51" s="88"/>
      <c r="E51" s="32"/>
      <c r="F51" s="33"/>
      <c r="G51" s="34"/>
      <c r="H51" s="35"/>
      <c r="I51" s="49"/>
      <c r="J51" s="50"/>
    </row>
    <row r="52" spans="1:10" ht="30" customHeight="1" x14ac:dyDescent="0.2">
      <c r="A52" s="9"/>
      <c r="B52" s="83" t="s">
        <v>218</v>
      </c>
      <c r="C52" s="84"/>
      <c r="D52" s="84"/>
      <c r="E52" s="30">
        <v>5</v>
      </c>
      <c r="F52" s="25">
        <v>3.75</v>
      </c>
      <c r="G52" s="28">
        <f t="shared" si="0"/>
        <v>0.75</v>
      </c>
      <c r="H52" s="29" t="str">
        <f t="shared" si="1"/>
        <v>جيد</v>
      </c>
      <c r="I52" s="45"/>
      <c r="J52" s="46"/>
    </row>
    <row r="53" spans="1:10" ht="30" customHeight="1" x14ac:dyDescent="0.2">
      <c r="A53" s="9"/>
      <c r="B53" s="83" t="s">
        <v>219</v>
      </c>
      <c r="C53" s="84"/>
      <c r="D53" s="84"/>
      <c r="E53" s="30">
        <v>5</v>
      </c>
      <c r="F53" s="43">
        <v>3.5</v>
      </c>
      <c r="G53" s="28">
        <f t="shared" si="0"/>
        <v>0.7</v>
      </c>
      <c r="H53" s="29" t="str">
        <f t="shared" si="1"/>
        <v>جيد</v>
      </c>
      <c r="I53" s="45"/>
      <c r="J53" s="46"/>
    </row>
    <row r="54" spans="1:10" ht="30" customHeight="1" x14ac:dyDescent="0.2">
      <c r="A54" s="9"/>
      <c r="B54" s="83" t="s">
        <v>220</v>
      </c>
      <c r="C54" s="84"/>
      <c r="D54" s="84"/>
      <c r="E54" s="30">
        <v>5</v>
      </c>
      <c r="F54" s="43">
        <v>3.5</v>
      </c>
      <c r="G54" s="28">
        <f t="shared" si="0"/>
        <v>0.7</v>
      </c>
      <c r="H54" s="29" t="str">
        <f t="shared" si="1"/>
        <v>جيد</v>
      </c>
      <c r="I54" s="45"/>
      <c r="J54" s="46"/>
    </row>
    <row r="55" spans="1:10" ht="30" customHeight="1" x14ac:dyDescent="0.2">
      <c r="A55" s="9"/>
      <c r="B55" s="91" t="s">
        <v>221</v>
      </c>
      <c r="C55" s="92"/>
      <c r="D55" s="92"/>
      <c r="E55" s="30">
        <v>5</v>
      </c>
      <c r="F55" s="43">
        <v>3.5</v>
      </c>
      <c r="G55" s="28">
        <f t="shared" si="0"/>
        <v>0.7</v>
      </c>
      <c r="H55" s="29" t="str">
        <f t="shared" si="1"/>
        <v>جيد</v>
      </c>
      <c r="I55" s="45"/>
      <c r="J55" s="46"/>
    </row>
    <row r="56" spans="1:10" ht="30" customHeight="1" x14ac:dyDescent="0.2">
      <c r="A56" s="9"/>
      <c r="B56" s="91" t="s">
        <v>222</v>
      </c>
      <c r="C56" s="92"/>
      <c r="D56" s="92"/>
      <c r="E56" s="30">
        <v>5</v>
      </c>
      <c r="F56" s="43">
        <v>3.75</v>
      </c>
      <c r="G56" s="28">
        <f t="shared" si="0"/>
        <v>0.75</v>
      </c>
      <c r="H56" s="29" t="str">
        <f t="shared" si="1"/>
        <v>جيد</v>
      </c>
      <c r="I56" s="45"/>
      <c r="J56" s="46"/>
    </row>
    <row r="57" spans="1:10" ht="30" customHeight="1" thickBot="1" x14ac:dyDescent="0.25">
      <c r="A57" s="9"/>
      <c r="B57" s="93" t="s">
        <v>223</v>
      </c>
      <c r="C57" s="94"/>
      <c r="D57" s="94"/>
      <c r="E57" s="36">
        <v>5</v>
      </c>
      <c r="F57" s="43">
        <v>3.5</v>
      </c>
      <c r="G57" s="37">
        <f t="shared" si="0"/>
        <v>0.7</v>
      </c>
      <c r="H57" s="38" t="str">
        <f t="shared" si="1"/>
        <v>جيد</v>
      </c>
      <c r="I57" s="47"/>
      <c r="J57" s="48"/>
    </row>
    <row r="58" spans="1:10" ht="30" customHeight="1" x14ac:dyDescent="0.2">
      <c r="A58" s="9"/>
      <c r="B58" s="95" t="s">
        <v>224</v>
      </c>
      <c r="C58" s="96"/>
      <c r="D58" s="96"/>
      <c r="E58" s="40"/>
      <c r="F58" s="33"/>
      <c r="G58" s="34"/>
      <c r="H58" s="35"/>
      <c r="I58" s="49"/>
      <c r="J58" s="50"/>
    </row>
    <row r="59" spans="1:10" ht="30" customHeight="1" x14ac:dyDescent="0.2">
      <c r="A59" s="9"/>
      <c r="B59" s="83" t="s">
        <v>225</v>
      </c>
      <c r="C59" s="84"/>
      <c r="D59" s="84"/>
      <c r="E59" s="30">
        <v>5</v>
      </c>
      <c r="F59" s="25">
        <v>3.5</v>
      </c>
      <c r="G59" s="28">
        <f t="shared" si="0"/>
        <v>0.7</v>
      </c>
      <c r="H59" s="29" t="str">
        <f t="shared" si="1"/>
        <v>جيد</v>
      </c>
      <c r="I59" s="45"/>
      <c r="J59" s="46"/>
    </row>
    <row r="60" spans="1:10" ht="30" customHeight="1" x14ac:dyDescent="0.2">
      <c r="A60" s="9"/>
      <c r="B60" s="83" t="s">
        <v>226</v>
      </c>
      <c r="C60" s="84"/>
      <c r="D60" s="84"/>
      <c r="E60" s="30">
        <v>5</v>
      </c>
      <c r="F60" s="43">
        <v>3.5</v>
      </c>
      <c r="G60" s="28">
        <f t="shared" si="0"/>
        <v>0.7</v>
      </c>
      <c r="H60" s="29" t="str">
        <f t="shared" si="1"/>
        <v>جيد</v>
      </c>
      <c r="I60" s="45"/>
      <c r="J60" s="46"/>
    </row>
    <row r="61" spans="1:10" ht="30" customHeight="1" x14ac:dyDescent="0.2">
      <c r="A61" s="9"/>
      <c r="B61" s="83" t="s">
        <v>227</v>
      </c>
      <c r="C61" s="84"/>
      <c r="D61" s="84"/>
      <c r="E61" s="30">
        <v>5</v>
      </c>
      <c r="F61" s="43">
        <v>3.25</v>
      </c>
      <c r="G61" s="28">
        <f t="shared" si="0"/>
        <v>0.65</v>
      </c>
      <c r="H61" s="29" t="str">
        <f t="shared" si="1"/>
        <v>مقبول</v>
      </c>
      <c r="I61" s="45"/>
      <c r="J61" s="46"/>
    </row>
    <row r="62" spans="1:10" ht="30" customHeight="1" x14ac:dyDescent="0.2">
      <c r="A62" s="9"/>
      <c r="B62" s="83" t="s">
        <v>228</v>
      </c>
      <c r="C62" s="84"/>
      <c r="D62" s="84"/>
      <c r="E62" s="30">
        <v>5</v>
      </c>
      <c r="F62" s="43">
        <v>3.5</v>
      </c>
      <c r="G62" s="28">
        <f t="shared" si="0"/>
        <v>0.7</v>
      </c>
      <c r="H62" s="29" t="str">
        <f t="shared" si="1"/>
        <v>جيد</v>
      </c>
      <c r="I62" s="45"/>
      <c r="J62" s="46"/>
    </row>
    <row r="63" spans="1:10" ht="30" customHeight="1" x14ac:dyDescent="0.2">
      <c r="A63" s="9"/>
      <c r="B63" s="83" t="s">
        <v>229</v>
      </c>
      <c r="C63" s="84"/>
      <c r="D63" s="84"/>
      <c r="E63" s="30">
        <v>5</v>
      </c>
      <c r="F63" s="43">
        <v>4</v>
      </c>
      <c r="G63" s="28">
        <f t="shared" si="0"/>
        <v>0.8</v>
      </c>
      <c r="H63" s="29" t="str">
        <f t="shared" si="1"/>
        <v>جيد جداً</v>
      </c>
      <c r="I63" s="45"/>
      <c r="J63" s="46"/>
    </row>
    <row r="64" spans="1:10" ht="30" customHeight="1" x14ac:dyDescent="0.2">
      <c r="A64" s="9"/>
      <c r="B64" s="83" t="s">
        <v>230</v>
      </c>
      <c r="C64" s="84"/>
      <c r="D64" s="84"/>
      <c r="E64" s="30">
        <v>5</v>
      </c>
      <c r="F64" s="43">
        <v>3.5</v>
      </c>
      <c r="G64" s="28">
        <f t="shared" si="0"/>
        <v>0.7</v>
      </c>
      <c r="H64" s="29" t="str">
        <f t="shared" si="1"/>
        <v>جيد</v>
      </c>
      <c r="I64" s="45"/>
      <c r="J64" s="46"/>
    </row>
    <row r="65" spans="1:10" ht="30" customHeight="1" x14ac:dyDescent="0.2">
      <c r="A65" s="9"/>
      <c r="B65" s="83" t="s">
        <v>231</v>
      </c>
      <c r="C65" s="84"/>
      <c r="D65" s="84"/>
      <c r="E65" s="30">
        <v>5</v>
      </c>
      <c r="F65" s="43">
        <v>3.5</v>
      </c>
      <c r="G65" s="28">
        <f t="shared" si="0"/>
        <v>0.7</v>
      </c>
      <c r="H65" s="29" t="str">
        <f t="shared" si="1"/>
        <v>جيد</v>
      </c>
      <c r="I65" s="45"/>
      <c r="J65" s="46"/>
    </row>
    <row r="66" spans="1:10" ht="30" customHeight="1" x14ac:dyDescent="0.2">
      <c r="A66" s="9"/>
      <c r="B66" s="83" t="s">
        <v>232</v>
      </c>
      <c r="C66" s="84"/>
      <c r="D66" s="84"/>
      <c r="E66" s="30">
        <v>5</v>
      </c>
      <c r="F66" s="43">
        <v>3.5</v>
      </c>
      <c r="G66" s="28">
        <f t="shared" si="0"/>
        <v>0.7</v>
      </c>
      <c r="H66" s="29" t="str">
        <f t="shared" si="1"/>
        <v>جيد</v>
      </c>
      <c r="I66" s="45"/>
      <c r="J66" s="46"/>
    </row>
    <row r="67" spans="1:10" ht="30" customHeight="1" x14ac:dyDescent="0.2">
      <c r="A67" s="9"/>
      <c r="B67" s="83" t="s">
        <v>233</v>
      </c>
      <c r="C67" s="84"/>
      <c r="D67" s="84"/>
      <c r="E67" s="30">
        <v>5</v>
      </c>
      <c r="F67" s="43">
        <v>4.25</v>
      </c>
      <c r="G67" s="28">
        <f t="shared" si="0"/>
        <v>0.85</v>
      </c>
      <c r="H67" s="29" t="str">
        <f t="shared" si="1"/>
        <v>جيد جداً</v>
      </c>
      <c r="I67" s="45"/>
      <c r="J67" s="46"/>
    </row>
    <row r="68" spans="1:10" ht="30" customHeight="1" x14ac:dyDescent="0.2">
      <c r="A68" s="9"/>
      <c r="B68" s="83" t="s">
        <v>234</v>
      </c>
      <c r="C68" s="84"/>
      <c r="D68" s="84"/>
      <c r="E68" s="30">
        <v>5</v>
      </c>
      <c r="F68" s="43">
        <v>3.5</v>
      </c>
      <c r="G68" s="28">
        <f t="shared" si="0"/>
        <v>0.7</v>
      </c>
      <c r="H68" s="29" t="str">
        <f t="shared" si="1"/>
        <v>جيد</v>
      </c>
      <c r="I68" s="45"/>
      <c r="J68" s="46"/>
    </row>
    <row r="69" spans="1:10" ht="30" customHeight="1" thickBot="1" x14ac:dyDescent="0.25">
      <c r="A69" s="9"/>
      <c r="B69" s="85" t="s">
        <v>235</v>
      </c>
      <c r="C69" s="86"/>
      <c r="D69" s="86"/>
      <c r="E69" s="36">
        <v>5</v>
      </c>
      <c r="F69" s="43">
        <v>3.5</v>
      </c>
      <c r="G69" s="37">
        <f t="shared" si="0"/>
        <v>0.7</v>
      </c>
      <c r="H69" s="38" t="str">
        <f t="shared" si="1"/>
        <v>جيد</v>
      </c>
      <c r="I69" s="47"/>
      <c r="J69" s="48"/>
    </row>
    <row r="70" spans="1:10" ht="30" customHeight="1" x14ac:dyDescent="0.2">
      <c r="A70" s="9"/>
      <c r="B70" s="95" t="s">
        <v>236</v>
      </c>
      <c r="C70" s="96"/>
      <c r="D70" s="96"/>
      <c r="E70" s="41"/>
      <c r="F70" s="33"/>
      <c r="G70" s="34"/>
      <c r="H70" s="35"/>
      <c r="I70" s="49"/>
      <c r="J70" s="50"/>
    </row>
    <row r="71" spans="1:10" ht="30" customHeight="1" x14ac:dyDescent="0.2">
      <c r="A71" s="9"/>
      <c r="B71" s="83" t="s">
        <v>237</v>
      </c>
      <c r="C71" s="84"/>
      <c r="D71" s="84"/>
      <c r="E71" s="30">
        <v>5</v>
      </c>
      <c r="F71" s="25">
        <v>3.25</v>
      </c>
      <c r="G71" s="28">
        <f t="shared" ref="G71:G115" si="2">IFERROR(F71/E71,"")</f>
        <v>0.65</v>
      </c>
      <c r="H71" s="29" t="str">
        <f t="shared" ref="H71:H115" si="3">_xlfn.IFS(F71="أدخل العلامة","",F71="لا ينطبق","تم الإلغاء",G71&gt;=90%,"ممتاز",G71&gt;=80%,"جيد جداً",G71&gt;=70%,"جيد",G71&gt;=60%,"مقبول",G71&lt;60%,"راسب")</f>
        <v>مقبول</v>
      </c>
      <c r="I71" s="45"/>
      <c r="J71" s="46"/>
    </row>
    <row r="72" spans="1:10" ht="30" customHeight="1" x14ac:dyDescent="0.2">
      <c r="A72" s="9"/>
      <c r="B72" s="83" t="s">
        <v>238</v>
      </c>
      <c r="C72" s="84"/>
      <c r="D72" s="84"/>
      <c r="E72" s="30">
        <v>5</v>
      </c>
      <c r="F72" s="44">
        <v>3.25</v>
      </c>
      <c r="G72" s="28">
        <f t="shared" si="2"/>
        <v>0.65</v>
      </c>
      <c r="H72" s="29" t="str">
        <f t="shared" si="3"/>
        <v>مقبول</v>
      </c>
      <c r="I72" s="45"/>
      <c r="J72" s="46"/>
    </row>
    <row r="73" spans="1:10" ht="30" customHeight="1" x14ac:dyDescent="0.2">
      <c r="A73" s="9"/>
      <c r="B73" s="83" t="s">
        <v>239</v>
      </c>
      <c r="C73" s="84"/>
      <c r="D73" s="84"/>
      <c r="E73" s="30">
        <v>5</v>
      </c>
      <c r="F73" s="44">
        <v>3.25</v>
      </c>
      <c r="G73" s="28">
        <f t="shared" si="2"/>
        <v>0.65</v>
      </c>
      <c r="H73" s="29" t="str">
        <f t="shared" si="3"/>
        <v>مقبول</v>
      </c>
      <c r="I73" s="45"/>
      <c r="J73" s="46"/>
    </row>
    <row r="74" spans="1:10" ht="30" customHeight="1" x14ac:dyDescent="0.2">
      <c r="A74" s="9"/>
      <c r="B74" s="83" t="s">
        <v>240</v>
      </c>
      <c r="C74" s="84"/>
      <c r="D74" s="84"/>
      <c r="E74" s="30">
        <v>5</v>
      </c>
      <c r="F74" s="44">
        <v>3.25</v>
      </c>
      <c r="G74" s="28">
        <f t="shared" si="2"/>
        <v>0.65</v>
      </c>
      <c r="H74" s="29" t="str">
        <f t="shared" si="3"/>
        <v>مقبول</v>
      </c>
      <c r="I74" s="45"/>
      <c r="J74" s="46"/>
    </row>
    <row r="75" spans="1:10" ht="30" customHeight="1" x14ac:dyDescent="0.2">
      <c r="A75" s="9"/>
      <c r="B75" s="83" t="s">
        <v>241</v>
      </c>
      <c r="C75" s="84"/>
      <c r="D75" s="84"/>
      <c r="E75" s="30">
        <v>5</v>
      </c>
      <c r="F75" s="44">
        <v>3.25</v>
      </c>
      <c r="G75" s="28">
        <f t="shared" si="2"/>
        <v>0.65</v>
      </c>
      <c r="H75" s="29" t="str">
        <f t="shared" si="3"/>
        <v>مقبول</v>
      </c>
      <c r="I75" s="45"/>
      <c r="J75" s="46"/>
    </row>
    <row r="76" spans="1:10" ht="30" customHeight="1" x14ac:dyDescent="0.2">
      <c r="A76" s="9"/>
      <c r="B76" s="83" t="s">
        <v>242</v>
      </c>
      <c r="C76" s="84"/>
      <c r="D76" s="84"/>
      <c r="E76" s="30">
        <v>5</v>
      </c>
      <c r="F76" s="44">
        <v>3.25</v>
      </c>
      <c r="G76" s="28">
        <f t="shared" si="2"/>
        <v>0.65</v>
      </c>
      <c r="H76" s="29" t="str">
        <f t="shared" si="3"/>
        <v>مقبول</v>
      </c>
      <c r="I76" s="45"/>
      <c r="J76" s="46"/>
    </row>
    <row r="77" spans="1:10" ht="30" customHeight="1" x14ac:dyDescent="0.2">
      <c r="A77" s="9"/>
      <c r="B77" s="83" t="s">
        <v>243</v>
      </c>
      <c r="C77" s="84"/>
      <c r="D77" s="84"/>
      <c r="E77" s="30">
        <v>5</v>
      </c>
      <c r="F77" s="44">
        <v>3.25</v>
      </c>
      <c r="G77" s="28">
        <f t="shared" si="2"/>
        <v>0.65</v>
      </c>
      <c r="H77" s="29" t="str">
        <f t="shared" si="3"/>
        <v>مقبول</v>
      </c>
      <c r="I77" s="45"/>
      <c r="J77" s="46"/>
    </row>
    <row r="78" spans="1:10" ht="30" customHeight="1" thickBot="1" x14ac:dyDescent="0.25">
      <c r="A78" s="9"/>
      <c r="B78" s="85" t="s">
        <v>244</v>
      </c>
      <c r="C78" s="86"/>
      <c r="D78" s="86"/>
      <c r="E78" s="42">
        <v>5</v>
      </c>
      <c r="F78" s="44">
        <v>3.25</v>
      </c>
      <c r="G78" s="37">
        <f t="shared" si="2"/>
        <v>0.65</v>
      </c>
      <c r="H78" s="38" t="str">
        <f t="shared" si="3"/>
        <v>مقبول</v>
      </c>
      <c r="I78" s="47"/>
      <c r="J78" s="48"/>
    </row>
    <row r="79" spans="1:10" ht="30" customHeight="1" x14ac:dyDescent="0.2">
      <c r="A79" s="9"/>
      <c r="B79" s="87" t="s">
        <v>245</v>
      </c>
      <c r="C79" s="88"/>
      <c r="D79" s="88"/>
      <c r="E79" s="41"/>
      <c r="F79" s="33"/>
      <c r="G79" s="34"/>
      <c r="H79" s="35"/>
      <c r="I79" s="49"/>
      <c r="J79" s="50"/>
    </row>
    <row r="80" spans="1:10" ht="30" customHeight="1" x14ac:dyDescent="0.2">
      <c r="A80" s="9"/>
      <c r="B80" s="83" t="s">
        <v>246</v>
      </c>
      <c r="C80" s="84"/>
      <c r="D80" s="84"/>
      <c r="E80" s="30">
        <v>5</v>
      </c>
      <c r="F80" s="25">
        <v>3.5</v>
      </c>
      <c r="G80" s="28">
        <f t="shared" si="2"/>
        <v>0.7</v>
      </c>
      <c r="H80" s="29" t="str">
        <f t="shared" si="3"/>
        <v>جيد</v>
      </c>
      <c r="I80" s="45"/>
      <c r="J80" s="46"/>
    </row>
    <row r="81" spans="1:10" ht="30" customHeight="1" x14ac:dyDescent="0.2">
      <c r="A81" s="9"/>
      <c r="B81" s="83" t="s">
        <v>247</v>
      </c>
      <c r="C81" s="84"/>
      <c r="D81" s="84"/>
      <c r="E81" s="30">
        <v>5</v>
      </c>
      <c r="F81" s="43">
        <v>3.5</v>
      </c>
      <c r="G81" s="28">
        <f t="shared" si="2"/>
        <v>0.7</v>
      </c>
      <c r="H81" s="29" t="str">
        <f t="shared" si="3"/>
        <v>جيد</v>
      </c>
      <c r="I81" s="45"/>
      <c r="J81" s="46"/>
    </row>
    <row r="82" spans="1:10" ht="30" customHeight="1" x14ac:dyDescent="0.2">
      <c r="A82" s="9"/>
      <c r="B82" s="83" t="s">
        <v>248</v>
      </c>
      <c r="C82" s="84"/>
      <c r="D82" s="84"/>
      <c r="E82" s="30">
        <v>5</v>
      </c>
      <c r="F82" s="43">
        <v>3.5</v>
      </c>
      <c r="G82" s="28">
        <f t="shared" si="2"/>
        <v>0.7</v>
      </c>
      <c r="H82" s="29" t="str">
        <f t="shared" si="3"/>
        <v>جيد</v>
      </c>
      <c r="I82" s="45"/>
      <c r="J82" s="46"/>
    </row>
    <row r="83" spans="1:10" ht="30" customHeight="1" thickBot="1" x14ac:dyDescent="0.25">
      <c r="A83" s="9"/>
      <c r="B83" s="85" t="s">
        <v>249</v>
      </c>
      <c r="C83" s="86"/>
      <c r="D83" s="86"/>
      <c r="E83" s="36">
        <v>5</v>
      </c>
      <c r="F83" s="43">
        <v>3.5</v>
      </c>
      <c r="G83" s="37">
        <f t="shared" si="2"/>
        <v>0.7</v>
      </c>
      <c r="H83" s="38" t="str">
        <f t="shared" si="3"/>
        <v>جيد</v>
      </c>
      <c r="I83" s="47"/>
      <c r="J83" s="48"/>
    </row>
    <row r="84" spans="1:10" ht="30" customHeight="1" x14ac:dyDescent="0.2">
      <c r="A84" s="9"/>
      <c r="B84" s="95" t="s">
        <v>250</v>
      </c>
      <c r="C84" s="96"/>
      <c r="D84" s="96"/>
      <c r="E84" s="41"/>
      <c r="F84" s="33"/>
      <c r="G84" s="34"/>
      <c r="H84" s="35"/>
      <c r="I84" s="49"/>
      <c r="J84" s="50"/>
    </row>
    <row r="85" spans="1:10" ht="30" customHeight="1" x14ac:dyDescent="0.2">
      <c r="A85" s="9"/>
      <c r="B85" s="83" t="s">
        <v>251</v>
      </c>
      <c r="C85" s="84"/>
      <c r="D85" s="84"/>
      <c r="E85" s="30">
        <v>5</v>
      </c>
      <c r="F85" s="25">
        <v>3.5</v>
      </c>
      <c r="G85" s="28">
        <f t="shared" si="2"/>
        <v>0.7</v>
      </c>
      <c r="H85" s="29" t="str">
        <f t="shared" si="3"/>
        <v>جيد</v>
      </c>
      <c r="I85" s="45"/>
      <c r="J85" s="46"/>
    </row>
    <row r="86" spans="1:10" ht="30" customHeight="1" x14ac:dyDescent="0.2">
      <c r="A86" s="9"/>
      <c r="B86" s="83" t="s">
        <v>252</v>
      </c>
      <c r="C86" s="84"/>
      <c r="D86" s="84"/>
      <c r="E86" s="30">
        <v>5</v>
      </c>
      <c r="F86" s="43">
        <v>3.5</v>
      </c>
      <c r="G86" s="28">
        <f t="shared" si="2"/>
        <v>0.7</v>
      </c>
      <c r="H86" s="29" t="str">
        <f t="shared" si="3"/>
        <v>جيد</v>
      </c>
      <c r="I86" s="45"/>
      <c r="J86" s="46"/>
    </row>
    <row r="87" spans="1:10" ht="30" customHeight="1" thickBot="1" x14ac:dyDescent="0.25">
      <c r="A87" s="9"/>
      <c r="B87" s="85" t="s">
        <v>253</v>
      </c>
      <c r="C87" s="86"/>
      <c r="D87" s="86"/>
      <c r="E87" s="36">
        <v>5</v>
      </c>
      <c r="F87" s="43">
        <v>3.5</v>
      </c>
      <c r="G87" s="37">
        <f t="shared" si="2"/>
        <v>0.7</v>
      </c>
      <c r="H87" s="38" t="str">
        <f t="shared" si="3"/>
        <v>جيد</v>
      </c>
      <c r="I87" s="47"/>
      <c r="J87" s="48"/>
    </row>
    <row r="88" spans="1:10" ht="30" customHeight="1" x14ac:dyDescent="0.2">
      <c r="A88" s="9"/>
      <c r="B88" s="95" t="s">
        <v>254</v>
      </c>
      <c r="C88" s="96"/>
      <c r="D88" s="96"/>
      <c r="E88" s="41"/>
      <c r="F88" s="33"/>
      <c r="G88" s="34"/>
      <c r="H88" s="35"/>
      <c r="I88" s="49"/>
      <c r="J88" s="50"/>
    </row>
    <row r="89" spans="1:10" ht="30" customHeight="1" x14ac:dyDescent="0.2">
      <c r="A89" s="9"/>
      <c r="B89" s="83" t="s">
        <v>255</v>
      </c>
      <c r="C89" s="84"/>
      <c r="D89" s="84"/>
      <c r="E89" s="30">
        <v>5</v>
      </c>
      <c r="F89" s="25">
        <v>4</v>
      </c>
      <c r="G89" s="28">
        <f t="shared" si="2"/>
        <v>0.8</v>
      </c>
      <c r="H89" s="29" t="str">
        <f t="shared" si="3"/>
        <v>جيد جداً</v>
      </c>
      <c r="I89" s="45"/>
      <c r="J89" s="46"/>
    </row>
    <row r="90" spans="1:10" ht="30" customHeight="1" x14ac:dyDescent="0.2">
      <c r="A90" s="9"/>
      <c r="B90" s="83" t="s">
        <v>256</v>
      </c>
      <c r="C90" s="84"/>
      <c r="D90" s="84"/>
      <c r="E90" s="30">
        <v>5</v>
      </c>
      <c r="F90" s="43">
        <v>3.5</v>
      </c>
      <c r="G90" s="28">
        <f t="shared" si="2"/>
        <v>0.7</v>
      </c>
      <c r="H90" s="29" t="str">
        <f t="shared" si="3"/>
        <v>جيد</v>
      </c>
      <c r="I90" s="45"/>
      <c r="J90" s="46"/>
    </row>
    <row r="91" spans="1:10" ht="30" customHeight="1" x14ac:dyDescent="0.2">
      <c r="A91" s="9"/>
      <c r="B91" s="83" t="s">
        <v>257</v>
      </c>
      <c r="C91" s="84"/>
      <c r="D91" s="84"/>
      <c r="E91" s="30">
        <v>5</v>
      </c>
      <c r="F91" s="43">
        <v>4</v>
      </c>
      <c r="G91" s="28">
        <f t="shared" si="2"/>
        <v>0.8</v>
      </c>
      <c r="H91" s="29" t="str">
        <f t="shared" si="3"/>
        <v>جيد جداً</v>
      </c>
      <c r="I91" s="45"/>
      <c r="J91" s="46"/>
    </row>
    <row r="92" spans="1:10" ht="30" customHeight="1" x14ac:dyDescent="0.2">
      <c r="A92" s="9"/>
      <c r="B92" s="83" t="s">
        <v>258</v>
      </c>
      <c r="C92" s="84"/>
      <c r="D92" s="84"/>
      <c r="E92" s="30">
        <v>5</v>
      </c>
      <c r="F92" s="43">
        <v>3.5</v>
      </c>
      <c r="G92" s="28">
        <f t="shared" si="2"/>
        <v>0.7</v>
      </c>
      <c r="H92" s="29" t="str">
        <f t="shared" si="3"/>
        <v>جيد</v>
      </c>
      <c r="I92" s="45"/>
      <c r="J92" s="46"/>
    </row>
    <row r="93" spans="1:10" ht="30" customHeight="1" x14ac:dyDescent="0.2">
      <c r="A93" s="9"/>
      <c r="B93" s="83" t="s">
        <v>259</v>
      </c>
      <c r="C93" s="84"/>
      <c r="D93" s="84"/>
      <c r="E93" s="31">
        <v>5</v>
      </c>
      <c r="F93" s="43">
        <v>3.5</v>
      </c>
      <c r="G93" s="28">
        <f t="shared" si="2"/>
        <v>0.7</v>
      </c>
      <c r="H93" s="29" t="str">
        <f t="shared" si="3"/>
        <v>جيد</v>
      </c>
      <c r="I93" s="45"/>
      <c r="J93" s="46"/>
    </row>
    <row r="94" spans="1:10" ht="30" customHeight="1" x14ac:dyDescent="0.2">
      <c r="A94" s="9"/>
      <c r="B94" s="83" t="s">
        <v>260</v>
      </c>
      <c r="C94" s="84"/>
      <c r="D94" s="84"/>
      <c r="E94" s="30">
        <v>5</v>
      </c>
      <c r="F94" s="43">
        <v>4</v>
      </c>
      <c r="G94" s="28">
        <f t="shared" si="2"/>
        <v>0.8</v>
      </c>
      <c r="H94" s="29" t="str">
        <f t="shared" si="3"/>
        <v>جيد جداً</v>
      </c>
      <c r="I94" s="45"/>
      <c r="J94" s="46"/>
    </row>
    <row r="95" spans="1:10" ht="30" customHeight="1" x14ac:dyDescent="0.2">
      <c r="A95" s="9"/>
      <c r="B95" s="83" t="s">
        <v>261</v>
      </c>
      <c r="C95" s="84"/>
      <c r="D95" s="84"/>
      <c r="E95" s="30">
        <v>5</v>
      </c>
      <c r="F95" s="43">
        <v>3.5</v>
      </c>
      <c r="G95" s="28">
        <f t="shared" si="2"/>
        <v>0.7</v>
      </c>
      <c r="H95" s="29" t="str">
        <f t="shared" si="3"/>
        <v>جيد</v>
      </c>
      <c r="I95" s="45"/>
      <c r="J95" s="46"/>
    </row>
    <row r="96" spans="1:10" ht="30" customHeight="1" x14ac:dyDescent="0.2">
      <c r="A96" s="9"/>
      <c r="B96" s="83" t="s">
        <v>262</v>
      </c>
      <c r="C96" s="84"/>
      <c r="D96" s="84"/>
      <c r="E96" s="30">
        <v>5</v>
      </c>
      <c r="F96" s="43">
        <v>3.5</v>
      </c>
      <c r="G96" s="28">
        <f t="shared" si="2"/>
        <v>0.7</v>
      </c>
      <c r="H96" s="29" t="str">
        <f t="shared" si="3"/>
        <v>جيد</v>
      </c>
      <c r="I96" s="45"/>
      <c r="J96" s="46"/>
    </row>
    <row r="97" spans="1:10" ht="30" customHeight="1" x14ac:dyDescent="0.2">
      <c r="A97" s="9"/>
      <c r="B97" s="83" t="s">
        <v>263</v>
      </c>
      <c r="C97" s="84"/>
      <c r="D97" s="84"/>
      <c r="E97" s="30">
        <v>5</v>
      </c>
      <c r="F97" s="43">
        <v>3.5</v>
      </c>
      <c r="G97" s="28">
        <f t="shared" si="2"/>
        <v>0.7</v>
      </c>
      <c r="H97" s="29" t="str">
        <f t="shared" si="3"/>
        <v>جيد</v>
      </c>
      <c r="I97" s="45"/>
      <c r="J97" s="46"/>
    </row>
    <row r="98" spans="1:10" ht="30" customHeight="1" x14ac:dyDescent="0.2">
      <c r="A98" s="9"/>
      <c r="B98" s="83" t="s">
        <v>264</v>
      </c>
      <c r="C98" s="84"/>
      <c r="D98" s="84"/>
      <c r="E98" s="31">
        <v>5</v>
      </c>
      <c r="F98" s="43">
        <v>3.5</v>
      </c>
      <c r="G98" s="28">
        <f t="shared" si="2"/>
        <v>0.7</v>
      </c>
      <c r="H98" s="29" t="str">
        <f t="shared" si="3"/>
        <v>جيد</v>
      </c>
      <c r="I98" s="45"/>
      <c r="J98" s="46"/>
    </row>
    <row r="99" spans="1:10" ht="30" customHeight="1" thickBot="1" x14ac:dyDescent="0.25">
      <c r="A99" s="9"/>
      <c r="B99" s="85" t="s">
        <v>265</v>
      </c>
      <c r="C99" s="86"/>
      <c r="D99" s="86"/>
      <c r="E99" s="36">
        <v>5</v>
      </c>
      <c r="F99" s="43">
        <v>3.5</v>
      </c>
      <c r="G99" s="37">
        <f t="shared" si="2"/>
        <v>0.7</v>
      </c>
      <c r="H99" s="38" t="str">
        <f t="shared" si="3"/>
        <v>جيد</v>
      </c>
      <c r="I99" s="47"/>
      <c r="J99" s="48"/>
    </row>
    <row r="100" spans="1:10" ht="30" customHeight="1" x14ac:dyDescent="0.2">
      <c r="A100" s="9"/>
      <c r="B100" s="95" t="s">
        <v>266</v>
      </c>
      <c r="C100" s="96"/>
      <c r="D100" s="96"/>
      <c r="E100" s="41"/>
      <c r="F100" s="33"/>
      <c r="G100" s="34"/>
      <c r="H100" s="35"/>
      <c r="I100" s="49"/>
      <c r="J100" s="50"/>
    </row>
    <row r="101" spans="1:10" ht="30" customHeight="1" x14ac:dyDescent="0.2">
      <c r="A101" s="9"/>
      <c r="B101" s="83" t="s">
        <v>267</v>
      </c>
      <c r="C101" s="84"/>
      <c r="D101" s="84"/>
      <c r="E101" s="30">
        <v>5</v>
      </c>
      <c r="F101" s="25">
        <v>3.5</v>
      </c>
      <c r="G101" s="28">
        <f t="shared" si="2"/>
        <v>0.7</v>
      </c>
      <c r="H101" s="29" t="str">
        <f t="shared" si="3"/>
        <v>جيد</v>
      </c>
      <c r="I101" s="45"/>
      <c r="J101" s="46"/>
    </row>
    <row r="102" spans="1:10" ht="30" customHeight="1" x14ac:dyDescent="0.2">
      <c r="A102" s="9"/>
      <c r="B102" s="83" t="s">
        <v>268</v>
      </c>
      <c r="C102" s="84"/>
      <c r="D102" s="84"/>
      <c r="E102" s="30">
        <v>5</v>
      </c>
      <c r="F102" s="43">
        <v>3.5</v>
      </c>
      <c r="G102" s="28">
        <f t="shared" si="2"/>
        <v>0.7</v>
      </c>
      <c r="H102" s="29" t="str">
        <f t="shared" si="3"/>
        <v>جيد</v>
      </c>
      <c r="I102" s="45"/>
      <c r="J102" s="46"/>
    </row>
    <row r="103" spans="1:10" ht="30" customHeight="1" thickBot="1" x14ac:dyDescent="0.25">
      <c r="A103" s="9"/>
      <c r="B103" s="85" t="s">
        <v>269</v>
      </c>
      <c r="C103" s="86"/>
      <c r="D103" s="86"/>
      <c r="E103" s="36">
        <v>5</v>
      </c>
      <c r="F103" s="43">
        <v>4</v>
      </c>
      <c r="G103" s="37">
        <f t="shared" si="2"/>
        <v>0.8</v>
      </c>
      <c r="H103" s="38" t="str">
        <f t="shared" si="3"/>
        <v>جيد جداً</v>
      </c>
      <c r="I103" s="47"/>
      <c r="J103" s="48"/>
    </row>
    <row r="104" spans="1:10" ht="30" customHeight="1" x14ac:dyDescent="0.2">
      <c r="A104" s="9"/>
      <c r="B104" s="95" t="s">
        <v>281</v>
      </c>
      <c r="C104" s="96"/>
      <c r="D104" s="96"/>
      <c r="E104" s="41"/>
      <c r="F104" s="33"/>
      <c r="G104" s="34"/>
      <c r="H104" s="35"/>
      <c r="I104" s="49"/>
      <c r="J104" s="50"/>
    </row>
    <row r="105" spans="1:10" ht="30" customHeight="1" x14ac:dyDescent="0.2">
      <c r="A105" s="9"/>
      <c r="B105" s="83" t="s">
        <v>270</v>
      </c>
      <c r="C105" s="84"/>
      <c r="D105" s="84"/>
      <c r="E105" s="30">
        <v>5</v>
      </c>
      <c r="F105" s="25">
        <v>3.5</v>
      </c>
      <c r="G105" s="28">
        <f t="shared" si="2"/>
        <v>0.7</v>
      </c>
      <c r="H105" s="29" t="str">
        <f t="shared" si="3"/>
        <v>جيد</v>
      </c>
      <c r="I105" s="45"/>
      <c r="J105" s="46"/>
    </row>
    <row r="106" spans="1:10" ht="30" customHeight="1" x14ac:dyDescent="0.2">
      <c r="A106" s="9"/>
      <c r="B106" s="83" t="s">
        <v>271</v>
      </c>
      <c r="C106" s="84"/>
      <c r="D106" s="84"/>
      <c r="E106" s="30">
        <v>5</v>
      </c>
      <c r="F106" s="43">
        <v>3.5</v>
      </c>
      <c r="G106" s="28">
        <f t="shared" si="2"/>
        <v>0.7</v>
      </c>
      <c r="H106" s="29" t="str">
        <f t="shared" si="3"/>
        <v>جيد</v>
      </c>
      <c r="I106" s="45"/>
      <c r="J106" s="46"/>
    </row>
    <row r="107" spans="1:10" ht="30" customHeight="1" x14ac:dyDescent="0.2">
      <c r="A107" s="9"/>
      <c r="B107" s="83" t="s">
        <v>272</v>
      </c>
      <c r="C107" s="84"/>
      <c r="D107" s="84"/>
      <c r="E107" s="30">
        <v>5</v>
      </c>
      <c r="F107" s="43">
        <v>3.5</v>
      </c>
      <c r="G107" s="28">
        <f t="shared" si="2"/>
        <v>0.7</v>
      </c>
      <c r="H107" s="29" t="str">
        <f t="shared" si="3"/>
        <v>جيد</v>
      </c>
      <c r="I107" s="45"/>
      <c r="J107" s="46"/>
    </row>
    <row r="108" spans="1:10" ht="30" customHeight="1" x14ac:dyDescent="0.2">
      <c r="A108" s="9"/>
      <c r="B108" s="83" t="s">
        <v>273</v>
      </c>
      <c r="C108" s="84"/>
      <c r="D108" s="84"/>
      <c r="E108" s="30">
        <v>5</v>
      </c>
      <c r="F108" s="43">
        <v>3.5</v>
      </c>
      <c r="G108" s="28">
        <f t="shared" si="2"/>
        <v>0.7</v>
      </c>
      <c r="H108" s="29" t="str">
        <f t="shared" si="3"/>
        <v>جيد</v>
      </c>
      <c r="I108" s="45"/>
      <c r="J108" s="46"/>
    </row>
    <row r="109" spans="1:10" ht="30" customHeight="1" x14ac:dyDescent="0.2">
      <c r="A109" s="9"/>
      <c r="B109" s="83" t="s">
        <v>274</v>
      </c>
      <c r="C109" s="84"/>
      <c r="D109" s="84"/>
      <c r="E109" s="31">
        <v>5</v>
      </c>
      <c r="F109" s="43">
        <v>3.5</v>
      </c>
      <c r="G109" s="28">
        <f t="shared" si="2"/>
        <v>0.7</v>
      </c>
      <c r="H109" s="29" t="str">
        <f t="shared" si="3"/>
        <v>جيد</v>
      </c>
      <c r="I109" s="45"/>
      <c r="J109" s="46"/>
    </row>
    <row r="110" spans="1:10" ht="30" customHeight="1" thickBot="1" x14ac:dyDescent="0.25">
      <c r="A110" s="9"/>
      <c r="B110" s="85" t="s">
        <v>275</v>
      </c>
      <c r="C110" s="86"/>
      <c r="D110" s="86"/>
      <c r="E110" s="42">
        <v>5</v>
      </c>
      <c r="F110" s="43">
        <v>3.5</v>
      </c>
      <c r="G110" s="37">
        <f t="shared" si="2"/>
        <v>0.7</v>
      </c>
      <c r="H110" s="38" t="str">
        <f t="shared" si="3"/>
        <v>جيد</v>
      </c>
      <c r="I110" s="47"/>
      <c r="J110" s="48"/>
    </row>
    <row r="111" spans="1:10" ht="30" customHeight="1" x14ac:dyDescent="0.2">
      <c r="A111" s="9"/>
      <c r="B111" s="97" t="s">
        <v>276</v>
      </c>
      <c r="C111" s="98"/>
      <c r="D111" s="98"/>
      <c r="E111" s="40"/>
      <c r="F111" s="33"/>
      <c r="G111" s="34"/>
      <c r="H111" s="35"/>
      <c r="I111" s="49"/>
      <c r="J111" s="50"/>
    </row>
    <row r="112" spans="1:10" ht="30" customHeight="1" x14ac:dyDescent="0.2">
      <c r="A112" s="9"/>
      <c r="B112" s="83" t="s">
        <v>277</v>
      </c>
      <c r="C112" s="84"/>
      <c r="D112" s="84"/>
      <c r="E112" s="30">
        <v>5</v>
      </c>
      <c r="F112" s="25">
        <v>4.5</v>
      </c>
      <c r="G112" s="28">
        <f t="shared" si="2"/>
        <v>0.9</v>
      </c>
      <c r="H112" s="29" t="str">
        <f t="shared" si="3"/>
        <v>ممتاز</v>
      </c>
      <c r="I112" s="45"/>
      <c r="J112" s="46"/>
    </row>
    <row r="113" spans="1:10" ht="30" customHeight="1" x14ac:dyDescent="0.2">
      <c r="A113" s="9"/>
      <c r="B113" s="83" t="s">
        <v>278</v>
      </c>
      <c r="C113" s="84"/>
      <c r="D113" s="84"/>
      <c r="E113" s="30">
        <v>5</v>
      </c>
      <c r="F113" s="43">
        <v>3.5</v>
      </c>
      <c r="G113" s="28">
        <f t="shared" si="2"/>
        <v>0.7</v>
      </c>
      <c r="H113" s="29" t="str">
        <f t="shared" si="3"/>
        <v>جيد</v>
      </c>
      <c r="I113" s="45"/>
      <c r="J113" s="46"/>
    </row>
    <row r="114" spans="1:10" ht="30" customHeight="1" x14ac:dyDescent="0.2">
      <c r="A114" s="9"/>
      <c r="B114" s="83" t="s">
        <v>279</v>
      </c>
      <c r="C114" s="84"/>
      <c r="D114" s="84"/>
      <c r="E114" s="30">
        <v>5</v>
      </c>
      <c r="F114" s="43">
        <v>3.5</v>
      </c>
      <c r="G114" s="28">
        <f t="shared" si="2"/>
        <v>0.7</v>
      </c>
      <c r="H114" s="29" t="str">
        <f t="shared" si="3"/>
        <v>جيد</v>
      </c>
      <c r="I114" s="45"/>
      <c r="J114" s="46"/>
    </row>
    <row r="115" spans="1:10" ht="30" customHeight="1" thickBot="1" x14ac:dyDescent="0.25">
      <c r="A115" s="9"/>
      <c r="B115" s="85" t="s">
        <v>280</v>
      </c>
      <c r="C115" s="86"/>
      <c r="D115" s="86"/>
      <c r="E115" s="36">
        <v>5</v>
      </c>
      <c r="F115" s="43">
        <v>3.5</v>
      </c>
      <c r="G115" s="37">
        <f t="shared" si="2"/>
        <v>0.7</v>
      </c>
      <c r="H115" s="38" t="str">
        <f t="shared" si="3"/>
        <v>جيد</v>
      </c>
      <c r="I115" s="47"/>
      <c r="J115" s="48"/>
    </row>
    <row r="116" spans="1:10" ht="30" customHeight="1" thickBot="1" x14ac:dyDescent="0.25">
      <c r="A116" s="4"/>
      <c r="B116" s="79" t="s">
        <v>5</v>
      </c>
      <c r="C116" s="80"/>
      <c r="D116" s="80"/>
      <c r="E116" s="27">
        <f>SUM(E8:E115)</f>
        <v>475</v>
      </c>
      <c r="F116" s="27">
        <f>SUM(F8:F115)</f>
        <v>339.25</v>
      </c>
      <c r="G116" s="53"/>
      <c r="H116" s="54"/>
      <c r="I116" s="54"/>
      <c r="J116" s="55"/>
    </row>
    <row r="117" spans="1:10" ht="30" customHeight="1" thickBot="1" x14ac:dyDescent="0.25">
      <c r="A117" s="4"/>
      <c r="B117" s="81" t="s">
        <v>54</v>
      </c>
      <c r="C117" s="82"/>
      <c r="D117" s="82"/>
      <c r="E117" s="63">
        <f>F116/E116/100*100</f>
        <v>0.71421052631578952</v>
      </c>
      <c r="F117" s="63"/>
      <c r="G117" s="63"/>
      <c r="H117" s="63"/>
      <c r="I117" s="63"/>
      <c r="J117" s="64"/>
    </row>
    <row r="118" spans="1:10" ht="30" customHeight="1" thickBot="1" x14ac:dyDescent="0.25">
      <c r="A118" s="4"/>
      <c r="B118" s="81" t="s">
        <v>55</v>
      </c>
      <c r="C118" s="82"/>
      <c r="D118" s="82"/>
      <c r="E118" s="77" t="str">
        <f>_xlfn.IFS(E117&gt;=90%,"ممتاز",E117&gt;=80%,"جيد جداً",E117&gt;=70%,"جيد",E117&gt;=60%,"مقبول",E117&lt;60%,"راسب")</f>
        <v>جيد</v>
      </c>
      <c r="F118" s="77"/>
      <c r="G118" s="77"/>
      <c r="H118" s="77"/>
      <c r="I118" s="77"/>
      <c r="J118" s="78"/>
    </row>
    <row r="119" spans="1:10" ht="42" customHeight="1" x14ac:dyDescent="0.2">
      <c r="B119" s="73" t="s">
        <v>62</v>
      </c>
      <c r="C119" s="73"/>
      <c r="D119" s="73"/>
      <c r="E119" s="51" t="s">
        <v>52</v>
      </c>
      <c r="F119" s="51"/>
      <c r="G119" s="75" t="s">
        <v>98</v>
      </c>
      <c r="H119" s="75"/>
      <c r="I119" s="75"/>
      <c r="J119" s="75"/>
    </row>
    <row r="120" spans="1:10" ht="51" customHeight="1" x14ac:dyDescent="0.2">
      <c r="A120" s="5"/>
      <c r="B120" s="74"/>
      <c r="C120" s="74"/>
      <c r="D120" s="74"/>
      <c r="E120" s="52" t="s">
        <v>53</v>
      </c>
      <c r="F120" s="52"/>
      <c r="G120" s="76"/>
      <c r="H120" s="76"/>
      <c r="I120" s="76"/>
      <c r="J120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37">
    <mergeCell ref="B113:D113"/>
    <mergeCell ref="B114:D114"/>
    <mergeCell ref="B115:D115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34:D34"/>
    <mergeCell ref="B35:D35"/>
    <mergeCell ref="B36:D36"/>
    <mergeCell ref="B37:D37"/>
    <mergeCell ref="B38:D38"/>
    <mergeCell ref="B39:D39"/>
    <mergeCell ref="B40:D40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B23:D23"/>
    <mergeCell ref="B24:D24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8:J8"/>
    <mergeCell ref="B116:D116"/>
    <mergeCell ref="B117:D117"/>
    <mergeCell ref="B118:D118"/>
    <mergeCell ref="I11:J11"/>
    <mergeCell ref="I12:J12"/>
    <mergeCell ref="I13:J13"/>
    <mergeCell ref="I14:J14"/>
    <mergeCell ref="I15:J15"/>
    <mergeCell ref="I16:J16"/>
    <mergeCell ref="I17:J17"/>
    <mergeCell ref="I18:J18"/>
    <mergeCell ref="I27:J27"/>
    <mergeCell ref="I28:J28"/>
    <mergeCell ref="I56:J56"/>
    <mergeCell ref="I57:J57"/>
    <mergeCell ref="I58:J58"/>
    <mergeCell ref="I99:J99"/>
    <mergeCell ref="I86:J86"/>
    <mergeCell ref="B17:D17"/>
    <mergeCell ref="B18:D18"/>
    <mergeCell ref="B19:D19"/>
    <mergeCell ref="B20:D20"/>
    <mergeCell ref="B21:D21"/>
    <mergeCell ref="B119:D120"/>
    <mergeCell ref="G119:J119"/>
    <mergeCell ref="G120:J120"/>
    <mergeCell ref="E118:J118"/>
    <mergeCell ref="I38:J38"/>
    <mergeCell ref="I39:J39"/>
    <mergeCell ref="I40:J40"/>
    <mergeCell ref="I41:J41"/>
    <mergeCell ref="I77:J77"/>
    <mergeCell ref="I78:J78"/>
    <mergeCell ref="I79:J79"/>
    <mergeCell ref="I80:J80"/>
    <mergeCell ref="I98:J98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44:J44"/>
    <mergeCell ref="B1:J1"/>
    <mergeCell ref="F2:J2"/>
    <mergeCell ref="B5:D6"/>
    <mergeCell ref="C2:D2"/>
    <mergeCell ref="C3:D3"/>
    <mergeCell ref="F3:J3"/>
    <mergeCell ref="E117:J117"/>
    <mergeCell ref="B7:D7"/>
    <mergeCell ref="I37:J37"/>
    <mergeCell ref="I81:J81"/>
    <mergeCell ref="I82:J82"/>
    <mergeCell ref="I83:J83"/>
    <mergeCell ref="I84:J84"/>
    <mergeCell ref="I85:J85"/>
    <mergeCell ref="I87:J87"/>
    <mergeCell ref="I88:J88"/>
    <mergeCell ref="I29:J29"/>
    <mergeCell ref="I30:J30"/>
    <mergeCell ref="E5:H5"/>
    <mergeCell ref="I36:J36"/>
    <mergeCell ref="I5:J6"/>
    <mergeCell ref="I7:J7"/>
    <mergeCell ref="I10:J10"/>
    <mergeCell ref="I19:J19"/>
    <mergeCell ref="I67:J67"/>
    <mergeCell ref="I68:J68"/>
    <mergeCell ref="I69:J69"/>
    <mergeCell ref="I70:J70"/>
    <mergeCell ref="I71:J71"/>
    <mergeCell ref="I20:J20"/>
    <mergeCell ref="I21:J21"/>
    <mergeCell ref="I22:J22"/>
    <mergeCell ref="I23:J23"/>
    <mergeCell ref="I24:J24"/>
    <mergeCell ref="I25:J25"/>
    <mergeCell ref="I26:J26"/>
    <mergeCell ref="I42:J42"/>
    <mergeCell ref="I43:J43"/>
    <mergeCell ref="I31:J31"/>
    <mergeCell ref="I32:J32"/>
    <mergeCell ref="I33:J33"/>
    <mergeCell ref="I34:J34"/>
    <mergeCell ref="I35:J35"/>
    <mergeCell ref="I105:J105"/>
    <mergeCell ref="I106:J106"/>
    <mergeCell ref="I107:J107"/>
    <mergeCell ref="I108:J108"/>
    <mergeCell ref="I109:J109"/>
    <mergeCell ref="I100:J100"/>
    <mergeCell ref="I101:J101"/>
    <mergeCell ref="I102:J102"/>
    <mergeCell ref="I103:J103"/>
    <mergeCell ref="I104:J104"/>
    <mergeCell ref="I110:J110"/>
    <mergeCell ref="I111:J111"/>
    <mergeCell ref="I112:J112"/>
    <mergeCell ref="I113:J113"/>
    <mergeCell ref="I114:J114"/>
    <mergeCell ref="I115:J115"/>
    <mergeCell ref="E119:F119"/>
    <mergeCell ref="E120:F120"/>
    <mergeCell ref="G116:J116"/>
    <mergeCell ref="I93:J93"/>
    <mergeCell ref="I94:J94"/>
    <mergeCell ref="I95:J95"/>
    <mergeCell ref="I96:J96"/>
    <mergeCell ref="I97:J97"/>
    <mergeCell ref="I9:J9"/>
    <mergeCell ref="I72:J72"/>
    <mergeCell ref="I73:J73"/>
    <mergeCell ref="I74:J74"/>
    <mergeCell ref="I75:J75"/>
    <mergeCell ref="I76:J76"/>
    <mergeCell ref="I89:J89"/>
    <mergeCell ref="I90:J90"/>
    <mergeCell ref="I91:J91"/>
    <mergeCell ref="I92:J92"/>
    <mergeCell ref="I45:J45"/>
    <mergeCell ref="I59:J59"/>
    <mergeCell ref="I60:J60"/>
    <mergeCell ref="I61:J61"/>
    <mergeCell ref="I62:J62"/>
    <mergeCell ref="I63:J63"/>
    <mergeCell ref="I64:J64"/>
    <mergeCell ref="I65:J65"/>
    <mergeCell ref="I66:J6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18">
    <cfRule type="expression" dxfId="14" priority="57">
      <formula>$E118="راسب"</formula>
    </cfRule>
  </conditionalFormatting>
  <conditionalFormatting sqref="E118:J118">
    <cfRule type="expression" dxfId="13" priority="58">
      <formula>$E118="مقبول"</formula>
    </cfRule>
    <cfRule type="expression" dxfId="12" priority="59">
      <formula>$E118="جيد"</formula>
    </cfRule>
    <cfRule type="expression" dxfId="11" priority="60">
      <formula>$E118="جيد جداً"</formula>
    </cfRule>
    <cfRule type="expression" dxfId="10" priority="61">
      <formula>$E118="ممتاز"</formula>
    </cfRule>
  </conditionalFormatting>
  <conditionalFormatting sqref="F8:F11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19:J119">
    <cfRule type="containsText" dxfId="6" priority="15" operator="containsText" text="أدخل اسم المحكم">
      <formula>NOT(ISERROR(SEARCH("أدخل اسم المحكم",G119)))</formula>
    </cfRule>
  </conditionalFormatting>
  <conditionalFormatting sqref="H8:H11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2" manualBreakCount="2">
    <brk id="36" max="9" man="1"/>
    <brk id="10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G119:J119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F9:F11 F13:F23 F25:F30 F32:F36 F37 F38 F40:F50 F52:F57 F59:F69 F71:F78 F80:F83 F85:F87 F89:F99 F101:F103 F105:F110 F112:F115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63</v>
      </c>
    </row>
    <row r="3" spans="1:3" ht="20.100000000000001" customHeight="1" thickBot="1" x14ac:dyDescent="0.3">
      <c r="A3" s="2" t="s">
        <v>26</v>
      </c>
      <c r="C3" s="18" t="s">
        <v>64</v>
      </c>
    </row>
    <row r="4" spans="1:3" ht="20.100000000000001" customHeight="1" thickBot="1" x14ac:dyDescent="0.3">
      <c r="A4" s="2" t="s">
        <v>36</v>
      </c>
      <c r="C4" s="18" t="s">
        <v>65</v>
      </c>
    </row>
    <row r="5" spans="1:3" ht="20.100000000000001" customHeight="1" thickBot="1" x14ac:dyDescent="0.3">
      <c r="A5" s="2" t="s">
        <v>37</v>
      </c>
      <c r="C5" s="18" t="s">
        <v>66</v>
      </c>
    </row>
    <row r="6" spans="1:3" ht="20.100000000000001" customHeight="1" thickBot="1" x14ac:dyDescent="0.3">
      <c r="A6" s="2" t="s">
        <v>38</v>
      </c>
      <c r="C6" s="18" t="s">
        <v>67</v>
      </c>
    </row>
    <row r="7" spans="1:3" ht="20.100000000000001" customHeight="1" thickBot="1" x14ac:dyDescent="0.3">
      <c r="A7" s="2" t="s">
        <v>39</v>
      </c>
      <c r="C7" s="18" t="s">
        <v>68</v>
      </c>
    </row>
    <row r="8" spans="1:3" ht="20.100000000000001" customHeight="1" thickBot="1" x14ac:dyDescent="0.3">
      <c r="A8" s="2" t="s">
        <v>40</v>
      </c>
      <c r="C8" s="18" t="s">
        <v>69</v>
      </c>
    </row>
    <row r="9" spans="1:3" ht="20.100000000000001" customHeight="1" thickBot="1" x14ac:dyDescent="0.3">
      <c r="A9" s="2" t="s">
        <v>41</v>
      </c>
      <c r="C9" s="18" t="s">
        <v>70</v>
      </c>
    </row>
    <row r="10" spans="1:3" ht="20.100000000000001" customHeight="1" thickBot="1" x14ac:dyDescent="0.3">
      <c r="A10" s="2" t="s">
        <v>42</v>
      </c>
      <c r="C10" s="18" t="s">
        <v>71</v>
      </c>
    </row>
    <row r="11" spans="1:3" ht="20.100000000000001" customHeight="1" thickBot="1" x14ac:dyDescent="0.3">
      <c r="A11" s="2" t="s">
        <v>43</v>
      </c>
      <c r="C11" s="18" t="s">
        <v>72</v>
      </c>
    </row>
    <row r="12" spans="1:3" ht="20.100000000000001" customHeight="1" thickBot="1" x14ac:dyDescent="0.3">
      <c r="A12" s="2" t="s">
        <v>44</v>
      </c>
      <c r="C12" s="18" t="s">
        <v>73</v>
      </c>
    </row>
    <row r="13" spans="1:3" ht="20.100000000000001" customHeight="1" thickBot="1" x14ac:dyDescent="0.3">
      <c r="A13" s="2" t="s">
        <v>45</v>
      </c>
      <c r="C13" s="18" t="s">
        <v>74</v>
      </c>
    </row>
    <row r="14" spans="1:3" ht="20.100000000000001" customHeight="1" thickBot="1" x14ac:dyDescent="0.3">
      <c r="A14" s="2" t="s">
        <v>46</v>
      </c>
      <c r="C14" s="18" t="s">
        <v>75</v>
      </c>
    </row>
    <row r="15" spans="1:3" ht="20.100000000000001" customHeight="1" thickBot="1" x14ac:dyDescent="0.3">
      <c r="A15" s="2" t="s">
        <v>47</v>
      </c>
      <c r="C15" s="18" t="s">
        <v>76</v>
      </c>
    </row>
    <row r="16" spans="1:3" ht="20.100000000000001" customHeight="1" thickBot="1" x14ac:dyDescent="0.3">
      <c r="A16" s="2" t="s">
        <v>10</v>
      </c>
      <c r="C16" s="18" t="s">
        <v>77</v>
      </c>
    </row>
    <row r="17" spans="1:3" ht="20.100000000000001" customHeight="1" thickBot="1" x14ac:dyDescent="0.3">
      <c r="A17" s="2" t="s">
        <v>27</v>
      </c>
      <c r="C17" s="18" t="s">
        <v>78</v>
      </c>
    </row>
    <row r="18" spans="1:3" ht="20.100000000000001" customHeight="1" thickBot="1" x14ac:dyDescent="0.3">
      <c r="A18" s="2" t="s">
        <v>48</v>
      </c>
      <c r="C18" s="18" t="s">
        <v>79</v>
      </c>
    </row>
    <row r="19" spans="1:3" ht="20.100000000000001" customHeight="1" thickBot="1" x14ac:dyDescent="0.3">
      <c r="A19" s="2" t="s">
        <v>49</v>
      </c>
      <c r="C19" s="18" t="s">
        <v>80</v>
      </c>
    </row>
    <row r="20" spans="1:3" ht="20.100000000000001" customHeight="1" thickBot="1" x14ac:dyDescent="0.3">
      <c r="A20" s="2" t="s">
        <v>50</v>
      </c>
      <c r="C20" s="18" t="s">
        <v>81</v>
      </c>
    </row>
    <row r="21" spans="1:3" ht="20.100000000000001" customHeight="1" thickBot="1" x14ac:dyDescent="0.3">
      <c r="A21" s="2" t="s">
        <v>51</v>
      </c>
      <c r="C21" s="18" t="s">
        <v>82</v>
      </c>
    </row>
    <row r="22" spans="1:3" ht="20.100000000000001" customHeight="1" thickBot="1" x14ac:dyDescent="0.3">
      <c r="A22" s="2" t="s">
        <v>11</v>
      </c>
      <c r="C22" s="18" t="s">
        <v>83</v>
      </c>
    </row>
    <row r="23" spans="1:3" ht="20.100000000000001" customHeight="1" thickBot="1" x14ac:dyDescent="0.3">
      <c r="A23" s="2" t="s">
        <v>12</v>
      </c>
      <c r="C23" s="18" t="s">
        <v>84</v>
      </c>
    </row>
    <row r="24" spans="1:3" ht="20.100000000000001" customHeight="1" thickBot="1" x14ac:dyDescent="0.3">
      <c r="A24" s="2" t="s">
        <v>15</v>
      </c>
      <c r="C24" s="18" t="s">
        <v>85</v>
      </c>
    </row>
    <row r="25" spans="1:3" ht="20.100000000000001" customHeight="1" thickBot="1" x14ac:dyDescent="0.3">
      <c r="A25" s="2" t="s">
        <v>28</v>
      </c>
      <c r="C25" s="18" t="s">
        <v>86</v>
      </c>
    </row>
    <row r="26" spans="1:3" ht="20.100000000000001" customHeight="1" thickBot="1" x14ac:dyDescent="0.3">
      <c r="A26" s="2" t="s">
        <v>29</v>
      </c>
      <c r="C26" s="18" t="s">
        <v>87</v>
      </c>
    </row>
    <row r="27" spans="1:3" ht="20.100000000000001" customHeight="1" thickBot="1" x14ac:dyDescent="0.3">
      <c r="A27" s="2" t="s">
        <v>13</v>
      </c>
      <c r="C27" s="18" t="s">
        <v>88</v>
      </c>
    </row>
    <row r="28" spans="1:3" ht="20.100000000000001" customHeight="1" thickBot="1" x14ac:dyDescent="0.3">
      <c r="A28" s="2" t="s">
        <v>30</v>
      </c>
      <c r="C28" s="18" t="s">
        <v>89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90</v>
      </c>
    </row>
    <row r="200" spans="1:1" ht="20.100000000000001" customHeight="1" x14ac:dyDescent="0.2">
      <c r="A200" s="19" t="s">
        <v>91</v>
      </c>
    </row>
    <row r="201" spans="1:1" ht="20.100000000000001" customHeight="1" x14ac:dyDescent="0.2">
      <c r="A201" s="19" t="s">
        <v>92</v>
      </c>
    </row>
    <row r="202" spans="1:1" ht="20.100000000000001" customHeight="1" x14ac:dyDescent="0.2">
      <c r="A202" s="19" t="s">
        <v>93</v>
      </c>
    </row>
    <row r="203" spans="1:1" ht="20.100000000000001" customHeight="1" x14ac:dyDescent="0.2">
      <c r="A203" s="19" t="s">
        <v>94</v>
      </c>
    </row>
    <row r="204" spans="1:1" ht="20.100000000000001" customHeight="1" x14ac:dyDescent="0.2">
      <c r="A204" s="19" t="s">
        <v>95</v>
      </c>
    </row>
    <row r="205" spans="1:1" ht="20.100000000000001" customHeight="1" x14ac:dyDescent="0.2">
      <c r="A205" s="19" t="s">
        <v>96</v>
      </c>
    </row>
    <row r="206" spans="1:1" ht="20.100000000000001" customHeight="1" x14ac:dyDescent="0.2">
      <c r="A206" s="19" t="s">
        <v>97</v>
      </c>
    </row>
    <row r="207" spans="1:1" ht="20.100000000000001" customHeight="1" x14ac:dyDescent="0.2">
      <c r="A207" s="19" t="s">
        <v>98</v>
      </c>
    </row>
    <row r="208" spans="1:1" ht="20.100000000000001" customHeight="1" x14ac:dyDescent="0.2">
      <c r="A208" s="20" t="s">
        <v>99</v>
      </c>
    </row>
    <row r="209" spans="1:1" ht="20.100000000000001" customHeight="1" x14ac:dyDescent="0.2">
      <c r="A209" s="20" t="s">
        <v>100</v>
      </c>
    </row>
    <row r="210" spans="1:1" ht="20.100000000000001" customHeight="1" x14ac:dyDescent="0.2">
      <c r="A210" s="19" t="s">
        <v>101</v>
      </c>
    </row>
    <row r="211" spans="1:1" ht="20.100000000000001" customHeight="1" x14ac:dyDescent="0.2">
      <c r="A211" s="19" t="s">
        <v>102</v>
      </c>
    </row>
    <row r="212" spans="1:1" ht="20.100000000000001" customHeight="1" x14ac:dyDescent="0.2">
      <c r="A212" s="19" t="s">
        <v>103</v>
      </c>
    </row>
    <row r="213" spans="1:1" ht="20.100000000000001" customHeight="1" x14ac:dyDescent="0.2">
      <c r="A213" s="19" t="s">
        <v>104</v>
      </c>
    </row>
    <row r="214" spans="1:1" ht="20.100000000000001" customHeight="1" x14ac:dyDescent="0.2">
      <c r="A214" s="19" t="s">
        <v>105</v>
      </c>
    </row>
    <row r="215" spans="1:1" ht="20.100000000000001" customHeight="1" x14ac:dyDescent="0.2">
      <c r="A215" s="19" t="s">
        <v>106</v>
      </c>
    </row>
    <row r="216" spans="1:1" ht="20.100000000000001" customHeight="1" x14ac:dyDescent="0.2">
      <c r="A216" s="19" t="s">
        <v>107</v>
      </c>
    </row>
    <row r="217" spans="1:1" ht="20.100000000000001" customHeight="1" x14ac:dyDescent="0.2">
      <c r="A217" s="19" t="s">
        <v>108</v>
      </c>
    </row>
    <row r="218" spans="1:1" ht="20.100000000000001" customHeight="1" x14ac:dyDescent="0.2">
      <c r="A218" s="19" t="s">
        <v>109</v>
      </c>
    </row>
    <row r="219" spans="1:1" ht="20.100000000000001" customHeight="1" x14ac:dyDescent="0.2">
      <c r="A219" s="19" t="s">
        <v>110</v>
      </c>
    </row>
    <row r="220" spans="1:1" ht="20.100000000000001" customHeight="1" x14ac:dyDescent="0.2">
      <c r="A220" s="19" t="s">
        <v>111</v>
      </c>
    </row>
    <row r="221" spans="1:1" ht="20.100000000000001" customHeight="1" x14ac:dyDescent="0.2">
      <c r="A221" s="19" t="s">
        <v>112</v>
      </c>
    </row>
    <row r="222" spans="1:1" ht="20.100000000000001" customHeight="1" x14ac:dyDescent="0.2">
      <c r="A222" s="19" t="s">
        <v>113</v>
      </c>
    </row>
    <row r="223" spans="1:1" ht="20.100000000000001" customHeight="1" x14ac:dyDescent="0.2">
      <c r="A223" s="19" t="s">
        <v>114</v>
      </c>
    </row>
    <row r="224" spans="1:1" ht="20.100000000000001" customHeight="1" x14ac:dyDescent="0.2">
      <c r="A224" s="19" t="s">
        <v>115</v>
      </c>
    </row>
    <row r="225" spans="1:1" ht="20.100000000000001" customHeight="1" x14ac:dyDescent="0.2">
      <c r="A225" s="19" t="s">
        <v>116</v>
      </c>
    </row>
    <row r="226" spans="1:1" ht="20.100000000000001" customHeight="1" x14ac:dyDescent="0.2">
      <c r="A226" s="19" t="s">
        <v>117</v>
      </c>
    </row>
    <row r="227" spans="1:1" ht="20.100000000000001" customHeight="1" x14ac:dyDescent="0.2">
      <c r="A227" s="19" t="s">
        <v>118</v>
      </c>
    </row>
    <row r="228" spans="1:1" ht="20.100000000000001" customHeight="1" x14ac:dyDescent="0.2">
      <c r="A228" s="19" t="s">
        <v>119</v>
      </c>
    </row>
    <row r="229" spans="1:1" ht="20.100000000000001" customHeight="1" x14ac:dyDescent="0.2">
      <c r="A229" s="19" t="s">
        <v>120</v>
      </c>
    </row>
    <row r="230" spans="1:1" ht="20.100000000000001" customHeight="1" x14ac:dyDescent="0.2">
      <c r="A230" s="19" t="s">
        <v>121</v>
      </c>
    </row>
    <row r="231" spans="1:1" ht="20.100000000000001" customHeight="1" x14ac:dyDescent="0.2">
      <c r="A231" s="19" t="s">
        <v>122</v>
      </c>
    </row>
    <row r="232" spans="1:1" ht="20.100000000000001" customHeight="1" x14ac:dyDescent="0.2">
      <c r="A232" s="19" t="s">
        <v>123</v>
      </c>
    </row>
    <row r="233" spans="1:1" ht="20.100000000000001" customHeight="1" x14ac:dyDescent="0.2">
      <c r="A233" s="19" t="s">
        <v>124</v>
      </c>
    </row>
    <row r="234" spans="1:1" ht="20.100000000000001" customHeight="1" x14ac:dyDescent="0.2">
      <c r="A234" s="19" t="s">
        <v>125</v>
      </c>
    </row>
    <row r="235" spans="1:1" ht="20.100000000000001" customHeight="1" x14ac:dyDescent="0.2">
      <c r="A235" s="21" t="s">
        <v>126</v>
      </c>
    </row>
    <row r="236" spans="1:1" ht="20.100000000000001" customHeight="1" x14ac:dyDescent="0.2">
      <c r="A236" s="19" t="s">
        <v>127</v>
      </c>
    </row>
    <row r="237" spans="1:1" ht="20.100000000000001" customHeight="1" x14ac:dyDescent="0.2">
      <c r="A237" s="19" t="s">
        <v>128</v>
      </c>
    </row>
    <row r="238" spans="1:1" ht="20.100000000000001" customHeight="1" x14ac:dyDescent="0.2">
      <c r="A238" s="19" t="s">
        <v>129</v>
      </c>
    </row>
    <row r="239" spans="1:1" ht="20.100000000000001" customHeight="1" x14ac:dyDescent="0.2">
      <c r="A239" s="19" t="s">
        <v>130</v>
      </c>
    </row>
    <row r="240" spans="1:1" ht="20.100000000000001" customHeight="1" x14ac:dyDescent="0.2">
      <c r="A240" s="19" t="s">
        <v>131</v>
      </c>
    </row>
    <row r="241" spans="1:1" ht="20.100000000000001" customHeight="1" x14ac:dyDescent="0.2">
      <c r="A241" s="19" t="s">
        <v>132</v>
      </c>
    </row>
    <row r="242" spans="1:1" ht="20.100000000000001" customHeight="1" x14ac:dyDescent="0.2">
      <c r="A242" s="19" t="s">
        <v>133</v>
      </c>
    </row>
    <row r="243" spans="1:1" ht="20.100000000000001" customHeight="1" x14ac:dyDescent="0.2">
      <c r="A243" s="19" t="s">
        <v>134</v>
      </c>
    </row>
    <row r="244" spans="1:1" ht="20.100000000000001" customHeight="1" x14ac:dyDescent="0.2">
      <c r="A244" s="19" t="s">
        <v>135</v>
      </c>
    </row>
    <row r="245" spans="1:1" ht="20.100000000000001" customHeight="1" x14ac:dyDescent="0.2">
      <c r="A245" s="19" t="s">
        <v>136</v>
      </c>
    </row>
    <row r="246" spans="1:1" ht="20.100000000000001" customHeight="1" x14ac:dyDescent="0.2">
      <c r="A246" s="19" t="s">
        <v>137</v>
      </c>
    </row>
    <row r="247" spans="1:1" ht="20.100000000000001" customHeight="1" x14ac:dyDescent="0.2">
      <c r="A247" s="19" t="s">
        <v>128</v>
      </c>
    </row>
    <row r="248" spans="1:1" ht="20.100000000000001" customHeight="1" x14ac:dyDescent="0.2">
      <c r="A248" s="19" t="s">
        <v>138</v>
      </c>
    </row>
    <row r="249" spans="1:1" ht="20.100000000000001" customHeight="1" x14ac:dyDescent="0.2">
      <c r="A249" s="19" t="s">
        <v>139</v>
      </c>
    </row>
    <row r="250" spans="1:1" ht="20.100000000000001" customHeight="1" x14ac:dyDescent="0.2">
      <c r="A250" s="21" t="s">
        <v>140</v>
      </c>
    </row>
    <row r="251" spans="1:1" ht="20.100000000000001" customHeight="1" x14ac:dyDescent="0.2">
      <c r="A251" s="22" t="s">
        <v>141</v>
      </c>
    </row>
    <row r="252" spans="1:1" ht="20.100000000000001" customHeight="1" x14ac:dyDescent="0.2">
      <c r="A252" s="19" t="s">
        <v>142</v>
      </c>
    </row>
    <row r="253" spans="1:1" ht="20.100000000000001" customHeight="1" x14ac:dyDescent="0.2">
      <c r="A253" s="19" t="s">
        <v>143</v>
      </c>
    </row>
    <row r="254" spans="1:1" ht="20.100000000000001" customHeight="1" x14ac:dyDescent="0.2">
      <c r="A254" s="23" t="s">
        <v>144</v>
      </c>
    </row>
    <row r="255" spans="1:1" ht="20.100000000000001" customHeight="1" x14ac:dyDescent="0.2">
      <c r="A255" s="23" t="s">
        <v>145</v>
      </c>
    </row>
    <row r="256" spans="1:1" ht="20.100000000000001" customHeight="1" x14ac:dyDescent="0.2">
      <c r="A256" s="24" t="s">
        <v>146</v>
      </c>
    </row>
    <row r="257" spans="1:1" ht="20.100000000000001" customHeight="1" x14ac:dyDescent="0.2">
      <c r="A257" s="19" t="s">
        <v>147</v>
      </c>
    </row>
    <row r="258" spans="1:1" ht="20.100000000000001" customHeight="1" x14ac:dyDescent="0.2">
      <c r="A258" s="24" t="s">
        <v>148</v>
      </c>
    </row>
    <row r="259" spans="1:1" ht="20.100000000000001" customHeight="1" x14ac:dyDescent="0.2">
      <c r="A259" s="19" t="s">
        <v>149</v>
      </c>
    </row>
    <row r="260" spans="1:1" ht="20.100000000000001" customHeight="1" x14ac:dyDescent="0.2">
      <c r="A260" s="24" t="s">
        <v>150</v>
      </c>
    </row>
    <row r="261" spans="1:1" ht="20.100000000000001" customHeight="1" x14ac:dyDescent="0.2">
      <c r="A261" s="19" t="s">
        <v>151</v>
      </c>
    </row>
    <row r="262" spans="1:1" ht="20.100000000000001" customHeight="1" x14ac:dyDescent="0.2">
      <c r="A262" s="19" t="s">
        <v>152</v>
      </c>
    </row>
    <row r="263" spans="1:1" ht="20.100000000000001" customHeight="1" x14ac:dyDescent="0.2">
      <c r="A263" s="24" t="s">
        <v>153</v>
      </c>
    </row>
    <row r="264" spans="1:1" ht="20.100000000000001" customHeight="1" x14ac:dyDescent="0.2">
      <c r="A264" s="24" t="s">
        <v>154</v>
      </c>
    </row>
    <row r="265" spans="1:1" ht="20.100000000000001" customHeight="1" x14ac:dyDescent="0.2">
      <c r="A265" s="24" t="s">
        <v>155</v>
      </c>
    </row>
    <row r="266" spans="1:1" ht="20.100000000000001" customHeight="1" x14ac:dyDescent="0.2">
      <c r="A266" s="19" t="s">
        <v>156</v>
      </c>
    </row>
    <row r="267" spans="1:1" ht="20.100000000000001" customHeight="1" x14ac:dyDescent="0.2">
      <c r="A267" s="19" t="s">
        <v>157</v>
      </c>
    </row>
    <row r="268" spans="1:1" ht="20.100000000000001" customHeight="1" x14ac:dyDescent="0.2">
      <c r="A268" s="19" t="s">
        <v>158</v>
      </c>
    </row>
    <row r="269" spans="1:1" ht="20.100000000000001" customHeight="1" x14ac:dyDescent="0.2">
      <c r="A269" s="19" t="s">
        <v>159</v>
      </c>
    </row>
    <row r="270" spans="1:1" ht="20.100000000000001" customHeight="1" x14ac:dyDescent="0.2">
      <c r="A270" s="24" t="s">
        <v>160</v>
      </c>
    </row>
    <row r="271" spans="1:1" ht="20.100000000000001" customHeight="1" x14ac:dyDescent="0.2">
      <c r="A271" s="24" t="s">
        <v>161</v>
      </c>
    </row>
    <row r="272" spans="1:1" ht="20.100000000000001" customHeight="1" x14ac:dyDescent="0.2">
      <c r="A272" s="19" t="s">
        <v>162</v>
      </c>
    </row>
    <row r="273" spans="1:1" ht="20.100000000000001" customHeight="1" x14ac:dyDescent="0.2">
      <c r="A273" s="24" t="s">
        <v>163</v>
      </c>
    </row>
    <row r="274" spans="1:1" ht="20.100000000000001" customHeight="1" x14ac:dyDescent="0.2">
      <c r="A274" s="24" t="s">
        <v>164</v>
      </c>
    </row>
    <row r="275" spans="1:1" ht="20.100000000000001" customHeight="1" x14ac:dyDescent="0.2">
      <c r="A275" s="19" t="s">
        <v>165</v>
      </c>
    </row>
    <row r="276" spans="1:1" ht="20.100000000000001" customHeight="1" x14ac:dyDescent="0.2">
      <c r="A276" s="19" t="s">
        <v>166</v>
      </c>
    </row>
    <row r="277" spans="1:1" ht="20.100000000000001" customHeight="1" x14ac:dyDescent="0.2">
      <c r="A277" s="24" t="s">
        <v>167</v>
      </c>
    </row>
    <row r="278" spans="1:1" ht="20.100000000000001" customHeight="1" x14ac:dyDescent="0.2">
      <c r="A278" s="19" t="s">
        <v>168</v>
      </c>
    </row>
    <row r="279" spans="1:1" ht="20.100000000000001" customHeight="1" x14ac:dyDescent="0.2">
      <c r="A279" s="19" t="s">
        <v>169</v>
      </c>
    </row>
    <row r="280" spans="1:1" ht="20.100000000000001" customHeight="1" x14ac:dyDescent="0.2">
      <c r="A280" s="19" t="s">
        <v>170</v>
      </c>
    </row>
    <row r="281" spans="1:1" ht="20.100000000000001" customHeight="1" x14ac:dyDescent="0.2">
      <c r="A281" s="19" t="s">
        <v>171</v>
      </c>
    </row>
    <row r="282" spans="1:1" ht="20.100000000000001" customHeight="1" x14ac:dyDescent="0.2">
      <c r="A282" s="24" t="s">
        <v>172</v>
      </c>
    </row>
    <row r="283" spans="1:1" ht="20.100000000000001" customHeight="1" x14ac:dyDescent="0.2">
      <c r="A283" s="24" t="s">
        <v>173</v>
      </c>
    </row>
    <row r="284" spans="1:1" ht="20.100000000000001" customHeight="1" x14ac:dyDescent="0.2">
      <c r="A284" s="24" t="s">
        <v>174</v>
      </c>
    </row>
    <row r="285" spans="1:1" ht="20.100000000000001" customHeight="1" thickBot="1" x14ac:dyDescent="0.25">
      <c r="A285" s="19" t="s">
        <v>175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2025-10-19T15:45:13Z</dcterms:modified>
</cp:coreProperties>
</file>